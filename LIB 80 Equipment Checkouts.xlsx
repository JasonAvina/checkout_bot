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evinconner/Library/CloudStorage/Box-Box/AT/Student Assistants/Shared with Students/"/>
    </mc:Choice>
  </mc:AlternateContent>
  <xr:revisionPtr revIDLastSave="1937" documentId="13_ncr:1_{F54F20EE-8C23-B048-AE5F-FE416AEA65DE}" xr6:coauthVersionLast="47" xr6:coauthVersionMax="47" xr10:uidLastSave="{E6669197-D385-40EA-91F3-DC699B11F0F0}"/>
  <bookViews>
    <workbookView xWindow="0" yWindow="500" windowWidth="38400" windowHeight="20260" xr2:uid="{00000000-000D-0000-FFFF-FFFF00000000}"/>
  </bookViews>
  <sheets>
    <sheet name="Outstanding_checkout" sheetId="8" r:id="rId1"/>
    <sheet name="Student GoPros" sheetId="18" r:id="rId2"/>
    <sheet name="Master List" sheetId="13" r:id="rId3"/>
    <sheet name="Returned_checkout" sheetId="3" r:id="rId4"/>
    <sheet name="Inventory" sheetId="4" r:id="rId5"/>
    <sheet name="Log" sheetId="5" r:id="rId6"/>
    <sheet name="Overdue" sheetId="16" r:id="rId7"/>
    <sheet name="Temp" sheetId="19" r:id="rId8"/>
  </sheets>
  <definedNames>
    <definedName name="_xlnm._FilterDatabase" localSheetId="2" hidden="1">'Master List'!$A$1:$A$2738</definedName>
    <definedName name="_xlnm._FilterDatabase" localSheetId="3" hidden="1">Returned_checkout!$A$1:$V$1</definedName>
    <definedName name="_xlnm._FilterDatabase" localSheetId="1" hidden="1">'Student GoPros'!$A$1:$L$97</definedName>
    <definedName name="_xlnm._FilterDatabase" localSheetId="0" hidden="1">Outstanding_checkout!$A$1:$L$4807</definedName>
  </definedNames>
  <calcPr calcId="191028" iterate="1" iterateCount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4" i="8" l="1"/>
  <c r="D644" i="8"/>
  <c r="F644" i="8"/>
  <c r="K644" i="8"/>
  <c r="C4814" i="8"/>
  <c r="D4814" i="8"/>
  <c r="F4814" i="8"/>
  <c r="K4814" i="8"/>
  <c r="B4815" i="8"/>
  <c r="C4815" i="8"/>
  <c r="D4815" i="8"/>
  <c r="F4815" i="8"/>
  <c r="K4815" i="8"/>
  <c r="B4816" i="8"/>
  <c r="C4816" i="8"/>
  <c r="D4816" i="8"/>
  <c r="F4816" i="8"/>
  <c r="K4816" i="8"/>
  <c r="B4817" i="8"/>
  <c r="C4817" i="8"/>
  <c r="D4817" i="8"/>
  <c r="F4817" i="8"/>
  <c r="K4817" i="8"/>
  <c r="B4818" i="8"/>
  <c r="C4818" i="8"/>
  <c r="D4818" i="8"/>
  <c r="F4818" i="8"/>
  <c r="K4818" i="8"/>
  <c r="B4819" i="8"/>
  <c r="C4819" i="8"/>
  <c r="D4819" i="8"/>
  <c r="F4819" i="8"/>
  <c r="K4819" i="8"/>
  <c r="B4820" i="8"/>
  <c r="C4820" i="8"/>
  <c r="D4820" i="8"/>
  <c r="F4820" i="8"/>
  <c r="K4820" i="8"/>
  <c r="B4821" i="8"/>
  <c r="C4821" i="8"/>
  <c r="D4821" i="8"/>
  <c r="F4821" i="8"/>
  <c r="K4821" i="8"/>
  <c r="K643" i="8"/>
  <c r="K642" i="8"/>
  <c r="K641" i="8"/>
  <c r="K640" i="8"/>
  <c r="K639" i="8"/>
  <c r="K4807" i="8"/>
  <c r="K4806" i="8"/>
  <c r="K4805" i="8"/>
  <c r="K4804" i="8"/>
  <c r="K4803" i="8"/>
  <c r="K4802" i="8"/>
  <c r="K4801" i="8"/>
  <c r="K4800" i="8"/>
  <c r="K4799" i="8"/>
  <c r="K4798" i="8"/>
  <c r="K4797" i="8"/>
  <c r="K4796" i="8"/>
  <c r="K4795" i="8"/>
  <c r="K4794" i="8"/>
  <c r="K4793" i="8"/>
  <c r="K4792" i="8"/>
  <c r="K4791" i="8"/>
  <c r="K4790" i="8"/>
  <c r="F643" i="8"/>
  <c r="F642" i="8"/>
  <c r="F641" i="8"/>
  <c r="F640" i="8"/>
  <c r="F639" i="8"/>
  <c r="F4807" i="8"/>
  <c r="F4806" i="8"/>
  <c r="F4805" i="8"/>
  <c r="F4804" i="8"/>
  <c r="F4803" i="8"/>
  <c r="F4802" i="8"/>
  <c r="F4801" i="8"/>
  <c r="F4800" i="8"/>
  <c r="F4799" i="8"/>
  <c r="F4798" i="8"/>
  <c r="F4797" i="8"/>
  <c r="F4796" i="8"/>
  <c r="F4795" i="8"/>
  <c r="F4794" i="8"/>
  <c r="F4793" i="8"/>
  <c r="F4792" i="8"/>
  <c r="F4791" i="8"/>
  <c r="F4790" i="8"/>
  <c r="D643" i="8"/>
  <c r="D642" i="8"/>
  <c r="D641" i="8"/>
  <c r="D640" i="8"/>
  <c r="D639" i="8"/>
  <c r="D4807" i="8"/>
  <c r="D4806" i="8"/>
  <c r="D4805" i="8"/>
  <c r="D4804" i="8"/>
  <c r="D4803" i="8"/>
  <c r="D4802" i="8"/>
  <c r="D4801" i="8"/>
  <c r="D4800" i="8"/>
  <c r="D4799" i="8"/>
  <c r="D4798" i="8"/>
  <c r="D4797" i="8"/>
  <c r="D4796" i="8"/>
  <c r="D4795" i="8"/>
  <c r="D4794" i="8"/>
  <c r="D4793" i="8"/>
  <c r="D4792" i="8"/>
  <c r="D4791" i="8"/>
  <c r="D4790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639" i="8"/>
  <c r="C640" i="8"/>
  <c r="C641" i="8"/>
  <c r="C642" i="8"/>
  <c r="C643" i="8"/>
  <c r="B4790" i="8"/>
  <c r="B4791" i="8"/>
  <c r="B4792" i="8"/>
  <c r="B4793" i="8"/>
  <c r="B4794" i="8"/>
  <c r="B4795" i="8"/>
  <c r="B4796" i="8"/>
  <c r="B4797" i="8"/>
  <c r="B4798" i="8"/>
  <c r="B4799" i="8"/>
  <c r="B4800" i="8"/>
  <c r="B4801" i="8"/>
  <c r="B4802" i="8"/>
  <c r="B4803" i="8"/>
  <c r="B4804" i="8"/>
  <c r="B4805" i="8"/>
  <c r="B4806" i="8"/>
  <c r="B4807" i="8"/>
  <c r="F629" i="8"/>
  <c r="F4789" i="8"/>
  <c r="F4788" i="8"/>
  <c r="F4787" i="8"/>
  <c r="F4786" i="8"/>
  <c r="F4785" i="8"/>
  <c r="F4784" i="8"/>
  <c r="F4783" i="8"/>
  <c r="F4782" i="8"/>
  <c r="F4781" i="8"/>
  <c r="F4780" i="8"/>
  <c r="F4779" i="8"/>
  <c r="F4778" i="8"/>
  <c r="F4777" i="8"/>
  <c r="F4776" i="8"/>
  <c r="F4775" i="8"/>
  <c r="F4774" i="8"/>
  <c r="F4773" i="8"/>
  <c r="F4772" i="8"/>
  <c r="F4771" i="8"/>
  <c r="F4770" i="8"/>
  <c r="F4769" i="8"/>
  <c r="F4768" i="8"/>
  <c r="F4767" i="8"/>
  <c r="F4766" i="8"/>
  <c r="F4765" i="8"/>
  <c r="F4764" i="8"/>
  <c r="F4763" i="8"/>
  <c r="F4762" i="8"/>
  <c r="F4761" i="8"/>
  <c r="F4760" i="8"/>
  <c r="F4759" i="8"/>
  <c r="F4758" i="8"/>
  <c r="F4757" i="8"/>
  <c r="F4756" i="8"/>
  <c r="F4755" i="8"/>
  <c r="F4754" i="8"/>
  <c r="F4753" i="8"/>
  <c r="F4752" i="8"/>
  <c r="F4751" i="8"/>
  <c r="F4750" i="8"/>
  <c r="F4749" i="8"/>
  <c r="F4748" i="8"/>
  <c r="F4747" i="8"/>
  <c r="F4746" i="8"/>
  <c r="F4745" i="8"/>
  <c r="F4744" i="8"/>
  <c r="F4743" i="8"/>
  <c r="F4742" i="8"/>
  <c r="F4741" i="8"/>
  <c r="F4740" i="8"/>
  <c r="F4739" i="8"/>
  <c r="F4738" i="8"/>
  <c r="F4737" i="8"/>
  <c r="F4736" i="8"/>
  <c r="F4735" i="8"/>
  <c r="F4734" i="8"/>
  <c r="F4733" i="8"/>
  <c r="F4732" i="8"/>
  <c r="F4731" i="8"/>
  <c r="F4730" i="8"/>
  <c r="F4729" i="8"/>
  <c r="F4728" i="8"/>
  <c r="F4727" i="8"/>
  <c r="F4726" i="8"/>
  <c r="F4725" i="8"/>
  <c r="F4724" i="8"/>
  <c r="F4723" i="8"/>
  <c r="F4722" i="8"/>
  <c r="F4721" i="8"/>
  <c r="F4720" i="8"/>
  <c r="F4719" i="8"/>
  <c r="F4718" i="8"/>
  <c r="F4717" i="8"/>
  <c r="F4716" i="8"/>
  <c r="F4715" i="8"/>
  <c r="F4714" i="8"/>
  <c r="F4713" i="8"/>
  <c r="F4712" i="8"/>
  <c r="F4711" i="8"/>
  <c r="F4710" i="8"/>
  <c r="F4709" i="8"/>
  <c r="F4708" i="8"/>
  <c r="F4707" i="8"/>
  <c r="F4706" i="8"/>
  <c r="F4705" i="8"/>
  <c r="F4704" i="8"/>
  <c r="F4703" i="8"/>
  <c r="F4702" i="8"/>
  <c r="F4701" i="8"/>
  <c r="F4700" i="8"/>
  <c r="F4699" i="8"/>
  <c r="F4698" i="8"/>
  <c r="F4697" i="8"/>
  <c r="F4696" i="8"/>
  <c r="F4695" i="8"/>
  <c r="F4694" i="8"/>
  <c r="F4693" i="8"/>
  <c r="F4692" i="8"/>
  <c r="F4691" i="8"/>
  <c r="F4690" i="8"/>
  <c r="F4689" i="8"/>
  <c r="F4688" i="8"/>
  <c r="F4687" i="8"/>
  <c r="F4686" i="8"/>
  <c r="F4685" i="8"/>
  <c r="F4684" i="8"/>
  <c r="F4683" i="8"/>
  <c r="F4682" i="8"/>
  <c r="F4681" i="8"/>
  <c r="F4680" i="8"/>
  <c r="F4679" i="8"/>
  <c r="F4678" i="8"/>
  <c r="F4677" i="8"/>
  <c r="F4676" i="8"/>
  <c r="F4675" i="8"/>
  <c r="F4674" i="8"/>
  <c r="F4673" i="8"/>
  <c r="F4672" i="8"/>
  <c r="F4671" i="8"/>
  <c r="F4670" i="8"/>
  <c r="F4669" i="8"/>
  <c r="F4668" i="8"/>
  <c r="F4667" i="8"/>
  <c r="F4666" i="8"/>
  <c r="F4665" i="8"/>
  <c r="F4664" i="8"/>
  <c r="F4663" i="8"/>
  <c r="F4662" i="8"/>
  <c r="F4661" i="8"/>
  <c r="F4660" i="8"/>
  <c r="F4659" i="8"/>
  <c r="F4658" i="8"/>
  <c r="F4657" i="8"/>
  <c r="F4656" i="8"/>
  <c r="F4655" i="8"/>
  <c r="F4654" i="8"/>
  <c r="F4653" i="8"/>
  <c r="F4652" i="8"/>
  <c r="F4651" i="8"/>
  <c r="F4650" i="8"/>
  <c r="F4649" i="8"/>
  <c r="F4648" i="8"/>
  <c r="F4647" i="8"/>
  <c r="F4646" i="8"/>
  <c r="F4645" i="8"/>
  <c r="F4644" i="8"/>
  <c r="F4643" i="8"/>
  <c r="F4642" i="8"/>
  <c r="F4641" i="8"/>
  <c r="F4640" i="8"/>
  <c r="F4639" i="8"/>
  <c r="F4638" i="8"/>
  <c r="F4637" i="8"/>
  <c r="F4636" i="8"/>
  <c r="F4635" i="8"/>
  <c r="F4634" i="8"/>
  <c r="F4633" i="8"/>
  <c r="F4632" i="8"/>
  <c r="F4631" i="8"/>
  <c r="F4630" i="8"/>
  <c r="F4629" i="8"/>
  <c r="F4628" i="8"/>
  <c r="F4627" i="8"/>
  <c r="F4626" i="8"/>
  <c r="F4625" i="8"/>
  <c r="F4624" i="8"/>
  <c r="F4623" i="8"/>
  <c r="F4622" i="8"/>
  <c r="F4621" i="8"/>
  <c r="F4620" i="8"/>
  <c r="F4619" i="8"/>
  <c r="F4618" i="8"/>
  <c r="F4617" i="8"/>
  <c r="F4616" i="8"/>
  <c r="F4615" i="8"/>
  <c r="F4614" i="8"/>
  <c r="F4613" i="8"/>
  <c r="F4612" i="8"/>
  <c r="F4611" i="8"/>
  <c r="F4610" i="8"/>
  <c r="F4609" i="8"/>
  <c r="F4608" i="8"/>
  <c r="F4607" i="8"/>
  <c r="F4606" i="8"/>
  <c r="F4605" i="8"/>
  <c r="F4604" i="8"/>
  <c r="F4603" i="8"/>
  <c r="F4602" i="8"/>
  <c r="F4601" i="8"/>
  <c r="F4600" i="8"/>
  <c r="F4599" i="8"/>
  <c r="F4598" i="8"/>
  <c r="F4597" i="8"/>
  <c r="F4596" i="8"/>
  <c r="F4595" i="8"/>
  <c r="F4594" i="8"/>
  <c r="F4593" i="8"/>
  <c r="F4592" i="8"/>
  <c r="F4591" i="8"/>
  <c r="F4590" i="8"/>
  <c r="F4589" i="8"/>
  <c r="F4588" i="8"/>
  <c r="F4587" i="8"/>
  <c r="F4586" i="8"/>
  <c r="F4585" i="8"/>
  <c r="F4584" i="8"/>
  <c r="F4583" i="8"/>
  <c r="F4582" i="8"/>
  <c r="F4581" i="8"/>
  <c r="F4580" i="8"/>
  <c r="F4579" i="8"/>
  <c r="F4578" i="8"/>
  <c r="F4577" i="8"/>
  <c r="F4576" i="8"/>
  <c r="F4575" i="8"/>
  <c r="F4574" i="8"/>
  <c r="F4573" i="8"/>
  <c r="F4572" i="8"/>
  <c r="F4571" i="8"/>
  <c r="F4570" i="8"/>
  <c r="F4569" i="8"/>
  <c r="F4568" i="8"/>
  <c r="F4567" i="8"/>
  <c r="F4566" i="8"/>
  <c r="F4565" i="8"/>
  <c r="F4564" i="8"/>
  <c r="F4563" i="8"/>
  <c r="F4562" i="8"/>
  <c r="F4561" i="8"/>
  <c r="F4560" i="8"/>
  <c r="F4559" i="8"/>
  <c r="F4558" i="8"/>
  <c r="F4557" i="8"/>
  <c r="F4556" i="8"/>
  <c r="F4555" i="8"/>
  <c r="F4554" i="8"/>
  <c r="F4553" i="8"/>
  <c r="F4552" i="8"/>
  <c r="F4551" i="8"/>
  <c r="F4550" i="8"/>
  <c r="F4549" i="8"/>
  <c r="F4548" i="8"/>
  <c r="F4547" i="8"/>
  <c r="F4546" i="8"/>
  <c r="F4545" i="8"/>
  <c r="F4544" i="8"/>
  <c r="F4543" i="8"/>
  <c r="F4542" i="8"/>
  <c r="F4541" i="8"/>
  <c r="F4540" i="8"/>
  <c r="F4539" i="8"/>
  <c r="F4538" i="8"/>
  <c r="F4537" i="8"/>
  <c r="F4536" i="8"/>
  <c r="F4535" i="8"/>
  <c r="F4534" i="8"/>
  <c r="F4533" i="8"/>
  <c r="F4532" i="8"/>
  <c r="F4531" i="8"/>
  <c r="F4530" i="8"/>
  <c r="F4529" i="8"/>
  <c r="F4528" i="8"/>
  <c r="F4527" i="8"/>
  <c r="F4526" i="8"/>
  <c r="F4525" i="8"/>
  <c r="F4524" i="8"/>
  <c r="F4523" i="8"/>
  <c r="F4522" i="8"/>
  <c r="F4521" i="8"/>
  <c r="F4520" i="8"/>
  <c r="F4519" i="8"/>
  <c r="F4518" i="8"/>
  <c r="F4517" i="8"/>
  <c r="F4516" i="8"/>
  <c r="F4515" i="8"/>
  <c r="F4514" i="8"/>
  <c r="F4513" i="8"/>
  <c r="F4512" i="8"/>
  <c r="F4511" i="8"/>
  <c r="F4510" i="8"/>
  <c r="F4509" i="8"/>
  <c r="F4508" i="8"/>
  <c r="F4507" i="8"/>
  <c r="F4506" i="8"/>
  <c r="F4505" i="8"/>
  <c r="F4504" i="8"/>
  <c r="F4503" i="8"/>
  <c r="F4502" i="8"/>
  <c r="F4501" i="8"/>
  <c r="F4500" i="8"/>
  <c r="F4499" i="8"/>
  <c r="F4498" i="8"/>
  <c r="F4497" i="8"/>
  <c r="F4496" i="8"/>
  <c r="F4495" i="8"/>
  <c r="F4494" i="8"/>
  <c r="F4493" i="8"/>
  <c r="F4492" i="8"/>
  <c r="F4491" i="8"/>
  <c r="F4490" i="8"/>
  <c r="F4489" i="8"/>
  <c r="F4488" i="8"/>
  <c r="F4487" i="8"/>
  <c r="F4486" i="8"/>
  <c r="F4485" i="8"/>
  <c r="F4484" i="8"/>
  <c r="F4483" i="8"/>
  <c r="F4482" i="8"/>
  <c r="F4481" i="8"/>
  <c r="F4480" i="8"/>
  <c r="F4479" i="8"/>
  <c r="F4478" i="8"/>
  <c r="F4477" i="8"/>
  <c r="F4476" i="8"/>
  <c r="F4475" i="8"/>
  <c r="F4474" i="8"/>
  <c r="F4473" i="8"/>
  <c r="F4472" i="8"/>
  <c r="F4471" i="8"/>
  <c r="F4470" i="8"/>
  <c r="F4469" i="8"/>
  <c r="F4468" i="8"/>
  <c r="F4467" i="8"/>
  <c r="F4466" i="8"/>
  <c r="F4465" i="8"/>
  <c r="F4464" i="8"/>
  <c r="F4463" i="8"/>
  <c r="F4462" i="8"/>
  <c r="F4461" i="8"/>
  <c r="F4460" i="8"/>
  <c r="F4459" i="8"/>
  <c r="F4458" i="8"/>
  <c r="F4457" i="8"/>
  <c r="F4456" i="8"/>
  <c r="F4455" i="8"/>
  <c r="F4454" i="8"/>
  <c r="F4453" i="8"/>
  <c r="F4452" i="8"/>
  <c r="F4451" i="8"/>
  <c r="F4450" i="8"/>
  <c r="F4449" i="8"/>
  <c r="F4448" i="8"/>
  <c r="F4447" i="8"/>
  <c r="F4446" i="8"/>
  <c r="F4445" i="8"/>
  <c r="F4444" i="8"/>
  <c r="F4443" i="8"/>
  <c r="F4442" i="8"/>
  <c r="F4441" i="8"/>
  <c r="F4440" i="8"/>
  <c r="F4439" i="8"/>
  <c r="F4438" i="8"/>
  <c r="F4437" i="8"/>
  <c r="F4436" i="8"/>
  <c r="F4435" i="8"/>
  <c r="F4434" i="8"/>
  <c r="F4433" i="8"/>
  <c r="F4432" i="8"/>
  <c r="F4431" i="8"/>
  <c r="F4430" i="8"/>
  <c r="F4429" i="8"/>
  <c r="F4428" i="8"/>
  <c r="F4427" i="8"/>
  <c r="F4426" i="8"/>
  <c r="F4425" i="8"/>
  <c r="F4424" i="8"/>
  <c r="F4423" i="8"/>
  <c r="F4422" i="8"/>
  <c r="F4421" i="8"/>
  <c r="F4420" i="8"/>
  <c r="F4419" i="8"/>
  <c r="F4418" i="8"/>
  <c r="F4417" i="8"/>
  <c r="F4416" i="8"/>
  <c r="F4415" i="8"/>
  <c r="F4414" i="8"/>
  <c r="F4413" i="8"/>
  <c r="F4412" i="8"/>
  <c r="F4411" i="8"/>
  <c r="F4410" i="8"/>
  <c r="F4409" i="8"/>
  <c r="F4408" i="8"/>
  <c r="F4407" i="8"/>
  <c r="F4406" i="8"/>
  <c r="F4405" i="8"/>
  <c r="F4404" i="8"/>
  <c r="F4403" i="8"/>
  <c r="F4402" i="8"/>
  <c r="F4401" i="8"/>
  <c r="F4400" i="8"/>
  <c r="F4399" i="8"/>
  <c r="F4398" i="8"/>
  <c r="F4397" i="8"/>
  <c r="F4396" i="8"/>
  <c r="F4395" i="8"/>
  <c r="F4394" i="8"/>
  <c r="F4393" i="8"/>
  <c r="F4392" i="8"/>
  <c r="F4391" i="8"/>
  <c r="F4390" i="8"/>
  <c r="F4389" i="8"/>
  <c r="F4388" i="8"/>
  <c r="F4387" i="8"/>
  <c r="F4386" i="8"/>
  <c r="F4385" i="8"/>
  <c r="F4384" i="8"/>
  <c r="F4383" i="8"/>
  <c r="F4382" i="8"/>
  <c r="F4381" i="8"/>
  <c r="F4380" i="8"/>
  <c r="F4379" i="8"/>
  <c r="F4378" i="8"/>
  <c r="F4377" i="8"/>
  <c r="F4376" i="8"/>
  <c r="F4375" i="8"/>
  <c r="F4374" i="8"/>
  <c r="F4373" i="8"/>
  <c r="F4372" i="8"/>
  <c r="F4371" i="8"/>
  <c r="F4370" i="8"/>
  <c r="F4369" i="8"/>
  <c r="F4368" i="8"/>
  <c r="F4367" i="8"/>
  <c r="F4366" i="8"/>
  <c r="F4365" i="8"/>
  <c r="F4364" i="8"/>
  <c r="F4363" i="8"/>
  <c r="F4362" i="8"/>
  <c r="F4361" i="8"/>
  <c r="F4360" i="8"/>
  <c r="F4359" i="8"/>
  <c r="F4358" i="8"/>
  <c r="F4357" i="8"/>
  <c r="F4356" i="8"/>
  <c r="F4355" i="8"/>
  <c r="F4354" i="8"/>
  <c r="F4353" i="8"/>
  <c r="F4352" i="8"/>
  <c r="F4351" i="8"/>
  <c r="F4350" i="8"/>
  <c r="F4349" i="8"/>
  <c r="F4348" i="8"/>
  <c r="F4347" i="8"/>
  <c r="F4346" i="8"/>
  <c r="F4345" i="8"/>
  <c r="F4344" i="8"/>
  <c r="F4343" i="8"/>
  <c r="F4342" i="8"/>
  <c r="F4341" i="8"/>
  <c r="F4340" i="8"/>
  <c r="F4339" i="8"/>
  <c r="F4338" i="8"/>
  <c r="F4337" i="8"/>
  <c r="F4336" i="8"/>
  <c r="F4335" i="8"/>
  <c r="F4334" i="8"/>
  <c r="F4333" i="8"/>
  <c r="F4332" i="8"/>
  <c r="F4331" i="8"/>
  <c r="F4330" i="8"/>
  <c r="F4329" i="8"/>
  <c r="F4328" i="8"/>
  <c r="F4327" i="8"/>
  <c r="F4326" i="8"/>
  <c r="F4325" i="8"/>
  <c r="F4324" i="8"/>
  <c r="F4323" i="8"/>
  <c r="F4322" i="8"/>
  <c r="F4321" i="8"/>
  <c r="F4320" i="8"/>
  <c r="F4319" i="8"/>
  <c r="F4318" i="8"/>
  <c r="F4317" i="8"/>
  <c r="F4316" i="8"/>
  <c r="F4315" i="8"/>
  <c r="F4314" i="8"/>
  <c r="F4313" i="8"/>
  <c r="F4312" i="8"/>
  <c r="F4311" i="8"/>
  <c r="F4310" i="8"/>
  <c r="F4309" i="8"/>
  <c r="F4308" i="8"/>
  <c r="F4307" i="8"/>
  <c r="F4306" i="8"/>
  <c r="F4305" i="8"/>
  <c r="F4304" i="8"/>
  <c r="F4303" i="8"/>
  <c r="F4302" i="8"/>
  <c r="F4301" i="8"/>
  <c r="F4300" i="8"/>
  <c r="F4299" i="8"/>
  <c r="F4298" i="8"/>
  <c r="F4297" i="8"/>
  <c r="F4296" i="8"/>
  <c r="F4295" i="8"/>
  <c r="F4294" i="8"/>
  <c r="F4293" i="8"/>
  <c r="F4292" i="8"/>
  <c r="F4291" i="8"/>
  <c r="F4290" i="8"/>
  <c r="F4289" i="8"/>
  <c r="F4288" i="8"/>
  <c r="F4287" i="8"/>
  <c r="F4286" i="8"/>
  <c r="F4285" i="8"/>
  <c r="F4284" i="8"/>
  <c r="F4283" i="8"/>
  <c r="F4282" i="8"/>
  <c r="F4281" i="8"/>
  <c r="F4280" i="8"/>
  <c r="F4279" i="8"/>
  <c r="F4278" i="8"/>
  <c r="F4277" i="8"/>
  <c r="F4276" i="8"/>
  <c r="F4275" i="8"/>
  <c r="F4274" i="8"/>
  <c r="F4273" i="8"/>
  <c r="F4272" i="8"/>
  <c r="F4271" i="8"/>
  <c r="F4270" i="8"/>
  <c r="F4269" i="8"/>
  <c r="F4268" i="8"/>
  <c r="F4267" i="8"/>
  <c r="F4266" i="8"/>
  <c r="F4265" i="8"/>
  <c r="F4264" i="8"/>
  <c r="F4263" i="8"/>
  <c r="F4262" i="8"/>
  <c r="F4261" i="8"/>
  <c r="F4260" i="8"/>
  <c r="F4259" i="8"/>
  <c r="F4258" i="8"/>
  <c r="F4257" i="8"/>
  <c r="F4256" i="8"/>
  <c r="F4255" i="8"/>
  <c r="F4254" i="8"/>
  <c r="F4253" i="8"/>
  <c r="F4252" i="8"/>
  <c r="F4251" i="8"/>
  <c r="F4250" i="8"/>
  <c r="F4249" i="8"/>
  <c r="F4248" i="8"/>
  <c r="F4247" i="8"/>
  <c r="F4246" i="8"/>
  <c r="F4245" i="8"/>
  <c r="F4244" i="8"/>
  <c r="F4243" i="8"/>
  <c r="F4242" i="8"/>
  <c r="F4241" i="8"/>
  <c r="F4240" i="8"/>
  <c r="F4239" i="8"/>
  <c r="F4238" i="8"/>
  <c r="F4237" i="8"/>
  <c r="F4236" i="8"/>
  <c r="F4235" i="8"/>
  <c r="F4234" i="8"/>
  <c r="F4233" i="8"/>
  <c r="F4232" i="8"/>
  <c r="F4231" i="8"/>
  <c r="F4230" i="8"/>
  <c r="F4229" i="8"/>
  <c r="F4228" i="8"/>
  <c r="F4227" i="8"/>
  <c r="F4226" i="8"/>
  <c r="F4225" i="8"/>
  <c r="F4224" i="8"/>
  <c r="F4223" i="8"/>
  <c r="F4222" i="8"/>
  <c r="F4221" i="8"/>
  <c r="F4220" i="8"/>
  <c r="F4219" i="8"/>
  <c r="F4218" i="8"/>
  <c r="F4217" i="8"/>
  <c r="F4216" i="8"/>
  <c r="F4215" i="8"/>
  <c r="F4214" i="8"/>
  <c r="F4213" i="8"/>
  <c r="F4212" i="8"/>
  <c r="F4211" i="8"/>
  <c r="F4210" i="8"/>
  <c r="F4209" i="8"/>
  <c r="F4208" i="8"/>
  <c r="F4207" i="8"/>
  <c r="F4206" i="8"/>
  <c r="F4205" i="8"/>
  <c r="F4204" i="8"/>
  <c r="F4203" i="8"/>
  <c r="F4202" i="8"/>
  <c r="F4201" i="8"/>
  <c r="F4200" i="8"/>
  <c r="F4199" i="8"/>
  <c r="F4198" i="8"/>
  <c r="F4197" i="8"/>
  <c r="F4196" i="8"/>
  <c r="F4195" i="8"/>
  <c r="F4194" i="8"/>
  <c r="F4193" i="8"/>
  <c r="F4192" i="8"/>
  <c r="F4191" i="8"/>
  <c r="F4190" i="8"/>
  <c r="F4189" i="8"/>
  <c r="F4188" i="8"/>
  <c r="F4187" i="8"/>
  <c r="F4186" i="8"/>
  <c r="F4185" i="8"/>
  <c r="F4184" i="8"/>
  <c r="F4183" i="8"/>
  <c r="F4182" i="8"/>
  <c r="F4181" i="8"/>
  <c r="F4180" i="8"/>
  <c r="F4179" i="8"/>
  <c r="F4178" i="8"/>
  <c r="F4177" i="8"/>
  <c r="F4176" i="8"/>
  <c r="F4175" i="8"/>
  <c r="F4174" i="8"/>
  <c r="F4173" i="8"/>
  <c r="F4172" i="8"/>
  <c r="F4171" i="8"/>
  <c r="F4170" i="8"/>
  <c r="F4169" i="8"/>
  <c r="F4168" i="8"/>
  <c r="F4167" i="8"/>
  <c r="F4166" i="8"/>
  <c r="F4165" i="8"/>
  <c r="F4164" i="8"/>
  <c r="F4163" i="8"/>
  <c r="F4162" i="8"/>
  <c r="F4161" i="8"/>
  <c r="F4160" i="8"/>
  <c r="F4159" i="8"/>
  <c r="F4158" i="8"/>
  <c r="F4157" i="8"/>
  <c r="F4156" i="8"/>
  <c r="F4155" i="8"/>
  <c r="F4154" i="8"/>
  <c r="F4153" i="8"/>
  <c r="F4152" i="8"/>
  <c r="F4151" i="8"/>
  <c r="F4150" i="8"/>
  <c r="F4149" i="8"/>
  <c r="F4148" i="8"/>
  <c r="F4147" i="8"/>
  <c r="F4146" i="8"/>
  <c r="F4145" i="8"/>
  <c r="F4144" i="8"/>
  <c r="F4143" i="8"/>
  <c r="F4142" i="8"/>
  <c r="F4141" i="8"/>
  <c r="F4140" i="8"/>
  <c r="F4139" i="8"/>
  <c r="F4138" i="8"/>
  <c r="F4137" i="8"/>
  <c r="F4136" i="8"/>
  <c r="F4135" i="8"/>
  <c r="F4134" i="8"/>
  <c r="F4133" i="8"/>
  <c r="F4132" i="8"/>
  <c r="F4131" i="8"/>
  <c r="F4130" i="8"/>
  <c r="F4129" i="8"/>
  <c r="F4128" i="8"/>
  <c r="F4127" i="8"/>
  <c r="F4126" i="8"/>
  <c r="F4125" i="8"/>
  <c r="F4124" i="8"/>
  <c r="F4123" i="8"/>
  <c r="F4122" i="8"/>
  <c r="F4121" i="8"/>
  <c r="F4120" i="8"/>
  <c r="F4119" i="8"/>
  <c r="F4118" i="8"/>
  <c r="F4117" i="8"/>
  <c r="F4116" i="8"/>
  <c r="F4115" i="8"/>
  <c r="F4114" i="8"/>
  <c r="F4113" i="8"/>
  <c r="F4112" i="8"/>
  <c r="F4111" i="8"/>
  <c r="F4110" i="8"/>
  <c r="F4109" i="8"/>
  <c r="F4108" i="8"/>
  <c r="F4107" i="8"/>
  <c r="F4106" i="8"/>
  <c r="F4105" i="8"/>
  <c r="F4104" i="8"/>
  <c r="F4103" i="8"/>
  <c r="F4102" i="8"/>
  <c r="F4101" i="8"/>
  <c r="F4100" i="8"/>
  <c r="F4099" i="8"/>
  <c r="F4098" i="8"/>
  <c r="F4097" i="8"/>
  <c r="F4096" i="8"/>
  <c r="F4095" i="8"/>
  <c r="F4094" i="8"/>
  <c r="F4093" i="8"/>
  <c r="F4092" i="8"/>
  <c r="F4091" i="8"/>
  <c r="F4090" i="8"/>
  <c r="F4089" i="8"/>
  <c r="F4088" i="8"/>
  <c r="F4087" i="8"/>
  <c r="F4086" i="8"/>
  <c r="F4085" i="8"/>
  <c r="F4084" i="8"/>
  <c r="F4083" i="8"/>
  <c r="F4082" i="8"/>
  <c r="F4081" i="8"/>
  <c r="F4080" i="8"/>
  <c r="F4079" i="8"/>
  <c r="F4078" i="8"/>
  <c r="F4077" i="8"/>
  <c r="F4076" i="8"/>
  <c r="F4075" i="8"/>
  <c r="F4074" i="8"/>
  <c r="F4073" i="8"/>
  <c r="F4072" i="8"/>
  <c r="F4071" i="8"/>
  <c r="F4070" i="8"/>
  <c r="F4069" i="8"/>
  <c r="F4068" i="8"/>
  <c r="F4067" i="8"/>
  <c r="F4066" i="8"/>
  <c r="F4065" i="8"/>
  <c r="F4064" i="8"/>
  <c r="F4063" i="8"/>
  <c r="F4062" i="8"/>
  <c r="F4061" i="8"/>
  <c r="F4060" i="8"/>
  <c r="F4059" i="8"/>
  <c r="F4058" i="8"/>
  <c r="F4057" i="8"/>
  <c r="F4056" i="8"/>
  <c r="F4055" i="8"/>
  <c r="F4054" i="8"/>
  <c r="F4053" i="8"/>
  <c r="F4052" i="8"/>
  <c r="F4051" i="8"/>
  <c r="F4050" i="8"/>
  <c r="F4049" i="8"/>
  <c r="F4048" i="8"/>
  <c r="F4047" i="8"/>
  <c r="F4046" i="8"/>
  <c r="F4045" i="8"/>
  <c r="F4044" i="8"/>
  <c r="F4043" i="8"/>
  <c r="F4042" i="8"/>
  <c r="F4041" i="8"/>
  <c r="F4040" i="8"/>
  <c r="F4039" i="8"/>
  <c r="F4038" i="8"/>
  <c r="F4037" i="8"/>
  <c r="F4036" i="8"/>
  <c r="F4035" i="8"/>
  <c r="F4034" i="8"/>
  <c r="F4033" i="8"/>
  <c r="F4032" i="8"/>
  <c r="F4031" i="8"/>
  <c r="F4030" i="8"/>
  <c r="F4029" i="8"/>
  <c r="F4028" i="8"/>
  <c r="F4027" i="8"/>
  <c r="F4026" i="8"/>
  <c r="F4025" i="8"/>
  <c r="F4024" i="8"/>
  <c r="F4023" i="8"/>
  <c r="F4022" i="8"/>
  <c r="F4021" i="8"/>
  <c r="F4020" i="8"/>
  <c r="F4019" i="8"/>
  <c r="F4018" i="8"/>
  <c r="F4017" i="8"/>
  <c r="F4016" i="8"/>
  <c r="F4015" i="8"/>
  <c r="F4014" i="8"/>
  <c r="F4013" i="8"/>
  <c r="F4012" i="8"/>
  <c r="F4011" i="8"/>
  <c r="F4010" i="8"/>
  <c r="F4009" i="8"/>
  <c r="F4008" i="8"/>
  <c r="F4007" i="8"/>
  <c r="F4006" i="8"/>
  <c r="F4005" i="8"/>
  <c r="F4004" i="8"/>
  <c r="F4003" i="8"/>
  <c r="F4002" i="8"/>
  <c r="F4001" i="8"/>
  <c r="F4000" i="8"/>
  <c r="F3999" i="8"/>
  <c r="F3998" i="8"/>
  <c r="F3997" i="8"/>
  <c r="F3996" i="8"/>
  <c r="F3995" i="8"/>
  <c r="F3994" i="8"/>
  <c r="F3993" i="8"/>
  <c r="F3992" i="8"/>
  <c r="F3991" i="8"/>
  <c r="F3990" i="8"/>
  <c r="F3989" i="8"/>
  <c r="F3988" i="8"/>
  <c r="F3987" i="8"/>
  <c r="F3986" i="8"/>
  <c r="F3985" i="8"/>
  <c r="F3984" i="8"/>
  <c r="F3983" i="8"/>
  <c r="F3982" i="8"/>
  <c r="F3981" i="8"/>
  <c r="F3980" i="8"/>
  <c r="F3979" i="8"/>
  <c r="F3978" i="8"/>
  <c r="F3977" i="8"/>
  <c r="F3976" i="8"/>
  <c r="F3975" i="8"/>
  <c r="F3974" i="8"/>
  <c r="F3973" i="8"/>
  <c r="F3972" i="8"/>
  <c r="F3971" i="8"/>
  <c r="F3970" i="8"/>
  <c r="F3969" i="8"/>
  <c r="F3968" i="8"/>
  <c r="F3967" i="8"/>
  <c r="F3966" i="8"/>
  <c r="F3965" i="8"/>
  <c r="F3964" i="8"/>
  <c r="F3963" i="8"/>
  <c r="F3962" i="8"/>
  <c r="F3961" i="8"/>
  <c r="F3960" i="8"/>
  <c r="F3959" i="8"/>
  <c r="F3958" i="8"/>
  <c r="F3957" i="8"/>
  <c r="F3956" i="8"/>
  <c r="F3955" i="8"/>
  <c r="F3954" i="8"/>
  <c r="F3953" i="8"/>
  <c r="F3952" i="8"/>
  <c r="F3951" i="8"/>
  <c r="F3950" i="8"/>
  <c r="F3949" i="8"/>
  <c r="F3948" i="8"/>
  <c r="F3947" i="8"/>
  <c r="F3946" i="8"/>
  <c r="F3945" i="8"/>
  <c r="F3944" i="8"/>
  <c r="F3943" i="8"/>
  <c r="F3942" i="8"/>
  <c r="F3941" i="8"/>
  <c r="F3940" i="8"/>
  <c r="F3939" i="8"/>
  <c r="F3938" i="8"/>
  <c r="F3937" i="8"/>
  <c r="F3936" i="8"/>
  <c r="F3935" i="8"/>
  <c r="F3934" i="8"/>
  <c r="F3933" i="8"/>
  <c r="F3932" i="8"/>
  <c r="F3931" i="8"/>
  <c r="F3930" i="8"/>
  <c r="F3929" i="8"/>
  <c r="F3928" i="8"/>
  <c r="F3927" i="8"/>
  <c r="F3926" i="8"/>
  <c r="F3925" i="8"/>
  <c r="F3924" i="8"/>
  <c r="F3923" i="8"/>
  <c r="F3922" i="8"/>
  <c r="F3921" i="8"/>
  <c r="F3920" i="8"/>
  <c r="F3919" i="8"/>
  <c r="F3918" i="8"/>
  <c r="F3917" i="8"/>
  <c r="F3916" i="8"/>
  <c r="F3915" i="8"/>
  <c r="F3914" i="8"/>
  <c r="F3913" i="8"/>
  <c r="F3912" i="8"/>
  <c r="F3911" i="8"/>
  <c r="F3910" i="8"/>
  <c r="F3909" i="8"/>
  <c r="F3908" i="8"/>
  <c r="F3907" i="8"/>
  <c r="F3906" i="8"/>
  <c r="F3905" i="8"/>
  <c r="F3904" i="8"/>
  <c r="F3903" i="8"/>
  <c r="F3902" i="8"/>
  <c r="F3901" i="8"/>
  <c r="F3900" i="8"/>
  <c r="F3899" i="8"/>
  <c r="F3898" i="8"/>
  <c r="F3897" i="8"/>
  <c r="F3896" i="8"/>
  <c r="F3895" i="8"/>
  <c r="F3894" i="8"/>
  <c r="F3893" i="8"/>
  <c r="F3892" i="8"/>
  <c r="F3891" i="8"/>
  <c r="F3890" i="8"/>
  <c r="F3889" i="8"/>
  <c r="F3888" i="8"/>
  <c r="F3887" i="8"/>
  <c r="F3886" i="8"/>
  <c r="F3885" i="8"/>
  <c r="F3884" i="8"/>
  <c r="F3883" i="8"/>
  <c r="F3882" i="8"/>
  <c r="F3881" i="8"/>
  <c r="F3880" i="8"/>
  <c r="F3879" i="8"/>
  <c r="F3878" i="8"/>
  <c r="F3877" i="8"/>
  <c r="F3876" i="8"/>
  <c r="F3875" i="8"/>
  <c r="F3874" i="8"/>
  <c r="F3873" i="8"/>
  <c r="F3872" i="8"/>
  <c r="F3871" i="8"/>
  <c r="F3870" i="8"/>
  <c r="F3869" i="8"/>
  <c r="F3868" i="8"/>
  <c r="F3867" i="8"/>
  <c r="F3866" i="8"/>
  <c r="F3865" i="8"/>
  <c r="F3864" i="8"/>
  <c r="F3863" i="8"/>
  <c r="F3862" i="8"/>
  <c r="F3861" i="8"/>
  <c r="F3860" i="8"/>
  <c r="F3859" i="8"/>
  <c r="F3858" i="8"/>
  <c r="F3857" i="8"/>
  <c r="F3856" i="8"/>
  <c r="F3855" i="8"/>
  <c r="F3854" i="8"/>
  <c r="F3853" i="8"/>
  <c r="F3852" i="8"/>
  <c r="F3851" i="8"/>
  <c r="F3850" i="8"/>
  <c r="F3849" i="8"/>
  <c r="F3848" i="8"/>
  <c r="F3847" i="8"/>
  <c r="F3846" i="8"/>
  <c r="F3845" i="8"/>
  <c r="F3844" i="8"/>
  <c r="F3843" i="8"/>
  <c r="F3842" i="8"/>
  <c r="F3841" i="8"/>
  <c r="F3840" i="8"/>
  <c r="F3839" i="8"/>
  <c r="F3838" i="8"/>
  <c r="F3837" i="8"/>
  <c r="F3836" i="8"/>
  <c r="F3835" i="8"/>
  <c r="F3834" i="8"/>
  <c r="F3833" i="8"/>
  <c r="F3832" i="8"/>
  <c r="F3831" i="8"/>
  <c r="F3830" i="8"/>
  <c r="F3829" i="8"/>
  <c r="F3828" i="8"/>
  <c r="F3827" i="8"/>
  <c r="F3826" i="8"/>
  <c r="F3825" i="8"/>
  <c r="F3824" i="8"/>
  <c r="F3823" i="8"/>
  <c r="F3822" i="8"/>
  <c r="F3821" i="8"/>
  <c r="F3820" i="8"/>
  <c r="F3819" i="8"/>
  <c r="F3818" i="8"/>
  <c r="F3817" i="8"/>
  <c r="F3816" i="8"/>
  <c r="F3815" i="8"/>
  <c r="F3814" i="8"/>
  <c r="F3813" i="8"/>
  <c r="F3812" i="8"/>
  <c r="F3811" i="8"/>
  <c r="F3810" i="8"/>
  <c r="F3809" i="8"/>
  <c r="F3808" i="8"/>
  <c r="F3807" i="8"/>
  <c r="F3806" i="8"/>
  <c r="F3805" i="8"/>
  <c r="F3804" i="8"/>
  <c r="F3803" i="8"/>
  <c r="F3802" i="8"/>
  <c r="F3801" i="8"/>
  <c r="F3800" i="8"/>
  <c r="F3799" i="8"/>
  <c r="F3798" i="8"/>
  <c r="F3797" i="8"/>
  <c r="F3796" i="8"/>
  <c r="F3795" i="8"/>
  <c r="F3794" i="8"/>
  <c r="F3793" i="8"/>
  <c r="F3792" i="8"/>
  <c r="F3791" i="8"/>
  <c r="F3790" i="8"/>
  <c r="F3789" i="8"/>
  <c r="F3788" i="8"/>
  <c r="F3787" i="8"/>
  <c r="F3786" i="8"/>
  <c r="F3785" i="8"/>
  <c r="F3784" i="8"/>
  <c r="F3783" i="8"/>
  <c r="F3782" i="8"/>
  <c r="F3781" i="8"/>
  <c r="F3780" i="8"/>
  <c r="F3779" i="8"/>
  <c r="F3778" i="8"/>
  <c r="F3777" i="8"/>
  <c r="F3776" i="8"/>
  <c r="F3775" i="8"/>
  <c r="F3774" i="8"/>
  <c r="F3773" i="8"/>
  <c r="F3772" i="8"/>
  <c r="F3771" i="8"/>
  <c r="F3770" i="8"/>
  <c r="F3769" i="8"/>
  <c r="F3768" i="8"/>
  <c r="F3767" i="8"/>
  <c r="F3766" i="8"/>
  <c r="F3765" i="8"/>
  <c r="F3764" i="8"/>
  <c r="F3763" i="8"/>
  <c r="F3762" i="8"/>
  <c r="F3761" i="8"/>
  <c r="F3760" i="8"/>
  <c r="F3759" i="8"/>
  <c r="F3758" i="8"/>
  <c r="F3757" i="8"/>
  <c r="F3756" i="8"/>
  <c r="F3755" i="8"/>
  <c r="F3754" i="8"/>
  <c r="F3753" i="8"/>
  <c r="F3752" i="8"/>
  <c r="F3751" i="8"/>
  <c r="F3750" i="8"/>
  <c r="F3749" i="8"/>
  <c r="F3748" i="8"/>
  <c r="F3747" i="8"/>
  <c r="F3746" i="8"/>
  <c r="F3745" i="8"/>
  <c r="F3744" i="8"/>
  <c r="F3743" i="8"/>
  <c r="F3742" i="8"/>
  <c r="F3741" i="8"/>
  <c r="F3740" i="8"/>
  <c r="F3739" i="8"/>
  <c r="F3738" i="8"/>
  <c r="F3737" i="8"/>
  <c r="F3736" i="8"/>
  <c r="F3735" i="8"/>
  <c r="F3734" i="8"/>
  <c r="F3733" i="8"/>
  <c r="F3732" i="8"/>
  <c r="F3731" i="8"/>
  <c r="F3730" i="8"/>
  <c r="F3729" i="8"/>
  <c r="F3728" i="8"/>
  <c r="F3727" i="8"/>
  <c r="F3726" i="8"/>
  <c r="F3725" i="8"/>
  <c r="F3724" i="8"/>
  <c r="F3723" i="8"/>
  <c r="F3722" i="8"/>
  <c r="F3721" i="8"/>
  <c r="F3720" i="8"/>
  <c r="F3719" i="8"/>
  <c r="F3718" i="8"/>
  <c r="F3717" i="8"/>
  <c r="F3716" i="8"/>
  <c r="F3715" i="8"/>
  <c r="F3714" i="8"/>
  <c r="F3713" i="8"/>
  <c r="F3712" i="8"/>
  <c r="F3711" i="8"/>
  <c r="F3710" i="8"/>
  <c r="F3709" i="8"/>
  <c r="F3708" i="8"/>
  <c r="F3707" i="8"/>
  <c r="F3706" i="8"/>
  <c r="F3705" i="8"/>
  <c r="F3704" i="8"/>
  <c r="F3703" i="8"/>
  <c r="F3702" i="8"/>
  <c r="F3701" i="8"/>
  <c r="F3700" i="8"/>
  <c r="F3699" i="8"/>
  <c r="F3698" i="8"/>
  <c r="F3697" i="8"/>
  <c r="F3696" i="8"/>
  <c r="F3695" i="8"/>
  <c r="F3694" i="8"/>
  <c r="F3693" i="8"/>
  <c r="F3692" i="8"/>
  <c r="F3691" i="8"/>
  <c r="F3690" i="8"/>
  <c r="F3689" i="8"/>
  <c r="F3688" i="8"/>
  <c r="F3687" i="8"/>
  <c r="F3686" i="8"/>
  <c r="F3685" i="8"/>
  <c r="F3684" i="8"/>
  <c r="F3683" i="8"/>
  <c r="F3682" i="8"/>
  <c r="F3681" i="8"/>
  <c r="F3680" i="8"/>
  <c r="F3679" i="8"/>
  <c r="F3678" i="8"/>
  <c r="F3677" i="8"/>
  <c r="F3676" i="8"/>
  <c r="F3675" i="8"/>
  <c r="F3674" i="8"/>
  <c r="F3673" i="8"/>
  <c r="F3672" i="8"/>
  <c r="F3671" i="8"/>
  <c r="F3670" i="8"/>
  <c r="F3669" i="8"/>
  <c r="F3668" i="8"/>
  <c r="F3667" i="8"/>
  <c r="F3666" i="8"/>
  <c r="F3665" i="8"/>
  <c r="F3664" i="8"/>
  <c r="F3663" i="8"/>
  <c r="F3662" i="8"/>
  <c r="F3661" i="8"/>
  <c r="F3660" i="8"/>
  <c r="F3659" i="8"/>
  <c r="F3658" i="8"/>
  <c r="F3657" i="8"/>
  <c r="F3656" i="8"/>
  <c r="F3655" i="8"/>
  <c r="F3654" i="8"/>
  <c r="F3653" i="8"/>
  <c r="F3652" i="8"/>
  <c r="F3651" i="8"/>
  <c r="F3650" i="8"/>
  <c r="F3649" i="8"/>
  <c r="F3648" i="8"/>
  <c r="F3647" i="8"/>
  <c r="F3646" i="8"/>
  <c r="F3645" i="8"/>
  <c r="F3644" i="8"/>
  <c r="F3643" i="8"/>
  <c r="F3642" i="8"/>
  <c r="F3641" i="8"/>
  <c r="F3640" i="8"/>
  <c r="F3639" i="8"/>
  <c r="F3638" i="8"/>
  <c r="F3637" i="8"/>
  <c r="F3636" i="8"/>
  <c r="F3635" i="8"/>
  <c r="F3634" i="8"/>
  <c r="F3633" i="8"/>
  <c r="F3632" i="8"/>
  <c r="F3631" i="8"/>
  <c r="F3630" i="8"/>
  <c r="F3629" i="8"/>
  <c r="F3628" i="8"/>
  <c r="F3627" i="8"/>
  <c r="F3626" i="8"/>
  <c r="F3625" i="8"/>
  <c r="F3624" i="8"/>
  <c r="F3623" i="8"/>
  <c r="F3622" i="8"/>
  <c r="F3621" i="8"/>
  <c r="F3620" i="8"/>
  <c r="F3619" i="8"/>
  <c r="F3618" i="8"/>
  <c r="F3617" i="8"/>
  <c r="F3616" i="8"/>
  <c r="F3615" i="8"/>
  <c r="F3614" i="8"/>
  <c r="F3613" i="8"/>
  <c r="F3612" i="8"/>
  <c r="F3611" i="8"/>
  <c r="F3610" i="8"/>
  <c r="F3609" i="8"/>
  <c r="F3608" i="8"/>
  <c r="F3607" i="8"/>
  <c r="F3606" i="8"/>
  <c r="F3605" i="8"/>
  <c r="F3604" i="8"/>
  <c r="F3603" i="8"/>
  <c r="F3602" i="8"/>
  <c r="F3601" i="8"/>
  <c r="F3600" i="8"/>
  <c r="F3599" i="8"/>
  <c r="F3598" i="8"/>
  <c r="F3597" i="8"/>
  <c r="F3596" i="8"/>
  <c r="F3595" i="8"/>
  <c r="F3594" i="8"/>
  <c r="F3593" i="8"/>
  <c r="F3592" i="8"/>
  <c r="F3591" i="8"/>
  <c r="F3590" i="8"/>
  <c r="F3589" i="8"/>
  <c r="F3588" i="8"/>
  <c r="F3587" i="8"/>
  <c r="F3586" i="8"/>
  <c r="F3585" i="8"/>
  <c r="F3584" i="8"/>
  <c r="F3583" i="8"/>
  <c r="F3582" i="8"/>
  <c r="F3581" i="8"/>
  <c r="F3580" i="8"/>
  <c r="F3579" i="8"/>
  <c r="F3578" i="8"/>
  <c r="F3577" i="8"/>
  <c r="F3576" i="8"/>
  <c r="F3575" i="8"/>
  <c r="F3574" i="8"/>
  <c r="F3573" i="8"/>
  <c r="F3572" i="8"/>
  <c r="F3571" i="8"/>
  <c r="F3570" i="8"/>
  <c r="F3569" i="8"/>
  <c r="F3568" i="8"/>
  <c r="F3567" i="8"/>
  <c r="F3566" i="8"/>
  <c r="F3565" i="8"/>
  <c r="F3564" i="8"/>
  <c r="F3563" i="8"/>
  <c r="F3562" i="8"/>
  <c r="F3561" i="8"/>
  <c r="F3560" i="8"/>
  <c r="F3559" i="8"/>
  <c r="F3558" i="8"/>
  <c r="F3557" i="8"/>
  <c r="F3556" i="8"/>
  <c r="F3555" i="8"/>
  <c r="F3554" i="8"/>
  <c r="F3553" i="8"/>
  <c r="F3552" i="8"/>
  <c r="F3551" i="8"/>
  <c r="F3550" i="8"/>
  <c r="F3549" i="8"/>
  <c r="F3548" i="8"/>
  <c r="F3547" i="8"/>
  <c r="F3546" i="8"/>
  <c r="F3545" i="8"/>
  <c r="F3544" i="8"/>
  <c r="F3543" i="8"/>
  <c r="F3542" i="8"/>
  <c r="F3541" i="8"/>
  <c r="F3540" i="8"/>
  <c r="F3539" i="8"/>
  <c r="F3538" i="8"/>
  <c r="F3537" i="8"/>
  <c r="F3536" i="8"/>
  <c r="F3535" i="8"/>
  <c r="F3534" i="8"/>
  <c r="F3533" i="8"/>
  <c r="F3532" i="8"/>
  <c r="F3531" i="8"/>
  <c r="F3530" i="8"/>
  <c r="F3529" i="8"/>
  <c r="F3528" i="8"/>
  <c r="F3527" i="8"/>
  <c r="F3526" i="8"/>
  <c r="F3525" i="8"/>
  <c r="F3524" i="8"/>
  <c r="F3523" i="8"/>
  <c r="F3522" i="8"/>
  <c r="F3521" i="8"/>
  <c r="F3520" i="8"/>
  <c r="F3519" i="8"/>
  <c r="F3518" i="8"/>
  <c r="F3517" i="8"/>
  <c r="F3516" i="8"/>
  <c r="F3515" i="8"/>
  <c r="F3514" i="8"/>
  <c r="F3513" i="8"/>
  <c r="F3512" i="8"/>
  <c r="F3511" i="8"/>
  <c r="F3510" i="8"/>
  <c r="F3509" i="8"/>
  <c r="F3508" i="8"/>
  <c r="F3507" i="8"/>
  <c r="F3506" i="8"/>
  <c r="F3505" i="8"/>
  <c r="F3504" i="8"/>
  <c r="F3503" i="8"/>
  <c r="F3502" i="8"/>
  <c r="F3501" i="8"/>
  <c r="F3500" i="8"/>
  <c r="F3499" i="8"/>
  <c r="F3498" i="8"/>
  <c r="F3497" i="8"/>
  <c r="F3496" i="8"/>
  <c r="F3495" i="8"/>
  <c r="F3494" i="8"/>
  <c r="F3493" i="8"/>
  <c r="F3492" i="8"/>
  <c r="F3491" i="8"/>
  <c r="F3490" i="8"/>
  <c r="F3489" i="8"/>
  <c r="F3488" i="8"/>
  <c r="F3487" i="8"/>
  <c r="F3486" i="8"/>
  <c r="F3485" i="8"/>
  <c r="F3484" i="8"/>
  <c r="F3483" i="8"/>
  <c r="F3482" i="8"/>
  <c r="F3481" i="8"/>
  <c r="F3480" i="8"/>
  <c r="F3479" i="8"/>
  <c r="F3478" i="8"/>
  <c r="F3477" i="8"/>
  <c r="F3476" i="8"/>
  <c r="F3475" i="8"/>
  <c r="F3474" i="8"/>
  <c r="F3473" i="8"/>
  <c r="F3472" i="8"/>
  <c r="F3471" i="8"/>
  <c r="F3470" i="8"/>
  <c r="F3469" i="8"/>
  <c r="F3468" i="8"/>
  <c r="F3467" i="8"/>
  <c r="F3466" i="8"/>
  <c r="F3465" i="8"/>
  <c r="F3464" i="8"/>
  <c r="F3463" i="8"/>
  <c r="F3462" i="8"/>
  <c r="F3461" i="8"/>
  <c r="F3460" i="8"/>
  <c r="F3459" i="8"/>
  <c r="F3458" i="8"/>
  <c r="F3457" i="8"/>
  <c r="F3456" i="8"/>
  <c r="F3455" i="8"/>
  <c r="F3454" i="8"/>
  <c r="F3453" i="8"/>
  <c r="F3452" i="8"/>
  <c r="F3451" i="8"/>
  <c r="F3450" i="8"/>
  <c r="F3449" i="8"/>
  <c r="F3448" i="8"/>
  <c r="F3447" i="8"/>
  <c r="F3446" i="8"/>
  <c r="F3445" i="8"/>
  <c r="F3444" i="8"/>
  <c r="F3443" i="8"/>
  <c r="F3442" i="8"/>
  <c r="F3441" i="8"/>
  <c r="F3440" i="8"/>
  <c r="F3439" i="8"/>
  <c r="F3438" i="8"/>
  <c r="F3437" i="8"/>
  <c r="F3436" i="8"/>
  <c r="F3435" i="8"/>
  <c r="F3434" i="8"/>
  <c r="F3433" i="8"/>
  <c r="F3432" i="8"/>
  <c r="F3431" i="8"/>
  <c r="F3430" i="8"/>
  <c r="F3429" i="8"/>
  <c r="F3428" i="8"/>
  <c r="F3427" i="8"/>
  <c r="F3426" i="8"/>
  <c r="F3425" i="8"/>
  <c r="F3424" i="8"/>
  <c r="F3423" i="8"/>
  <c r="F3422" i="8"/>
  <c r="F3421" i="8"/>
  <c r="F3420" i="8"/>
  <c r="F3419" i="8"/>
  <c r="F3418" i="8"/>
  <c r="F3417" i="8"/>
  <c r="F3416" i="8"/>
  <c r="F3415" i="8"/>
  <c r="F3414" i="8"/>
  <c r="F3413" i="8"/>
  <c r="F3412" i="8"/>
  <c r="F3411" i="8"/>
  <c r="F3410" i="8"/>
  <c r="F3409" i="8"/>
  <c r="F3408" i="8"/>
  <c r="F3407" i="8"/>
  <c r="F3406" i="8"/>
  <c r="F3405" i="8"/>
  <c r="F3404" i="8"/>
  <c r="F3403" i="8"/>
  <c r="F3402" i="8"/>
  <c r="F3401" i="8"/>
  <c r="F3400" i="8"/>
  <c r="F3399" i="8"/>
  <c r="F3398" i="8"/>
  <c r="F3397" i="8"/>
  <c r="F3396" i="8"/>
  <c r="F3395" i="8"/>
  <c r="F3394" i="8"/>
  <c r="F3393" i="8"/>
  <c r="F3392" i="8"/>
  <c r="F3391" i="8"/>
  <c r="F3390" i="8"/>
  <c r="F3389" i="8"/>
  <c r="F3388" i="8"/>
  <c r="F3387" i="8"/>
  <c r="F3386" i="8"/>
  <c r="F3385" i="8"/>
  <c r="F3384" i="8"/>
  <c r="F3383" i="8"/>
  <c r="F3382" i="8"/>
  <c r="F3381" i="8"/>
  <c r="F3380" i="8"/>
  <c r="F3379" i="8"/>
  <c r="F3378" i="8"/>
  <c r="F3377" i="8"/>
  <c r="F3376" i="8"/>
  <c r="F3375" i="8"/>
  <c r="F3374" i="8"/>
  <c r="F3373" i="8"/>
  <c r="F3372" i="8"/>
  <c r="F3371" i="8"/>
  <c r="F3370" i="8"/>
  <c r="F3369" i="8"/>
  <c r="F3368" i="8"/>
  <c r="F3367" i="8"/>
  <c r="F3366" i="8"/>
  <c r="F3365" i="8"/>
  <c r="F3364" i="8"/>
  <c r="F3363" i="8"/>
  <c r="F3362" i="8"/>
  <c r="F3361" i="8"/>
  <c r="F3360" i="8"/>
  <c r="F3359" i="8"/>
  <c r="F3358" i="8"/>
  <c r="F3357" i="8"/>
  <c r="F3356" i="8"/>
  <c r="F3355" i="8"/>
  <c r="F3354" i="8"/>
  <c r="F3353" i="8"/>
  <c r="F3352" i="8"/>
  <c r="F3351" i="8"/>
  <c r="F3350" i="8"/>
  <c r="F3349" i="8"/>
  <c r="F3348" i="8"/>
  <c r="F3347" i="8"/>
  <c r="F3346" i="8"/>
  <c r="F3345" i="8"/>
  <c r="F3344" i="8"/>
  <c r="F3343" i="8"/>
  <c r="F3342" i="8"/>
  <c r="F3341" i="8"/>
  <c r="F3340" i="8"/>
  <c r="F3339" i="8"/>
  <c r="F3338" i="8"/>
  <c r="F3337" i="8"/>
  <c r="F3336" i="8"/>
  <c r="F3335" i="8"/>
  <c r="F3334" i="8"/>
  <c r="F3333" i="8"/>
  <c r="F3332" i="8"/>
  <c r="F3331" i="8"/>
  <c r="F3330" i="8"/>
  <c r="F3329" i="8"/>
  <c r="F3328" i="8"/>
  <c r="F3327" i="8"/>
  <c r="F3326" i="8"/>
  <c r="F3325" i="8"/>
  <c r="F3324" i="8"/>
  <c r="F3323" i="8"/>
  <c r="F3322" i="8"/>
  <c r="F3321" i="8"/>
  <c r="F3320" i="8"/>
  <c r="F3319" i="8"/>
  <c r="F3318" i="8"/>
  <c r="F3317" i="8"/>
  <c r="F3316" i="8"/>
  <c r="F3315" i="8"/>
  <c r="F3314" i="8"/>
  <c r="F3313" i="8"/>
  <c r="F3312" i="8"/>
  <c r="F3311" i="8"/>
  <c r="F3310" i="8"/>
  <c r="F3309" i="8"/>
  <c r="F3308" i="8"/>
  <c r="F3307" i="8"/>
  <c r="F3306" i="8"/>
  <c r="F3305" i="8"/>
  <c r="F3304" i="8"/>
  <c r="F3303" i="8"/>
  <c r="F3302" i="8"/>
  <c r="F3301" i="8"/>
  <c r="F3300" i="8"/>
  <c r="F3299" i="8"/>
  <c r="F3298" i="8"/>
  <c r="F3297" i="8"/>
  <c r="F3296" i="8"/>
  <c r="F3295" i="8"/>
  <c r="F3294" i="8"/>
  <c r="F3293" i="8"/>
  <c r="F3292" i="8"/>
  <c r="F3291" i="8"/>
  <c r="F3290" i="8"/>
  <c r="F3289" i="8"/>
  <c r="F3288" i="8"/>
  <c r="F3287" i="8"/>
  <c r="F3286" i="8"/>
  <c r="F3285" i="8"/>
  <c r="F3284" i="8"/>
  <c r="F3283" i="8"/>
  <c r="F3282" i="8"/>
  <c r="F3281" i="8"/>
  <c r="F3280" i="8"/>
  <c r="F3279" i="8"/>
  <c r="F3278" i="8"/>
  <c r="F3277" i="8"/>
  <c r="F3276" i="8"/>
  <c r="F3275" i="8"/>
  <c r="F3274" i="8"/>
  <c r="F3273" i="8"/>
  <c r="F3272" i="8"/>
  <c r="F3271" i="8"/>
  <c r="F3270" i="8"/>
  <c r="F3269" i="8"/>
  <c r="F3268" i="8"/>
  <c r="F3267" i="8"/>
  <c r="F3266" i="8"/>
  <c r="F3265" i="8"/>
  <c r="F3264" i="8"/>
  <c r="F3263" i="8"/>
  <c r="F3262" i="8"/>
  <c r="F3261" i="8"/>
  <c r="F3260" i="8"/>
  <c r="F3259" i="8"/>
  <c r="F3258" i="8"/>
  <c r="F3257" i="8"/>
  <c r="F3256" i="8"/>
  <c r="F3255" i="8"/>
  <c r="F3254" i="8"/>
  <c r="F3253" i="8"/>
  <c r="F3252" i="8"/>
  <c r="F3251" i="8"/>
  <c r="F3250" i="8"/>
  <c r="F3249" i="8"/>
  <c r="F3248" i="8"/>
  <c r="F3247" i="8"/>
  <c r="F3246" i="8"/>
  <c r="F3245" i="8"/>
  <c r="F3244" i="8"/>
  <c r="F3243" i="8"/>
  <c r="F3242" i="8"/>
  <c r="F3241" i="8"/>
  <c r="F3240" i="8"/>
  <c r="F3239" i="8"/>
  <c r="F3238" i="8"/>
  <c r="F3237" i="8"/>
  <c r="F3236" i="8"/>
  <c r="F3235" i="8"/>
  <c r="F3234" i="8"/>
  <c r="F3233" i="8"/>
  <c r="F3232" i="8"/>
  <c r="F3231" i="8"/>
  <c r="F3230" i="8"/>
  <c r="F3229" i="8"/>
  <c r="F3228" i="8"/>
  <c r="F3227" i="8"/>
  <c r="F3226" i="8"/>
  <c r="F3225" i="8"/>
  <c r="F3224" i="8"/>
  <c r="F3223" i="8"/>
  <c r="F3222" i="8"/>
  <c r="F3221" i="8"/>
  <c r="F3220" i="8"/>
  <c r="F3219" i="8"/>
  <c r="F3218" i="8"/>
  <c r="F3217" i="8"/>
  <c r="F3216" i="8"/>
  <c r="F3215" i="8"/>
  <c r="F3214" i="8"/>
  <c r="F3213" i="8"/>
  <c r="F3212" i="8"/>
  <c r="F3211" i="8"/>
  <c r="F3210" i="8"/>
  <c r="F3209" i="8"/>
  <c r="F3208" i="8"/>
  <c r="F3207" i="8"/>
  <c r="F3206" i="8"/>
  <c r="F3205" i="8"/>
  <c r="F3204" i="8"/>
  <c r="F3203" i="8"/>
  <c r="F3202" i="8"/>
  <c r="F3201" i="8"/>
  <c r="F3200" i="8"/>
  <c r="F3199" i="8"/>
  <c r="F3198" i="8"/>
  <c r="F3197" i="8"/>
  <c r="F3196" i="8"/>
  <c r="F3195" i="8"/>
  <c r="F3194" i="8"/>
  <c r="F3193" i="8"/>
  <c r="F3192" i="8"/>
  <c r="F3191" i="8"/>
  <c r="F3190" i="8"/>
  <c r="F3189" i="8"/>
  <c r="F3188" i="8"/>
  <c r="F3187" i="8"/>
  <c r="F3186" i="8"/>
  <c r="F3185" i="8"/>
  <c r="F3184" i="8"/>
  <c r="F3183" i="8"/>
  <c r="F3182" i="8"/>
  <c r="F3181" i="8"/>
  <c r="F3180" i="8"/>
  <c r="F3179" i="8"/>
  <c r="F3178" i="8"/>
  <c r="F3177" i="8"/>
  <c r="F3176" i="8"/>
  <c r="F3175" i="8"/>
  <c r="F3174" i="8"/>
  <c r="F3173" i="8"/>
  <c r="F3172" i="8"/>
  <c r="F3171" i="8"/>
  <c r="F3170" i="8"/>
  <c r="F3169" i="8"/>
  <c r="F3168" i="8"/>
  <c r="F3167" i="8"/>
  <c r="F3166" i="8"/>
  <c r="F3165" i="8"/>
  <c r="F3164" i="8"/>
  <c r="F3163" i="8"/>
  <c r="F3162" i="8"/>
  <c r="F3161" i="8"/>
  <c r="F3160" i="8"/>
  <c r="F3159" i="8"/>
  <c r="F3158" i="8"/>
  <c r="F3157" i="8"/>
  <c r="F3156" i="8"/>
  <c r="F3155" i="8"/>
  <c r="F3154" i="8"/>
  <c r="F3153" i="8"/>
  <c r="F3152" i="8"/>
  <c r="F3151" i="8"/>
  <c r="F3150" i="8"/>
  <c r="F3149" i="8"/>
  <c r="F3148" i="8"/>
  <c r="F3147" i="8"/>
  <c r="F3146" i="8"/>
  <c r="F3145" i="8"/>
  <c r="F3144" i="8"/>
  <c r="F3143" i="8"/>
  <c r="F3142" i="8"/>
  <c r="F3141" i="8"/>
  <c r="F3140" i="8"/>
  <c r="F3139" i="8"/>
  <c r="F3138" i="8"/>
  <c r="F3137" i="8"/>
  <c r="F3136" i="8"/>
  <c r="F3135" i="8"/>
  <c r="F3134" i="8"/>
  <c r="F3133" i="8"/>
  <c r="F3132" i="8"/>
  <c r="F3131" i="8"/>
  <c r="F3130" i="8"/>
  <c r="F3129" i="8"/>
  <c r="F3128" i="8"/>
  <c r="F3127" i="8"/>
  <c r="F3126" i="8"/>
  <c r="F3125" i="8"/>
  <c r="F3124" i="8"/>
  <c r="F3123" i="8"/>
  <c r="F3122" i="8"/>
  <c r="F3121" i="8"/>
  <c r="F3120" i="8"/>
  <c r="F3119" i="8"/>
  <c r="F3118" i="8"/>
  <c r="F3117" i="8"/>
  <c r="F3116" i="8"/>
  <c r="F3115" i="8"/>
  <c r="F3114" i="8"/>
  <c r="F3113" i="8"/>
  <c r="F3112" i="8"/>
  <c r="F3111" i="8"/>
  <c r="F3110" i="8"/>
  <c r="F3109" i="8"/>
  <c r="F3108" i="8"/>
  <c r="F3107" i="8"/>
  <c r="F3106" i="8"/>
  <c r="F3105" i="8"/>
  <c r="F3104" i="8"/>
  <c r="F3103" i="8"/>
  <c r="F3102" i="8"/>
  <c r="F3101" i="8"/>
  <c r="F3100" i="8"/>
  <c r="F3099" i="8"/>
  <c r="F3098" i="8"/>
  <c r="F3097" i="8"/>
  <c r="F3096" i="8"/>
  <c r="F3095" i="8"/>
  <c r="F3094" i="8"/>
  <c r="F3093" i="8"/>
  <c r="F3092" i="8"/>
  <c r="F3091" i="8"/>
  <c r="F3090" i="8"/>
  <c r="F3089" i="8"/>
  <c r="F3088" i="8"/>
  <c r="F3087" i="8"/>
  <c r="F3086" i="8"/>
  <c r="F3085" i="8"/>
  <c r="F3084" i="8"/>
  <c r="F3083" i="8"/>
  <c r="F3082" i="8"/>
  <c r="F3081" i="8"/>
  <c r="F3080" i="8"/>
  <c r="F3079" i="8"/>
  <c r="F3078" i="8"/>
  <c r="F3077" i="8"/>
  <c r="F3076" i="8"/>
  <c r="F3075" i="8"/>
  <c r="F3074" i="8"/>
  <c r="F3073" i="8"/>
  <c r="F3072" i="8"/>
  <c r="F3071" i="8"/>
  <c r="F3070" i="8"/>
  <c r="F3069" i="8"/>
  <c r="F3068" i="8"/>
  <c r="F3067" i="8"/>
  <c r="F3066" i="8"/>
  <c r="F3065" i="8"/>
  <c r="F3064" i="8"/>
  <c r="F3063" i="8"/>
  <c r="F3062" i="8"/>
  <c r="F3061" i="8"/>
  <c r="F3060" i="8"/>
  <c r="F3059" i="8"/>
  <c r="F3058" i="8"/>
  <c r="F3057" i="8"/>
  <c r="F3056" i="8"/>
  <c r="F3055" i="8"/>
  <c r="F3054" i="8"/>
  <c r="F3053" i="8"/>
  <c r="F3052" i="8"/>
  <c r="F3051" i="8"/>
  <c r="F3050" i="8"/>
  <c r="F3049" i="8"/>
  <c r="F3048" i="8"/>
  <c r="F3047" i="8"/>
  <c r="F3046" i="8"/>
  <c r="F3045" i="8"/>
  <c r="F3044" i="8"/>
  <c r="F3043" i="8"/>
  <c r="F3042" i="8"/>
  <c r="F3041" i="8"/>
  <c r="F3040" i="8"/>
  <c r="F3039" i="8"/>
  <c r="F3038" i="8"/>
  <c r="F3037" i="8"/>
  <c r="F3036" i="8"/>
  <c r="F3035" i="8"/>
  <c r="F3034" i="8"/>
  <c r="F3033" i="8"/>
  <c r="F3032" i="8"/>
  <c r="F3031" i="8"/>
  <c r="F3030" i="8"/>
  <c r="F3029" i="8"/>
  <c r="F3028" i="8"/>
  <c r="F3027" i="8"/>
  <c r="F3026" i="8"/>
  <c r="F3025" i="8"/>
  <c r="F3024" i="8"/>
  <c r="F3023" i="8"/>
  <c r="F3022" i="8"/>
  <c r="F3021" i="8"/>
  <c r="F3020" i="8"/>
  <c r="F3019" i="8"/>
  <c r="F3018" i="8"/>
  <c r="F3017" i="8"/>
  <c r="F3016" i="8"/>
  <c r="F3015" i="8"/>
  <c r="F3014" i="8"/>
  <c r="F3013" i="8"/>
  <c r="F3012" i="8"/>
  <c r="F3011" i="8"/>
  <c r="F3010" i="8"/>
  <c r="F3009" i="8"/>
  <c r="F3008" i="8"/>
  <c r="F3007" i="8"/>
  <c r="F3006" i="8"/>
  <c r="F3005" i="8"/>
  <c r="F3004" i="8"/>
  <c r="F3003" i="8"/>
  <c r="F3002" i="8"/>
  <c r="F3001" i="8"/>
  <c r="F3000" i="8"/>
  <c r="F2999" i="8"/>
  <c r="F2998" i="8"/>
  <c r="F2997" i="8"/>
  <c r="F2996" i="8"/>
  <c r="F2995" i="8"/>
  <c r="F2994" i="8"/>
  <c r="F2993" i="8"/>
  <c r="F2992" i="8"/>
  <c r="F2991" i="8"/>
  <c r="F2990" i="8"/>
  <c r="F2989" i="8"/>
  <c r="F2988" i="8"/>
  <c r="F2987" i="8"/>
  <c r="F2986" i="8"/>
  <c r="F2985" i="8"/>
  <c r="F2984" i="8"/>
  <c r="F2983" i="8"/>
  <c r="F2982" i="8"/>
  <c r="F2981" i="8"/>
  <c r="F2980" i="8"/>
  <c r="F2979" i="8"/>
  <c r="F2978" i="8"/>
  <c r="F2977" i="8"/>
  <c r="F2976" i="8"/>
  <c r="F2975" i="8"/>
  <c r="F2974" i="8"/>
  <c r="F2973" i="8"/>
  <c r="F2972" i="8"/>
  <c r="F2971" i="8"/>
  <c r="F2970" i="8"/>
  <c r="F2969" i="8"/>
  <c r="F2968" i="8"/>
  <c r="F2967" i="8"/>
  <c r="F2966" i="8"/>
  <c r="F2965" i="8"/>
  <c r="F2964" i="8"/>
  <c r="F2963" i="8"/>
  <c r="F2962" i="8"/>
  <c r="F2961" i="8"/>
  <c r="F2960" i="8"/>
  <c r="F2959" i="8"/>
  <c r="F2958" i="8"/>
  <c r="F2957" i="8"/>
  <c r="F2956" i="8"/>
  <c r="F2955" i="8"/>
  <c r="F2954" i="8"/>
  <c r="F2953" i="8"/>
  <c r="F2952" i="8"/>
  <c r="F2951" i="8"/>
  <c r="F2950" i="8"/>
  <c r="F2949" i="8"/>
  <c r="F2948" i="8"/>
  <c r="F2947" i="8"/>
  <c r="F2946" i="8"/>
  <c r="F2945" i="8"/>
  <c r="F2944" i="8"/>
  <c r="F2943" i="8"/>
  <c r="F2942" i="8"/>
  <c r="F2941" i="8"/>
  <c r="F2940" i="8"/>
  <c r="F2939" i="8"/>
  <c r="F2938" i="8"/>
  <c r="F2937" i="8"/>
  <c r="F2936" i="8"/>
  <c r="F2935" i="8"/>
  <c r="F2934" i="8"/>
  <c r="F2933" i="8"/>
  <c r="F2932" i="8"/>
  <c r="F2931" i="8"/>
  <c r="F2930" i="8"/>
  <c r="F2929" i="8"/>
  <c r="F2928" i="8"/>
  <c r="F2927" i="8"/>
  <c r="F2926" i="8"/>
  <c r="F2925" i="8"/>
  <c r="F2924" i="8"/>
  <c r="F2923" i="8"/>
  <c r="F2922" i="8"/>
  <c r="F2921" i="8"/>
  <c r="F2920" i="8"/>
  <c r="F2919" i="8"/>
  <c r="F2918" i="8"/>
  <c r="F2917" i="8"/>
  <c r="F2916" i="8"/>
  <c r="F2915" i="8"/>
  <c r="F2914" i="8"/>
  <c r="F2913" i="8"/>
  <c r="F2912" i="8"/>
  <c r="F2911" i="8"/>
  <c r="F2910" i="8"/>
  <c r="F2909" i="8"/>
  <c r="F2908" i="8"/>
  <c r="F2907" i="8"/>
  <c r="F2906" i="8"/>
  <c r="F2905" i="8"/>
  <c r="F2904" i="8"/>
  <c r="F2903" i="8"/>
  <c r="F2902" i="8"/>
  <c r="F2901" i="8"/>
  <c r="F2900" i="8"/>
  <c r="F2899" i="8"/>
  <c r="F2898" i="8"/>
  <c r="F2897" i="8"/>
  <c r="F2896" i="8"/>
  <c r="F2895" i="8"/>
  <c r="F2894" i="8"/>
  <c r="F2893" i="8"/>
  <c r="F2892" i="8"/>
  <c r="F2891" i="8"/>
  <c r="F2890" i="8"/>
  <c r="F2889" i="8"/>
  <c r="F2888" i="8"/>
  <c r="F2887" i="8"/>
  <c r="F2886" i="8"/>
  <c r="F2885" i="8"/>
  <c r="F2884" i="8"/>
  <c r="F2883" i="8"/>
  <c r="F2882" i="8"/>
  <c r="F2881" i="8"/>
  <c r="F2880" i="8"/>
  <c r="F2879" i="8"/>
  <c r="F2878" i="8"/>
  <c r="F2877" i="8"/>
  <c r="F2876" i="8"/>
  <c r="F2875" i="8"/>
  <c r="F2874" i="8"/>
  <c r="F2873" i="8"/>
  <c r="F2872" i="8"/>
  <c r="F2871" i="8"/>
  <c r="F2870" i="8"/>
  <c r="F2869" i="8"/>
  <c r="F2868" i="8"/>
  <c r="F2867" i="8"/>
  <c r="F2866" i="8"/>
  <c r="F2865" i="8"/>
  <c r="F2864" i="8"/>
  <c r="F2863" i="8"/>
  <c r="F2862" i="8"/>
  <c r="F2861" i="8"/>
  <c r="F2860" i="8"/>
  <c r="F2859" i="8"/>
  <c r="F2858" i="8"/>
  <c r="F2857" i="8"/>
  <c r="F2856" i="8"/>
  <c r="F2855" i="8"/>
  <c r="F2854" i="8"/>
  <c r="F2853" i="8"/>
  <c r="F2852" i="8"/>
  <c r="F2851" i="8"/>
  <c r="F2850" i="8"/>
  <c r="F2849" i="8"/>
  <c r="F2848" i="8"/>
  <c r="F2847" i="8"/>
  <c r="F2846" i="8"/>
  <c r="F2845" i="8"/>
  <c r="F2844" i="8"/>
  <c r="F2843" i="8"/>
  <c r="F2842" i="8"/>
  <c r="F2841" i="8"/>
  <c r="F2840" i="8"/>
  <c r="F2839" i="8"/>
  <c r="F2838" i="8"/>
  <c r="F2837" i="8"/>
  <c r="F2836" i="8"/>
  <c r="F2835" i="8"/>
  <c r="F2834" i="8"/>
  <c r="F2833" i="8"/>
  <c r="F2832" i="8"/>
  <c r="F2831" i="8"/>
  <c r="F2830" i="8"/>
  <c r="F2829" i="8"/>
  <c r="F2828" i="8"/>
  <c r="F2827" i="8"/>
  <c r="F2826" i="8"/>
  <c r="F2825" i="8"/>
  <c r="F2824" i="8"/>
  <c r="F2823" i="8"/>
  <c r="F2822" i="8"/>
  <c r="F2821" i="8"/>
  <c r="F2820" i="8"/>
  <c r="F2819" i="8"/>
  <c r="F2818" i="8"/>
  <c r="F2817" i="8"/>
  <c r="F2816" i="8"/>
  <c r="F2815" i="8"/>
  <c r="F2814" i="8"/>
  <c r="F2813" i="8"/>
  <c r="F2812" i="8"/>
  <c r="F2811" i="8"/>
  <c r="F2810" i="8"/>
  <c r="F2809" i="8"/>
  <c r="F2808" i="8"/>
  <c r="F2807" i="8"/>
  <c r="F2806" i="8"/>
  <c r="F2805" i="8"/>
  <c r="F2804" i="8"/>
  <c r="F2803" i="8"/>
  <c r="F2802" i="8"/>
  <c r="F2801" i="8"/>
  <c r="F2800" i="8"/>
  <c r="F2799" i="8"/>
  <c r="F2798" i="8"/>
  <c r="F2797" i="8"/>
  <c r="F2796" i="8"/>
  <c r="F2795" i="8"/>
  <c r="F2794" i="8"/>
  <c r="F2793" i="8"/>
  <c r="F2792" i="8"/>
  <c r="F2791" i="8"/>
  <c r="F2790" i="8"/>
  <c r="F2789" i="8"/>
  <c r="F2788" i="8"/>
  <c r="F2787" i="8"/>
  <c r="F2786" i="8"/>
  <c r="F2785" i="8"/>
  <c r="F2784" i="8"/>
  <c r="F2783" i="8"/>
  <c r="F2782" i="8"/>
  <c r="F2781" i="8"/>
  <c r="F2780" i="8"/>
  <c r="F2779" i="8"/>
  <c r="F2778" i="8"/>
  <c r="F2777" i="8"/>
  <c r="F2776" i="8"/>
  <c r="F2775" i="8"/>
  <c r="F2774" i="8"/>
  <c r="F2773" i="8"/>
  <c r="F2772" i="8"/>
  <c r="F2771" i="8"/>
  <c r="F2770" i="8"/>
  <c r="F2769" i="8"/>
  <c r="F2768" i="8"/>
  <c r="F2767" i="8"/>
  <c r="F2766" i="8"/>
  <c r="F2765" i="8"/>
  <c r="F2764" i="8"/>
  <c r="F2763" i="8"/>
  <c r="F2762" i="8"/>
  <c r="F2761" i="8"/>
  <c r="F2760" i="8"/>
  <c r="F2759" i="8"/>
  <c r="F2758" i="8"/>
  <c r="F2757" i="8"/>
  <c r="F2756" i="8"/>
  <c r="F2755" i="8"/>
  <c r="F2754" i="8"/>
  <c r="F2753" i="8"/>
  <c r="F2752" i="8"/>
  <c r="F2751" i="8"/>
  <c r="F2750" i="8"/>
  <c r="F2749" i="8"/>
  <c r="F2748" i="8"/>
  <c r="F2747" i="8"/>
  <c r="F2746" i="8"/>
  <c r="F2745" i="8"/>
  <c r="F2744" i="8"/>
  <c r="F2743" i="8"/>
  <c r="F2742" i="8"/>
  <c r="F2741" i="8"/>
  <c r="F2740" i="8"/>
  <c r="F2739" i="8"/>
  <c r="F2738" i="8"/>
  <c r="F2737" i="8"/>
  <c r="F2736" i="8"/>
  <c r="F2735" i="8"/>
  <c r="F2734" i="8"/>
  <c r="F2733" i="8"/>
  <c r="F2732" i="8"/>
  <c r="F2731" i="8"/>
  <c r="F2730" i="8"/>
  <c r="F2729" i="8"/>
  <c r="F2728" i="8"/>
  <c r="F2727" i="8"/>
  <c r="F2726" i="8"/>
  <c r="F2725" i="8"/>
  <c r="F2724" i="8"/>
  <c r="F2723" i="8"/>
  <c r="F2722" i="8"/>
  <c r="F2721" i="8"/>
  <c r="F2720" i="8"/>
  <c r="F2719" i="8"/>
  <c r="F2718" i="8"/>
  <c r="F2717" i="8"/>
  <c r="F2716" i="8"/>
  <c r="F2715" i="8"/>
  <c r="F2714" i="8"/>
  <c r="F2713" i="8"/>
  <c r="F2712" i="8"/>
  <c r="F2711" i="8"/>
  <c r="F2710" i="8"/>
  <c r="F2709" i="8"/>
  <c r="F2708" i="8"/>
  <c r="F2707" i="8"/>
  <c r="F2706" i="8"/>
  <c r="F2705" i="8"/>
  <c r="F2704" i="8"/>
  <c r="F2703" i="8"/>
  <c r="F2702" i="8"/>
  <c r="F2701" i="8"/>
  <c r="F2700" i="8"/>
  <c r="F2699" i="8"/>
  <c r="F2698" i="8"/>
  <c r="F2697" i="8"/>
  <c r="F2696" i="8"/>
  <c r="F2695" i="8"/>
  <c r="F2694" i="8"/>
  <c r="F2693" i="8"/>
  <c r="F2692" i="8"/>
  <c r="F2691" i="8"/>
  <c r="F2690" i="8"/>
  <c r="F2689" i="8"/>
  <c r="F2688" i="8"/>
  <c r="F2687" i="8"/>
  <c r="F2686" i="8"/>
  <c r="F2685" i="8"/>
  <c r="F2684" i="8"/>
  <c r="F2683" i="8"/>
  <c r="F2682" i="8"/>
  <c r="F2681" i="8"/>
  <c r="F2680" i="8"/>
  <c r="F2679" i="8"/>
  <c r="F2678" i="8"/>
  <c r="F2677" i="8"/>
  <c r="F2676" i="8"/>
  <c r="F2675" i="8"/>
  <c r="F2674" i="8"/>
  <c r="F2673" i="8"/>
  <c r="F2672" i="8"/>
  <c r="F2671" i="8"/>
  <c r="F2670" i="8"/>
  <c r="F2669" i="8"/>
  <c r="F2668" i="8"/>
  <c r="F2667" i="8"/>
  <c r="F2666" i="8"/>
  <c r="F2665" i="8"/>
  <c r="F2664" i="8"/>
  <c r="F2663" i="8"/>
  <c r="F2662" i="8"/>
  <c r="F2661" i="8"/>
  <c r="F2660" i="8"/>
  <c r="F2659" i="8"/>
  <c r="F2658" i="8"/>
  <c r="F2657" i="8"/>
  <c r="F2656" i="8"/>
  <c r="F2655" i="8"/>
  <c r="F2654" i="8"/>
  <c r="F2653" i="8"/>
  <c r="F2652" i="8"/>
  <c r="F2651" i="8"/>
  <c r="F2650" i="8"/>
  <c r="F2649" i="8"/>
  <c r="F2648" i="8"/>
  <c r="F2647" i="8"/>
  <c r="F2646" i="8"/>
  <c r="F2645" i="8"/>
  <c r="F2644" i="8"/>
  <c r="F2643" i="8"/>
  <c r="F2642" i="8"/>
  <c r="F2641" i="8"/>
  <c r="F2640" i="8"/>
  <c r="F2639" i="8"/>
  <c r="F2638" i="8"/>
  <c r="F2637" i="8"/>
  <c r="F2636" i="8"/>
  <c r="F2635" i="8"/>
  <c r="F2634" i="8"/>
  <c r="F2633" i="8"/>
  <c r="F2632" i="8"/>
  <c r="F2631" i="8"/>
  <c r="F2630" i="8"/>
  <c r="F2629" i="8"/>
  <c r="F2628" i="8"/>
  <c r="F2627" i="8"/>
  <c r="F2626" i="8"/>
  <c r="F2625" i="8"/>
  <c r="F2624" i="8"/>
  <c r="F2623" i="8"/>
  <c r="F2622" i="8"/>
  <c r="F2621" i="8"/>
  <c r="F2620" i="8"/>
  <c r="F2619" i="8"/>
  <c r="F2618" i="8"/>
  <c r="F2617" i="8"/>
  <c r="F2616" i="8"/>
  <c r="F2615" i="8"/>
  <c r="F2614" i="8"/>
  <c r="F2613" i="8"/>
  <c r="F2612" i="8"/>
  <c r="F2611" i="8"/>
  <c r="F2610" i="8"/>
  <c r="F2609" i="8"/>
  <c r="F2608" i="8"/>
  <c r="F2607" i="8"/>
  <c r="F2606" i="8"/>
  <c r="F2605" i="8"/>
  <c r="F2604" i="8"/>
  <c r="F2603" i="8"/>
  <c r="F2602" i="8"/>
  <c r="F2601" i="8"/>
  <c r="F2600" i="8"/>
  <c r="F2599" i="8"/>
  <c r="F2598" i="8"/>
  <c r="F2597" i="8"/>
  <c r="F2596" i="8"/>
  <c r="F2595" i="8"/>
  <c r="F2594" i="8"/>
  <c r="F2593" i="8"/>
  <c r="F2592" i="8"/>
  <c r="F2591" i="8"/>
  <c r="F2590" i="8"/>
  <c r="F2589" i="8"/>
  <c r="F2588" i="8"/>
  <c r="F2587" i="8"/>
  <c r="F2586" i="8"/>
  <c r="F2585" i="8"/>
  <c r="F2584" i="8"/>
  <c r="F2583" i="8"/>
  <c r="F2582" i="8"/>
  <c r="F2581" i="8"/>
  <c r="F2580" i="8"/>
  <c r="F2579" i="8"/>
  <c r="F2578" i="8"/>
  <c r="F2577" i="8"/>
  <c r="F2576" i="8"/>
  <c r="F2575" i="8"/>
  <c r="F2574" i="8"/>
  <c r="F2573" i="8"/>
  <c r="F2572" i="8"/>
  <c r="F2571" i="8"/>
  <c r="F2570" i="8"/>
  <c r="F2569" i="8"/>
  <c r="F2568" i="8"/>
  <c r="F2567" i="8"/>
  <c r="F2566" i="8"/>
  <c r="F2565" i="8"/>
  <c r="F2564" i="8"/>
  <c r="F2563" i="8"/>
  <c r="F2562" i="8"/>
  <c r="F2561" i="8"/>
  <c r="F2560" i="8"/>
  <c r="F2559" i="8"/>
  <c r="F2558" i="8"/>
  <c r="F2557" i="8"/>
  <c r="F2556" i="8"/>
  <c r="F2555" i="8"/>
  <c r="F2554" i="8"/>
  <c r="F2553" i="8"/>
  <c r="F2552" i="8"/>
  <c r="F2551" i="8"/>
  <c r="F2550" i="8"/>
  <c r="F2549" i="8"/>
  <c r="F2548" i="8"/>
  <c r="F2547" i="8"/>
  <c r="F2546" i="8"/>
  <c r="F2545" i="8"/>
  <c r="F2544" i="8"/>
  <c r="F2543" i="8"/>
  <c r="F2542" i="8"/>
  <c r="F2541" i="8"/>
  <c r="F2540" i="8"/>
  <c r="F2539" i="8"/>
  <c r="F2538" i="8"/>
  <c r="F2537" i="8"/>
  <c r="F2536" i="8"/>
  <c r="F2535" i="8"/>
  <c r="F2534" i="8"/>
  <c r="F2533" i="8"/>
  <c r="F2532" i="8"/>
  <c r="F2531" i="8"/>
  <c r="F2530" i="8"/>
  <c r="F2529" i="8"/>
  <c r="F2528" i="8"/>
  <c r="F2527" i="8"/>
  <c r="F2526" i="8"/>
  <c r="F2525" i="8"/>
  <c r="F2524" i="8"/>
  <c r="F2523" i="8"/>
  <c r="F2522" i="8"/>
  <c r="F2521" i="8"/>
  <c r="F2520" i="8"/>
  <c r="F2519" i="8"/>
  <c r="F2518" i="8"/>
  <c r="F2517" i="8"/>
  <c r="F2516" i="8"/>
  <c r="F2515" i="8"/>
  <c r="F2514" i="8"/>
  <c r="F2513" i="8"/>
  <c r="F2512" i="8"/>
  <c r="F2511" i="8"/>
  <c r="F2510" i="8"/>
  <c r="F2509" i="8"/>
  <c r="F2508" i="8"/>
  <c r="F2507" i="8"/>
  <c r="F2506" i="8"/>
  <c r="F2505" i="8"/>
  <c r="F2504" i="8"/>
  <c r="F2503" i="8"/>
  <c r="F2502" i="8"/>
  <c r="F2501" i="8"/>
  <c r="F2500" i="8"/>
  <c r="F2499" i="8"/>
  <c r="F2498" i="8"/>
  <c r="F2497" i="8"/>
  <c r="F2496" i="8"/>
  <c r="F2495" i="8"/>
  <c r="F2494" i="8"/>
  <c r="F2493" i="8"/>
  <c r="F2492" i="8"/>
  <c r="F2491" i="8"/>
  <c r="F2490" i="8"/>
  <c r="F2489" i="8"/>
  <c r="F2488" i="8"/>
  <c r="F2487" i="8"/>
  <c r="F2486" i="8"/>
  <c r="F2485" i="8"/>
  <c r="F2484" i="8"/>
  <c r="F2483" i="8"/>
  <c r="F2482" i="8"/>
  <c r="F2481" i="8"/>
  <c r="F2480" i="8"/>
  <c r="F2479" i="8"/>
  <c r="F2478" i="8"/>
  <c r="F2477" i="8"/>
  <c r="F2476" i="8"/>
  <c r="F2475" i="8"/>
  <c r="F2474" i="8"/>
  <c r="F2473" i="8"/>
  <c r="F2472" i="8"/>
  <c r="F2471" i="8"/>
  <c r="F2470" i="8"/>
  <c r="F2469" i="8"/>
  <c r="F2468" i="8"/>
  <c r="F2467" i="8"/>
  <c r="F2466" i="8"/>
  <c r="F2465" i="8"/>
  <c r="F2464" i="8"/>
  <c r="F2463" i="8"/>
  <c r="F2462" i="8"/>
  <c r="F2461" i="8"/>
  <c r="F2460" i="8"/>
  <c r="F2459" i="8"/>
  <c r="F2458" i="8"/>
  <c r="F2457" i="8"/>
  <c r="F2456" i="8"/>
  <c r="F2455" i="8"/>
  <c r="F2454" i="8"/>
  <c r="F2453" i="8"/>
  <c r="F2452" i="8"/>
  <c r="F2451" i="8"/>
  <c r="F2450" i="8"/>
  <c r="F2449" i="8"/>
  <c r="F2448" i="8"/>
  <c r="F2447" i="8"/>
  <c r="F2446" i="8"/>
  <c r="F2445" i="8"/>
  <c r="F2444" i="8"/>
  <c r="F2443" i="8"/>
  <c r="F2442" i="8"/>
  <c r="F2441" i="8"/>
  <c r="F2440" i="8"/>
  <c r="F2439" i="8"/>
  <c r="F2438" i="8"/>
  <c r="F2437" i="8"/>
  <c r="F2436" i="8"/>
  <c r="F2435" i="8"/>
  <c r="F2434" i="8"/>
  <c r="F2433" i="8"/>
  <c r="F2432" i="8"/>
  <c r="F2431" i="8"/>
  <c r="F2430" i="8"/>
  <c r="F2429" i="8"/>
  <c r="F2428" i="8"/>
  <c r="F2427" i="8"/>
  <c r="F2426" i="8"/>
  <c r="F2425" i="8"/>
  <c r="F2424" i="8"/>
  <c r="F2423" i="8"/>
  <c r="F2422" i="8"/>
  <c r="F2421" i="8"/>
  <c r="F2420" i="8"/>
  <c r="F2419" i="8"/>
  <c r="F2418" i="8"/>
  <c r="F2417" i="8"/>
  <c r="F2416" i="8"/>
  <c r="F2415" i="8"/>
  <c r="F2414" i="8"/>
  <c r="F2413" i="8"/>
  <c r="F2412" i="8"/>
  <c r="F2411" i="8"/>
  <c r="F2410" i="8"/>
  <c r="F2409" i="8"/>
  <c r="F2408" i="8"/>
  <c r="F2407" i="8"/>
  <c r="F2406" i="8"/>
  <c r="F2405" i="8"/>
  <c r="F2404" i="8"/>
  <c r="F2403" i="8"/>
  <c r="F2402" i="8"/>
  <c r="F2401" i="8"/>
  <c r="F2400" i="8"/>
  <c r="F2399" i="8"/>
  <c r="F2398" i="8"/>
  <c r="F2397" i="8"/>
  <c r="F2396" i="8"/>
  <c r="F2395" i="8"/>
  <c r="F2394" i="8"/>
  <c r="F2393" i="8"/>
  <c r="F2392" i="8"/>
  <c r="F2391" i="8"/>
  <c r="F2390" i="8"/>
  <c r="F2389" i="8"/>
  <c r="F2388" i="8"/>
  <c r="F2387" i="8"/>
  <c r="F2386" i="8"/>
  <c r="F2385" i="8"/>
  <c r="F2384" i="8"/>
  <c r="F2383" i="8"/>
  <c r="F2382" i="8"/>
  <c r="F2381" i="8"/>
  <c r="F2380" i="8"/>
  <c r="F2379" i="8"/>
  <c r="F2378" i="8"/>
  <c r="F2377" i="8"/>
  <c r="F2376" i="8"/>
  <c r="F2375" i="8"/>
  <c r="F2374" i="8"/>
  <c r="F2373" i="8"/>
  <c r="F2372" i="8"/>
  <c r="F2371" i="8"/>
  <c r="F2370" i="8"/>
  <c r="F2369" i="8"/>
  <c r="F2368" i="8"/>
  <c r="F2367" i="8"/>
  <c r="F2366" i="8"/>
  <c r="F2365" i="8"/>
  <c r="F2364" i="8"/>
  <c r="F2363" i="8"/>
  <c r="F2362" i="8"/>
  <c r="F2361" i="8"/>
  <c r="F2360" i="8"/>
  <c r="F2359" i="8"/>
  <c r="F2358" i="8"/>
  <c r="F2357" i="8"/>
  <c r="F2356" i="8"/>
  <c r="F2355" i="8"/>
  <c r="F2354" i="8"/>
  <c r="F2353" i="8"/>
  <c r="F2352" i="8"/>
  <c r="F2351" i="8"/>
  <c r="F2350" i="8"/>
  <c r="F2349" i="8"/>
  <c r="F2348" i="8"/>
  <c r="F2347" i="8"/>
  <c r="F2346" i="8"/>
  <c r="F2345" i="8"/>
  <c r="F2344" i="8"/>
  <c r="F2343" i="8"/>
  <c r="F2342" i="8"/>
  <c r="F2341" i="8"/>
  <c r="F2340" i="8"/>
  <c r="F2339" i="8"/>
  <c r="F2338" i="8"/>
  <c r="F2337" i="8"/>
  <c r="F2336" i="8"/>
  <c r="F2335" i="8"/>
  <c r="F2334" i="8"/>
  <c r="F2333" i="8"/>
  <c r="F2332" i="8"/>
  <c r="F2331" i="8"/>
  <c r="F2330" i="8"/>
  <c r="F2329" i="8"/>
  <c r="F2328" i="8"/>
  <c r="F2327" i="8"/>
  <c r="F2326" i="8"/>
  <c r="F2325" i="8"/>
  <c r="F2324" i="8"/>
  <c r="F2323" i="8"/>
  <c r="F2322" i="8"/>
  <c r="F2321" i="8"/>
  <c r="F2320" i="8"/>
  <c r="F2319" i="8"/>
  <c r="F2318" i="8"/>
  <c r="F2317" i="8"/>
  <c r="F2316" i="8"/>
  <c r="F2315" i="8"/>
  <c r="F2314" i="8"/>
  <c r="F2313" i="8"/>
  <c r="F2312" i="8"/>
  <c r="F2311" i="8"/>
  <c r="F2310" i="8"/>
  <c r="F2309" i="8"/>
  <c r="F2308" i="8"/>
  <c r="F2307" i="8"/>
  <c r="F2306" i="8"/>
  <c r="F2305" i="8"/>
  <c r="F2304" i="8"/>
  <c r="F2303" i="8"/>
  <c r="F2302" i="8"/>
  <c r="F2301" i="8"/>
  <c r="F2300" i="8"/>
  <c r="F2299" i="8"/>
  <c r="F2298" i="8"/>
  <c r="F2297" i="8"/>
  <c r="F2296" i="8"/>
  <c r="F2295" i="8"/>
  <c r="F2294" i="8"/>
  <c r="F2293" i="8"/>
  <c r="F2292" i="8"/>
  <c r="F2291" i="8"/>
  <c r="F2290" i="8"/>
  <c r="F2289" i="8"/>
  <c r="F2288" i="8"/>
  <c r="F2287" i="8"/>
  <c r="F2286" i="8"/>
  <c r="F2285" i="8"/>
  <c r="F2284" i="8"/>
  <c r="F2283" i="8"/>
  <c r="F2282" i="8"/>
  <c r="F2281" i="8"/>
  <c r="F2280" i="8"/>
  <c r="F2279" i="8"/>
  <c r="F2278" i="8"/>
  <c r="F2277" i="8"/>
  <c r="F2276" i="8"/>
  <c r="F2275" i="8"/>
  <c r="F2274" i="8"/>
  <c r="F2273" i="8"/>
  <c r="F2272" i="8"/>
  <c r="F2271" i="8"/>
  <c r="F2270" i="8"/>
  <c r="F2269" i="8"/>
  <c r="F2268" i="8"/>
  <c r="F2267" i="8"/>
  <c r="F2266" i="8"/>
  <c r="F2265" i="8"/>
  <c r="F2264" i="8"/>
  <c r="F2263" i="8"/>
  <c r="F2262" i="8"/>
  <c r="F2261" i="8"/>
  <c r="F2260" i="8"/>
  <c r="F2259" i="8"/>
  <c r="F2258" i="8"/>
  <c r="F2257" i="8"/>
  <c r="F2256" i="8"/>
  <c r="F2255" i="8"/>
  <c r="F2254" i="8"/>
  <c r="F2253" i="8"/>
  <c r="F2252" i="8"/>
  <c r="F2251" i="8"/>
  <c r="F2250" i="8"/>
  <c r="F2249" i="8"/>
  <c r="F2248" i="8"/>
  <c r="F2247" i="8"/>
  <c r="F2246" i="8"/>
  <c r="F2245" i="8"/>
  <c r="F2244" i="8"/>
  <c r="F2243" i="8"/>
  <c r="F2242" i="8"/>
  <c r="F2241" i="8"/>
  <c r="F2240" i="8"/>
  <c r="F2239" i="8"/>
  <c r="F2238" i="8"/>
  <c r="F2237" i="8"/>
  <c r="F2236" i="8"/>
  <c r="F2235" i="8"/>
  <c r="F2234" i="8"/>
  <c r="F2233" i="8"/>
  <c r="F2232" i="8"/>
  <c r="F2231" i="8"/>
  <c r="F2230" i="8"/>
  <c r="F2229" i="8"/>
  <c r="F2228" i="8"/>
  <c r="F2227" i="8"/>
  <c r="F2226" i="8"/>
  <c r="F2225" i="8"/>
  <c r="F2224" i="8"/>
  <c r="F2223" i="8"/>
  <c r="F2222" i="8"/>
  <c r="F2221" i="8"/>
  <c r="F2220" i="8"/>
  <c r="F2219" i="8"/>
  <c r="F2218" i="8"/>
  <c r="F2217" i="8"/>
  <c r="F2216" i="8"/>
  <c r="F2215" i="8"/>
  <c r="F2214" i="8"/>
  <c r="F2213" i="8"/>
  <c r="F2212" i="8"/>
  <c r="F2211" i="8"/>
  <c r="F2210" i="8"/>
  <c r="F2209" i="8"/>
  <c r="F2208" i="8"/>
  <c r="F2207" i="8"/>
  <c r="F2206" i="8"/>
  <c r="F2205" i="8"/>
  <c r="F2204" i="8"/>
  <c r="F2203" i="8"/>
  <c r="F2202" i="8"/>
  <c r="F2201" i="8"/>
  <c r="F2200" i="8"/>
  <c r="F2199" i="8"/>
  <c r="F2198" i="8"/>
  <c r="F2197" i="8"/>
  <c r="F2196" i="8"/>
  <c r="F2195" i="8"/>
  <c r="F2194" i="8"/>
  <c r="F2193" i="8"/>
  <c r="F2192" i="8"/>
  <c r="F2191" i="8"/>
  <c r="F2190" i="8"/>
  <c r="F2189" i="8"/>
  <c r="F2188" i="8"/>
  <c r="F2187" i="8"/>
  <c r="F2186" i="8"/>
  <c r="F2185" i="8"/>
  <c r="F2184" i="8"/>
  <c r="F2183" i="8"/>
  <c r="F2182" i="8"/>
  <c r="F2181" i="8"/>
  <c r="F2180" i="8"/>
  <c r="F2179" i="8"/>
  <c r="F2178" i="8"/>
  <c r="F2177" i="8"/>
  <c r="F2176" i="8"/>
  <c r="F2175" i="8"/>
  <c r="F2174" i="8"/>
  <c r="F2173" i="8"/>
  <c r="F2172" i="8"/>
  <c r="F2171" i="8"/>
  <c r="F2170" i="8"/>
  <c r="F2169" i="8"/>
  <c r="F2168" i="8"/>
  <c r="F2167" i="8"/>
  <c r="F2166" i="8"/>
  <c r="F2165" i="8"/>
  <c r="F2164" i="8"/>
  <c r="F2163" i="8"/>
  <c r="F2162" i="8"/>
  <c r="F2161" i="8"/>
  <c r="F2160" i="8"/>
  <c r="F2159" i="8"/>
  <c r="F2158" i="8"/>
  <c r="F2157" i="8"/>
  <c r="F2156" i="8"/>
  <c r="F2155" i="8"/>
  <c r="F2154" i="8"/>
  <c r="F2153" i="8"/>
  <c r="F2152" i="8"/>
  <c r="F2151" i="8"/>
  <c r="F2150" i="8"/>
  <c r="F2149" i="8"/>
  <c r="F2148" i="8"/>
  <c r="F2147" i="8"/>
  <c r="F2146" i="8"/>
  <c r="F2145" i="8"/>
  <c r="F2144" i="8"/>
  <c r="F2143" i="8"/>
  <c r="F2142" i="8"/>
  <c r="F2141" i="8"/>
  <c r="F2140" i="8"/>
  <c r="F2139" i="8"/>
  <c r="F2138" i="8"/>
  <c r="F2137" i="8"/>
  <c r="F2136" i="8"/>
  <c r="F2135" i="8"/>
  <c r="F2134" i="8"/>
  <c r="F2133" i="8"/>
  <c r="F2132" i="8"/>
  <c r="F2131" i="8"/>
  <c r="F2130" i="8"/>
  <c r="F2129" i="8"/>
  <c r="F2128" i="8"/>
  <c r="F2127" i="8"/>
  <c r="F2126" i="8"/>
  <c r="F2125" i="8"/>
  <c r="F2124" i="8"/>
  <c r="F2123" i="8"/>
  <c r="F2122" i="8"/>
  <c r="F2121" i="8"/>
  <c r="F2120" i="8"/>
  <c r="F2119" i="8"/>
  <c r="F2118" i="8"/>
  <c r="F2117" i="8"/>
  <c r="F2116" i="8"/>
  <c r="F2115" i="8"/>
  <c r="F2114" i="8"/>
  <c r="F2113" i="8"/>
  <c r="F2112" i="8"/>
  <c r="F2111" i="8"/>
  <c r="F2110" i="8"/>
  <c r="F2109" i="8"/>
  <c r="F2108" i="8"/>
  <c r="F2107" i="8"/>
  <c r="F2106" i="8"/>
  <c r="F2105" i="8"/>
  <c r="F2104" i="8"/>
  <c r="F2103" i="8"/>
  <c r="F2102" i="8"/>
  <c r="F2101" i="8"/>
  <c r="F2100" i="8"/>
  <c r="F2099" i="8"/>
  <c r="F2098" i="8"/>
  <c r="F2097" i="8"/>
  <c r="F2096" i="8"/>
  <c r="F2095" i="8"/>
  <c r="F2094" i="8"/>
  <c r="F2093" i="8"/>
  <c r="F2092" i="8"/>
  <c r="F2091" i="8"/>
  <c r="F2090" i="8"/>
  <c r="F2089" i="8"/>
  <c r="F2088" i="8"/>
  <c r="F2087" i="8"/>
  <c r="F2086" i="8"/>
  <c r="F2085" i="8"/>
  <c r="F2084" i="8"/>
  <c r="F2083" i="8"/>
  <c r="F2082" i="8"/>
  <c r="F2081" i="8"/>
  <c r="F2080" i="8"/>
  <c r="F2079" i="8"/>
  <c r="F2078" i="8"/>
  <c r="F2077" i="8"/>
  <c r="F2076" i="8"/>
  <c r="F2075" i="8"/>
  <c r="F2074" i="8"/>
  <c r="F2073" i="8"/>
  <c r="F2072" i="8"/>
  <c r="F2071" i="8"/>
  <c r="F2070" i="8"/>
  <c r="F2069" i="8"/>
  <c r="F2068" i="8"/>
  <c r="F2067" i="8"/>
  <c r="F2066" i="8"/>
  <c r="F2065" i="8"/>
  <c r="F2064" i="8"/>
  <c r="F2063" i="8"/>
  <c r="F2062" i="8"/>
  <c r="F2061" i="8"/>
  <c r="F2060" i="8"/>
  <c r="F2059" i="8"/>
  <c r="F2058" i="8"/>
  <c r="F2057" i="8"/>
  <c r="F2056" i="8"/>
  <c r="F2055" i="8"/>
  <c r="F2054" i="8"/>
  <c r="F2053" i="8"/>
  <c r="F2052" i="8"/>
  <c r="F2051" i="8"/>
  <c r="F2050" i="8"/>
  <c r="F2049" i="8"/>
  <c r="F2048" i="8"/>
  <c r="F2047" i="8"/>
  <c r="F2046" i="8"/>
  <c r="F2045" i="8"/>
  <c r="F2044" i="8"/>
  <c r="F2043" i="8"/>
  <c r="F2042" i="8"/>
  <c r="F2041" i="8"/>
  <c r="F2040" i="8"/>
  <c r="F2039" i="8"/>
  <c r="F2038" i="8"/>
  <c r="F2037" i="8"/>
  <c r="F2036" i="8"/>
  <c r="F2035" i="8"/>
  <c r="F2034" i="8"/>
  <c r="F2033" i="8"/>
  <c r="F2032" i="8"/>
  <c r="F2031" i="8"/>
  <c r="F2030" i="8"/>
  <c r="F2029" i="8"/>
  <c r="F2028" i="8"/>
  <c r="F2027" i="8"/>
  <c r="F2026" i="8"/>
  <c r="F2025" i="8"/>
  <c r="F2024" i="8"/>
  <c r="F2023" i="8"/>
  <c r="F2022" i="8"/>
  <c r="F2021" i="8"/>
  <c r="F2020" i="8"/>
  <c r="F2019" i="8"/>
  <c r="F2018" i="8"/>
  <c r="F2017" i="8"/>
  <c r="F2016" i="8"/>
  <c r="F2015" i="8"/>
  <c r="F2014" i="8"/>
  <c r="F2013" i="8"/>
  <c r="F2012" i="8"/>
  <c r="F2011" i="8"/>
  <c r="F2010" i="8"/>
  <c r="F2009" i="8"/>
  <c r="F2008" i="8"/>
  <c r="F2007" i="8"/>
  <c r="F2006" i="8"/>
  <c r="F2005" i="8"/>
  <c r="F2004" i="8"/>
  <c r="F2003" i="8"/>
  <c r="F2002" i="8"/>
  <c r="F2001" i="8"/>
  <c r="F2000" i="8"/>
  <c r="F1999" i="8"/>
  <c r="F1998" i="8"/>
  <c r="F1997" i="8"/>
  <c r="F1996" i="8"/>
  <c r="F1995" i="8"/>
  <c r="F1994" i="8"/>
  <c r="F1993" i="8"/>
  <c r="F1992" i="8"/>
  <c r="F1991" i="8"/>
  <c r="F1990" i="8"/>
  <c r="F1989" i="8"/>
  <c r="F1988" i="8"/>
  <c r="F1987" i="8"/>
  <c r="F1986" i="8"/>
  <c r="F1985" i="8"/>
  <c r="F1984" i="8"/>
  <c r="F1983" i="8"/>
  <c r="F1982" i="8"/>
  <c r="F1981" i="8"/>
  <c r="F1980" i="8"/>
  <c r="F1979" i="8"/>
  <c r="F1978" i="8"/>
  <c r="F1977" i="8"/>
  <c r="F1976" i="8"/>
  <c r="F1975" i="8"/>
  <c r="F1974" i="8"/>
  <c r="F1973" i="8"/>
  <c r="F1972" i="8"/>
  <c r="F1971" i="8"/>
  <c r="F1970" i="8"/>
  <c r="F1969" i="8"/>
  <c r="F1968" i="8"/>
  <c r="F1967" i="8"/>
  <c r="F1966" i="8"/>
  <c r="F1965" i="8"/>
  <c r="F1964" i="8"/>
  <c r="F1963" i="8"/>
  <c r="F1962" i="8"/>
  <c r="F1961" i="8"/>
  <c r="F1960" i="8"/>
  <c r="F1959" i="8"/>
  <c r="F1958" i="8"/>
  <c r="F1957" i="8"/>
  <c r="F1956" i="8"/>
  <c r="F1955" i="8"/>
  <c r="F1954" i="8"/>
  <c r="F1953" i="8"/>
  <c r="F1952" i="8"/>
  <c r="F1951" i="8"/>
  <c r="F1950" i="8"/>
  <c r="F1949" i="8"/>
  <c r="F1948" i="8"/>
  <c r="F1947" i="8"/>
  <c r="F1946" i="8"/>
  <c r="F1945" i="8"/>
  <c r="F1944" i="8"/>
  <c r="F1943" i="8"/>
  <c r="F1942" i="8"/>
  <c r="F1941" i="8"/>
  <c r="F1940" i="8"/>
  <c r="F1939" i="8"/>
  <c r="F1938" i="8"/>
  <c r="F1937" i="8"/>
  <c r="F1936" i="8"/>
  <c r="F1935" i="8"/>
  <c r="F1934" i="8"/>
  <c r="F1933" i="8"/>
  <c r="F1932" i="8"/>
  <c r="F1931" i="8"/>
  <c r="F1930" i="8"/>
  <c r="F1929" i="8"/>
  <c r="F1928" i="8"/>
  <c r="F1927" i="8"/>
  <c r="F1926" i="8"/>
  <c r="F1925" i="8"/>
  <c r="F1924" i="8"/>
  <c r="F1923" i="8"/>
  <c r="F1922" i="8"/>
  <c r="F1921" i="8"/>
  <c r="F1920" i="8"/>
  <c r="F1919" i="8"/>
  <c r="F1918" i="8"/>
  <c r="F1917" i="8"/>
  <c r="F1916" i="8"/>
  <c r="F1915" i="8"/>
  <c r="F1914" i="8"/>
  <c r="F1913" i="8"/>
  <c r="F1912" i="8"/>
  <c r="F1911" i="8"/>
  <c r="F1910" i="8"/>
  <c r="F1909" i="8"/>
  <c r="F1908" i="8"/>
  <c r="F1907" i="8"/>
  <c r="F1906" i="8"/>
  <c r="F1905" i="8"/>
  <c r="F1904" i="8"/>
  <c r="F1903" i="8"/>
  <c r="F1902" i="8"/>
  <c r="F1901" i="8"/>
  <c r="F1900" i="8"/>
  <c r="F1899" i="8"/>
  <c r="F1898" i="8"/>
  <c r="F1897" i="8"/>
  <c r="F1896" i="8"/>
  <c r="F1895" i="8"/>
  <c r="F1894" i="8"/>
  <c r="F1893" i="8"/>
  <c r="F1892" i="8"/>
  <c r="F1891" i="8"/>
  <c r="F1890" i="8"/>
  <c r="F1889" i="8"/>
  <c r="F1888" i="8"/>
  <c r="F1887" i="8"/>
  <c r="F1886" i="8"/>
  <c r="F1885" i="8"/>
  <c r="F1884" i="8"/>
  <c r="F1883" i="8"/>
  <c r="F1882" i="8"/>
  <c r="F1881" i="8"/>
  <c r="F1880" i="8"/>
  <c r="F1879" i="8"/>
  <c r="F1878" i="8"/>
  <c r="F1877" i="8"/>
  <c r="F1876" i="8"/>
  <c r="F1875" i="8"/>
  <c r="F1874" i="8"/>
  <c r="F1873" i="8"/>
  <c r="F1872" i="8"/>
  <c r="F1871" i="8"/>
  <c r="F1870" i="8"/>
  <c r="F1869" i="8"/>
  <c r="F1868" i="8"/>
  <c r="F1867" i="8"/>
  <c r="F1866" i="8"/>
  <c r="F1865" i="8"/>
  <c r="F1864" i="8"/>
  <c r="F1863" i="8"/>
  <c r="F1862" i="8"/>
  <c r="F1861" i="8"/>
  <c r="F1860" i="8"/>
  <c r="F1859" i="8"/>
  <c r="F1858" i="8"/>
  <c r="F1857" i="8"/>
  <c r="F1856" i="8"/>
  <c r="F1855" i="8"/>
  <c r="F1854" i="8"/>
  <c r="F1853" i="8"/>
  <c r="F1852" i="8"/>
  <c r="F1851" i="8"/>
  <c r="F1850" i="8"/>
  <c r="F1849" i="8"/>
  <c r="F1848" i="8"/>
  <c r="F1847" i="8"/>
  <c r="F1846" i="8"/>
  <c r="F1845" i="8"/>
  <c r="F1844" i="8"/>
  <c r="F1843" i="8"/>
  <c r="F1842" i="8"/>
  <c r="F1841" i="8"/>
  <c r="F1840" i="8"/>
  <c r="F1839" i="8"/>
  <c r="F1838" i="8"/>
  <c r="F1837" i="8"/>
  <c r="F1836" i="8"/>
  <c r="F1835" i="8"/>
  <c r="F1834" i="8"/>
  <c r="F1833" i="8"/>
  <c r="F1832" i="8"/>
  <c r="F1831" i="8"/>
  <c r="F1830" i="8"/>
  <c r="F1829" i="8"/>
  <c r="F1828" i="8"/>
  <c r="F1827" i="8"/>
  <c r="F1826" i="8"/>
  <c r="F1825" i="8"/>
  <c r="F1824" i="8"/>
  <c r="F1823" i="8"/>
  <c r="F1822" i="8"/>
  <c r="F1821" i="8"/>
  <c r="F1820" i="8"/>
  <c r="F1819" i="8"/>
  <c r="F1818" i="8"/>
  <c r="F1817" i="8"/>
  <c r="F1816" i="8"/>
  <c r="F1815" i="8"/>
  <c r="F1814" i="8"/>
  <c r="F1813" i="8"/>
  <c r="F1812" i="8"/>
  <c r="F1811" i="8"/>
  <c r="F1810" i="8"/>
  <c r="F1809" i="8"/>
  <c r="F1808" i="8"/>
  <c r="F1807" i="8"/>
  <c r="F1806" i="8"/>
  <c r="F1805" i="8"/>
  <c r="F1804" i="8"/>
  <c r="F1803" i="8"/>
  <c r="F1802" i="8"/>
  <c r="F1801" i="8"/>
  <c r="F1800" i="8"/>
  <c r="F1799" i="8"/>
  <c r="F1798" i="8"/>
  <c r="F1797" i="8"/>
  <c r="F1796" i="8"/>
  <c r="F1795" i="8"/>
  <c r="F1794" i="8"/>
  <c r="F1793" i="8"/>
  <c r="F1792" i="8"/>
  <c r="F1791" i="8"/>
  <c r="F1790" i="8"/>
  <c r="F1789" i="8"/>
  <c r="F1788" i="8"/>
  <c r="F1787" i="8"/>
  <c r="F1786" i="8"/>
  <c r="F1785" i="8"/>
  <c r="F1784" i="8"/>
  <c r="F1783" i="8"/>
  <c r="F1782" i="8"/>
  <c r="F1781" i="8"/>
  <c r="F1780" i="8"/>
  <c r="F1779" i="8"/>
  <c r="F1778" i="8"/>
  <c r="F1777" i="8"/>
  <c r="F1776" i="8"/>
  <c r="F1775" i="8"/>
  <c r="F1774" i="8"/>
  <c r="F1773" i="8"/>
  <c r="F1772" i="8"/>
  <c r="F1771" i="8"/>
  <c r="F1770" i="8"/>
  <c r="F1769" i="8"/>
  <c r="F1768" i="8"/>
  <c r="F1767" i="8"/>
  <c r="F1766" i="8"/>
  <c r="F1765" i="8"/>
  <c r="F1764" i="8"/>
  <c r="F1763" i="8"/>
  <c r="F1762" i="8"/>
  <c r="F1761" i="8"/>
  <c r="F1760" i="8"/>
  <c r="F1759" i="8"/>
  <c r="F1758" i="8"/>
  <c r="F1757" i="8"/>
  <c r="F1756" i="8"/>
  <c r="F1755" i="8"/>
  <c r="F1754" i="8"/>
  <c r="F1753" i="8"/>
  <c r="F1752" i="8"/>
  <c r="F1751" i="8"/>
  <c r="F1750" i="8"/>
  <c r="F1749" i="8"/>
  <c r="F1748" i="8"/>
  <c r="F1747" i="8"/>
  <c r="F1746" i="8"/>
  <c r="F1745" i="8"/>
  <c r="F1744" i="8"/>
  <c r="F1743" i="8"/>
  <c r="F1742" i="8"/>
  <c r="F1741" i="8"/>
  <c r="F1740" i="8"/>
  <c r="F1739" i="8"/>
  <c r="F1738" i="8"/>
  <c r="F1737" i="8"/>
  <c r="F1736" i="8"/>
  <c r="F1735" i="8"/>
  <c r="F1734" i="8"/>
  <c r="F1733" i="8"/>
  <c r="F1732" i="8"/>
  <c r="F1731" i="8"/>
  <c r="F1730" i="8"/>
  <c r="F1729" i="8"/>
  <c r="F1728" i="8"/>
  <c r="F1727" i="8"/>
  <c r="F1726" i="8"/>
  <c r="F1725" i="8"/>
  <c r="F1724" i="8"/>
  <c r="F1723" i="8"/>
  <c r="F1722" i="8"/>
  <c r="F1721" i="8"/>
  <c r="F1720" i="8"/>
  <c r="F1719" i="8"/>
  <c r="F1718" i="8"/>
  <c r="F1717" i="8"/>
  <c r="F1716" i="8"/>
  <c r="F1715" i="8"/>
  <c r="F1714" i="8"/>
  <c r="F1713" i="8"/>
  <c r="F1712" i="8"/>
  <c r="F1711" i="8"/>
  <c r="F1710" i="8"/>
  <c r="F1709" i="8"/>
  <c r="F1708" i="8"/>
  <c r="F1707" i="8"/>
  <c r="F1706" i="8"/>
  <c r="F1705" i="8"/>
  <c r="F1704" i="8"/>
  <c r="F1703" i="8"/>
  <c r="F1702" i="8"/>
  <c r="F1701" i="8"/>
  <c r="F1700" i="8"/>
  <c r="F1699" i="8"/>
  <c r="F1698" i="8"/>
  <c r="F1697" i="8"/>
  <c r="F1696" i="8"/>
  <c r="F1695" i="8"/>
  <c r="F1694" i="8"/>
  <c r="F1693" i="8"/>
  <c r="F1692" i="8"/>
  <c r="F1691" i="8"/>
  <c r="F1690" i="8"/>
  <c r="F1689" i="8"/>
  <c r="F1688" i="8"/>
  <c r="F1687" i="8"/>
  <c r="F1686" i="8"/>
  <c r="F1685" i="8"/>
  <c r="F1684" i="8"/>
  <c r="F1683" i="8"/>
  <c r="F1682" i="8"/>
  <c r="F1681" i="8"/>
  <c r="F1680" i="8"/>
  <c r="F1679" i="8"/>
  <c r="F1678" i="8"/>
  <c r="F1677" i="8"/>
  <c r="F1676" i="8"/>
  <c r="F1675" i="8"/>
  <c r="F1674" i="8"/>
  <c r="F1673" i="8"/>
  <c r="F1672" i="8"/>
  <c r="F1671" i="8"/>
  <c r="F1670" i="8"/>
  <c r="F1669" i="8"/>
  <c r="F1668" i="8"/>
  <c r="F1667" i="8"/>
  <c r="F1666" i="8"/>
  <c r="F1665" i="8"/>
  <c r="F1664" i="8"/>
  <c r="F1663" i="8"/>
  <c r="F1662" i="8"/>
  <c r="F1661" i="8"/>
  <c r="F1660" i="8"/>
  <c r="F1659" i="8"/>
  <c r="F1658" i="8"/>
  <c r="F1657" i="8"/>
  <c r="F1656" i="8"/>
  <c r="F1655" i="8"/>
  <c r="F1654" i="8"/>
  <c r="F1653" i="8"/>
  <c r="F1652" i="8"/>
  <c r="F1651" i="8"/>
  <c r="F1650" i="8"/>
  <c r="F1649" i="8"/>
  <c r="F1648" i="8"/>
  <c r="F1647" i="8"/>
  <c r="F1646" i="8"/>
  <c r="F1645" i="8"/>
  <c r="F1644" i="8"/>
  <c r="F1643" i="8"/>
  <c r="F1642" i="8"/>
  <c r="F1641" i="8"/>
  <c r="F1640" i="8"/>
  <c r="F1639" i="8"/>
  <c r="F1638" i="8"/>
  <c r="F1637" i="8"/>
  <c r="F1636" i="8"/>
  <c r="F1635" i="8"/>
  <c r="F1634" i="8"/>
  <c r="F1633" i="8"/>
  <c r="F1632" i="8"/>
  <c r="F1631" i="8"/>
  <c r="F1630" i="8"/>
  <c r="F1629" i="8"/>
  <c r="F1628" i="8"/>
  <c r="F1627" i="8"/>
  <c r="F1626" i="8"/>
  <c r="F1625" i="8"/>
  <c r="F1624" i="8"/>
  <c r="F1623" i="8"/>
  <c r="F1622" i="8"/>
  <c r="F1621" i="8"/>
  <c r="F1620" i="8"/>
  <c r="F1619" i="8"/>
  <c r="F1618" i="8"/>
  <c r="F1617" i="8"/>
  <c r="F1616" i="8"/>
  <c r="F1615" i="8"/>
  <c r="F1614" i="8"/>
  <c r="F1613" i="8"/>
  <c r="F1612" i="8"/>
  <c r="F1611" i="8"/>
  <c r="F1610" i="8"/>
  <c r="F1609" i="8"/>
  <c r="F1608" i="8"/>
  <c r="F1607" i="8"/>
  <c r="F1606" i="8"/>
  <c r="F1605" i="8"/>
  <c r="F1604" i="8"/>
  <c r="F1603" i="8"/>
  <c r="F1602" i="8"/>
  <c r="F1601" i="8"/>
  <c r="F1600" i="8"/>
  <c r="F1599" i="8"/>
  <c r="F1598" i="8"/>
  <c r="F1597" i="8"/>
  <c r="F1596" i="8"/>
  <c r="F1595" i="8"/>
  <c r="F1594" i="8"/>
  <c r="F1593" i="8"/>
  <c r="F1592" i="8"/>
  <c r="F1591" i="8"/>
  <c r="F1590" i="8"/>
  <c r="F1589" i="8"/>
  <c r="F1588" i="8"/>
  <c r="F1587" i="8"/>
  <c r="F1586" i="8"/>
  <c r="F1585" i="8"/>
  <c r="F1584" i="8"/>
  <c r="F1583" i="8"/>
  <c r="F1582" i="8"/>
  <c r="F1581" i="8"/>
  <c r="F1580" i="8"/>
  <c r="F1579" i="8"/>
  <c r="F1578" i="8"/>
  <c r="F1577" i="8"/>
  <c r="F1576" i="8"/>
  <c r="F1575" i="8"/>
  <c r="F1574" i="8"/>
  <c r="F1573" i="8"/>
  <c r="F1572" i="8"/>
  <c r="F1571" i="8"/>
  <c r="F1570" i="8"/>
  <c r="F1569" i="8"/>
  <c r="F1568" i="8"/>
  <c r="F1567" i="8"/>
  <c r="F1566" i="8"/>
  <c r="F1565" i="8"/>
  <c r="F1564" i="8"/>
  <c r="F1563" i="8"/>
  <c r="F1562" i="8"/>
  <c r="F1561" i="8"/>
  <c r="F1560" i="8"/>
  <c r="F1559" i="8"/>
  <c r="F1558" i="8"/>
  <c r="F1557" i="8"/>
  <c r="F1556" i="8"/>
  <c r="F1555" i="8"/>
  <c r="F1554" i="8"/>
  <c r="F1553" i="8"/>
  <c r="F1552" i="8"/>
  <c r="F1551" i="8"/>
  <c r="F1550" i="8"/>
  <c r="F1549" i="8"/>
  <c r="F1548" i="8"/>
  <c r="F1547" i="8"/>
  <c r="F1546" i="8"/>
  <c r="F1545" i="8"/>
  <c r="F1544" i="8"/>
  <c r="F1543" i="8"/>
  <c r="F1542" i="8"/>
  <c r="F1541" i="8"/>
  <c r="F1540" i="8"/>
  <c r="F1539" i="8"/>
  <c r="F1538" i="8"/>
  <c r="F1537" i="8"/>
  <c r="F1536" i="8"/>
  <c r="F1535" i="8"/>
  <c r="F1534" i="8"/>
  <c r="F1533" i="8"/>
  <c r="F1532" i="8"/>
  <c r="F1531" i="8"/>
  <c r="F1530" i="8"/>
  <c r="F1529" i="8"/>
  <c r="F1528" i="8"/>
  <c r="F1527" i="8"/>
  <c r="F1526" i="8"/>
  <c r="F1525" i="8"/>
  <c r="F1524" i="8"/>
  <c r="F1523" i="8"/>
  <c r="F1522" i="8"/>
  <c r="F1521" i="8"/>
  <c r="F1520" i="8"/>
  <c r="F1519" i="8"/>
  <c r="F1518" i="8"/>
  <c r="F1517" i="8"/>
  <c r="F1516" i="8"/>
  <c r="F1515" i="8"/>
  <c r="F1514" i="8"/>
  <c r="F1513" i="8"/>
  <c r="F1512" i="8"/>
  <c r="F1511" i="8"/>
  <c r="F1510" i="8"/>
  <c r="F1509" i="8"/>
  <c r="F1508" i="8"/>
  <c r="F1507" i="8"/>
  <c r="F1506" i="8"/>
  <c r="F1505" i="8"/>
  <c r="F1504" i="8"/>
  <c r="F1503" i="8"/>
  <c r="F1502" i="8"/>
  <c r="F1501" i="8"/>
  <c r="F1500" i="8"/>
  <c r="F1499" i="8"/>
  <c r="F1498" i="8"/>
  <c r="F1497" i="8"/>
  <c r="F1496" i="8"/>
  <c r="F1495" i="8"/>
  <c r="F1494" i="8"/>
  <c r="F1493" i="8"/>
  <c r="F1492" i="8"/>
  <c r="F1491" i="8"/>
  <c r="F1490" i="8"/>
  <c r="F1489" i="8"/>
  <c r="F1488" i="8"/>
  <c r="F1487" i="8"/>
  <c r="F1486" i="8"/>
  <c r="F1485" i="8"/>
  <c r="F1484" i="8"/>
  <c r="F1483" i="8"/>
  <c r="F1482" i="8"/>
  <c r="F1481" i="8"/>
  <c r="F1480" i="8"/>
  <c r="F1479" i="8"/>
  <c r="F1478" i="8"/>
  <c r="F1477" i="8"/>
  <c r="F1476" i="8"/>
  <c r="F1475" i="8"/>
  <c r="F1474" i="8"/>
  <c r="F1473" i="8"/>
  <c r="F1472" i="8"/>
  <c r="F1471" i="8"/>
  <c r="F1470" i="8"/>
  <c r="F1469" i="8"/>
  <c r="F1468" i="8"/>
  <c r="F1467" i="8"/>
  <c r="F1466" i="8"/>
  <c r="F1465" i="8"/>
  <c r="F1464" i="8"/>
  <c r="F1463" i="8"/>
  <c r="F1462" i="8"/>
  <c r="F1461" i="8"/>
  <c r="F1460" i="8"/>
  <c r="F1459" i="8"/>
  <c r="F1458" i="8"/>
  <c r="F1457" i="8"/>
  <c r="F1456" i="8"/>
  <c r="F1455" i="8"/>
  <c r="F1454" i="8"/>
  <c r="F1453" i="8"/>
  <c r="F1452" i="8"/>
  <c r="F1451" i="8"/>
  <c r="F1450" i="8"/>
  <c r="F1449" i="8"/>
  <c r="F1448" i="8"/>
  <c r="F1447" i="8"/>
  <c r="F1446" i="8"/>
  <c r="F1445" i="8"/>
  <c r="F1444" i="8"/>
  <c r="F1443" i="8"/>
  <c r="F1442" i="8"/>
  <c r="F1441" i="8"/>
  <c r="F1440" i="8"/>
  <c r="F1439" i="8"/>
  <c r="F1438" i="8"/>
  <c r="F1437" i="8"/>
  <c r="F1436" i="8"/>
  <c r="F1435" i="8"/>
  <c r="F1434" i="8"/>
  <c r="F1433" i="8"/>
  <c r="F1432" i="8"/>
  <c r="F1431" i="8"/>
  <c r="F1430" i="8"/>
  <c r="F1429" i="8"/>
  <c r="F1428" i="8"/>
  <c r="F1427" i="8"/>
  <c r="F1426" i="8"/>
  <c r="F1425" i="8"/>
  <c r="F1424" i="8"/>
  <c r="F1423" i="8"/>
  <c r="F1422" i="8"/>
  <c r="F1421" i="8"/>
  <c r="F1420" i="8"/>
  <c r="F1419" i="8"/>
  <c r="F1418" i="8"/>
  <c r="F1417" i="8"/>
  <c r="F1416" i="8"/>
  <c r="F1415" i="8"/>
  <c r="F1414" i="8"/>
  <c r="F1413" i="8"/>
  <c r="F1412" i="8"/>
  <c r="F1411" i="8"/>
  <c r="F1410" i="8"/>
  <c r="F1409" i="8"/>
  <c r="F1408" i="8"/>
  <c r="F1407" i="8"/>
  <c r="F1406" i="8"/>
  <c r="F1405" i="8"/>
  <c r="F1404" i="8"/>
  <c r="F1403" i="8"/>
  <c r="F1402" i="8"/>
  <c r="F1401" i="8"/>
  <c r="F1400" i="8"/>
  <c r="F1399" i="8"/>
  <c r="F1398" i="8"/>
  <c r="F1397" i="8"/>
  <c r="F1396" i="8"/>
  <c r="F1395" i="8"/>
  <c r="F1394" i="8"/>
  <c r="F1393" i="8"/>
  <c r="F1392" i="8"/>
  <c r="F1391" i="8"/>
  <c r="F1390" i="8"/>
  <c r="F1389" i="8"/>
  <c r="F1388" i="8"/>
  <c r="F1387" i="8"/>
  <c r="F1386" i="8"/>
  <c r="F1385" i="8"/>
  <c r="F1384" i="8"/>
  <c r="F1383" i="8"/>
  <c r="F1382" i="8"/>
  <c r="F1381" i="8"/>
  <c r="F1380" i="8"/>
  <c r="F1379" i="8"/>
  <c r="F1378" i="8"/>
  <c r="F1377" i="8"/>
  <c r="F1376" i="8"/>
  <c r="F1375" i="8"/>
  <c r="F1374" i="8"/>
  <c r="F1373" i="8"/>
  <c r="F1372" i="8"/>
  <c r="F1371" i="8"/>
  <c r="F1370" i="8"/>
  <c r="F1369" i="8"/>
  <c r="F1368" i="8"/>
  <c r="F1367" i="8"/>
  <c r="F1366" i="8"/>
  <c r="F1365" i="8"/>
  <c r="F1364" i="8"/>
  <c r="F1363" i="8"/>
  <c r="F1362" i="8"/>
  <c r="F1361" i="8"/>
  <c r="F1360" i="8"/>
  <c r="F1359" i="8"/>
  <c r="F1358" i="8"/>
  <c r="F1357" i="8"/>
  <c r="F1356" i="8"/>
  <c r="F1355" i="8"/>
  <c r="F1354" i="8"/>
  <c r="F1353" i="8"/>
  <c r="F1352" i="8"/>
  <c r="F1351" i="8"/>
  <c r="F1350" i="8"/>
  <c r="F1349" i="8"/>
  <c r="F1348" i="8"/>
  <c r="F1347" i="8"/>
  <c r="F1346" i="8"/>
  <c r="F1345" i="8"/>
  <c r="F1344" i="8"/>
  <c r="F1343" i="8"/>
  <c r="F1342" i="8"/>
  <c r="F1341" i="8"/>
  <c r="F1340" i="8"/>
  <c r="F1339" i="8"/>
  <c r="F1338" i="8"/>
  <c r="F1337" i="8"/>
  <c r="F1336" i="8"/>
  <c r="F1335" i="8"/>
  <c r="F1334" i="8"/>
  <c r="F1333" i="8"/>
  <c r="F1332" i="8"/>
  <c r="F1331" i="8"/>
  <c r="F1330" i="8"/>
  <c r="F1329" i="8"/>
  <c r="F1328" i="8"/>
  <c r="F1327" i="8"/>
  <c r="F1326" i="8"/>
  <c r="F1325" i="8"/>
  <c r="F1324" i="8"/>
  <c r="F1323" i="8"/>
  <c r="F1322" i="8"/>
  <c r="F1321" i="8"/>
  <c r="F1320" i="8"/>
  <c r="F1319" i="8"/>
  <c r="F1318" i="8"/>
  <c r="F1317" i="8"/>
  <c r="F1316" i="8"/>
  <c r="F1315" i="8"/>
  <c r="F1314" i="8"/>
  <c r="F1313" i="8"/>
  <c r="F1312" i="8"/>
  <c r="F1311" i="8"/>
  <c r="F1310" i="8"/>
  <c r="F1309" i="8"/>
  <c r="F1308" i="8"/>
  <c r="F1307" i="8"/>
  <c r="F1306" i="8"/>
  <c r="F1305" i="8"/>
  <c r="F1304" i="8"/>
  <c r="F1303" i="8"/>
  <c r="F1302" i="8"/>
  <c r="F1301" i="8"/>
  <c r="F1300" i="8"/>
  <c r="F1299" i="8"/>
  <c r="F1298" i="8"/>
  <c r="F1297" i="8"/>
  <c r="F1296" i="8"/>
  <c r="F1295" i="8"/>
  <c r="F1294" i="8"/>
  <c r="F1293" i="8"/>
  <c r="F1292" i="8"/>
  <c r="F1291" i="8"/>
  <c r="F1290" i="8"/>
  <c r="F1289" i="8"/>
  <c r="F1288" i="8"/>
  <c r="F1287" i="8"/>
  <c r="F1286" i="8"/>
  <c r="F1285" i="8"/>
  <c r="F1284" i="8"/>
  <c r="F1283" i="8"/>
  <c r="F1282" i="8"/>
  <c r="F1281" i="8"/>
  <c r="F1280" i="8"/>
  <c r="F1279" i="8"/>
  <c r="F1278" i="8"/>
  <c r="F1277" i="8"/>
  <c r="F1276" i="8"/>
  <c r="F1275" i="8"/>
  <c r="F1274" i="8"/>
  <c r="F1273" i="8"/>
  <c r="F1272" i="8"/>
  <c r="F1271" i="8"/>
  <c r="F1270" i="8"/>
  <c r="F1269" i="8"/>
  <c r="F1268" i="8"/>
  <c r="F1267" i="8"/>
  <c r="F1266" i="8"/>
  <c r="F1265" i="8"/>
  <c r="F1264" i="8"/>
  <c r="F1263" i="8"/>
  <c r="F1262" i="8"/>
  <c r="F1261" i="8"/>
  <c r="F1260" i="8"/>
  <c r="F1259" i="8"/>
  <c r="F1258" i="8"/>
  <c r="F1257" i="8"/>
  <c r="F1256" i="8"/>
  <c r="F1255" i="8"/>
  <c r="F1254" i="8"/>
  <c r="F1253" i="8"/>
  <c r="F1252" i="8"/>
  <c r="F1251" i="8"/>
  <c r="F1250" i="8"/>
  <c r="F1249" i="8"/>
  <c r="F1248" i="8"/>
  <c r="F1247" i="8"/>
  <c r="F1246" i="8"/>
  <c r="F1245" i="8"/>
  <c r="F1244" i="8"/>
  <c r="F1243" i="8"/>
  <c r="F1242" i="8"/>
  <c r="F1241" i="8"/>
  <c r="F1240" i="8"/>
  <c r="F1239" i="8"/>
  <c r="F1238" i="8"/>
  <c r="F1237" i="8"/>
  <c r="F1236" i="8"/>
  <c r="F1235" i="8"/>
  <c r="F1234" i="8"/>
  <c r="F1233" i="8"/>
  <c r="F1232" i="8"/>
  <c r="F1231" i="8"/>
  <c r="F1230" i="8"/>
  <c r="F1229" i="8"/>
  <c r="F1228" i="8"/>
  <c r="F1227" i="8"/>
  <c r="F1226" i="8"/>
  <c r="F1225" i="8"/>
  <c r="F1224" i="8"/>
  <c r="F1223" i="8"/>
  <c r="F1222" i="8"/>
  <c r="F1221" i="8"/>
  <c r="F1220" i="8"/>
  <c r="F1219" i="8"/>
  <c r="F1218" i="8"/>
  <c r="F1217" i="8"/>
  <c r="F1216" i="8"/>
  <c r="F1215" i="8"/>
  <c r="F1214" i="8"/>
  <c r="F1213" i="8"/>
  <c r="F1212" i="8"/>
  <c r="F1211" i="8"/>
  <c r="F1210" i="8"/>
  <c r="F1209" i="8"/>
  <c r="F1208" i="8"/>
  <c r="F1207" i="8"/>
  <c r="F1206" i="8"/>
  <c r="F1205" i="8"/>
  <c r="F1204" i="8"/>
  <c r="F1203" i="8"/>
  <c r="F1202" i="8"/>
  <c r="F1201" i="8"/>
  <c r="F1200" i="8"/>
  <c r="F1199" i="8"/>
  <c r="F1198" i="8"/>
  <c r="F1197" i="8"/>
  <c r="F1196" i="8"/>
  <c r="F1195" i="8"/>
  <c r="F1194" i="8"/>
  <c r="F1193" i="8"/>
  <c r="F1192" i="8"/>
  <c r="F1191" i="8"/>
  <c r="F1190" i="8"/>
  <c r="F1189" i="8"/>
  <c r="F1188" i="8"/>
  <c r="F1187" i="8"/>
  <c r="F1186" i="8"/>
  <c r="F1185" i="8"/>
  <c r="F1184" i="8"/>
  <c r="F1183" i="8"/>
  <c r="F1182" i="8"/>
  <c r="F1181" i="8"/>
  <c r="F1180" i="8"/>
  <c r="F1179" i="8"/>
  <c r="F1178" i="8"/>
  <c r="F1177" i="8"/>
  <c r="F1176" i="8"/>
  <c r="F1175" i="8"/>
  <c r="F1174" i="8"/>
  <c r="F1173" i="8"/>
  <c r="F1172" i="8"/>
  <c r="F1171" i="8"/>
  <c r="F1170" i="8"/>
  <c r="F1169" i="8"/>
  <c r="F1168" i="8"/>
  <c r="F1167" i="8"/>
  <c r="F1166" i="8"/>
  <c r="F1165" i="8"/>
  <c r="F1164" i="8"/>
  <c r="F1163" i="8"/>
  <c r="F1162" i="8"/>
  <c r="F1161" i="8"/>
  <c r="F1160" i="8"/>
  <c r="F1159" i="8"/>
  <c r="F1158" i="8"/>
  <c r="F1157" i="8"/>
  <c r="F1156" i="8"/>
  <c r="F1155" i="8"/>
  <c r="F1154" i="8"/>
  <c r="F1153" i="8"/>
  <c r="F1152" i="8"/>
  <c r="F1151" i="8"/>
  <c r="F1150" i="8"/>
  <c r="F1149" i="8"/>
  <c r="F1148" i="8"/>
  <c r="F1147" i="8"/>
  <c r="F1146" i="8"/>
  <c r="F1145" i="8"/>
  <c r="F1144" i="8"/>
  <c r="F1143" i="8"/>
  <c r="F1142" i="8"/>
  <c r="F1141" i="8"/>
  <c r="F1140" i="8"/>
  <c r="F1139" i="8"/>
  <c r="F1138" i="8"/>
  <c r="F1137" i="8"/>
  <c r="F1136" i="8"/>
  <c r="F1135" i="8"/>
  <c r="F1134" i="8"/>
  <c r="F1133" i="8"/>
  <c r="F1132" i="8"/>
  <c r="F1131" i="8"/>
  <c r="F1130" i="8"/>
  <c r="F1129" i="8"/>
  <c r="F1128" i="8"/>
  <c r="F1127" i="8"/>
  <c r="F1126" i="8"/>
  <c r="F1125" i="8"/>
  <c r="F1124" i="8"/>
  <c r="F1123" i="8"/>
  <c r="F1122" i="8"/>
  <c r="F1121" i="8"/>
  <c r="F1120" i="8"/>
  <c r="F1119" i="8"/>
  <c r="F1118" i="8"/>
  <c r="F1117" i="8"/>
  <c r="F1116" i="8"/>
  <c r="F1115" i="8"/>
  <c r="F1114" i="8"/>
  <c r="F1113" i="8"/>
  <c r="F1112" i="8"/>
  <c r="F1111" i="8"/>
  <c r="F1110" i="8"/>
  <c r="F1109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38" i="8"/>
  <c r="F637" i="8"/>
  <c r="F636" i="8"/>
  <c r="F635" i="8"/>
  <c r="F634" i="8"/>
  <c r="F633" i="8"/>
  <c r="F632" i="8"/>
  <c r="F631" i="8"/>
  <c r="F630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3" i="8"/>
  <c r="F482" i="8"/>
  <c r="F481" i="8"/>
  <c r="F480" i="8"/>
  <c r="F479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6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593" i="8"/>
  <c r="C607" i="8"/>
  <c r="C612" i="8"/>
  <c r="K610" i="8"/>
  <c r="D610" i="8"/>
  <c r="C610" i="8"/>
  <c r="K609" i="8"/>
  <c r="D609" i="8"/>
  <c r="C609" i="8"/>
  <c r="C46" i="18"/>
  <c r="K606" i="8"/>
  <c r="K607" i="8"/>
  <c r="K608" i="8"/>
  <c r="K611" i="8"/>
  <c r="K612" i="8"/>
  <c r="K613" i="8"/>
  <c r="K614" i="8"/>
  <c r="K615" i="8"/>
  <c r="K616" i="8"/>
  <c r="K617" i="8"/>
  <c r="K618" i="8"/>
  <c r="K619" i="8"/>
  <c r="K621" i="8"/>
  <c r="K622" i="8"/>
  <c r="K624" i="8"/>
  <c r="K625" i="8"/>
  <c r="K626" i="8"/>
  <c r="K627" i="8"/>
  <c r="K628" i="8"/>
  <c r="K629" i="8"/>
  <c r="K630" i="8"/>
  <c r="K631" i="8"/>
  <c r="K636" i="8"/>
  <c r="K637" i="8"/>
  <c r="K638" i="8"/>
  <c r="K645" i="8"/>
  <c r="K646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K3200" i="8"/>
  <c r="K3201" i="8"/>
  <c r="K3202" i="8"/>
  <c r="K3203" i="8"/>
  <c r="K3204" i="8"/>
  <c r="K3205" i="8"/>
  <c r="K3206" i="8"/>
  <c r="K3207" i="8"/>
  <c r="K3208" i="8"/>
  <c r="K3209" i="8"/>
  <c r="K3210" i="8"/>
  <c r="K3211" i="8"/>
  <c r="K3212" i="8"/>
  <c r="K3213" i="8"/>
  <c r="K3214" i="8"/>
  <c r="K3215" i="8"/>
  <c r="K3216" i="8"/>
  <c r="K3217" i="8"/>
  <c r="K3218" i="8"/>
  <c r="K3219" i="8"/>
  <c r="K3220" i="8"/>
  <c r="K3221" i="8"/>
  <c r="K3222" i="8"/>
  <c r="K3223" i="8"/>
  <c r="K3224" i="8"/>
  <c r="K3225" i="8"/>
  <c r="K3226" i="8"/>
  <c r="K3227" i="8"/>
  <c r="K3228" i="8"/>
  <c r="K3229" i="8"/>
  <c r="K3230" i="8"/>
  <c r="K3231" i="8"/>
  <c r="K3232" i="8"/>
  <c r="K3233" i="8"/>
  <c r="K3234" i="8"/>
  <c r="K3235" i="8"/>
  <c r="K3236" i="8"/>
  <c r="K3237" i="8"/>
  <c r="K3238" i="8"/>
  <c r="K3239" i="8"/>
  <c r="K3240" i="8"/>
  <c r="K3241" i="8"/>
  <c r="K3242" i="8"/>
  <c r="K3243" i="8"/>
  <c r="K3244" i="8"/>
  <c r="K3245" i="8"/>
  <c r="K3246" i="8"/>
  <c r="K3247" i="8"/>
  <c r="K3248" i="8"/>
  <c r="K3249" i="8"/>
  <c r="K3250" i="8"/>
  <c r="K3251" i="8"/>
  <c r="K3252" i="8"/>
  <c r="K3253" i="8"/>
  <c r="K3254" i="8"/>
  <c r="K3255" i="8"/>
  <c r="K3256" i="8"/>
  <c r="K3257" i="8"/>
  <c r="K3258" i="8"/>
  <c r="K3259" i="8"/>
  <c r="K3260" i="8"/>
  <c r="K3261" i="8"/>
  <c r="K3262" i="8"/>
  <c r="K3263" i="8"/>
  <c r="K3264" i="8"/>
  <c r="K3265" i="8"/>
  <c r="K3266" i="8"/>
  <c r="K3267" i="8"/>
  <c r="K3268" i="8"/>
  <c r="K3269" i="8"/>
  <c r="K3270" i="8"/>
  <c r="K3271" i="8"/>
  <c r="K3272" i="8"/>
  <c r="K3273" i="8"/>
  <c r="K3274" i="8"/>
  <c r="K3275" i="8"/>
  <c r="K3276" i="8"/>
  <c r="K3277" i="8"/>
  <c r="K3278" i="8"/>
  <c r="K3279" i="8"/>
  <c r="K3280" i="8"/>
  <c r="K3281" i="8"/>
  <c r="K3282" i="8"/>
  <c r="K3283" i="8"/>
  <c r="K3284" i="8"/>
  <c r="K3285" i="8"/>
  <c r="K3286" i="8"/>
  <c r="K3287" i="8"/>
  <c r="K3288" i="8"/>
  <c r="K3289" i="8"/>
  <c r="K3290" i="8"/>
  <c r="K3291" i="8"/>
  <c r="K3292" i="8"/>
  <c r="K3293" i="8"/>
  <c r="K3294" i="8"/>
  <c r="K3295" i="8"/>
  <c r="K3296" i="8"/>
  <c r="K3297" i="8"/>
  <c r="K3298" i="8"/>
  <c r="K3299" i="8"/>
  <c r="K3300" i="8"/>
  <c r="K3301" i="8"/>
  <c r="K3302" i="8"/>
  <c r="K3303" i="8"/>
  <c r="K3304" i="8"/>
  <c r="K3305" i="8"/>
  <c r="K3306" i="8"/>
  <c r="K3307" i="8"/>
  <c r="K3308" i="8"/>
  <c r="K3309" i="8"/>
  <c r="K3310" i="8"/>
  <c r="K3311" i="8"/>
  <c r="K3312" i="8"/>
  <c r="K3313" i="8"/>
  <c r="K3314" i="8"/>
  <c r="K3315" i="8"/>
  <c r="K3316" i="8"/>
  <c r="K3317" i="8"/>
  <c r="K3318" i="8"/>
  <c r="K3319" i="8"/>
  <c r="K3320" i="8"/>
  <c r="K3321" i="8"/>
  <c r="K3322" i="8"/>
  <c r="K3323" i="8"/>
  <c r="K3324" i="8"/>
  <c r="K3325" i="8"/>
  <c r="K3326" i="8"/>
  <c r="K3327" i="8"/>
  <c r="K3328" i="8"/>
  <c r="K3329" i="8"/>
  <c r="K3330" i="8"/>
  <c r="K3331" i="8"/>
  <c r="K3332" i="8"/>
  <c r="K3333" i="8"/>
  <c r="K3334" i="8"/>
  <c r="K3335" i="8"/>
  <c r="K3336" i="8"/>
  <c r="K3337" i="8"/>
  <c r="K3338" i="8"/>
  <c r="K3339" i="8"/>
  <c r="K3340" i="8"/>
  <c r="K3341" i="8"/>
  <c r="K3342" i="8"/>
  <c r="K3343" i="8"/>
  <c r="K3344" i="8"/>
  <c r="K3345" i="8"/>
  <c r="K3346" i="8"/>
  <c r="K3347" i="8"/>
  <c r="K3348" i="8"/>
  <c r="K3349" i="8"/>
  <c r="K3350" i="8"/>
  <c r="K3351" i="8"/>
  <c r="K3352" i="8"/>
  <c r="K3353" i="8"/>
  <c r="K3354" i="8"/>
  <c r="K3355" i="8"/>
  <c r="K3356" i="8"/>
  <c r="K3357" i="8"/>
  <c r="K3358" i="8"/>
  <c r="K3359" i="8"/>
  <c r="K3360" i="8"/>
  <c r="K3361" i="8"/>
  <c r="K3362" i="8"/>
  <c r="K3363" i="8"/>
  <c r="K3364" i="8"/>
  <c r="K3365" i="8"/>
  <c r="K3366" i="8"/>
  <c r="K3367" i="8"/>
  <c r="K3368" i="8"/>
  <c r="K3369" i="8"/>
  <c r="K3370" i="8"/>
  <c r="K3371" i="8"/>
  <c r="K3372" i="8"/>
  <c r="K3373" i="8"/>
  <c r="K3374" i="8"/>
  <c r="K3375" i="8"/>
  <c r="K3376" i="8"/>
  <c r="K3377" i="8"/>
  <c r="K3378" i="8"/>
  <c r="K3379" i="8"/>
  <c r="K3380" i="8"/>
  <c r="K3381" i="8"/>
  <c r="K3382" i="8"/>
  <c r="K3383" i="8"/>
  <c r="K3384" i="8"/>
  <c r="K3385" i="8"/>
  <c r="K3386" i="8"/>
  <c r="K3387" i="8"/>
  <c r="K3388" i="8"/>
  <c r="K3389" i="8"/>
  <c r="K3390" i="8"/>
  <c r="K3391" i="8"/>
  <c r="K3392" i="8"/>
  <c r="K3393" i="8"/>
  <c r="K3394" i="8"/>
  <c r="K3395" i="8"/>
  <c r="K3396" i="8"/>
  <c r="K3397" i="8"/>
  <c r="K3398" i="8"/>
  <c r="K3399" i="8"/>
  <c r="K3400" i="8"/>
  <c r="K3401" i="8"/>
  <c r="K3402" i="8"/>
  <c r="K3403" i="8"/>
  <c r="K3404" i="8"/>
  <c r="K3405" i="8"/>
  <c r="K3406" i="8"/>
  <c r="K3407" i="8"/>
  <c r="K3408" i="8"/>
  <c r="K3409" i="8"/>
  <c r="K3410" i="8"/>
  <c r="K3411" i="8"/>
  <c r="K3412" i="8"/>
  <c r="K3413" i="8"/>
  <c r="K3414" i="8"/>
  <c r="K3415" i="8"/>
  <c r="K3416" i="8"/>
  <c r="K3417" i="8"/>
  <c r="K3418" i="8"/>
  <c r="K3419" i="8"/>
  <c r="K3420" i="8"/>
  <c r="K3421" i="8"/>
  <c r="K3422" i="8"/>
  <c r="K3423" i="8"/>
  <c r="K3424" i="8"/>
  <c r="K3425" i="8"/>
  <c r="K3426" i="8"/>
  <c r="K3427" i="8"/>
  <c r="K3428" i="8"/>
  <c r="K3429" i="8"/>
  <c r="K3430" i="8"/>
  <c r="K3431" i="8"/>
  <c r="K3432" i="8"/>
  <c r="K3433" i="8"/>
  <c r="K3434" i="8"/>
  <c r="K3435" i="8"/>
  <c r="K3436" i="8"/>
  <c r="K3437" i="8"/>
  <c r="K3438" i="8"/>
  <c r="K3439" i="8"/>
  <c r="K3440" i="8"/>
  <c r="K3441" i="8"/>
  <c r="K3442" i="8"/>
  <c r="K3443" i="8"/>
  <c r="K3444" i="8"/>
  <c r="K3445" i="8"/>
  <c r="K3446" i="8"/>
  <c r="K3447" i="8"/>
  <c r="K3448" i="8"/>
  <c r="K3449" i="8"/>
  <c r="K3450" i="8"/>
  <c r="K3451" i="8"/>
  <c r="K3452" i="8"/>
  <c r="K3453" i="8"/>
  <c r="K3454" i="8"/>
  <c r="K3455" i="8"/>
  <c r="K3456" i="8"/>
  <c r="K3457" i="8"/>
  <c r="K3458" i="8"/>
  <c r="K3459" i="8"/>
  <c r="K3460" i="8"/>
  <c r="K3461" i="8"/>
  <c r="K3462" i="8"/>
  <c r="K3463" i="8"/>
  <c r="K3464" i="8"/>
  <c r="K3465" i="8"/>
  <c r="K3466" i="8"/>
  <c r="K3467" i="8"/>
  <c r="K3468" i="8"/>
  <c r="K3469" i="8"/>
  <c r="K3470" i="8"/>
  <c r="K3471" i="8"/>
  <c r="K3472" i="8"/>
  <c r="K3473" i="8"/>
  <c r="K3474" i="8"/>
  <c r="K3475" i="8"/>
  <c r="K3476" i="8"/>
  <c r="K3477" i="8"/>
  <c r="K3478" i="8"/>
  <c r="K3479" i="8"/>
  <c r="K3480" i="8"/>
  <c r="K3481" i="8"/>
  <c r="K3482" i="8"/>
  <c r="K3483" i="8"/>
  <c r="K3484" i="8"/>
  <c r="K3485" i="8"/>
  <c r="K3486" i="8"/>
  <c r="K3487" i="8"/>
  <c r="K3488" i="8"/>
  <c r="K3489" i="8"/>
  <c r="K3490" i="8"/>
  <c r="K3491" i="8"/>
  <c r="K3492" i="8"/>
  <c r="K3493" i="8"/>
  <c r="K3494" i="8"/>
  <c r="K3495" i="8"/>
  <c r="K3496" i="8"/>
  <c r="K3497" i="8"/>
  <c r="K3498" i="8"/>
  <c r="K3499" i="8"/>
  <c r="K3500" i="8"/>
  <c r="K3501" i="8"/>
  <c r="K3502" i="8"/>
  <c r="K3503" i="8"/>
  <c r="K3504" i="8"/>
  <c r="K3505" i="8"/>
  <c r="K3506" i="8"/>
  <c r="K3507" i="8"/>
  <c r="K3508" i="8"/>
  <c r="K3509" i="8"/>
  <c r="K3510" i="8"/>
  <c r="K3511" i="8"/>
  <c r="K3512" i="8"/>
  <c r="K3513" i="8"/>
  <c r="K3514" i="8"/>
  <c r="K3515" i="8"/>
  <c r="K3516" i="8"/>
  <c r="K3517" i="8"/>
  <c r="K3518" i="8"/>
  <c r="K3519" i="8"/>
  <c r="K3520" i="8"/>
  <c r="K3521" i="8"/>
  <c r="K3522" i="8"/>
  <c r="K3523" i="8"/>
  <c r="K3524" i="8"/>
  <c r="K3525" i="8"/>
  <c r="K3526" i="8"/>
  <c r="K3527" i="8"/>
  <c r="K3528" i="8"/>
  <c r="K3529" i="8"/>
  <c r="K3530" i="8"/>
  <c r="K3531" i="8"/>
  <c r="K3532" i="8"/>
  <c r="K3533" i="8"/>
  <c r="K3534" i="8"/>
  <c r="K3535" i="8"/>
  <c r="K3536" i="8"/>
  <c r="K3537" i="8"/>
  <c r="K3538" i="8"/>
  <c r="K3539" i="8"/>
  <c r="K3540" i="8"/>
  <c r="K3541" i="8"/>
  <c r="K3542" i="8"/>
  <c r="K3543" i="8"/>
  <c r="K3544" i="8"/>
  <c r="K3545" i="8"/>
  <c r="K3546" i="8"/>
  <c r="K3547" i="8"/>
  <c r="K3548" i="8"/>
  <c r="K3549" i="8"/>
  <c r="K3550" i="8"/>
  <c r="K3551" i="8"/>
  <c r="K3552" i="8"/>
  <c r="K3553" i="8"/>
  <c r="K3554" i="8"/>
  <c r="K3555" i="8"/>
  <c r="K3556" i="8"/>
  <c r="K3557" i="8"/>
  <c r="K3558" i="8"/>
  <c r="K3559" i="8"/>
  <c r="K3560" i="8"/>
  <c r="K3561" i="8"/>
  <c r="K3562" i="8"/>
  <c r="K3563" i="8"/>
  <c r="K3564" i="8"/>
  <c r="K3565" i="8"/>
  <c r="K3566" i="8"/>
  <c r="K3567" i="8"/>
  <c r="K3568" i="8"/>
  <c r="K3569" i="8"/>
  <c r="K3570" i="8"/>
  <c r="K3571" i="8"/>
  <c r="K3572" i="8"/>
  <c r="K3573" i="8"/>
  <c r="K3574" i="8"/>
  <c r="K3575" i="8"/>
  <c r="K3576" i="8"/>
  <c r="K3577" i="8"/>
  <c r="K3578" i="8"/>
  <c r="K3579" i="8"/>
  <c r="K3580" i="8"/>
  <c r="K3581" i="8"/>
  <c r="K3582" i="8"/>
  <c r="K3583" i="8"/>
  <c r="K3584" i="8"/>
  <c r="K3585" i="8"/>
  <c r="K3586" i="8"/>
  <c r="K3587" i="8"/>
  <c r="K3588" i="8"/>
  <c r="K3589" i="8"/>
  <c r="K3590" i="8"/>
  <c r="K3591" i="8"/>
  <c r="K3592" i="8"/>
  <c r="K3593" i="8"/>
  <c r="K3594" i="8"/>
  <c r="K3595" i="8"/>
  <c r="K3596" i="8"/>
  <c r="K3597" i="8"/>
  <c r="K3598" i="8"/>
  <c r="K3599" i="8"/>
  <c r="K3600" i="8"/>
  <c r="K3601" i="8"/>
  <c r="K3602" i="8"/>
  <c r="K3603" i="8"/>
  <c r="K3604" i="8"/>
  <c r="K3605" i="8"/>
  <c r="K3606" i="8"/>
  <c r="K3607" i="8"/>
  <c r="K3608" i="8"/>
  <c r="K3609" i="8"/>
  <c r="K3610" i="8"/>
  <c r="K3611" i="8"/>
  <c r="K3612" i="8"/>
  <c r="K3613" i="8"/>
  <c r="K3614" i="8"/>
  <c r="K3615" i="8"/>
  <c r="K3616" i="8"/>
  <c r="K3617" i="8"/>
  <c r="K3618" i="8"/>
  <c r="K3619" i="8"/>
  <c r="K3620" i="8"/>
  <c r="K3621" i="8"/>
  <c r="K3622" i="8"/>
  <c r="K3623" i="8"/>
  <c r="K3624" i="8"/>
  <c r="K3625" i="8"/>
  <c r="K3626" i="8"/>
  <c r="K3627" i="8"/>
  <c r="K3628" i="8"/>
  <c r="K3629" i="8"/>
  <c r="K3630" i="8"/>
  <c r="K3631" i="8"/>
  <c r="K3632" i="8"/>
  <c r="K3633" i="8"/>
  <c r="K3634" i="8"/>
  <c r="K3635" i="8"/>
  <c r="K3636" i="8"/>
  <c r="K3637" i="8"/>
  <c r="K3638" i="8"/>
  <c r="K3639" i="8"/>
  <c r="K3640" i="8"/>
  <c r="K3641" i="8"/>
  <c r="K3642" i="8"/>
  <c r="K3643" i="8"/>
  <c r="K3644" i="8"/>
  <c r="K3645" i="8"/>
  <c r="K3646" i="8"/>
  <c r="K3647" i="8"/>
  <c r="K3648" i="8"/>
  <c r="K3649" i="8"/>
  <c r="K3650" i="8"/>
  <c r="K3651" i="8"/>
  <c r="K3652" i="8"/>
  <c r="K3653" i="8"/>
  <c r="K3654" i="8"/>
  <c r="K3655" i="8"/>
  <c r="K3656" i="8"/>
  <c r="K3657" i="8"/>
  <c r="K3658" i="8"/>
  <c r="K3659" i="8"/>
  <c r="K3660" i="8"/>
  <c r="K3661" i="8"/>
  <c r="K3662" i="8"/>
  <c r="K3663" i="8"/>
  <c r="K3664" i="8"/>
  <c r="K3665" i="8"/>
  <c r="K3666" i="8"/>
  <c r="K3667" i="8"/>
  <c r="K3668" i="8"/>
  <c r="K3669" i="8"/>
  <c r="K3670" i="8"/>
  <c r="K3671" i="8"/>
  <c r="K3672" i="8"/>
  <c r="K3673" i="8"/>
  <c r="K3674" i="8"/>
  <c r="K3675" i="8"/>
  <c r="K3676" i="8"/>
  <c r="K3677" i="8"/>
  <c r="K3678" i="8"/>
  <c r="K3679" i="8"/>
  <c r="K3680" i="8"/>
  <c r="K3681" i="8"/>
  <c r="K3682" i="8"/>
  <c r="K3683" i="8"/>
  <c r="K3684" i="8"/>
  <c r="K3685" i="8"/>
  <c r="K3686" i="8"/>
  <c r="K3687" i="8"/>
  <c r="K3688" i="8"/>
  <c r="K3689" i="8"/>
  <c r="K3690" i="8"/>
  <c r="K3691" i="8"/>
  <c r="K3692" i="8"/>
  <c r="K3693" i="8"/>
  <c r="K3694" i="8"/>
  <c r="K3695" i="8"/>
  <c r="K3696" i="8"/>
  <c r="K3697" i="8"/>
  <c r="K3698" i="8"/>
  <c r="K3699" i="8"/>
  <c r="K3700" i="8"/>
  <c r="K3701" i="8"/>
  <c r="K3702" i="8"/>
  <c r="K3703" i="8"/>
  <c r="K3704" i="8"/>
  <c r="K3705" i="8"/>
  <c r="K3706" i="8"/>
  <c r="K3707" i="8"/>
  <c r="K3708" i="8"/>
  <c r="K3709" i="8"/>
  <c r="K3710" i="8"/>
  <c r="K3711" i="8"/>
  <c r="K3712" i="8"/>
  <c r="K3713" i="8"/>
  <c r="K3714" i="8"/>
  <c r="K3715" i="8"/>
  <c r="K3716" i="8"/>
  <c r="K3717" i="8"/>
  <c r="K3718" i="8"/>
  <c r="K3719" i="8"/>
  <c r="K3720" i="8"/>
  <c r="K3721" i="8"/>
  <c r="K3722" i="8"/>
  <c r="K3723" i="8"/>
  <c r="K3724" i="8"/>
  <c r="K3725" i="8"/>
  <c r="K3726" i="8"/>
  <c r="K3727" i="8"/>
  <c r="K3728" i="8"/>
  <c r="K3729" i="8"/>
  <c r="K3730" i="8"/>
  <c r="K3731" i="8"/>
  <c r="K3732" i="8"/>
  <c r="K3733" i="8"/>
  <c r="K3734" i="8"/>
  <c r="K3735" i="8"/>
  <c r="K3736" i="8"/>
  <c r="K3737" i="8"/>
  <c r="K3738" i="8"/>
  <c r="K3739" i="8"/>
  <c r="K3740" i="8"/>
  <c r="K3741" i="8"/>
  <c r="K3742" i="8"/>
  <c r="K3743" i="8"/>
  <c r="K3744" i="8"/>
  <c r="K3745" i="8"/>
  <c r="K3746" i="8"/>
  <c r="K3747" i="8"/>
  <c r="K3748" i="8"/>
  <c r="K3749" i="8"/>
  <c r="K3750" i="8"/>
  <c r="K3751" i="8"/>
  <c r="K3752" i="8"/>
  <c r="K3753" i="8"/>
  <c r="K3754" i="8"/>
  <c r="K3755" i="8"/>
  <c r="K3756" i="8"/>
  <c r="K3757" i="8"/>
  <c r="K3758" i="8"/>
  <c r="K3759" i="8"/>
  <c r="K3760" i="8"/>
  <c r="K3761" i="8"/>
  <c r="K3762" i="8"/>
  <c r="K3763" i="8"/>
  <c r="K3764" i="8"/>
  <c r="K3765" i="8"/>
  <c r="K3766" i="8"/>
  <c r="K3767" i="8"/>
  <c r="K3768" i="8"/>
  <c r="K3769" i="8"/>
  <c r="K3770" i="8"/>
  <c r="K3771" i="8"/>
  <c r="K3772" i="8"/>
  <c r="K3773" i="8"/>
  <c r="K3774" i="8"/>
  <c r="K3775" i="8"/>
  <c r="K3776" i="8"/>
  <c r="K3777" i="8"/>
  <c r="K3778" i="8"/>
  <c r="K3779" i="8"/>
  <c r="K3780" i="8"/>
  <c r="K3781" i="8"/>
  <c r="K3782" i="8"/>
  <c r="K3783" i="8"/>
  <c r="K3784" i="8"/>
  <c r="K3785" i="8"/>
  <c r="K3786" i="8"/>
  <c r="K3787" i="8"/>
  <c r="K3788" i="8"/>
  <c r="K3789" i="8"/>
  <c r="K3790" i="8"/>
  <c r="K3791" i="8"/>
  <c r="K3792" i="8"/>
  <c r="K3793" i="8"/>
  <c r="K3794" i="8"/>
  <c r="K3795" i="8"/>
  <c r="K3796" i="8"/>
  <c r="K3797" i="8"/>
  <c r="K3798" i="8"/>
  <c r="K3799" i="8"/>
  <c r="K3800" i="8"/>
  <c r="K3801" i="8"/>
  <c r="K3802" i="8"/>
  <c r="K3803" i="8"/>
  <c r="K3804" i="8"/>
  <c r="K3805" i="8"/>
  <c r="K3806" i="8"/>
  <c r="K3807" i="8"/>
  <c r="K3808" i="8"/>
  <c r="K3809" i="8"/>
  <c r="K3810" i="8"/>
  <c r="K3811" i="8"/>
  <c r="K3812" i="8"/>
  <c r="K3813" i="8"/>
  <c r="K3814" i="8"/>
  <c r="K3815" i="8"/>
  <c r="K3816" i="8"/>
  <c r="K3817" i="8"/>
  <c r="K3818" i="8"/>
  <c r="K3819" i="8"/>
  <c r="K3820" i="8"/>
  <c r="K3821" i="8"/>
  <c r="K3822" i="8"/>
  <c r="K3823" i="8"/>
  <c r="K3824" i="8"/>
  <c r="K3825" i="8"/>
  <c r="K3826" i="8"/>
  <c r="K3827" i="8"/>
  <c r="K3828" i="8"/>
  <c r="K3829" i="8"/>
  <c r="K3830" i="8"/>
  <c r="K3831" i="8"/>
  <c r="K3832" i="8"/>
  <c r="K3833" i="8"/>
  <c r="K3834" i="8"/>
  <c r="K3835" i="8"/>
  <c r="K3836" i="8"/>
  <c r="K3837" i="8"/>
  <c r="K3838" i="8"/>
  <c r="K3839" i="8"/>
  <c r="K3840" i="8"/>
  <c r="K3841" i="8"/>
  <c r="K3842" i="8"/>
  <c r="K3843" i="8"/>
  <c r="K3844" i="8"/>
  <c r="K3845" i="8"/>
  <c r="K3846" i="8"/>
  <c r="K3847" i="8"/>
  <c r="K3848" i="8"/>
  <c r="K3849" i="8"/>
  <c r="K3850" i="8"/>
  <c r="K3851" i="8"/>
  <c r="K3852" i="8"/>
  <c r="K3853" i="8"/>
  <c r="K3854" i="8"/>
  <c r="K3855" i="8"/>
  <c r="K3856" i="8"/>
  <c r="K3857" i="8"/>
  <c r="K3858" i="8"/>
  <c r="K3859" i="8"/>
  <c r="K3860" i="8"/>
  <c r="K3861" i="8"/>
  <c r="K3862" i="8"/>
  <c r="K3863" i="8"/>
  <c r="K3864" i="8"/>
  <c r="K3865" i="8"/>
  <c r="K3866" i="8"/>
  <c r="K3867" i="8"/>
  <c r="K3868" i="8"/>
  <c r="K3869" i="8"/>
  <c r="K3870" i="8"/>
  <c r="K3871" i="8"/>
  <c r="K3872" i="8"/>
  <c r="K3873" i="8"/>
  <c r="K3874" i="8"/>
  <c r="K3875" i="8"/>
  <c r="K3876" i="8"/>
  <c r="K3877" i="8"/>
  <c r="K3878" i="8"/>
  <c r="K3879" i="8"/>
  <c r="K3880" i="8"/>
  <c r="K3881" i="8"/>
  <c r="K3882" i="8"/>
  <c r="K3883" i="8"/>
  <c r="K3884" i="8"/>
  <c r="K3885" i="8"/>
  <c r="K3886" i="8"/>
  <c r="K3887" i="8"/>
  <c r="K3888" i="8"/>
  <c r="K3889" i="8"/>
  <c r="K3890" i="8"/>
  <c r="K3891" i="8"/>
  <c r="K3892" i="8"/>
  <c r="K3893" i="8"/>
  <c r="K3894" i="8"/>
  <c r="K3895" i="8"/>
  <c r="K3896" i="8"/>
  <c r="K3897" i="8"/>
  <c r="K3898" i="8"/>
  <c r="K3899" i="8"/>
  <c r="K3900" i="8"/>
  <c r="K3901" i="8"/>
  <c r="K3902" i="8"/>
  <c r="K3903" i="8"/>
  <c r="K3904" i="8"/>
  <c r="K3905" i="8"/>
  <c r="K3906" i="8"/>
  <c r="K3907" i="8"/>
  <c r="K3908" i="8"/>
  <c r="K3909" i="8"/>
  <c r="K3910" i="8"/>
  <c r="K3911" i="8"/>
  <c r="K3912" i="8"/>
  <c r="K3913" i="8"/>
  <c r="K3914" i="8"/>
  <c r="K3915" i="8"/>
  <c r="K3916" i="8"/>
  <c r="K3917" i="8"/>
  <c r="K3918" i="8"/>
  <c r="K3919" i="8"/>
  <c r="K3920" i="8"/>
  <c r="K3921" i="8"/>
  <c r="K3922" i="8"/>
  <c r="K3923" i="8"/>
  <c r="K3924" i="8"/>
  <c r="K3925" i="8"/>
  <c r="K3926" i="8"/>
  <c r="K3927" i="8"/>
  <c r="K3928" i="8"/>
  <c r="K3929" i="8"/>
  <c r="K3930" i="8"/>
  <c r="K3931" i="8"/>
  <c r="K3932" i="8"/>
  <c r="K3933" i="8"/>
  <c r="K3934" i="8"/>
  <c r="K3935" i="8"/>
  <c r="K3936" i="8"/>
  <c r="K3937" i="8"/>
  <c r="K3938" i="8"/>
  <c r="K3939" i="8"/>
  <c r="K3940" i="8"/>
  <c r="K3941" i="8"/>
  <c r="K3942" i="8"/>
  <c r="K3943" i="8"/>
  <c r="K3944" i="8"/>
  <c r="K3945" i="8"/>
  <c r="K3946" i="8"/>
  <c r="K3947" i="8"/>
  <c r="K3948" i="8"/>
  <c r="K3949" i="8"/>
  <c r="K3950" i="8"/>
  <c r="K3951" i="8"/>
  <c r="K3952" i="8"/>
  <c r="K3953" i="8"/>
  <c r="K3954" i="8"/>
  <c r="K3955" i="8"/>
  <c r="K3956" i="8"/>
  <c r="K3957" i="8"/>
  <c r="K3958" i="8"/>
  <c r="K3959" i="8"/>
  <c r="K3960" i="8"/>
  <c r="K3961" i="8"/>
  <c r="K3962" i="8"/>
  <c r="K3963" i="8"/>
  <c r="K3964" i="8"/>
  <c r="K3965" i="8"/>
  <c r="K3966" i="8"/>
  <c r="K3967" i="8"/>
  <c r="K3968" i="8"/>
  <c r="K3969" i="8"/>
  <c r="K3970" i="8"/>
  <c r="K3971" i="8"/>
  <c r="K3972" i="8"/>
  <c r="K3973" i="8"/>
  <c r="K3974" i="8"/>
  <c r="K3975" i="8"/>
  <c r="K3976" i="8"/>
  <c r="K3977" i="8"/>
  <c r="K3978" i="8"/>
  <c r="K3979" i="8"/>
  <c r="K3980" i="8"/>
  <c r="K3981" i="8"/>
  <c r="K3982" i="8"/>
  <c r="K3983" i="8"/>
  <c r="K3984" i="8"/>
  <c r="K3985" i="8"/>
  <c r="K3986" i="8"/>
  <c r="K3987" i="8"/>
  <c r="K3988" i="8"/>
  <c r="K3989" i="8"/>
  <c r="K3990" i="8"/>
  <c r="K3991" i="8"/>
  <c r="K3992" i="8"/>
  <c r="K3993" i="8"/>
  <c r="K3994" i="8"/>
  <c r="K3995" i="8"/>
  <c r="K3996" i="8"/>
  <c r="K3997" i="8"/>
  <c r="K3998" i="8"/>
  <c r="K3999" i="8"/>
  <c r="K4000" i="8"/>
  <c r="K4001" i="8"/>
  <c r="K4002" i="8"/>
  <c r="K4003" i="8"/>
  <c r="K4004" i="8"/>
  <c r="K4005" i="8"/>
  <c r="K4006" i="8"/>
  <c r="K4007" i="8"/>
  <c r="K4008" i="8"/>
  <c r="K4009" i="8"/>
  <c r="K4010" i="8"/>
  <c r="K4011" i="8"/>
  <c r="K4012" i="8"/>
  <c r="K4013" i="8"/>
  <c r="K4014" i="8"/>
  <c r="K4015" i="8"/>
  <c r="K4016" i="8"/>
  <c r="K4017" i="8"/>
  <c r="K4018" i="8"/>
  <c r="K4019" i="8"/>
  <c r="K4020" i="8"/>
  <c r="K4021" i="8"/>
  <c r="K4022" i="8"/>
  <c r="K4023" i="8"/>
  <c r="K4024" i="8"/>
  <c r="K4025" i="8"/>
  <c r="K4026" i="8"/>
  <c r="K4027" i="8"/>
  <c r="K4028" i="8"/>
  <c r="K4029" i="8"/>
  <c r="K4030" i="8"/>
  <c r="K4031" i="8"/>
  <c r="K4032" i="8"/>
  <c r="K4033" i="8"/>
  <c r="K4034" i="8"/>
  <c r="K4035" i="8"/>
  <c r="K4036" i="8"/>
  <c r="K4037" i="8"/>
  <c r="K4038" i="8"/>
  <c r="K4039" i="8"/>
  <c r="K4040" i="8"/>
  <c r="K4041" i="8"/>
  <c r="K4042" i="8"/>
  <c r="K4043" i="8"/>
  <c r="K4044" i="8"/>
  <c r="K4045" i="8"/>
  <c r="K4046" i="8"/>
  <c r="K4047" i="8"/>
  <c r="K4048" i="8"/>
  <c r="K4049" i="8"/>
  <c r="K4050" i="8"/>
  <c r="K4051" i="8"/>
  <c r="K4052" i="8"/>
  <c r="K4053" i="8"/>
  <c r="K4054" i="8"/>
  <c r="K4055" i="8"/>
  <c r="K4056" i="8"/>
  <c r="K4057" i="8"/>
  <c r="K4058" i="8"/>
  <c r="K4059" i="8"/>
  <c r="K4060" i="8"/>
  <c r="K4061" i="8"/>
  <c r="K4062" i="8"/>
  <c r="K4063" i="8"/>
  <c r="K4064" i="8"/>
  <c r="K4065" i="8"/>
  <c r="K4066" i="8"/>
  <c r="K4067" i="8"/>
  <c r="K4068" i="8"/>
  <c r="K4069" i="8"/>
  <c r="K4070" i="8"/>
  <c r="K4071" i="8"/>
  <c r="K4072" i="8"/>
  <c r="K4073" i="8"/>
  <c r="K4074" i="8"/>
  <c r="K4075" i="8"/>
  <c r="K4076" i="8"/>
  <c r="K4077" i="8"/>
  <c r="K4078" i="8"/>
  <c r="K4079" i="8"/>
  <c r="K4080" i="8"/>
  <c r="K4081" i="8"/>
  <c r="K4082" i="8"/>
  <c r="K4083" i="8"/>
  <c r="K4084" i="8"/>
  <c r="K4085" i="8"/>
  <c r="K4086" i="8"/>
  <c r="K4087" i="8"/>
  <c r="K4088" i="8"/>
  <c r="K4089" i="8"/>
  <c r="K4090" i="8"/>
  <c r="K4091" i="8"/>
  <c r="K4092" i="8"/>
  <c r="K4093" i="8"/>
  <c r="K4094" i="8"/>
  <c r="K4095" i="8"/>
  <c r="K4096" i="8"/>
  <c r="K4097" i="8"/>
  <c r="K4098" i="8"/>
  <c r="K4099" i="8"/>
  <c r="K4100" i="8"/>
  <c r="K4101" i="8"/>
  <c r="K4102" i="8"/>
  <c r="K4103" i="8"/>
  <c r="K4104" i="8"/>
  <c r="K4105" i="8"/>
  <c r="K4106" i="8"/>
  <c r="K4107" i="8"/>
  <c r="K4108" i="8"/>
  <c r="K4109" i="8"/>
  <c r="K4110" i="8"/>
  <c r="K4111" i="8"/>
  <c r="K4112" i="8"/>
  <c r="K4113" i="8"/>
  <c r="K4114" i="8"/>
  <c r="K4115" i="8"/>
  <c r="K4116" i="8"/>
  <c r="K4117" i="8"/>
  <c r="K4118" i="8"/>
  <c r="K4119" i="8"/>
  <c r="K4120" i="8"/>
  <c r="K4121" i="8"/>
  <c r="K4122" i="8"/>
  <c r="K4123" i="8"/>
  <c r="K4124" i="8"/>
  <c r="K4125" i="8"/>
  <c r="K4126" i="8"/>
  <c r="K4127" i="8"/>
  <c r="K4128" i="8"/>
  <c r="K4129" i="8"/>
  <c r="K4130" i="8"/>
  <c r="K4131" i="8"/>
  <c r="K4132" i="8"/>
  <c r="K4133" i="8"/>
  <c r="K4134" i="8"/>
  <c r="K4135" i="8"/>
  <c r="K4136" i="8"/>
  <c r="K4137" i="8"/>
  <c r="K4138" i="8"/>
  <c r="K4139" i="8"/>
  <c r="K4140" i="8"/>
  <c r="K4141" i="8"/>
  <c r="K4142" i="8"/>
  <c r="K4143" i="8"/>
  <c r="K4144" i="8"/>
  <c r="K4145" i="8"/>
  <c r="K4146" i="8"/>
  <c r="K4147" i="8"/>
  <c r="K4148" i="8"/>
  <c r="K4149" i="8"/>
  <c r="K4150" i="8"/>
  <c r="K4151" i="8"/>
  <c r="K4152" i="8"/>
  <c r="K4153" i="8"/>
  <c r="K4154" i="8"/>
  <c r="K4155" i="8"/>
  <c r="K4156" i="8"/>
  <c r="K4157" i="8"/>
  <c r="K4158" i="8"/>
  <c r="K4159" i="8"/>
  <c r="K4160" i="8"/>
  <c r="K4161" i="8"/>
  <c r="K4162" i="8"/>
  <c r="K4163" i="8"/>
  <c r="K4164" i="8"/>
  <c r="K4165" i="8"/>
  <c r="K4166" i="8"/>
  <c r="K4167" i="8"/>
  <c r="K4168" i="8"/>
  <c r="K4169" i="8"/>
  <c r="K4170" i="8"/>
  <c r="K4171" i="8"/>
  <c r="K4172" i="8"/>
  <c r="K4173" i="8"/>
  <c r="K4174" i="8"/>
  <c r="K4175" i="8"/>
  <c r="K4176" i="8"/>
  <c r="K4177" i="8"/>
  <c r="K4178" i="8"/>
  <c r="K4179" i="8"/>
  <c r="K4180" i="8"/>
  <c r="K4181" i="8"/>
  <c r="K4182" i="8"/>
  <c r="K4183" i="8"/>
  <c r="K4184" i="8"/>
  <c r="K4185" i="8"/>
  <c r="K4186" i="8"/>
  <c r="K4187" i="8"/>
  <c r="K4188" i="8"/>
  <c r="K4189" i="8"/>
  <c r="K4190" i="8"/>
  <c r="K4191" i="8"/>
  <c r="K4192" i="8"/>
  <c r="K4193" i="8"/>
  <c r="K4194" i="8"/>
  <c r="K4195" i="8"/>
  <c r="K4196" i="8"/>
  <c r="K4197" i="8"/>
  <c r="K4198" i="8"/>
  <c r="K4199" i="8"/>
  <c r="K4200" i="8"/>
  <c r="K4201" i="8"/>
  <c r="K4202" i="8"/>
  <c r="K4203" i="8"/>
  <c r="K4204" i="8"/>
  <c r="K4205" i="8"/>
  <c r="K4206" i="8"/>
  <c r="K4207" i="8"/>
  <c r="K4208" i="8"/>
  <c r="K4209" i="8"/>
  <c r="K4210" i="8"/>
  <c r="K4211" i="8"/>
  <c r="K4212" i="8"/>
  <c r="K4213" i="8"/>
  <c r="K4214" i="8"/>
  <c r="K4215" i="8"/>
  <c r="K4216" i="8"/>
  <c r="K4217" i="8"/>
  <c r="K4218" i="8"/>
  <c r="K4219" i="8"/>
  <c r="K4220" i="8"/>
  <c r="K4221" i="8"/>
  <c r="K4222" i="8"/>
  <c r="K4223" i="8"/>
  <c r="K4224" i="8"/>
  <c r="K4225" i="8"/>
  <c r="K4226" i="8"/>
  <c r="K4227" i="8"/>
  <c r="K4228" i="8"/>
  <c r="K4229" i="8"/>
  <c r="K4230" i="8"/>
  <c r="K4231" i="8"/>
  <c r="K4232" i="8"/>
  <c r="K4233" i="8"/>
  <c r="K4234" i="8"/>
  <c r="K4235" i="8"/>
  <c r="K4236" i="8"/>
  <c r="K4237" i="8"/>
  <c r="K4238" i="8"/>
  <c r="K4239" i="8"/>
  <c r="K4240" i="8"/>
  <c r="K4241" i="8"/>
  <c r="K4242" i="8"/>
  <c r="K4243" i="8"/>
  <c r="K4244" i="8"/>
  <c r="K4245" i="8"/>
  <c r="K4246" i="8"/>
  <c r="K4247" i="8"/>
  <c r="K4248" i="8"/>
  <c r="K4249" i="8"/>
  <c r="K4250" i="8"/>
  <c r="K4251" i="8"/>
  <c r="K4252" i="8"/>
  <c r="K4253" i="8"/>
  <c r="K4254" i="8"/>
  <c r="K4255" i="8"/>
  <c r="K4256" i="8"/>
  <c r="K4257" i="8"/>
  <c r="K4258" i="8"/>
  <c r="K4259" i="8"/>
  <c r="K4260" i="8"/>
  <c r="K4261" i="8"/>
  <c r="K4262" i="8"/>
  <c r="K4263" i="8"/>
  <c r="K4264" i="8"/>
  <c r="K4265" i="8"/>
  <c r="K4266" i="8"/>
  <c r="K4267" i="8"/>
  <c r="K4268" i="8"/>
  <c r="K4269" i="8"/>
  <c r="K4270" i="8"/>
  <c r="K4271" i="8"/>
  <c r="K4272" i="8"/>
  <c r="K4273" i="8"/>
  <c r="K4274" i="8"/>
  <c r="K4275" i="8"/>
  <c r="K4276" i="8"/>
  <c r="K4277" i="8"/>
  <c r="K4278" i="8"/>
  <c r="K4279" i="8"/>
  <c r="K4280" i="8"/>
  <c r="K4281" i="8"/>
  <c r="K4282" i="8"/>
  <c r="K4283" i="8"/>
  <c r="K4284" i="8"/>
  <c r="K4285" i="8"/>
  <c r="K4286" i="8"/>
  <c r="K4287" i="8"/>
  <c r="K4288" i="8"/>
  <c r="K4289" i="8"/>
  <c r="K4290" i="8"/>
  <c r="K4291" i="8"/>
  <c r="K4292" i="8"/>
  <c r="K4293" i="8"/>
  <c r="K4294" i="8"/>
  <c r="K4295" i="8"/>
  <c r="K4296" i="8"/>
  <c r="K4297" i="8"/>
  <c r="K4298" i="8"/>
  <c r="K4299" i="8"/>
  <c r="K4300" i="8"/>
  <c r="K4301" i="8"/>
  <c r="K4302" i="8"/>
  <c r="K4303" i="8"/>
  <c r="K4304" i="8"/>
  <c r="K4305" i="8"/>
  <c r="K4306" i="8"/>
  <c r="K4307" i="8"/>
  <c r="K4308" i="8"/>
  <c r="K4309" i="8"/>
  <c r="K4310" i="8"/>
  <c r="K4311" i="8"/>
  <c r="K4312" i="8"/>
  <c r="K4313" i="8"/>
  <c r="K4314" i="8"/>
  <c r="K4315" i="8"/>
  <c r="K4316" i="8"/>
  <c r="K4317" i="8"/>
  <c r="K4318" i="8"/>
  <c r="K4319" i="8"/>
  <c r="K4320" i="8"/>
  <c r="K4321" i="8"/>
  <c r="K4322" i="8"/>
  <c r="K4323" i="8"/>
  <c r="K4324" i="8"/>
  <c r="K4325" i="8"/>
  <c r="K4326" i="8"/>
  <c r="K4327" i="8"/>
  <c r="K4328" i="8"/>
  <c r="K4329" i="8"/>
  <c r="K4330" i="8"/>
  <c r="K4331" i="8"/>
  <c r="K4332" i="8"/>
  <c r="K4333" i="8"/>
  <c r="K4334" i="8"/>
  <c r="K4335" i="8"/>
  <c r="K4336" i="8"/>
  <c r="K4337" i="8"/>
  <c r="K4338" i="8"/>
  <c r="K4339" i="8"/>
  <c r="K4340" i="8"/>
  <c r="K4341" i="8"/>
  <c r="K4342" i="8"/>
  <c r="K4343" i="8"/>
  <c r="K4344" i="8"/>
  <c r="K4345" i="8"/>
  <c r="K4346" i="8"/>
  <c r="K4347" i="8"/>
  <c r="K4348" i="8"/>
  <c r="K4349" i="8"/>
  <c r="K4350" i="8"/>
  <c r="K4351" i="8"/>
  <c r="K4352" i="8"/>
  <c r="K4353" i="8"/>
  <c r="K4354" i="8"/>
  <c r="K4355" i="8"/>
  <c r="K4356" i="8"/>
  <c r="K4357" i="8"/>
  <c r="K4358" i="8"/>
  <c r="K4359" i="8"/>
  <c r="K4360" i="8"/>
  <c r="K4361" i="8"/>
  <c r="K4362" i="8"/>
  <c r="K4363" i="8"/>
  <c r="K4364" i="8"/>
  <c r="K4365" i="8"/>
  <c r="K4366" i="8"/>
  <c r="K4367" i="8"/>
  <c r="K4368" i="8"/>
  <c r="K4369" i="8"/>
  <c r="K4370" i="8"/>
  <c r="K4371" i="8"/>
  <c r="K4372" i="8"/>
  <c r="K4373" i="8"/>
  <c r="K4374" i="8"/>
  <c r="K4375" i="8"/>
  <c r="K4376" i="8"/>
  <c r="K4377" i="8"/>
  <c r="K4378" i="8"/>
  <c r="K4379" i="8"/>
  <c r="K4380" i="8"/>
  <c r="K4381" i="8"/>
  <c r="K4382" i="8"/>
  <c r="K4383" i="8"/>
  <c r="K4384" i="8"/>
  <c r="K4385" i="8"/>
  <c r="K4386" i="8"/>
  <c r="K4387" i="8"/>
  <c r="K4388" i="8"/>
  <c r="K4389" i="8"/>
  <c r="K4390" i="8"/>
  <c r="K4391" i="8"/>
  <c r="K4392" i="8"/>
  <c r="K4393" i="8"/>
  <c r="K4394" i="8"/>
  <c r="K4395" i="8"/>
  <c r="K4396" i="8"/>
  <c r="K4397" i="8"/>
  <c r="K4398" i="8"/>
  <c r="K4399" i="8"/>
  <c r="K4400" i="8"/>
  <c r="K4401" i="8"/>
  <c r="K4402" i="8"/>
  <c r="K4403" i="8"/>
  <c r="K4404" i="8"/>
  <c r="K4405" i="8"/>
  <c r="K4406" i="8"/>
  <c r="K4407" i="8"/>
  <c r="K4408" i="8"/>
  <c r="K4409" i="8"/>
  <c r="K4410" i="8"/>
  <c r="K4411" i="8"/>
  <c r="K4412" i="8"/>
  <c r="K4413" i="8"/>
  <c r="K4414" i="8"/>
  <c r="K4415" i="8"/>
  <c r="K4416" i="8"/>
  <c r="K4417" i="8"/>
  <c r="K4418" i="8"/>
  <c r="K4419" i="8"/>
  <c r="K4420" i="8"/>
  <c r="K4421" i="8"/>
  <c r="K4422" i="8"/>
  <c r="K4423" i="8"/>
  <c r="K4424" i="8"/>
  <c r="K4425" i="8"/>
  <c r="K4426" i="8"/>
  <c r="K4427" i="8"/>
  <c r="K4428" i="8"/>
  <c r="K4429" i="8"/>
  <c r="K4430" i="8"/>
  <c r="K4431" i="8"/>
  <c r="K4432" i="8"/>
  <c r="K4433" i="8"/>
  <c r="K4434" i="8"/>
  <c r="K4435" i="8"/>
  <c r="K4436" i="8"/>
  <c r="K4437" i="8"/>
  <c r="K4438" i="8"/>
  <c r="K4439" i="8"/>
  <c r="K4440" i="8"/>
  <c r="K4441" i="8"/>
  <c r="K4442" i="8"/>
  <c r="K4443" i="8"/>
  <c r="K4444" i="8"/>
  <c r="K4445" i="8"/>
  <c r="K4446" i="8"/>
  <c r="K4447" i="8"/>
  <c r="K4448" i="8"/>
  <c r="K4449" i="8"/>
  <c r="K4450" i="8"/>
  <c r="K4451" i="8"/>
  <c r="K4452" i="8"/>
  <c r="K4453" i="8"/>
  <c r="K4454" i="8"/>
  <c r="K4455" i="8"/>
  <c r="K4456" i="8"/>
  <c r="K4457" i="8"/>
  <c r="K4458" i="8"/>
  <c r="K4459" i="8"/>
  <c r="K4460" i="8"/>
  <c r="K4461" i="8"/>
  <c r="K4462" i="8"/>
  <c r="K4463" i="8"/>
  <c r="K4464" i="8"/>
  <c r="K4465" i="8"/>
  <c r="K4466" i="8"/>
  <c r="K4467" i="8"/>
  <c r="K4468" i="8"/>
  <c r="K4469" i="8"/>
  <c r="K4470" i="8"/>
  <c r="K4471" i="8"/>
  <c r="K4472" i="8"/>
  <c r="K4473" i="8"/>
  <c r="K4474" i="8"/>
  <c r="K4475" i="8"/>
  <c r="K4476" i="8"/>
  <c r="K4477" i="8"/>
  <c r="K4478" i="8"/>
  <c r="K4479" i="8"/>
  <c r="K4480" i="8"/>
  <c r="K4481" i="8"/>
  <c r="K4482" i="8"/>
  <c r="K4483" i="8"/>
  <c r="K4484" i="8"/>
  <c r="K4485" i="8"/>
  <c r="K4486" i="8"/>
  <c r="K4487" i="8"/>
  <c r="K4488" i="8"/>
  <c r="K4489" i="8"/>
  <c r="K4490" i="8"/>
  <c r="K4491" i="8"/>
  <c r="K4492" i="8"/>
  <c r="K4493" i="8"/>
  <c r="K4494" i="8"/>
  <c r="K4495" i="8"/>
  <c r="K4496" i="8"/>
  <c r="K4497" i="8"/>
  <c r="K4498" i="8"/>
  <c r="K4499" i="8"/>
  <c r="K4500" i="8"/>
  <c r="K4501" i="8"/>
  <c r="K4502" i="8"/>
  <c r="K4503" i="8"/>
  <c r="K4504" i="8"/>
  <c r="K4505" i="8"/>
  <c r="K4506" i="8"/>
  <c r="K4507" i="8"/>
  <c r="K4508" i="8"/>
  <c r="K4509" i="8"/>
  <c r="K4510" i="8"/>
  <c r="K4511" i="8"/>
  <c r="K4512" i="8"/>
  <c r="K4513" i="8"/>
  <c r="K4514" i="8"/>
  <c r="K4515" i="8"/>
  <c r="K4516" i="8"/>
  <c r="K4517" i="8"/>
  <c r="K4518" i="8"/>
  <c r="K4519" i="8"/>
  <c r="K4520" i="8"/>
  <c r="K4521" i="8"/>
  <c r="K4522" i="8"/>
  <c r="K4523" i="8"/>
  <c r="K4524" i="8"/>
  <c r="K4525" i="8"/>
  <c r="K4526" i="8"/>
  <c r="K4527" i="8"/>
  <c r="K4528" i="8"/>
  <c r="K4529" i="8"/>
  <c r="K4530" i="8"/>
  <c r="K4531" i="8"/>
  <c r="K4532" i="8"/>
  <c r="K4533" i="8"/>
  <c r="K4534" i="8"/>
  <c r="K4535" i="8"/>
  <c r="K4536" i="8"/>
  <c r="K4537" i="8"/>
  <c r="K4538" i="8"/>
  <c r="K4539" i="8"/>
  <c r="K4540" i="8"/>
  <c r="K4541" i="8"/>
  <c r="K4542" i="8"/>
  <c r="K4543" i="8"/>
  <c r="K4544" i="8"/>
  <c r="K4545" i="8"/>
  <c r="K4546" i="8"/>
  <c r="K4547" i="8"/>
  <c r="K4548" i="8"/>
  <c r="K4549" i="8"/>
  <c r="K4550" i="8"/>
  <c r="K4551" i="8"/>
  <c r="K4552" i="8"/>
  <c r="K4553" i="8"/>
  <c r="K4554" i="8"/>
  <c r="K4555" i="8"/>
  <c r="K4556" i="8"/>
  <c r="K4557" i="8"/>
  <c r="K4558" i="8"/>
  <c r="K4559" i="8"/>
  <c r="K4560" i="8"/>
  <c r="K4561" i="8"/>
  <c r="K4562" i="8"/>
  <c r="K4563" i="8"/>
  <c r="K4564" i="8"/>
  <c r="K4565" i="8"/>
  <c r="K4566" i="8"/>
  <c r="K4567" i="8"/>
  <c r="K4568" i="8"/>
  <c r="K4569" i="8"/>
  <c r="K4570" i="8"/>
  <c r="K4571" i="8"/>
  <c r="K4572" i="8"/>
  <c r="K4573" i="8"/>
  <c r="K4574" i="8"/>
  <c r="K4575" i="8"/>
  <c r="K4576" i="8"/>
  <c r="K4577" i="8"/>
  <c r="K4578" i="8"/>
  <c r="K4579" i="8"/>
  <c r="K4580" i="8"/>
  <c r="K4581" i="8"/>
  <c r="K4582" i="8"/>
  <c r="K4583" i="8"/>
  <c r="K4584" i="8"/>
  <c r="K4585" i="8"/>
  <c r="K4586" i="8"/>
  <c r="K4587" i="8"/>
  <c r="K4588" i="8"/>
  <c r="K4589" i="8"/>
  <c r="K4590" i="8"/>
  <c r="K4591" i="8"/>
  <c r="K4592" i="8"/>
  <c r="K4593" i="8"/>
  <c r="K4594" i="8"/>
  <c r="K4595" i="8"/>
  <c r="K4596" i="8"/>
  <c r="K4597" i="8"/>
  <c r="K4598" i="8"/>
  <c r="K4599" i="8"/>
  <c r="K4600" i="8"/>
  <c r="K4601" i="8"/>
  <c r="K4602" i="8"/>
  <c r="K4603" i="8"/>
  <c r="K4604" i="8"/>
  <c r="K4605" i="8"/>
  <c r="K4606" i="8"/>
  <c r="K4607" i="8"/>
  <c r="K4608" i="8"/>
  <c r="K4609" i="8"/>
  <c r="K4610" i="8"/>
  <c r="K4611" i="8"/>
  <c r="K4612" i="8"/>
  <c r="K4613" i="8"/>
  <c r="K4614" i="8"/>
  <c r="K4615" i="8"/>
  <c r="K4616" i="8"/>
  <c r="K4617" i="8"/>
  <c r="K4618" i="8"/>
  <c r="K4619" i="8"/>
  <c r="K4620" i="8"/>
  <c r="K4621" i="8"/>
  <c r="K4622" i="8"/>
  <c r="K4623" i="8"/>
  <c r="K4624" i="8"/>
  <c r="K4625" i="8"/>
  <c r="K4626" i="8"/>
  <c r="K4627" i="8"/>
  <c r="K4628" i="8"/>
  <c r="K4629" i="8"/>
  <c r="K4630" i="8"/>
  <c r="K4631" i="8"/>
  <c r="K4632" i="8"/>
  <c r="K4633" i="8"/>
  <c r="K4634" i="8"/>
  <c r="K4635" i="8"/>
  <c r="K4636" i="8"/>
  <c r="K4637" i="8"/>
  <c r="K4638" i="8"/>
  <c r="K4639" i="8"/>
  <c r="K4640" i="8"/>
  <c r="K4641" i="8"/>
  <c r="K4642" i="8"/>
  <c r="K4643" i="8"/>
  <c r="K4644" i="8"/>
  <c r="K4645" i="8"/>
  <c r="K4646" i="8"/>
  <c r="K4647" i="8"/>
  <c r="K4648" i="8"/>
  <c r="K4649" i="8"/>
  <c r="K4650" i="8"/>
  <c r="K4651" i="8"/>
  <c r="K4652" i="8"/>
  <c r="K4653" i="8"/>
  <c r="K4654" i="8"/>
  <c r="K4655" i="8"/>
  <c r="K4656" i="8"/>
  <c r="K4657" i="8"/>
  <c r="K4658" i="8"/>
  <c r="K4659" i="8"/>
  <c r="K4660" i="8"/>
  <c r="K4661" i="8"/>
  <c r="K4662" i="8"/>
  <c r="K4663" i="8"/>
  <c r="K4664" i="8"/>
  <c r="K4665" i="8"/>
  <c r="K4666" i="8"/>
  <c r="K4667" i="8"/>
  <c r="K4668" i="8"/>
  <c r="K4669" i="8"/>
  <c r="K4670" i="8"/>
  <c r="K4671" i="8"/>
  <c r="K4672" i="8"/>
  <c r="K4673" i="8"/>
  <c r="K4674" i="8"/>
  <c r="K4675" i="8"/>
  <c r="K4676" i="8"/>
  <c r="K4677" i="8"/>
  <c r="K4678" i="8"/>
  <c r="K4679" i="8"/>
  <c r="K4680" i="8"/>
  <c r="K4681" i="8"/>
  <c r="K4682" i="8"/>
  <c r="K4683" i="8"/>
  <c r="K4684" i="8"/>
  <c r="K4685" i="8"/>
  <c r="K4686" i="8"/>
  <c r="K4687" i="8"/>
  <c r="K4688" i="8"/>
  <c r="K4689" i="8"/>
  <c r="K4690" i="8"/>
  <c r="K4691" i="8"/>
  <c r="K4692" i="8"/>
  <c r="K4693" i="8"/>
  <c r="K4694" i="8"/>
  <c r="K4695" i="8"/>
  <c r="K4696" i="8"/>
  <c r="K4697" i="8"/>
  <c r="K4698" i="8"/>
  <c r="K4699" i="8"/>
  <c r="K4700" i="8"/>
  <c r="K4701" i="8"/>
  <c r="K4702" i="8"/>
  <c r="K4703" i="8"/>
  <c r="K4704" i="8"/>
  <c r="K4705" i="8"/>
  <c r="K4706" i="8"/>
  <c r="K4707" i="8"/>
  <c r="K4708" i="8"/>
  <c r="K4709" i="8"/>
  <c r="K4710" i="8"/>
  <c r="K4711" i="8"/>
  <c r="K4712" i="8"/>
  <c r="K4713" i="8"/>
  <c r="K4714" i="8"/>
  <c r="K4715" i="8"/>
  <c r="K4716" i="8"/>
  <c r="K4717" i="8"/>
  <c r="K4718" i="8"/>
  <c r="K4719" i="8"/>
  <c r="K4720" i="8"/>
  <c r="K4721" i="8"/>
  <c r="K4722" i="8"/>
  <c r="K4723" i="8"/>
  <c r="K4724" i="8"/>
  <c r="K4725" i="8"/>
  <c r="K4726" i="8"/>
  <c r="K4727" i="8"/>
  <c r="K4728" i="8"/>
  <c r="K4729" i="8"/>
  <c r="K4730" i="8"/>
  <c r="K4731" i="8"/>
  <c r="K4732" i="8"/>
  <c r="K4733" i="8"/>
  <c r="K4734" i="8"/>
  <c r="K4735" i="8"/>
  <c r="K4736" i="8"/>
  <c r="K4737" i="8"/>
  <c r="K4738" i="8"/>
  <c r="K4739" i="8"/>
  <c r="K4740" i="8"/>
  <c r="K4741" i="8"/>
  <c r="K4742" i="8"/>
  <c r="K4743" i="8"/>
  <c r="K4744" i="8"/>
  <c r="K4745" i="8"/>
  <c r="K4746" i="8"/>
  <c r="K4747" i="8"/>
  <c r="K4748" i="8"/>
  <c r="K4749" i="8"/>
  <c r="K4750" i="8"/>
  <c r="K4751" i="8"/>
  <c r="K4752" i="8"/>
  <c r="K4753" i="8"/>
  <c r="K4754" i="8"/>
  <c r="K4755" i="8"/>
  <c r="K4756" i="8"/>
  <c r="K4757" i="8"/>
  <c r="K4758" i="8"/>
  <c r="K4759" i="8"/>
  <c r="K4760" i="8"/>
  <c r="K4761" i="8"/>
  <c r="K4762" i="8"/>
  <c r="K4763" i="8"/>
  <c r="K4764" i="8"/>
  <c r="K4765" i="8"/>
  <c r="K4766" i="8"/>
  <c r="K4767" i="8"/>
  <c r="K4768" i="8"/>
  <c r="K4769" i="8"/>
  <c r="K4770" i="8"/>
  <c r="K4771" i="8"/>
  <c r="K4772" i="8"/>
  <c r="K4773" i="8"/>
  <c r="K4774" i="8"/>
  <c r="K4775" i="8"/>
  <c r="K4776" i="8"/>
  <c r="K4777" i="8"/>
  <c r="K4778" i="8"/>
  <c r="K4779" i="8"/>
  <c r="K4780" i="8"/>
  <c r="K4781" i="8"/>
  <c r="K4782" i="8"/>
  <c r="K4783" i="8"/>
  <c r="K4784" i="8"/>
  <c r="K4785" i="8"/>
  <c r="K4786" i="8"/>
  <c r="K4787" i="8"/>
  <c r="K4788" i="8"/>
  <c r="K4789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902" i="8"/>
  <c r="D3903" i="8"/>
  <c r="D3904" i="8"/>
  <c r="D3905" i="8"/>
  <c r="D3906" i="8"/>
  <c r="D3907" i="8"/>
  <c r="D3908" i="8"/>
  <c r="D3909" i="8"/>
  <c r="D3910" i="8"/>
  <c r="D3911" i="8"/>
  <c r="D3912" i="8"/>
  <c r="D3913" i="8"/>
  <c r="D3914" i="8"/>
  <c r="D3915" i="8"/>
  <c r="D3916" i="8"/>
  <c r="D3917" i="8"/>
  <c r="D3918" i="8"/>
  <c r="D3919" i="8"/>
  <c r="D3920" i="8"/>
  <c r="D3921" i="8"/>
  <c r="D3922" i="8"/>
  <c r="D3923" i="8"/>
  <c r="D3924" i="8"/>
  <c r="D3925" i="8"/>
  <c r="D3926" i="8"/>
  <c r="D3927" i="8"/>
  <c r="D3928" i="8"/>
  <c r="D3929" i="8"/>
  <c r="D3930" i="8"/>
  <c r="D3931" i="8"/>
  <c r="D3932" i="8"/>
  <c r="D3933" i="8"/>
  <c r="D3934" i="8"/>
  <c r="D3935" i="8"/>
  <c r="D3936" i="8"/>
  <c r="D3937" i="8"/>
  <c r="D3938" i="8"/>
  <c r="D3939" i="8"/>
  <c r="D3940" i="8"/>
  <c r="D3941" i="8"/>
  <c r="D3942" i="8"/>
  <c r="D3943" i="8"/>
  <c r="D3944" i="8"/>
  <c r="D3945" i="8"/>
  <c r="D3946" i="8"/>
  <c r="D3947" i="8"/>
  <c r="D3948" i="8"/>
  <c r="D3949" i="8"/>
  <c r="D3950" i="8"/>
  <c r="D3951" i="8"/>
  <c r="D3952" i="8"/>
  <c r="D3953" i="8"/>
  <c r="D3954" i="8"/>
  <c r="D3955" i="8"/>
  <c r="D3956" i="8"/>
  <c r="D3957" i="8"/>
  <c r="D3958" i="8"/>
  <c r="D3959" i="8"/>
  <c r="D3960" i="8"/>
  <c r="D3961" i="8"/>
  <c r="D3962" i="8"/>
  <c r="D3963" i="8"/>
  <c r="D3964" i="8"/>
  <c r="D3965" i="8"/>
  <c r="D3966" i="8"/>
  <c r="D3967" i="8"/>
  <c r="D3968" i="8"/>
  <c r="D3969" i="8"/>
  <c r="D3970" i="8"/>
  <c r="D3971" i="8"/>
  <c r="D3972" i="8"/>
  <c r="D3973" i="8"/>
  <c r="D3974" i="8"/>
  <c r="D3975" i="8"/>
  <c r="D3976" i="8"/>
  <c r="D3977" i="8"/>
  <c r="D3978" i="8"/>
  <c r="D3979" i="8"/>
  <c r="D3980" i="8"/>
  <c r="D3981" i="8"/>
  <c r="D3982" i="8"/>
  <c r="D3983" i="8"/>
  <c r="D3984" i="8"/>
  <c r="D3985" i="8"/>
  <c r="D3986" i="8"/>
  <c r="D3987" i="8"/>
  <c r="D3988" i="8"/>
  <c r="D3989" i="8"/>
  <c r="D3990" i="8"/>
  <c r="D3991" i="8"/>
  <c r="D3992" i="8"/>
  <c r="D3993" i="8"/>
  <c r="D3994" i="8"/>
  <c r="D3995" i="8"/>
  <c r="D3996" i="8"/>
  <c r="D3997" i="8"/>
  <c r="D3998" i="8"/>
  <c r="D3999" i="8"/>
  <c r="D4000" i="8"/>
  <c r="D4001" i="8"/>
  <c r="D4002" i="8"/>
  <c r="D4003" i="8"/>
  <c r="D4004" i="8"/>
  <c r="D4005" i="8"/>
  <c r="D4006" i="8"/>
  <c r="D4007" i="8"/>
  <c r="D4008" i="8"/>
  <c r="D4009" i="8"/>
  <c r="D4010" i="8"/>
  <c r="D4011" i="8"/>
  <c r="D4012" i="8"/>
  <c r="D4013" i="8"/>
  <c r="D4014" i="8"/>
  <c r="D4015" i="8"/>
  <c r="D4016" i="8"/>
  <c r="D4017" i="8"/>
  <c r="D4018" i="8"/>
  <c r="D4019" i="8"/>
  <c r="D4020" i="8"/>
  <c r="D4021" i="8"/>
  <c r="D4022" i="8"/>
  <c r="D4023" i="8"/>
  <c r="D4024" i="8"/>
  <c r="D4025" i="8"/>
  <c r="D4026" i="8"/>
  <c r="D4027" i="8"/>
  <c r="D4028" i="8"/>
  <c r="D4029" i="8"/>
  <c r="D4030" i="8"/>
  <c r="D4031" i="8"/>
  <c r="D4032" i="8"/>
  <c r="D4033" i="8"/>
  <c r="D4034" i="8"/>
  <c r="D4035" i="8"/>
  <c r="D4036" i="8"/>
  <c r="D4037" i="8"/>
  <c r="D4038" i="8"/>
  <c r="D4039" i="8"/>
  <c r="D4040" i="8"/>
  <c r="D4041" i="8"/>
  <c r="D4042" i="8"/>
  <c r="D4043" i="8"/>
  <c r="D4044" i="8"/>
  <c r="D4045" i="8"/>
  <c r="D4046" i="8"/>
  <c r="D4047" i="8"/>
  <c r="D4048" i="8"/>
  <c r="D4049" i="8"/>
  <c r="D4050" i="8"/>
  <c r="D4051" i="8"/>
  <c r="D4052" i="8"/>
  <c r="D4053" i="8"/>
  <c r="D4054" i="8"/>
  <c r="D4055" i="8"/>
  <c r="D4056" i="8"/>
  <c r="D4057" i="8"/>
  <c r="D4058" i="8"/>
  <c r="D4059" i="8"/>
  <c r="D4060" i="8"/>
  <c r="D4061" i="8"/>
  <c r="D4062" i="8"/>
  <c r="D4063" i="8"/>
  <c r="D4064" i="8"/>
  <c r="D4065" i="8"/>
  <c r="D4066" i="8"/>
  <c r="D4067" i="8"/>
  <c r="D4068" i="8"/>
  <c r="D4069" i="8"/>
  <c r="D4070" i="8"/>
  <c r="D4071" i="8"/>
  <c r="D4072" i="8"/>
  <c r="D4073" i="8"/>
  <c r="D4074" i="8"/>
  <c r="D4075" i="8"/>
  <c r="D4076" i="8"/>
  <c r="D4077" i="8"/>
  <c r="D4078" i="8"/>
  <c r="D4079" i="8"/>
  <c r="D4080" i="8"/>
  <c r="D4081" i="8"/>
  <c r="D4082" i="8"/>
  <c r="D4083" i="8"/>
  <c r="D4084" i="8"/>
  <c r="D4085" i="8"/>
  <c r="D4086" i="8"/>
  <c r="D4087" i="8"/>
  <c r="D4088" i="8"/>
  <c r="D4089" i="8"/>
  <c r="D4090" i="8"/>
  <c r="D4091" i="8"/>
  <c r="D4092" i="8"/>
  <c r="D4093" i="8"/>
  <c r="D4094" i="8"/>
  <c r="D4095" i="8"/>
  <c r="D4096" i="8"/>
  <c r="D4097" i="8"/>
  <c r="D4098" i="8"/>
  <c r="D4099" i="8"/>
  <c r="D4100" i="8"/>
  <c r="D4101" i="8"/>
  <c r="D4102" i="8"/>
  <c r="D4103" i="8"/>
  <c r="D4104" i="8"/>
  <c r="D4105" i="8"/>
  <c r="D4106" i="8"/>
  <c r="D4107" i="8"/>
  <c r="D4108" i="8"/>
  <c r="D4109" i="8"/>
  <c r="D4110" i="8"/>
  <c r="D4111" i="8"/>
  <c r="D4112" i="8"/>
  <c r="D4113" i="8"/>
  <c r="D4114" i="8"/>
  <c r="D4115" i="8"/>
  <c r="D4116" i="8"/>
  <c r="D4117" i="8"/>
  <c r="D4118" i="8"/>
  <c r="D4119" i="8"/>
  <c r="D4120" i="8"/>
  <c r="D4121" i="8"/>
  <c r="D4122" i="8"/>
  <c r="D4123" i="8"/>
  <c r="D4124" i="8"/>
  <c r="D4125" i="8"/>
  <c r="D4126" i="8"/>
  <c r="D4127" i="8"/>
  <c r="D4128" i="8"/>
  <c r="D4129" i="8"/>
  <c r="D4130" i="8"/>
  <c r="D4131" i="8"/>
  <c r="D4132" i="8"/>
  <c r="D4133" i="8"/>
  <c r="D4134" i="8"/>
  <c r="D4135" i="8"/>
  <c r="D4136" i="8"/>
  <c r="D4137" i="8"/>
  <c r="D4138" i="8"/>
  <c r="D4139" i="8"/>
  <c r="D4140" i="8"/>
  <c r="D4141" i="8"/>
  <c r="D4142" i="8"/>
  <c r="D4143" i="8"/>
  <c r="D4144" i="8"/>
  <c r="D4145" i="8"/>
  <c r="D4146" i="8"/>
  <c r="D4147" i="8"/>
  <c r="D4148" i="8"/>
  <c r="D4149" i="8"/>
  <c r="D4150" i="8"/>
  <c r="D4151" i="8"/>
  <c r="D4152" i="8"/>
  <c r="D4153" i="8"/>
  <c r="D4154" i="8"/>
  <c r="D4155" i="8"/>
  <c r="D4156" i="8"/>
  <c r="D4157" i="8"/>
  <c r="D4158" i="8"/>
  <c r="D4159" i="8"/>
  <c r="D4160" i="8"/>
  <c r="D4161" i="8"/>
  <c r="D4162" i="8"/>
  <c r="D4163" i="8"/>
  <c r="D4164" i="8"/>
  <c r="D4165" i="8"/>
  <c r="D4166" i="8"/>
  <c r="D4167" i="8"/>
  <c r="D4168" i="8"/>
  <c r="D4169" i="8"/>
  <c r="D4170" i="8"/>
  <c r="D4171" i="8"/>
  <c r="D4172" i="8"/>
  <c r="D4173" i="8"/>
  <c r="D4174" i="8"/>
  <c r="D4175" i="8"/>
  <c r="D4176" i="8"/>
  <c r="D4177" i="8"/>
  <c r="D4178" i="8"/>
  <c r="D4179" i="8"/>
  <c r="D4180" i="8"/>
  <c r="D4181" i="8"/>
  <c r="D4182" i="8"/>
  <c r="D4183" i="8"/>
  <c r="D4184" i="8"/>
  <c r="D4185" i="8"/>
  <c r="D4186" i="8"/>
  <c r="D4187" i="8"/>
  <c r="D4188" i="8"/>
  <c r="D4189" i="8"/>
  <c r="D4190" i="8"/>
  <c r="D4191" i="8"/>
  <c r="D4192" i="8"/>
  <c r="D4193" i="8"/>
  <c r="D4194" i="8"/>
  <c r="D4195" i="8"/>
  <c r="D4196" i="8"/>
  <c r="D4197" i="8"/>
  <c r="D4198" i="8"/>
  <c r="D4199" i="8"/>
  <c r="D4200" i="8"/>
  <c r="D4201" i="8"/>
  <c r="D4202" i="8"/>
  <c r="D4203" i="8"/>
  <c r="D4204" i="8"/>
  <c r="D4205" i="8"/>
  <c r="D4206" i="8"/>
  <c r="D4207" i="8"/>
  <c r="D4208" i="8"/>
  <c r="D4209" i="8"/>
  <c r="D4210" i="8"/>
  <c r="D4211" i="8"/>
  <c r="D4212" i="8"/>
  <c r="D4213" i="8"/>
  <c r="D4214" i="8"/>
  <c r="D4215" i="8"/>
  <c r="D4216" i="8"/>
  <c r="D4217" i="8"/>
  <c r="D4218" i="8"/>
  <c r="D4219" i="8"/>
  <c r="D4220" i="8"/>
  <c r="D4221" i="8"/>
  <c r="D4222" i="8"/>
  <c r="D4223" i="8"/>
  <c r="D4224" i="8"/>
  <c r="D4225" i="8"/>
  <c r="D4226" i="8"/>
  <c r="D4227" i="8"/>
  <c r="D4228" i="8"/>
  <c r="D4229" i="8"/>
  <c r="D4230" i="8"/>
  <c r="D4231" i="8"/>
  <c r="D4232" i="8"/>
  <c r="D4233" i="8"/>
  <c r="D4234" i="8"/>
  <c r="D4235" i="8"/>
  <c r="D4236" i="8"/>
  <c r="D4237" i="8"/>
  <c r="D4238" i="8"/>
  <c r="D4239" i="8"/>
  <c r="D4240" i="8"/>
  <c r="D4241" i="8"/>
  <c r="D4242" i="8"/>
  <c r="D4243" i="8"/>
  <c r="D4244" i="8"/>
  <c r="D4245" i="8"/>
  <c r="D4246" i="8"/>
  <c r="D4247" i="8"/>
  <c r="D4248" i="8"/>
  <c r="D4249" i="8"/>
  <c r="D4250" i="8"/>
  <c r="D4251" i="8"/>
  <c r="D4252" i="8"/>
  <c r="D4253" i="8"/>
  <c r="D4254" i="8"/>
  <c r="D4255" i="8"/>
  <c r="D4256" i="8"/>
  <c r="D4257" i="8"/>
  <c r="D4258" i="8"/>
  <c r="D4259" i="8"/>
  <c r="D4260" i="8"/>
  <c r="D4261" i="8"/>
  <c r="D4262" i="8"/>
  <c r="D4263" i="8"/>
  <c r="D4264" i="8"/>
  <c r="D4265" i="8"/>
  <c r="D4266" i="8"/>
  <c r="D4267" i="8"/>
  <c r="D4268" i="8"/>
  <c r="D4269" i="8"/>
  <c r="D4270" i="8"/>
  <c r="D4271" i="8"/>
  <c r="D4272" i="8"/>
  <c r="D4273" i="8"/>
  <c r="D4274" i="8"/>
  <c r="D4275" i="8"/>
  <c r="D4276" i="8"/>
  <c r="D4277" i="8"/>
  <c r="D4278" i="8"/>
  <c r="D4279" i="8"/>
  <c r="D4280" i="8"/>
  <c r="D4281" i="8"/>
  <c r="D4282" i="8"/>
  <c r="D4283" i="8"/>
  <c r="D4284" i="8"/>
  <c r="D4285" i="8"/>
  <c r="D4286" i="8"/>
  <c r="D4287" i="8"/>
  <c r="D4288" i="8"/>
  <c r="D4289" i="8"/>
  <c r="D4290" i="8"/>
  <c r="D4291" i="8"/>
  <c r="D4292" i="8"/>
  <c r="D4293" i="8"/>
  <c r="D4294" i="8"/>
  <c r="D4295" i="8"/>
  <c r="D4296" i="8"/>
  <c r="D4297" i="8"/>
  <c r="D4298" i="8"/>
  <c r="D4299" i="8"/>
  <c r="D4300" i="8"/>
  <c r="D4301" i="8"/>
  <c r="D4302" i="8"/>
  <c r="D4303" i="8"/>
  <c r="D4304" i="8"/>
  <c r="D4305" i="8"/>
  <c r="D4306" i="8"/>
  <c r="D4307" i="8"/>
  <c r="D4308" i="8"/>
  <c r="D4309" i="8"/>
  <c r="D4310" i="8"/>
  <c r="D4311" i="8"/>
  <c r="D4312" i="8"/>
  <c r="D4313" i="8"/>
  <c r="D4314" i="8"/>
  <c r="D4315" i="8"/>
  <c r="D4316" i="8"/>
  <c r="D4317" i="8"/>
  <c r="D4318" i="8"/>
  <c r="D4319" i="8"/>
  <c r="D4320" i="8"/>
  <c r="D4321" i="8"/>
  <c r="D4322" i="8"/>
  <c r="D4323" i="8"/>
  <c r="D4324" i="8"/>
  <c r="D4325" i="8"/>
  <c r="D4326" i="8"/>
  <c r="D4327" i="8"/>
  <c r="D4328" i="8"/>
  <c r="D4329" i="8"/>
  <c r="D4330" i="8"/>
  <c r="D4331" i="8"/>
  <c r="D4332" i="8"/>
  <c r="D4333" i="8"/>
  <c r="D4334" i="8"/>
  <c r="D4335" i="8"/>
  <c r="D4336" i="8"/>
  <c r="D4337" i="8"/>
  <c r="D4338" i="8"/>
  <c r="D4339" i="8"/>
  <c r="D4340" i="8"/>
  <c r="D4341" i="8"/>
  <c r="D4342" i="8"/>
  <c r="D4343" i="8"/>
  <c r="D4344" i="8"/>
  <c r="D4345" i="8"/>
  <c r="D4346" i="8"/>
  <c r="D4347" i="8"/>
  <c r="D4348" i="8"/>
  <c r="D4349" i="8"/>
  <c r="D4350" i="8"/>
  <c r="D4351" i="8"/>
  <c r="D4352" i="8"/>
  <c r="D4353" i="8"/>
  <c r="D4354" i="8"/>
  <c r="D4355" i="8"/>
  <c r="D4356" i="8"/>
  <c r="D4357" i="8"/>
  <c r="D4358" i="8"/>
  <c r="D4359" i="8"/>
  <c r="D4360" i="8"/>
  <c r="D4361" i="8"/>
  <c r="D4362" i="8"/>
  <c r="D4363" i="8"/>
  <c r="D4364" i="8"/>
  <c r="D4365" i="8"/>
  <c r="D4366" i="8"/>
  <c r="D4367" i="8"/>
  <c r="D4368" i="8"/>
  <c r="D4369" i="8"/>
  <c r="D4370" i="8"/>
  <c r="D4371" i="8"/>
  <c r="D4372" i="8"/>
  <c r="D4373" i="8"/>
  <c r="D4374" i="8"/>
  <c r="D4375" i="8"/>
  <c r="D4376" i="8"/>
  <c r="D4377" i="8"/>
  <c r="D4378" i="8"/>
  <c r="D4379" i="8"/>
  <c r="D4380" i="8"/>
  <c r="D4381" i="8"/>
  <c r="D4382" i="8"/>
  <c r="D4383" i="8"/>
  <c r="D4384" i="8"/>
  <c r="D4385" i="8"/>
  <c r="D4386" i="8"/>
  <c r="D4387" i="8"/>
  <c r="D4388" i="8"/>
  <c r="D4389" i="8"/>
  <c r="D4390" i="8"/>
  <c r="D4391" i="8"/>
  <c r="D4392" i="8"/>
  <c r="D4393" i="8"/>
  <c r="D4394" i="8"/>
  <c r="D4395" i="8"/>
  <c r="D4396" i="8"/>
  <c r="D4397" i="8"/>
  <c r="D4398" i="8"/>
  <c r="D4399" i="8"/>
  <c r="D4400" i="8"/>
  <c r="D4401" i="8"/>
  <c r="D4402" i="8"/>
  <c r="D4403" i="8"/>
  <c r="D4404" i="8"/>
  <c r="D4405" i="8"/>
  <c r="D4406" i="8"/>
  <c r="D4407" i="8"/>
  <c r="D4408" i="8"/>
  <c r="D4409" i="8"/>
  <c r="D4410" i="8"/>
  <c r="D4411" i="8"/>
  <c r="D4412" i="8"/>
  <c r="D4413" i="8"/>
  <c r="D4414" i="8"/>
  <c r="D4415" i="8"/>
  <c r="D4416" i="8"/>
  <c r="D4417" i="8"/>
  <c r="D4418" i="8"/>
  <c r="D4419" i="8"/>
  <c r="D4420" i="8"/>
  <c r="D4421" i="8"/>
  <c r="D4422" i="8"/>
  <c r="D4423" i="8"/>
  <c r="D4424" i="8"/>
  <c r="D4425" i="8"/>
  <c r="D4426" i="8"/>
  <c r="D4427" i="8"/>
  <c r="D4428" i="8"/>
  <c r="D4429" i="8"/>
  <c r="D4430" i="8"/>
  <c r="D4431" i="8"/>
  <c r="D4432" i="8"/>
  <c r="D4433" i="8"/>
  <c r="D4434" i="8"/>
  <c r="D4435" i="8"/>
  <c r="D4436" i="8"/>
  <c r="D4437" i="8"/>
  <c r="D4438" i="8"/>
  <c r="D4439" i="8"/>
  <c r="D4440" i="8"/>
  <c r="D4441" i="8"/>
  <c r="D4442" i="8"/>
  <c r="D4443" i="8"/>
  <c r="D4444" i="8"/>
  <c r="D4445" i="8"/>
  <c r="D4446" i="8"/>
  <c r="D4447" i="8"/>
  <c r="D4448" i="8"/>
  <c r="D4449" i="8"/>
  <c r="D4450" i="8"/>
  <c r="D4451" i="8"/>
  <c r="D4452" i="8"/>
  <c r="D4453" i="8"/>
  <c r="D4454" i="8"/>
  <c r="D4455" i="8"/>
  <c r="D4456" i="8"/>
  <c r="D4457" i="8"/>
  <c r="D4458" i="8"/>
  <c r="D4459" i="8"/>
  <c r="D4460" i="8"/>
  <c r="D4461" i="8"/>
  <c r="D4462" i="8"/>
  <c r="D4463" i="8"/>
  <c r="D4464" i="8"/>
  <c r="D4465" i="8"/>
  <c r="D4466" i="8"/>
  <c r="D4467" i="8"/>
  <c r="D4468" i="8"/>
  <c r="D4469" i="8"/>
  <c r="D4470" i="8"/>
  <c r="D4471" i="8"/>
  <c r="D4472" i="8"/>
  <c r="D4473" i="8"/>
  <c r="D4474" i="8"/>
  <c r="D4475" i="8"/>
  <c r="D4476" i="8"/>
  <c r="D4477" i="8"/>
  <c r="D4478" i="8"/>
  <c r="D4479" i="8"/>
  <c r="D4480" i="8"/>
  <c r="D4481" i="8"/>
  <c r="D4482" i="8"/>
  <c r="D4483" i="8"/>
  <c r="D4484" i="8"/>
  <c r="D4485" i="8"/>
  <c r="D4486" i="8"/>
  <c r="D4487" i="8"/>
  <c r="D4488" i="8"/>
  <c r="D4489" i="8"/>
  <c r="D4490" i="8"/>
  <c r="D4491" i="8"/>
  <c r="D4492" i="8"/>
  <c r="D4493" i="8"/>
  <c r="D4494" i="8"/>
  <c r="D4495" i="8"/>
  <c r="D4496" i="8"/>
  <c r="D4497" i="8"/>
  <c r="D4498" i="8"/>
  <c r="D4499" i="8"/>
  <c r="D4500" i="8"/>
  <c r="D4501" i="8"/>
  <c r="D4502" i="8"/>
  <c r="D4503" i="8"/>
  <c r="D4504" i="8"/>
  <c r="D4505" i="8"/>
  <c r="D4506" i="8"/>
  <c r="D4507" i="8"/>
  <c r="D4508" i="8"/>
  <c r="D4509" i="8"/>
  <c r="D4510" i="8"/>
  <c r="D4511" i="8"/>
  <c r="D4512" i="8"/>
  <c r="D4513" i="8"/>
  <c r="D4514" i="8"/>
  <c r="D4515" i="8"/>
  <c r="D4516" i="8"/>
  <c r="D4517" i="8"/>
  <c r="D4518" i="8"/>
  <c r="D4519" i="8"/>
  <c r="D4520" i="8"/>
  <c r="D4521" i="8"/>
  <c r="D4522" i="8"/>
  <c r="D4523" i="8"/>
  <c r="D4524" i="8"/>
  <c r="D4525" i="8"/>
  <c r="D4526" i="8"/>
  <c r="D4527" i="8"/>
  <c r="D4528" i="8"/>
  <c r="D4529" i="8"/>
  <c r="D4530" i="8"/>
  <c r="D4531" i="8"/>
  <c r="D4532" i="8"/>
  <c r="D4533" i="8"/>
  <c r="D4534" i="8"/>
  <c r="D4535" i="8"/>
  <c r="D4536" i="8"/>
  <c r="D4537" i="8"/>
  <c r="D4538" i="8"/>
  <c r="D4539" i="8"/>
  <c r="D4540" i="8"/>
  <c r="D4541" i="8"/>
  <c r="D4542" i="8"/>
  <c r="D4543" i="8"/>
  <c r="D4544" i="8"/>
  <c r="D4545" i="8"/>
  <c r="D4546" i="8"/>
  <c r="D4547" i="8"/>
  <c r="D4548" i="8"/>
  <c r="D4549" i="8"/>
  <c r="D4550" i="8"/>
  <c r="D4551" i="8"/>
  <c r="D4552" i="8"/>
  <c r="D4553" i="8"/>
  <c r="D4554" i="8"/>
  <c r="D4555" i="8"/>
  <c r="D4556" i="8"/>
  <c r="D4557" i="8"/>
  <c r="D4558" i="8"/>
  <c r="D4559" i="8"/>
  <c r="D4560" i="8"/>
  <c r="D4561" i="8"/>
  <c r="D4562" i="8"/>
  <c r="D4563" i="8"/>
  <c r="D4564" i="8"/>
  <c r="D4565" i="8"/>
  <c r="D4566" i="8"/>
  <c r="D4567" i="8"/>
  <c r="D4568" i="8"/>
  <c r="D4569" i="8"/>
  <c r="D4570" i="8"/>
  <c r="D4571" i="8"/>
  <c r="D4572" i="8"/>
  <c r="D4573" i="8"/>
  <c r="D4574" i="8"/>
  <c r="D4575" i="8"/>
  <c r="D4576" i="8"/>
  <c r="D4577" i="8"/>
  <c r="D4578" i="8"/>
  <c r="D4579" i="8"/>
  <c r="D4580" i="8"/>
  <c r="D4581" i="8"/>
  <c r="D4582" i="8"/>
  <c r="D4583" i="8"/>
  <c r="D4584" i="8"/>
  <c r="D4585" i="8"/>
  <c r="D4586" i="8"/>
  <c r="D4587" i="8"/>
  <c r="D4588" i="8"/>
  <c r="D4589" i="8"/>
  <c r="D4590" i="8"/>
  <c r="D4591" i="8"/>
  <c r="D4592" i="8"/>
  <c r="D4593" i="8"/>
  <c r="D4594" i="8"/>
  <c r="D4595" i="8"/>
  <c r="D4596" i="8"/>
  <c r="D4597" i="8"/>
  <c r="D4598" i="8"/>
  <c r="D4599" i="8"/>
  <c r="D4600" i="8"/>
  <c r="D4601" i="8"/>
  <c r="D4602" i="8"/>
  <c r="D4603" i="8"/>
  <c r="D4604" i="8"/>
  <c r="D4605" i="8"/>
  <c r="D4606" i="8"/>
  <c r="D4607" i="8"/>
  <c r="D4608" i="8"/>
  <c r="D4609" i="8"/>
  <c r="D4610" i="8"/>
  <c r="D4611" i="8"/>
  <c r="D4612" i="8"/>
  <c r="D4613" i="8"/>
  <c r="D4614" i="8"/>
  <c r="D4615" i="8"/>
  <c r="D4616" i="8"/>
  <c r="D4617" i="8"/>
  <c r="D4618" i="8"/>
  <c r="D4619" i="8"/>
  <c r="D4620" i="8"/>
  <c r="D4621" i="8"/>
  <c r="D4622" i="8"/>
  <c r="D4623" i="8"/>
  <c r="D4624" i="8"/>
  <c r="D4625" i="8"/>
  <c r="D4626" i="8"/>
  <c r="D4627" i="8"/>
  <c r="D4628" i="8"/>
  <c r="D4629" i="8"/>
  <c r="D4630" i="8"/>
  <c r="D4631" i="8"/>
  <c r="D4632" i="8"/>
  <c r="D4633" i="8"/>
  <c r="D4634" i="8"/>
  <c r="D4635" i="8"/>
  <c r="D4636" i="8"/>
  <c r="D4637" i="8"/>
  <c r="D4638" i="8"/>
  <c r="D4639" i="8"/>
  <c r="D4640" i="8"/>
  <c r="D4641" i="8"/>
  <c r="D4642" i="8"/>
  <c r="D4643" i="8"/>
  <c r="D4644" i="8"/>
  <c r="D4645" i="8"/>
  <c r="D4646" i="8"/>
  <c r="D4647" i="8"/>
  <c r="D4648" i="8"/>
  <c r="D4649" i="8"/>
  <c r="D4650" i="8"/>
  <c r="D4651" i="8"/>
  <c r="D4652" i="8"/>
  <c r="D4653" i="8"/>
  <c r="D4654" i="8"/>
  <c r="D4655" i="8"/>
  <c r="D4656" i="8"/>
  <c r="D4657" i="8"/>
  <c r="D4658" i="8"/>
  <c r="D4659" i="8"/>
  <c r="D4660" i="8"/>
  <c r="D4661" i="8"/>
  <c r="D4662" i="8"/>
  <c r="D4663" i="8"/>
  <c r="D4664" i="8"/>
  <c r="D4665" i="8"/>
  <c r="D4666" i="8"/>
  <c r="D4667" i="8"/>
  <c r="D4668" i="8"/>
  <c r="D4669" i="8"/>
  <c r="D4670" i="8"/>
  <c r="D4671" i="8"/>
  <c r="D4672" i="8"/>
  <c r="D4673" i="8"/>
  <c r="D4674" i="8"/>
  <c r="D4675" i="8"/>
  <c r="D4676" i="8"/>
  <c r="D4677" i="8"/>
  <c r="D4678" i="8"/>
  <c r="D4679" i="8"/>
  <c r="D4680" i="8"/>
  <c r="D4681" i="8"/>
  <c r="D4682" i="8"/>
  <c r="D4683" i="8"/>
  <c r="D4684" i="8"/>
  <c r="D4685" i="8"/>
  <c r="D4686" i="8"/>
  <c r="D4687" i="8"/>
  <c r="D4688" i="8"/>
  <c r="D4689" i="8"/>
  <c r="D4690" i="8"/>
  <c r="D4691" i="8"/>
  <c r="D4692" i="8"/>
  <c r="D4693" i="8"/>
  <c r="D4694" i="8"/>
  <c r="D4695" i="8"/>
  <c r="D4696" i="8"/>
  <c r="D4697" i="8"/>
  <c r="D4698" i="8"/>
  <c r="D4699" i="8"/>
  <c r="D4700" i="8"/>
  <c r="D4701" i="8"/>
  <c r="D4702" i="8"/>
  <c r="D4703" i="8"/>
  <c r="D4704" i="8"/>
  <c r="D4705" i="8"/>
  <c r="D4706" i="8"/>
  <c r="D4707" i="8"/>
  <c r="D4708" i="8"/>
  <c r="D4709" i="8"/>
  <c r="D4710" i="8"/>
  <c r="D4711" i="8"/>
  <c r="D4712" i="8"/>
  <c r="D4713" i="8"/>
  <c r="D4714" i="8"/>
  <c r="D4715" i="8"/>
  <c r="D4716" i="8"/>
  <c r="D4717" i="8"/>
  <c r="D4718" i="8"/>
  <c r="D4719" i="8"/>
  <c r="D4720" i="8"/>
  <c r="D4721" i="8"/>
  <c r="D4722" i="8"/>
  <c r="D4723" i="8"/>
  <c r="D4724" i="8"/>
  <c r="D4725" i="8"/>
  <c r="D4726" i="8"/>
  <c r="D4727" i="8"/>
  <c r="D4728" i="8"/>
  <c r="D4729" i="8"/>
  <c r="D4730" i="8"/>
  <c r="D4731" i="8"/>
  <c r="D4732" i="8"/>
  <c r="D4733" i="8"/>
  <c r="D4734" i="8"/>
  <c r="D4735" i="8"/>
  <c r="D4736" i="8"/>
  <c r="D4737" i="8"/>
  <c r="D4738" i="8"/>
  <c r="D4739" i="8"/>
  <c r="D4740" i="8"/>
  <c r="D4741" i="8"/>
  <c r="D4742" i="8"/>
  <c r="D4743" i="8"/>
  <c r="D4744" i="8"/>
  <c r="D4745" i="8"/>
  <c r="D4746" i="8"/>
  <c r="D4747" i="8"/>
  <c r="D4748" i="8"/>
  <c r="D4749" i="8"/>
  <c r="D4750" i="8"/>
  <c r="D4751" i="8"/>
  <c r="D4752" i="8"/>
  <c r="D4753" i="8"/>
  <c r="D4754" i="8"/>
  <c r="D4755" i="8"/>
  <c r="D4756" i="8"/>
  <c r="D4757" i="8"/>
  <c r="D4758" i="8"/>
  <c r="D4759" i="8"/>
  <c r="D4760" i="8"/>
  <c r="D4761" i="8"/>
  <c r="D4762" i="8"/>
  <c r="D4763" i="8"/>
  <c r="D4764" i="8"/>
  <c r="D4765" i="8"/>
  <c r="D4766" i="8"/>
  <c r="D4767" i="8"/>
  <c r="D4768" i="8"/>
  <c r="D4769" i="8"/>
  <c r="D4770" i="8"/>
  <c r="D4771" i="8"/>
  <c r="D4772" i="8"/>
  <c r="D4773" i="8"/>
  <c r="D4774" i="8"/>
  <c r="D4775" i="8"/>
  <c r="D4776" i="8"/>
  <c r="D4777" i="8"/>
  <c r="D4778" i="8"/>
  <c r="D4779" i="8"/>
  <c r="D4780" i="8"/>
  <c r="D4781" i="8"/>
  <c r="D4782" i="8"/>
  <c r="D4783" i="8"/>
  <c r="D4784" i="8"/>
  <c r="D4785" i="8"/>
  <c r="D4786" i="8"/>
  <c r="D4787" i="8"/>
  <c r="D4788" i="8"/>
  <c r="D4789" i="8"/>
  <c r="C608" i="8"/>
  <c r="C611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7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3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39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5" i="8"/>
  <c r="C4786" i="8"/>
  <c r="C4787" i="8"/>
  <c r="C4788" i="8"/>
  <c r="C4789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3002" i="8"/>
  <c r="B3003" i="8"/>
  <c r="B3004" i="8"/>
  <c r="B3005" i="8"/>
  <c r="B3006" i="8"/>
  <c r="B3007" i="8"/>
  <c r="B3008" i="8"/>
  <c r="B3009" i="8"/>
  <c r="B3010" i="8"/>
  <c r="B3011" i="8"/>
  <c r="B3012" i="8"/>
  <c r="B3013" i="8"/>
  <c r="B3014" i="8"/>
  <c r="B3015" i="8"/>
  <c r="B3016" i="8"/>
  <c r="B3017" i="8"/>
  <c r="B3018" i="8"/>
  <c r="B3019" i="8"/>
  <c r="B3020" i="8"/>
  <c r="B3021" i="8"/>
  <c r="B3022" i="8"/>
  <c r="B3023" i="8"/>
  <c r="B3024" i="8"/>
  <c r="B3025" i="8"/>
  <c r="B3026" i="8"/>
  <c r="B3027" i="8"/>
  <c r="B3028" i="8"/>
  <c r="B3029" i="8"/>
  <c r="B3030" i="8"/>
  <c r="B3031" i="8"/>
  <c r="B3032" i="8"/>
  <c r="B3033" i="8"/>
  <c r="B3034" i="8"/>
  <c r="B3035" i="8"/>
  <c r="B3036" i="8"/>
  <c r="B3037" i="8"/>
  <c r="B3038" i="8"/>
  <c r="B3039" i="8"/>
  <c r="B3040" i="8"/>
  <c r="B3041" i="8"/>
  <c r="B3042" i="8"/>
  <c r="B3043" i="8"/>
  <c r="B3044" i="8"/>
  <c r="B3045" i="8"/>
  <c r="B3046" i="8"/>
  <c r="B3047" i="8"/>
  <c r="B3048" i="8"/>
  <c r="B3049" i="8"/>
  <c r="B3050" i="8"/>
  <c r="B3051" i="8"/>
  <c r="B3052" i="8"/>
  <c r="B3053" i="8"/>
  <c r="B3054" i="8"/>
  <c r="B3055" i="8"/>
  <c r="B3056" i="8"/>
  <c r="B3057" i="8"/>
  <c r="B3058" i="8"/>
  <c r="B3059" i="8"/>
  <c r="B3060" i="8"/>
  <c r="B3061" i="8"/>
  <c r="B3062" i="8"/>
  <c r="B3063" i="8"/>
  <c r="B3064" i="8"/>
  <c r="B3065" i="8"/>
  <c r="B3066" i="8"/>
  <c r="B3067" i="8"/>
  <c r="B3068" i="8"/>
  <c r="B3069" i="8"/>
  <c r="B3070" i="8"/>
  <c r="B3071" i="8"/>
  <c r="B3072" i="8"/>
  <c r="B3073" i="8"/>
  <c r="B3074" i="8"/>
  <c r="B3075" i="8"/>
  <c r="B3076" i="8"/>
  <c r="B3077" i="8"/>
  <c r="B3078" i="8"/>
  <c r="B3079" i="8"/>
  <c r="B3080" i="8"/>
  <c r="B3081" i="8"/>
  <c r="B3082" i="8"/>
  <c r="B3083" i="8"/>
  <c r="B3084" i="8"/>
  <c r="B3085" i="8"/>
  <c r="B3086" i="8"/>
  <c r="B3087" i="8"/>
  <c r="B3088" i="8"/>
  <c r="B3089" i="8"/>
  <c r="B3090" i="8"/>
  <c r="B3091" i="8"/>
  <c r="B3092" i="8"/>
  <c r="B3093" i="8"/>
  <c r="B3094" i="8"/>
  <c r="B3095" i="8"/>
  <c r="B3096" i="8"/>
  <c r="B3097" i="8"/>
  <c r="B3098" i="8"/>
  <c r="B3099" i="8"/>
  <c r="B3100" i="8"/>
  <c r="B3101" i="8"/>
  <c r="B3102" i="8"/>
  <c r="B3103" i="8"/>
  <c r="B3104" i="8"/>
  <c r="B3105" i="8"/>
  <c r="B3106" i="8"/>
  <c r="B3107" i="8"/>
  <c r="B3108" i="8"/>
  <c r="B3109" i="8"/>
  <c r="B3110" i="8"/>
  <c r="B3111" i="8"/>
  <c r="B3112" i="8"/>
  <c r="B3113" i="8"/>
  <c r="B3114" i="8"/>
  <c r="B3115" i="8"/>
  <c r="B3116" i="8"/>
  <c r="B3117" i="8"/>
  <c r="B3118" i="8"/>
  <c r="B3119" i="8"/>
  <c r="B3120" i="8"/>
  <c r="B3121" i="8"/>
  <c r="B3122" i="8"/>
  <c r="B3123" i="8"/>
  <c r="B3124" i="8"/>
  <c r="B3125" i="8"/>
  <c r="B3126" i="8"/>
  <c r="B3127" i="8"/>
  <c r="B3128" i="8"/>
  <c r="B3129" i="8"/>
  <c r="B3130" i="8"/>
  <c r="B3131" i="8"/>
  <c r="B3132" i="8"/>
  <c r="B3133" i="8"/>
  <c r="B3134" i="8"/>
  <c r="B3135" i="8"/>
  <c r="B3136" i="8"/>
  <c r="B3137" i="8"/>
  <c r="B3138" i="8"/>
  <c r="B3139" i="8"/>
  <c r="B3140" i="8"/>
  <c r="B3141" i="8"/>
  <c r="B3142" i="8"/>
  <c r="B3143" i="8"/>
  <c r="B3144" i="8"/>
  <c r="B3145" i="8"/>
  <c r="B3146" i="8"/>
  <c r="B3147" i="8"/>
  <c r="B3148" i="8"/>
  <c r="B3149" i="8"/>
  <c r="B3150" i="8"/>
  <c r="B3151" i="8"/>
  <c r="B3152" i="8"/>
  <c r="B3153" i="8"/>
  <c r="B3154" i="8"/>
  <c r="B3155" i="8"/>
  <c r="B3156" i="8"/>
  <c r="B3157" i="8"/>
  <c r="B3158" i="8"/>
  <c r="B3159" i="8"/>
  <c r="B3160" i="8"/>
  <c r="B3161" i="8"/>
  <c r="B3162" i="8"/>
  <c r="B3163" i="8"/>
  <c r="B3164" i="8"/>
  <c r="B3165" i="8"/>
  <c r="B3166" i="8"/>
  <c r="B3167" i="8"/>
  <c r="B3168" i="8"/>
  <c r="B3169" i="8"/>
  <c r="B3170" i="8"/>
  <c r="B3171" i="8"/>
  <c r="B3172" i="8"/>
  <c r="B3173" i="8"/>
  <c r="B3174" i="8"/>
  <c r="B3175" i="8"/>
  <c r="B3176" i="8"/>
  <c r="B3177" i="8"/>
  <c r="B3178" i="8"/>
  <c r="B3179" i="8"/>
  <c r="B3180" i="8"/>
  <c r="B3181" i="8"/>
  <c r="B3182" i="8"/>
  <c r="B3183" i="8"/>
  <c r="B3184" i="8"/>
  <c r="B3185" i="8"/>
  <c r="B3186" i="8"/>
  <c r="B3187" i="8"/>
  <c r="B3188" i="8"/>
  <c r="B3189" i="8"/>
  <c r="B3190" i="8"/>
  <c r="B3191" i="8"/>
  <c r="B3192" i="8"/>
  <c r="B3193" i="8"/>
  <c r="B3194" i="8"/>
  <c r="B3195" i="8"/>
  <c r="B3196" i="8"/>
  <c r="B3197" i="8"/>
  <c r="B3198" i="8"/>
  <c r="B3199" i="8"/>
  <c r="B3200" i="8"/>
  <c r="B3201" i="8"/>
  <c r="B3202" i="8"/>
  <c r="B3203" i="8"/>
  <c r="B3204" i="8"/>
  <c r="B3205" i="8"/>
  <c r="B3206" i="8"/>
  <c r="B3207" i="8"/>
  <c r="B3208" i="8"/>
  <c r="B3209" i="8"/>
  <c r="B3210" i="8"/>
  <c r="B3211" i="8"/>
  <c r="B3212" i="8"/>
  <c r="B3213" i="8"/>
  <c r="B3214" i="8"/>
  <c r="B3215" i="8"/>
  <c r="B3216" i="8"/>
  <c r="B3217" i="8"/>
  <c r="B3218" i="8"/>
  <c r="B3219" i="8"/>
  <c r="B3220" i="8"/>
  <c r="B3221" i="8"/>
  <c r="B3222" i="8"/>
  <c r="B3223" i="8"/>
  <c r="B3224" i="8"/>
  <c r="B3225" i="8"/>
  <c r="B3226" i="8"/>
  <c r="B3227" i="8"/>
  <c r="B3228" i="8"/>
  <c r="B3229" i="8"/>
  <c r="B3230" i="8"/>
  <c r="B3231" i="8"/>
  <c r="B3232" i="8"/>
  <c r="B3233" i="8"/>
  <c r="B3234" i="8"/>
  <c r="B3235" i="8"/>
  <c r="B3236" i="8"/>
  <c r="B3237" i="8"/>
  <c r="B3238" i="8"/>
  <c r="B3239" i="8"/>
  <c r="B3240" i="8"/>
  <c r="B3241" i="8"/>
  <c r="B3242" i="8"/>
  <c r="B3243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82" i="8"/>
  <c r="B3283" i="8"/>
  <c r="B3284" i="8"/>
  <c r="B3285" i="8"/>
  <c r="B3286" i="8"/>
  <c r="B3287" i="8"/>
  <c r="B3288" i="8"/>
  <c r="B3289" i="8"/>
  <c r="B3290" i="8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324" i="8"/>
  <c r="B3325" i="8"/>
  <c r="B3326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70" i="8"/>
  <c r="B3371" i="8"/>
  <c r="B3372" i="8"/>
  <c r="B3373" i="8"/>
  <c r="B3374" i="8"/>
  <c r="B3375" i="8"/>
  <c r="B3376" i="8"/>
  <c r="B3377" i="8"/>
  <c r="B3378" i="8"/>
  <c r="B3379" i="8"/>
  <c r="B3380" i="8"/>
  <c r="B3381" i="8"/>
  <c r="B3382" i="8"/>
  <c r="B3383" i="8"/>
  <c r="B3384" i="8"/>
  <c r="B3385" i="8"/>
  <c r="B3386" i="8"/>
  <c r="B3387" i="8"/>
  <c r="B3388" i="8"/>
  <c r="B3389" i="8"/>
  <c r="B3390" i="8"/>
  <c r="B3391" i="8"/>
  <c r="B3392" i="8"/>
  <c r="B3393" i="8"/>
  <c r="B3394" i="8"/>
  <c r="B3395" i="8"/>
  <c r="B3396" i="8"/>
  <c r="B3397" i="8"/>
  <c r="B3398" i="8"/>
  <c r="B3399" i="8"/>
  <c r="B3400" i="8"/>
  <c r="B3401" i="8"/>
  <c r="B3402" i="8"/>
  <c r="B3403" i="8"/>
  <c r="B3404" i="8"/>
  <c r="B3405" i="8"/>
  <c r="B3406" i="8"/>
  <c r="B3407" i="8"/>
  <c r="B3408" i="8"/>
  <c r="B3409" i="8"/>
  <c r="B3410" i="8"/>
  <c r="B3411" i="8"/>
  <c r="B3412" i="8"/>
  <c r="B3413" i="8"/>
  <c r="B3414" i="8"/>
  <c r="B3415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48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89" i="8"/>
  <c r="B3490" i="8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03" i="8"/>
  <c r="B3504" i="8"/>
  <c r="B3505" i="8"/>
  <c r="B3506" i="8"/>
  <c r="B3507" i="8"/>
  <c r="B3508" i="8"/>
  <c r="B3509" i="8"/>
  <c r="B3510" i="8"/>
  <c r="B3511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528" i="8"/>
  <c r="B3529" i="8"/>
  <c r="B3530" i="8"/>
  <c r="B3531" i="8"/>
  <c r="B3532" i="8"/>
  <c r="B3533" i="8"/>
  <c r="B3534" i="8"/>
  <c r="B3535" i="8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58" i="8"/>
  <c r="B3559" i="8"/>
  <c r="B3560" i="8"/>
  <c r="B3561" i="8"/>
  <c r="B3562" i="8"/>
  <c r="B3563" i="8"/>
  <c r="B3564" i="8"/>
  <c r="B3565" i="8"/>
  <c r="B3566" i="8"/>
  <c r="B3567" i="8"/>
  <c r="B3568" i="8"/>
  <c r="B3569" i="8"/>
  <c r="B3570" i="8"/>
  <c r="B3571" i="8"/>
  <c r="B3572" i="8"/>
  <c r="B3573" i="8"/>
  <c r="B3574" i="8"/>
  <c r="B3575" i="8"/>
  <c r="B3576" i="8"/>
  <c r="B3577" i="8"/>
  <c r="B3578" i="8"/>
  <c r="B3579" i="8"/>
  <c r="B3580" i="8"/>
  <c r="B3581" i="8"/>
  <c r="B3582" i="8"/>
  <c r="B3583" i="8"/>
  <c r="B3584" i="8"/>
  <c r="B3585" i="8"/>
  <c r="B3586" i="8"/>
  <c r="B3587" i="8"/>
  <c r="B3588" i="8"/>
  <c r="B3589" i="8"/>
  <c r="B3590" i="8"/>
  <c r="B3591" i="8"/>
  <c r="B3592" i="8"/>
  <c r="B3593" i="8"/>
  <c r="B3594" i="8"/>
  <c r="B3595" i="8"/>
  <c r="B3596" i="8"/>
  <c r="B3597" i="8"/>
  <c r="B3598" i="8"/>
  <c r="B3599" i="8"/>
  <c r="B3600" i="8"/>
  <c r="B3601" i="8"/>
  <c r="B3602" i="8"/>
  <c r="B3603" i="8"/>
  <c r="B3604" i="8"/>
  <c r="B3605" i="8"/>
  <c r="B3606" i="8"/>
  <c r="B360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4" i="8"/>
  <c r="B3635" i="8"/>
  <c r="B3636" i="8"/>
  <c r="B3637" i="8"/>
  <c r="B3638" i="8"/>
  <c r="B3639" i="8"/>
  <c r="B3640" i="8"/>
  <c r="B3641" i="8"/>
  <c r="B3642" i="8"/>
  <c r="B3643" i="8"/>
  <c r="B3644" i="8"/>
  <c r="B3645" i="8"/>
  <c r="B3646" i="8"/>
  <c r="B3647" i="8"/>
  <c r="B3648" i="8"/>
  <c r="B3649" i="8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B3690" i="8"/>
  <c r="B3691" i="8"/>
  <c r="B3692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B3724" i="8"/>
  <c r="B3725" i="8"/>
  <c r="B3726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39" i="8"/>
  <c r="B3740" i="8"/>
  <c r="B3741" i="8"/>
  <c r="B3742" i="8"/>
  <c r="B3743" i="8"/>
  <c r="B3744" i="8"/>
  <c r="B3745" i="8"/>
  <c r="B3746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59" i="8"/>
  <c r="B3760" i="8"/>
  <c r="B3761" i="8"/>
  <c r="B3762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96" i="8"/>
  <c r="B3797" i="8"/>
  <c r="B3798" i="8"/>
  <c r="B3799" i="8"/>
  <c r="B3800" i="8"/>
  <c r="B3801" i="8"/>
  <c r="B3802" i="8"/>
  <c r="B3803" i="8"/>
  <c r="B3804" i="8"/>
  <c r="B3805" i="8"/>
  <c r="B3806" i="8"/>
  <c r="B3807" i="8"/>
  <c r="B3808" i="8"/>
  <c r="B3809" i="8"/>
  <c r="B3810" i="8"/>
  <c r="B3811" i="8"/>
  <c r="B3812" i="8"/>
  <c r="B3813" i="8"/>
  <c r="B3814" i="8"/>
  <c r="B3815" i="8"/>
  <c r="B3816" i="8"/>
  <c r="B3817" i="8"/>
  <c r="B3818" i="8"/>
  <c r="B3819" i="8"/>
  <c r="B3820" i="8"/>
  <c r="B3821" i="8"/>
  <c r="B3822" i="8"/>
  <c r="B3823" i="8"/>
  <c r="B3824" i="8"/>
  <c r="B3825" i="8"/>
  <c r="B3826" i="8"/>
  <c r="B3827" i="8"/>
  <c r="B3828" i="8"/>
  <c r="B3829" i="8"/>
  <c r="B3830" i="8"/>
  <c r="B3831" i="8"/>
  <c r="B3832" i="8"/>
  <c r="B3833" i="8"/>
  <c r="B3834" i="8"/>
  <c r="B3835" i="8"/>
  <c r="B3836" i="8"/>
  <c r="B3837" i="8"/>
  <c r="B3838" i="8"/>
  <c r="B3839" i="8"/>
  <c r="B3840" i="8"/>
  <c r="B3841" i="8"/>
  <c r="B3842" i="8"/>
  <c r="B3843" i="8"/>
  <c r="B3844" i="8"/>
  <c r="B3845" i="8"/>
  <c r="B3846" i="8"/>
  <c r="B3847" i="8"/>
  <c r="B3848" i="8"/>
  <c r="B3849" i="8"/>
  <c r="B3850" i="8"/>
  <c r="B3851" i="8"/>
  <c r="B3852" i="8"/>
  <c r="B3853" i="8"/>
  <c r="B3854" i="8"/>
  <c r="B3855" i="8"/>
  <c r="B3856" i="8"/>
  <c r="B3857" i="8"/>
  <c r="B3858" i="8"/>
  <c r="B3859" i="8"/>
  <c r="B3860" i="8"/>
  <c r="B3861" i="8"/>
  <c r="B3862" i="8"/>
  <c r="B3863" i="8"/>
  <c r="B3864" i="8"/>
  <c r="B3865" i="8"/>
  <c r="B3866" i="8"/>
  <c r="B3867" i="8"/>
  <c r="B3868" i="8"/>
  <c r="B3869" i="8"/>
  <c r="B3870" i="8"/>
  <c r="B3871" i="8"/>
  <c r="B3872" i="8"/>
  <c r="B3873" i="8"/>
  <c r="B3874" i="8"/>
  <c r="B3875" i="8"/>
  <c r="B3876" i="8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927" i="8"/>
  <c r="B3928" i="8"/>
  <c r="B3929" i="8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83" i="8"/>
  <c r="B3984" i="8"/>
  <c r="B3985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39" i="8"/>
  <c r="B4040" i="8"/>
  <c r="B4041" i="8"/>
  <c r="B4042" i="8"/>
  <c r="B4043" i="8"/>
  <c r="B4044" i="8"/>
  <c r="B4045" i="8"/>
  <c r="B4046" i="8"/>
  <c r="B4047" i="8"/>
  <c r="B404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4089" i="8"/>
  <c r="B4090" i="8"/>
  <c r="B4091" i="8"/>
  <c r="B4092" i="8"/>
  <c r="B4093" i="8"/>
  <c r="B4094" i="8"/>
  <c r="B4095" i="8"/>
  <c r="B4096" i="8"/>
  <c r="B4097" i="8"/>
  <c r="B4098" i="8"/>
  <c r="B4099" i="8"/>
  <c r="B4100" i="8"/>
  <c r="B4101" i="8"/>
  <c r="B4102" i="8"/>
  <c r="B4103" i="8"/>
  <c r="B410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4134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62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178" i="8"/>
  <c r="B4179" i="8"/>
  <c r="B4180" i="8"/>
  <c r="B4181" i="8"/>
  <c r="B4182" i="8"/>
  <c r="B4183" i="8"/>
  <c r="B4184" i="8"/>
  <c r="B4185" i="8"/>
  <c r="B4186" i="8"/>
  <c r="B4187" i="8"/>
  <c r="B4188" i="8"/>
  <c r="B4189" i="8"/>
  <c r="B4190" i="8"/>
  <c r="B4191" i="8"/>
  <c r="B4192" i="8"/>
  <c r="B4193" i="8"/>
  <c r="B4194" i="8"/>
  <c r="B4195" i="8"/>
  <c r="B4196" i="8"/>
  <c r="B4197" i="8"/>
  <c r="B4198" i="8"/>
  <c r="B4199" i="8"/>
  <c r="B4200" i="8"/>
  <c r="B4201" i="8"/>
  <c r="B4202" i="8"/>
  <c r="B4203" i="8"/>
  <c r="B4204" i="8"/>
  <c r="B4205" i="8"/>
  <c r="B4206" i="8"/>
  <c r="B4207" i="8"/>
  <c r="B4208" i="8"/>
  <c r="B4209" i="8"/>
  <c r="B4210" i="8"/>
  <c r="B4211" i="8"/>
  <c r="B4212" i="8"/>
  <c r="B4213" i="8"/>
  <c r="B4214" i="8"/>
  <c r="B4215" i="8"/>
  <c r="B4216" i="8"/>
  <c r="B4217" i="8"/>
  <c r="B4218" i="8"/>
  <c r="B4219" i="8"/>
  <c r="B4220" i="8"/>
  <c r="B4221" i="8"/>
  <c r="B4222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250" i="8"/>
  <c r="B4251" i="8"/>
  <c r="B4252" i="8"/>
  <c r="B4253" i="8"/>
  <c r="B4254" i="8"/>
  <c r="B4255" i="8"/>
  <c r="B4256" i="8"/>
  <c r="B4257" i="8"/>
  <c r="B4258" i="8"/>
  <c r="B4259" i="8"/>
  <c r="B4260" i="8"/>
  <c r="B4261" i="8"/>
  <c r="B4262" i="8"/>
  <c r="B4263" i="8"/>
  <c r="B4264" i="8"/>
  <c r="B4265" i="8"/>
  <c r="B4266" i="8"/>
  <c r="B4267" i="8"/>
  <c r="B4268" i="8"/>
  <c r="B4269" i="8"/>
  <c r="B4270" i="8"/>
  <c r="B4271" i="8"/>
  <c r="B4272" i="8"/>
  <c r="B4273" i="8"/>
  <c r="B4274" i="8"/>
  <c r="B4275" i="8"/>
  <c r="B4276" i="8"/>
  <c r="B4277" i="8"/>
  <c r="B4278" i="8"/>
  <c r="B4279" i="8"/>
  <c r="B4280" i="8"/>
  <c r="B4281" i="8"/>
  <c r="B4282" i="8"/>
  <c r="B4283" i="8"/>
  <c r="B4284" i="8"/>
  <c r="B4285" i="8"/>
  <c r="B4286" i="8"/>
  <c r="B4287" i="8"/>
  <c r="B4288" i="8"/>
  <c r="B4289" i="8"/>
  <c r="B4290" i="8"/>
  <c r="B4291" i="8"/>
  <c r="B4292" i="8"/>
  <c r="B4293" i="8"/>
  <c r="B4294" i="8"/>
  <c r="B4295" i="8"/>
  <c r="B4296" i="8"/>
  <c r="B4297" i="8"/>
  <c r="B4298" i="8"/>
  <c r="B4299" i="8"/>
  <c r="B4300" i="8"/>
  <c r="B4301" i="8"/>
  <c r="B4302" i="8"/>
  <c r="B4303" i="8"/>
  <c r="B4304" i="8"/>
  <c r="B4305" i="8"/>
  <c r="B4306" i="8"/>
  <c r="B4307" i="8"/>
  <c r="B4308" i="8"/>
  <c r="B4309" i="8"/>
  <c r="B4310" i="8"/>
  <c r="B4311" i="8"/>
  <c r="B4312" i="8"/>
  <c r="B4313" i="8"/>
  <c r="B4314" i="8"/>
  <c r="B4315" i="8"/>
  <c r="B4316" i="8"/>
  <c r="B4317" i="8"/>
  <c r="B4318" i="8"/>
  <c r="B4319" i="8"/>
  <c r="B4320" i="8"/>
  <c r="B4321" i="8"/>
  <c r="B4322" i="8"/>
  <c r="B4323" i="8"/>
  <c r="B4324" i="8"/>
  <c r="B4325" i="8"/>
  <c r="B4326" i="8"/>
  <c r="B4327" i="8"/>
  <c r="B4328" i="8"/>
  <c r="B4329" i="8"/>
  <c r="B4330" i="8"/>
  <c r="B4331" i="8"/>
  <c r="B4332" i="8"/>
  <c r="B4333" i="8"/>
  <c r="B4334" i="8"/>
  <c r="B4335" i="8"/>
  <c r="B4336" i="8"/>
  <c r="B4337" i="8"/>
  <c r="B4338" i="8"/>
  <c r="B4339" i="8"/>
  <c r="B4340" i="8"/>
  <c r="B4341" i="8"/>
  <c r="B4342" i="8"/>
  <c r="B4343" i="8"/>
  <c r="B4344" i="8"/>
  <c r="B4345" i="8"/>
  <c r="B4346" i="8"/>
  <c r="B4347" i="8"/>
  <c r="B4348" i="8"/>
  <c r="B4349" i="8"/>
  <c r="B4350" i="8"/>
  <c r="B4351" i="8"/>
  <c r="B4352" i="8"/>
  <c r="B4353" i="8"/>
  <c r="B4354" i="8"/>
  <c r="B4355" i="8"/>
  <c r="B4356" i="8"/>
  <c r="B4357" i="8"/>
  <c r="B4358" i="8"/>
  <c r="B4359" i="8"/>
  <c r="B4360" i="8"/>
  <c r="B4361" i="8"/>
  <c r="B4362" i="8"/>
  <c r="B4363" i="8"/>
  <c r="B4364" i="8"/>
  <c r="B4365" i="8"/>
  <c r="B4366" i="8"/>
  <c r="B4367" i="8"/>
  <c r="B4368" i="8"/>
  <c r="B4369" i="8"/>
  <c r="B4370" i="8"/>
  <c r="B4371" i="8"/>
  <c r="B4372" i="8"/>
  <c r="B4373" i="8"/>
  <c r="B4374" i="8"/>
  <c r="B4375" i="8"/>
  <c r="B4376" i="8"/>
  <c r="B4377" i="8"/>
  <c r="B4378" i="8"/>
  <c r="B4379" i="8"/>
  <c r="B4380" i="8"/>
  <c r="B4381" i="8"/>
  <c r="B4382" i="8"/>
  <c r="B4383" i="8"/>
  <c r="B4384" i="8"/>
  <c r="B4385" i="8"/>
  <c r="B4386" i="8"/>
  <c r="B4387" i="8"/>
  <c r="B4388" i="8"/>
  <c r="B4389" i="8"/>
  <c r="B4390" i="8"/>
  <c r="B4391" i="8"/>
  <c r="B4392" i="8"/>
  <c r="B4393" i="8"/>
  <c r="B4394" i="8"/>
  <c r="B4395" i="8"/>
  <c r="B4396" i="8"/>
  <c r="B4397" i="8"/>
  <c r="B4398" i="8"/>
  <c r="B4399" i="8"/>
  <c r="B4400" i="8"/>
  <c r="B4401" i="8"/>
  <c r="B4402" i="8"/>
  <c r="B4403" i="8"/>
  <c r="B4404" i="8"/>
  <c r="B4405" i="8"/>
  <c r="B4406" i="8"/>
  <c r="B4407" i="8"/>
  <c r="B4408" i="8"/>
  <c r="B4409" i="8"/>
  <c r="B4410" i="8"/>
  <c r="B4411" i="8"/>
  <c r="B4412" i="8"/>
  <c r="B4413" i="8"/>
  <c r="B4414" i="8"/>
  <c r="B4415" i="8"/>
  <c r="B4416" i="8"/>
  <c r="B4417" i="8"/>
  <c r="B4418" i="8"/>
  <c r="B4419" i="8"/>
  <c r="B4420" i="8"/>
  <c r="B4421" i="8"/>
  <c r="B4422" i="8"/>
  <c r="B4423" i="8"/>
  <c r="B4424" i="8"/>
  <c r="B4425" i="8"/>
  <c r="B4426" i="8"/>
  <c r="B4427" i="8"/>
  <c r="B4428" i="8"/>
  <c r="B4429" i="8"/>
  <c r="B4430" i="8"/>
  <c r="B4431" i="8"/>
  <c r="B4432" i="8"/>
  <c r="B4433" i="8"/>
  <c r="B4434" i="8"/>
  <c r="B4435" i="8"/>
  <c r="B4436" i="8"/>
  <c r="B4437" i="8"/>
  <c r="B4438" i="8"/>
  <c r="B4439" i="8"/>
  <c r="B4440" i="8"/>
  <c r="B4441" i="8"/>
  <c r="B4442" i="8"/>
  <c r="B4443" i="8"/>
  <c r="B4444" i="8"/>
  <c r="B4445" i="8"/>
  <c r="B4446" i="8"/>
  <c r="B4447" i="8"/>
  <c r="B4448" i="8"/>
  <c r="B4449" i="8"/>
  <c r="B4450" i="8"/>
  <c r="B4451" i="8"/>
  <c r="B4452" i="8"/>
  <c r="B4453" i="8"/>
  <c r="B4454" i="8"/>
  <c r="B4455" i="8"/>
  <c r="B4456" i="8"/>
  <c r="B4457" i="8"/>
  <c r="B4458" i="8"/>
  <c r="B4459" i="8"/>
  <c r="B4460" i="8"/>
  <c r="B4461" i="8"/>
  <c r="B4462" i="8"/>
  <c r="B4463" i="8"/>
  <c r="B4464" i="8"/>
  <c r="B4465" i="8"/>
  <c r="B4466" i="8"/>
  <c r="B4467" i="8"/>
  <c r="B4468" i="8"/>
  <c r="B4469" i="8"/>
  <c r="B4470" i="8"/>
  <c r="B4471" i="8"/>
  <c r="B4472" i="8"/>
  <c r="B4473" i="8"/>
  <c r="B4474" i="8"/>
  <c r="B4475" i="8"/>
  <c r="B4476" i="8"/>
  <c r="B4477" i="8"/>
  <c r="B4478" i="8"/>
  <c r="B4479" i="8"/>
  <c r="B4480" i="8"/>
  <c r="B4481" i="8"/>
  <c r="B4482" i="8"/>
  <c r="B4483" i="8"/>
  <c r="B4484" i="8"/>
  <c r="B4485" i="8"/>
  <c r="B4486" i="8"/>
  <c r="B4487" i="8"/>
  <c r="B4488" i="8"/>
  <c r="B4489" i="8"/>
  <c r="B4490" i="8"/>
  <c r="B4491" i="8"/>
  <c r="B4492" i="8"/>
  <c r="B4493" i="8"/>
  <c r="B4494" i="8"/>
  <c r="B4495" i="8"/>
  <c r="B4496" i="8"/>
  <c r="B4497" i="8"/>
  <c r="B4498" i="8"/>
  <c r="B4499" i="8"/>
  <c r="B4500" i="8"/>
  <c r="B4501" i="8"/>
  <c r="B4502" i="8"/>
  <c r="B4503" i="8"/>
  <c r="B4504" i="8"/>
  <c r="B4505" i="8"/>
  <c r="B4506" i="8"/>
  <c r="B4507" i="8"/>
  <c r="B4508" i="8"/>
  <c r="B4509" i="8"/>
  <c r="B4510" i="8"/>
  <c r="B4511" i="8"/>
  <c r="B4512" i="8"/>
  <c r="B4513" i="8"/>
  <c r="B4514" i="8"/>
  <c r="B4515" i="8"/>
  <c r="B4516" i="8"/>
  <c r="B4517" i="8"/>
  <c r="B4518" i="8"/>
  <c r="B4519" i="8"/>
  <c r="B4520" i="8"/>
  <c r="B4521" i="8"/>
  <c r="B4522" i="8"/>
  <c r="B4523" i="8"/>
  <c r="B4524" i="8"/>
  <c r="B4525" i="8"/>
  <c r="B4526" i="8"/>
  <c r="B4527" i="8"/>
  <c r="B4528" i="8"/>
  <c r="B4529" i="8"/>
  <c r="B4530" i="8"/>
  <c r="B4531" i="8"/>
  <c r="B4532" i="8"/>
  <c r="B4533" i="8"/>
  <c r="B4534" i="8"/>
  <c r="B4535" i="8"/>
  <c r="B4536" i="8"/>
  <c r="B4537" i="8"/>
  <c r="B4538" i="8"/>
  <c r="B4539" i="8"/>
  <c r="B4540" i="8"/>
  <c r="B4541" i="8"/>
  <c r="B4542" i="8"/>
  <c r="B4543" i="8"/>
  <c r="B4544" i="8"/>
  <c r="B4545" i="8"/>
  <c r="B4546" i="8"/>
  <c r="B4547" i="8"/>
  <c r="B4548" i="8"/>
  <c r="B4549" i="8"/>
  <c r="B4550" i="8"/>
  <c r="B4551" i="8"/>
  <c r="B4552" i="8"/>
  <c r="B4553" i="8"/>
  <c r="B4554" i="8"/>
  <c r="B4555" i="8"/>
  <c r="B4556" i="8"/>
  <c r="B4557" i="8"/>
  <c r="B4558" i="8"/>
  <c r="B4559" i="8"/>
  <c r="B4560" i="8"/>
  <c r="B4561" i="8"/>
  <c r="B4562" i="8"/>
  <c r="B4563" i="8"/>
  <c r="B4564" i="8"/>
  <c r="B4565" i="8"/>
  <c r="B4566" i="8"/>
  <c r="B4567" i="8"/>
  <c r="B4568" i="8"/>
  <c r="B4569" i="8"/>
  <c r="B4570" i="8"/>
  <c r="B4571" i="8"/>
  <c r="B4572" i="8"/>
  <c r="B4573" i="8"/>
  <c r="B4574" i="8"/>
  <c r="B4575" i="8"/>
  <c r="B4576" i="8"/>
  <c r="B4577" i="8"/>
  <c r="B4578" i="8"/>
  <c r="B4579" i="8"/>
  <c r="B4580" i="8"/>
  <c r="B4581" i="8"/>
  <c r="B4582" i="8"/>
  <c r="B4583" i="8"/>
  <c r="B4584" i="8"/>
  <c r="B4585" i="8"/>
  <c r="B4586" i="8"/>
  <c r="B4587" i="8"/>
  <c r="B4588" i="8"/>
  <c r="B4589" i="8"/>
  <c r="B4590" i="8"/>
  <c r="B4591" i="8"/>
  <c r="B4592" i="8"/>
  <c r="B4593" i="8"/>
  <c r="B4594" i="8"/>
  <c r="B4595" i="8"/>
  <c r="B4596" i="8"/>
  <c r="B4597" i="8"/>
  <c r="B4598" i="8"/>
  <c r="B4599" i="8"/>
  <c r="B4600" i="8"/>
  <c r="B4601" i="8"/>
  <c r="B4602" i="8"/>
  <c r="B4603" i="8"/>
  <c r="B4604" i="8"/>
  <c r="B4605" i="8"/>
  <c r="B4606" i="8"/>
  <c r="B4607" i="8"/>
  <c r="B4608" i="8"/>
  <c r="B4609" i="8"/>
  <c r="B4610" i="8"/>
  <c r="B4611" i="8"/>
  <c r="B4612" i="8"/>
  <c r="B4613" i="8"/>
  <c r="B4614" i="8"/>
  <c r="B4615" i="8"/>
  <c r="B4616" i="8"/>
  <c r="B4617" i="8"/>
  <c r="B4618" i="8"/>
  <c r="B4619" i="8"/>
  <c r="B4620" i="8"/>
  <c r="B4621" i="8"/>
  <c r="B4622" i="8"/>
  <c r="B4623" i="8"/>
  <c r="B4624" i="8"/>
  <c r="B4625" i="8"/>
  <c r="B4626" i="8"/>
  <c r="B4627" i="8"/>
  <c r="B4628" i="8"/>
  <c r="B4629" i="8"/>
  <c r="B4630" i="8"/>
  <c r="B4631" i="8"/>
  <c r="B4632" i="8"/>
  <c r="B4633" i="8"/>
  <c r="B4634" i="8"/>
  <c r="B4635" i="8"/>
  <c r="B4636" i="8"/>
  <c r="B4637" i="8"/>
  <c r="B4638" i="8"/>
  <c r="B4639" i="8"/>
  <c r="B4640" i="8"/>
  <c r="B4641" i="8"/>
  <c r="B4642" i="8"/>
  <c r="B4643" i="8"/>
  <c r="B4644" i="8"/>
  <c r="B4645" i="8"/>
  <c r="B4646" i="8"/>
  <c r="B4647" i="8"/>
  <c r="B4648" i="8"/>
  <c r="B4649" i="8"/>
  <c r="B4650" i="8"/>
  <c r="B4651" i="8"/>
  <c r="B4652" i="8"/>
  <c r="B4653" i="8"/>
  <c r="B4654" i="8"/>
  <c r="B4655" i="8"/>
  <c r="B4656" i="8"/>
  <c r="B4657" i="8"/>
  <c r="B4658" i="8"/>
  <c r="B4659" i="8"/>
  <c r="B4660" i="8"/>
  <c r="B4661" i="8"/>
  <c r="B4662" i="8"/>
  <c r="B4663" i="8"/>
  <c r="B4664" i="8"/>
  <c r="B4665" i="8"/>
  <c r="B4666" i="8"/>
  <c r="B4667" i="8"/>
  <c r="B4668" i="8"/>
  <c r="B4669" i="8"/>
  <c r="B4670" i="8"/>
  <c r="B4671" i="8"/>
  <c r="B4672" i="8"/>
  <c r="B4673" i="8"/>
  <c r="B4674" i="8"/>
  <c r="B4675" i="8"/>
  <c r="B4676" i="8"/>
  <c r="B4677" i="8"/>
  <c r="B4678" i="8"/>
  <c r="B4679" i="8"/>
  <c r="B4680" i="8"/>
  <c r="B4681" i="8"/>
  <c r="B4682" i="8"/>
  <c r="B4683" i="8"/>
  <c r="B4684" i="8"/>
  <c r="B4685" i="8"/>
  <c r="B4686" i="8"/>
  <c r="B4687" i="8"/>
  <c r="B4688" i="8"/>
  <c r="B4689" i="8"/>
  <c r="B4690" i="8"/>
  <c r="B4691" i="8"/>
  <c r="B4692" i="8"/>
  <c r="B4693" i="8"/>
  <c r="B4694" i="8"/>
  <c r="B4695" i="8"/>
  <c r="B4696" i="8"/>
  <c r="B4697" i="8"/>
  <c r="B4698" i="8"/>
  <c r="B4699" i="8"/>
  <c r="B4700" i="8"/>
  <c r="B4701" i="8"/>
  <c r="B4702" i="8"/>
  <c r="B4703" i="8"/>
  <c r="B4704" i="8"/>
  <c r="B4705" i="8"/>
  <c r="B4706" i="8"/>
  <c r="B4707" i="8"/>
  <c r="B4708" i="8"/>
  <c r="B4709" i="8"/>
  <c r="B4710" i="8"/>
  <c r="B4711" i="8"/>
  <c r="B4712" i="8"/>
  <c r="B4713" i="8"/>
  <c r="B4714" i="8"/>
  <c r="B4715" i="8"/>
  <c r="B4716" i="8"/>
  <c r="B4717" i="8"/>
  <c r="B4718" i="8"/>
  <c r="B4719" i="8"/>
  <c r="B4720" i="8"/>
  <c r="B4721" i="8"/>
  <c r="B4722" i="8"/>
  <c r="B4723" i="8"/>
  <c r="B4724" i="8"/>
  <c r="B4725" i="8"/>
  <c r="B4726" i="8"/>
  <c r="B4727" i="8"/>
  <c r="B4728" i="8"/>
  <c r="B4729" i="8"/>
  <c r="B4730" i="8"/>
  <c r="B4731" i="8"/>
  <c r="B4732" i="8"/>
  <c r="B4733" i="8"/>
  <c r="B4734" i="8"/>
  <c r="B4735" i="8"/>
  <c r="B4736" i="8"/>
  <c r="B4737" i="8"/>
  <c r="B4738" i="8"/>
  <c r="B4739" i="8"/>
  <c r="B4740" i="8"/>
  <c r="B4741" i="8"/>
  <c r="B4742" i="8"/>
  <c r="B4743" i="8"/>
  <c r="B4744" i="8"/>
  <c r="B4745" i="8"/>
  <c r="B4746" i="8"/>
  <c r="B4747" i="8"/>
  <c r="B4748" i="8"/>
  <c r="B4749" i="8"/>
  <c r="B4750" i="8"/>
  <c r="B4751" i="8"/>
  <c r="B4752" i="8"/>
  <c r="B4753" i="8"/>
  <c r="B4754" i="8"/>
  <c r="B4755" i="8"/>
  <c r="B4756" i="8"/>
  <c r="B4757" i="8"/>
  <c r="B4758" i="8"/>
  <c r="B4759" i="8"/>
  <c r="B4760" i="8"/>
  <c r="B4761" i="8"/>
  <c r="B4762" i="8"/>
  <c r="B4763" i="8"/>
  <c r="B4764" i="8"/>
  <c r="B4765" i="8"/>
  <c r="B4766" i="8"/>
  <c r="B4767" i="8"/>
  <c r="B4768" i="8"/>
  <c r="B4769" i="8"/>
  <c r="B4770" i="8"/>
  <c r="B4771" i="8"/>
  <c r="B4772" i="8"/>
  <c r="B4773" i="8"/>
  <c r="B4774" i="8"/>
  <c r="B4775" i="8"/>
  <c r="B4776" i="8"/>
  <c r="B4777" i="8"/>
  <c r="B4778" i="8"/>
  <c r="B4779" i="8"/>
  <c r="B4780" i="8"/>
  <c r="B4781" i="8"/>
  <c r="B4782" i="8"/>
  <c r="B4783" i="8"/>
  <c r="B4784" i="8"/>
  <c r="B4785" i="8"/>
  <c r="B4786" i="8"/>
  <c r="B4787" i="8"/>
  <c r="B4788" i="8"/>
  <c r="B4789" i="8"/>
  <c r="K602" i="8"/>
  <c r="K603" i="8"/>
  <c r="K604" i="8"/>
  <c r="K605" i="8"/>
  <c r="D602" i="8"/>
  <c r="D603" i="8"/>
  <c r="D604" i="8"/>
  <c r="D605" i="8"/>
  <c r="D606" i="8"/>
  <c r="D607" i="8"/>
  <c r="D608" i="8"/>
  <c r="C561" i="8"/>
  <c r="C32" i="18"/>
  <c r="D597" i="8"/>
  <c r="D598" i="8"/>
  <c r="D599" i="8"/>
  <c r="C597" i="8"/>
  <c r="C598" i="8"/>
  <c r="C599" i="8"/>
  <c r="C602" i="8"/>
  <c r="C603" i="8"/>
  <c r="C604" i="8"/>
  <c r="C605" i="8"/>
  <c r="C606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D569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C585" i="8"/>
  <c r="C586" i="8"/>
  <c r="C587" i="8"/>
  <c r="C588" i="8"/>
  <c r="C589" i="8"/>
  <c r="C590" i="8"/>
  <c r="C591" i="8"/>
  <c r="C592" i="8"/>
  <c r="C594" i="8"/>
  <c r="C595" i="8"/>
  <c r="C596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C61" i="8"/>
  <c r="C527" i="8"/>
  <c r="D527" i="8"/>
  <c r="C8" i="8"/>
  <c r="C22" i="18"/>
  <c r="C514" i="8"/>
  <c r="D514" i="8"/>
  <c r="C515" i="8"/>
  <c r="D515" i="8"/>
  <c r="C516" i="8"/>
  <c r="D516" i="8"/>
  <c r="C517" i="8"/>
  <c r="D517" i="8"/>
  <c r="C518" i="8"/>
  <c r="D518" i="8"/>
  <c r="C519" i="8"/>
  <c r="D519" i="8"/>
  <c r="C520" i="8"/>
  <c r="D520" i="8"/>
  <c r="C521" i="8"/>
  <c r="D521" i="8"/>
  <c r="C522" i="8"/>
  <c r="D522" i="8"/>
  <c r="C523" i="8"/>
  <c r="D523" i="8"/>
  <c r="C524" i="8"/>
  <c r="D524" i="8"/>
  <c r="C525" i="8"/>
  <c r="D525" i="8"/>
  <c r="C526" i="8"/>
  <c r="D526" i="8"/>
  <c r="C508" i="8"/>
  <c r="D508" i="8"/>
  <c r="C509" i="8"/>
  <c r="D509" i="8"/>
  <c r="C510" i="8"/>
  <c r="D510" i="8"/>
  <c r="C511" i="8"/>
  <c r="D511" i="8"/>
  <c r="C512" i="8"/>
  <c r="D512" i="8"/>
  <c r="C513" i="8"/>
  <c r="D513" i="8"/>
  <c r="F97" i="18"/>
  <c r="D97" i="18"/>
  <c r="C97" i="18"/>
  <c r="F96" i="18"/>
  <c r="D96" i="18"/>
  <c r="C96" i="18"/>
  <c r="F95" i="18"/>
  <c r="D95" i="18"/>
  <c r="C95" i="18"/>
  <c r="F94" i="18"/>
  <c r="D94" i="18"/>
  <c r="C94" i="18"/>
  <c r="F93" i="18"/>
  <c r="D93" i="18"/>
  <c r="C93" i="18"/>
  <c r="F92" i="18"/>
  <c r="D92" i="18"/>
  <c r="C92" i="18"/>
  <c r="F91" i="18"/>
  <c r="D91" i="18"/>
  <c r="C91" i="18"/>
  <c r="F90" i="18"/>
  <c r="D90" i="18"/>
  <c r="C90" i="18"/>
  <c r="F89" i="18"/>
  <c r="D89" i="18"/>
  <c r="C89" i="18"/>
  <c r="F88" i="18"/>
  <c r="D88" i="18"/>
  <c r="C88" i="18"/>
  <c r="F87" i="18"/>
  <c r="D87" i="18"/>
  <c r="C87" i="18"/>
  <c r="F86" i="18"/>
  <c r="D86" i="18"/>
  <c r="C86" i="18"/>
  <c r="F85" i="18"/>
  <c r="D85" i="18"/>
  <c r="C85" i="18"/>
  <c r="F84" i="18"/>
  <c r="D84" i="18"/>
  <c r="C84" i="18"/>
  <c r="F83" i="18"/>
  <c r="D83" i="18"/>
  <c r="C83" i="18"/>
  <c r="F82" i="18"/>
  <c r="D82" i="18"/>
  <c r="C82" i="18"/>
  <c r="F81" i="18"/>
  <c r="D81" i="18"/>
  <c r="C81" i="18"/>
  <c r="F80" i="18"/>
  <c r="D80" i="18"/>
  <c r="C80" i="18"/>
  <c r="F79" i="18"/>
  <c r="D79" i="18"/>
  <c r="C79" i="18"/>
  <c r="F78" i="18"/>
  <c r="D78" i="18"/>
  <c r="C78" i="18"/>
  <c r="F77" i="18"/>
  <c r="D77" i="18"/>
  <c r="C77" i="18"/>
  <c r="F76" i="18"/>
  <c r="D76" i="18"/>
  <c r="C76" i="18"/>
  <c r="F75" i="18"/>
  <c r="D75" i="18"/>
  <c r="C75" i="18"/>
  <c r="F74" i="18"/>
  <c r="D74" i="18"/>
  <c r="C74" i="18"/>
  <c r="F73" i="18"/>
  <c r="D73" i="18"/>
  <c r="C73" i="18"/>
  <c r="F72" i="18"/>
  <c r="D72" i="18"/>
  <c r="C72" i="18"/>
  <c r="F71" i="18"/>
  <c r="D71" i="18"/>
  <c r="C71" i="18"/>
  <c r="F70" i="18"/>
  <c r="D70" i="18"/>
  <c r="C70" i="18"/>
  <c r="F69" i="18"/>
  <c r="D69" i="18"/>
  <c r="C69" i="18"/>
  <c r="F68" i="18"/>
  <c r="D68" i="18"/>
  <c r="C68" i="18"/>
  <c r="F67" i="18"/>
  <c r="D67" i="18"/>
  <c r="C67" i="18"/>
  <c r="F66" i="18"/>
  <c r="D66" i="18"/>
  <c r="C66" i="18"/>
  <c r="F65" i="18"/>
  <c r="D65" i="18"/>
  <c r="C65" i="18"/>
  <c r="F64" i="18"/>
  <c r="D64" i="18"/>
  <c r="C64" i="18"/>
  <c r="F63" i="18"/>
  <c r="D63" i="18"/>
  <c r="C63" i="18"/>
  <c r="F62" i="18"/>
  <c r="D62" i="18"/>
  <c r="C62" i="18"/>
  <c r="F61" i="18"/>
  <c r="D61" i="18"/>
  <c r="C61" i="18"/>
  <c r="F60" i="18"/>
  <c r="D60" i="18"/>
  <c r="C60" i="18"/>
  <c r="F59" i="18"/>
  <c r="D59" i="18"/>
  <c r="C59" i="18"/>
  <c r="F58" i="18"/>
  <c r="D58" i="18"/>
  <c r="F57" i="18"/>
  <c r="D57" i="18"/>
  <c r="C57" i="18"/>
  <c r="F56" i="18"/>
  <c r="D56" i="18"/>
  <c r="C56" i="18"/>
  <c r="F55" i="18"/>
  <c r="D55" i="18"/>
  <c r="C55" i="18"/>
  <c r="F54" i="18"/>
  <c r="D54" i="18"/>
  <c r="C54" i="18"/>
  <c r="F53" i="18"/>
  <c r="D53" i="18"/>
  <c r="C53" i="18"/>
  <c r="F52" i="18"/>
  <c r="D52" i="18"/>
  <c r="C52" i="18"/>
  <c r="F51" i="18"/>
  <c r="D51" i="18"/>
  <c r="C51" i="18"/>
  <c r="F50" i="18"/>
  <c r="D50" i="18"/>
  <c r="C50" i="18"/>
  <c r="F49" i="18"/>
  <c r="D49" i="18"/>
  <c r="C49" i="18"/>
  <c r="F48" i="18"/>
  <c r="D48" i="18"/>
  <c r="C48" i="18"/>
  <c r="F47" i="18"/>
  <c r="C47" i="18"/>
  <c r="F46" i="18"/>
  <c r="D46" i="18"/>
  <c r="F45" i="18"/>
  <c r="D45" i="18"/>
  <c r="C45" i="18"/>
  <c r="F44" i="18"/>
  <c r="D44" i="18"/>
  <c r="C44" i="18"/>
  <c r="F43" i="18"/>
  <c r="D43" i="18"/>
  <c r="C43" i="18"/>
  <c r="F42" i="18"/>
  <c r="D42" i="18"/>
  <c r="C42" i="18"/>
  <c r="F41" i="18"/>
  <c r="D41" i="18"/>
  <c r="C41" i="18"/>
  <c r="F40" i="18"/>
  <c r="C40" i="18"/>
  <c r="F39" i="18"/>
  <c r="D39" i="18"/>
  <c r="C39" i="18"/>
  <c r="F38" i="18"/>
  <c r="D38" i="18"/>
  <c r="C38" i="18"/>
  <c r="F37" i="18"/>
  <c r="D37" i="18"/>
  <c r="C37" i="18"/>
  <c r="F36" i="18"/>
  <c r="D36" i="18"/>
  <c r="C36" i="18"/>
  <c r="F35" i="18"/>
  <c r="D35" i="18"/>
  <c r="C35" i="18"/>
  <c r="F34" i="18"/>
  <c r="D34" i="18"/>
  <c r="C34" i="18"/>
  <c r="F33" i="18"/>
  <c r="D33" i="18"/>
  <c r="C33" i="18"/>
  <c r="F32" i="18"/>
  <c r="D32" i="18"/>
  <c r="F31" i="18"/>
  <c r="F30" i="18"/>
  <c r="D30" i="18"/>
  <c r="C30" i="18"/>
  <c r="F29" i="18"/>
  <c r="D29" i="18"/>
  <c r="C29" i="18"/>
  <c r="F28" i="18"/>
  <c r="C28" i="18"/>
  <c r="F27" i="18"/>
  <c r="D27" i="18"/>
  <c r="C27" i="18"/>
  <c r="F26" i="18"/>
  <c r="F25" i="18"/>
  <c r="D25" i="18"/>
  <c r="C25" i="18"/>
  <c r="F24" i="18"/>
  <c r="D24" i="18"/>
  <c r="C24" i="18"/>
  <c r="F23" i="18"/>
  <c r="F22" i="18"/>
  <c r="D22" i="18"/>
  <c r="F21" i="18"/>
  <c r="D21" i="18"/>
  <c r="C21" i="18"/>
  <c r="F20" i="18"/>
  <c r="D20" i="18"/>
  <c r="C20" i="18"/>
  <c r="F19" i="18"/>
  <c r="D19" i="18"/>
  <c r="C19" i="18"/>
  <c r="F18" i="18"/>
  <c r="D18" i="18"/>
  <c r="C18" i="18"/>
  <c r="F17" i="18"/>
  <c r="D17" i="18"/>
  <c r="C17" i="18"/>
  <c r="F16" i="18"/>
  <c r="F15" i="18"/>
  <c r="D15" i="18"/>
  <c r="C15" i="18"/>
  <c r="F14" i="18"/>
  <c r="D14" i="18"/>
  <c r="C14" i="18"/>
  <c r="F13" i="18"/>
  <c r="D13" i="18"/>
  <c r="C13" i="18"/>
  <c r="F12" i="18"/>
  <c r="D12" i="18"/>
  <c r="C12" i="18"/>
  <c r="F11" i="18"/>
  <c r="D11" i="18"/>
  <c r="C11" i="18"/>
  <c r="F10" i="18"/>
  <c r="D10" i="18"/>
  <c r="C10" i="18"/>
  <c r="F9" i="18"/>
  <c r="D9" i="18"/>
  <c r="C9" i="18"/>
  <c r="F8" i="18"/>
  <c r="D8" i="18"/>
  <c r="C8" i="18"/>
  <c r="F7" i="18"/>
  <c r="D7" i="18"/>
  <c r="C7" i="18"/>
  <c r="F6" i="18"/>
  <c r="D6" i="18"/>
  <c r="C6" i="18"/>
  <c r="F5" i="18"/>
  <c r="D5" i="18"/>
  <c r="C5" i="18"/>
  <c r="F4" i="18"/>
  <c r="D4" i="18"/>
  <c r="C4" i="18"/>
  <c r="F3" i="18"/>
  <c r="D3" i="18"/>
  <c r="C3" i="18"/>
  <c r="F2" i="18"/>
  <c r="C484" i="8"/>
  <c r="D484" i="8"/>
  <c r="C475" i="8"/>
  <c r="C7" i="16"/>
  <c r="F3" i="16"/>
  <c r="D3" i="16"/>
  <c r="C3" i="16"/>
  <c r="C5" i="16"/>
  <c r="C4" i="16"/>
  <c r="D4" i="16"/>
  <c r="F4" i="16"/>
  <c r="D5" i="16"/>
  <c r="F5" i="16"/>
  <c r="F6" i="16"/>
  <c r="D6" i="16"/>
  <c r="C6" i="16"/>
  <c r="F7" i="16"/>
  <c r="D7" i="16"/>
  <c r="F2" i="16"/>
  <c r="D2" i="16"/>
  <c r="C2" i="16"/>
  <c r="F1" i="16"/>
  <c r="D1" i="16"/>
  <c r="C1" i="16"/>
  <c r="C737" i="3"/>
  <c r="D737" i="3"/>
  <c r="F737" i="3"/>
  <c r="F736" i="3"/>
  <c r="D736" i="3"/>
  <c r="C736" i="3"/>
  <c r="F735" i="3"/>
  <c r="D735" i="3"/>
  <c r="C735" i="3"/>
  <c r="F734" i="3"/>
  <c r="D734" i="3"/>
  <c r="C734" i="3"/>
  <c r="F733" i="3"/>
  <c r="D733" i="3"/>
  <c r="C733" i="3"/>
  <c r="F732" i="3"/>
  <c r="D732" i="3"/>
  <c r="C732" i="3"/>
  <c r="F731" i="3"/>
  <c r="D731" i="3"/>
  <c r="C731" i="3"/>
  <c r="F730" i="3"/>
  <c r="D730" i="3"/>
  <c r="C730" i="3"/>
  <c r="F729" i="3"/>
  <c r="D729" i="3"/>
  <c r="C729" i="3"/>
  <c r="F728" i="3"/>
  <c r="D728" i="3"/>
  <c r="C728" i="3"/>
  <c r="F727" i="3"/>
  <c r="D727" i="3"/>
  <c r="C727" i="3"/>
  <c r="F726" i="3"/>
  <c r="D726" i="3"/>
  <c r="C726" i="3"/>
  <c r="F725" i="3"/>
  <c r="D725" i="3"/>
  <c r="C725" i="3"/>
  <c r="F724" i="3"/>
  <c r="D724" i="3"/>
  <c r="C724" i="3"/>
  <c r="F723" i="3"/>
  <c r="D723" i="3"/>
  <c r="C723" i="3"/>
  <c r="F722" i="3"/>
  <c r="D722" i="3"/>
  <c r="C722" i="3"/>
  <c r="F721" i="3"/>
  <c r="D721" i="3"/>
  <c r="C721" i="3"/>
  <c r="F720" i="3"/>
  <c r="D720" i="3"/>
  <c r="C720" i="3"/>
  <c r="F719" i="3"/>
  <c r="D719" i="3"/>
  <c r="C719" i="3"/>
  <c r="F718" i="3"/>
  <c r="D718" i="3"/>
  <c r="C718" i="3"/>
  <c r="F717" i="3"/>
  <c r="D717" i="3"/>
  <c r="C717" i="3"/>
  <c r="F716" i="3"/>
  <c r="D716" i="3"/>
  <c r="C716" i="3"/>
  <c r="F715" i="3"/>
  <c r="D715" i="3"/>
  <c r="C715" i="3"/>
  <c r="F714" i="3"/>
  <c r="D714" i="3"/>
  <c r="C714" i="3"/>
  <c r="F713" i="3"/>
  <c r="D713" i="3"/>
  <c r="C713" i="3"/>
  <c r="F712" i="3"/>
  <c r="D712" i="3"/>
  <c r="C712" i="3"/>
  <c r="F711" i="3"/>
  <c r="D711" i="3"/>
  <c r="C711" i="3"/>
  <c r="F710" i="3"/>
  <c r="D710" i="3"/>
  <c r="C710" i="3"/>
  <c r="F709" i="3"/>
  <c r="D709" i="3"/>
  <c r="C709" i="3"/>
  <c r="F708" i="3"/>
  <c r="D708" i="3"/>
  <c r="C708" i="3"/>
  <c r="F707" i="3"/>
  <c r="D707" i="3"/>
  <c r="C707" i="3"/>
  <c r="F706" i="3"/>
  <c r="D706" i="3"/>
  <c r="C706" i="3"/>
  <c r="F705" i="3"/>
  <c r="D705" i="3"/>
  <c r="C705" i="3"/>
  <c r="F704" i="3"/>
  <c r="D704" i="3"/>
  <c r="C704" i="3"/>
  <c r="F703" i="3"/>
  <c r="D703" i="3"/>
  <c r="C703" i="3"/>
  <c r="F702" i="3"/>
  <c r="D702" i="3"/>
  <c r="C702" i="3"/>
  <c r="F701" i="3"/>
  <c r="D701" i="3"/>
  <c r="C701" i="3"/>
  <c r="F700" i="3"/>
  <c r="D700" i="3"/>
  <c r="C700" i="3"/>
  <c r="F699" i="3"/>
  <c r="D699" i="3"/>
  <c r="C699" i="3"/>
  <c r="F698" i="3"/>
  <c r="D698" i="3"/>
  <c r="C698" i="3"/>
  <c r="F697" i="3"/>
  <c r="D697" i="3"/>
  <c r="C697" i="3"/>
  <c r="F696" i="3"/>
  <c r="D696" i="3"/>
  <c r="C696" i="3"/>
  <c r="F695" i="3"/>
  <c r="D695" i="3"/>
  <c r="C695" i="3"/>
  <c r="F694" i="3"/>
  <c r="D694" i="3"/>
  <c r="C694" i="3"/>
  <c r="F693" i="3"/>
  <c r="D693" i="3"/>
  <c r="C693" i="3"/>
  <c r="F692" i="3"/>
  <c r="D692" i="3"/>
  <c r="C692" i="3"/>
  <c r="F691" i="3"/>
  <c r="D691" i="3"/>
  <c r="C691" i="3"/>
  <c r="F690" i="3"/>
  <c r="D690" i="3"/>
  <c r="C690" i="3"/>
  <c r="F689" i="3"/>
  <c r="D689" i="3"/>
  <c r="C689" i="3"/>
  <c r="F688" i="3"/>
  <c r="D688" i="3"/>
  <c r="C688" i="3"/>
  <c r="F687" i="3"/>
  <c r="D687" i="3"/>
  <c r="C687" i="3"/>
  <c r="F686" i="3"/>
  <c r="D686" i="3"/>
  <c r="C686" i="3"/>
  <c r="F685" i="3"/>
  <c r="D685" i="3"/>
  <c r="C685" i="3"/>
  <c r="F684" i="3"/>
  <c r="D684" i="3"/>
  <c r="C684" i="3"/>
  <c r="F683" i="3"/>
  <c r="D683" i="3"/>
  <c r="C683" i="3"/>
  <c r="F682" i="3"/>
  <c r="D682" i="3"/>
  <c r="C682" i="3"/>
  <c r="F681" i="3"/>
  <c r="D681" i="3"/>
  <c r="C681" i="3"/>
  <c r="F680" i="3"/>
  <c r="D680" i="3"/>
  <c r="C680" i="3"/>
  <c r="F679" i="3"/>
  <c r="D679" i="3"/>
  <c r="C679" i="3"/>
  <c r="F678" i="3"/>
  <c r="D678" i="3"/>
  <c r="C678" i="3"/>
  <c r="F677" i="3"/>
  <c r="D677" i="3"/>
  <c r="C677" i="3"/>
  <c r="F676" i="3"/>
  <c r="D676" i="3"/>
  <c r="C676" i="3"/>
  <c r="F675" i="3"/>
  <c r="D675" i="3"/>
  <c r="C675" i="3"/>
  <c r="F674" i="3"/>
  <c r="D674" i="3"/>
  <c r="C674" i="3"/>
  <c r="F673" i="3"/>
  <c r="D673" i="3"/>
  <c r="C673" i="3"/>
  <c r="F672" i="3"/>
  <c r="D672" i="3"/>
  <c r="C672" i="3"/>
  <c r="F671" i="3"/>
  <c r="D671" i="3"/>
  <c r="C671" i="3"/>
  <c r="F670" i="3"/>
  <c r="D670" i="3"/>
  <c r="C670" i="3"/>
  <c r="F669" i="3"/>
  <c r="D669" i="3"/>
  <c r="C669" i="3"/>
  <c r="F668" i="3"/>
  <c r="D668" i="3"/>
  <c r="C668" i="3"/>
  <c r="F667" i="3"/>
  <c r="D667" i="3"/>
  <c r="C667" i="3"/>
  <c r="F666" i="3"/>
  <c r="D666" i="3"/>
  <c r="C666" i="3"/>
  <c r="F665" i="3"/>
  <c r="D665" i="3"/>
  <c r="C665" i="3"/>
  <c r="F664" i="3"/>
  <c r="D664" i="3"/>
  <c r="C664" i="3"/>
  <c r="F663" i="3"/>
  <c r="D663" i="3"/>
  <c r="C663" i="3"/>
  <c r="F662" i="3"/>
  <c r="D662" i="3"/>
  <c r="C662" i="3"/>
  <c r="F661" i="3"/>
  <c r="D661" i="3"/>
  <c r="C661" i="3"/>
  <c r="F660" i="3"/>
  <c r="D660" i="3"/>
  <c r="C660" i="3"/>
  <c r="F659" i="3"/>
  <c r="D659" i="3"/>
  <c r="C659" i="3"/>
  <c r="F658" i="3"/>
  <c r="D658" i="3"/>
  <c r="C658" i="3"/>
  <c r="F657" i="3"/>
  <c r="D657" i="3"/>
  <c r="C657" i="3"/>
  <c r="F656" i="3"/>
  <c r="D656" i="3"/>
  <c r="C656" i="3"/>
  <c r="F655" i="3"/>
  <c r="D655" i="3"/>
  <c r="C655" i="3"/>
  <c r="F654" i="3"/>
  <c r="D654" i="3"/>
  <c r="C654" i="3"/>
  <c r="F653" i="3"/>
  <c r="D653" i="3"/>
  <c r="C653" i="3"/>
  <c r="F652" i="3"/>
  <c r="D652" i="3"/>
  <c r="C652" i="3"/>
  <c r="F651" i="3"/>
  <c r="D651" i="3"/>
  <c r="C651" i="3"/>
  <c r="F650" i="3"/>
  <c r="D650" i="3"/>
  <c r="C650" i="3"/>
  <c r="F649" i="3"/>
  <c r="D649" i="3"/>
  <c r="C649" i="3"/>
  <c r="F648" i="3"/>
  <c r="D648" i="3"/>
  <c r="C648" i="3"/>
  <c r="F647" i="3"/>
  <c r="D647" i="3"/>
  <c r="C647" i="3"/>
  <c r="F646" i="3"/>
  <c r="D646" i="3"/>
  <c r="C646" i="3"/>
  <c r="F645" i="3"/>
  <c r="D645" i="3"/>
  <c r="C645" i="3"/>
  <c r="F644" i="3"/>
  <c r="D644" i="3"/>
  <c r="C644" i="3"/>
  <c r="F643" i="3"/>
  <c r="D643" i="3"/>
  <c r="C643" i="3"/>
  <c r="F642" i="3"/>
  <c r="D642" i="3"/>
  <c r="C642" i="3"/>
  <c r="F641" i="3"/>
  <c r="D641" i="3"/>
  <c r="C641" i="3"/>
  <c r="F640" i="3"/>
  <c r="D640" i="3"/>
  <c r="C640" i="3"/>
  <c r="F639" i="3"/>
  <c r="D639" i="3"/>
  <c r="C639" i="3"/>
  <c r="F638" i="3"/>
  <c r="D638" i="3"/>
  <c r="C638" i="3"/>
  <c r="F637" i="3"/>
  <c r="D637" i="3"/>
  <c r="C637" i="3"/>
  <c r="F636" i="3"/>
  <c r="D636" i="3"/>
  <c r="C636" i="3"/>
  <c r="F635" i="3"/>
  <c r="D635" i="3"/>
  <c r="C635" i="3"/>
  <c r="F634" i="3"/>
  <c r="D634" i="3"/>
  <c r="C634" i="3"/>
  <c r="F633" i="3"/>
  <c r="D633" i="3"/>
  <c r="C633" i="3"/>
  <c r="F632" i="3"/>
  <c r="D632" i="3"/>
  <c r="C632" i="3"/>
  <c r="F631" i="3"/>
  <c r="D631" i="3"/>
  <c r="C631" i="3"/>
  <c r="F630" i="3"/>
  <c r="D630" i="3"/>
  <c r="C630" i="3"/>
  <c r="F629" i="3"/>
  <c r="D629" i="3"/>
  <c r="C629" i="3"/>
  <c r="F628" i="3"/>
  <c r="D628" i="3"/>
  <c r="C628" i="3"/>
  <c r="F627" i="3"/>
  <c r="D627" i="3"/>
  <c r="C627" i="3"/>
  <c r="F626" i="3"/>
  <c r="D626" i="3"/>
  <c r="C626" i="3"/>
  <c r="F625" i="3"/>
  <c r="D625" i="3"/>
  <c r="C625" i="3"/>
  <c r="F624" i="3"/>
  <c r="D624" i="3"/>
  <c r="C624" i="3"/>
  <c r="F623" i="3"/>
  <c r="D623" i="3"/>
  <c r="C623" i="3"/>
  <c r="F622" i="3"/>
  <c r="D622" i="3"/>
  <c r="C622" i="3"/>
  <c r="F621" i="3"/>
  <c r="D621" i="3"/>
  <c r="C621" i="3"/>
  <c r="F620" i="3"/>
  <c r="D620" i="3"/>
  <c r="C620" i="3"/>
  <c r="F619" i="3"/>
  <c r="D619" i="3"/>
  <c r="C619" i="3"/>
  <c r="F618" i="3"/>
  <c r="D618" i="3"/>
  <c r="C618" i="3"/>
  <c r="F617" i="3"/>
  <c r="D617" i="3"/>
  <c r="C617" i="3"/>
  <c r="F616" i="3"/>
  <c r="D616" i="3"/>
  <c r="C616" i="3"/>
  <c r="F615" i="3"/>
  <c r="D615" i="3"/>
  <c r="C615" i="3"/>
  <c r="F614" i="3"/>
  <c r="D614" i="3"/>
  <c r="C614" i="3"/>
  <c r="F613" i="3"/>
  <c r="D613" i="3"/>
  <c r="C613" i="3"/>
  <c r="F612" i="3"/>
  <c r="D612" i="3"/>
  <c r="C612" i="3"/>
  <c r="F611" i="3"/>
  <c r="D611" i="3"/>
  <c r="C611" i="3"/>
  <c r="F610" i="3"/>
  <c r="D610" i="3"/>
  <c r="C610" i="3"/>
  <c r="F609" i="3"/>
  <c r="D609" i="3"/>
  <c r="C609" i="3"/>
  <c r="F608" i="3"/>
  <c r="D608" i="3"/>
  <c r="C608" i="3"/>
  <c r="F607" i="3"/>
  <c r="D607" i="3"/>
  <c r="C607" i="3"/>
  <c r="F606" i="3"/>
  <c r="D606" i="3"/>
  <c r="C606" i="3"/>
  <c r="F605" i="3"/>
  <c r="D605" i="3"/>
  <c r="C605" i="3"/>
  <c r="F604" i="3"/>
  <c r="D604" i="3"/>
  <c r="C604" i="3"/>
  <c r="F603" i="3"/>
  <c r="D603" i="3"/>
  <c r="C603" i="3"/>
  <c r="F602" i="3"/>
  <c r="D602" i="3"/>
  <c r="C602" i="3"/>
  <c r="F601" i="3"/>
  <c r="D601" i="3"/>
  <c r="C601" i="3"/>
  <c r="F600" i="3"/>
  <c r="D600" i="3"/>
  <c r="C600" i="3"/>
  <c r="F599" i="3"/>
  <c r="D599" i="3"/>
  <c r="C599" i="3"/>
  <c r="F598" i="3"/>
  <c r="D598" i="3"/>
  <c r="C598" i="3"/>
  <c r="F597" i="3"/>
  <c r="D597" i="3"/>
  <c r="C597" i="3"/>
  <c r="F596" i="3"/>
  <c r="D596" i="3"/>
  <c r="C596" i="3"/>
  <c r="C483" i="8"/>
  <c r="D483" i="8"/>
  <c r="C485" i="8"/>
  <c r="D485" i="8"/>
  <c r="C486" i="8"/>
  <c r="D486" i="8"/>
  <c r="C487" i="8"/>
  <c r="D487" i="8"/>
  <c r="C488" i="8"/>
  <c r="D488" i="8"/>
  <c r="C489" i="8"/>
  <c r="D489" i="8"/>
  <c r="C490" i="8"/>
  <c r="D490" i="8"/>
  <c r="C491" i="8"/>
  <c r="D491" i="8"/>
  <c r="C492" i="8"/>
  <c r="D492" i="8"/>
  <c r="C493" i="8"/>
  <c r="D493" i="8"/>
  <c r="C494" i="8"/>
  <c r="D494" i="8"/>
  <c r="C495" i="8"/>
  <c r="D495" i="8"/>
  <c r="C496" i="8"/>
  <c r="D496" i="8"/>
  <c r="C497" i="8"/>
  <c r="D497" i="8"/>
  <c r="C498" i="8"/>
  <c r="D498" i="8"/>
  <c r="C499" i="8"/>
  <c r="D499" i="8"/>
  <c r="C500" i="8"/>
  <c r="D500" i="8"/>
  <c r="C501" i="8"/>
  <c r="D501" i="8"/>
  <c r="C503" i="8"/>
  <c r="D503" i="8"/>
  <c r="C504" i="8"/>
  <c r="D504" i="8"/>
  <c r="C505" i="8"/>
  <c r="D505" i="8"/>
  <c r="C506" i="8"/>
  <c r="D506" i="8"/>
  <c r="C507" i="8"/>
  <c r="D507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7" i="8"/>
  <c r="C6" i="8"/>
  <c r="C5" i="8"/>
  <c r="C4" i="8"/>
  <c r="C3" i="8"/>
  <c r="C2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470" i="8"/>
  <c r="C470" i="8"/>
  <c r="C471" i="8"/>
  <c r="D471" i="8"/>
  <c r="C472" i="8"/>
  <c r="D472" i="8"/>
  <c r="C473" i="8"/>
  <c r="D473" i="8"/>
  <c r="C474" i="8"/>
  <c r="D474" i="8"/>
  <c r="D475" i="8"/>
  <c r="C477" i="8"/>
  <c r="D477" i="8"/>
  <c r="C478" i="8"/>
  <c r="D478" i="8"/>
  <c r="C479" i="8"/>
  <c r="D479" i="8"/>
  <c r="C480" i="8"/>
  <c r="D480" i="8"/>
  <c r="C481" i="8"/>
  <c r="D481" i="8"/>
  <c r="C482" i="8"/>
  <c r="D482" i="8"/>
  <c r="E31" i="4"/>
  <c r="D125" i="3"/>
  <c r="M125" i="3"/>
  <c r="D6" i="3"/>
  <c r="M6" i="3"/>
  <c r="D89" i="3"/>
  <c r="M89" i="3"/>
  <c r="D28" i="3"/>
  <c r="M28" i="3"/>
  <c r="D96" i="3"/>
  <c r="M96" i="3"/>
  <c r="D22" i="3"/>
  <c r="M22" i="3"/>
  <c r="D50" i="3"/>
  <c r="M50" i="3"/>
  <c r="D111" i="3"/>
  <c r="M111" i="3"/>
  <c r="D16" i="3"/>
  <c r="M16" i="3"/>
  <c r="D17" i="3"/>
  <c r="M17" i="3"/>
  <c r="D18" i="3"/>
  <c r="M18" i="3"/>
  <c r="D61" i="3"/>
  <c r="M61" i="3"/>
  <c r="D118" i="3"/>
  <c r="M118" i="3"/>
  <c r="D119" i="3"/>
  <c r="M119" i="3"/>
  <c r="D54" i="3"/>
  <c r="M54" i="3"/>
  <c r="D5" i="3"/>
  <c r="M5" i="3"/>
  <c r="D136" i="3"/>
  <c r="M136" i="3"/>
  <c r="D39" i="3"/>
  <c r="M39" i="3"/>
  <c r="D95" i="3"/>
  <c r="M95" i="3"/>
  <c r="D23" i="3"/>
  <c r="M23" i="3"/>
  <c r="D10" i="3"/>
  <c r="M10" i="3"/>
  <c r="D11" i="3"/>
  <c r="M11" i="3"/>
  <c r="D12" i="3"/>
  <c r="M12" i="3"/>
  <c r="D33" i="3"/>
  <c r="M33" i="3"/>
  <c r="D40" i="3"/>
  <c r="M40" i="3"/>
  <c r="D127" i="3"/>
  <c r="M127" i="3"/>
  <c r="D51" i="3"/>
  <c r="M51" i="3"/>
  <c r="D78" i="3"/>
  <c r="M78" i="3"/>
  <c r="D72" i="3"/>
  <c r="M72" i="3"/>
  <c r="D67" i="3"/>
  <c r="M67" i="3"/>
  <c r="D46" i="3"/>
  <c r="M46" i="3"/>
  <c r="D30" i="3"/>
  <c r="M30" i="3"/>
  <c r="D114" i="3"/>
  <c r="M114" i="3"/>
  <c r="D116" i="3"/>
  <c r="M116" i="3"/>
  <c r="D37" i="3"/>
  <c r="M37" i="3"/>
  <c r="C126" i="3"/>
  <c r="D126" i="3"/>
  <c r="M126" i="3"/>
  <c r="D93" i="3"/>
  <c r="M93" i="3"/>
  <c r="D15" i="3"/>
  <c r="M15" i="3"/>
  <c r="D108" i="3"/>
  <c r="M108" i="3"/>
  <c r="D55" i="3"/>
  <c r="M55" i="3"/>
  <c r="D35" i="3"/>
  <c r="M35" i="3"/>
  <c r="D100" i="3"/>
  <c r="M100" i="3"/>
  <c r="D101" i="3"/>
  <c r="M101" i="3"/>
  <c r="D102" i="3"/>
  <c r="M102" i="3"/>
  <c r="D103" i="3"/>
  <c r="M103" i="3"/>
  <c r="D104" i="3"/>
  <c r="M104" i="3"/>
  <c r="D105" i="3"/>
  <c r="M105" i="3"/>
  <c r="D106" i="3"/>
  <c r="M106" i="3"/>
  <c r="D24" i="3"/>
  <c r="M24" i="3"/>
  <c r="D109" i="3"/>
  <c r="M109" i="3"/>
  <c r="D38" i="3"/>
  <c r="M38" i="3"/>
  <c r="D2" i="3"/>
  <c r="M2" i="3"/>
  <c r="D31" i="3"/>
  <c r="M31" i="3"/>
  <c r="D48" i="3"/>
  <c r="M48" i="3"/>
  <c r="D129" i="3"/>
  <c r="M129" i="3"/>
  <c r="D62" i="3"/>
  <c r="M62" i="3"/>
  <c r="D63" i="3"/>
  <c r="M63" i="3"/>
  <c r="D64" i="3"/>
  <c r="M64" i="3"/>
  <c r="D65" i="3"/>
  <c r="M65" i="3"/>
  <c r="D77" i="3"/>
  <c r="M77" i="3"/>
  <c r="D113" i="3"/>
  <c r="M113" i="3"/>
  <c r="D74" i="3"/>
  <c r="M74" i="3"/>
  <c r="D82" i="3"/>
  <c r="M82" i="3"/>
  <c r="D117" i="3"/>
  <c r="M117" i="3"/>
  <c r="D83" i="3"/>
  <c r="M83" i="3"/>
  <c r="D97" i="3"/>
  <c r="M97" i="3"/>
  <c r="D3" i="3"/>
  <c r="M3" i="3"/>
  <c r="D123" i="3"/>
  <c r="M123" i="3"/>
  <c r="D94" i="3"/>
  <c r="M94" i="3"/>
  <c r="D71" i="3"/>
  <c r="M71" i="3"/>
  <c r="D115" i="3"/>
  <c r="M115" i="3"/>
  <c r="D81" i="3"/>
  <c r="M81" i="3"/>
  <c r="D86" i="3"/>
  <c r="M86" i="3"/>
  <c r="D9" i="3"/>
  <c r="M9" i="3"/>
  <c r="D21" i="3"/>
  <c r="M21" i="3"/>
  <c r="D47" i="3"/>
  <c r="M47" i="3"/>
  <c r="D130" i="3"/>
  <c r="M130" i="3"/>
  <c r="D131" i="3"/>
  <c r="M131" i="3"/>
  <c r="D132" i="3"/>
  <c r="M132" i="3"/>
  <c r="D133" i="3"/>
  <c r="M133" i="3"/>
  <c r="D36" i="3"/>
  <c r="M36" i="3"/>
  <c r="D41" i="3"/>
  <c r="M41" i="3"/>
  <c r="D52" i="3"/>
  <c r="M52" i="3"/>
  <c r="D57" i="3"/>
  <c r="M57" i="3"/>
  <c r="D75" i="3"/>
  <c r="M75" i="3"/>
  <c r="D87" i="3"/>
  <c r="M87" i="3"/>
  <c r="D32" i="3"/>
  <c r="M32" i="3"/>
  <c r="D7" i="3"/>
  <c r="M7" i="3"/>
  <c r="D134" i="3"/>
  <c r="M134" i="3"/>
  <c r="D135" i="3"/>
  <c r="M135" i="3"/>
  <c r="D99" i="3"/>
  <c r="M99" i="3"/>
  <c r="D14" i="3"/>
  <c r="M14" i="3"/>
  <c r="D45" i="3"/>
  <c r="M45" i="3"/>
  <c r="D76" i="3"/>
  <c r="M76" i="3"/>
  <c r="D13" i="3"/>
  <c r="M13" i="3"/>
  <c r="D26" i="3"/>
  <c r="M26" i="3"/>
  <c r="D91" i="3"/>
  <c r="M91" i="3"/>
  <c r="D128" i="3"/>
  <c r="M128" i="3"/>
  <c r="D59" i="3"/>
  <c r="M59" i="3"/>
  <c r="D60" i="3"/>
  <c r="M60" i="3"/>
  <c r="D4" i="3"/>
  <c r="M4" i="3"/>
  <c r="D8" i="3"/>
  <c r="M8" i="3"/>
  <c r="D20" i="3"/>
  <c r="M20" i="3"/>
  <c r="D121" i="3"/>
  <c r="M121" i="3"/>
  <c r="D122" i="3"/>
  <c r="M122" i="3"/>
  <c r="D107" i="3"/>
  <c r="M107" i="3"/>
  <c r="D58" i="3"/>
  <c r="M58" i="3"/>
  <c r="D43" i="3"/>
  <c r="M43" i="3"/>
  <c r="D42" i="3"/>
  <c r="M42" i="3"/>
  <c r="D53" i="3"/>
  <c r="M53" i="3"/>
  <c r="D90" i="3"/>
  <c r="M90" i="3"/>
  <c r="D92" i="3"/>
  <c r="M92" i="3"/>
  <c r="D27" i="3"/>
  <c r="M27" i="3"/>
  <c r="D68" i="3"/>
  <c r="M68" i="3"/>
  <c r="D124" i="3"/>
  <c r="M124" i="3"/>
  <c r="D66" i="3"/>
  <c r="M66" i="3"/>
  <c r="D29" i="3"/>
  <c r="M29" i="3"/>
  <c r="D44" i="3"/>
  <c r="M44" i="3"/>
  <c r="D110" i="3"/>
  <c r="M110" i="3"/>
  <c r="D98" i="3"/>
  <c r="M98" i="3"/>
  <c r="D85" i="3"/>
  <c r="M85" i="3"/>
  <c r="D19" i="3"/>
  <c r="M19" i="3"/>
  <c r="D88" i="3"/>
  <c r="M88" i="3"/>
  <c r="D56" i="3"/>
  <c r="M56" i="3"/>
  <c r="D120" i="3"/>
  <c r="M120" i="3"/>
  <c r="D73" i="3"/>
  <c r="M73" i="3"/>
  <c r="D79" i="3"/>
  <c r="M79" i="3"/>
  <c r="D84" i="3"/>
  <c r="M84" i="3"/>
  <c r="D80" i="3"/>
  <c r="M80" i="3"/>
  <c r="D69" i="3"/>
  <c r="M69" i="3"/>
  <c r="D34" i="3"/>
  <c r="M34" i="3"/>
  <c r="D49" i="3"/>
  <c r="M49" i="3"/>
  <c r="D25" i="3"/>
  <c r="M25" i="3"/>
  <c r="D112" i="3"/>
  <c r="M112" i="3"/>
  <c r="D70" i="3"/>
  <c r="M70" i="3"/>
  <c r="E3" i="4"/>
  <c r="E4" i="4"/>
  <c r="E5" i="4"/>
  <c r="E6" i="4"/>
  <c r="E7" i="4"/>
  <c r="E11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5" i="4"/>
  <c r="E56" i="4"/>
  <c r="E57" i="4"/>
  <c r="E58" i="4"/>
  <c r="E59" i="4"/>
  <c r="E61" i="4"/>
  <c r="E62" i="4"/>
  <c r="E63" i="4"/>
  <c r="E64" i="4"/>
  <c r="E65" i="4"/>
  <c r="E67" i="4"/>
  <c r="E68" i="4"/>
  <c r="E69" i="4"/>
  <c r="E71" i="4"/>
  <c r="E72" i="4"/>
  <c r="E73" i="4"/>
  <c r="E74" i="4"/>
  <c r="E76" i="4"/>
  <c r="E78" i="4"/>
  <c r="E79" i="4"/>
  <c r="E80" i="4"/>
  <c r="E81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2" i="3"/>
  <c r="K613" i="3"/>
  <c r="K614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1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4" i="3"/>
  <c r="K715" i="3"/>
  <c r="K724" i="3"/>
  <c r="K728" i="3"/>
  <c r="K730" i="3"/>
  <c r="K733" i="3"/>
  <c r="K735" i="3"/>
  <c r="K9" i="18"/>
  <c r="K13" i="18"/>
  <c r="K30" i="18"/>
  <c r="K40" i="18"/>
  <c r="K47" i="18"/>
  <c r="B60" i="18"/>
  <c r="K60" i="18"/>
  <c r="B61" i="18"/>
  <c r="K61" i="18"/>
  <c r="B62" i="18"/>
  <c r="K62" i="18"/>
  <c r="B63" i="18"/>
  <c r="K63" i="18"/>
  <c r="B64" i="18"/>
  <c r="K64" i="18"/>
  <c r="B65" i="18"/>
  <c r="K65" i="18"/>
  <c r="B66" i="18"/>
  <c r="K66" i="18"/>
  <c r="B67" i="18"/>
  <c r="K67" i="18"/>
  <c r="B68" i="18"/>
  <c r="K68" i="18"/>
  <c r="B69" i="18"/>
  <c r="K69" i="18"/>
  <c r="B70" i="18"/>
  <c r="K70" i="18"/>
  <c r="B71" i="18"/>
  <c r="K71" i="18"/>
  <c r="B72" i="18"/>
  <c r="K72" i="18"/>
  <c r="B73" i="18"/>
  <c r="K73" i="18"/>
  <c r="B74" i="18"/>
  <c r="K74" i="18"/>
  <c r="B75" i="18"/>
  <c r="K75" i="18"/>
  <c r="B76" i="18"/>
  <c r="K76" i="18"/>
  <c r="B77" i="18"/>
  <c r="K77" i="18"/>
  <c r="B78" i="18"/>
  <c r="K78" i="18"/>
  <c r="B79" i="18"/>
  <c r="K79" i="18"/>
  <c r="B80" i="18"/>
  <c r="K80" i="18"/>
  <c r="B81" i="18"/>
  <c r="K81" i="18"/>
  <c r="B82" i="18"/>
  <c r="K82" i="18"/>
  <c r="B83" i="18"/>
  <c r="K83" i="18"/>
  <c r="B84" i="18"/>
  <c r="K84" i="18"/>
  <c r="B85" i="18"/>
  <c r="K85" i="18"/>
  <c r="B86" i="18"/>
  <c r="K86" i="18"/>
  <c r="B87" i="18"/>
  <c r="K87" i="18"/>
  <c r="B88" i="18"/>
  <c r="K88" i="18"/>
  <c r="B89" i="18"/>
  <c r="K89" i="18"/>
  <c r="B90" i="18"/>
  <c r="K90" i="18"/>
  <c r="B91" i="18"/>
  <c r="K91" i="18"/>
  <c r="B92" i="18"/>
  <c r="K92" i="18"/>
  <c r="B93" i="18"/>
  <c r="K93" i="18"/>
  <c r="B94" i="18"/>
  <c r="K94" i="18"/>
  <c r="B95" i="18"/>
  <c r="K95" i="18"/>
  <c r="B96" i="18"/>
  <c r="K96" i="18"/>
  <c r="B97" i="18"/>
  <c r="K97" i="18"/>
  <c r="C600" i="8"/>
  <c r="D600" i="8"/>
  <c r="C601" i="8"/>
  <c r="D601" i="8"/>
  <c r="K466" i="8"/>
  <c r="B4814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K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K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K620" i="8"/>
  <c r="B621" i="8"/>
  <c r="B622" i="8"/>
  <c r="B623" i="8"/>
  <c r="K623" i="8"/>
  <c r="B624" i="8"/>
  <c r="B625" i="8"/>
  <c r="B626" i="8"/>
  <c r="B627" i="8"/>
  <c r="B628" i="8"/>
  <c r="B629" i="8"/>
  <c r="B630" i="8"/>
  <c r="B631" i="8"/>
  <c r="B632" i="8"/>
  <c r="K632" i="8"/>
  <c r="B633" i="8"/>
  <c r="K633" i="8"/>
  <c r="B634" i="8"/>
  <c r="K634" i="8"/>
  <c r="B635" i="8"/>
  <c r="K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K647" i="8"/>
  <c r="K596" i="3"/>
  <c r="K610" i="3"/>
  <c r="K611" i="3"/>
  <c r="K615" i="3"/>
  <c r="K634" i="3"/>
  <c r="K664" i="3"/>
  <c r="K680" i="3"/>
  <c r="K682" i="3"/>
  <c r="K698" i="3"/>
  <c r="K712" i="3"/>
  <c r="K713" i="3"/>
  <c r="K716" i="3"/>
  <c r="K717" i="3"/>
  <c r="K718" i="3"/>
  <c r="K719" i="3"/>
  <c r="K720" i="3"/>
  <c r="K721" i="3"/>
  <c r="K722" i="3"/>
  <c r="K723" i="3"/>
  <c r="K725" i="3"/>
  <c r="K726" i="3"/>
  <c r="K727" i="3"/>
  <c r="K729" i="3"/>
  <c r="K731" i="3"/>
  <c r="K732" i="3"/>
  <c r="K734" i="3"/>
  <c r="K736" i="3"/>
  <c r="K737" i="3"/>
  <c r="B2" i="18"/>
  <c r="K2" i="18"/>
  <c r="B3" i="18"/>
  <c r="K3" i="18"/>
  <c r="B4" i="18"/>
  <c r="K4" i="18"/>
  <c r="B5" i="18"/>
  <c r="K5" i="18"/>
  <c r="B6" i="18"/>
  <c r="K6" i="18"/>
  <c r="B7" i="18"/>
  <c r="K7" i="18"/>
  <c r="B8" i="18"/>
  <c r="K8" i="18"/>
  <c r="B9" i="18"/>
  <c r="B10" i="18"/>
  <c r="K10" i="18"/>
  <c r="B11" i="18"/>
  <c r="K11" i="18"/>
  <c r="B12" i="18"/>
  <c r="K12" i="18"/>
  <c r="B13" i="18"/>
  <c r="B14" i="18"/>
  <c r="K14" i="18"/>
  <c r="B15" i="18"/>
  <c r="K15" i="18"/>
  <c r="B16" i="18"/>
  <c r="K16" i="18"/>
  <c r="B17" i="18"/>
  <c r="K17" i="18"/>
  <c r="B18" i="18"/>
  <c r="K18" i="18"/>
  <c r="B19" i="18"/>
  <c r="K19" i="18"/>
  <c r="B20" i="18"/>
  <c r="K20" i="18"/>
  <c r="B21" i="18"/>
  <c r="K21" i="18"/>
  <c r="B22" i="18"/>
  <c r="K22" i="18"/>
  <c r="B23" i="18"/>
  <c r="K23" i="18"/>
  <c r="B24" i="18"/>
  <c r="K24" i="18"/>
  <c r="B25" i="18"/>
  <c r="K25" i="18"/>
  <c r="B26" i="18"/>
  <c r="K26" i="18"/>
  <c r="B27" i="18"/>
  <c r="K27" i="18"/>
  <c r="B28" i="18"/>
  <c r="K28" i="18"/>
  <c r="B29" i="18"/>
  <c r="K29" i="18"/>
  <c r="B30" i="18"/>
  <c r="B31" i="18"/>
  <c r="K31" i="18"/>
  <c r="B32" i="18"/>
  <c r="K32" i="18"/>
  <c r="B33" i="18"/>
  <c r="K33" i="18"/>
  <c r="B34" i="18"/>
  <c r="K34" i="18"/>
  <c r="B35" i="18"/>
  <c r="K35" i="18"/>
  <c r="B36" i="18"/>
  <c r="K36" i="18"/>
  <c r="B37" i="18"/>
  <c r="K37" i="18"/>
  <c r="B38" i="18"/>
  <c r="K38" i="18"/>
  <c r="B39" i="18"/>
  <c r="K39" i="18"/>
  <c r="B40" i="18"/>
  <c r="B41" i="18"/>
  <c r="K41" i="18"/>
  <c r="B42" i="18"/>
  <c r="K42" i="18"/>
  <c r="B43" i="18"/>
  <c r="K43" i="18"/>
  <c r="B44" i="18"/>
  <c r="K44" i="18"/>
  <c r="B45" i="18"/>
  <c r="K45" i="18"/>
  <c r="B46" i="18"/>
  <c r="K46" i="18"/>
  <c r="B47" i="18"/>
  <c r="B48" i="18"/>
  <c r="K48" i="18"/>
  <c r="B49" i="18"/>
  <c r="K49" i="18"/>
  <c r="B50" i="18"/>
  <c r="K50" i="18"/>
  <c r="B51" i="18"/>
  <c r="K51" i="18"/>
  <c r="B52" i="18"/>
  <c r="K52" i="18"/>
  <c r="B53" i="18"/>
  <c r="K53" i="18"/>
  <c r="B54" i="18"/>
  <c r="K54" i="18"/>
  <c r="B55" i="18"/>
  <c r="K55" i="18"/>
  <c r="B56" i="18"/>
  <c r="K56" i="18"/>
  <c r="B57" i="18"/>
  <c r="K57" i="18"/>
  <c r="B58" i="18"/>
  <c r="K58" i="18"/>
  <c r="B59" i="18"/>
  <c r="K59" i="18"/>
</calcChain>
</file>

<file path=xl/sharedStrings.xml><?xml version="1.0" encoding="utf-8"?>
<sst xmlns="http://schemas.openxmlformats.org/spreadsheetml/2006/main" count="17131" uniqueCount="6908">
  <si>
    <t>ID</t>
  </si>
  <si>
    <t>Date</t>
  </si>
  <si>
    <t>Name</t>
  </si>
  <si>
    <t xml:space="preserve">Email </t>
  </si>
  <si>
    <t>Equipment Description</t>
  </si>
  <si>
    <t xml:space="preserve">Duplicate </t>
  </si>
  <si>
    <t>Equipment ID</t>
  </si>
  <si>
    <t>Expected Return Date</t>
  </si>
  <si>
    <t>Checked out by</t>
  </si>
  <si>
    <t>Checked in by</t>
  </si>
  <si>
    <t>Returned Date</t>
  </si>
  <si>
    <t>Notes</t>
  </si>
  <si>
    <t>VGA &gt; HDMI Adapter</t>
  </si>
  <si>
    <t>NA</t>
  </si>
  <si>
    <t>?</t>
  </si>
  <si>
    <t>N/A</t>
  </si>
  <si>
    <t>VGA &gt; USB-C Adapter Adapter</t>
  </si>
  <si>
    <t>VGA &gt; HDMI Adapter Adapter</t>
  </si>
  <si>
    <t>HDMI &gt; MDP Adapter Adapter</t>
  </si>
  <si>
    <t>HDMI &gt; USB-C Adapter</t>
  </si>
  <si>
    <t>Mac Power Adapter (USB-C)</t>
  </si>
  <si>
    <t>Indefinite</t>
  </si>
  <si>
    <t xml:space="preserve">NA </t>
  </si>
  <si>
    <t>Webcam (Logi 720p)</t>
  </si>
  <si>
    <t>Multiport adapter (USB-C hub) (USB-C hub)</t>
  </si>
  <si>
    <t>HDMI &gt; MDP Adapter</t>
  </si>
  <si>
    <t>Keyboard+USB-C &gt; USB-C Cable</t>
  </si>
  <si>
    <t>Pen Tablet (Wacom Intuos)</t>
  </si>
  <si>
    <t>PA - Small</t>
  </si>
  <si>
    <t>USB-A &gt; USB-C Adapter Adapter</t>
  </si>
  <si>
    <t>Headset (Logi H390)</t>
  </si>
  <si>
    <t>Ethernet &gt; USB-C Adapter</t>
  </si>
  <si>
    <t>Mac Power Adapter (MagSafe 3)</t>
  </si>
  <si>
    <t>HDMI Cable</t>
  </si>
  <si>
    <t>Hum 279</t>
  </si>
  <si>
    <t>Blu-ray/DVD Player</t>
  </si>
  <si>
    <t>Webcam (Logi C920s)</t>
  </si>
  <si>
    <t>12/22/23?</t>
  </si>
  <si>
    <t>Camcorder (DJI Pocket 2)</t>
  </si>
  <si>
    <t>Cristian</t>
  </si>
  <si>
    <t xml:space="preserve">email sent 1/20/23; 12/20/23; </t>
  </si>
  <si>
    <t>Ring Light - Small</t>
  </si>
  <si>
    <t>Extension Cord Power Outlet</t>
  </si>
  <si>
    <t>Webcam Mounts (snake mount)</t>
  </si>
  <si>
    <t>Mac Power Adapter (MagSafe 2)</t>
  </si>
  <si>
    <t>Keyboard (Mac)</t>
  </si>
  <si>
    <t>Mouse (PC)</t>
  </si>
  <si>
    <t>Desktop</t>
  </si>
  <si>
    <t>Laser Clicker</t>
  </si>
  <si>
    <t>Chris</t>
  </si>
  <si>
    <t>C9205</t>
  </si>
  <si>
    <t>Pen Display (Wacom One)</t>
  </si>
  <si>
    <t>Dang</t>
  </si>
  <si>
    <t>Dylan</t>
  </si>
  <si>
    <t>Ash</t>
  </si>
  <si>
    <t>Ritu</t>
  </si>
  <si>
    <t>Marie</t>
  </si>
  <si>
    <t>Dell Power Adapter (USB-C)</t>
  </si>
  <si>
    <t>Tripod - Small</t>
  </si>
  <si>
    <t>Larissa</t>
  </si>
  <si>
    <t xml:space="preserve">Joey </t>
  </si>
  <si>
    <t>Kanisha</t>
  </si>
  <si>
    <t>Tablet Pen (Wacom Pen 4K)</t>
  </si>
  <si>
    <t>Demetric</t>
  </si>
  <si>
    <t>Ethernet &gt; USB-A Adapter</t>
  </si>
  <si>
    <t>Rithik</t>
  </si>
  <si>
    <t>Kevin</t>
  </si>
  <si>
    <t>VGA &gt; USB-C Adapter</t>
  </si>
  <si>
    <t>Ash/Larissa</t>
  </si>
  <si>
    <t xml:space="preserve">Kanisha </t>
  </si>
  <si>
    <t>Joey</t>
  </si>
  <si>
    <t>Jeremy</t>
  </si>
  <si>
    <t>Ethan</t>
  </si>
  <si>
    <t xml:space="preserve">Ethan </t>
  </si>
  <si>
    <t xml:space="preserve">Dang </t>
  </si>
  <si>
    <t>VGA Cable</t>
  </si>
  <si>
    <t>USB-A &gt; USB-C Adapter</t>
  </si>
  <si>
    <t>Tedd</t>
  </si>
  <si>
    <t>Keyboard (PC)</t>
  </si>
  <si>
    <t xml:space="preserve">Marie </t>
  </si>
  <si>
    <t xml:space="preserve">Said he got it before this actual date </t>
  </si>
  <si>
    <t>Student GTA  - PHIL110, checked out for someone else?</t>
  </si>
  <si>
    <t>Issued by Desktop</t>
  </si>
  <si>
    <t>iphone lightning cable</t>
  </si>
  <si>
    <t>Elizabeth Hallford</t>
  </si>
  <si>
    <t>for staff LIB 80 standing desk</t>
  </si>
  <si>
    <t>Forgot their other loaned adapter at BH yesterday, going back today and will return one later</t>
  </si>
  <si>
    <t>Forgot their adapter at home.  Will bring to LIB 80 after class.</t>
  </si>
  <si>
    <t>Retiring</t>
  </si>
  <si>
    <t>Surface Pro Charger</t>
  </si>
  <si>
    <t>Only the little plug thingy not the entire charger</t>
  </si>
  <si>
    <t>behalf of colleague giving presentation</t>
  </si>
  <si>
    <t>USB-C &gt; USB-C Cable</t>
  </si>
  <si>
    <t>Student assistant -- she said her supervisor will email me -Kevin</t>
  </si>
  <si>
    <t>1/0/1900</t>
  </si>
  <si>
    <t>Power Cable (D-Plug)</t>
  </si>
  <si>
    <t>Lightning &gt; 3.5mm headphone jack</t>
  </si>
  <si>
    <t>headphone adapter (aux to iphone)</t>
  </si>
  <si>
    <t>Checked out by desktop</t>
  </si>
  <si>
    <t>Cloud</t>
  </si>
  <si>
    <t>Left his at home.  Will bring back after class.</t>
  </si>
  <si>
    <t>By the end of semester</t>
  </si>
  <si>
    <t>Approved by Kevin</t>
  </si>
  <si>
    <t>End of summer semester</t>
  </si>
  <si>
    <t>No expected return date, use for staff/dept</t>
  </si>
  <si>
    <t>Dell Power Adapter (legacy barrel plug)</t>
  </si>
  <si>
    <t xml:space="preserve">Checked out by desktop </t>
  </si>
  <si>
    <t>same day borrow</t>
  </si>
  <si>
    <t>Will return both adapters she has</t>
  </si>
  <si>
    <t>Returned an HDMI &gt; MDP and said we gave her the wrong type (?) - If she comes in again asking for another one, she'll need to return it same day (or have her department buy new ones)</t>
  </si>
  <si>
    <t xml:space="preserve">Headset and mouse </t>
  </si>
  <si>
    <t>Has two checked out due to not knowing which barrel size her laptop has</t>
  </si>
  <si>
    <t>Microphone - USB (Rode NT)</t>
  </si>
  <si>
    <t xml:space="preserve">ten adaptors out for orientation (8 returned,  2 will be returned tomorrow) </t>
  </si>
  <si>
    <t>For office use</t>
  </si>
  <si>
    <t>Also USB B &gt; USB</t>
  </si>
  <si>
    <t>Headphones (Sennheiser HD 202)</t>
  </si>
  <si>
    <t>SD Card</t>
  </si>
  <si>
    <t xml:space="preserve">SD Card </t>
  </si>
  <si>
    <t>End of Year</t>
  </si>
  <si>
    <t>Headphones (Shure SRH240)</t>
  </si>
  <si>
    <t>dvd</t>
  </si>
  <si>
    <t>Gave her as a temp fix to her wifi not working.  She said she'll talk to ITS after class and then return to LIB 80 once her wifi is working again.</t>
  </si>
  <si>
    <t>Ethernet Cable</t>
  </si>
  <si>
    <t>End of semester</t>
  </si>
  <si>
    <t>end of semester</t>
  </si>
  <si>
    <t xml:space="preserve">End of Semenster </t>
  </si>
  <si>
    <t>End of Semester</t>
  </si>
  <si>
    <t>Microphone - XLR</t>
  </si>
  <si>
    <t>Microphone Cable - XLR</t>
  </si>
  <si>
    <t xml:space="preserve">Just the cable and not the adapter </t>
  </si>
  <si>
    <t>Athan</t>
  </si>
  <si>
    <t xml:space="preserve">ethan </t>
  </si>
  <si>
    <t>Projector - Loose (CP-EX250N)</t>
  </si>
  <si>
    <t>Today</t>
  </si>
  <si>
    <t xml:space="preserve">  </t>
  </si>
  <si>
    <t>today</t>
  </si>
  <si>
    <t>indefinite</t>
  </si>
  <si>
    <t>Document Camera (Lumens DC125)</t>
  </si>
  <si>
    <t>ethan</t>
  </si>
  <si>
    <t>External DVD Drive</t>
  </si>
  <si>
    <t>Indefinitely</t>
  </si>
  <si>
    <t xml:space="preserve">Today </t>
  </si>
  <si>
    <t>Bluetooth Mic (Seiren BT)</t>
  </si>
  <si>
    <t>Extended by Kevin</t>
  </si>
  <si>
    <t xml:space="preserve">end of semenster </t>
  </si>
  <si>
    <t>Camcorder (Sony 1080)</t>
  </si>
  <si>
    <t xml:space="preserve">end of the sementer </t>
  </si>
  <si>
    <t>end of day</t>
  </si>
  <si>
    <t xml:space="preserve">end of semester </t>
  </si>
  <si>
    <t>TV + VHS Cart</t>
  </si>
  <si>
    <t>DVD</t>
  </si>
  <si>
    <t>Pen Tablet (Wacom Intous Pro)</t>
  </si>
  <si>
    <t>Mari</t>
  </si>
  <si>
    <t>Needed one for class.  Next time we'll make him bring it back right after class (he's apparently lost one already)</t>
  </si>
  <si>
    <t>Josh</t>
  </si>
  <si>
    <t>Projector Remote (Hitachi)</t>
  </si>
  <si>
    <t>Needs it bc BH 407 is not working until LS takes a look</t>
  </si>
  <si>
    <t xml:space="preserve">End of semester </t>
  </si>
  <si>
    <t>For a meeting, laptop camera was unresponsive</t>
  </si>
  <si>
    <t>checked out till end of Spring 2025</t>
  </si>
  <si>
    <t>USB-A &gt; USB-A cable</t>
  </si>
  <si>
    <t>end of next semester</t>
  </si>
  <si>
    <t>Broke his Macbook cable and needed to borrow one over break.  Said he will order one on Amazon and then return this one once it arrives.</t>
  </si>
  <si>
    <t>x2</t>
  </si>
  <si>
    <t xml:space="preserve">Indefinitely </t>
  </si>
  <si>
    <t>indefinetly</t>
  </si>
  <si>
    <t>Niccolo</t>
  </si>
  <si>
    <t>Caldararo</t>
  </si>
  <si>
    <t>Mini Display port to HDMI Adapter</t>
  </si>
  <si>
    <t>MDP &gt; HDMI Cable</t>
  </si>
  <si>
    <t>no</t>
  </si>
  <si>
    <t>Webcam</t>
  </si>
  <si>
    <t>Extended 12/16</t>
  </si>
  <si>
    <t>Microphone - USB (Blue Yeti)</t>
  </si>
  <si>
    <t>Mouse (Mac)</t>
  </si>
  <si>
    <t>Ariana</t>
  </si>
  <si>
    <t>indefinitely</t>
  </si>
  <si>
    <t>Adisat</t>
  </si>
  <si>
    <t>Replacement cable for a broken one</t>
  </si>
  <si>
    <t>End of the day</t>
  </si>
  <si>
    <t>Left in Room MH412 with Prof.</t>
  </si>
  <si>
    <t>He Called to request one in HUM473</t>
  </si>
  <si>
    <t>Microphone (Zoom H1 DAR)</t>
  </si>
  <si>
    <t>Jack Darrow</t>
  </si>
  <si>
    <t>jkdarrow@mail.sfsu.edu</t>
  </si>
  <si>
    <t>indefinetely</t>
  </si>
  <si>
    <t xml:space="preserve">indefinetely </t>
  </si>
  <si>
    <t>Conference Cam (Logi CONNECT)</t>
  </si>
  <si>
    <t xml:space="preserve">Adisat </t>
  </si>
  <si>
    <t>Sam</t>
  </si>
  <si>
    <t>May be in possesion of Danny Gabriner (918825809)</t>
  </si>
  <si>
    <t xml:space="preserve">indefinetly </t>
  </si>
  <si>
    <t>Indefinetly</t>
  </si>
  <si>
    <t>Small Microphone</t>
  </si>
  <si>
    <t>Summer 2025</t>
  </si>
  <si>
    <t>Yukti</t>
  </si>
  <si>
    <t>Extended to end of SP25 -Kevin</t>
  </si>
  <si>
    <t>AMP-UP</t>
  </si>
  <si>
    <t>AMP UP</t>
  </si>
  <si>
    <t xml:space="preserve">End of Semester </t>
  </si>
  <si>
    <t>DisplayPort Cable</t>
  </si>
  <si>
    <t>Samarth Pandya, 922349490 picked up equipment</t>
  </si>
  <si>
    <t>DUO Token</t>
  </si>
  <si>
    <t>DUO TOKEN, getting a new phone</t>
  </si>
  <si>
    <t>Replacement because of  lost charger. Kevin approved</t>
  </si>
  <si>
    <t>TV Remote</t>
  </si>
  <si>
    <t>DP-DP Cable for monitor</t>
  </si>
  <si>
    <t>77520, allegedly returned</t>
  </si>
  <si>
    <t>HDWC-10 1080P</t>
  </si>
  <si>
    <t>INC0150636</t>
  </si>
  <si>
    <t xml:space="preserve">Ariana </t>
  </si>
  <si>
    <t>This cable was from the tester laptop bag (EP 117)</t>
  </si>
  <si>
    <t>DJIP2-03</t>
  </si>
  <si>
    <t>email sent via ticket by Ariana</t>
  </si>
  <si>
    <t>End of the Day</t>
  </si>
  <si>
    <t>Forgot hers at home</t>
  </si>
  <si>
    <t xml:space="preserve"> </t>
  </si>
  <si>
    <t>EOD</t>
  </si>
  <si>
    <t>USB-A &gt; USB-C Cable</t>
  </si>
  <si>
    <t>DJIP2 4,5,7</t>
  </si>
  <si>
    <t>Green Screen</t>
  </si>
  <si>
    <t>Inddefinitely</t>
  </si>
  <si>
    <t>SPA-50</t>
  </si>
  <si>
    <t>Picked up by AOC, Emily Yu -- 905965819</t>
  </si>
  <si>
    <t>Ring Light - Large</t>
  </si>
  <si>
    <t>It's really the only ringlight</t>
  </si>
  <si>
    <t>Tripod - Large</t>
  </si>
  <si>
    <t>SPA-28</t>
  </si>
  <si>
    <t xml:space="preserve">Indefinietly </t>
  </si>
  <si>
    <t>Until end of Spring sem</t>
  </si>
  <si>
    <t>Systems</t>
  </si>
  <si>
    <t>For AT Sytsems Team</t>
  </si>
  <si>
    <t>He'll return 1 (HDMI TO MDP adapter) out of 2. Needed to teach the class so emergency checkout</t>
  </si>
  <si>
    <t>2 weeks</t>
  </si>
  <si>
    <t>NY-7</t>
  </si>
  <si>
    <t>20th March</t>
  </si>
  <si>
    <t>12:15 Today</t>
  </si>
  <si>
    <t>For home setup</t>
  </si>
  <si>
    <t>Laptop (Mac) + bag and charger</t>
  </si>
  <si>
    <t>LTM1</t>
  </si>
  <si>
    <t>Maleeka</t>
  </si>
  <si>
    <t>Burk Hall conference</t>
  </si>
  <si>
    <t>n/a</t>
  </si>
  <si>
    <t>End of the week</t>
  </si>
  <si>
    <t>Speaker (Anker Soundcore Bluetooth)</t>
  </si>
  <si>
    <t>SPA - 25</t>
  </si>
  <si>
    <t>2 Weeks</t>
  </si>
  <si>
    <t>Dell USB C-1</t>
  </si>
  <si>
    <t xml:space="preserve">replacement because the original one was broken. </t>
  </si>
  <si>
    <t>Next week</t>
  </si>
  <si>
    <t>Deaf Jam name of the DVD</t>
  </si>
  <si>
    <t>DVD-13</t>
  </si>
  <si>
    <t>An hour</t>
  </si>
  <si>
    <t>Yash</t>
  </si>
  <si>
    <t>got it during covid times</t>
  </si>
  <si>
    <t>LTM-2</t>
  </si>
  <si>
    <t>No bag ;  Phone No. - (415) 225 3363; Returned missing charger</t>
  </si>
  <si>
    <t>LTM-1</t>
  </si>
  <si>
    <t>L TRI 2</t>
  </si>
  <si>
    <t>No camera stand on tripod</t>
  </si>
  <si>
    <t>DSLR Camera (Cannon 5D)</t>
  </si>
  <si>
    <t>DSLR 2</t>
  </si>
  <si>
    <t>PA - Large (Europort)</t>
  </si>
  <si>
    <t>PA 2</t>
  </si>
  <si>
    <t>With PA stands</t>
  </si>
  <si>
    <t>STP 115</t>
  </si>
  <si>
    <t>DSLR-1</t>
  </si>
  <si>
    <t>DSLR-3</t>
  </si>
  <si>
    <t>Camcorder (Sony 4K)</t>
  </si>
  <si>
    <t>Sony 4K - 02</t>
  </si>
  <si>
    <t>Microphone - Shotgun (Rode VideoMic Pro+)</t>
  </si>
  <si>
    <t>MR-32</t>
  </si>
  <si>
    <t>amp up</t>
  </si>
  <si>
    <t>LTM 3</t>
  </si>
  <si>
    <t>GoPro #</t>
  </si>
  <si>
    <t>Vessela Anguelova</t>
  </si>
  <si>
    <t>vanguelova@sfsu.edu</t>
  </si>
  <si>
    <t>GoPro 4 w/ tripod</t>
  </si>
  <si>
    <t>GP74</t>
  </si>
  <si>
    <t>GoPro 11 w/ tripod</t>
  </si>
  <si>
    <t>GP 77</t>
  </si>
  <si>
    <t xml:space="preserve">GoPro 11 </t>
  </si>
  <si>
    <t>GP120</t>
  </si>
  <si>
    <t>Already returned the clear water cases (not sure why) -Kevin</t>
  </si>
  <si>
    <t>GoPro Wireless Mic</t>
  </si>
  <si>
    <t>GP111</t>
  </si>
  <si>
    <t xml:space="preserve">USB C-C cable was not included, apprently was not included when loaned out. </t>
  </si>
  <si>
    <t>GP118</t>
  </si>
  <si>
    <t>GoPro (Hero 8)</t>
  </si>
  <si>
    <t>GP82 / GP14?</t>
  </si>
  <si>
    <t>WM3</t>
  </si>
  <si>
    <t>GP85 and Tripod</t>
  </si>
  <si>
    <t>Cristian snapped off the small flap</t>
  </si>
  <si>
    <t>In two weeks</t>
  </si>
  <si>
    <t>GP-90 and Tripod GP-100</t>
  </si>
  <si>
    <t>GP 53</t>
  </si>
  <si>
    <t>Tripod from previous rental (same student)</t>
  </si>
  <si>
    <t>Zachary Crowley</t>
  </si>
  <si>
    <t>zcrowley@sfsu.edu</t>
  </si>
  <si>
    <t>GP-83</t>
  </si>
  <si>
    <t>ARIANA</t>
  </si>
  <si>
    <t>GP 115</t>
  </si>
  <si>
    <t>Keren Nichole Zendejas</t>
  </si>
  <si>
    <t>kzendejas@sfsu.edu</t>
  </si>
  <si>
    <t>GP 82</t>
  </si>
  <si>
    <t>GP 90</t>
  </si>
  <si>
    <t>He also check out a microphone</t>
  </si>
  <si>
    <t>Maria Del Castillo Schmidhiber</t>
  </si>
  <si>
    <t>mdelcastilloschmidhiber@mail.sfsu.edu</t>
  </si>
  <si>
    <t>GP 118</t>
  </si>
  <si>
    <t>GP 88</t>
  </si>
  <si>
    <t>He checked out a microphone too and Tripod 14</t>
  </si>
  <si>
    <t>jng9@sfsu.edu</t>
  </si>
  <si>
    <t>GP 95</t>
  </si>
  <si>
    <t>GP 114</t>
  </si>
  <si>
    <t>Early Jan</t>
  </si>
  <si>
    <t>GP88</t>
  </si>
  <si>
    <t>Turning it in a week later</t>
  </si>
  <si>
    <t>GP98</t>
  </si>
  <si>
    <t>GP84</t>
  </si>
  <si>
    <t>Returned + mic, tripod April 18 - returned tripod</t>
  </si>
  <si>
    <t>Tripod GP-14</t>
  </si>
  <si>
    <t>GP117</t>
  </si>
  <si>
    <t>March 4th</t>
  </si>
  <si>
    <t>Didnt borrow Tripod</t>
  </si>
  <si>
    <t>GP89</t>
  </si>
  <si>
    <t>March 6th</t>
  </si>
  <si>
    <t>TRIPOD- GP-100</t>
  </si>
  <si>
    <t>rpearce@sfsu.edu</t>
  </si>
  <si>
    <t>GP93</t>
  </si>
  <si>
    <t>Jason</t>
  </si>
  <si>
    <t>GP94</t>
  </si>
  <si>
    <t xml:space="preserve">Mari </t>
  </si>
  <si>
    <t>Tripod- GP95</t>
  </si>
  <si>
    <t>#12</t>
  </si>
  <si>
    <t>March 12th</t>
  </si>
  <si>
    <t>Tripod- GP14</t>
  </si>
  <si>
    <t>GP-93</t>
  </si>
  <si>
    <t>Tripod- GP108</t>
  </si>
  <si>
    <t>#8</t>
  </si>
  <si>
    <t>GP-95</t>
  </si>
  <si>
    <t>May 1st</t>
  </si>
  <si>
    <t>Tripod GP- 105 Extension- 3rd April</t>
  </si>
  <si>
    <t>aalberti@mail.sfsu.edu</t>
  </si>
  <si>
    <t>GP-82</t>
  </si>
  <si>
    <t>Thursday</t>
  </si>
  <si>
    <t>GP-89</t>
  </si>
  <si>
    <t>GP#100</t>
  </si>
  <si>
    <t>GP81</t>
  </si>
  <si>
    <t>Tripod: GP95</t>
  </si>
  <si>
    <t>GP83</t>
  </si>
  <si>
    <t>Tripod STP-300; extended by Kevin</t>
  </si>
  <si>
    <t>March 31 2025</t>
  </si>
  <si>
    <t>#11</t>
  </si>
  <si>
    <t>Multiport adapter (USB-C hub)</t>
  </si>
  <si>
    <t>Approved by Kevin so he didn't have to go back to Oakland.  He'll return it with camera</t>
  </si>
  <si>
    <t>Jose Hernandez</t>
  </si>
  <si>
    <t>gp#84</t>
  </si>
  <si>
    <t>Joey Cuomo</t>
  </si>
  <si>
    <t>jcuomoscanzi@sfsu.edu</t>
  </si>
  <si>
    <t>Mark Roberge</t>
  </si>
  <si>
    <t>roberge@sfsu.edu</t>
  </si>
  <si>
    <t>Tom Holton</t>
  </si>
  <si>
    <t>tholton@sfsu.edu</t>
  </si>
  <si>
    <t>Erik Peper</t>
  </si>
  <si>
    <t>epeper@sfsu.edu</t>
  </si>
  <si>
    <t>Bruce Manning</t>
  </si>
  <si>
    <t>bmanning@sfsu.edu</t>
  </si>
  <si>
    <t>Susan Zieff</t>
  </si>
  <si>
    <t>susangz@sfsu.edu</t>
  </si>
  <si>
    <t>Jono Kornfeld</t>
  </si>
  <si>
    <t>jonok@sfsu.edu</t>
  </si>
  <si>
    <t>Kenneth Monteiro</t>
  </si>
  <si>
    <t>monteiro@sfsu.edu</t>
  </si>
  <si>
    <t>Masahiko Minami</t>
  </si>
  <si>
    <t>mminami@sfsu.edu</t>
  </si>
  <si>
    <t>Ricardo Gomes</t>
  </si>
  <si>
    <t>ricgomes@sfsu.edu</t>
  </si>
  <si>
    <t>Michael Goldman</t>
  </si>
  <si>
    <t>goldman@sfsu.edu</t>
  </si>
  <si>
    <t>Jamie Eng</t>
  </si>
  <si>
    <t>jeng@sfsu.edu</t>
  </si>
  <si>
    <t>Susan Pelton</t>
  </si>
  <si>
    <t>spelton@sfsu.edu</t>
  </si>
  <si>
    <t>Avi Ben-Zeev</t>
  </si>
  <si>
    <t>abenzeev@sfsu.edu</t>
  </si>
  <si>
    <t>Paul Barrows</t>
  </si>
  <si>
    <t>pbarrows@sfsu.edu</t>
  </si>
  <si>
    <t>Mohammad Azadpur</t>
  </si>
  <si>
    <t>azad@sfsu.edu</t>
  </si>
  <si>
    <t>James Witzel</t>
  </si>
  <si>
    <t>jwitzel@sfsu.edu</t>
  </si>
  <si>
    <t>Robert Saltzman</t>
  </si>
  <si>
    <t>saltzman@sfsu.edu</t>
  </si>
  <si>
    <t>Alexander Walsh-Wilson</t>
  </si>
  <si>
    <t>alexww@sfsu.edu</t>
  </si>
  <si>
    <t>Susan Cholette</t>
  </si>
  <si>
    <t>cholette@sfsu.edu</t>
  </si>
  <si>
    <t>Adrienne Cool</t>
  </si>
  <si>
    <t>cool@sfsu.edu</t>
  </si>
  <si>
    <t>Paula Levine</t>
  </si>
  <si>
    <t>plevine@sfsu.edu</t>
  </si>
  <si>
    <t>Mary Beth Love</t>
  </si>
  <si>
    <t>love@sfsu.edu</t>
  </si>
  <si>
    <t>Sara Spencer</t>
  </si>
  <si>
    <t>sspencer@sfsu.edu</t>
  </si>
  <si>
    <t>George Leonard</t>
  </si>
  <si>
    <t>gleonard@sfsu.edu</t>
  </si>
  <si>
    <t>Charles Rope</t>
  </si>
  <si>
    <t>chass@sfsu.edu</t>
  </si>
  <si>
    <t>Martha Klironomos</t>
  </si>
  <si>
    <t>mkliro@sfsu.edu</t>
  </si>
  <si>
    <t>Hamid Shahnasser</t>
  </si>
  <si>
    <t>hamid@sfsu.edu</t>
  </si>
  <si>
    <t>Makiko Asano</t>
  </si>
  <si>
    <t>masano@sfsu.edu</t>
  </si>
  <si>
    <t>Marc Dollinger</t>
  </si>
  <si>
    <t>mdolling@sfsu.edu</t>
  </si>
  <si>
    <t>Maureen Fitzgerald</t>
  </si>
  <si>
    <t>mfitzger@sfsu.edu</t>
  </si>
  <si>
    <t>Malcolm Cecil</t>
  </si>
  <si>
    <t>mkcecil@sfsu.edu</t>
  </si>
  <si>
    <t>Vincent Cheung</t>
  </si>
  <si>
    <t>vincentcheung@sfsu.edu</t>
  </si>
  <si>
    <t>Edward Luby</t>
  </si>
  <si>
    <t>emluby@sfsu.edu</t>
  </si>
  <si>
    <t>Long Tran</t>
  </si>
  <si>
    <t>skyace@sfsu.edu</t>
  </si>
  <si>
    <t>Volker Langbehn</t>
  </si>
  <si>
    <t>langbehn@sfsu.edu</t>
  </si>
  <si>
    <t>Raquel Rivera Pinderhughes</t>
  </si>
  <si>
    <t>raquelrp@sfsu.edu</t>
  </si>
  <si>
    <t>Eric Hsu</t>
  </si>
  <si>
    <t>erichsu@sfsu.edu</t>
  </si>
  <si>
    <t>Connie Marie Gaglio</t>
  </si>
  <si>
    <t>cmgaglio@sfsu.edu</t>
  </si>
  <si>
    <t>Karen Hossfeld</t>
  </si>
  <si>
    <t>hossfeld@sfsu.edu</t>
  </si>
  <si>
    <t>Maria Veri</t>
  </si>
  <si>
    <t>mjveri@sfsu.edu</t>
  </si>
  <si>
    <t>Serkan Hosten</t>
  </si>
  <si>
    <t>serkan@sfsu.edu</t>
  </si>
  <si>
    <t>Yikuan Lee</t>
  </si>
  <si>
    <t>leeyik@sfsu.edu</t>
  </si>
  <si>
    <t>Richard Friedman</t>
  </si>
  <si>
    <t>richf@sfsu.edu</t>
  </si>
  <si>
    <t>Drew Borland</t>
  </si>
  <si>
    <t>dborland@sfsu.edu</t>
  </si>
  <si>
    <t>James Martel</t>
  </si>
  <si>
    <t>jmartel@sfsu.edu</t>
  </si>
  <si>
    <t>Joel Kassiola</t>
  </si>
  <si>
    <t>kassiola@sfsu.edu</t>
  </si>
  <si>
    <t>Geoff Brown</t>
  </si>
  <si>
    <t>gbrown@sfsu.edu</t>
  </si>
  <si>
    <t>Jeffrey Downing</t>
  </si>
  <si>
    <t>jdowning@sfsu.edu</t>
  </si>
  <si>
    <t>Peter Palmer</t>
  </si>
  <si>
    <t>palmer@sfsu.edu</t>
  </si>
  <si>
    <t>Doreen Deicke</t>
  </si>
  <si>
    <t>ddeicke@sfsu.edu</t>
  </si>
  <si>
    <t>John Kim</t>
  </si>
  <si>
    <t>johnjkim@sfsu.edu</t>
  </si>
  <si>
    <t>Darlene Yee-Melichar</t>
  </si>
  <si>
    <t>dyee@sfsu.edu</t>
  </si>
  <si>
    <t>Daniel Macallair</t>
  </si>
  <si>
    <t>macallai@sfsu.edu</t>
  </si>
  <si>
    <t>Edward Carpenter</t>
  </si>
  <si>
    <t>ecarpent@sfsu.edu</t>
  </si>
  <si>
    <t>Christopher Pong</t>
  </si>
  <si>
    <t>wspong@sfsu.edu</t>
  </si>
  <si>
    <t>Geoffrey Green</t>
  </si>
  <si>
    <t>ggreen@sfsu.edu</t>
  </si>
  <si>
    <t>Mitch Turitz</t>
  </si>
  <si>
    <t>turitz@sfsu.edu</t>
  </si>
  <si>
    <t>Wai-Leung Kwok</t>
  </si>
  <si>
    <t>wkwok@sfsu.edu</t>
  </si>
  <si>
    <t>Santhi Kavuri-Bauer</t>
  </si>
  <si>
    <t>santhi@sfsu.edu</t>
  </si>
  <si>
    <t>Wynn Huynh</t>
  </si>
  <si>
    <t>whuynh@sfsu.edu</t>
  </si>
  <si>
    <t>XiaoHang Liu</t>
  </si>
  <si>
    <t>xhliu@sfsu.edu</t>
  </si>
  <si>
    <t>Catherine Powell</t>
  </si>
  <si>
    <t>cpowell@sfsu.edu</t>
  </si>
  <si>
    <t>Hsiao-Yun Chu</t>
  </si>
  <si>
    <t>hychu@sfsu.edu</t>
  </si>
  <si>
    <t>Carol Silverman</t>
  </si>
  <si>
    <t>carolsil@sfsu.edu</t>
  </si>
  <si>
    <t>Loretta Stec</t>
  </si>
  <si>
    <t>lstec@sfsu.edu</t>
  </si>
  <si>
    <t>Deborah Curtis</t>
  </si>
  <si>
    <t>curtis@sfsu.edu</t>
  </si>
  <si>
    <t>Regina Neu</t>
  </si>
  <si>
    <t>rneu@sfsu.edu</t>
  </si>
  <si>
    <t>Sharon E Bliss</t>
  </si>
  <si>
    <t>sebliss@sfsu.edu</t>
  </si>
  <si>
    <t>Meg Schoerke</t>
  </si>
  <si>
    <t>schoerke@sfsu.edu</t>
  </si>
  <si>
    <t>Gerardo Ungson</t>
  </si>
  <si>
    <t>bungson@sfsu.edu</t>
  </si>
  <si>
    <t>Pamela Baj</t>
  </si>
  <si>
    <t>pbaj@sfsu.edu</t>
  </si>
  <si>
    <t>Jeffrey Snipes</t>
  </si>
  <si>
    <t>jsnipes@sfsu.edu</t>
  </si>
  <si>
    <t>Gang Li</t>
  </si>
  <si>
    <t>li123456@sfsu.edu</t>
  </si>
  <si>
    <t>Barbara Henderson</t>
  </si>
  <si>
    <t>barbarah@sfsu.edu</t>
  </si>
  <si>
    <t>Zhigang Chen</t>
  </si>
  <si>
    <t>biglasers@gmail.com</t>
  </si>
  <si>
    <t>Andrew Ichimura</t>
  </si>
  <si>
    <t>ichimura@sfsu.edu</t>
  </si>
  <si>
    <t>Rosemaria Zocchi</t>
  </si>
  <si>
    <t>roegallo@sfsu.edu</t>
  </si>
  <si>
    <t>Anita Cabrera</t>
  </si>
  <si>
    <t>acabrera@sfsu.edu</t>
  </si>
  <si>
    <t>Ramesh Bollapragada</t>
  </si>
  <si>
    <t>rameshb@sfsu.edu</t>
  </si>
  <si>
    <t>Myron Lunine</t>
  </si>
  <si>
    <t>mjklunine@earthlink.net</t>
  </si>
  <si>
    <t>Mary Scott</t>
  </si>
  <si>
    <t>mscott@sfsu.edu</t>
  </si>
  <si>
    <t>Christian Wright</t>
  </si>
  <si>
    <t>cwright@sfsu.edu</t>
  </si>
  <si>
    <t>Shidong Li</t>
  </si>
  <si>
    <t>shidong@sfsu.edu</t>
  </si>
  <si>
    <t>David Leitao</t>
  </si>
  <si>
    <t>sfplato@yahoo.com</t>
  </si>
  <si>
    <t>William Christmas</t>
  </si>
  <si>
    <t>xmas@sfsu.edu</t>
  </si>
  <si>
    <t>Sanjoy Banerjee</t>
  </si>
  <si>
    <t>banerjee@sfsu.edu</t>
  </si>
  <si>
    <t>Karen Lovaas</t>
  </si>
  <si>
    <t>klovaas@sfsu.edu</t>
  </si>
  <si>
    <t>C Cohen</t>
  </si>
  <si>
    <t>sarahcoh@sfsu.edu</t>
  </si>
  <si>
    <t>Ayse Pamuk</t>
  </si>
  <si>
    <t>pamuk@sfsu.edu</t>
  </si>
  <si>
    <t>Christopher Moffatt</t>
  </si>
  <si>
    <t>moffatt@sfsu.edu</t>
  </si>
  <si>
    <t>Brinda Govindan</t>
  </si>
  <si>
    <t>brinda@sfsu.edu</t>
  </si>
  <si>
    <t>Dee Spencer</t>
  </si>
  <si>
    <t>dspencer@sfsu.edu</t>
  </si>
  <si>
    <t>Zachary He</t>
  </si>
  <si>
    <t>zhe@sfsu.edu</t>
  </si>
  <si>
    <t>Irene Donner</t>
  </si>
  <si>
    <t>idonner@sfsu.edu</t>
  </si>
  <si>
    <t>Dipendra Sinha</t>
  </si>
  <si>
    <t>dsinha@sfsu.edu</t>
  </si>
  <si>
    <t>Genie Stowers</t>
  </si>
  <si>
    <t>gstowers@sfsu.edu</t>
  </si>
  <si>
    <t>Gretchen Le Buhn</t>
  </si>
  <si>
    <t>lebuhn@sfsu.edu</t>
  </si>
  <si>
    <t>Mark Griffin</t>
  </si>
  <si>
    <t>mgriffin@sfsu.edu</t>
  </si>
  <si>
    <t>David Xiques</t>
  </si>
  <si>
    <t>dxiques@sfsu.edu</t>
  </si>
  <si>
    <t>Barry Nickel</t>
  </si>
  <si>
    <t>bnickel@sfsu.edu</t>
  </si>
  <si>
    <t>Lutfus Sayeed</t>
  </si>
  <si>
    <t>lsayeed@sfsu.edu</t>
  </si>
  <si>
    <t>Lena Zhang</t>
  </si>
  <si>
    <t>lzhang@sfsu.edu</t>
  </si>
  <si>
    <t>Sameer Verma</t>
  </si>
  <si>
    <t>sverma@sfsu.edu</t>
  </si>
  <si>
    <t>Amy Kilgard</t>
  </si>
  <si>
    <t>akilgard@sfsu.edu</t>
  </si>
  <si>
    <t>David Chao</t>
  </si>
  <si>
    <t>dchao@sfsu.edu</t>
  </si>
  <si>
    <t>Jerry Davis</t>
  </si>
  <si>
    <t>jerry@sfsu.edu</t>
  </si>
  <si>
    <t>R Rutsky</t>
  </si>
  <si>
    <t>rlrutsky@sfsu.edu</t>
  </si>
  <si>
    <t>Tom Thomas</t>
  </si>
  <si>
    <t>tethomas@sfsu.edu</t>
  </si>
  <si>
    <t>Wendell Hanna</t>
  </si>
  <si>
    <t>whanna@sfsu.edu</t>
  </si>
  <si>
    <t>Jozo Dujmovic</t>
  </si>
  <si>
    <t>jozo@sfsu.edu</t>
  </si>
  <si>
    <t>David Hellman</t>
  </si>
  <si>
    <t>hellman@sfsu.edu</t>
  </si>
  <si>
    <t>Ghassan Tarakji</t>
  </si>
  <si>
    <t>gtarakji@sfsu.edu</t>
  </si>
  <si>
    <t>Jo Tomalin</t>
  </si>
  <si>
    <t>jtomalin@sfsu.edu</t>
  </si>
  <si>
    <t>Nancy Gerber</t>
  </si>
  <si>
    <t>ngerber@sfsu.edu</t>
  </si>
  <si>
    <t>Paul Hoover</t>
  </si>
  <si>
    <t>viridian@sfsu.edu</t>
  </si>
  <si>
    <t>Marilyn Mitchell</t>
  </si>
  <si>
    <t>marilynm@sfsu.edu</t>
  </si>
  <si>
    <t>Jerry Shapiro</t>
  </si>
  <si>
    <t>jshap@sfsu.edu</t>
  </si>
  <si>
    <t>Peg Sarosy</t>
  </si>
  <si>
    <t>psarosy@sfsu.edu</t>
  </si>
  <si>
    <t>Pamela Wolfberg</t>
  </si>
  <si>
    <t>wolfberg@sfsu.edu</t>
  </si>
  <si>
    <t>K O'Donnell</t>
  </si>
  <si>
    <t>odonnell@sfsu.edu</t>
  </si>
  <si>
    <t>Linda Lukas</t>
  </si>
  <si>
    <t>llukas@sfsu.edu</t>
  </si>
  <si>
    <t>Leigh Jin</t>
  </si>
  <si>
    <t>jinlei@sfsu.edu</t>
  </si>
  <si>
    <t>Robert Dvorak</t>
  </si>
  <si>
    <t>bdvorak@sfsu.edu</t>
  </si>
  <si>
    <t>Gilda Bloom</t>
  </si>
  <si>
    <t>gmbloom@sfsu.edu</t>
  </si>
  <si>
    <t>Greta Snider</t>
  </si>
  <si>
    <t>greta@sfsu.edu</t>
  </si>
  <si>
    <t>William Hsu</t>
  </si>
  <si>
    <t>whsu@sfsu.edu</t>
  </si>
  <si>
    <t>Gloria Soto</t>
  </si>
  <si>
    <t>gsoto@sfsu.edu</t>
  </si>
  <si>
    <t>Francis Neely</t>
  </si>
  <si>
    <t>fneely@sfsu.edu</t>
  </si>
  <si>
    <t>Dane Johnson</t>
  </si>
  <si>
    <t>danej@sfsu.edu</t>
  </si>
  <si>
    <t>Dorothy Tsuruta</t>
  </si>
  <si>
    <t>dtsuruta@sfsu.edu</t>
  </si>
  <si>
    <t>Sudip Chattopadhyay</t>
  </si>
  <si>
    <t>sudip@sfsu.edu</t>
  </si>
  <si>
    <t>Sahar Khoury</t>
  </si>
  <si>
    <t>skhoury@sfsu.edu</t>
  </si>
  <si>
    <t>Isabel Quita</t>
  </si>
  <si>
    <t>quita@sfsu.edu</t>
  </si>
  <si>
    <t>Jenny Lau</t>
  </si>
  <si>
    <t>jlau3000@sfsu.edu</t>
  </si>
  <si>
    <t>Weiming Wu</t>
  </si>
  <si>
    <t>wuw@sfsu.edu</t>
  </si>
  <si>
    <t>Scott Boswell</t>
  </si>
  <si>
    <t>sboswell@sfsu.edu</t>
  </si>
  <si>
    <t>David Walsh</t>
  </si>
  <si>
    <t>dwalsh@sfsu.edu</t>
  </si>
  <si>
    <t>Julie Maier</t>
  </si>
  <si>
    <t>jmaier@sfsu.edu</t>
  </si>
  <si>
    <t>Sandra Rosen</t>
  </si>
  <si>
    <t>srosen@sfsu.edu</t>
  </si>
  <si>
    <t>Ming-Yeh Lee</t>
  </si>
  <si>
    <t>mylee@sfsu.edu</t>
  </si>
  <si>
    <t>Ellen Hines</t>
  </si>
  <si>
    <t>ehines@sfsu.edu</t>
  </si>
  <si>
    <t>Venise Wagner</t>
  </si>
  <si>
    <t>vwagner@sfsu.edu</t>
  </si>
  <si>
    <t>Arek Goetz</t>
  </si>
  <si>
    <t>goetz@sfsu.edu</t>
  </si>
  <si>
    <t>Ronald Purser</t>
  </si>
  <si>
    <t>rpurser@sfsu.edu</t>
  </si>
  <si>
    <t>Flo Kimmerling</t>
  </si>
  <si>
    <t>flokimm@sfsu.edu</t>
  </si>
  <si>
    <t>Maxine Chernoff</t>
  </si>
  <si>
    <t>chernoff@sfsu.edu</t>
  </si>
  <si>
    <t>Victoria Neve</t>
  </si>
  <si>
    <t>docvic@sfsu.edu</t>
  </si>
  <si>
    <t>A Burke</t>
  </si>
  <si>
    <t>aburke@sfsu.edu</t>
  </si>
  <si>
    <t>Andrew Speight</t>
  </si>
  <si>
    <t>speight@sfsu.edu</t>
  </si>
  <si>
    <t>Alexander Schuster</t>
  </si>
  <si>
    <t>schuster@sfsu.edu</t>
  </si>
  <si>
    <t>James Halligan</t>
  </si>
  <si>
    <t>halligan@sfsu.edu</t>
  </si>
  <si>
    <t>Diane Davis</t>
  </si>
  <si>
    <t>dmdavis@sfsu.edu</t>
  </si>
  <si>
    <t>Dr. Nathan Avani</t>
  </si>
  <si>
    <t>natalio@sfsu.edu</t>
  </si>
  <si>
    <t>John Caskey</t>
  </si>
  <si>
    <t>caskey@sfsu.edu</t>
  </si>
  <si>
    <t>Sandra Radtka</t>
  </si>
  <si>
    <t>sradtka@sfsu.edu</t>
  </si>
  <si>
    <t>Mark Ciotola</t>
  </si>
  <si>
    <t>ciotola@sfsu.edu</t>
  </si>
  <si>
    <t>Mario Laplante</t>
  </si>
  <si>
    <t>laplante@sfsu.edu</t>
  </si>
  <si>
    <t>Joseph Mc Bride</t>
  </si>
  <si>
    <t>jmcb@sfsu.edu</t>
  </si>
  <si>
    <t>Yukihiro Goto</t>
  </si>
  <si>
    <t>ygoto@sfsu.edu</t>
  </si>
  <si>
    <t>Sujian Guo</t>
  </si>
  <si>
    <t>sguo@sfsu.edu</t>
  </si>
  <si>
    <t>Joan Arhelger</t>
  </si>
  <si>
    <t>arhelger@sfsu.edu</t>
  </si>
  <si>
    <t>Yuli Su</t>
  </si>
  <si>
    <t>yuli@sfsu.edu</t>
  </si>
  <si>
    <t>Matt Horrigan</t>
  </si>
  <si>
    <t>sabu@sfsu.edu</t>
  </si>
  <si>
    <t>Brian Beatty</t>
  </si>
  <si>
    <t>bjbeatty@sfsu.edu</t>
  </si>
  <si>
    <t>Qian Guo</t>
  </si>
  <si>
    <t>qguo@sfsu.edu</t>
  </si>
  <si>
    <t>Subodh Bhat</t>
  </si>
  <si>
    <t>sbhat@sfsu.edu</t>
  </si>
  <si>
    <t>Kai (Laura) Burrus</t>
  </si>
  <si>
    <t>lburrus@sfsu.edu</t>
  </si>
  <si>
    <t>Teaster Baird</t>
  </si>
  <si>
    <t>tbaird@sfsu.edu</t>
  </si>
  <si>
    <t>Foo Nin Ho</t>
  </si>
  <si>
    <t>fho@sfsu.edu</t>
  </si>
  <si>
    <t>Jason Henderson</t>
  </si>
  <si>
    <t>jhenders@sfsu.edu</t>
  </si>
  <si>
    <t>Matt Lee</t>
  </si>
  <si>
    <t>cmlee@sfsu.edu</t>
  </si>
  <si>
    <t>Anne Galjour</t>
  </si>
  <si>
    <t>agaljour@sfsu.edu</t>
  </si>
  <si>
    <t>Juliana Van Olphen</t>
  </si>
  <si>
    <t>jvo@sfsu.edu</t>
  </si>
  <si>
    <t>James Wong</t>
  </si>
  <si>
    <t>jwong@sfsu.edu</t>
  </si>
  <si>
    <t>Rhonnie Washington</t>
  </si>
  <si>
    <t>rhonnie@sfsu.edu</t>
  </si>
  <si>
    <t>Vinay Shrivastava</t>
  </si>
  <si>
    <t>vinay@sfsu.edu</t>
  </si>
  <si>
    <t>Greg Spicer</t>
  </si>
  <si>
    <t>gs@sfsu.edu</t>
  </si>
  <si>
    <t>Jeff Cookston</t>
  </si>
  <si>
    <t>cookston@sfsu.edu</t>
  </si>
  <si>
    <t>Paul Beckman</t>
  </si>
  <si>
    <t>pbeckman@sfsu.edu</t>
  </si>
  <si>
    <t>Nona Caspers</t>
  </si>
  <si>
    <t>ncaspers@sfsu.edu</t>
  </si>
  <si>
    <t xml:space="preserve">Nona Caspers </t>
  </si>
  <si>
    <t>Steve Dickison</t>
  </si>
  <si>
    <t>steved@sfsu.edu</t>
  </si>
  <si>
    <t>Martha Gorzycki</t>
  </si>
  <si>
    <t>gorzycki@sfsu.edu</t>
  </si>
  <si>
    <t>Peter Lou</t>
  </si>
  <si>
    <t>peterhonglou@sfsu.edu</t>
  </si>
  <si>
    <t>Gustavo Calderon</t>
  </si>
  <si>
    <t>gusto@sfsu.edu</t>
  </si>
  <si>
    <t>Eloy Balli</t>
  </si>
  <si>
    <t>yole@sfsu.edu</t>
  </si>
  <si>
    <t>Yu Chen</t>
  </si>
  <si>
    <t>ycchen@sfsu.edu</t>
  </si>
  <si>
    <t>Rebecca Toporek</t>
  </si>
  <si>
    <t>rtoporek@sfsu.edu</t>
  </si>
  <si>
    <t>Jai Kang</t>
  </si>
  <si>
    <t>jkang@sfsu.edu</t>
  </si>
  <si>
    <t>Edwin Williams</t>
  </si>
  <si>
    <t>gred@sfsu.edu</t>
  </si>
  <si>
    <t>Andreana Clay</t>
  </si>
  <si>
    <t>andreana@sfsu.edu</t>
  </si>
  <si>
    <t>Luiz Barbosa</t>
  </si>
  <si>
    <t>lbarbosa@sfsu.edu</t>
  </si>
  <si>
    <t>Geri Merrigan</t>
  </si>
  <si>
    <t>merrigan@sfsu.edu</t>
  </si>
  <si>
    <t>George Gassner</t>
  </si>
  <si>
    <t>gassner@sfsu.edu</t>
  </si>
  <si>
    <t>Su-Jane Hsieh</t>
  </si>
  <si>
    <t>sjhsieh@sfsu.edu</t>
  </si>
  <si>
    <t>Linda Wanek</t>
  </si>
  <si>
    <t>lwanek@sfsu.edu</t>
  </si>
  <si>
    <t>Deborah Estell</t>
  </si>
  <si>
    <t>destell@mail.sfsu.edu</t>
  </si>
  <si>
    <t>Peter Ingmire</t>
  </si>
  <si>
    <t>ping@sfsu.edu</t>
  </si>
  <si>
    <t>Rita Takahashi</t>
  </si>
  <si>
    <t>ritatak@sfsu.edu</t>
  </si>
  <si>
    <t>Christopher Carrington</t>
  </si>
  <si>
    <t>ccarring@sfsu.edu</t>
  </si>
  <si>
    <t>Glenn Fieldman</t>
  </si>
  <si>
    <t>glenn@sfsu.edu</t>
  </si>
  <si>
    <t>Todd Roehrman</t>
  </si>
  <si>
    <t>roehrman@sfsu.edu</t>
  </si>
  <si>
    <t>Teresa Carrillo</t>
  </si>
  <si>
    <t>tisa@sfsu.edu</t>
  </si>
  <si>
    <t>Nicole Watts</t>
  </si>
  <si>
    <t>nfwatts@sfsu.edu</t>
  </si>
  <si>
    <t>Christine Fogarty</t>
  </si>
  <si>
    <t>cfog@sfsu.edu</t>
  </si>
  <si>
    <t>Kurt Nutting</t>
  </si>
  <si>
    <t>knutting@sfsu.edu</t>
  </si>
  <si>
    <t>Miriam Smith</t>
  </si>
  <si>
    <t>miriam@sfsu.edu</t>
  </si>
  <si>
    <t>Kenn Burrows</t>
  </si>
  <si>
    <t>kburrows@sfsu.edu</t>
  </si>
  <si>
    <t>Dean Suzuki</t>
  </si>
  <si>
    <t>dsuzuki@sfsu.edu</t>
  </si>
  <si>
    <t>Carol Brewer</t>
  </si>
  <si>
    <t>cbrewer@sfsu.edu</t>
  </si>
  <si>
    <t>Anoshua Chaudhuri</t>
  </si>
  <si>
    <t>anoshua@sfsu.edu</t>
  </si>
  <si>
    <t>Christopher Bettinger</t>
  </si>
  <si>
    <t>cpb@sfsu.edu</t>
  </si>
  <si>
    <t>Megumi Fuse</t>
  </si>
  <si>
    <t>fuse@sfsu.edu</t>
  </si>
  <si>
    <t>Rhonda Wright</t>
  </si>
  <si>
    <t>rhon@sfsu.edu</t>
  </si>
  <si>
    <t>LaVonne Jacobsen</t>
  </si>
  <si>
    <t>lavonne@sfsu.edu</t>
  </si>
  <si>
    <t>Rob Thomas</t>
  </si>
  <si>
    <t>theory@sfsu.edu</t>
  </si>
  <si>
    <t>Andrew Oliphant</t>
  </si>
  <si>
    <t>andrewo@sfsu.edu</t>
  </si>
  <si>
    <t>Ann Hallum</t>
  </si>
  <si>
    <t>glider@sfsu.edu</t>
  </si>
  <si>
    <t>Julie Ngo</t>
  </si>
  <si>
    <t>julieing@sfsu.edu</t>
  </si>
  <si>
    <t>Britta Sjogren</t>
  </si>
  <si>
    <t>britta@sfsu.edu</t>
  </si>
  <si>
    <t>Julie Paulson</t>
  </si>
  <si>
    <t>jpaulson@sfsu.edu</t>
  </si>
  <si>
    <t>Deborah Miller</t>
  </si>
  <si>
    <t>debbiem@sfsu.edu</t>
  </si>
  <si>
    <t>J Hughes</t>
  </si>
  <si>
    <t>jmhughes@sfsu.edu</t>
  </si>
  <si>
    <t>Karen Johnson-Carroll</t>
  </si>
  <si>
    <t>johnsonc@sfsu.edu</t>
  </si>
  <si>
    <t>Elahe Enssani</t>
  </si>
  <si>
    <t>enssani@sfsu.edu</t>
  </si>
  <si>
    <t>Vivian Chavez</t>
  </si>
  <si>
    <t>vchavez@sfsu.edu</t>
  </si>
  <si>
    <t>Erik Bennett</t>
  </si>
  <si>
    <t>erikb@sfsu.edu</t>
  </si>
  <si>
    <t>Charlene Ngo</t>
  </si>
  <si>
    <t>charlene@sfsu.edu</t>
  </si>
  <si>
    <t>Fiona Ngo</t>
  </si>
  <si>
    <t>fiona@sfsu.edu</t>
  </si>
  <si>
    <t>Nancy Robinson</t>
  </si>
  <si>
    <t>nancyr@sfsu.edu</t>
  </si>
  <si>
    <t>Frances Wilkerson</t>
  </si>
  <si>
    <t>fwilkers@sfsu.edu</t>
  </si>
  <si>
    <t>Tony Keller</t>
  </si>
  <si>
    <t>tkeller@sfsu.edu</t>
  </si>
  <si>
    <t>Larry Low</t>
  </si>
  <si>
    <t>llowe@sfsu.edu</t>
  </si>
  <si>
    <t>Jolie Goorjian</t>
  </si>
  <si>
    <t>jolie@sfsu.edu</t>
  </si>
  <si>
    <t>Homayoun Borjian</t>
  </si>
  <si>
    <t>borjian@sfsu.edu</t>
  </si>
  <si>
    <t>Jeff Greensite</t>
  </si>
  <si>
    <t>greensit@sfsu.edu</t>
  </si>
  <si>
    <t>Kirsten Hilbert</t>
  </si>
  <si>
    <t>khilbert@sfsu.edu</t>
  </si>
  <si>
    <t>Robert Natata</t>
  </si>
  <si>
    <t>rnatata@sfsu.edu</t>
  </si>
  <si>
    <t>Chris Li</t>
  </si>
  <si>
    <t>wenchao@sfsu.edu</t>
  </si>
  <si>
    <t>Laurie Sosna</t>
  </si>
  <si>
    <t>emet@sfsu.edu</t>
  </si>
  <si>
    <t>Jeannie Woo</t>
  </si>
  <si>
    <t>jeannw8@sfsu.edu</t>
  </si>
  <si>
    <t>Hideo Muranaka</t>
  </si>
  <si>
    <t>hmuranak@sfsu.edu</t>
  </si>
  <si>
    <t>Leticia Marquez-Magana</t>
  </si>
  <si>
    <t>marquez@sfsu.edu</t>
  </si>
  <si>
    <t>Jiri Veskrna</t>
  </si>
  <si>
    <t>jveskrna@sfsu.edu</t>
  </si>
  <si>
    <t>Mira Pasikov</t>
  </si>
  <si>
    <t>mirap@sfsu.edu</t>
  </si>
  <si>
    <t>Rossana Chion-Cunningham</t>
  </si>
  <si>
    <t>rchion@sfsu.edu</t>
  </si>
  <si>
    <t>James Quesada</t>
  </si>
  <si>
    <t>quesadajames2@gmail.com</t>
  </si>
  <si>
    <t>Melissa Naranjo</t>
  </si>
  <si>
    <t>mnaranjo@sfsu.edu</t>
  </si>
  <si>
    <t>Jeff O'Toole</t>
  </si>
  <si>
    <t>jotoole@sfsu.edu</t>
  </si>
  <si>
    <t>Carmen Domingo</t>
  </si>
  <si>
    <t>cdomingo@sfsu.edu</t>
  </si>
  <si>
    <t>Judi Strebel</t>
  </si>
  <si>
    <t>strebel@sfsu.edu</t>
  </si>
  <si>
    <t>Frances Valesco</t>
  </si>
  <si>
    <t>franval@sfsu.edu</t>
  </si>
  <si>
    <t>David Gard</t>
  </si>
  <si>
    <t>dgard@sfsu.edu</t>
  </si>
  <si>
    <t>Lily Chen</t>
  </si>
  <si>
    <t>lilychen@sfsu.edu</t>
  </si>
  <si>
    <t>Charles Egan</t>
  </si>
  <si>
    <t>chega@sfsu.edu</t>
  </si>
  <si>
    <t>Cristina Ruotolo</t>
  </si>
  <si>
    <t>ruotolo@sfsu.edu</t>
  </si>
  <si>
    <t>Christine Manuguid</t>
  </si>
  <si>
    <t>cmanu@sfsu.edu</t>
  </si>
  <si>
    <t>Natalia Bremer</t>
  </si>
  <si>
    <t>nbremer@sfsu.edu</t>
  </si>
  <si>
    <t>Michal Post</t>
  </si>
  <si>
    <t>mpost@sfsu.edu</t>
  </si>
  <si>
    <t>Michelle Anolin</t>
  </si>
  <si>
    <t>mich@sfsu.edu</t>
  </si>
  <si>
    <t>Sonja Lenz-Rashid</t>
  </si>
  <si>
    <t>srlenz@sfsu.edu</t>
  </si>
  <si>
    <t>Mark Geisler</t>
  </si>
  <si>
    <t>mgeisler@sfsu.edu</t>
  </si>
  <si>
    <t>Julio Feliciano</t>
  </si>
  <si>
    <t>julio@sfsu.edu</t>
  </si>
  <si>
    <t>Zakarias Grafilo</t>
  </si>
  <si>
    <t>zgasq@sfsu.edu</t>
  </si>
  <si>
    <t>Jamal Cooks</t>
  </si>
  <si>
    <t>jamalc@sfsu.edu</t>
  </si>
  <si>
    <t>Queenie Cheng</t>
  </si>
  <si>
    <t>qcheng@sfsu.edu</t>
  </si>
  <si>
    <t>Janet Remolona</t>
  </si>
  <si>
    <t>jlremolo@sfsu.edu</t>
  </si>
  <si>
    <t>Andrea Olson</t>
  </si>
  <si>
    <t>ayo@sfsu.edu</t>
  </si>
  <si>
    <t>Karen Coopman</t>
  </si>
  <si>
    <t>coopman@sfsu.edu</t>
  </si>
  <si>
    <t>Grace Yoo</t>
  </si>
  <si>
    <t>gracey@sfsu.edu</t>
  </si>
  <si>
    <t>Eva Sheppard Wolf</t>
  </si>
  <si>
    <t>shepwolf@sfsu.edu</t>
  </si>
  <si>
    <t>Doug Smith</t>
  </si>
  <si>
    <t>dsmith@sfsu.edu</t>
  </si>
  <si>
    <t>Sugie Goen-Salter</t>
  </si>
  <si>
    <t>sgoen@sfsu.edu</t>
  </si>
  <si>
    <t>Michelle Carter</t>
  </si>
  <si>
    <t>mcarter@sfsu.edu</t>
  </si>
  <si>
    <t>Jean-Pierre Langlois</t>
  </si>
  <si>
    <t>langlois@sfsu.edu</t>
  </si>
  <si>
    <t>Allyson Tintiangco</t>
  </si>
  <si>
    <t>aticu@sfsu.edu</t>
  </si>
  <si>
    <t>Peter Biella</t>
  </si>
  <si>
    <t>biella@sfsu.edu</t>
  </si>
  <si>
    <t>Ariel Vigo</t>
  </si>
  <si>
    <t>avigo@sfsu.edu</t>
  </si>
  <si>
    <t>Anthony Benson</t>
  </si>
  <si>
    <t>abenson@sfsu.edu</t>
  </si>
  <si>
    <t>Bruce Heiman</t>
  </si>
  <si>
    <t>bheiman@sfsu.edu</t>
  </si>
  <si>
    <t>Hafez Modirzadeh</t>
  </si>
  <si>
    <t>hafezmo@sfsu.edu</t>
  </si>
  <si>
    <t>Oona Patchen</t>
  </si>
  <si>
    <t>opatchen@sfsu.edu</t>
  </si>
  <si>
    <t>Gary Palmer</t>
  </si>
  <si>
    <t>gpalmer@sfsu.edu</t>
  </si>
  <si>
    <t>Brian Strang</t>
  </si>
  <si>
    <t>bstrang@sfsu.edu</t>
  </si>
  <si>
    <t>Anna Kwong</t>
  </si>
  <si>
    <t>akwong1119@sfsu.edu</t>
  </si>
  <si>
    <t>Hesper Wilson</t>
  </si>
  <si>
    <t>hspr@sfsu.edu</t>
  </si>
  <si>
    <t>Jennifer Breckler</t>
  </si>
  <si>
    <t>jbreck@sfsu.edu</t>
  </si>
  <si>
    <t>Karl  Schackne</t>
  </si>
  <si>
    <t>kms@sfsu.edu</t>
  </si>
  <si>
    <t>Lynne Dowdy</t>
  </si>
  <si>
    <t>lmdowdy@sfsu.edu</t>
  </si>
  <si>
    <t>C Vencill</t>
  </si>
  <si>
    <t>dvencill@sfsu.edu</t>
  </si>
  <si>
    <t>Cristina Azocar</t>
  </si>
  <si>
    <t>cazocar@sfsu.edu</t>
  </si>
  <si>
    <t>Ali Kashani</t>
  </si>
  <si>
    <t>kashani@sfsu.edu</t>
  </si>
  <si>
    <t>Larry Salomon</t>
  </si>
  <si>
    <t>lrs@sfsu.edu</t>
  </si>
  <si>
    <t>Dania Russell</t>
  </si>
  <si>
    <t>drussell@sfsu.edu</t>
  </si>
  <si>
    <t>Mary Leech</t>
  </si>
  <si>
    <t>leech@sfsu.edu</t>
  </si>
  <si>
    <t>Scott Patterson</t>
  </si>
  <si>
    <t>spatters@sfsu.edu</t>
  </si>
  <si>
    <t>Ivy Chen</t>
  </si>
  <si>
    <t>ivychen@sfsu.edu</t>
  </si>
  <si>
    <t>Michael Hammer</t>
  </si>
  <si>
    <t>mhammer@sfsu.edu</t>
  </si>
  <si>
    <t>Esther Chan</t>
  </si>
  <si>
    <t>echan@sfsu.edu</t>
  </si>
  <si>
    <t>Angie Lin</t>
  </si>
  <si>
    <t>angielm@sfsu.edu</t>
  </si>
  <si>
    <t>John Tait</t>
  </si>
  <si>
    <t>john@sfsu.edu</t>
  </si>
  <si>
    <t>Maarten Golterman</t>
  </si>
  <si>
    <t>maarten@sfsu.edu</t>
  </si>
  <si>
    <t>Dorothy Ross</t>
  </si>
  <si>
    <t>dottier@sfsu.edu</t>
  </si>
  <si>
    <t>Sonia Melara</t>
  </si>
  <si>
    <t>smelara@sfsu.edu</t>
  </si>
  <si>
    <t>Lisa Galli</t>
  </si>
  <si>
    <t>lgalli@sfsu.edu</t>
  </si>
  <si>
    <t>Herm Pugay</t>
  </si>
  <si>
    <t>hpugay@sfsu.edu</t>
  </si>
  <si>
    <t>Hamid Khani</t>
  </si>
  <si>
    <t>hkhani@sfsu.edu</t>
  </si>
  <si>
    <t>Troy Liddi</t>
  </si>
  <si>
    <t>tfliddi@sfsu.edu</t>
  </si>
  <si>
    <t>Maria Hinojosa</t>
  </si>
  <si>
    <t>mariahin@sfsu.edu</t>
  </si>
  <si>
    <t>Sylvia Leng</t>
  </si>
  <si>
    <t>sleng@sfsu.edu</t>
  </si>
  <si>
    <t>Sean Belale</t>
  </si>
  <si>
    <t>shunsb@sfsu.edu</t>
  </si>
  <si>
    <t>Susan Shimanoff</t>
  </si>
  <si>
    <t>shimanof@sfsu.edu</t>
  </si>
  <si>
    <t>Diane Harris</t>
  </si>
  <si>
    <t>dharris@sfsu.edu</t>
  </si>
  <si>
    <t>Thomas Kent Iwatsubo</t>
  </si>
  <si>
    <t>tki@sfsu.edu</t>
  </si>
  <si>
    <t>Bruce Avery</t>
  </si>
  <si>
    <t>bravery@sfsu.edu</t>
  </si>
  <si>
    <t>Lisa Barbes Ackerman</t>
  </si>
  <si>
    <t>lbarbes@sfsu.edu</t>
  </si>
  <si>
    <t>Paulette Callahan</t>
  </si>
  <si>
    <t>callahan@sfsu.edu</t>
  </si>
  <si>
    <t>Daniel Wong</t>
  </si>
  <si>
    <t>djw@sfsu.edu</t>
  </si>
  <si>
    <t>Thai Pham</t>
  </si>
  <si>
    <t>thaipham@sfsu.edu</t>
  </si>
  <si>
    <t>Karen Johnson-Brennan</t>
  </si>
  <si>
    <t>kcjb@sfsu.edu</t>
  </si>
  <si>
    <t>Trevor Getz</t>
  </si>
  <si>
    <t>tgetz@sfsu.edu</t>
  </si>
  <si>
    <t>Lorraine Dong</t>
  </si>
  <si>
    <t>ldong@sfsu.edu</t>
  </si>
  <si>
    <t>Daniel Meier</t>
  </si>
  <si>
    <t>dmeier@sfsu.edu</t>
  </si>
  <si>
    <t>Andrew Som</t>
  </si>
  <si>
    <t>asom@sfsu.edu</t>
  </si>
  <si>
    <t>Diana Rumjahn</t>
  </si>
  <si>
    <t>drumjahn@sfsu.edu</t>
  </si>
  <si>
    <t>Timothy Cho</t>
  </si>
  <si>
    <t>timothy@sfsu.edu</t>
  </si>
  <si>
    <t>Victoria Quijano</t>
  </si>
  <si>
    <t>vquijano@sfsu.edu</t>
  </si>
  <si>
    <t>Jason Huynh</t>
  </si>
  <si>
    <t>jhuynh@sfsu.edu</t>
  </si>
  <si>
    <t>Mohammad Kafai</t>
  </si>
  <si>
    <t>kafai@sfsu.edu</t>
  </si>
  <si>
    <t>Helen Hyun</t>
  </si>
  <si>
    <t>hhh@sfsu.edu</t>
  </si>
  <si>
    <t>Sami Reist</t>
  </si>
  <si>
    <t>sami@sfsu.edu</t>
  </si>
  <si>
    <t>Kitty Millet</t>
  </si>
  <si>
    <t>kmillet1@sfsu.edu</t>
  </si>
  <si>
    <t>James Warren Boyd</t>
  </si>
  <si>
    <t>jwboyd@sfsu.edu</t>
  </si>
  <si>
    <t>Caroline Alcantara</t>
  </si>
  <si>
    <t>caroline@sfsu.edu</t>
  </si>
  <si>
    <t>Richard Festinger</t>
  </si>
  <si>
    <t>raf@sfsu.edu</t>
  </si>
  <si>
    <t>Ping Hsiao</t>
  </si>
  <si>
    <t>phsiao@sfsu.edu</t>
  </si>
  <si>
    <t>Angela Sposito-Bernath</t>
  </si>
  <si>
    <t>asposito@sfsu.edu</t>
  </si>
  <si>
    <t>Natalia Tkachov</t>
  </si>
  <si>
    <t>ntkachov@sfsu.edu</t>
  </si>
  <si>
    <t>Tina Easter</t>
  </si>
  <si>
    <t>teaster@sfsu.edu</t>
  </si>
  <si>
    <t>Joseph Benjamin</t>
  </si>
  <si>
    <t>josephb@sfsu.edu</t>
  </si>
  <si>
    <t>Judith Kysh</t>
  </si>
  <si>
    <t>jkysh@sfsu.edu</t>
  </si>
  <si>
    <t>Dragutin Petkovic</t>
  </si>
  <si>
    <t>petkovic@sfsu.edu</t>
  </si>
  <si>
    <t>Joan Wong</t>
  </si>
  <si>
    <t>jmwong@sfsu.edu</t>
  </si>
  <si>
    <t>Gust Yep</t>
  </si>
  <si>
    <t>gyep@sfsu.edu</t>
  </si>
  <si>
    <t>Midori McKeon</t>
  </si>
  <si>
    <t>mmckeon@sfsu.edu</t>
  </si>
  <si>
    <t>Mary Halloran</t>
  </si>
  <si>
    <t>mahall@sfsu.edu</t>
  </si>
  <si>
    <t>Kirk Schaible</t>
  </si>
  <si>
    <t>kirks@sfsu.edu</t>
  </si>
  <si>
    <t>Mark Jones</t>
  </si>
  <si>
    <t>clever1@sfsu.edu</t>
  </si>
  <si>
    <t>Mary Hughes Stone</t>
  </si>
  <si>
    <t>mphughes@sfsu.edu</t>
  </si>
  <si>
    <t>Gabriela Segovia-McGahan</t>
  </si>
  <si>
    <t>gsegovia@sfsu.edu</t>
  </si>
  <si>
    <t>Matthew Davison</t>
  </si>
  <si>
    <t>davison@sfsu.edu</t>
  </si>
  <si>
    <t>M Raggio</t>
  </si>
  <si>
    <t>mraggio@sfsu.edu</t>
  </si>
  <si>
    <t>Sarah Curtis</t>
  </si>
  <si>
    <t>scurtis@sfsu.edu</t>
  </si>
  <si>
    <t>Maika Watanabe</t>
  </si>
  <si>
    <t>watanabe@sfsu.edu</t>
  </si>
  <si>
    <t>Laura Epstein</t>
  </si>
  <si>
    <t>lepstein@sfsu.edu</t>
  </si>
  <si>
    <t>Tony Chan</t>
  </si>
  <si>
    <t>ynot@sfsu.edu</t>
  </si>
  <si>
    <t>Jane DeWitt</t>
  </si>
  <si>
    <t>dewitt@sfsu.edu</t>
  </si>
  <si>
    <t>Maziar Behrooz</t>
  </si>
  <si>
    <t>mroozbeh@sfsu.edu</t>
  </si>
  <si>
    <t>Roberto Vasquez</t>
  </si>
  <si>
    <t>vasquez@sfsu.edu</t>
  </si>
  <si>
    <t>Ellen Jones</t>
  </si>
  <si>
    <t>ejones7@sfsu.edu</t>
  </si>
  <si>
    <t>Deborah Cohler</t>
  </si>
  <si>
    <t>dcohler@sfsu.edu</t>
  </si>
  <si>
    <t>Suzanne Caughlan</t>
  </si>
  <si>
    <t>scaugh@sfsu.edu</t>
  </si>
  <si>
    <t>Ahmad Ganji</t>
  </si>
  <si>
    <t>aganji@sfsu.edu</t>
  </si>
  <si>
    <t>Raymond Esquerra</t>
  </si>
  <si>
    <t>esquerra@sfsu.edu</t>
  </si>
  <si>
    <t>Sally Baack</t>
  </si>
  <si>
    <t>sbaack@sfsu.edu</t>
  </si>
  <si>
    <t>Brigitte Davila</t>
  </si>
  <si>
    <t>davila@sfsu.edu</t>
  </si>
  <si>
    <t>Lisa Moore</t>
  </si>
  <si>
    <t>lisadee@sfsu.edu</t>
  </si>
  <si>
    <t>Russell Jeung</t>
  </si>
  <si>
    <t>rjeung@sfsu.edu</t>
  </si>
  <si>
    <t>Rosalie Alfonso</t>
  </si>
  <si>
    <t>ralfonso@sfsu.edu</t>
  </si>
  <si>
    <t>Alan Jung</t>
  </si>
  <si>
    <t>alanjung@sfsu.edu</t>
  </si>
  <si>
    <t>Sanjit Sengupta</t>
  </si>
  <si>
    <t>sengupta@sfsu.edu</t>
  </si>
  <si>
    <t>Mark Calkins</t>
  </si>
  <si>
    <t>mcalkins@sfsu.edu</t>
  </si>
  <si>
    <t>Donna M Walker</t>
  </si>
  <si>
    <t>marilyn2@sfsu.edu</t>
  </si>
  <si>
    <t>Rick Wing</t>
  </si>
  <si>
    <t>rwing@sfsu.edu</t>
  </si>
  <si>
    <t>Dawn Mabalon</t>
  </si>
  <si>
    <t>dawn.mabalon@gmail.com</t>
  </si>
  <si>
    <t>John Barsotti</t>
  </si>
  <si>
    <t>jbarsoti@sfsu.edu</t>
  </si>
  <si>
    <t>Chris Rozales</t>
  </si>
  <si>
    <t>crozales@sfsu.edu</t>
  </si>
  <si>
    <t>Annette Caneda</t>
  </si>
  <si>
    <t>acaneda@sfsu.edu</t>
  </si>
  <si>
    <t>Wei Ming Dariotis</t>
  </si>
  <si>
    <t>dariotis@sfsu.edu</t>
  </si>
  <si>
    <t>Daniel Tomasevich</t>
  </si>
  <si>
    <t>dtomas@sfsu.edu</t>
  </si>
  <si>
    <t>Rebecca Sanchez</t>
  </si>
  <si>
    <t>bex@sfsu.edu</t>
  </si>
  <si>
    <t>Tina Broughton</t>
  </si>
  <si>
    <t>tinab@sfsu.edu</t>
  </si>
  <si>
    <t>Frank Bayliss</t>
  </si>
  <si>
    <t>frank.bayliss@ucsf.edu</t>
  </si>
  <si>
    <t>Lynne Hoang</t>
  </si>
  <si>
    <t>lynnethi@sfsu.edu</t>
  </si>
  <si>
    <t>John Cleary</t>
  </si>
  <si>
    <t>jcleary@sfsu.edu</t>
  </si>
  <si>
    <t>Conrad Perreras</t>
  </si>
  <si>
    <t>rolodex1@sfsu.edu</t>
  </si>
  <si>
    <t>Steve Savage</t>
  </si>
  <si>
    <t>ssavage@sfsu.edu</t>
  </si>
  <si>
    <t>Ursula Simonis</t>
  </si>
  <si>
    <t>uschi@sfsu.edu</t>
  </si>
  <si>
    <t>Nancy Wilkinson</t>
  </si>
  <si>
    <t>nancyw@sfsu.edu</t>
  </si>
  <si>
    <t>Anthony Robbins</t>
  </si>
  <si>
    <t>arobbins@sfsu.edu</t>
  </si>
  <si>
    <t>Mark Sigmon</t>
  </si>
  <si>
    <t>msigmon@sfsu.edu</t>
  </si>
  <si>
    <t>Valerie Soe</t>
  </si>
  <si>
    <t>vsoe@sfsu.edu</t>
  </si>
  <si>
    <t>Scot Tucker</t>
  </si>
  <si>
    <t>tucker@sfsu.edu</t>
  </si>
  <si>
    <t>Kenneth Fehrman</t>
  </si>
  <si>
    <t>fehrman@sfsu.edu</t>
  </si>
  <si>
    <t>Lisa Vicar</t>
  </si>
  <si>
    <t>lisagf@sfsu.edu</t>
  </si>
  <si>
    <t>Anastasia Prentiss</t>
  </si>
  <si>
    <t>prentiss@sfsu.edu</t>
  </si>
  <si>
    <t>Ryszard Dziadur</t>
  </si>
  <si>
    <t>ridz@sfsu.edu</t>
  </si>
  <si>
    <t>Andrew Pitman</t>
  </si>
  <si>
    <t>apitman@sfsu.edu</t>
  </si>
  <si>
    <t>Rosa Valencia</t>
  </si>
  <si>
    <t>rosav@sfsu.edu</t>
  </si>
  <si>
    <t>Humberto Arreguin</t>
  </si>
  <si>
    <t>arreguin@sfsu.edu</t>
  </si>
  <si>
    <t>Valerie Lee</t>
  </si>
  <si>
    <t>kungfu@sfsu.edu</t>
  </si>
  <si>
    <t>Aaron Kerner</t>
  </si>
  <si>
    <t>amkerner@sfsu.edu</t>
  </si>
  <si>
    <t>Sandy Lee</t>
  </si>
  <si>
    <t>sandylee@sfsu.edu</t>
  </si>
  <si>
    <t>Amita Shastri</t>
  </si>
  <si>
    <t>ashastri@sfsu.edu</t>
  </si>
  <si>
    <t>Lannie Nguyen</t>
  </si>
  <si>
    <t>ltang@sfsu.edu</t>
  </si>
  <si>
    <t>Scott Cahn</t>
  </si>
  <si>
    <t>cahn@sfsu.edu</t>
  </si>
  <si>
    <t>John Calloway</t>
  </si>
  <si>
    <t>jcallow@sfsu.edu</t>
  </si>
  <si>
    <t>Gus Vouchilas</t>
  </si>
  <si>
    <t>gusv@sfsu.edu</t>
  </si>
  <si>
    <t>Beverly Colindres</t>
  </si>
  <si>
    <t>beverlyd@sfsu.edu</t>
  </si>
  <si>
    <t>Julia Ayana Airakan-Mance</t>
  </si>
  <si>
    <t>airakan@sfsu.edu</t>
  </si>
  <si>
    <t>Sally Pasion</t>
  </si>
  <si>
    <t>pasion@sfsu.edu</t>
  </si>
  <si>
    <t>Mahmood Hussain</t>
  </si>
  <si>
    <t>hussain@sfsu.edu</t>
  </si>
  <si>
    <t>David Matsumoto</t>
  </si>
  <si>
    <t>dm@sfsu.edu</t>
  </si>
  <si>
    <t>Denise Miyajima</t>
  </si>
  <si>
    <t>dmiya@sfsu.edu</t>
  </si>
  <si>
    <t>Yumi Wilson</t>
  </si>
  <si>
    <t>ywilson@sfsu.edu</t>
  </si>
  <si>
    <t>Wesley Ueunten</t>
  </si>
  <si>
    <t>wesueu@sfsu.edu</t>
  </si>
  <si>
    <t>Andrei Tsygankov</t>
  </si>
  <si>
    <t>andrei@sfsu.edu</t>
  </si>
  <si>
    <t>Chris Mays</t>
  </si>
  <si>
    <t>chrism@sfsu.edu</t>
  </si>
  <si>
    <t>Doris Flowers</t>
  </si>
  <si>
    <t>dflowers@sfsu.edu</t>
  </si>
  <si>
    <t>Ihsan Erden</t>
  </si>
  <si>
    <t>ihsan_erden2000@yahoo.com</t>
  </si>
  <si>
    <t>Wilfred Denetclaw</t>
  </si>
  <si>
    <t>denetclw@sfsu.edu</t>
  </si>
  <si>
    <t>Nhung Le</t>
  </si>
  <si>
    <t>mainhung@sfsu.edu</t>
  </si>
  <si>
    <t>Jarbel Rodriguez</t>
  </si>
  <si>
    <t>jarbel@sfsu.edu</t>
  </si>
  <si>
    <t>Senem Ozer</t>
  </si>
  <si>
    <t>seozer@sfsu.edu</t>
  </si>
  <si>
    <t>Melissa Camacho</t>
  </si>
  <si>
    <t>mcamacho@sfsu.edu</t>
  </si>
  <si>
    <t>Ilona Vandergriff</t>
  </si>
  <si>
    <t>vdgriff@sfsu.edu</t>
  </si>
  <si>
    <t>Bonnie Li Victorino</t>
  </si>
  <si>
    <t>bonstn@sfsu.edu</t>
  </si>
  <si>
    <t>Seiko Kosaka</t>
  </si>
  <si>
    <t>skosaka@sfsu.edu</t>
  </si>
  <si>
    <t>Joy Manaois</t>
  </si>
  <si>
    <t>joy_gel@sfsu.edu</t>
  </si>
  <si>
    <t>Alexandria Leyton</t>
  </si>
  <si>
    <t>aleyton@sfsu.edu</t>
  </si>
  <si>
    <t>Randy Tran</t>
  </si>
  <si>
    <t>randyhqt@sfsu.edu</t>
  </si>
  <si>
    <t>Elsie Bondoc</t>
  </si>
  <si>
    <t>bondoce@sfsu.edu</t>
  </si>
  <si>
    <t>Ilmi Yoon</t>
  </si>
  <si>
    <t>ilmi@sfsu.edu</t>
  </si>
  <si>
    <t>Lucia Volk</t>
  </si>
  <si>
    <t>lvolk@sfsu.edu</t>
  </si>
  <si>
    <t>William Cochlan</t>
  </si>
  <si>
    <t>cochlan@sfsu.edu</t>
  </si>
  <si>
    <t>Juan Carlos Gonzalez</t>
  </si>
  <si>
    <t>jcatsfsu@sfsu.edu</t>
  </si>
  <si>
    <t>Paul Ellison</t>
  </si>
  <si>
    <t>ellison@sfsu.edu</t>
  </si>
  <si>
    <t>Van Tran</t>
  </si>
  <si>
    <t>vtran3@sfsu.edu</t>
  </si>
  <si>
    <t>Jassen Todorov</t>
  </si>
  <si>
    <t>todorov@sfsu.edu</t>
  </si>
  <si>
    <t>Timothy Dorazio</t>
  </si>
  <si>
    <t>tdorazio@sfsu.edu</t>
  </si>
  <si>
    <t>Becky Mou</t>
  </si>
  <si>
    <t>sprite@sfsu.edu</t>
  </si>
  <si>
    <t>Christy Lao</t>
  </si>
  <si>
    <t>clao@sfsu.edu</t>
  </si>
  <si>
    <t>Hao Bin Khuu</t>
  </si>
  <si>
    <t>haok@sfsu.edu</t>
  </si>
  <si>
    <t>Mariana Ferreira</t>
  </si>
  <si>
    <t>marianaf@sfsu.edu</t>
  </si>
  <si>
    <t>Arno Puder</t>
  </si>
  <si>
    <t>arno@sfsu.edu</t>
  </si>
  <si>
    <t>Andrew King</t>
  </si>
  <si>
    <t>aking10@sfsu.edu</t>
  </si>
  <si>
    <t>Miyo Inoue</t>
  </si>
  <si>
    <t>miyoinoue@sfsu.edu</t>
  </si>
  <si>
    <t>Roger Woodward</t>
  </si>
  <si>
    <t>woodward@sfsu.edu</t>
  </si>
  <si>
    <t>Vera Klimkovsky</t>
  </si>
  <si>
    <t>klimkovs@sfsu.edu</t>
  </si>
  <si>
    <t>Mutlu Ozer</t>
  </si>
  <si>
    <t>ozer@sfsu.edu</t>
  </si>
  <si>
    <t>Dina Ibrahim</t>
  </si>
  <si>
    <t>dibrahim@sfsu.edu</t>
  </si>
  <si>
    <t>Elane Feng</t>
  </si>
  <si>
    <t>efeng@sfsu.edu</t>
  </si>
  <si>
    <t>Laura Moorhead</t>
  </si>
  <si>
    <t>lauralm@sfsu.edu</t>
  </si>
  <si>
    <t>Eric Bishop</t>
  </si>
  <si>
    <t>ebishop@sfsu.edu</t>
  </si>
  <si>
    <t>Tammy  Vo</t>
  </si>
  <si>
    <t>vtammy@sfsu.edu</t>
  </si>
  <si>
    <t>Tracy Thai</t>
  </si>
  <si>
    <t>tthai@sfsu.edu</t>
  </si>
  <si>
    <t>Marie Drennan</t>
  </si>
  <si>
    <t>mdrennan@sfsu.edu</t>
  </si>
  <si>
    <t>Steven Weisberg</t>
  </si>
  <si>
    <t>sweisber@sfsu.edu</t>
  </si>
  <si>
    <t>Daniel Olmsted</t>
  </si>
  <si>
    <t>dolmsted@sfsu.edu</t>
  </si>
  <si>
    <t>Chris McCarthy</t>
  </si>
  <si>
    <t>planets@sfsu.edu</t>
  </si>
  <si>
    <t>Larry Yok</t>
  </si>
  <si>
    <t>lyok1998@sfsu.edu</t>
  </si>
  <si>
    <t>Bridget McCracken</t>
  </si>
  <si>
    <t>mpa@sfsu.edu</t>
  </si>
  <si>
    <t>Brian Sharber</t>
  </si>
  <si>
    <t>sharber@sfsu.edu</t>
  </si>
  <si>
    <t>Kimberly Tanner</t>
  </si>
  <si>
    <t>kdtanner@sfsu.edu</t>
  </si>
  <si>
    <t>Rachele Kanigel</t>
  </si>
  <si>
    <t>kanigel@sfsu.edu</t>
  </si>
  <si>
    <t>Burcu Ellis</t>
  </si>
  <si>
    <t>bellis@sfsu.edu</t>
  </si>
  <si>
    <t>Katharyn Boyer</t>
  </si>
  <si>
    <t>katboyer@sfsu.edu</t>
  </si>
  <si>
    <t>Rita Melendez</t>
  </si>
  <si>
    <t>rmelende@sfsu.edu</t>
  </si>
  <si>
    <t>Kyle Dupen</t>
  </si>
  <si>
    <t>kdupen@sfsu.edu</t>
  </si>
  <si>
    <t>James Wagstaffe</t>
  </si>
  <si>
    <t>jmwag@sfsu.edu</t>
  </si>
  <si>
    <t>Sherrill Halbe</t>
  </si>
  <si>
    <t>shalbe@sfsu.edu</t>
  </si>
  <si>
    <t>Arlene Mccarthy</t>
  </si>
  <si>
    <t>arlenem@sfsu.edu</t>
  </si>
  <si>
    <t>Jessica Wolin</t>
  </si>
  <si>
    <t>jwolin@sfsu.edu</t>
  </si>
  <si>
    <t>Carlo Corea</t>
  </si>
  <si>
    <t>ccorea@sfsu.edu</t>
  </si>
  <si>
    <t>Elisabeth Chemouni</t>
  </si>
  <si>
    <t>elizchem@sfsu.edu</t>
  </si>
  <si>
    <t>Sheila Tully</t>
  </si>
  <si>
    <t>srtully@sfsu.edu</t>
  </si>
  <si>
    <t>Heather Murdock</t>
  </si>
  <si>
    <t>hmurdock@sfsu.edu</t>
  </si>
  <si>
    <t>Lance Lund</t>
  </si>
  <si>
    <t>llund@sfsu.edu</t>
  </si>
  <si>
    <t>Lawrence Kroll</t>
  </si>
  <si>
    <t>kroll@sfsu.edu</t>
  </si>
  <si>
    <t>Jeffrey Saperstein</t>
  </si>
  <si>
    <t>sapermkt@sfsu.edu</t>
  </si>
  <si>
    <t>Robert Strong</t>
  </si>
  <si>
    <t>rstrong@sfsu.edu</t>
  </si>
  <si>
    <t>Henry Flynn</t>
  </si>
  <si>
    <t>fwc@sfsu.edu</t>
  </si>
  <si>
    <t>M Shirmohamadi</t>
  </si>
  <si>
    <t>mshir@sfsu.edu</t>
  </si>
  <si>
    <t>Dan Rosenthal</t>
  </si>
  <si>
    <t>drosen@sfsu.edu</t>
  </si>
  <si>
    <t>Barry Shiller</t>
  </si>
  <si>
    <t>bshiller@sfsu.edu</t>
  </si>
  <si>
    <t>Christine Nagaya</t>
  </si>
  <si>
    <t>cnagaya1@sfsu.edu</t>
  </si>
  <si>
    <t>Yoko Uda Narvid</t>
  </si>
  <si>
    <t>yunarvid@sfsu.edu</t>
  </si>
  <si>
    <t>Jane Rabanal</t>
  </si>
  <si>
    <t>jrabanal@sfsu.edu</t>
  </si>
  <si>
    <t>Atina Delfino</t>
  </si>
  <si>
    <t>atinas@sfsu.edu</t>
  </si>
  <si>
    <t>Denise Battista</t>
  </si>
  <si>
    <t>shaksper@sfsu.edu</t>
  </si>
  <si>
    <t>Jamie Chan</t>
  </si>
  <si>
    <t>jmchan@sfsu.edu</t>
  </si>
  <si>
    <t>Regula Dhedhi</t>
  </si>
  <si>
    <t>regula@sfsu.edu</t>
  </si>
  <si>
    <t>Noelle Taylor</t>
  </si>
  <si>
    <t>telleon@sfsu.edu</t>
  </si>
  <si>
    <t>Kevin Conner</t>
  </si>
  <si>
    <t>kevin@sfsu.edu</t>
  </si>
  <si>
    <t>Jim Tay</t>
  </si>
  <si>
    <t>jimyt@sfsu.edu</t>
  </si>
  <si>
    <t>John Roberts</t>
  </si>
  <si>
    <t>jrob@sfsu.edu</t>
  </si>
  <si>
    <t>Arlene Daus- Magbual</t>
  </si>
  <si>
    <t>amianan@sfsu.edu</t>
  </si>
  <si>
    <t>LaChanda Davis</t>
  </si>
  <si>
    <t>lachandacdavis@sfsu.edu</t>
  </si>
  <si>
    <t>Anthony Mayo</t>
  </si>
  <si>
    <t>amayo@sfsu.edu</t>
  </si>
  <si>
    <t>David Gill</t>
  </si>
  <si>
    <t>dcgill@sfsu.edu</t>
  </si>
  <si>
    <t>Mari Fong</t>
  </si>
  <si>
    <t>fongmk@sfsu.edu</t>
  </si>
  <si>
    <t>Sachiko Halper</t>
  </si>
  <si>
    <t>shalper@sfsu.edu</t>
  </si>
  <si>
    <t>Christine Randolph</t>
  </si>
  <si>
    <t>crandolph3@sfsu.edu</t>
  </si>
  <si>
    <t>Deb Perry</t>
  </si>
  <si>
    <t>debperry@sfsu.edu</t>
  </si>
  <si>
    <t>Amber Wehrer</t>
  </si>
  <si>
    <t>amberw@sfsu.edu</t>
  </si>
  <si>
    <t>Avi Chandiramani</t>
  </si>
  <si>
    <t>avi@sfsuy.edu</t>
  </si>
  <si>
    <t>Jonathan Foerster</t>
  </si>
  <si>
    <t>foerster@sfsu.edu</t>
  </si>
  <si>
    <t>Daniel Johnson</t>
  </si>
  <si>
    <t>dj@sfsu.edu</t>
  </si>
  <si>
    <t>Luca Facchin</t>
  </si>
  <si>
    <t>luca@sfsu.edu</t>
  </si>
  <si>
    <t>Mindy Sherman</t>
  </si>
  <si>
    <t>msherman@sfsu.edu</t>
  </si>
  <si>
    <t>Falu Bakrania</t>
  </si>
  <si>
    <t>bakrania@sfsu.edu</t>
  </si>
  <si>
    <t>Rebekhah Dilts</t>
  </si>
  <si>
    <t>rdilts@mail.sfsu.edu</t>
  </si>
  <si>
    <t>Kevin Hickey</t>
  </si>
  <si>
    <t>khickey@sfsu.edu</t>
  </si>
  <si>
    <t>Anne Mccaffrey</t>
  </si>
  <si>
    <t>annem@sfsu.edu</t>
  </si>
  <si>
    <t>Matthew Moore</t>
  </si>
  <si>
    <t>matthewmoore@sfsu.edu</t>
  </si>
  <si>
    <t>Myron Maciejewski</t>
  </si>
  <si>
    <t>myron@mail.sfsu.edu</t>
  </si>
  <si>
    <t>Carolyn Gencarella</t>
  </si>
  <si>
    <t>gencarellac@sfsu.edu</t>
  </si>
  <si>
    <t>Gwen Allen</t>
  </si>
  <si>
    <t>gwen@sfsu.edu</t>
  </si>
  <si>
    <t>Robin Meyerowitz</t>
  </si>
  <si>
    <t>robinmm@sfsu.edu</t>
  </si>
  <si>
    <t>Josie Iselin</t>
  </si>
  <si>
    <t>josieiselin@sfsu.edu</t>
  </si>
  <si>
    <t>Robert Bierman</t>
  </si>
  <si>
    <t>bierman@sfsu.edu</t>
  </si>
  <si>
    <t>Jimmie Wilder</t>
  </si>
  <si>
    <t>jwilder@sfsu.edu</t>
  </si>
  <si>
    <t>Les Timpe</t>
  </si>
  <si>
    <t>lct@sfsu.edu</t>
  </si>
  <si>
    <t>Susan Englander</t>
  </si>
  <si>
    <t>englande@sfsu.edu</t>
  </si>
  <si>
    <t>Sara Felder</t>
  </si>
  <si>
    <t>sfelder@sfsu.edu</t>
  </si>
  <si>
    <t>Dennis Aquilina</t>
  </si>
  <si>
    <t>da1@sfsu.edu</t>
  </si>
  <si>
    <t>Anna Tobin</t>
  </si>
  <si>
    <t>aatobin@sfsu.edu</t>
  </si>
  <si>
    <t>Matthew Hartford</t>
  </si>
  <si>
    <t>hartfordm@sfsu.edu</t>
  </si>
  <si>
    <t>Jennifer Beach</t>
  </si>
  <si>
    <t>beach@sfsu.edu</t>
  </si>
  <si>
    <t>Marijke Devos</t>
  </si>
  <si>
    <t>mxdevos@sfsu.edu</t>
  </si>
  <si>
    <t>Richard Harvey</t>
  </si>
  <si>
    <t>rharvey@sfsu.edu</t>
  </si>
  <si>
    <t>Julie Briden</t>
  </si>
  <si>
    <t>jbriden@sfsu.edu</t>
  </si>
  <si>
    <t>Tomoko Komada</t>
  </si>
  <si>
    <t>tkomada@sfsu.edu</t>
  </si>
  <si>
    <t>Laura Mamo</t>
  </si>
  <si>
    <t>lmamo@sfsu.edu</t>
  </si>
  <si>
    <t>Judith Fraschella</t>
  </si>
  <si>
    <t>jfrasche@sfsu.edu</t>
  </si>
  <si>
    <t>Laura Garcia-Moreno</t>
  </si>
  <si>
    <t>lgmoreno@sfsu.edu</t>
  </si>
  <si>
    <t>Christy Shick</t>
  </si>
  <si>
    <t>clshick@sfsu.edu</t>
  </si>
  <si>
    <t>Patrick Maina Wachira</t>
  </si>
  <si>
    <t>pminor@sfsu.edu</t>
  </si>
  <si>
    <t>Sachi Cunningham</t>
  </si>
  <si>
    <t>sachic@sfsu.edu</t>
  </si>
  <si>
    <t>Joe Illick</t>
  </si>
  <si>
    <t>illick@sfsu.edu</t>
  </si>
  <si>
    <t>Leslie Timpe</t>
  </si>
  <si>
    <t>Sam Moussavi</t>
  </si>
  <si>
    <t>moussavisam@sfsu.edu</t>
  </si>
  <si>
    <t>Jennifer Steiner</t>
  </si>
  <si>
    <t>steinerj22@sfsu.edu</t>
  </si>
  <si>
    <t>Mary Juno</t>
  </si>
  <si>
    <t>mjuno@sfsu.edu</t>
  </si>
  <si>
    <t>Karen Kienzle</t>
  </si>
  <si>
    <t>kkienzle@sfsu.edu</t>
  </si>
  <si>
    <t>Deirdre  Hallman</t>
  </si>
  <si>
    <t>dhallman@mail.sfsu.edu</t>
  </si>
  <si>
    <t>Donna De La Perriere</t>
  </si>
  <si>
    <t>donnadlp@sfsu.edu</t>
  </si>
  <si>
    <t>Rita Rodriguez</t>
  </si>
  <si>
    <t>ritar@sfsu.edu</t>
  </si>
  <si>
    <t>Steven Horowitz</t>
  </si>
  <si>
    <t>shorowitz@mail.sfsu.edu</t>
  </si>
  <si>
    <t>William Sokol</t>
  </si>
  <si>
    <t>wsokol@sfsu.edu</t>
  </si>
  <si>
    <t>Janelle Waldrep</t>
  </si>
  <si>
    <t>waldrep@sfsu.edu</t>
  </si>
  <si>
    <t>Daniel Phillips</t>
  </si>
  <si>
    <t>dphillips1@sfsu.edu</t>
  </si>
  <si>
    <t>Kenn Sugiyama</t>
  </si>
  <si>
    <t>kennsugi@sfsu.edu</t>
  </si>
  <si>
    <t>Christopher Chekuri</t>
  </si>
  <si>
    <t>cchekuri@sfsu.edu</t>
  </si>
  <si>
    <t>Ravinder Sehgal</t>
  </si>
  <si>
    <t>sehgal@sfsu.edu</t>
  </si>
  <si>
    <t>Johnny Symons</t>
  </si>
  <si>
    <t>symons@sfsu.edu</t>
  </si>
  <si>
    <t>Nathaniel Nevado</t>
  </si>
  <si>
    <t>nnevado@mail.sfsu.edu</t>
  </si>
  <si>
    <t>Jason Ferreira</t>
  </si>
  <si>
    <t>cheo@sfsu.edu</t>
  </si>
  <si>
    <t>Rebecca Carabez</t>
  </si>
  <si>
    <t>rcarabez@sfsu.edu</t>
  </si>
  <si>
    <t>Marla Lowenthal</t>
  </si>
  <si>
    <t>mlowenth@sfsu.edu</t>
  </si>
  <si>
    <t>James Cartwright</t>
  </si>
  <si>
    <t>jamescartwright60@sfsu.edu</t>
  </si>
  <si>
    <t>Kira Donnell</t>
  </si>
  <si>
    <t>donnell@sfsu.edu</t>
  </si>
  <si>
    <t>Marilyn Smulyan</t>
  </si>
  <si>
    <t>msmulyan@sfsu.edu</t>
  </si>
  <si>
    <t>Miguel Balboa</t>
  </si>
  <si>
    <t>mbalboa@sfsu.edu</t>
  </si>
  <si>
    <t>Patricia Van Velsor</t>
  </si>
  <si>
    <t>pvanvels@sfsu.edu</t>
  </si>
  <si>
    <t>Jennifer Nelson</t>
  </si>
  <si>
    <t>kerekesj@sfsu.edu</t>
  </si>
  <si>
    <t>Mark Li</t>
  </si>
  <si>
    <t>markkli@sfsu.edu</t>
  </si>
  <si>
    <t>Mary Warden</t>
  </si>
  <si>
    <t>mwarden@sfsu.edu</t>
  </si>
  <si>
    <t>Amy Smith</t>
  </si>
  <si>
    <t>smithae@sfsu.edu</t>
  </si>
  <si>
    <t>Shawn Rosenmoss</t>
  </si>
  <si>
    <t>srosenmoss@sfsu.edu</t>
  </si>
  <si>
    <t>David Smith</t>
  </si>
  <si>
    <t>dgsmith@sfsu.edu</t>
  </si>
  <si>
    <t>Jennifer Trainor</t>
  </si>
  <si>
    <t>jtrainor@sfsu.edu</t>
  </si>
  <si>
    <t>Amy Latham</t>
  </si>
  <si>
    <t>aglasena@sfsu.edu</t>
  </si>
  <si>
    <t>Hiromi Rustigan</t>
  </si>
  <si>
    <t>hrustiga@sfsu.edu</t>
  </si>
  <si>
    <t>Jetta Jacobson</t>
  </si>
  <si>
    <t>jettaj1@sfsu.edu</t>
  </si>
  <si>
    <t>Bradley Fogo</t>
  </si>
  <si>
    <t>bfogo@sfsu.edu</t>
  </si>
  <si>
    <t>Anne Hastie</t>
  </si>
  <si>
    <t>aahastie@gmail.com</t>
  </si>
  <si>
    <t>Rahul Singh</t>
  </si>
  <si>
    <t>rahul@sfsu.edu</t>
  </si>
  <si>
    <t>Gary Moskowitz</t>
  </si>
  <si>
    <t>garym@sfsu.edu</t>
  </si>
  <si>
    <t>Soheyl Dahi</t>
  </si>
  <si>
    <t>sdahi@sfsu.edu</t>
  </si>
  <si>
    <t>Hulya Gurtuna</t>
  </si>
  <si>
    <t>hgurtuna@sfsu.edu</t>
  </si>
  <si>
    <t>Chris Thomson</t>
  </si>
  <si>
    <t>cwtengr@sfsu.edu</t>
  </si>
  <si>
    <t>May-lee Chai</t>
  </si>
  <si>
    <t>chai@sfsu.edu</t>
  </si>
  <si>
    <t>Yue-Ting Siu</t>
  </si>
  <si>
    <t>ysiu@sfsu.edu</t>
  </si>
  <si>
    <t>Mark Bautista</t>
  </si>
  <si>
    <t>markb@sfsu.edu</t>
  </si>
  <si>
    <t>Nico Peck</t>
  </si>
  <si>
    <t>nicopeck@sfsu.edu</t>
  </si>
  <si>
    <t>Debra Glass</t>
  </si>
  <si>
    <t>dlglass@sfsu.edu</t>
  </si>
  <si>
    <t>Misha Antonich</t>
  </si>
  <si>
    <t>mantonic@sfsu.edu</t>
  </si>
  <si>
    <t>Dena Al-Adeeb</t>
  </si>
  <si>
    <t>denaaladeeb@sfsu.edu</t>
  </si>
  <si>
    <t>Benjamin Sabey</t>
  </si>
  <si>
    <t>sabey@sfsu.edu</t>
  </si>
  <si>
    <t>Seanny Min</t>
  </si>
  <si>
    <t>smin3@sfsu.edu</t>
  </si>
  <si>
    <t>Cherakah Cunningham</t>
  </si>
  <si>
    <t>cherakah@sfsu.edu</t>
  </si>
  <si>
    <t>Melissa Bowman</t>
  </si>
  <si>
    <t>mkbowman@sfsu.edu</t>
  </si>
  <si>
    <t>Diana Chu</t>
  </si>
  <si>
    <t>chud@sfsu.edu</t>
  </si>
  <si>
    <t>Tony Sparks</t>
  </si>
  <si>
    <t>tsparks@sfsu.edu</t>
  </si>
  <si>
    <t>Jacqueline Ruben</t>
  </si>
  <si>
    <t>jruben@sfsu.edu</t>
  </si>
  <si>
    <t>Michele Caputo</t>
  </si>
  <si>
    <t>mcaputo@sfsu.edu</t>
  </si>
  <si>
    <t>Emma Sanchez</t>
  </si>
  <si>
    <t>emmav@sfsu.edu</t>
  </si>
  <si>
    <t>Brad Erickson</t>
  </si>
  <si>
    <t>berickso@sfsu.edu</t>
  </si>
  <si>
    <t>Sandra Osborne</t>
  </si>
  <si>
    <t>sandy1@sfsu.edu</t>
  </si>
  <si>
    <t>Nicole Allensworth</t>
  </si>
  <si>
    <t>nallensworth@sfsu.edu</t>
  </si>
  <si>
    <t>Logan Hennessy</t>
  </si>
  <si>
    <t>loganh@sfsu.edu</t>
  </si>
  <si>
    <t>Lawrence Souza</t>
  </si>
  <si>
    <t>lsouza@johnsonsouzagroup.com</t>
  </si>
  <si>
    <t>Joshua Horowitz</t>
  </si>
  <si>
    <t>doctorh@sfsu.edu</t>
  </si>
  <si>
    <t>Kathy Zarur</t>
  </si>
  <si>
    <t>kzarur@sfsu.edu</t>
  </si>
  <si>
    <t>Irene Faye Duller</t>
  </si>
  <si>
    <t>iffd@sfsu.edu</t>
  </si>
  <si>
    <t>Mark Iverson</t>
  </si>
  <si>
    <t>miverson@sfsu.edu</t>
  </si>
  <si>
    <t>Erica Almaguer</t>
  </si>
  <si>
    <t>erica@sfsu.edu</t>
  </si>
  <si>
    <t>Sayoko Duhe</t>
  </si>
  <si>
    <t>sdwatson@sfsu.edu</t>
  </si>
  <si>
    <t>Elizabeth Tejada</t>
  </si>
  <si>
    <t>elizabethtejada@sfsu.edu</t>
  </si>
  <si>
    <t>Michael Coyne</t>
  </si>
  <si>
    <t>mcoyne2@sfsu.edu</t>
  </si>
  <si>
    <t>Louie Giambattista</t>
  </si>
  <si>
    <t>lgiambat@sfsu.edu</t>
  </si>
  <si>
    <t>Adolfo Velasquez</t>
  </si>
  <si>
    <t>adolfov@sfsu.edu</t>
  </si>
  <si>
    <t>Jason Alley</t>
  </si>
  <si>
    <t>jalley@sfsu.edu</t>
  </si>
  <si>
    <t>Paul Focht</t>
  </si>
  <si>
    <t>cfocht@sfsu.edu</t>
  </si>
  <si>
    <t>K Abrahamson</t>
  </si>
  <si>
    <t>kateabe@sfsu.edu</t>
  </si>
  <si>
    <t>Luke Kwan</t>
  </si>
  <si>
    <t>lukekwan@sfsu.edu</t>
  </si>
  <si>
    <t>Wanda Siu-Chan</t>
  </si>
  <si>
    <t>siuchan@sfsu.edu</t>
  </si>
  <si>
    <t>Ashley Busby</t>
  </si>
  <si>
    <t>abusby@sfsu.edu</t>
  </si>
  <si>
    <t>Dora Goto</t>
  </si>
  <si>
    <t>dgoto1@sfsu.edu</t>
  </si>
  <si>
    <t>Holly Harris</t>
  </si>
  <si>
    <t>hharris@sfsu.edu</t>
  </si>
  <si>
    <t>Colyn Wohlmut</t>
  </si>
  <si>
    <t>cwohlmut@sfsu.edu</t>
  </si>
  <si>
    <t>Denise Coleman</t>
  </si>
  <si>
    <t>dlcoleman@sfsu.edu</t>
  </si>
  <si>
    <t>James Dudley</t>
  </si>
  <si>
    <t>dudley@sfsu.edu</t>
  </si>
  <si>
    <t>De-Ann Lott</t>
  </si>
  <si>
    <t>dlottlcsw@sfsu.edu</t>
  </si>
  <si>
    <t>Aynne Valencia</t>
  </si>
  <si>
    <t>avalencia7@sfsu.edu</t>
  </si>
  <si>
    <t>Lisa Poehlmann</t>
  </si>
  <si>
    <t>lcp@sfsu.edu</t>
  </si>
  <si>
    <t>Jennifer Delos Reyes</t>
  </si>
  <si>
    <t>jenniferdelosreyes@sfsu.edu</t>
  </si>
  <si>
    <t>Jamal  Mazyck</t>
  </si>
  <si>
    <t>jmazyck@mail.sfsu.edu</t>
  </si>
  <si>
    <t>Tricia Cavallero</t>
  </si>
  <si>
    <t>tcavalle@sfsu.edu</t>
  </si>
  <si>
    <t>Paul Glanting</t>
  </si>
  <si>
    <t>pbg@mail.sfsu.edu</t>
  </si>
  <si>
    <t>Alexandria Post</t>
  </si>
  <si>
    <t>alexpost@sfsu.edu</t>
  </si>
  <si>
    <t>Ammar Saheli</t>
  </si>
  <si>
    <t>saheli@sfsu.edu</t>
  </si>
  <si>
    <t>Laura Urquiaga</t>
  </si>
  <si>
    <t>urquiaga@mail.sfsu.edu</t>
  </si>
  <si>
    <t>Carlos Hagedorn</t>
  </si>
  <si>
    <t>hagedorn@sfsu.edu</t>
  </si>
  <si>
    <t>Adelina Aramburo</t>
  </si>
  <si>
    <t>aramburoa@sfsu.edu</t>
  </si>
  <si>
    <t>Joan Kruckewitt</t>
  </si>
  <si>
    <t>jkruck@sfsu.edu</t>
  </si>
  <si>
    <t>Victor De La Rosa</t>
  </si>
  <si>
    <t>delarosa@sfsu.edu</t>
  </si>
  <si>
    <t>Jennifer Benelli</t>
  </si>
  <si>
    <t>jbenelli@sfsu.edu</t>
  </si>
  <si>
    <t>Jude Wolf</t>
  </si>
  <si>
    <t>judewolf@sfsu.edu</t>
  </si>
  <si>
    <t>Dragomir Bogdanic</t>
  </si>
  <si>
    <t>dbogdani@sfsu.edu</t>
  </si>
  <si>
    <t>Brennan Wenck</t>
  </si>
  <si>
    <t>wenck@sfsu.edu</t>
  </si>
  <si>
    <t>Chris Perry</t>
  </si>
  <si>
    <t>chrisp@mail.sfsu.edu</t>
  </si>
  <si>
    <t>Praveen Rattan</t>
  </si>
  <si>
    <t>prattan@sfsu.edu</t>
  </si>
  <si>
    <t>Nancy Au</t>
  </si>
  <si>
    <t>nau1@sfsu.edu</t>
  </si>
  <si>
    <t>Matt Pico</t>
  </si>
  <si>
    <t>mpico@sfsu.edu</t>
  </si>
  <si>
    <t>Mary Jue</t>
  </si>
  <si>
    <t>juem@sfsu.edu</t>
  </si>
  <si>
    <t>Jennifer Otanez</t>
  </si>
  <si>
    <t>jenniferotanez@sfsu.edu</t>
  </si>
  <si>
    <t>Silvia Harris-Payne</t>
  </si>
  <si>
    <t>spayne5@sfsu.edu</t>
  </si>
  <si>
    <t>Lizett Lopez</t>
  </si>
  <si>
    <t>lilopez@sfsu.edu</t>
  </si>
  <si>
    <t>Katherine Seto</t>
  </si>
  <si>
    <t>kseto@sfsu.edu</t>
  </si>
  <si>
    <t>Constance Dent-Bryan</t>
  </si>
  <si>
    <t>cbryan@sfsu.edu</t>
  </si>
  <si>
    <t>Thao Nguyen</t>
  </si>
  <si>
    <t>thao@mail.sfsu.edu</t>
  </si>
  <si>
    <t>Alan Der</t>
  </si>
  <si>
    <t>ader@sfsu.edu</t>
  </si>
  <si>
    <t>Erika Dyquisto</t>
  </si>
  <si>
    <t>dyquisto@sfsu.edu</t>
  </si>
  <si>
    <t>Michelle Fitzgerald</t>
  </si>
  <si>
    <t>mkfitzgerald@sfsu.edu</t>
  </si>
  <si>
    <t>Elizabeth Haddon</t>
  </si>
  <si>
    <t>haddon@sfsu.edu</t>
  </si>
  <si>
    <t>Eva Martinez</t>
  </si>
  <si>
    <t>evamartinez@sfsu.edu</t>
  </si>
  <si>
    <t>Brian Benson</t>
  </si>
  <si>
    <t>bbenson1@sfsu.edu</t>
  </si>
  <si>
    <t>Lisa Marlowe</t>
  </si>
  <si>
    <t>lmarlowe@sfsu.edu</t>
  </si>
  <si>
    <t>Jose Lopez</t>
  </si>
  <si>
    <t>jirlopez@sfsu.edu</t>
  </si>
  <si>
    <t>Mimi Glumac</t>
  </si>
  <si>
    <t>mimiglumac@sfsu.edu</t>
  </si>
  <si>
    <t>Liana Low</t>
  </si>
  <si>
    <t>lianal@sfsu.edu</t>
  </si>
  <si>
    <t>Andrea Schriner Kellogg</t>
  </si>
  <si>
    <t>amschrin@sfsu.edu</t>
  </si>
  <si>
    <t>Jonathan Fong</t>
  </si>
  <si>
    <t>jonfong@sfsu.edu</t>
  </si>
  <si>
    <t>Elaine Leung</t>
  </si>
  <si>
    <t>elaineleung@sfsu.edu</t>
  </si>
  <si>
    <t>Valerie Pitts</t>
  </si>
  <si>
    <t>vpitts@sfsu.edu</t>
  </si>
  <si>
    <t>Julie Paez</t>
  </si>
  <si>
    <t>jpaez@sfsu.ed</t>
  </si>
  <si>
    <t>John Zahar</t>
  </si>
  <si>
    <t>jzahar@sfsu.edu</t>
  </si>
  <si>
    <t>Cecil Bell</t>
  </si>
  <si>
    <t>jbellsf@sfsu.edu</t>
  </si>
  <si>
    <t>Katie Anderson</t>
  </si>
  <si>
    <t>kanderso@mail.sfsu.edu</t>
  </si>
  <si>
    <t>Laurie Frazier</t>
  </si>
  <si>
    <t>lafrazier1@gmail.com</t>
  </si>
  <si>
    <t>Fenicia Jacks, ASW, PPSC</t>
  </si>
  <si>
    <t>jacksf@sfsu.edu</t>
  </si>
  <si>
    <t>Tachelle Herron Lane</t>
  </si>
  <si>
    <t>tachelle@sfsu.edu</t>
  </si>
  <si>
    <t>Gwendolyn Harris</t>
  </si>
  <si>
    <t>gwenharris@sfsu.edu</t>
  </si>
  <si>
    <t>Jennifer Der</t>
  </si>
  <si>
    <t>jder@sfsu.edu</t>
  </si>
  <si>
    <t>Bianca Alper</t>
  </si>
  <si>
    <t>bfalper@sfsu.edu</t>
  </si>
  <si>
    <t>Lisa-Maria Murillo</t>
  </si>
  <si>
    <t>linamuri@sfsu.edu</t>
  </si>
  <si>
    <t>Jeanphilipe Adamson (Queen Adu-Poku)</t>
  </si>
  <si>
    <t>queenadupoku@sfsu.edu</t>
  </si>
  <si>
    <t>Gustavo Lopez</t>
  </si>
  <si>
    <t>gus1492@sfsu.edu</t>
  </si>
  <si>
    <t>Matthew Kindblad</t>
  </si>
  <si>
    <t>mkindblad@sfsu.edu</t>
  </si>
  <si>
    <t>Elyse Shafarman</t>
  </si>
  <si>
    <t>elyse9@sfsu.edu</t>
  </si>
  <si>
    <t>Nichole Coleman</t>
  </si>
  <si>
    <t>ncoleman@sfsu.edu</t>
  </si>
  <si>
    <t>Joel Costa</t>
  </si>
  <si>
    <t>jcosta@sfsu.edu</t>
  </si>
  <si>
    <t>Sarah Pawlowsky</t>
  </si>
  <si>
    <t>bear718@sfsu.edu</t>
  </si>
  <si>
    <t>Larry Horvath</t>
  </si>
  <si>
    <t>lhorvath@sfsu.edu</t>
  </si>
  <si>
    <t>Glenn Aquino</t>
  </si>
  <si>
    <t>gaquino@sfsu.edu</t>
  </si>
  <si>
    <t>Peter Nachtrieb</t>
  </si>
  <si>
    <t>peternachtrieb@sfsu.edu</t>
  </si>
  <si>
    <t>Ruby Turalba</t>
  </si>
  <si>
    <t>turalba@sfsu.edu</t>
  </si>
  <si>
    <t>Persis Karim</t>
  </si>
  <si>
    <t>persiskarim@sfsu.edu</t>
  </si>
  <si>
    <t>Thomas Sanford</t>
  </si>
  <si>
    <t>tjsanford@yahoo.com</t>
  </si>
  <si>
    <t>Nicole  Lange</t>
  </si>
  <si>
    <t>nlange@sfsu.edu</t>
  </si>
  <si>
    <t>John-Carlos Perea</t>
  </si>
  <si>
    <t>johnc@sfsu.edu</t>
  </si>
  <si>
    <t>Allen Biggs</t>
  </si>
  <si>
    <t>bigdrums@sfsu.edu</t>
  </si>
  <si>
    <t>Justin Woodard</t>
  </si>
  <si>
    <t>justinw@sfsu.edu</t>
  </si>
  <si>
    <t>Jenny Lederer</t>
  </si>
  <si>
    <t>lederer@sfsu.edu</t>
  </si>
  <si>
    <t>Kelly Nhu Trinh</t>
  </si>
  <si>
    <t>ktrinh@sfsu.edu</t>
  </si>
  <si>
    <t>Zoe Martell</t>
  </si>
  <si>
    <t>zmartell@sfsu.edu</t>
  </si>
  <si>
    <t>Colleen Digre</t>
  </si>
  <si>
    <t>covega@sfsu.edu</t>
  </si>
  <si>
    <t>Patricia Leader</t>
  </si>
  <si>
    <t>pleader@sfsu.edu</t>
  </si>
  <si>
    <t>Beverly Green</t>
  </si>
  <si>
    <t>bgree@sfsu.edu</t>
  </si>
  <si>
    <t>Laura Miles-Banta</t>
  </si>
  <si>
    <t>llm@sfsu.edu</t>
  </si>
  <si>
    <t>Christine Mathias</t>
  </si>
  <si>
    <t>cmathias@sfsu.edu</t>
  </si>
  <si>
    <t>Susan Yelda</t>
  </si>
  <si>
    <t>syelda@sfsu.edu</t>
  </si>
  <si>
    <t>Omar Kudsi</t>
  </si>
  <si>
    <t>kudsi@sfsu.edu</t>
  </si>
  <si>
    <t>Maura Corcoran</t>
  </si>
  <si>
    <t>corcoran@sfsu.edu</t>
  </si>
  <si>
    <t>Pam Schneider</t>
  </si>
  <si>
    <t>pamsch2@sfsu.edu</t>
  </si>
  <si>
    <t>Cynthia Losinski</t>
  </si>
  <si>
    <t>cynthial@sfsu.edu</t>
  </si>
  <si>
    <t>Kat Brown</t>
  </si>
  <si>
    <t>katbrown@sfsu.edu</t>
  </si>
  <si>
    <t>Jana Parker</t>
  </si>
  <si>
    <t>janaparker@sfsu.edu</t>
  </si>
  <si>
    <t>Lewis Kawahara</t>
  </si>
  <si>
    <t>lkawahara2017@sfsu.edu</t>
  </si>
  <si>
    <t>Lara Kiswani</t>
  </si>
  <si>
    <t>kiswani@sfsu.edu</t>
  </si>
  <si>
    <t>Michelle French</t>
  </si>
  <si>
    <t>mfrench1@sfsu.edu</t>
  </si>
  <si>
    <t>Stephen Ingalls</t>
  </si>
  <si>
    <t>singalls@sfsu.edu</t>
  </si>
  <si>
    <t>Andrea Taylor</t>
  </si>
  <si>
    <t>alt@sfsu.edu</t>
  </si>
  <si>
    <t>Ruth Donig-White</t>
  </si>
  <si>
    <t>rdwhite@sfsu.edu</t>
  </si>
  <si>
    <t>Oneida Chi</t>
  </si>
  <si>
    <t>oneidac@sfsu.edu</t>
  </si>
  <si>
    <t>Susana Leong</t>
  </si>
  <si>
    <t>leong@sfsu.edu</t>
  </si>
  <si>
    <t>Sandra Fitzgerald</t>
  </si>
  <si>
    <t>sfitz@sfsu.edu</t>
  </si>
  <si>
    <t>Kamaria Rutland</t>
  </si>
  <si>
    <t>krutland@mail.sfsu.edu</t>
  </si>
  <si>
    <t>Vernon Piccinotti</t>
  </si>
  <si>
    <t>vip@sfsu.edu</t>
  </si>
  <si>
    <t>Arash Farahmand</t>
  </si>
  <si>
    <t>arash86@sfsu.edu</t>
  </si>
  <si>
    <t>Phill Armstrong</t>
  </si>
  <si>
    <t>parmstro@sfsu.edu</t>
  </si>
  <si>
    <t>Tae Furuse</t>
  </si>
  <si>
    <t>tfuruse@sfsu.edu</t>
  </si>
  <si>
    <t>Kristin Tavernetti</t>
  </si>
  <si>
    <t>kmt@sfsu.edu</t>
  </si>
  <si>
    <t>Nestor Regino</t>
  </si>
  <si>
    <t>nregino@sfsu.edu</t>
  </si>
  <si>
    <t>Suzanne Pullen</t>
  </si>
  <si>
    <t>spullen@sfsu.edu</t>
  </si>
  <si>
    <t>Stephanie Trujillo</t>
  </si>
  <si>
    <t>steph.trujillo@gmail.com</t>
  </si>
  <si>
    <t>Rochon Perry</t>
  </si>
  <si>
    <t>rperry2@sfsu.edu</t>
  </si>
  <si>
    <t>Anthony Santa-Ana</t>
  </si>
  <si>
    <t>santaana@sfsu.edu</t>
  </si>
  <si>
    <t>Enrique Avalos</t>
  </si>
  <si>
    <t>eavalos2@sfsu.edu</t>
  </si>
  <si>
    <t>David Lynn</t>
  </si>
  <si>
    <t>djl@sfsu.edu</t>
  </si>
  <si>
    <t>Laila Adle</t>
  </si>
  <si>
    <t>ladle@sfsu.edu</t>
  </si>
  <si>
    <t>Jeanette Barraco</t>
  </si>
  <si>
    <t>jebarraco@sfsu.edu</t>
  </si>
  <si>
    <t>Chanel Daniels</t>
  </si>
  <si>
    <t>cocochanel@gmail.com</t>
  </si>
  <si>
    <t>Melanie Summers</t>
  </si>
  <si>
    <t>melsum@sfsu.edu</t>
  </si>
  <si>
    <t>Lee Staub</t>
  </si>
  <si>
    <t>lstaub@mail.sfsu.edu</t>
  </si>
  <si>
    <t>Vincent Matthews</t>
  </si>
  <si>
    <t>vincentm@mail.sfsu.edu</t>
  </si>
  <si>
    <t>Nan Alamilla Boyd</t>
  </si>
  <si>
    <t>alamilla@sfsu.edu</t>
  </si>
  <si>
    <t>Karen Crow</t>
  </si>
  <si>
    <t>crow@sfsu.edu</t>
  </si>
  <si>
    <t>Barry Kuhn</t>
  </si>
  <si>
    <t>kbkuhn@sfsu.edu</t>
  </si>
  <si>
    <t>Arturo Arrieta</t>
  </si>
  <si>
    <t>aarrieta@sfsu.edu</t>
  </si>
  <si>
    <t>Gloria Moran</t>
  </si>
  <si>
    <t>gmgmoran@sfsu.edu</t>
  </si>
  <si>
    <t>Tina Bartolome</t>
  </si>
  <si>
    <t>kbartolome@sfsu.edu</t>
  </si>
  <si>
    <t>Sarah Jimenez</t>
  </si>
  <si>
    <t>sarahjim@sfsu.edu</t>
  </si>
  <si>
    <t>Tania Pollak</t>
  </si>
  <si>
    <t>tnpollak@mail.sfsu.edu</t>
  </si>
  <si>
    <t>Angela Meeker</t>
  </si>
  <si>
    <t>ameeker@mail.sfsu.edu</t>
  </si>
  <si>
    <t>Reuben Zellman</t>
  </si>
  <si>
    <t>reubenz@sfsu.edu</t>
  </si>
  <si>
    <t>David Olsher</t>
  </si>
  <si>
    <t>olsher@sfsu.edu</t>
  </si>
  <si>
    <t>Monique Comacchio</t>
  </si>
  <si>
    <t>mcomacch@sfsu.edu</t>
  </si>
  <si>
    <t>Frank Robaina</t>
  </si>
  <si>
    <t>frobaina@sfsu.edu</t>
  </si>
  <si>
    <t>Victoria Giari</t>
  </si>
  <si>
    <t>vgiari@sfsu.edu</t>
  </si>
  <si>
    <t>Regina Truong</t>
  </si>
  <si>
    <t>rtruong@sfsu.edu</t>
  </si>
  <si>
    <t>Nancy Martin</t>
  </si>
  <si>
    <t>nmarti10@mail.sfsu.edu</t>
  </si>
  <si>
    <t>Steven Ford</t>
  </si>
  <si>
    <t>steveford@sfsu.edu</t>
  </si>
  <si>
    <t>Betty Yu</t>
  </si>
  <si>
    <t>bettyyu@sfsu.edu</t>
  </si>
  <si>
    <t>Kristen Vargas</t>
  </si>
  <si>
    <t>krisvargas@sfsu.edu</t>
  </si>
  <si>
    <t>Michael McCaffrey</t>
  </si>
  <si>
    <t>emichael@sfsu.edu</t>
  </si>
  <si>
    <t>Lanhuong Nguyen</t>
  </si>
  <si>
    <t>lannguyen@sfsu.edu</t>
  </si>
  <si>
    <t>Cynthia Martinez</t>
  </si>
  <si>
    <t>cmartinez42@sfsu.edu</t>
  </si>
  <si>
    <t>Francisco  Castillo</t>
  </si>
  <si>
    <t>foc@sfsu.edu</t>
  </si>
  <si>
    <t>Maya Greenberg</t>
  </si>
  <si>
    <t>mayadg@sfsu.edu</t>
  </si>
  <si>
    <t>Carrie Hechtman</t>
  </si>
  <si>
    <t>chechtman@sfsu.edu</t>
  </si>
  <si>
    <t>John Ryan</t>
  </si>
  <si>
    <t>jbr@sfsu.edu</t>
  </si>
  <si>
    <t>Albert Schendan</t>
  </si>
  <si>
    <t>schendan@sfsu.edu</t>
  </si>
  <si>
    <t>Julie DeVere</t>
  </si>
  <si>
    <t>jbly@sfsu.edu</t>
  </si>
  <si>
    <t>Kristin Dempsey</t>
  </si>
  <si>
    <t>kdempsey@sfsu.edu</t>
  </si>
  <si>
    <t>Eugene Gambol</t>
  </si>
  <si>
    <t>egambol@sfsu.edu</t>
  </si>
  <si>
    <t>Candace Low</t>
  </si>
  <si>
    <t>clowsf@sfsu.edu</t>
  </si>
  <si>
    <t>Christine Nevarez</t>
  </si>
  <si>
    <t>cnevarez@sfsu.edu</t>
  </si>
  <si>
    <t>Leslie Tinson</t>
  </si>
  <si>
    <t>ltinson@sfsu.edu</t>
  </si>
  <si>
    <t>Christopher Fiene</t>
  </si>
  <si>
    <t>fiene@sfsu.edu</t>
  </si>
  <si>
    <t>Rosemary Orozco</t>
  </si>
  <si>
    <t>rosemaryorozco@sfsu.edu</t>
  </si>
  <si>
    <t>Natasha V.</t>
  </si>
  <si>
    <t>vnatasha@sfsu.edu</t>
  </si>
  <si>
    <t>Elisa Magidoff</t>
  </si>
  <si>
    <t>emagidoff@sfsu.edu</t>
  </si>
  <si>
    <t>Leanne Francis</t>
  </si>
  <si>
    <t>lmfrancis@sfsu.edu</t>
  </si>
  <si>
    <t>Luvy Vanegas-Grimaud</t>
  </si>
  <si>
    <t>lvanegas@sfsu.edu</t>
  </si>
  <si>
    <t>Jennifer Villarreal</t>
  </si>
  <si>
    <t>jrosev@sfsu.edu</t>
  </si>
  <si>
    <t>Charles Waterman</t>
  </si>
  <si>
    <t>cwaterman@mail.sfsu.edu</t>
  </si>
  <si>
    <t>Jack Love</t>
  </si>
  <si>
    <t>jlove@mail.sfsu.edu</t>
  </si>
  <si>
    <t>Cristina Zuniga</t>
  </si>
  <si>
    <t>mzuniga4@sfsu.edu</t>
  </si>
  <si>
    <t>Lucas Metcalf-Tobin</t>
  </si>
  <si>
    <t>tobin@sfsu.edu</t>
  </si>
  <si>
    <t>Rosemarie Le Francois</t>
  </si>
  <si>
    <t>rlefrancois7@sfsu.edu</t>
  </si>
  <si>
    <t>Linda M. Platas</t>
  </si>
  <si>
    <t>lplatas@sfsu.edu</t>
  </si>
  <si>
    <t>Trevor Myers</t>
  </si>
  <si>
    <t>myerst@sfsu.edu</t>
  </si>
  <si>
    <t>Ricka White-Soso</t>
  </si>
  <si>
    <t>rwhitesoso@sfsu.edu</t>
  </si>
  <si>
    <t>Jesse Garnier</t>
  </si>
  <si>
    <t>jgarnier@sfsu.edu</t>
  </si>
  <si>
    <t>Cristina Flores</t>
  </si>
  <si>
    <t>cfrn@sfsu.edu</t>
  </si>
  <si>
    <t>David Foulds</t>
  </si>
  <si>
    <t>dwfoulds@mail.sfsu.edu</t>
  </si>
  <si>
    <t>John Allan Penacerrada</t>
  </si>
  <si>
    <t>jpen@sfsu.edu</t>
  </si>
  <si>
    <t>Jennifer Zesati</t>
  </si>
  <si>
    <t>jhzesati@sfsu.edu</t>
  </si>
  <si>
    <t>Athens Kolias</t>
  </si>
  <si>
    <t>athensk@sfsu.edu</t>
  </si>
  <si>
    <t>Luis Francisco Cardona</t>
  </si>
  <si>
    <t>fcardona@mail.sfsu.edu</t>
  </si>
  <si>
    <t>Marissa Chew</t>
  </si>
  <si>
    <t>machew@sfsu.edu</t>
  </si>
  <si>
    <t>Andrew Joron</t>
  </si>
  <si>
    <t>ajoron@sfsu.edu</t>
  </si>
  <si>
    <t>Alyson Vigh</t>
  </si>
  <si>
    <t>avigh1@sfsu.edu</t>
  </si>
  <si>
    <t>Diana Cage</t>
  </si>
  <si>
    <t>dianacage@sfsu.edu</t>
  </si>
  <si>
    <t>James Callaghan</t>
  </si>
  <si>
    <t>jcalli@sfsu.edu</t>
  </si>
  <si>
    <t>aa valdivia</t>
  </si>
  <si>
    <t>aavaldivia@sfsu.edu</t>
  </si>
  <si>
    <t>John Ulloa</t>
  </si>
  <si>
    <t>julloa@sfsu.edu</t>
  </si>
  <si>
    <t>Joseph Musallam</t>
  </si>
  <si>
    <t>musallam@sfsu.edu</t>
  </si>
  <si>
    <t>Lauren Sneed</t>
  </si>
  <si>
    <t>laurensneed@sfsu.edu</t>
  </si>
  <si>
    <t>Larry Vitale</t>
  </si>
  <si>
    <t>vitale@sfsu.edu</t>
  </si>
  <si>
    <t>Patricia Sullivan</t>
  </si>
  <si>
    <t>psulliva@sfsu.edu</t>
  </si>
  <si>
    <t>Edwardo Madril</t>
  </si>
  <si>
    <t>emadril@sfsu.edu</t>
  </si>
  <si>
    <t>Connie Carranza</t>
  </si>
  <si>
    <t>ccarranz@sfsu.edu</t>
  </si>
  <si>
    <t>Lynn Sudhivarakom</t>
  </si>
  <si>
    <t>lynns@sfsu.edu</t>
  </si>
  <si>
    <t>Kent Lau</t>
  </si>
  <si>
    <t>kentlau@sfsu.edu</t>
  </si>
  <si>
    <t>Kristine Salvoni</t>
  </si>
  <si>
    <t>ksalvoni@sfsu.edu</t>
  </si>
  <si>
    <t>Lizbeth Barclay</t>
  </si>
  <si>
    <t>lbarclay@mail.sfsu.edu</t>
  </si>
  <si>
    <t>Mona Abdoun</t>
  </si>
  <si>
    <t>mabdoun@sfsu.edu</t>
  </si>
  <si>
    <t>Sharon Sacks</t>
  </si>
  <si>
    <t>ssacks1351@sfsu.edu</t>
  </si>
  <si>
    <t>Miles Henriksen</t>
  </si>
  <si>
    <t>mchenrik@mail.sfsu.edu</t>
  </si>
  <si>
    <t>Jorge Low</t>
  </si>
  <si>
    <t>jlow888@sfsu.edu</t>
  </si>
  <si>
    <t>Philip Baskin</t>
  </si>
  <si>
    <t>baskin@sfsu.edu</t>
  </si>
  <si>
    <t>Irina Okhremtchouk</t>
  </si>
  <si>
    <t>irinao@sfsu.edu</t>
  </si>
  <si>
    <t>Sandra Vaughn</t>
  </si>
  <si>
    <t>svaughn@sfsu.edu</t>
  </si>
  <si>
    <t>Sean Chandler</t>
  </si>
  <si>
    <t>schandle@mail.sfsu.edu</t>
  </si>
  <si>
    <t>Sarah Cox</t>
  </si>
  <si>
    <t>sacox@sfsu.edu</t>
  </si>
  <si>
    <t>Therese Doan</t>
  </si>
  <si>
    <t>jungdoan@sfsu.edu</t>
  </si>
  <si>
    <t>Yvonne Bui</t>
  </si>
  <si>
    <t>ybui@sfsu.edu</t>
  </si>
  <si>
    <t>French Yarbrough</t>
  </si>
  <si>
    <t>cfy@sfsu.edu</t>
  </si>
  <si>
    <t>Rozan Soleimani</t>
  </si>
  <si>
    <t>rozan@sfsu.edu</t>
  </si>
  <si>
    <t>T Albiniak</t>
  </si>
  <si>
    <t>albiniak@sfsu.edu</t>
  </si>
  <si>
    <t>Charlene Del Muro</t>
  </si>
  <si>
    <t>cdelmuro@sfsu.edu</t>
  </si>
  <si>
    <t>Alex Munguia</t>
  </si>
  <si>
    <t>amguia@sfsu.edu</t>
  </si>
  <si>
    <t>Ulash Thakore-Dunlap</t>
  </si>
  <si>
    <t>udunlap@sfsu.edu</t>
  </si>
  <si>
    <t>Yasalde Jimenez Acosta</t>
  </si>
  <si>
    <t>yasalde@sfsu.edu</t>
  </si>
  <si>
    <t>Jean-Louis Etoga</t>
  </si>
  <si>
    <t>jetoga@sfsu.edu</t>
  </si>
  <si>
    <t>Dawn Williams</t>
  </si>
  <si>
    <t>dawnw@sfsu.edu</t>
  </si>
  <si>
    <t>Maggie Frankel</t>
  </si>
  <si>
    <t>mfrankel@mail.sfsu.edu</t>
  </si>
  <si>
    <t>Dr Edwin Cabigao</t>
  </si>
  <si>
    <t>edwinc@sfsu.edu</t>
  </si>
  <si>
    <t>Amanda Preston</t>
  </si>
  <si>
    <t>apreston5678@sfsu.edu</t>
  </si>
  <si>
    <t>Kyle Livie</t>
  </si>
  <si>
    <t>klivie@sfsu.edu</t>
  </si>
  <si>
    <t>Christopher Salcedo</t>
  </si>
  <si>
    <t>csalcedo@sfsu.edu</t>
  </si>
  <si>
    <t>Jessica Fielder</t>
  </si>
  <si>
    <t>jfielder@sfsu.edu</t>
  </si>
  <si>
    <t>Glenda Ortez-Galan</t>
  </si>
  <si>
    <t>gortezgalan@sfsu.edu</t>
  </si>
  <si>
    <t>Ashley Burciaga</t>
  </si>
  <si>
    <t>burciaga@mail.sfsu.edu</t>
  </si>
  <si>
    <t>H. Saray</t>
  </si>
  <si>
    <t>rsaray@sfsu.edu</t>
  </si>
  <si>
    <t>Kathleen Arnolfo</t>
  </si>
  <si>
    <t>karnolfo@sfsu.edu</t>
  </si>
  <si>
    <t>Khalid Obeid</t>
  </si>
  <si>
    <t>kyobeid@sfsu.edu</t>
  </si>
  <si>
    <t>Celeste Rivera</t>
  </si>
  <si>
    <t>rivera@sfsu.edu</t>
  </si>
  <si>
    <t>April Phung</t>
  </si>
  <si>
    <t>wang@sfsu.edu</t>
  </si>
  <si>
    <t>Danielle Horcabas</t>
  </si>
  <si>
    <t>dphl@sfsu.edu</t>
  </si>
  <si>
    <t>Charles O'Sullivan</t>
  </si>
  <si>
    <t>chsoney@sfsu.edu</t>
  </si>
  <si>
    <t>Seth Hiatt</t>
  </si>
  <si>
    <t>shiatt@sfsu.edu</t>
  </si>
  <si>
    <t>Yulia Matyssik</t>
  </si>
  <si>
    <t>matyssik@sfsu.edu</t>
  </si>
  <si>
    <t>Erica Hogle</t>
  </si>
  <si>
    <t>ehogle@sfsu.edu</t>
  </si>
  <si>
    <t>Devi Ariani Ruslani</t>
  </si>
  <si>
    <t>druslani@sfsu.edu</t>
  </si>
  <si>
    <t>Michael McCourt</t>
  </si>
  <si>
    <t>mmcourt@sfsu.edu</t>
  </si>
  <si>
    <t>Gregory Sugajski</t>
  </si>
  <si>
    <t>sugajskig@sfsu.edu</t>
  </si>
  <si>
    <t>Joseph Ramahi</t>
  </si>
  <si>
    <t>jsramahi@sfsu.edu</t>
  </si>
  <si>
    <t>Benjamin Kumli</t>
  </si>
  <si>
    <t>benkumli@sfsu.edu</t>
  </si>
  <si>
    <t>Kathleen Mortier</t>
  </si>
  <si>
    <t>kmortier@sfsu.edu</t>
  </si>
  <si>
    <t>Jonathan Song</t>
  </si>
  <si>
    <t>jjs5151@sfsu.edu</t>
  </si>
  <si>
    <t>Elsa Huerta</t>
  </si>
  <si>
    <t>elsa13@sfsu.edu</t>
  </si>
  <si>
    <t>Joseph Conaghan</t>
  </si>
  <si>
    <t>conaghan@sfsu.edu</t>
  </si>
  <si>
    <t>Noortan Hatifi</t>
  </si>
  <si>
    <t>nortan@sfsu.edu</t>
  </si>
  <si>
    <t>Lisa Vallin</t>
  </si>
  <si>
    <t>vallin@sfsu.edu</t>
  </si>
  <si>
    <t>Michelle Fortunado-Kewin</t>
  </si>
  <si>
    <t>mfortunadokewin@sfsu.edu</t>
  </si>
  <si>
    <t>Corinne Chen</t>
  </si>
  <si>
    <t>chenc@sfsu.edu</t>
  </si>
  <si>
    <t>Jennifer Rhodes</t>
  </si>
  <si>
    <t>jenn_rhodes@yahoo.com</t>
  </si>
  <si>
    <t>Yoko Toriyabe</t>
  </si>
  <si>
    <t>toriyabe@sfsu.edu</t>
  </si>
  <si>
    <t>Emily Yu Ting Yu</t>
  </si>
  <si>
    <t>yukiyu@sfsu.edu</t>
  </si>
  <si>
    <t>Ana Maria Barrera</t>
  </si>
  <si>
    <t>abarrera@sfsu.edu</t>
  </si>
  <si>
    <t>Elizabeth Paniagua</t>
  </si>
  <si>
    <t>epaniagua@sfsu.edu</t>
  </si>
  <si>
    <t>Amarjit Kaur</t>
  </si>
  <si>
    <t>ajkaur@sfsu.edu</t>
  </si>
  <si>
    <t>Meeta Rani Jha</t>
  </si>
  <si>
    <t>mrjha@sfsu.edu</t>
  </si>
  <si>
    <t>Harumi Oishi</t>
  </si>
  <si>
    <t>oishi@mail.sfsu.edu</t>
  </si>
  <si>
    <t>Charles Van</t>
  </si>
  <si>
    <t>ccvan@sfsu.edu</t>
  </si>
  <si>
    <t>Cristian Alvarado</t>
  </si>
  <si>
    <t>calv@sfsu.edu</t>
  </si>
  <si>
    <t>Ivana Markova</t>
  </si>
  <si>
    <t>ivanam@sfsu.edu</t>
  </si>
  <si>
    <t>Sarah George</t>
  </si>
  <si>
    <t>sarahkathryn53@gmail.com</t>
  </si>
  <si>
    <t>Yuliana Diestel</t>
  </si>
  <si>
    <t>ysuherma@sfsu.edu</t>
  </si>
  <si>
    <t>Ja Ronn Thompson</t>
  </si>
  <si>
    <t>jaronn@mail.sfsu.edu</t>
  </si>
  <si>
    <t>Mark Shrayber</t>
  </si>
  <si>
    <t>mshraybe@sfsu.edu</t>
  </si>
  <si>
    <t>Norman Lo</t>
  </si>
  <si>
    <t>lokman@mail.sfsu.edu</t>
  </si>
  <si>
    <t>Carey Martin</t>
  </si>
  <si>
    <t>careym@sfsu.edu</t>
  </si>
  <si>
    <t>Ricardo Angeles</t>
  </si>
  <si>
    <t>angelesr@sfsu.edu</t>
  </si>
  <si>
    <t>Marta Riesen</t>
  </si>
  <si>
    <t>mriesen@sfsu.edu</t>
  </si>
  <si>
    <t>Valerie Francisco-Menchavez</t>
  </si>
  <si>
    <t>vfm@sfsu.edu</t>
  </si>
  <si>
    <t>E Brown</t>
  </si>
  <si>
    <t>eabrown@sfsu.edu</t>
  </si>
  <si>
    <t>Johana Duarte</t>
  </si>
  <si>
    <t>jduart@sfsu.edu</t>
  </si>
  <si>
    <t>Marianne Papa</t>
  </si>
  <si>
    <t>mmango@sfsu.edu</t>
  </si>
  <si>
    <t>Aimee Riechel</t>
  </si>
  <si>
    <t>ariechel@sfsu.edu</t>
  </si>
  <si>
    <t>Henry Villar</t>
  </si>
  <si>
    <t>jvillar@mail.sfsu.edu</t>
  </si>
  <si>
    <t>Erin Blakely</t>
  </si>
  <si>
    <t>emblakely@sfsu.edu</t>
  </si>
  <si>
    <t>Christopher Washington</t>
  </si>
  <si>
    <t>cjw@mail.sfsu.edu</t>
  </si>
  <si>
    <t>Stephanie Wells</t>
  </si>
  <si>
    <t>swells939@gmail.com</t>
  </si>
  <si>
    <t>Donovan Ramos</t>
  </si>
  <si>
    <t>dramos@sfsu.edu</t>
  </si>
  <si>
    <t>Karun Mehta</t>
  </si>
  <si>
    <t>kmehta@sfsu.edu</t>
  </si>
  <si>
    <t>Nawar Taleb-Agha</t>
  </si>
  <si>
    <t>nawarta@gmail.com</t>
  </si>
  <si>
    <t>Evra Baldinger</t>
  </si>
  <si>
    <t>evrabaldinger@sfsu.edu</t>
  </si>
  <si>
    <t>Carlo Delgadillo</t>
  </si>
  <si>
    <t>delgadilloc@sfsu.edu</t>
  </si>
  <si>
    <t>Amy Skonieczny</t>
  </si>
  <si>
    <t>askonie@sfsu.edu</t>
  </si>
  <si>
    <t>Felicia Viator</t>
  </si>
  <si>
    <t>fviator@sfsu.edu</t>
  </si>
  <si>
    <t>Roger Dang</t>
  </si>
  <si>
    <t>rogerd@sfsu.edu</t>
  </si>
  <si>
    <t>Stacie Guan</t>
  </si>
  <si>
    <t>syguan@sfsu.edu</t>
  </si>
  <si>
    <t>Ashley Larson</t>
  </si>
  <si>
    <t>alarson5@sfsu.edu</t>
  </si>
  <si>
    <t>Claudia Lodia</t>
  </si>
  <si>
    <t>clodia@sfsu.edu</t>
  </si>
  <si>
    <t>Concepcion Fayos</t>
  </si>
  <si>
    <t>conchita@sfsu.edu</t>
  </si>
  <si>
    <t>Giles Feinberg</t>
  </si>
  <si>
    <t>naptron@mail.sfsu.edu</t>
  </si>
  <si>
    <t>Emily Beitiks</t>
  </si>
  <si>
    <t>beitiks@sfsu.edu</t>
  </si>
  <si>
    <t>Jenna Wong</t>
  </si>
  <si>
    <t>jewong@sfsu.edu</t>
  </si>
  <si>
    <t>Paul Wangsvick</t>
  </si>
  <si>
    <t>paulwangsvick@sfsu.edu</t>
  </si>
  <si>
    <t>Jaime Chaves</t>
  </si>
  <si>
    <t>jachaves@sfsu.edu</t>
  </si>
  <si>
    <t>Violeta Murrieta</t>
  </si>
  <si>
    <t>vmurrieta@sfsu.edu</t>
  </si>
  <si>
    <t>Daniel Ciomek</t>
  </si>
  <si>
    <t>dciomek@sfsu.edu</t>
  </si>
  <si>
    <t>Eric Lewis</t>
  </si>
  <si>
    <t>elewis3@sfsu.edu</t>
  </si>
  <si>
    <t>Mimi Sheiner</t>
  </si>
  <si>
    <t>msheiner@sfsu.edu</t>
  </si>
  <si>
    <t>Jeff Duncan-Andrade</t>
  </si>
  <si>
    <t>jandrade@sfsu.edu</t>
  </si>
  <si>
    <t>Ed Cheng</t>
  </si>
  <si>
    <t>ascheng@sfsu.edu</t>
  </si>
  <si>
    <t>Antwi Akom</t>
  </si>
  <si>
    <t>akom@sfsu.edu</t>
  </si>
  <si>
    <t>Shawn Ginwright</t>
  </si>
  <si>
    <t>shawng@sfsu.edu</t>
  </si>
  <si>
    <t>Sara Hackenberg</t>
  </si>
  <si>
    <t>shackenb@sfsu.edu</t>
  </si>
  <si>
    <t>Michael Maxwell</t>
  </si>
  <si>
    <t>mmaxwell@sfsu.edu</t>
  </si>
  <si>
    <t>Kenneth Paap</t>
  </si>
  <si>
    <t>kenp@sfsu.edu</t>
  </si>
  <si>
    <t>Matthias Beck</t>
  </si>
  <si>
    <t>mattbeck@sfsu.edu</t>
  </si>
  <si>
    <t>Stanley Pogrow</t>
  </si>
  <si>
    <t>spogrow@sfsu.edu</t>
  </si>
  <si>
    <t>Florence Bhatnagar</t>
  </si>
  <si>
    <t>umabhatn@sfsu.edu</t>
  </si>
  <si>
    <t>Gail Baugh</t>
  </si>
  <si>
    <t>gailbaugh@sfsu.edu</t>
  </si>
  <si>
    <t>Alexander Feliciano Mejia</t>
  </si>
  <si>
    <t>afmejia@sfsu.edu</t>
  </si>
  <si>
    <t>Andrew Corpuz</t>
  </si>
  <si>
    <t>corpuza@sfsu.edu</t>
  </si>
  <si>
    <t>Andrew Velazquez</t>
  </si>
  <si>
    <t>akv@sfsu.edu</t>
  </si>
  <si>
    <t>Margo Seely</t>
  </si>
  <si>
    <t>mseely@sfsu.edu</t>
  </si>
  <si>
    <t>Seth Chabay</t>
  </si>
  <si>
    <t>sgc@sfsu.edu</t>
  </si>
  <si>
    <t>Cathy Samayoa</t>
  </si>
  <si>
    <t>csamayoa@sfsu.edu</t>
  </si>
  <si>
    <t>William Jenkins</t>
  </si>
  <si>
    <t>wjenkins@sfsu.edu</t>
  </si>
  <si>
    <t>Theresa Jaramillo</t>
  </si>
  <si>
    <t>tjaramil@sfsu.edu</t>
  </si>
  <si>
    <t>Monique Aas</t>
  </si>
  <si>
    <t>moniqueaas@sfsu.edu</t>
  </si>
  <si>
    <t>Elizabeth Musgrove</t>
  </si>
  <si>
    <t>epost@sfsu.edu</t>
  </si>
  <si>
    <t>Kali Davis</t>
  </si>
  <si>
    <t>dakali@mail.sfsu.edu</t>
  </si>
  <si>
    <t>Angela Tejeda</t>
  </si>
  <si>
    <t>angelatejeda@sfsu.edu</t>
  </si>
  <si>
    <t>Polin Yadak</t>
  </si>
  <si>
    <t>poliny@sfsu.edu</t>
  </si>
  <si>
    <t>Irene Nolan</t>
  </si>
  <si>
    <t>inolan@mail.sfsu.edu</t>
  </si>
  <si>
    <t>Shamont Hussey</t>
  </si>
  <si>
    <t>shussey@sfsu.edu</t>
  </si>
  <si>
    <t>Qing Deng</t>
  </si>
  <si>
    <t>duncand@sfsu.edu</t>
  </si>
  <si>
    <t>Vincent Lam</t>
  </si>
  <si>
    <t>vlam@sfsu.edu</t>
  </si>
  <si>
    <t>Debra Bartlett</t>
  </si>
  <si>
    <t>debrabartlett@sfsu.edu</t>
  </si>
  <si>
    <t>Jenna French</t>
  </si>
  <si>
    <t>jfrench@sfsu.edu</t>
  </si>
  <si>
    <t>Mary Gomez</t>
  </si>
  <si>
    <t>marygomez@sfsu.edu</t>
  </si>
  <si>
    <t>Violeta Grigorescu</t>
  </si>
  <si>
    <t>vgrigore@sfsu.edu</t>
  </si>
  <si>
    <t>George Turner</t>
  </si>
  <si>
    <t>grt@sfsu.edu</t>
  </si>
  <si>
    <t>Avni Panchal</t>
  </si>
  <si>
    <t>avnipanchal@sfsu.edu</t>
  </si>
  <si>
    <t>Ashley Aaron</t>
  </si>
  <si>
    <t>aaaronw@sfsu.edu</t>
  </si>
  <si>
    <t>Tien Le</t>
  </si>
  <si>
    <t>tkevinle@sfsu.edu</t>
  </si>
  <si>
    <t>Marina Grigoriant</t>
  </si>
  <si>
    <t>mgrigori@sfsu.edu</t>
  </si>
  <si>
    <t>Andrew Heitman</t>
  </si>
  <si>
    <t>aheitman@sfsu.edu</t>
  </si>
  <si>
    <t>Nanette Davy</t>
  </si>
  <si>
    <t>nanette@sfsu.edu</t>
  </si>
  <si>
    <t>Jacquelin  Bader Husary</t>
  </si>
  <si>
    <t>jhusary@sfsu.edu</t>
  </si>
  <si>
    <t>Meghann Dubie</t>
  </si>
  <si>
    <t>mdubie@sfsu.edu</t>
  </si>
  <si>
    <t>Danae Martinez</t>
  </si>
  <si>
    <t>danaem@mail.sfsu.edu</t>
  </si>
  <si>
    <t>Kathleen O'Rourke</t>
  </si>
  <si>
    <t>kso@sfsu.edu</t>
  </si>
  <si>
    <t>John Viola</t>
  </si>
  <si>
    <t>jviola@sfsu.edu</t>
  </si>
  <si>
    <t>Duc Ta</t>
  </si>
  <si>
    <t>dta@sfsu.edu</t>
  </si>
  <si>
    <t>Annie Laurie Norris</t>
  </si>
  <si>
    <t>alnorris@sfsu.edu</t>
  </si>
  <si>
    <t>Juliane Perez</t>
  </si>
  <si>
    <t>jvperez@sfsu.edu</t>
  </si>
  <si>
    <t>Raymond San Diego</t>
  </si>
  <si>
    <t>rayray@sfsu.edu</t>
  </si>
  <si>
    <t>Doris Fendt</t>
  </si>
  <si>
    <t>dfendt@sfsu.edu</t>
  </si>
  <si>
    <t>Shasta Ihorn</t>
  </si>
  <si>
    <t>sihorn@sfsu.edu</t>
  </si>
  <si>
    <t>Lisa Takeyama</t>
  </si>
  <si>
    <t>takeyama@sfsu.edu</t>
  </si>
  <si>
    <t>Cathy Rath</t>
  </si>
  <si>
    <t>crath@sfsu.edu</t>
  </si>
  <si>
    <t>Kristin Agius</t>
  </si>
  <si>
    <t>kla@sfsu.edu</t>
  </si>
  <si>
    <t>Nasser Jalali</t>
  </si>
  <si>
    <t>njalali@sfsu.edu</t>
  </si>
  <si>
    <t>Amar-Thomas Casey</t>
  </si>
  <si>
    <t>tcasey@sfsu.edu</t>
  </si>
  <si>
    <t>Claudia Guedes</t>
  </si>
  <si>
    <t>cguedes@sfsu.edu</t>
  </si>
  <si>
    <t>Michael Sudduth</t>
  </si>
  <si>
    <t>msudduth@sfsu.edu</t>
  </si>
  <si>
    <t>Collin Ludlow-Mattson</t>
  </si>
  <si>
    <t>cludlow@sfsu.edu</t>
  </si>
  <si>
    <t>Lance Dwyer</t>
  </si>
  <si>
    <t>ldwyer@sfsu.edu</t>
  </si>
  <si>
    <t>Jonathan Jacklitch</t>
  </si>
  <si>
    <t>jonjack@sfsu.edu</t>
  </si>
  <si>
    <t>Jennifer Kammeyer</t>
  </si>
  <si>
    <t>kammeyer@sfsu.edu</t>
  </si>
  <si>
    <t>Kimberly Seashore</t>
  </si>
  <si>
    <t>kimseash@sfsu.edu</t>
  </si>
  <si>
    <t>Jessica Belluomini</t>
  </si>
  <si>
    <t>belluominij@sfsu.edu</t>
  </si>
  <si>
    <t>Antoine De Fridman</t>
  </si>
  <si>
    <t>anto108@sfsu.edu</t>
  </si>
  <si>
    <t>Kristen McGraw</t>
  </si>
  <si>
    <t>kristen@sfsu.edu</t>
  </si>
  <si>
    <t>S Khanmohamadi</t>
  </si>
  <si>
    <t>shirin1@sfsu.edu</t>
  </si>
  <si>
    <t>Neil Lindeman</t>
  </si>
  <si>
    <t>lindeman@sfsu.edu</t>
  </si>
  <si>
    <t>Blake Respini</t>
  </si>
  <si>
    <t>brespini@sfsu.edu</t>
  </si>
  <si>
    <t>Carlos Martinez</t>
  </si>
  <si>
    <t>carlos26@sfsu.edu</t>
  </si>
  <si>
    <t>Maricel Santos</t>
  </si>
  <si>
    <t>mgsantos@sfsu.edu</t>
  </si>
  <si>
    <t>Catriona Esquibel</t>
  </si>
  <si>
    <t>ktrion@sfsu.edu</t>
  </si>
  <si>
    <t>Jonathon Stillman</t>
  </si>
  <si>
    <t>stillmaj@sfsu.edu</t>
  </si>
  <si>
    <t>Jamie Lindsay</t>
  </si>
  <si>
    <t>jamielin@mail.sfsu.edu</t>
  </si>
  <si>
    <t>Ming Li</t>
  </si>
  <si>
    <t>mingli@sfsu.edu</t>
  </si>
  <si>
    <t>Patrick Smith</t>
  </si>
  <si>
    <t>pbsmith@sfsu.edu</t>
  </si>
  <si>
    <t>Raquel Miller</t>
  </si>
  <si>
    <t>rmiller4@mail.sfsu.edu</t>
  </si>
  <si>
    <t>Jason Harris-Boundy</t>
  </si>
  <si>
    <t>jchb@sfsu.edu</t>
  </si>
  <si>
    <t>Michael Bar</t>
  </si>
  <si>
    <t>mbar@sfsu.edu</t>
  </si>
  <si>
    <t>Marc Anderson</t>
  </si>
  <si>
    <t>marc@sfsu.edu</t>
  </si>
  <si>
    <t>Pamela Howard</t>
  </si>
  <si>
    <t>pjhoward@sfsu.edu</t>
  </si>
  <si>
    <t>Gretchen George</t>
  </si>
  <si>
    <t>glgeorge@sfsu.edu</t>
  </si>
  <si>
    <t>Alice Sowaal</t>
  </si>
  <si>
    <t>asowaal@sfsu.edu</t>
  </si>
  <si>
    <t>Athena Nazario</t>
  </si>
  <si>
    <t>anazario@sfsu.edu</t>
  </si>
  <si>
    <t>Cyrus Ginwala</t>
  </si>
  <si>
    <t>cginwala@sfsu.edu</t>
  </si>
  <si>
    <t>Fang-yu Chou</t>
  </si>
  <si>
    <t>fchou@sfsu.edu</t>
  </si>
  <si>
    <t>Federico Ardila</t>
  </si>
  <si>
    <t>federico@sfsu.edu</t>
  </si>
  <si>
    <t>Gulnur Tumbat</t>
  </si>
  <si>
    <t>gulnur@sfsu.edu</t>
  </si>
  <si>
    <t>Hamid Mahmoodi</t>
  </si>
  <si>
    <t>mahmoodi@sfsu.edu</t>
  </si>
  <si>
    <t>Sada Soorapanth</t>
  </si>
  <si>
    <t>sada@sfsu.edu</t>
  </si>
  <si>
    <t>Stephanie Sisk-Hilton</t>
  </si>
  <si>
    <t>stephsh@sfsu.edu</t>
  </si>
  <si>
    <t>Theresa Roeder</t>
  </si>
  <si>
    <t>tmroeder@sfsu.edu</t>
  </si>
  <si>
    <t>Adrienne Hill</t>
  </si>
  <si>
    <t>ah@sfsu.edu</t>
  </si>
  <si>
    <t>Tom Lyons</t>
  </si>
  <si>
    <t>tomlyons@sfsu.edu</t>
  </si>
  <si>
    <t>Alex Sanchez</t>
  </si>
  <si>
    <t>alexsan@sfsu.edu</t>
  </si>
  <si>
    <t>Deborah Craig</t>
  </si>
  <si>
    <t>dacraig@sfsu.edu</t>
  </si>
  <si>
    <t>Kim Schwartz</t>
  </si>
  <si>
    <t>ks@sfsu.edu</t>
  </si>
  <si>
    <t>Polly Taylor</t>
  </si>
  <si>
    <t>tanuki@mail.sfsu.edu</t>
  </si>
  <si>
    <t>Jonathan Knight</t>
  </si>
  <si>
    <t>jknight@sfsu.edu</t>
  </si>
  <si>
    <t>Cassandra Bukhin</t>
  </si>
  <si>
    <t>cbukhin@sfsu.edu</t>
  </si>
  <si>
    <t>Ty Robinson</t>
  </si>
  <si>
    <t>tyrob11@sfsu.edu</t>
  </si>
  <si>
    <t>Vanessa Powers</t>
  </si>
  <si>
    <t>vrp@mail.sfsu.edu</t>
  </si>
  <si>
    <t>Daniel Shimabuku</t>
  </si>
  <si>
    <t>dshimabu@sfsu.edu</t>
  </si>
  <si>
    <t>Esther Kawamura</t>
  </si>
  <si>
    <t>esk1915@sfsu.edu</t>
  </si>
  <si>
    <t>Michael Yee</t>
  </si>
  <si>
    <t>mikecyee@mail.sfsu.edu</t>
  </si>
  <si>
    <t>Healy Chen</t>
  </si>
  <si>
    <t>healyc@sfsu.edu</t>
  </si>
  <si>
    <t>Ian Lawrence</t>
  </si>
  <si>
    <t>ikl@sfsu.edu</t>
  </si>
  <si>
    <t>Anika Hosseini</t>
  </si>
  <si>
    <t>ahosseini@sfsu.edu</t>
  </si>
  <si>
    <t>Claire Northall</t>
  </si>
  <si>
    <t>northall@mail.sfsu.edu</t>
  </si>
  <si>
    <t>Elizabeth Diaz</t>
  </si>
  <si>
    <t>lizdiaz@sfsu.edu</t>
  </si>
  <si>
    <t>Benjamin Black</t>
  </si>
  <si>
    <t>bblack@mail.sfsu.edu</t>
  </si>
  <si>
    <t>Dennis Yu</t>
  </si>
  <si>
    <t>hplfs@sfsu.edu</t>
  </si>
  <si>
    <t>Frances Santiago</t>
  </si>
  <si>
    <t>fsantiag@sfsu.edu</t>
  </si>
  <si>
    <t>Gina Nichole Caprari</t>
  </si>
  <si>
    <t>gcaprari@sfsu.edu</t>
  </si>
  <si>
    <t>Sarah Wongking</t>
  </si>
  <si>
    <t>sarahmw@sfsu.edu</t>
  </si>
  <si>
    <t>Julia Custodio</t>
  </si>
  <si>
    <t>custodio@sfsu.edu</t>
  </si>
  <si>
    <t>Chris Trudell</t>
  </si>
  <si>
    <t>trudell@sfsu.edu</t>
  </si>
  <si>
    <t>Kimberly Davalos</t>
  </si>
  <si>
    <t>kdaralos@sfsu.edu</t>
  </si>
  <si>
    <t>Andrew Hom</t>
  </si>
  <si>
    <t>drewhom@mail.sfsu.edu</t>
  </si>
  <si>
    <t>TomÃ¡Å¡ FurmÃ¡nek</t>
  </si>
  <si>
    <t>tomasf@sfsu.edu</t>
  </si>
  <si>
    <t>Amanda Sofia Dangerfield</t>
  </si>
  <si>
    <t>sofiadangerfield@sfsu.edu</t>
  </si>
  <si>
    <t>Kamal Ragbotra</t>
  </si>
  <si>
    <t>kamragz@sfsu.edu</t>
  </si>
  <si>
    <t>Jen Reck</t>
  </si>
  <si>
    <t>jenreck@sfsu.edu</t>
  </si>
  <si>
    <t>Erica Bosque</t>
  </si>
  <si>
    <t>ebosque@sfsu.edu</t>
  </si>
  <si>
    <t>Tolga Akgun</t>
  </si>
  <si>
    <t>takgun@sfsu.edu</t>
  </si>
  <si>
    <t>Tendai Chitewere</t>
  </si>
  <si>
    <t>tendai@sfsu.edu</t>
  </si>
  <si>
    <t>Janelle White</t>
  </si>
  <si>
    <t>jlwhite@sfsu.edu</t>
  </si>
  <si>
    <t>Peter Richardson</t>
  </si>
  <si>
    <t>pkr@sfsu.edu</t>
  </si>
  <si>
    <t>Soumyaa Behrens</t>
  </si>
  <si>
    <t>soumyaa@sfsu.edu</t>
  </si>
  <si>
    <t>Scott Campbell</t>
  </si>
  <si>
    <t>scampbell5@sfsu.edu</t>
  </si>
  <si>
    <t>David Hover</t>
  </si>
  <si>
    <t>dhover@sfsu.edu</t>
  </si>
  <si>
    <t>Erica Kent</t>
  </si>
  <si>
    <t>ekent2@sfsu.edu</t>
  </si>
  <si>
    <t>Graydon Creed</t>
  </si>
  <si>
    <t>gcreed@sfsu.edu</t>
  </si>
  <si>
    <t>Jeanne Digel</t>
  </si>
  <si>
    <t>digel@sfsu.edu</t>
  </si>
  <si>
    <t>Steven Harris</t>
  </si>
  <si>
    <t>smharris@sfsu.edu</t>
  </si>
  <si>
    <t>Hamida Nusrat</t>
  </si>
  <si>
    <t>hnusrat@sfsu.edu</t>
  </si>
  <si>
    <t>Stephanie Zabitz</t>
  </si>
  <si>
    <t>smzabitz@sfsu.edu</t>
  </si>
  <si>
    <t>Carmen Gomez-Mandic</t>
  </si>
  <si>
    <t xml:space="preserve"> cgmandic@sfsu.edu </t>
  </si>
  <si>
    <t>Myra Quadros-Meis</t>
  </si>
  <si>
    <t>quadrosm@sfsu.edu</t>
  </si>
  <si>
    <t>Alissa Anderson</t>
  </si>
  <si>
    <t>abanders@sfsu.edu</t>
  </si>
  <si>
    <t>Graham Bowman</t>
  </si>
  <si>
    <t>gbowman@sfsu.edu</t>
  </si>
  <si>
    <t>Elizabeth Pimentel-Gopal</t>
  </si>
  <si>
    <t>ehpgopal@sfsu.edu</t>
  </si>
  <si>
    <t>David Samuel</t>
  </si>
  <si>
    <t>dsamuel@sfsu.edu</t>
  </si>
  <si>
    <t>Miranda Olzman</t>
  </si>
  <si>
    <t>molzman@sfsu.edu</t>
  </si>
  <si>
    <t>Landon Hill</t>
  </si>
  <si>
    <t>lhill9@sfsu.edu</t>
  </si>
  <si>
    <t>Laura Lisy-Wagner</t>
  </si>
  <si>
    <t>lalisy@sfsu.edu</t>
  </si>
  <si>
    <t>Isauro M. Escamilla Calan</t>
  </si>
  <si>
    <t>imescami@sfsu.edu</t>
  </si>
  <si>
    <t>Jason Porth</t>
  </si>
  <si>
    <t>jporth@sfsu.edu</t>
  </si>
  <si>
    <t>Amy Chang</t>
  </si>
  <si>
    <t>amychang@sfsu.edu</t>
  </si>
  <si>
    <t>Michael Anderson</t>
  </si>
  <si>
    <t>maa35@sfsu.edu</t>
  </si>
  <si>
    <t>Sarita Cannon</t>
  </si>
  <si>
    <t>sncannon@sfsu.edu</t>
  </si>
  <si>
    <t>Robert Collins</t>
  </si>
  <si>
    <t>rkc@sfsu.edu</t>
  </si>
  <si>
    <t>Mehmet Ergul</t>
  </si>
  <si>
    <t>mergul@sfsu.edu</t>
  </si>
  <si>
    <t>Yanan Fan</t>
  </si>
  <si>
    <t>yanan@sfsu.edu</t>
  </si>
  <si>
    <t>Bo Ferns</t>
  </si>
  <si>
    <t>boh@sfsu.edu</t>
  </si>
  <si>
    <t>Jeff Jacoby</t>
  </si>
  <si>
    <t>jjacoby@sfsu.edu</t>
  </si>
  <si>
    <t>Paul Morris</t>
  </si>
  <si>
    <t>pmorris@sfsu.edu</t>
  </si>
  <si>
    <t>Kazunori Okada</t>
  </si>
  <si>
    <t>kazokada@sfsu.edu</t>
  </si>
  <si>
    <t>Jae Paik</t>
  </si>
  <si>
    <t>jaepaik@sfsu.edu</t>
  </si>
  <si>
    <t>Antoaneta Petkova</t>
  </si>
  <si>
    <t>apetkova@sfsu.edu</t>
  </si>
  <si>
    <t>Lihua Wang</t>
  </si>
  <si>
    <t>lihua@sfsu.edu</t>
  </si>
  <si>
    <t>Alexandra Piryatinska</t>
  </si>
  <si>
    <t>alpiryat@sfsu.edu</t>
  </si>
  <si>
    <t>Kasturi Ray</t>
  </si>
  <si>
    <t>kasturi@sfsu.edu</t>
  </si>
  <si>
    <t>Leah Wingard</t>
  </si>
  <si>
    <t>wingard@sfsu.edu</t>
  </si>
  <si>
    <t>Belinda Reyes</t>
  </si>
  <si>
    <t>reyesb@sfsu.edu</t>
  </si>
  <si>
    <t>Hui Yang</t>
  </si>
  <si>
    <t>huiyang@sfsu.edu</t>
  </si>
  <si>
    <t>Julietta Hua</t>
  </si>
  <si>
    <t>jyhua@sfsu.edu</t>
  </si>
  <si>
    <t>Kwok-Siong Teh</t>
  </si>
  <si>
    <t>ksteh@sfsu.edu</t>
  </si>
  <si>
    <t>Nguyen Le</t>
  </si>
  <si>
    <t>nle@sfsu.edu</t>
  </si>
  <si>
    <t>James Blackmon</t>
  </si>
  <si>
    <t>jcblackmon@sfsu.edu</t>
  </si>
  <si>
    <t>Rashmi Gupta</t>
  </si>
  <si>
    <t>rgupta@sfsu.edu</t>
  </si>
  <si>
    <t>Kathleen Mcafee</t>
  </si>
  <si>
    <t>kmcafee@sfsu.edu</t>
  </si>
  <si>
    <t>Andy Zink</t>
  </si>
  <si>
    <t>zink@sfsu.edu</t>
  </si>
  <si>
    <t>Julie Chronister</t>
  </si>
  <si>
    <t>jchronis@sfsu.edu</t>
  </si>
  <si>
    <t>Joseph Chen</t>
  </si>
  <si>
    <t>chenj@sfsu.edu</t>
  </si>
  <si>
    <t>Weimin Zhang</t>
  </si>
  <si>
    <t>weimin@sfsu.edu</t>
  </si>
  <si>
    <t>Juan Covarrubias</t>
  </si>
  <si>
    <t>juancova@sfsu.edu</t>
  </si>
  <si>
    <t>Tracy Ward</t>
  </si>
  <si>
    <t>tracyw@sfsu.edu</t>
  </si>
  <si>
    <t>Mira Foster</t>
  </si>
  <si>
    <t>mira@sfsu.edu</t>
  </si>
  <si>
    <t>Jocelyn Clare Hermoso</t>
  </si>
  <si>
    <t>jhermoso@sfsu.edu</t>
  </si>
  <si>
    <t>Mojan Norouzi</t>
  </si>
  <si>
    <t>mojan@sfsu.edu</t>
  </si>
  <si>
    <t>Robert Barbarino</t>
  </si>
  <si>
    <t>robertbarbarino@gmail.com</t>
  </si>
  <si>
    <t>Camille Antinori</t>
  </si>
  <si>
    <t>antinori@sfsu.edu</t>
  </si>
  <si>
    <t xml:space="preserve">Camille Antinori </t>
  </si>
  <si>
    <t>Arman Kirakosian</t>
  </si>
  <si>
    <t>armanik@sfsu.edu</t>
  </si>
  <si>
    <t>Kevin Croshal</t>
  </si>
  <si>
    <t>kcroshal@sfsu.edu</t>
  </si>
  <si>
    <t>Rama Kased</t>
  </si>
  <si>
    <t>ramak@sfsu.edu</t>
  </si>
  <si>
    <t>Alycia Shada</t>
  </si>
  <si>
    <t>ashada@sfsu.edu</t>
  </si>
  <si>
    <t>Buddy Saleman</t>
  </si>
  <si>
    <t>bsaleman@mail.sfsu.edu</t>
  </si>
  <si>
    <t>Won Kim</t>
  </si>
  <si>
    <t>wonkim@sfsu.edu</t>
  </si>
  <si>
    <t>Christopher Wooten</t>
  </si>
  <si>
    <t>cwooten@sfsu.edu</t>
  </si>
  <si>
    <t>Yuji Shibuya</t>
  </si>
  <si>
    <t>yshibuya@sfsu.edu</t>
  </si>
  <si>
    <t>Nancy Carmona</t>
  </si>
  <si>
    <t>ncarmona@mail.sfsu.edu</t>
  </si>
  <si>
    <t>Amennah Moghaddam</t>
  </si>
  <si>
    <t>amennah@sfsu.edu</t>
  </si>
  <si>
    <t>Christopher Harris</t>
  </si>
  <si>
    <t>harriscj@mail.sfsu.edu</t>
  </si>
  <si>
    <t>Craig Johnson</t>
  </si>
  <si>
    <t>gjohns03@sfsu.edu</t>
  </si>
  <si>
    <t>Constance Gordon</t>
  </si>
  <si>
    <t>cgordon@sfsu.edu</t>
  </si>
  <si>
    <t>Michelle Clark</t>
  </si>
  <si>
    <t>mclark@sfsu.edu</t>
  </si>
  <si>
    <t>Allen Conkle</t>
  </si>
  <si>
    <t>aconkle@sfsu.edu</t>
  </si>
  <si>
    <t>Arvejon Jones</t>
  </si>
  <si>
    <t>arvejon@mail.sfsu.edu</t>
  </si>
  <si>
    <t>Easther Oh</t>
  </si>
  <si>
    <t>ejoh@sfsu.edu</t>
  </si>
  <si>
    <t>Lisa Solomon</t>
  </si>
  <si>
    <t>lsolomon@sfsu.edu</t>
  </si>
  <si>
    <t>Joel Picazo</t>
  </si>
  <si>
    <t>picazo@sfsu.edu</t>
  </si>
  <si>
    <t>Michael Villegas</t>
  </si>
  <si>
    <t>vegaslvn@sfsu.edu</t>
  </si>
  <si>
    <t>Ramon Jackson</t>
  </si>
  <si>
    <t>ramonj@mail.sfsu.edu</t>
  </si>
  <si>
    <t>Ryan Gurney</t>
  </si>
  <si>
    <t>rgurney@sfsu.edu</t>
  </si>
  <si>
    <t>Sean Connelly</t>
  </si>
  <si>
    <t>connelly@sfsu.edu</t>
  </si>
  <si>
    <t>Ella Chichester</t>
  </si>
  <si>
    <t>ella@sfsu.edu</t>
  </si>
  <si>
    <t>B ferns</t>
  </si>
  <si>
    <t>fern.bryan@gmail.com</t>
  </si>
  <si>
    <t>Kelly Ga-Lei Gilbert</t>
  </si>
  <si>
    <t>kellyloygilbert@sfsu.edu</t>
  </si>
  <si>
    <t>Diane Allen</t>
  </si>
  <si>
    <t>ddallen@sfsu.edu</t>
  </si>
  <si>
    <t>C Leasure</t>
  </si>
  <si>
    <t>cleasure@sfsu.edu</t>
  </si>
  <si>
    <t>George Evans</t>
  </si>
  <si>
    <t>geevans@sfsu.edu</t>
  </si>
  <si>
    <t>Olga Gutkina</t>
  </si>
  <si>
    <t>gutkina@sfsu.edu</t>
  </si>
  <si>
    <t>Kristina Bautista</t>
  </si>
  <si>
    <t>kbautist@sfsu.edu</t>
  </si>
  <si>
    <t>Courtney Hensel</t>
  </si>
  <si>
    <t>rosecourts@gmail.com</t>
  </si>
  <si>
    <t>Lawrence Ferrara</t>
  </si>
  <si>
    <t>lferrara@sfsu.edu</t>
  </si>
  <si>
    <t>Brittany Wiley</t>
  </si>
  <si>
    <t>baprince@sfsu.edu</t>
  </si>
  <si>
    <t>Katherine Mazza</t>
  </si>
  <si>
    <t>mazzak@sfsu.edu</t>
  </si>
  <si>
    <t>Gregg Bender</t>
  </si>
  <si>
    <t>gbender@sfsu.edu</t>
  </si>
  <si>
    <t>Michael  Harper</t>
  </si>
  <si>
    <t>mdharper@sfsu.edu</t>
  </si>
  <si>
    <t>Jonathon Tai</t>
  </si>
  <si>
    <t>jtai@mail.sfsu.edu</t>
  </si>
  <si>
    <t>Aya Kazama</t>
  </si>
  <si>
    <t>apkazama@sfsu.edu</t>
  </si>
  <si>
    <t>Matthew Creer</t>
  </si>
  <si>
    <t>mcreer@mail.sfsu.edu</t>
  </si>
  <si>
    <t>Melinda Zarrett</t>
  </si>
  <si>
    <t>melindaz@sfsu.edu</t>
  </si>
  <si>
    <t>Andrew Chang</t>
  </si>
  <si>
    <t>andychang@sfsu.edu</t>
  </si>
  <si>
    <t>Deborah Damon</t>
  </si>
  <si>
    <t>ddamon@sfsu.edu</t>
  </si>
  <si>
    <t>David Cox</t>
  </si>
  <si>
    <t>dcox@sfsu.edu</t>
  </si>
  <si>
    <t>Josephine Tsao</t>
  </si>
  <si>
    <t>jhtsao@sfsu.edu</t>
  </si>
  <si>
    <t>Clare Sears</t>
  </si>
  <si>
    <t>clares@sfsu.edu</t>
  </si>
  <si>
    <t>Michelle Hong</t>
  </si>
  <si>
    <t>mihong@sfsu.edu</t>
  </si>
  <si>
    <t>M. Rubin</t>
  </si>
  <si>
    <t>mjrubin@sfsu.edu</t>
  </si>
  <si>
    <t>Gillian McIntosh</t>
  </si>
  <si>
    <t>gillianm@sfsu.edu</t>
  </si>
  <si>
    <t>Eric Lamm</t>
  </si>
  <si>
    <t>ericlamm@sfsu.edu</t>
  </si>
  <si>
    <t>Christina Sabee</t>
  </si>
  <si>
    <t>csabee@sfsu.edu</t>
  </si>
  <si>
    <t>Gitanjali Shahani</t>
  </si>
  <si>
    <t>gshahani@sfsu.edu</t>
  </si>
  <si>
    <t>Denise Kleinrichert</t>
  </si>
  <si>
    <t>dk@sfsu.edu</t>
  </si>
  <si>
    <t>Ian Clark Sinapuelas</t>
  </si>
  <si>
    <t>sinapuel@sfsu.edu</t>
  </si>
  <si>
    <t>Priyanvada Abeywickrama</t>
  </si>
  <si>
    <t>abeywick@sfsu.edu</t>
  </si>
  <si>
    <t>Tanya Augsburg</t>
  </si>
  <si>
    <t>tanya@sfsu.edu</t>
  </si>
  <si>
    <t>David Bao</t>
  </si>
  <si>
    <t>dbao@sfsu.edu</t>
  </si>
  <si>
    <t>Joseph Barranco</t>
  </si>
  <si>
    <t>barranco@sfsu.edu</t>
  </si>
  <si>
    <t>Jennifer Blecha</t>
  </si>
  <si>
    <t>jblecha@sfsu.edu</t>
  </si>
  <si>
    <t>Kirill Chernomaz</t>
  </si>
  <si>
    <t>kirillch@sfsu.edu</t>
  </si>
  <si>
    <t>Acacio de Barros</t>
  </si>
  <si>
    <t>barros@sfsu.edu</t>
  </si>
  <si>
    <t>Petra Dekens</t>
  </si>
  <si>
    <t>dekens@sfsu.edu</t>
  </si>
  <si>
    <t>Anton Guliaev</t>
  </si>
  <si>
    <t>guliaev@sfsu.edu</t>
  </si>
  <si>
    <t>Ryan Howell</t>
  </si>
  <si>
    <t>rhowell@sfsu.edu</t>
  </si>
  <si>
    <t>Hao Jiang</t>
  </si>
  <si>
    <t>jianghao@sfsu.edu</t>
  </si>
  <si>
    <t>Shuming Liu</t>
  </si>
  <si>
    <t>shuming@sfsu.edu</t>
  </si>
  <si>
    <t>Alexis Martinez</t>
  </si>
  <si>
    <t>alexisnm@sfsu.edu</t>
  </si>
  <si>
    <t>Ezequiel Morsella</t>
  </si>
  <si>
    <t>morsella@sfsu.edu</t>
  </si>
  <si>
    <t>Jennifer Mylander</t>
  </si>
  <si>
    <t>mylander@sfsu.edu</t>
  </si>
  <si>
    <t>Veronika Papyrina</t>
  </si>
  <si>
    <t>papyrina@sfsu.edu</t>
  </si>
  <si>
    <t>Kristian Kemtrup</t>
  </si>
  <si>
    <t>kemtrup@sfsu.edu</t>
  </si>
  <si>
    <t>Vance Vredenburg</t>
  </si>
  <si>
    <t>vancev@sfsu.edu</t>
  </si>
  <si>
    <t>Pino Trogu</t>
  </si>
  <si>
    <t>trogu@sfsu.edu</t>
  </si>
  <si>
    <t>Maggie Beers</t>
  </si>
  <si>
    <t>mbeers@sfsu.edu</t>
  </si>
  <si>
    <t>Diana Mars</t>
  </si>
  <si>
    <t>dmars@mail.sfsu.edu</t>
  </si>
  <si>
    <t>Shelley Wilcox</t>
  </si>
  <si>
    <t>swilcox@sfsu.edu</t>
  </si>
  <si>
    <t>Leonhard Blesius</t>
  </si>
  <si>
    <t>lblesius@sfsu.edu</t>
  </si>
  <si>
    <t>Martin Ortiz-Cataldo</t>
  </si>
  <si>
    <t>mocataldo@sfsu.edu</t>
  </si>
  <si>
    <t>Susan Belau</t>
  </si>
  <si>
    <t>sbelau@sfsu.edu</t>
  </si>
  <si>
    <t>Cynthia Wilczak</t>
  </si>
  <si>
    <t>cwilczak@sfsu.edu</t>
  </si>
  <si>
    <t>Mahmood Monshipouri</t>
  </si>
  <si>
    <t>mmonship@sfsu.edu</t>
  </si>
  <si>
    <t>Jessica Elkind</t>
  </si>
  <si>
    <t>jelkind@sfsu.edu</t>
  </si>
  <si>
    <t>Allen Leblanc</t>
  </si>
  <si>
    <t>aleblanc@sfsu.edu</t>
  </si>
  <si>
    <t>Dawn Fischer</t>
  </si>
  <si>
    <t>def@sfsu.edu</t>
  </si>
  <si>
    <t>Courtney Donovan</t>
  </si>
  <si>
    <t>cdonovan@sfsu.edu</t>
  </si>
  <si>
    <t>Katynka Martinez</t>
  </si>
  <si>
    <t>katynka@sfsu.edu</t>
  </si>
  <si>
    <t>Kurt Menning</t>
  </si>
  <si>
    <t>kmenning@sfsu.edu</t>
  </si>
  <si>
    <t>Blair Menn</t>
  </si>
  <si>
    <t>bmenn@sfsu.edu</t>
  </si>
  <si>
    <t>Michael Zisman</t>
  </si>
  <si>
    <t>mzisman@sfsu.edu</t>
  </si>
  <si>
    <t>Sylvia Doss</t>
  </si>
  <si>
    <t>sdoss@sfsu.edu</t>
  </si>
  <si>
    <t>Anindya Dutta</t>
  </si>
  <si>
    <t>adutta@sfsu.edu</t>
  </si>
  <si>
    <t>Alex Cherian</t>
  </si>
  <si>
    <t>acherian@sfsu.edu</t>
  </si>
  <si>
    <t>Heidi Fridriksson</t>
  </si>
  <si>
    <t>heidif@sfsu.edu</t>
  </si>
  <si>
    <t>Aditi Grossman</t>
  </si>
  <si>
    <t>aditigrossman@sfsu.edu</t>
  </si>
  <si>
    <t>Amanda Carbajal</t>
  </si>
  <si>
    <t>carbajal@sfsu.edu</t>
  </si>
  <si>
    <t>Tatiana Hummel</t>
  </si>
  <si>
    <t>thummel@sfsu.edu</t>
  </si>
  <si>
    <t>Erin Foley</t>
  </si>
  <si>
    <t>eiufoley@sfsu.edu</t>
  </si>
  <si>
    <t>Emily Renteria</t>
  </si>
  <si>
    <t>nanea@mail.sfsu.edu</t>
  </si>
  <si>
    <t>Joseph Agosto</t>
  </si>
  <si>
    <t>agostojb@sfsu.edu</t>
  </si>
  <si>
    <t>Justin Robinson</t>
  </si>
  <si>
    <t>jrobinso@mail.sfsu.edu</t>
  </si>
  <si>
    <t>Bill Grubaugh</t>
  </si>
  <si>
    <t>grubaugh@sfsu.edu</t>
  </si>
  <si>
    <t>Brian Parra</t>
  </si>
  <si>
    <t>brianparra@sfsu.edu</t>
  </si>
  <si>
    <t>Donna Long</t>
  </si>
  <si>
    <t>dll@sfsu.edu</t>
  </si>
  <si>
    <t>Anna Elizabeth Escobedo</t>
  </si>
  <si>
    <t>aescobed@sfsu.edu</t>
  </si>
  <si>
    <t>Catherine Braddon-Harkin</t>
  </si>
  <si>
    <t>cbraddon@sfsu.edu</t>
  </si>
  <si>
    <t>Audrey Calma</t>
  </si>
  <si>
    <t>acalma@sfsu.edu</t>
  </si>
  <si>
    <t>Fran Osborne</t>
  </si>
  <si>
    <t>hfo@mail.sfsu.edu</t>
  </si>
  <si>
    <t>Stephanie Moore</t>
  </si>
  <si>
    <t>solson@sfsu.edu</t>
  </si>
  <si>
    <t>Shayna Pastori</t>
  </si>
  <si>
    <t>shaynapastori@gmail.com</t>
  </si>
  <si>
    <t>Vincent Perez</t>
  </si>
  <si>
    <t>vincentp@cca.sfsu.edu</t>
  </si>
  <si>
    <t>Rachel  Kerns</t>
  </si>
  <si>
    <t>rkerns@sfsu.edu</t>
  </si>
  <si>
    <t>Alma Gutierrez</t>
  </si>
  <si>
    <t>adaisy@sfsu.edu</t>
  </si>
  <si>
    <t>Yvette Rico</t>
  </si>
  <si>
    <t>yrico@sfsu.edu</t>
  </si>
  <si>
    <t>Cole McLean</t>
  </si>
  <si>
    <t>cmclean@mail.sfsu.edu</t>
  </si>
  <si>
    <t>Atiya Hai</t>
  </si>
  <si>
    <t>atiya@sfsu.edu</t>
  </si>
  <si>
    <t>Kyprianos Koutsokoumnis</t>
  </si>
  <si>
    <t>kypriank@mail.sfsu.edu</t>
  </si>
  <si>
    <t>Amber Rodriguez</t>
  </si>
  <si>
    <t>amberr@sfsu.edu</t>
  </si>
  <si>
    <t>Kimberly Vargas</t>
  </si>
  <si>
    <t>kvargas@mail.sfsu.edu</t>
  </si>
  <si>
    <t>Raymond Wang</t>
  </si>
  <si>
    <t>rwang90@sfsu.edu</t>
  </si>
  <si>
    <t>Lauren Hennes</t>
  </si>
  <si>
    <t>lhennes@sfsu.edu</t>
  </si>
  <si>
    <t>Allyson Dee  Pablo</t>
  </si>
  <si>
    <t>apablo@sfsu.edu</t>
  </si>
  <si>
    <t>Gizem Lanphar</t>
  </si>
  <si>
    <t>geisik@sfsu.edu</t>
  </si>
  <si>
    <t>Erik Christianson</t>
  </si>
  <si>
    <t>erikcore@mail.sfsu.edu</t>
  </si>
  <si>
    <t>Katlyn  Milless</t>
  </si>
  <si>
    <t>kmilless@sfsu.edu</t>
  </si>
  <si>
    <t>Brandon Diaz</t>
  </si>
  <si>
    <t>brandond@mail.sfsu.edu</t>
  </si>
  <si>
    <t>Precious Bowes</t>
  </si>
  <si>
    <t>bowes@mail.sfsu.edu</t>
  </si>
  <si>
    <t>Francisco  Hernandez</t>
  </si>
  <si>
    <t>francish@sfsu.edu</t>
  </si>
  <si>
    <t>Andrew Henry</t>
  </si>
  <si>
    <t>ahenry4@mail.sfsu.edu</t>
  </si>
  <si>
    <t>Jordan Woolsey</t>
  </si>
  <si>
    <t>jwoolsey@mail.sfsu.edu</t>
  </si>
  <si>
    <t>Martha Mellblom</t>
  </si>
  <si>
    <t>marthamellblom@sfsu.edu</t>
  </si>
  <si>
    <t>Dennis Schlief</t>
  </si>
  <si>
    <t>dschlief@mail.sfsu.edu</t>
  </si>
  <si>
    <t>Christopher Sterba</t>
  </si>
  <si>
    <t>cmsterba@sfsu.edu</t>
  </si>
  <si>
    <t>Erica Maciel</t>
  </si>
  <si>
    <t>emaciel@sfsu.edu</t>
  </si>
  <si>
    <t>George Anwar</t>
  </si>
  <si>
    <t>ganwar@sfsu.edu</t>
  </si>
  <si>
    <t>Mitra Ara</t>
  </si>
  <si>
    <t>mitraara@sfsu.edu</t>
  </si>
  <si>
    <t>Ronald Richardson</t>
  </si>
  <si>
    <t>ronosaur@sfsu.edu</t>
  </si>
  <si>
    <t>Janelle Franco</t>
  </si>
  <si>
    <t>jkfranco@mail.sfsu.edu</t>
  </si>
  <si>
    <t>Jose de la Torre</t>
  </si>
  <si>
    <t>jdelator@sfsu.edu</t>
  </si>
  <si>
    <t>Brooke Sommerfeldt</t>
  </si>
  <si>
    <t>brookes@sfsu.edu</t>
  </si>
  <si>
    <t>Rafael Flores</t>
  </si>
  <si>
    <t>raflores@sfsu.edu</t>
  </si>
  <si>
    <t>Cherie Safapou</t>
  </si>
  <si>
    <t>safapou@sfsu.edu</t>
  </si>
  <si>
    <t>Tim Simpson</t>
  </si>
  <si>
    <t>tsimpson@sfsu.edu</t>
  </si>
  <si>
    <t>Sharon Jones</t>
  </si>
  <si>
    <t>saj@sfsu.edu</t>
  </si>
  <si>
    <t>Jonathon Whooley</t>
  </si>
  <si>
    <t>whooleyj@sfsu.edu</t>
  </si>
  <si>
    <t>Dana Hemenway</t>
  </si>
  <si>
    <t>info@danahemenway.com</t>
  </si>
  <si>
    <t>Taryn Wong</t>
  </si>
  <si>
    <t>tarynjw@sfsu.edu</t>
  </si>
  <si>
    <t>Nicholas Torres</t>
  </si>
  <si>
    <t>ntorres3@mail.sfsu.edu</t>
  </si>
  <si>
    <t>Huan Lei Li</t>
  </si>
  <si>
    <t>joyleili@mail.sfsu.edu</t>
  </si>
  <si>
    <t>Robert Strachan</t>
  </si>
  <si>
    <t>strachan@sfsu.edu</t>
  </si>
  <si>
    <t>Carissa Threewitt</t>
  </si>
  <si>
    <t>carissathreewitt@sfsu.edu</t>
  </si>
  <si>
    <t>Ethan Kuniyoshi</t>
  </si>
  <si>
    <t>ekuni@mail.sfsu.edu</t>
  </si>
  <si>
    <t>Pavlina Latkova</t>
  </si>
  <si>
    <t>latkova@sfsu.edu</t>
  </si>
  <si>
    <t>John Brewer</t>
  </si>
  <si>
    <t>jmbrewer@sfsu.edu</t>
  </si>
  <si>
    <t>Shawn Taylor</t>
  </si>
  <si>
    <t>shawnt@sfsu.edu</t>
  </si>
  <si>
    <t>Kwong-Liem Kwan</t>
  </si>
  <si>
    <t>kwan@sfsu.edu</t>
  </si>
  <si>
    <t>Theresa Hammond</t>
  </si>
  <si>
    <t>thammond@sfsu.edu</t>
  </si>
  <si>
    <t>Paula Hsieh</t>
  </si>
  <si>
    <t>phsieh@sfsu.edu</t>
  </si>
  <si>
    <t>Shanshan Liu</t>
  </si>
  <si>
    <t>ashan@sfsu.edu</t>
  </si>
  <si>
    <t>Terry Boero</t>
  </si>
  <si>
    <t>tboero@sfsu.edu</t>
  </si>
  <si>
    <t>Cindy Ngai</t>
  </si>
  <si>
    <t>cngai88@sfsu.edu</t>
  </si>
  <si>
    <t>Jennifer Shea</t>
  </si>
  <si>
    <t>jshea@sfsu.edu</t>
  </si>
  <si>
    <t>Stacy Serber</t>
  </si>
  <si>
    <t>sserber@sfsu.edu</t>
  </si>
  <si>
    <t>Taro Amagata</t>
  </si>
  <si>
    <t>amagata@sfsu.edu</t>
  </si>
  <si>
    <t>Wen-Wen Li</t>
  </si>
  <si>
    <t>wenwenli@sfsu.edu</t>
  </si>
  <si>
    <t>Juanita Darling</t>
  </si>
  <si>
    <t>juanitad@sfsu.edu</t>
  </si>
  <si>
    <t>Jeffrey  Chun</t>
  </si>
  <si>
    <t>jeffchun@sfsu.edu</t>
  </si>
  <si>
    <t>Gavin Deare</t>
  </si>
  <si>
    <t>gcdeare@mail.sfsu.edu</t>
  </si>
  <si>
    <t>Geoff Desa</t>
  </si>
  <si>
    <t>gdesa@sfsu.edu</t>
  </si>
  <si>
    <t>Ray Tadio</t>
  </si>
  <si>
    <t>rtadio@sfsu.edu</t>
  </si>
  <si>
    <t>Wajiha Ali</t>
  </si>
  <si>
    <t>wali@mail.sfsu.edu</t>
  </si>
  <si>
    <t>Leyla Ozsen</t>
  </si>
  <si>
    <t>lozsen@sfsu.edu</t>
  </si>
  <si>
    <t>Joshua Singer</t>
  </si>
  <si>
    <t>jsinger@sfsu.edu</t>
  </si>
  <si>
    <t>Mayu Kondo</t>
  </si>
  <si>
    <t>mayu@mail.sfsu.edu</t>
  </si>
  <si>
    <t>Weining Man</t>
  </si>
  <si>
    <t>weining@sfsu.edu</t>
  </si>
  <si>
    <t>Isabelle Peschard</t>
  </si>
  <si>
    <t>peschard@sfsu.edu</t>
  </si>
  <si>
    <t>Tara Lockhart</t>
  </si>
  <si>
    <t>taralock@sfsu.edu</t>
  </si>
  <si>
    <t>Chris Salem</t>
  </si>
  <si>
    <t>csalem@sfsu.edu</t>
  </si>
  <si>
    <t>Colin Johnson</t>
  </si>
  <si>
    <t>cj7@sfsu.edu</t>
  </si>
  <si>
    <t>Doug Bailey</t>
  </si>
  <si>
    <t>dwbailey@sfsu.edu</t>
  </si>
  <si>
    <t>Mary Soliday</t>
  </si>
  <si>
    <t>soliday@sfsu.edu</t>
  </si>
  <si>
    <t>Alan Krepack</t>
  </si>
  <si>
    <t>akrepack1@sfsu.edu</t>
  </si>
  <si>
    <t>Jasmine Flores</t>
  </si>
  <si>
    <t>jjflores@sfsu.edu</t>
  </si>
  <si>
    <t>Paloma Mathern</t>
  </si>
  <si>
    <t>amolap@sfsu.edu</t>
  </si>
  <si>
    <t>Lawrence Hanley</t>
  </si>
  <si>
    <t>lhanley@sfsu.edu</t>
  </si>
  <si>
    <t>Jeremy Cohen</t>
  </si>
  <si>
    <t>jcohen8@sfsu.edu</t>
  </si>
  <si>
    <t>Wesley Heidenreich</t>
  </si>
  <si>
    <t>wbh@mail.sfsu.edu</t>
  </si>
  <si>
    <t>Denmark  Diaz</t>
  </si>
  <si>
    <t>DenmarkD@sfsu.edu</t>
  </si>
  <si>
    <t>Dr. Koenig</t>
  </si>
  <si>
    <t>cjkoenig@sfsu.edu</t>
  </si>
  <si>
    <t>Sheri Kennedy</t>
  </si>
  <si>
    <t>moxie@sfsu.edu</t>
  </si>
  <si>
    <t>Anna Katherine Kwid</t>
  </si>
  <si>
    <t>kkwid@sfsu.edu</t>
  </si>
  <si>
    <t>Julian Hoxter</t>
  </si>
  <si>
    <t>hoxter@sfsu.edu</t>
  </si>
  <si>
    <t>Shae Hancock</t>
  </si>
  <si>
    <t>shancock@sfsu.edu</t>
  </si>
  <si>
    <t>Matt Ferner</t>
  </si>
  <si>
    <t>mferner@sfsu.edu</t>
  </si>
  <si>
    <t>Julia Schulte</t>
  </si>
  <si>
    <t>juliaschulte@gmail.com</t>
  </si>
  <si>
    <t>Thomas Kelleher</t>
  </si>
  <si>
    <t>tdkelleh@mail.sfsu.edu</t>
  </si>
  <si>
    <t>Shadee Abdi</t>
  </si>
  <si>
    <t>sabdi@sfsu.edu</t>
  </si>
  <si>
    <t>Aaron Benn</t>
  </si>
  <si>
    <t>abenn@sfsu.edu</t>
  </si>
  <si>
    <t>Eli Alston-Stepnitz</t>
  </si>
  <si>
    <t>eliatoz@sfsu.edu</t>
  </si>
  <si>
    <t>Olivia  Walters</t>
  </si>
  <si>
    <t>owalters@sfsu.edu</t>
  </si>
  <si>
    <t>Stacey Colley</t>
  </si>
  <si>
    <t>scolley@mail.sfsu.edu</t>
  </si>
  <si>
    <t>Erica Zamora</t>
  </si>
  <si>
    <t>ezamora@sfsu.edu</t>
  </si>
  <si>
    <t>Rayne Banneck</t>
  </si>
  <si>
    <t>rbanneck@sfsu.edu</t>
  </si>
  <si>
    <t>Angelina Wong</t>
  </si>
  <si>
    <t>awong21@sfsu.edu</t>
  </si>
  <si>
    <t>Erin Olson</t>
  </si>
  <si>
    <t>eeolson@sfsu.edu</t>
  </si>
  <si>
    <t>Gesean Lewis Woods</t>
  </si>
  <si>
    <t>gglewis@mail.sfsu.edu</t>
  </si>
  <si>
    <t>Pati Shojaee</t>
  </si>
  <si>
    <t>pshojaee@sfsu.edu</t>
  </si>
  <si>
    <t>Baldeep Pabla</t>
  </si>
  <si>
    <t>bpabla@mail.sfsu.edu</t>
  </si>
  <si>
    <t>Ryan Fetzer</t>
  </si>
  <si>
    <t>rfetzer@sfsu.edu</t>
  </si>
  <si>
    <t>Kawai Law</t>
  </si>
  <si>
    <t>klaw4@mail.sfsu.edu</t>
  </si>
  <si>
    <t>Julia Letzel</t>
  </si>
  <si>
    <t>jletzel1@sfsu.edu</t>
  </si>
  <si>
    <t>Rosa Viveros</t>
  </si>
  <si>
    <t>rosaviveros@sfsu.edu</t>
  </si>
  <si>
    <t>Erin Gibb</t>
  </si>
  <si>
    <t>gibbe@sfsu.edu</t>
  </si>
  <si>
    <t>Dennis Browe</t>
  </si>
  <si>
    <t>dbrowe@sfsu.edu</t>
  </si>
  <si>
    <t>Jonathon Bout</t>
  </si>
  <si>
    <t>jbout1@sfsu.edu</t>
  </si>
  <si>
    <t>Michelle Sim</t>
  </si>
  <si>
    <t>msim@sfsu.edu</t>
  </si>
  <si>
    <t>Andrea Hernandez</t>
  </si>
  <si>
    <t>ahernandez14@mail.sfsu.edu</t>
  </si>
  <si>
    <t>Ginger Mueller-Testerman</t>
  </si>
  <si>
    <t>ginger@sfsu.edu</t>
  </si>
  <si>
    <t>Boris Kagan</t>
  </si>
  <si>
    <t>bkagan@mail.sfsu.edu</t>
  </si>
  <si>
    <t>Sage Russo</t>
  </si>
  <si>
    <t>srusso@mail.sfsu.edu</t>
  </si>
  <si>
    <t xml:space="preserve">Jessy Aquino </t>
  </si>
  <si>
    <t>jessyaquino@sfsu.edu</t>
  </si>
  <si>
    <t>Malori Redman</t>
  </si>
  <si>
    <t>mredman@sfsu.edu</t>
  </si>
  <si>
    <t>Julio Deras Magana</t>
  </si>
  <si>
    <t>jderas@mail.sfsu.edu</t>
  </si>
  <si>
    <t>Melanie Ramirez-Carpio</t>
  </si>
  <si>
    <t>mrcarpio@sfsu.edu</t>
  </si>
  <si>
    <t>Junse Kim</t>
  </si>
  <si>
    <t>junsekim@sfsu.edu</t>
  </si>
  <si>
    <t>Ruth Gildea</t>
  </si>
  <si>
    <t>rgildea@sfsu.edu</t>
  </si>
  <si>
    <t>Anne Glaros</t>
  </si>
  <si>
    <t>amglaros@sfsu.edu</t>
  </si>
  <si>
    <t>Patricia Hock</t>
  </si>
  <si>
    <t>pathock@sfsu.edu</t>
  </si>
  <si>
    <t>Adrienne Fair</t>
  </si>
  <si>
    <t>afair@sfsu.edu</t>
  </si>
  <si>
    <t>Dave Cook Iii</t>
  </si>
  <si>
    <t>mrdaveyd@sfsu.edu</t>
  </si>
  <si>
    <t>William Warren</t>
  </si>
  <si>
    <t>warrenw@sfsu.edu</t>
  </si>
  <si>
    <t>Amy Casselman-Hontalas</t>
  </si>
  <si>
    <t>amycass@sfsu.edu</t>
  </si>
  <si>
    <t>Kaori Ishikura</t>
  </si>
  <si>
    <t>kishikura@gmail.com</t>
  </si>
  <si>
    <t>Abraham Ramirez</t>
  </si>
  <si>
    <t>asr@sfsu.edu</t>
  </si>
  <si>
    <t>Gregory Gomez</t>
  </si>
  <si>
    <t>gwgomez@sfsu.edu</t>
  </si>
  <si>
    <t>Courtney Ghan</t>
  </si>
  <si>
    <t>cghan@mail.sfsu.edu</t>
  </si>
  <si>
    <t>Justin Brodowski</t>
  </si>
  <si>
    <t>jrbrod02@mail.sfsu.edu</t>
  </si>
  <si>
    <t>Jackson Wilson</t>
  </si>
  <si>
    <t>wilsonj@sfsu.edu</t>
  </si>
  <si>
    <t>Roseann Myers</t>
  </si>
  <si>
    <t>rosemyers7@gmail.com</t>
  </si>
  <si>
    <t>Michael Loebs</t>
  </si>
  <si>
    <t>mloebs@sfsu.edu</t>
  </si>
  <si>
    <t>James Gibson</t>
  </si>
  <si>
    <t>jimg@sfsu.edu</t>
  </si>
  <si>
    <t>Luella Fu</t>
  </si>
  <si>
    <t>luella@sfsu.edu</t>
  </si>
  <si>
    <t>Daniel Curtis-Cummins</t>
  </si>
  <si>
    <t>dcc123@sfsu.edu</t>
  </si>
  <si>
    <t>Charlotte Tate</t>
  </si>
  <si>
    <t>ctate2@sfsu.edu</t>
  </si>
  <si>
    <t>Todd Feldman</t>
  </si>
  <si>
    <t>tfeldman@sfsu.edu</t>
  </si>
  <si>
    <t>Andrew Walls</t>
  </si>
  <si>
    <t>arwalls@sfsu.edu</t>
  </si>
  <si>
    <t>Charles Postel</t>
  </si>
  <si>
    <t>postel@sfsu.edu</t>
  </si>
  <si>
    <t>Daniela Balkanska</t>
  </si>
  <si>
    <t>dbalkans@sfsu.edu</t>
  </si>
  <si>
    <t>Betsabel Chicana Romero</t>
  </si>
  <si>
    <t>bchicana@mail.sfsu.edu</t>
  </si>
  <si>
    <t>David Landy</t>
  </si>
  <si>
    <t>landy@sfsu.edu</t>
  </si>
  <si>
    <t>Carlos Montemayor</t>
  </si>
  <si>
    <t>cmontema@sfsu.edu</t>
  </si>
  <si>
    <t>Michael Small</t>
  </si>
  <si>
    <t>msmall@sfsu.edu</t>
  </si>
  <si>
    <t>Christopher Weinberger</t>
  </si>
  <si>
    <t>csw1@sfsu.edu</t>
  </si>
  <si>
    <t>Cheng Chen</t>
  </si>
  <si>
    <t>chcsfsu@sfsu.edu</t>
  </si>
  <si>
    <t>Zuzana Janko</t>
  </si>
  <si>
    <t>zjanko@sfsu.edu</t>
  </si>
  <si>
    <t>Blake Riggs</t>
  </si>
  <si>
    <t>riggs@sfsu.edu</t>
  </si>
  <si>
    <t>Monica Sofia De Almeida Ferro</t>
  </si>
  <si>
    <t>msf@mail.sfsu.edu</t>
  </si>
  <si>
    <t>Jason McDaniel</t>
  </si>
  <si>
    <t>mcdaniel@sfsu.edu</t>
  </si>
  <si>
    <t>John Logan</t>
  </si>
  <si>
    <t>jlogan@sfsu.edu</t>
  </si>
  <si>
    <t>Aaron Belkin</t>
  </si>
  <si>
    <t>belkin@sfsu.edu</t>
  </si>
  <si>
    <t>Janey Wang</t>
  </si>
  <si>
    <t>jqwang@sfsu.edu</t>
  </si>
  <si>
    <t>Jonathan Lee</t>
  </si>
  <si>
    <t>jlee@sfsu.edu</t>
  </si>
  <si>
    <t>Matthew Fisher</t>
  </si>
  <si>
    <t>mfisher@mail.sfsu.edu</t>
  </si>
  <si>
    <t>Leora Nanus</t>
  </si>
  <si>
    <t>lnanus@sfsu.edu</t>
  </si>
  <si>
    <t>Yutian Wong</t>
  </si>
  <si>
    <t>ytw@sfsu.edu</t>
  </si>
  <si>
    <t>Adam Luftman</t>
  </si>
  <si>
    <t>aluftman@sfsu.edu</t>
  </si>
  <si>
    <t>Olivia  Ward</t>
  </si>
  <si>
    <t>omw@sfsu.edu</t>
  </si>
  <si>
    <t>Melissa Omahony</t>
  </si>
  <si>
    <t>momahony@sfsu.edu</t>
  </si>
  <si>
    <t>Jeremy Domasian</t>
  </si>
  <si>
    <t>jeremy@sfsu.edu</t>
  </si>
  <si>
    <t>Chelsea Mcnutt</t>
  </si>
  <si>
    <t>cmcnutt@sfsu.edu</t>
  </si>
  <si>
    <t>Jennifer Waller</t>
  </si>
  <si>
    <t>phlsphr@sfsu.edu</t>
  </si>
  <si>
    <t>Amy Dorie</t>
  </si>
  <si>
    <t>adorie@sfsu.edu</t>
  </si>
  <si>
    <t>Deborah Chang</t>
  </si>
  <si>
    <t>debchang@mail.sfsu.edu</t>
  </si>
  <si>
    <t>Linda Chen</t>
  </si>
  <si>
    <t>linda@sfsu.edu</t>
  </si>
  <si>
    <t>Joshua Ng</t>
  </si>
  <si>
    <t>joshuawng@sfsu.edu</t>
  </si>
  <si>
    <t>Roberto Orozco</t>
  </si>
  <si>
    <t>rorozco@sfsu.edu</t>
  </si>
  <si>
    <t>Anthony Souza</t>
  </si>
  <si>
    <t>ajsouza@sfsu.edu</t>
  </si>
  <si>
    <t>Sean Doker</t>
  </si>
  <si>
    <t>sdoker@mail.sfsu.edu</t>
  </si>
  <si>
    <t>Devone Rodrigues</t>
  </si>
  <si>
    <t>devone@sfsu.edu</t>
  </si>
  <si>
    <t>Chris Yen</t>
  </si>
  <si>
    <t>cyen2@sfsu.edu</t>
  </si>
  <si>
    <t>Ruth Crossman</t>
  </si>
  <si>
    <t>Ruth.crossman@gmail.com</t>
  </si>
  <si>
    <t>Jewlee Ann Gardner</t>
  </si>
  <si>
    <t>julie@sfsu.edu</t>
  </si>
  <si>
    <t>Catherine Pinkas</t>
  </si>
  <si>
    <t>cpinkas@sfsu.edu</t>
  </si>
  <si>
    <t>Shanice Robinson</t>
  </si>
  <si>
    <t>shanice@sfsu.edu</t>
  </si>
  <si>
    <t>Dominic Caserta</t>
  </si>
  <si>
    <t>dcaserta@mail.sfsu.edu</t>
  </si>
  <si>
    <t>Jason Jackl</t>
  </si>
  <si>
    <t>jjackl@sfsu.edu</t>
  </si>
  <si>
    <t>Stephanie Kong</t>
  </si>
  <si>
    <t>stephaniekong@sfsu.edu</t>
  </si>
  <si>
    <t>Nancy Ganner</t>
  </si>
  <si>
    <t>ganner@sfsu.edu</t>
  </si>
  <si>
    <t>Mays Danfoura</t>
  </si>
  <si>
    <t>mdanfura@sfsu.edu</t>
  </si>
  <si>
    <t>Kim Nguyen</t>
  </si>
  <si>
    <t>kimn@sfsu.edu</t>
  </si>
  <si>
    <t>Clayton Dillard</t>
  </si>
  <si>
    <t>cmdillar@mail.sfsu.edu</t>
  </si>
  <si>
    <t>Courtney Fellion</t>
  </si>
  <si>
    <t>cfellion@sfsu.edu</t>
  </si>
  <si>
    <t>Leroy Robinson</t>
  </si>
  <si>
    <t>leroygr@mail.sfsu.edu</t>
  </si>
  <si>
    <t>Juliana Gilles</t>
  </si>
  <si>
    <t>jkarrasjeangilles@sfsu.edu</t>
  </si>
  <si>
    <t>Stephanie Ravaglioli</t>
  </si>
  <si>
    <t>sravagli@mail.sfsu.edu</t>
  </si>
  <si>
    <t>Patricia Mcginnis</t>
  </si>
  <si>
    <t>mcginnis@sfsu.edu</t>
  </si>
  <si>
    <t>Zane Johnston</t>
  </si>
  <si>
    <t>zjohnston@mail.sfsu.edu</t>
  </si>
  <si>
    <t>Kai Quach</t>
  </si>
  <si>
    <t>kai@sfsu.edu</t>
  </si>
  <si>
    <t>Angela Kollerer</t>
  </si>
  <si>
    <t>akollerer@sfsu.edu</t>
  </si>
  <si>
    <t>Ryan Lescure</t>
  </si>
  <si>
    <t>rlescure@sfsu.edu</t>
  </si>
  <si>
    <t>Vera Felder</t>
  </si>
  <si>
    <t>vkf@mail.sfsu.edu</t>
  </si>
  <si>
    <t>Lauren Tombari</t>
  </si>
  <si>
    <t>tombari@sfsu.edu</t>
  </si>
  <si>
    <t>Jonathan Balagot</t>
  </si>
  <si>
    <t>jbalagot@sfsu.edu</t>
  </si>
  <si>
    <t>Andrea Goldfien</t>
  </si>
  <si>
    <t>goldfien@mail.sfsu.edu</t>
  </si>
  <si>
    <t>Chloe Fane</t>
  </si>
  <si>
    <t>cmfane@mail.sfsu.edu</t>
  </si>
  <si>
    <t>Nicholas Tuttle</t>
  </si>
  <si>
    <t>tuttlen@sfsu.edu</t>
  </si>
  <si>
    <t>Carine Wynant</t>
  </si>
  <si>
    <t>carinewynant@sfsu.edu</t>
  </si>
  <si>
    <t>Brian Fulfrost</t>
  </si>
  <si>
    <t>fulfrost@sfsu.edu</t>
  </si>
  <si>
    <t>Eva Charles</t>
  </si>
  <si>
    <t>echarles@sfsu.edu</t>
  </si>
  <si>
    <t>Torey Jacques</t>
  </si>
  <si>
    <t>tjacques@sfsu.edu</t>
  </si>
  <si>
    <t>Aiko Yoshino</t>
  </si>
  <si>
    <t>ayoshino@sfsu.edu</t>
  </si>
  <si>
    <t>Danae Robinett</t>
  </si>
  <si>
    <t>danae@sfsu.edu</t>
  </si>
  <si>
    <t>Nicole Bolter</t>
  </si>
  <si>
    <t>nbolter@sfsu.edu</t>
  </si>
  <si>
    <t>Rajeev Naidu</t>
  </si>
  <si>
    <t>rajeevn@mail.sfsu.edu</t>
  </si>
  <si>
    <t>Chris Finley</t>
  </si>
  <si>
    <t>cfinley@sfsu.edu</t>
  </si>
  <si>
    <t>Lori Schafer</t>
  </si>
  <si>
    <t>lschafter@sfsu.edu</t>
  </si>
  <si>
    <t>Deborah Farris</t>
  </si>
  <si>
    <t>dfarris@mail.sfsu.edu</t>
  </si>
  <si>
    <t>Josephine Lee</t>
  </si>
  <si>
    <t>jolee168@sfsu.edu</t>
  </si>
  <si>
    <t>Tanya Hollis</t>
  </si>
  <si>
    <t>thollis@sfsu.edu</t>
  </si>
  <si>
    <t>Raul Contreras III</t>
  </si>
  <si>
    <t>raulc@sfsu.edu</t>
  </si>
  <si>
    <t>Andrea Garcia</t>
  </si>
  <si>
    <t>apg@sfsu.edu</t>
  </si>
  <si>
    <t>Ashley Vogds</t>
  </si>
  <si>
    <t>avogds@sfsu.edu</t>
  </si>
  <si>
    <t>Omar El-Kurd</t>
  </si>
  <si>
    <t>oelkurd@mail.sfsu.edu</t>
  </si>
  <si>
    <t>Elizabeth Mathiasen</t>
  </si>
  <si>
    <t>lizmat@mail.sfsu.edu</t>
  </si>
  <si>
    <t>Tobin Galang</t>
  </si>
  <si>
    <t>tgalang@sfsu.edu</t>
  </si>
  <si>
    <t>Clarissa Maciel</t>
  </si>
  <si>
    <t>cmaciel@mail.sfsu.edu</t>
  </si>
  <si>
    <t>Amilcar Castillo Ortiz</t>
  </si>
  <si>
    <t>amilco@sfsu.edu</t>
  </si>
  <si>
    <t>Justin Kitchen</t>
  </si>
  <si>
    <t>kitchen@sfsu.edu</t>
  </si>
  <si>
    <t>Shantia Perry</t>
  </si>
  <si>
    <t>sperry7@sfsu.edu</t>
  </si>
  <si>
    <t>Omar Ali</t>
  </si>
  <si>
    <t>markali@sfsu.edu</t>
  </si>
  <si>
    <t>Tiffany Hong</t>
  </si>
  <si>
    <t>tiffanyihong@yahoo.com</t>
  </si>
  <si>
    <t>Jessica Bridge</t>
  </si>
  <si>
    <t>jbrugler@mail.sfsu.edu</t>
  </si>
  <si>
    <t>Aaron Martin</t>
  </si>
  <si>
    <t>aaronmartin@sfsu.edu</t>
  </si>
  <si>
    <t>Telisa Nyoka King</t>
  </si>
  <si>
    <t>tking@sfsu.edu</t>
  </si>
  <si>
    <t>Dr. Laura Savage</t>
  </si>
  <si>
    <t>lsavage@sfsu.edu</t>
  </si>
  <si>
    <t>Teresa Hernandez Quezada,</t>
  </si>
  <si>
    <t>tahernan@sfsu.edu</t>
  </si>
  <si>
    <t>Celina Gonzalez</t>
  </si>
  <si>
    <t>cgonza25@sfsu.edu</t>
  </si>
  <si>
    <t>Autumn Johnson</t>
  </si>
  <si>
    <t>ajohnson19@mail.sfsu.edu</t>
  </si>
  <si>
    <t>Benjamin Yang</t>
  </si>
  <si>
    <t>byang@sfsu.edu</t>
  </si>
  <si>
    <t>America Islas</t>
  </si>
  <si>
    <t>islas@sfsu.edu</t>
  </si>
  <si>
    <t>Michelle Pigott</t>
  </si>
  <si>
    <t>mdpigott@sfsu.edu</t>
  </si>
  <si>
    <t>Xander Lovelace</t>
  </si>
  <si>
    <t>xlovelace@sfsu.edu</t>
  </si>
  <si>
    <t>Heidi  NG</t>
  </si>
  <si>
    <t>HhyNG@sfsu.edu</t>
  </si>
  <si>
    <t>Amir Yousef</t>
  </si>
  <si>
    <t>ayousef@sfsu.edu</t>
  </si>
  <si>
    <t>Simone Cadoppi</t>
  </si>
  <si>
    <t>smcadoppi@gmail.com</t>
  </si>
  <si>
    <t>Sarah Pishny</t>
  </si>
  <si>
    <t>smp93@sfsu.edu</t>
  </si>
  <si>
    <t>Ivan Contreras</t>
  </si>
  <si>
    <t>ivancm@sfsu.edu</t>
  </si>
  <si>
    <t>Hanna Wodaje</t>
  </si>
  <si>
    <t>hannawodaje@sfsu.edu</t>
  </si>
  <si>
    <t>Lourdes Alarcon</t>
  </si>
  <si>
    <t>lalarcon@mail.sfsu.edu</t>
  </si>
  <si>
    <t>Rene Juarez-Vazquez</t>
  </si>
  <si>
    <t>rjv10@mail.sfsu.edu</t>
  </si>
  <si>
    <t>Kevin Cox</t>
  </si>
  <si>
    <t>kcox@sfsu.edu</t>
  </si>
  <si>
    <t>Taylor Fredericks</t>
  </si>
  <si>
    <t>tfrederi@mail.sfsu.edu</t>
  </si>
  <si>
    <t>Andrew Murphy</t>
  </si>
  <si>
    <t>agmurphy@sfsu.edu</t>
  </si>
  <si>
    <t>Juliet Lamont</t>
  </si>
  <si>
    <t>jlamont@sfsu.edu</t>
  </si>
  <si>
    <t>Adam Reid</t>
  </si>
  <si>
    <t>adamr@mail.sfsu.edu</t>
  </si>
  <si>
    <t>Lynn Marie Kelly</t>
  </si>
  <si>
    <t>lmkelly@sfsu.edu</t>
  </si>
  <si>
    <t>Chanda Jensen</t>
  </si>
  <si>
    <t>cjensen@sfsu.edu</t>
  </si>
  <si>
    <t>Elizabeth Boner</t>
  </si>
  <si>
    <t>lizb35@gmail.com</t>
  </si>
  <si>
    <t>Timothy Wolcott</t>
  </si>
  <si>
    <t>twolcott@sfsu.edu</t>
  </si>
  <si>
    <t>Louise Floro</t>
  </si>
  <si>
    <t>ltfloro@gmail.com</t>
  </si>
  <si>
    <t>Shoko Kita</t>
  </si>
  <si>
    <t>shokosun@mail.sfsu.edu</t>
  </si>
  <si>
    <t>Rebecca Slater</t>
  </si>
  <si>
    <t>rslater@sfsu.edu</t>
  </si>
  <si>
    <t>Cynthia King</t>
  </si>
  <si>
    <t>cynthiak@sfsu.edu</t>
  </si>
  <si>
    <t>Sarah Zins</t>
  </si>
  <si>
    <t>sarah.zins@gmail.com</t>
  </si>
  <si>
    <t>Vanessa Clark</t>
  </si>
  <si>
    <t>vclark@sfsu.edu</t>
  </si>
  <si>
    <t>Arsham Pourfallah</t>
  </si>
  <si>
    <t>arsham@sfsu.edu</t>
  </si>
  <si>
    <t>Jessica Shipley</t>
  </si>
  <si>
    <t>jshipley@sfsu.edu</t>
  </si>
  <si>
    <t>Matthew Dyer</t>
  </si>
  <si>
    <t>mattdyer33@gmail.com</t>
  </si>
  <si>
    <t>Eran Kaplan</t>
  </si>
  <si>
    <t>erank@sfsu.edu</t>
  </si>
  <si>
    <t>Luna Abdallah</t>
  </si>
  <si>
    <t>lunaa@sfsu.edu</t>
  </si>
  <si>
    <t>Jeanette Wright</t>
  </si>
  <si>
    <t>jwright5@sfsu.edu</t>
  </si>
  <si>
    <t>Scott Roy</t>
  </si>
  <si>
    <t>roy@sfsu.edu</t>
  </si>
  <si>
    <t>Sarah Holley</t>
  </si>
  <si>
    <t>sholley@sfsu.edu</t>
  </si>
  <si>
    <t>Allison Gilchrist</t>
  </si>
  <si>
    <t>agilchri@sfsu.edu</t>
  </si>
  <si>
    <t>Daniel Bernardi</t>
  </si>
  <si>
    <t>bernardi@sfsu.edu</t>
  </si>
  <si>
    <t>Sybil Yang</t>
  </si>
  <si>
    <t>sybil@sfsu.edu</t>
  </si>
  <si>
    <t>Jet Lee</t>
  </si>
  <si>
    <t>jetlee@sfsu.edu</t>
  </si>
  <si>
    <t>Eric Pido</t>
  </si>
  <si>
    <t>epido@sfsu.edu</t>
  </si>
  <si>
    <t>Smitha Antony</t>
  </si>
  <si>
    <t>santony@sfsu.edu</t>
  </si>
  <si>
    <t>Kenji Ikemoto</t>
  </si>
  <si>
    <t>kikemoto@mail.sfsu.edu</t>
  </si>
  <si>
    <t>Alexander Otruba</t>
  </si>
  <si>
    <t>aotruba@sfsu.edu</t>
  </si>
  <si>
    <t>Susan Kazarian</t>
  </si>
  <si>
    <t>kazarian@sfsu.edu</t>
  </si>
  <si>
    <t>Daisy Zamora</t>
  </si>
  <si>
    <t>dzamora@sfsu.edu</t>
  </si>
  <si>
    <t>Matthew O'Neill</t>
  </si>
  <si>
    <t>mmoneill@sfsu.edu</t>
  </si>
  <si>
    <t>Hilary Romanoff</t>
  </si>
  <si>
    <t>hromanoff@sfsu.edu</t>
  </si>
  <si>
    <t>Mary Lim</t>
  </si>
  <si>
    <t>marylim@sfsu.edu</t>
  </si>
  <si>
    <t>Heather-Rose Lacy</t>
  </si>
  <si>
    <t>lacy@sfsu.edu</t>
  </si>
  <si>
    <t>Robert Pina</t>
  </si>
  <si>
    <t>pina@mail.sfsu.edu</t>
  </si>
  <si>
    <t>Sean Crouch</t>
  </si>
  <si>
    <t>scrouch3@sfsu.edu</t>
  </si>
  <si>
    <t>Joanna Yu</t>
  </si>
  <si>
    <t>jchichi@sfsu.edu</t>
  </si>
  <si>
    <t>Nia Snipes</t>
  </si>
  <si>
    <t>niasnipes@sfsu.edu</t>
  </si>
  <si>
    <t>Daniel Guasca</t>
  </si>
  <si>
    <t>dguasca@sfsu.edu</t>
  </si>
  <si>
    <t>Gregory Christensen</t>
  </si>
  <si>
    <t>gchrist@sfsu.edu</t>
  </si>
  <si>
    <t>Rosa Dorantes</t>
  </si>
  <si>
    <t>dorantes@sfsu.edu</t>
  </si>
  <si>
    <t>Gil Perez</t>
  </si>
  <si>
    <t>perezgil@sfsu.edu</t>
  </si>
  <si>
    <t>Luis De Paz</t>
  </si>
  <si>
    <t>ldepaz@sfsu.edu</t>
  </si>
  <si>
    <t>Keegan Medrano</t>
  </si>
  <si>
    <t>keeganm@sfsu.edu</t>
  </si>
  <si>
    <t>Carolina Overton</t>
  </si>
  <si>
    <t>cmartine@sfsu.edu</t>
  </si>
  <si>
    <t>Joanna Englehardt</t>
  </si>
  <si>
    <t>joannae@sfsu.edu</t>
  </si>
  <si>
    <t>Nicholas Holmes</t>
  </si>
  <si>
    <t>nholms@sfsu.edu</t>
  </si>
  <si>
    <t>Noora Larson</t>
  </si>
  <si>
    <t>nlarson@sfsu.edu</t>
  </si>
  <si>
    <t>Eliot Watson</t>
  </si>
  <si>
    <t>eliotwatson@sfsu.edu</t>
  </si>
  <si>
    <t>Laura Griffiths</t>
  </si>
  <si>
    <t>lsengelein@aol.com</t>
  </si>
  <si>
    <t>Asharee Brown</t>
  </si>
  <si>
    <t>asbrown@sfsu.edu</t>
  </si>
  <si>
    <t>Tyler Naismith</t>
  </si>
  <si>
    <t>tsnaismith94@aol.com</t>
  </si>
  <si>
    <t>F. Brady Skinner</t>
  </si>
  <si>
    <t>fskinner@sfsu.edu</t>
  </si>
  <si>
    <t>Michaela Blagg</t>
  </si>
  <si>
    <t>mblagg@mail.sfsu.edu</t>
  </si>
  <si>
    <t>Cassie Vaniotis</t>
  </si>
  <si>
    <t>cvaniotis@sfsu.edu</t>
  </si>
  <si>
    <t>Tony Gonzalez</t>
  </si>
  <si>
    <t>tonygonz@sfsu.edu</t>
  </si>
  <si>
    <t>Karen Pe?a</t>
  </si>
  <si>
    <t>kpena2@sfsu.edu</t>
  </si>
  <si>
    <t>Mira Salas</t>
  </si>
  <si>
    <t>miraksalas@sfsu.edu</t>
  </si>
  <si>
    <t>Valerie  Amoin</t>
  </si>
  <si>
    <t>vamoin@sfsu.edu</t>
  </si>
  <si>
    <t>Maryam Khan</t>
  </si>
  <si>
    <t>mikhan@mail.sfsu.edu</t>
  </si>
  <si>
    <t>Moena Mukai</t>
  </si>
  <si>
    <t>moenam@mail.sfsu.edu</t>
  </si>
  <si>
    <t>Reeta Duong</t>
  </si>
  <si>
    <t>bolormaa@sfsu.mail.edu</t>
  </si>
  <si>
    <t>Mark Swanson</t>
  </si>
  <si>
    <t>swanson@sfsu.edu</t>
  </si>
  <si>
    <t>Beatriz Coll</t>
  </si>
  <si>
    <t>collb@sfsu.edu</t>
  </si>
  <si>
    <t>Cynthia Brannvall</t>
  </si>
  <si>
    <t>cynthiabrannvall@gmail.com</t>
  </si>
  <si>
    <t>Pietro Calogero</t>
  </si>
  <si>
    <t>pietro@sfsu.edu</t>
  </si>
  <si>
    <t>Elias Avinger</t>
  </si>
  <si>
    <t>avingere@sfsu.edu</t>
  </si>
  <si>
    <t>Marie Hamilton</t>
  </si>
  <si>
    <t>mkhamilton@sfsu.edu</t>
  </si>
  <si>
    <t>Jason Mousel</t>
  </si>
  <si>
    <t>jmousel@sfsu.edu</t>
  </si>
  <si>
    <t>Amedeo Simoncini</t>
  </si>
  <si>
    <t>simoncin@sfsu.edu</t>
  </si>
  <si>
    <t>Deepika Ahuja</t>
  </si>
  <si>
    <t>deepikaahuja@sfsu.edu</t>
  </si>
  <si>
    <t>Maiya Evans</t>
  </si>
  <si>
    <t>maiya@sfsu.edu</t>
  </si>
  <si>
    <t>Aaron White</t>
  </si>
  <si>
    <t>aaronwh@mail.sfsu.edu</t>
  </si>
  <si>
    <t>Corrine Aramburo</t>
  </si>
  <si>
    <t>carambur@sfsu.edu</t>
  </si>
  <si>
    <t>Anne Ochampaugh</t>
  </si>
  <si>
    <t>anneo@mail.sfsu.edu</t>
  </si>
  <si>
    <t>Lindsey  Sivaslian</t>
  </si>
  <si>
    <t>lsivas@mail.sfsu.edu</t>
  </si>
  <si>
    <t>Meagan Nance</t>
  </si>
  <si>
    <t>megnance@sfsu.edu</t>
  </si>
  <si>
    <t>Catherine Lipson</t>
  </si>
  <si>
    <t>clipson@mail.sfsu.edu</t>
  </si>
  <si>
    <t>Susan Roe</t>
  </si>
  <si>
    <t>susanroe@sfsu.edu</t>
  </si>
  <si>
    <t>Cecelia Bechelli</t>
  </si>
  <si>
    <t>cecebechelli@sfsu.edu</t>
  </si>
  <si>
    <t>Mary Requa</t>
  </si>
  <si>
    <t>mrequa@sfsu.edu</t>
  </si>
  <si>
    <t>Pardis Farhadian</t>
  </si>
  <si>
    <t>dentalpb@sfsu.edu</t>
  </si>
  <si>
    <t>Katie Murphy</t>
  </si>
  <si>
    <t>murph@sfsu.edu</t>
  </si>
  <si>
    <t>Ben Ridgway</t>
  </si>
  <si>
    <t>bridgway@sfsu.edu</t>
  </si>
  <si>
    <t>Kathlyn Quan</t>
  </si>
  <si>
    <t>kquan1@sfsu.edu</t>
  </si>
  <si>
    <t>Alice Chapman</t>
  </si>
  <si>
    <t>ajc@mail.sfsu.edu</t>
  </si>
  <si>
    <t>Alexandra Pappas</t>
  </si>
  <si>
    <t>apappas@sfsu.edu</t>
  </si>
  <si>
    <t>Samuel Mccormick</t>
  </si>
  <si>
    <t>mccrmck@sfsu.edu</t>
  </si>
  <si>
    <t>Connie Carr</t>
  </si>
  <si>
    <t>ccarr@sfsu.edu</t>
  </si>
  <si>
    <t>John Owens</t>
  </si>
  <si>
    <t>jsowens@sfsu.edu</t>
  </si>
  <si>
    <t>Amber Friesen</t>
  </si>
  <si>
    <t>afriesen@sfsu.edu</t>
  </si>
  <si>
    <t>Kevin Eschleman</t>
  </si>
  <si>
    <t>kesch@sfsu.edu</t>
  </si>
  <si>
    <t>Frederik Green</t>
  </si>
  <si>
    <t>fgreen@sfsu.edu</t>
  </si>
  <si>
    <t>Ashley Marie Parker</t>
  </si>
  <si>
    <t>amp003@mailsfsu.edu</t>
  </si>
  <si>
    <t>Deborah Stein</t>
  </si>
  <si>
    <t>deborahstein@sfsu.edu</t>
  </si>
  <si>
    <t>Daisy Ho</t>
  </si>
  <si>
    <t>daisy.ho@library.ca.gov</t>
  </si>
  <si>
    <t>Haleh Motiey-Payandehjoo</t>
  </si>
  <si>
    <t>halehsf@gmail.com</t>
  </si>
  <si>
    <t>Catherine Kudlick</t>
  </si>
  <si>
    <t>cjkudlick@gmail.com</t>
  </si>
  <si>
    <t>Andrea Swei</t>
  </si>
  <si>
    <t>aswei@sfsu.edu</t>
  </si>
  <si>
    <t>Sarah Crabtree</t>
  </si>
  <si>
    <t>slc123@sfsu.edu</t>
  </si>
  <si>
    <t>Anantha Sudhakar</t>
  </si>
  <si>
    <t>sudhakar@sfsu.edu</t>
  </si>
  <si>
    <t>Silvan Linn</t>
  </si>
  <si>
    <t>silvan@sfsu.edu</t>
  </si>
  <si>
    <t>Fatmir Haskaj</t>
  </si>
  <si>
    <t>fh@sfsu.edu</t>
  </si>
  <si>
    <t>Chanan Tigay</t>
  </si>
  <si>
    <t>tigay@sfsu.edu</t>
  </si>
  <si>
    <t>Mia Segura</t>
  </si>
  <si>
    <t>msegura@sfsu.edu</t>
  </si>
  <si>
    <t>Maria Zavala</t>
  </si>
  <si>
    <t>mza@sfsu.edu</t>
  </si>
  <si>
    <t>Anne Linton</t>
  </si>
  <si>
    <t>aelinton@sfsu.edu</t>
  </si>
  <si>
    <t>Aide Juarez</t>
  </si>
  <si>
    <t>juarez@mail.sfsu.edu</t>
  </si>
  <si>
    <t>Elaine Musselman</t>
  </si>
  <si>
    <t>emusselm@sfsu.edu</t>
  </si>
  <si>
    <t>M. Joaquin</t>
  </si>
  <si>
    <t xml:space="preserve">ejoaquin@sfsu.edu </t>
  </si>
  <si>
    <t>S Lin</t>
  </si>
  <si>
    <t>sl@sfsu.edu</t>
  </si>
  <si>
    <t>Laura Harrington</t>
  </si>
  <si>
    <t>lauraha@sfsu.edu</t>
  </si>
  <si>
    <t>Tiffany O'Shaughnessy</t>
  </si>
  <si>
    <t>taosh@sfsu.edu</t>
  </si>
  <si>
    <t>Michael Mitchell</t>
  </si>
  <si>
    <t>mmitch@sfsu.edu</t>
  </si>
  <si>
    <t>Jocelyn Chan</t>
  </si>
  <si>
    <t>jchan5@sfsu.edu</t>
  </si>
  <si>
    <t>Nyrill Azucena</t>
  </si>
  <si>
    <t>nazucena@sfsu.edu</t>
  </si>
  <si>
    <t>Rimpa Khangura</t>
  </si>
  <si>
    <t>rimpa@sfsu.edu</t>
  </si>
  <si>
    <t xml:space="preserve">Marisa Gymson </t>
  </si>
  <si>
    <t>mjimison@sfsu.edu</t>
  </si>
  <si>
    <t>Morty Diamond</t>
  </si>
  <si>
    <t>mdiamond@sfsu.edu</t>
  </si>
  <si>
    <t>Demarco  Garcia</t>
  </si>
  <si>
    <t>demarco@sfsu.edu</t>
  </si>
  <si>
    <t>Michael Miller</t>
  </si>
  <si>
    <t>mm18007@gmail.com</t>
  </si>
  <si>
    <t>Tedra Matthews</t>
  </si>
  <si>
    <t>tedram@sfsu.edu</t>
  </si>
  <si>
    <t>Deborah Raquel Castro</t>
  </si>
  <si>
    <t>castrodr@sfsu.edu</t>
  </si>
  <si>
    <t>Sahana Vasanth</t>
  </si>
  <si>
    <t>sahana89@sfsu.edu</t>
  </si>
  <si>
    <t>Carlo Domenico Padula</t>
  </si>
  <si>
    <t>cpadula@mail.sfsu.edu</t>
  </si>
  <si>
    <t>Dana Harvey</t>
  </si>
  <si>
    <t>danajayharvey@gmail.com</t>
  </si>
  <si>
    <t>Francesca Dolor</t>
  </si>
  <si>
    <t>fdolor@sfsu.edu</t>
  </si>
  <si>
    <t>Wilton Marin-Cruz</t>
  </si>
  <si>
    <t>wilton@mail.sfsu.edu</t>
  </si>
  <si>
    <t>Sandra Garcia-Fraire</t>
  </si>
  <si>
    <t>sgarciafraire@sfsu.edu</t>
  </si>
  <si>
    <t>Nisha Chauhan-McGrath</t>
  </si>
  <si>
    <t>nchauhan@sfsu.edu</t>
  </si>
  <si>
    <t>Agnes Tumbaga</t>
  </si>
  <si>
    <t>atumbaga@sfsu.edu</t>
  </si>
  <si>
    <t>Josue Maximiliano Garibay</t>
  </si>
  <si>
    <t>garibay@sfsu.edu</t>
  </si>
  <si>
    <t>Xiuwen Chen</t>
  </si>
  <si>
    <t>xchen31@sfsu.edu</t>
  </si>
  <si>
    <t>Libby Chang</t>
  </si>
  <si>
    <t>lchang@sfsu.edu</t>
  </si>
  <si>
    <t>Nancy Barba</t>
  </si>
  <si>
    <t>nbarba2@sfsu.edu</t>
  </si>
  <si>
    <t>Jonathan Farley</t>
  </si>
  <si>
    <t>jfarley1@mail.sfsu.edu</t>
  </si>
  <si>
    <t>Regina Anders-Jefferson</t>
  </si>
  <si>
    <t>reginaa@mail.sfsu.edu</t>
  </si>
  <si>
    <t>Ronny Batista</t>
  </si>
  <si>
    <t>ronnyb@sfsu.edu</t>
  </si>
  <si>
    <t>Lynn La</t>
  </si>
  <si>
    <t>lynnla721@gmail.com</t>
  </si>
  <si>
    <t>Danny Le</t>
  </si>
  <si>
    <t>dannyle219@gmail.com</t>
  </si>
  <si>
    <t>Alvaro Ramos</t>
  </si>
  <si>
    <t>ramosa13@sfsu.edu</t>
  </si>
  <si>
    <t>Shannon Parsons</t>
  </si>
  <si>
    <t>scparsons@sfsu.edu</t>
  </si>
  <si>
    <t>Elaine Aseka Sidori</t>
  </si>
  <si>
    <t>esidori@sfsu.edu</t>
  </si>
  <si>
    <t>Raquel Ramirez</t>
  </si>
  <si>
    <t>rleuqar@mail.sfsu.edu</t>
  </si>
  <si>
    <t>Gary Straub</t>
  </si>
  <si>
    <t>gstraub@sfsu.edu</t>
  </si>
  <si>
    <t>Kayla Koontz</t>
  </si>
  <si>
    <t>koontz@mail.sfsu.edu</t>
  </si>
  <si>
    <t>David Griffis</t>
  </si>
  <si>
    <t>griffis@sfsu.edu</t>
  </si>
  <si>
    <t>Manav Thapar</t>
  </si>
  <si>
    <t>mthapar@sfsu.edu</t>
  </si>
  <si>
    <t>Liz Kreter-Killian</t>
  </si>
  <si>
    <t>ekreterkillian@sfsu.edu</t>
  </si>
  <si>
    <t>Nicholas  Nguyen</t>
  </si>
  <si>
    <t>daftfunk@mail.sfsu.edu</t>
  </si>
  <si>
    <t>Zoe Blalock</t>
  </si>
  <si>
    <t>zblalock@sfsu.edu</t>
  </si>
  <si>
    <t>Hector Estrella</t>
  </si>
  <si>
    <t>hestrell@mail.sfsu.edu</t>
  </si>
  <si>
    <t>Bradley Jong</t>
  </si>
  <si>
    <t>bdjong@sfsu.edu</t>
  </si>
  <si>
    <t>Rima Alsekait</t>
  </si>
  <si>
    <t>ralseka@mail.sfsu.edu</t>
  </si>
  <si>
    <t>Bradley Bowser</t>
  </si>
  <si>
    <t>bowser@sfsu.edu</t>
  </si>
  <si>
    <t>Aviva Sinervo</t>
  </si>
  <si>
    <t>asinervo@sfsu.edu</t>
  </si>
  <si>
    <t>Carnetta Porter</t>
  </si>
  <si>
    <t>porterca@sfsu.edu</t>
  </si>
  <si>
    <t>Shree Rangaraj</t>
  </si>
  <si>
    <t>shr33@sfsu.edu</t>
  </si>
  <si>
    <t>Danette Scheib</t>
  </si>
  <si>
    <t>danette@sfsu.edu</t>
  </si>
  <si>
    <t>Daniel Fontaine</t>
  </si>
  <si>
    <t>Fall 2013</t>
  </si>
  <si>
    <t>Andrea Sproul</t>
  </si>
  <si>
    <t>sproul@sfsu.edu</t>
  </si>
  <si>
    <t>Min Sun</t>
  </si>
  <si>
    <t>msun@mail.sfsu.edu</t>
  </si>
  <si>
    <t>Claire Marion Perrin</t>
  </si>
  <si>
    <t>cperrin@mail.sfsu.edu</t>
  </si>
  <si>
    <t>Andrea Crapanzano</t>
  </si>
  <si>
    <t>acrapanzano@sfsu.edu</t>
  </si>
  <si>
    <t>Anna Studwell</t>
  </si>
  <si>
    <t>astudwel@sfsu.edu</t>
  </si>
  <si>
    <t>Jeonghee Kim</t>
  </si>
  <si>
    <t>jhk@sfsu.edu</t>
  </si>
  <si>
    <t>Tarek Al-Zand</t>
  </si>
  <si>
    <t>talzand@gmail.com</t>
  </si>
  <si>
    <t>David Broekema</t>
  </si>
  <si>
    <t>dbroekema@yahoo.com</t>
  </si>
  <si>
    <t>Shannon Seidel</t>
  </si>
  <si>
    <t>seidel@sfsu.edu</t>
  </si>
  <si>
    <t>Lee Chen-Weinstein</t>
  </si>
  <si>
    <t>leechenw@sfsu.edu</t>
  </si>
  <si>
    <t>Evan Kaiser</t>
  </si>
  <si>
    <t>ekaiser@mail.sfsu.edu</t>
  </si>
  <si>
    <t>Robert Bisquera Jr.</t>
  </si>
  <si>
    <t>rbisquera@sfsu.edu</t>
  </si>
  <si>
    <t>Lea Gabay</t>
  </si>
  <si>
    <t>lgabay@mail.sfsu.edu</t>
  </si>
  <si>
    <t>Tom Robinson</t>
  </si>
  <si>
    <t>tsrobins@mail.sfsu.edu</t>
  </si>
  <si>
    <t>Thu Trinh</t>
  </si>
  <si>
    <t>ttrinh1@mail.sfsu.edu</t>
  </si>
  <si>
    <t>Yang Xiao-Desai</t>
  </si>
  <si>
    <t>yangxiao@sfsu.edu</t>
  </si>
  <si>
    <t>Stephanie Windle</t>
  </si>
  <si>
    <t>slwindle@sfsu.edu</t>
  </si>
  <si>
    <t>Dennis Campbell</t>
  </si>
  <si>
    <t>drcampbe@sfsu.edu</t>
  </si>
  <si>
    <t>Summer Star</t>
  </si>
  <si>
    <t>sstar@sfsu.edu</t>
  </si>
  <si>
    <t>Dawne Adam</t>
  </si>
  <si>
    <t>dcadam@mail.sfsu.edu</t>
  </si>
  <si>
    <t>Venoo Kakar</t>
  </si>
  <si>
    <t>vkakar@sfsu.edu</t>
  </si>
  <si>
    <t>Brendon Peacock</t>
  </si>
  <si>
    <t>bpeacock@mail.sfsu.edu</t>
  </si>
  <si>
    <t>Monica Munoz</t>
  </si>
  <si>
    <t>munoz027@sfsu.edu</t>
  </si>
  <si>
    <t>Paul Asper</t>
  </si>
  <si>
    <t>pasper@sfsu.edu</t>
  </si>
  <si>
    <t>Alexander Stine</t>
  </si>
  <si>
    <t>stine@sfsu.edu</t>
  </si>
  <si>
    <t>Anagha Kulkarni</t>
  </si>
  <si>
    <t>ak@sfsu.edu</t>
  </si>
  <si>
    <t>Bryn O'Shea</t>
  </si>
  <si>
    <t>bposhea@sfsu.edu</t>
  </si>
  <si>
    <t>Melia Fernandez</t>
  </si>
  <si>
    <t>meliafer@mail.sfsu.edu</t>
  </si>
  <si>
    <t>Sean Dmyterko</t>
  </si>
  <si>
    <t>sdmyterk@sfsu.edu</t>
  </si>
  <si>
    <t>Zena Mello</t>
  </si>
  <si>
    <t>zmello@sfsu.edu</t>
  </si>
  <si>
    <t>Xiaorong Zhang</t>
  </si>
  <si>
    <t>xrzhang@sfsu.edu</t>
  </si>
  <si>
    <t>Tamar Brand-Perez</t>
  </si>
  <si>
    <t>tamarbp@sfsu.edu</t>
  </si>
  <si>
    <t>Laura Wayth</t>
  </si>
  <si>
    <t>lwayth@sfsu.edu</t>
  </si>
  <si>
    <t>Jeannie Ichimura</t>
  </si>
  <si>
    <t>jichimur@sfsu.edu</t>
  </si>
  <si>
    <t>Sandra Germinaro</t>
  </si>
  <si>
    <t>sandgerm@sfsu.edu</t>
  </si>
  <si>
    <t>Peter DeHaas</t>
  </si>
  <si>
    <t>pdehaas@sfsu.edu</t>
  </si>
  <si>
    <t>Angela Giattino</t>
  </si>
  <si>
    <t>angelagiattino@gmail.com</t>
  </si>
  <si>
    <t>Julie Harrell</t>
  </si>
  <si>
    <t>jharrell@sfsu.edu</t>
  </si>
  <si>
    <t>Christopher Clemens</t>
  </si>
  <si>
    <t>cclemens@sfsu.edu</t>
  </si>
  <si>
    <t>Jonathan Wong</t>
  </si>
  <si>
    <t>jmcnwong@sfsu.edu</t>
  </si>
  <si>
    <t>Michael Arcega</t>
  </si>
  <si>
    <t>marcega@sfsu.edu</t>
  </si>
  <si>
    <t>Natalia Igu</t>
  </si>
  <si>
    <t>nataliai@sfsu.edu</t>
  </si>
  <si>
    <t>Zahira Merchant</t>
  </si>
  <si>
    <t>zahiram@sfsu.edu</t>
  </si>
  <si>
    <t>Jose Ortiz-Costa</t>
  </si>
  <si>
    <t>jortizco@mail.sfsu.edu</t>
  </si>
  <si>
    <t>Chalyn Newman</t>
  </si>
  <si>
    <t>chalynn@sfsu.edu</t>
  </si>
  <si>
    <t>Orion Steele</t>
  </si>
  <si>
    <t>osteele@sfsu.edu</t>
  </si>
  <si>
    <t>Kristin Stimpson</t>
  </si>
  <si>
    <t>stimpson@sfsu.edu</t>
  </si>
  <si>
    <t>Armin Akhavan</t>
  </si>
  <si>
    <t>armin@sfsu.edu</t>
  </si>
  <si>
    <t>Marcela Garcia-Castanon</t>
  </si>
  <si>
    <t>mgcs@sfsu.edu</t>
  </si>
  <si>
    <t>Michael Odeh</t>
  </si>
  <si>
    <t>modeh@sfsu.edu</t>
  </si>
  <si>
    <t>David Sayers</t>
  </si>
  <si>
    <t>dsayers@sfsu.edu</t>
  </si>
  <si>
    <t>Hui-chi Lo</t>
  </si>
  <si>
    <t>hlo@sfsu.edu</t>
  </si>
  <si>
    <t>Heather Mcmichael</t>
  </si>
  <si>
    <t>hmcm@sfsu.edu</t>
  </si>
  <si>
    <t>Jillian Sobol</t>
  </si>
  <si>
    <t>jsobol@sfsu.edu</t>
  </si>
  <si>
    <t>Richard Ortiz</t>
  </si>
  <si>
    <t>gabe2ro@sfsu.edu</t>
  </si>
  <si>
    <t>N Evrim Emir</t>
  </si>
  <si>
    <t>evrim@sfsu.edu</t>
  </si>
  <si>
    <t>Zhongshan Li</t>
  </si>
  <si>
    <t>zsli@sfsu.edu</t>
  </si>
  <si>
    <t>Julie Williamson</t>
  </si>
  <si>
    <t>julieww@sfsu.edu</t>
  </si>
  <si>
    <t>Guadalupe Gallegos-Diaz</t>
  </si>
  <si>
    <t>lupeatsf@sfsu.edu</t>
  </si>
  <si>
    <t>Mikayla Coble</t>
  </si>
  <si>
    <t>mikaylac@sfsu.edu</t>
  </si>
  <si>
    <t>Jeffrey Budin</t>
  </si>
  <si>
    <t>jbudin@sfsu.edu</t>
  </si>
  <si>
    <t>Diane Camacho</t>
  </si>
  <si>
    <t>dcamach2@sfsu.edu</t>
  </si>
  <si>
    <t>Peg Grady</t>
  </si>
  <si>
    <t>mgrady@sfsu.edu</t>
  </si>
  <si>
    <t>Vince Inglima</t>
  </si>
  <si>
    <t>inglima@sfsu.edu</t>
  </si>
  <si>
    <t>Tobie Kaye</t>
  </si>
  <si>
    <t>tkaye@sfsu.edu</t>
  </si>
  <si>
    <t>Ian Donovan</t>
  </si>
  <si>
    <t>imd@mail.sfsu.edu</t>
  </si>
  <si>
    <t>Angela Jones</t>
  </si>
  <si>
    <t>adjones@sfsu.edu</t>
  </si>
  <si>
    <t>Loic Pritchard</t>
  </si>
  <si>
    <t>loicp@sfsu.edu</t>
  </si>
  <si>
    <t>Mekleet Aytenfsu</t>
  </si>
  <si>
    <t>mekleeta@sfsu.edu</t>
  </si>
  <si>
    <t>Kevin Simonin</t>
  </si>
  <si>
    <t>simonin@sfsu.edu</t>
  </si>
  <si>
    <t>Sarah Bakker</t>
  </si>
  <si>
    <t>sbakker@sfsu.edu</t>
  </si>
  <si>
    <t>Benjamin Millerwhite</t>
  </si>
  <si>
    <t>benmw@sfsu.edu</t>
  </si>
  <si>
    <t>Ethan Worden</t>
  </si>
  <si>
    <t>eworden@sfsu.edu</t>
  </si>
  <si>
    <t>Rachelle Agundes</t>
  </si>
  <si>
    <t>ragundes@sfsu.edu</t>
  </si>
  <si>
    <t>Michael Hoyer</t>
  </si>
  <si>
    <t>mhoyer@sfsu.edu</t>
  </si>
  <si>
    <t>Lisa Villarreal</t>
  </si>
  <si>
    <t>comrade@sfsu.edu</t>
  </si>
  <si>
    <t>Joni Jones</t>
  </si>
  <si>
    <t>omi@sfsu.edu</t>
  </si>
  <si>
    <t>Shahrdad (Shawn) Tabib</t>
  </si>
  <si>
    <t>stabib@sfsu.edu</t>
  </si>
  <si>
    <t>George Barganier</t>
  </si>
  <si>
    <t>gbarg@sfsu.edu</t>
  </si>
  <si>
    <t>Anna Eng</t>
  </si>
  <si>
    <t>annaeng@sfsu.edu</t>
  </si>
  <si>
    <t>Eleanor Lim</t>
  </si>
  <si>
    <t>eleanor.o.lim@gmail.com</t>
  </si>
  <si>
    <t>Younes Mourchid</t>
  </si>
  <si>
    <t>mourchid@sfsu.edu</t>
  </si>
  <si>
    <t>Laura Shroder</t>
  </si>
  <si>
    <t>lshroder@sfsu.edu</t>
  </si>
  <si>
    <t>Brian Hickey</t>
  </si>
  <si>
    <t>hickeyb@sfsu.edu</t>
  </si>
  <si>
    <t>Marcia Canton</t>
  </si>
  <si>
    <t>drcanton@sfsu.edu</t>
  </si>
  <si>
    <t>Smita Trivedi</t>
  </si>
  <si>
    <t>strivedi@sfsu.edu</t>
  </si>
  <si>
    <t>Ting Zhou</t>
  </si>
  <si>
    <t>tingz@sfsu.edu</t>
  </si>
  <si>
    <t>Nga Ho-Dac</t>
  </si>
  <si>
    <t>ngahodac@sfsu.edu</t>
  </si>
  <si>
    <t>Katie Hetherington</t>
  </si>
  <si>
    <t>kkmh@sfsu.edu</t>
  </si>
  <si>
    <t>Brian Aday</t>
  </si>
  <si>
    <t>jaday@sfsu.edu</t>
  </si>
  <si>
    <t>Steve Hockensmith</t>
  </si>
  <si>
    <t>shockens@sfsu.edu</t>
  </si>
  <si>
    <t>Andrew Brosnan</t>
  </si>
  <si>
    <t>abrosnan@sfsu.edu</t>
  </si>
  <si>
    <t>Scott Siegel</t>
  </si>
  <si>
    <t>snsiegel@sfsu.edu</t>
  </si>
  <si>
    <t>Martha Kenney</t>
  </si>
  <si>
    <t>mkenney@sfsu.edu</t>
  </si>
  <si>
    <t>Jesus Alberto Garcia</t>
  </si>
  <si>
    <t>jgar@sfsu.edu</t>
  </si>
  <si>
    <t>Sina Damangir</t>
  </si>
  <si>
    <t>damangir@sfsu.edu</t>
  </si>
  <si>
    <t>Monica Lyons</t>
  </si>
  <si>
    <t>mdlyons@sfsu.edu</t>
  </si>
  <si>
    <t>Rupinder Kaur</t>
  </si>
  <si>
    <t>rkaur1@mail.sfsu.edu</t>
  </si>
  <si>
    <t>Mark Chan</t>
  </si>
  <si>
    <t>yhmchan@sfsu.edu</t>
  </si>
  <si>
    <t>Amanda N. Simons</t>
  </si>
  <si>
    <t>amandansimons@yahoo.com</t>
  </si>
  <si>
    <t>Jiyoung Cha</t>
  </si>
  <si>
    <t>jycha@sfsu.edu</t>
  </si>
  <si>
    <t>Marc Stein</t>
  </si>
  <si>
    <t>marcs@sfsu.edu</t>
  </si>
  <si>
    <t>Christen Sasaki</t>
  </si>
  <si>
    <t>ctsasaki@sfsu.edu</t>
  </si>
  <si>
    <t>Arthur Wong</t>
  </si>
  <si>
    <t>artwong@sfsu.edu</t>
  </si>
  <si>
    <t>Thanh Nguyen</t>
  </si>
  <si>
    <t>nguyen2019@sfsu.edu</t>
  </si>
  <si>
    <t>Misty Kuhn</t>
  </si>
  <si>
    <t>mkuhn@sfsu.edu</t>
  </si>
  <si>
    <t>Akm Newaz</t>
  </si>
  <si>
    <t>akmnewaz@sfsu.edu</t>
  </si>
  <si>
    <t>Zhaoshuo Jiang</t>
  </si>
  <si>
    <t>zsjiang@sfsu.edu</t>
  </si>
  <si>
    <t>Pleuni Pennings</t>
  </si>
  <si>
    <t>pennings@sfsu.edu</t>
  </si>
  <si>
    <t>Carrie Holschuh</t>
  </si>
  <si>
    <t>holschuh@sfsu.edu</t>
  </si>
  <si>
    <t>Kevin Levey</t>
  </si>
  <si>
    <t>klevey@sfsu.edu</t>
  </si>
  <si>
    <t>Bryan Cockrell</t>
  </si>
  <si>
    <t>bcockrel@sfsu.edu</t>
  </si>
  <si>
    <t>M Hajiaboli</t>
  </si>
  <si>
    <t>mhaji@sfsu.edu</t>
  </si>
  <si>
    <t>Aiden Gleisberg</t>
  </si>
  <si>
    <t>akgleis@sfsu.edu</t>
  </si>
  <si>
    <t>Chengnian Wu</t>
  </si>
  <si>
    <t>wucn@sfsu.edu</t>
  </si>
  <si>
    <t>Hiromi Fuji</t>
  </si>
  <si>
    <t>hiromif@sfsu.edu</t>
  </si>
  <si>
    <t>Danielle Pattee</t>
  </si>
  <si>
    <t>dpattee@sfsu.edu</t>
  </si>
  <si>
    <t>Christy Crowley</t>
  </si>
  <si>
    <t>cacrowle@sfsu.edu</t>
  </si>
  <si>
    <t>Diane F Frey</t>
  </si>
  <si>
    <t>dfrey@sfsu.edu</t>
  </si>
  <si>
    <t>Gloria Juarez</t>
  </si>
  <si>
    <t>jgloria@sfsu.edu</t>
  </si>
  <si>
    <t>Nikolas Nackley</t>
  </si>
  <si>
    <t>nnackley@sfsu.edu</t>
  </si>
  <si>
    <t>Dennis Cox</t>
  </si>
  <si>
    <t>dmcox@sfsu.edu</t>
  </si>
  <si>
    <t>Chun Kit Lai</t>
  </si>
  <si>
    <t>cklai@sfsu.edu</t>
  </si>
  <si>
    <t>Nanette Dupont</t>
  </si>
  <si>
    <t>nandu@sfsu.edu</t>
  </si>
  <si>
    <t>Xinzheng Qi</t>
  </si>
  <si>
    <t>QiXinzheng@163.com</t>
  </si>
  <si>
    <t>Gilberto  Sobrinho</t>
  </si>
  <si>
    <t>gilsobrinho@iar.unicamp.br</t>
  </si>
  <si>
    <t>Hsin-Yun Liu</t>
  </si>
  <si>
    <t>hyliu@sfsu.edu</t>
  </si>
  <si>
    <t>Dario Choy</t>
  </si>
  <si>
    <t>dariochoy@sfsu.edu</t>
  </si>
  <si>
    <t>Len Haynes</t>
  </si>
  <si>
    <t>lhaynes@sfsu.edu</t>
  </si>
  <si>
    <t>Axel Ancona Esselmann</t>
  </si>
  <si>
    <t>aanconae@mail.sfsu.edu</t>
  </si>
  <si>
    <t>Christopher Erwin</t>
  </si>
  <si>
    <t>cerwin1@sfsu.edu</t>
  </si>
  <si>
    <t>Emma Ashley-Roth</t>
  </si>
  <si>
    <t>eashleyroth@sfsu.edu</t>
  </si>
  <si>
    <t>Jessica Dyatlov</t>
  </si>
  <si>
    <t>jessdyatlov@sfsu.edu</t>
  </si>
  <si>
    <t>Romel Harmon</t>
  </si>
  <si>
    <t>rharmon1@mail.sfsu.edu</t>
  </si>
  <si>
    <t>Nereyda Valdez</t>
  </si>
  <si>
    <t>nmonteci@sfsu.edu</t>
  </si>
  <si>
    <t>Lindsey Irizarry</t>
  </si>
  <si>
    <t>lirizarr@sfsu.edu</t>
  </si>
  <si>
    <t>Dario Cadoppi</t>
  </si>
  <si>
    <t>dariocadoppi@yahoo.com</t>
  </si>
  <si>
    <t>Iain Raleigh</t>
  </si>
  <si>
    <t>iainraleigh@sfsu.edu</t>
  </si>
  <si>
    <t>Casey Lyons</t>
  </si>
  <si>
    <t>cdlyons@sfsu.edu</t>
  </si>
  <si>
    <t>Celeste Francisco</t>
  </si>
  <si>
    <t>cfranci1@mail.sfsu.edu</t>
  </si>
  <si>
    <t>Cassandra Welch</t>
  </si>
  <si>
    <t>cawelch@sfsu.edu</t>
  </si>
  <si>
    <t>Arianna Vargas</t>
  </si>
  <si>
    <t>avargas2@mail.sfsu.edu</t>
  </si>
  <si>
    <t>Colin Mitchell</t>
  </si>
  <si>
    <t>cj.mitch@live.com</t>
  </si>
  <si>
    <t>Olivia  Flores</t>
  </si>
  <si>
    <t>oflores4@mail.sfsu.edu</t>
  </si>
  <si>
    <t>Maham Khan</t>
  </si>
  <si>
    <t>mkhan786@sfsu.edu</t>
  </si>
  <si>
    <t>Nabila Anguiano</t>
  </si>
  <si>
    <t>nanguian@sfsu.edu</t>
  </si>
  <si>
    <t>Elisa Krieger</t>
  </si>
  <si>
    <t>ekrieger@mail.sfsu.edu</t>
  </si>
  <si>
    <t>Julien Ruvira</t>
  </si>
  <si>
    <t>jruvira@mail.sfsu.edu</t>
  </si>
  <si>
    <t>Arti Darke</t>
  </si>
  <si>
    <t>jewish@sfsu.edu</t>
  </si>
  <si>
    <t>Noelle Lopez</t>
  </si>
  <si>
    <t>nlopezz@sfsu.edu</t>
  </si>
  <si>
    <t>Reza Ghafur</t>
  </si>
  <si>
    <t>rghafur@sfsu.edu</t>
  </si>
  <si>
    <t>Shelby Baizar</t>
  </si>
  <si>
    <t>sbaizar@sfsu.edu</t>
  </si>
  <si>
    <t>Sylvia Gin</t>
  </si>
  <si>
    <t>sgin@sfsu.edu</t>
  </si>
  <si>
    <t>Jia Li</t>
  </si>
  <si>
    <t>ali1@mail.sfsu.edu</t>
  </si>
  <si>
    <t>Bronwyn Dexter</t>
  </si>
  <si>
    <t>bdexter@sfsu.edu</t>
  </si>
  <si>
    <t>Ariel Alvero</t>
  </si>
  <si>
    <t>aalvero@mail.sfsu.edu</t>
  </si>
  <si>
    <t>Ronja Yu</t>
  </si>
  <si>
    <t>ryu@mail.sfsu.edu</t>
  </si>
  <si>
    <t>Laura VanDuren</t>
  </si>
  <si>
    <t>lvandure@mail.sfsu.edu</t>
  </si>
  <si>
    <t>Danielle Silveira</t>
  </si>
  <si>
    <t>dsilveir@mail.sfsu.ed</t>
  </si>
  <si>
    <t>Jaruphan Amphanphisut</t>
  </si>
  <si>
    <t>jamphanp@mail.sfsu.edu</t>
  </si>
  <si>
    <t>Lina Jurkunas</t>
  </si>
  <si>
    <t>ljurkuna@mail.sfsu.edu</t>
  </si>
  <si>
    <t>Jade Tumazi</t>
  </si>
  <si>
    <t>jtumazi@mail.sfsu.edu</t>
  </si>
  <si>
    <t>Amy Collihole</t>
  </si>
  <si>
    <t>acolliho@mail.sfsu.edu</t>
  </si>
  <si>
    <t>Benjamin Huynh</t>
  </si>
  <si>
    <t>benhuynh@sfsu.edu</t>
  </si>
  <si>
    <t>Ileana da Silva</t>
  </si>
  <si>
    <t>idasilva@sfsu.edu</t>
  </si>
  <si>
    <t>Christopher Longenecker</t>
  </si>
  <si>
    <t>clongene@sfsu.edu</t>
  </si>
  <si>
    <t>Francis Wong</t>
  </si>
  <si>
    <t>fwong@mail.sfsu.edu</t>
  </si>
  <si>
    <t>Singing  Chen</t>
  </si>
  <si>
    <t>schen9@sfsu.edu</t>
  </si>
  <si>
    <t>Louisa Roberts</t>
  </si>
  <si>
    <t>lroberts.mlis@gmail.com</t>
  </si>
  <si>
    <t>Alex Cruz</t>
  </si>
  <si>
    <t>acarranza6@sfsu.edu</t>
  </si>
  <si>
    <t>Ashley Wolff</t>
  </si>
  <si>
    <t>awolff@sfsu.edu</t>
  </si>
  <si>
    <t>Marty Soupcoff</t>
  </si>
  <si>
    <t>marty@sfsu.edu</t>
  </si>
  <si>
    <t>Adam Mann</t>
  </si>
  <si>
    <t>aemann2@sfsu.edu</t>
  </si>
  <si>
    <t>Corey Carito</t>
  </si>
  <si>
    <t>ccarito@mail.sfsu.edu</t>
  </si>
  <si>
    <t xml:space="preserve">Anim Khalid </t>
  </si>
  <si>
    <t>akhalid@sfsu.edu</t>
  </si>
  <si>
    <t>Vincent Mai</t>
  </si>
  <si>
    <t>vmai1@mail.sfsu.edu</t>
  </si>
  <si>
    <t>Reeshemah Thornton</t>
  </si>
  <si>
    <t>rthorn@sfsu.edu</t>
  </si>
  <si>
    <t>Dilpreet Kaur</t>
  </si>
  <si>
    <t>dkaur3@mail.sfsu.edu</t>
  </si>
  <si>
    <t>Michala Roan</t>
  </si>
  <si>
    <t>mroan@sfsu.edu</t>
  </si>
  <si>
    <t>Joseph Adams</t>
  </si>
  <si>
    <t>jadams1@sfsu.edu</t>
  </si>
  <si>
    <t>Chris Hepp</t>
  </si>
  <si>
    <t>chepp@sfsu.edu</t>
  </si>
  <si>
    <t>Jason Sison</t>
  </si>
  <si>
    <t>jvictoriano@sfsu.edu</t>
  </si>
  <si>
    <t>Valerie Fernandez</t>
  </si>
  <si>
    <t>vfernandez3@sfsu.edu</t>
  </si>
  <si>
    <t>Jin Kim</t>
  </si>
  <si>
    <t>jeakim@sfsu.edu</t>
  </si>
  <si>
    <t>Terrilyn Woodfin</t>
  </si>
  <si>
    <t>twoodfin@sfsu.edu</t>
  </si>
  <si>
    <t>Gwen Sanderson</t>
  </si>
  <si>
    <t>gwens@sfsu.edu</t>
  </si>
  <si>
    <t>Andrew Valencia</t>
  </si>
  <si>
    <t>andrew24@sfsu.edu</t>
  </si>
  <si>
    <t>Leah Filamor</t>
  </si>
  <si>
    <t>ifilamor@sfsu.edu</t>
  </si>
  <si>
    <t>Kate Amunrud</t>
  </si>
  <si>
    <t>mamunrud@mail.sfsu.edu</t>
  </si>
  <si>
    <t>Dagny Ysais</t>
  </si>
  <si>
    <t>dysais@sfsu.edu</t>
  </si>
  <si>
    <t>Juliet Demeter</t>
  </si>
  <si>
    <t>jdemeter@sfsu.edu</t>
  </si>
  <si>
    <t>Luna, Vargas Luna</t>
  </si>
  <si>
    <t>jvargasl@mail.sfsu.edu</t>
  </si>
  <si>
    <t>Lauren Cirina</t>
  </si>
  <si>
    <t>lcirina@mail.sfsu.edu</t>
  </si>
  <si>
    <t>Mohamed Kennedy Elguhiem</t>
  </si>
  <si>
    <t>melguhiem@mail.sfsu.edu</t>
  </si>
  <si>
    <t>Carson Blickenstaff</t>
  </si>
  <si>
    <t>carsonblickenstaff@sfsu.edu</t>
  </si>
  <si>
    <t>Julissa Ortiz-Delatorre</t>
  </si>
  <si>
    <t>jortizde@sfsu.edu</t>
  </si>
  <si>
    <t>Jian Bin Huang</t>
  </si>
  <si>
    <t>jhuang19@mail.sfsu.edu</t>
  </si>
  <si>
    <t>Perla Merida</t>
  </si>
  <si>
    <t>psmerida@sfsu.edu</t>
  </si>
  <si>
    <t>Jessica Manner</t>
  </si>
  <si>
    <t>jmanner@sfsu.edu</t>
  </si>
  <si>
    <t>Wesley Goldfisher</t>
  </si>
  <si>
    <t>wgoldfis@mail.sfsu.ed</t>
  </si>
  <si>
    <t xml:space="preserve">Sonia Chen </t>
  </si>
  <si>
    <t>soniac@sfsu.edu</t>
  </si>
  <si>
    <t>Inaleigh Johnson</t>
  </si>
  <si>
    <t>ijohnso2@mail.sfsu.edu</t>
  </si>
  <si>
    <t>Marlena Jung</t>
  </si>
  <si>
    <t>mjung1@sfsu.edu</t>
  </si>
  <si>
    <t>Jessica Paz</t>
  </si>
  <si>
    <t>jpaz3@mail.sfsu.edu</t>
  </si>
  <si>
    <t>Katerinne Alvarado</t>
  </si>
  <si>
    <t>kalvarado2@sfsu.edu</t>
  </si>
  <si>
    <t>Madeline Holcomb</t>
  </si>
  <si>
    <t>mholcomb@mail.sfsu.edu</t>
  </si>
  <si>
    <t>A Katout</t>
  </si>
  <si>
    <t>akatout@sfsu.edu</t>
  </si>
  <si>
    <t>Kirsten Ann Dualan</t>
  </si>
  <si>
    <t>kdualan@mail.sfsu.edu</t>
  </si>
  <si>
    <t>Julian Baskys</t>
  </si>
  <si>
    <t>jbaskys@mail.sfsu.edu</t>
  </si>
  <si>
    <t>Marybeth Salem</t>
  </si>
  <si>
    <t>msalem@sfsu.edu</t>
  </si>
  <si>
    <t>Monique Therese Ubungen</t>
  </si>
  <si>
    <t>mubungen1@sfsu.edu</t>
  </si>
  <si>
    <t>Dalia Jimenez</t>
  </si>
  <si>
    <t>daliajimenez9@gmail.com</t>
  </si>
  <si>
    <t>Biviana Ochoa</t>
  </si>
  <si>
    <t>bochoa2@mail.sfsu.edu</t>
  </si>
  <si>
    <t>Alyscia Richards</t>
  </si>
  <si>
    <t>alyscia@sfsu.edu</t>
  </si>
  <si>
    <t>Nelly Escobar</t>
  </si>
  <si>
    <t>nescoba2@mail.sfsu.edu</t>
  </si>
  <si>
    <t>Sara Nuila-Chae</t>
  </si>
  <si>
    <t>snuilachae@mail.sfsu.edu</t>
  </si>
  <si>
    <t>Jenna Meacham</t>
  </si>
  <si>
    <t>jmeach@sfsu.edu</t>
  </si>
  <si>
    <t>Chuanyi Lu</t>
  </si>
  <si>
    <t>cmlu@sfsu.edu</t>
  </si>
  <si>
    <t>Matthew Silverman</t>
  </si>
  <si>
    <t>msilverm@sfsu.edu</t>
  </si>
  <si>
    <t>Cheryll May Villamor</t>
  </si>
  <si>
    <t>cheryllm@sfsu.edu</t>
  </si>
  <si>
    <t>Danvi Vu</t>
  </si>
  <si>
    <t>danvi@sfsu.edu</t>
  </si>
  <si>
    <t>Leslie Samson-Tabakin</t>
  </si>
  <si>
    <t>lsamsont@mail.sfsu.edu</t>
  </si>
  <si>
    <t>Quentin Clark</t>
  </si>
  <si>
    <t>qclark@sfsu.edu</t>
  </si>
  <si>
    <t>Hilary Benton</t>
  </si>
  <si>
    <t>hpbenton@sfsu.edu</t>
  </si>
  <si>
    <t>Christopher Wessels</t>
  </si>
  <si>
    <t>cwessels@sfsu.edu</t>
  </si>
  <si>
    <t>Lora Johnson</t>
  </si>
  <si>
    <t>loraj@sfsu.edu</t>
  </si>
  <si>
    <t>Vidhyacharan Bhaskar</t>
  </si>
  <si>
    <t>charanvb@sfsu.edu</t>
  </si>
  <si>
    <t>Zhihua Li</t>
  </si>
  <si>
    <t>zhihuali@sfsu.edu</t>
  </si>
  <si>
    <t>Krystal Anderson</t>
  </si>
  <si>
    <t>kanders2@sfsu.edu</t>
  </si>
  <si>
    <t>Antonella Vitale</t>
  </si>
  <si>
    <t>antvitale74@gmail.com</t>
  </si>
  <si>
    <t>Alex Embusch</t>
  </si>
  <si>
    <t>aembusch@mail.sfsu.edu</t>
  </si>
  <si>
    <t>Cari Kaufman</t>
  </si>
  <si>
    <t>ckaufman4@sfsu.edu</t>
  </si>
  <si>
    <t>Olive Mitra</t>
  </si>
  <si>
    <t>omitra@sfsu.edu</t>
  </si>
  <si>
    <t>Robert Eap</t>
  </si>
  <si>
    <t>reap@sfsu.edu</t>
  </si>
  <si>
    <t>Ivan Arriaga-Martinez</t>
  </si>
  <si>
    <t>iarriaga@mail.sfsu.edu</t>
  </si>
  <si>
    <t>Wei-Yi Chin</t>
  </si>
  <si>
    <t>wchin@mail.sfsu.edu</t>
  </si>
  <si>
    <t>Angelina Moles</t>
  </si>
  <si>
    <t>amoles@sfsu.edu</t>
  </si>
  <si>
    <t>Roam Romagnoli</t>
  </si>
  <si>
    <t>rromagnoli@sfsu.edu</t>
  </si>
  <si>
    <t>Nadia Chan</t>
  </si>
  <si>
    <t>nadiach@sfsu.edu</t>
  </si>
  <si>
    <t>Rori Rohlfs</t>
  </si>
  <si>
    <t>rrohlfs@sfsu.edu</t>
  </si>
  <si>
    <t>Erik Komoto</t>
  </si>
  <si>
    <t>ekomoto@sfsu.edu</t>
  </si>
  <si>
    <t>R. David Rebanal</t>
  </si>
  <si>
    <t>drebanal@sfsu.edu</t>
  </si>
  <si>
    <t>Violet Ballard</t>
  </si>
  <si>
    <t>dr.violet.ballard@gmail.com</t>
  </si>
  <si>
    <t>Donald Frazier</t>
  </si>
  <si>
    <t>dfrazie1@sfsu.edu</t>
  </si>
  <si>
    <t>Maria  Bastias</t>
  </si>
  <si>
    <t>mbastias@mail.sfsu.edu</t>
  </si>
  <si>
    <t>Lisa Bates</t>
  </si>
  <si>
    <t>ibates@mail.sfsu.edu</t>
  </si>
  <si>
    <t>Sanjeev Chahal</t>
  </si>
  <si>
    <t>sanjeev@sfsu.edu</t>
  </si>
  <si>
    <t>Yue Kang</t>
  </si>
  <si>
    <t>yk@sfsu.edu</t>
  </si>
  <si>
    <t>Merav Tzur</t>
  </si>
  <si>
    <t>mtzur@sfsu.edu</t>
  </si>
  <si>
    <t>Crystal Hsia</t>
  </si>
  <si>
    <t>chsia@mail.sfsu.edu</t>
  </si>
  <si>
    <t>Robert Lowinger</t>
  </si>
  <si>
    <t>lowinger@sfsu.edu</t>
  </si>
  <si>
    <t>Edwin Ochong</t>
  </si>
  <si>
    <t>edochong@yahoo.com</t>
  </si>
  <si>
    <t>Stuart Siegel</t>
  </si>
  <si>
    <t>siegel@sfsu.edu</t>
  </si>
  <si>
    <t>Tony Little</t>
  </si>
  <si>
    <t>adlittle@sfsu.edu</t>
  </si>
  <si>
    <t>Kim Komenich</t>
  </si>
  <si>
    <t>komenich@sfsu.edu</t>
  </si>
  <si>
    <t>James Gilligan</t>
  </si>
  <si>
    <t>jimrgill@sfsu.edu</t>
  </si>
  <si>
    <t>Teresa Gray</t>
  </si>
  <si>
    <t>teresag@sfsu.edu</t>
  </si>
  <si>
    <t>Steve Choe</t>
  </si>
  <si>
    <t>stevec3@sfsu.edu</t>
  </si>
  <si>
    <t>Bradley Hogarth</t>
  </si>
  <si>
    <t>hogarth@sfsu.edu</t>
  </si>
  <si>
    <t>Sherria Taylor</t>
  </si>
  <si>
    <t>sherriat@sfsu.edu</t>
  </si>
  <si>
    <t>Benjamin Forchini</t>
  </si>
  <si>
    <t>forchini@sfsu.edu</t>
  </si>
  <si>
    <t>Yabing Zhao</t>
  </si>
  <si>
    <t>ybzhao@sfsu.edu</t>
  </si>
  <si>
    <t>Min Chen</t>
  </si>
  <si>
    <t>mchen11@sfsu.edu</t>
  </si>
  <si>
    <t>Bing Luo</t>
  </si>
  <si>
    <t>bingluo@sfsu.edu</t>
  </si>
  <si>
    <t>Sean Mcfarland</t>
  </si>
  <si>
    <t>seanmc@sfsu.edu</t>
  </si>
  <si>
    <t>Nicole Adelstein</t>
  </si>
  <si>
    <t>nicoleal@sfsu.edu</t>
  </si>
  <si>
    <t>Melissa Hagan</t>
  </si>
  <si>
    <t>mjhagan@sfsu.edu</t>
  </si>
  <si>
    <t>Mojtaba Azadi Sohi</t>
  </si>
  <si>
    <t>azadi@sfsu.edu</t>
  </si>
  <si>
    <t>Tony Schifano</t>
  </si>
  <si>
    <t>tschif@sfsu.edu</t>
  </si>
  <si>
    <t>Robyn Crook</t>
  </si>
  <si>
    <t>rcrook@sfsu.edu</t>
  </si>
  <si>
    <t>Tao He</t>
  </si>
  <si>
    <t>hetao@sfsu.edu</t>
  </si>
  <si>
    <t>Hao Yue</t>
  </si>
  <si>
    <t>haoyue@sfsu.edu</t>
  </si>
  <si>
    <t>Jimmy Bagley</t>
  </si>
  <si>
    <t>jrbagley@sfsu.edu</t>
  </si>
  <si>
    <t>Katherine Mattes</t>
  </si>
  <si>
    <t>kmattes@sfsu.edu</t>
  </si>
  <si>
    <t>Charmayne Hughes</t>
  </si>
  <si>
    <t>cmhughes@sfsu.edu</t>
  </si>
  <si>
    <t>Thao Pham</t>
  </si>
  <si>
    <t>thpham@sfsu.edu</t>
  </si>
  <si>
    <t>Tomomi Kinukawa</t>
  </si>
  <si>
    <t>tkinukaw@sfsu.edu</t>
  </si>
  <si>
    <t>Timothy Shaw</t>
  </si>
  <si>
    <t>cheftim@sfsu.edu</t>
  </si>
  <si>
    <t>Ana Luengo Palomino</t>
  </si>
  <si>
    <t>aluengo@sfsu.edu</t>
  </si>
  <si>
    <t>Balthazar Beckett</t>
  </si>
  <si>
    <t>balthazar@sfsu.edu</t>
  </si>
  <si>
    <t>Sara Lewis</t>
  </si>
  <si>
    <t>saral@sfsu.edu</t>
  </si>
  <si>
    <t>Kelly Rinehart</t>
  </si>
  <si>
    <t>rinehart@sfsu.edu</t>
  </si>
  <si>
    <t>Mariel De Paz</t>
  </si>
  <si>
    <t>mdepazfe@sfsu.edu</t>
  </si>
  <si>
    <t>Sarolta Cump</t>
  </si>
  <si>
    <t>sjcump@sfsu.edu</t>
  </si>
  <si>
    <t>Elaine Tennant</t>
  </si>
  <si>
    <t>et1083@sfsu.edu</t>
  </si>
  <si>
    <t>Justin Labrado</t>
  </si>
  <si>
    <t>jlabrado@mail.sfsu.edu</t>
  </si>
  <si>
    <t>Bahar Mikhak</t>
  </si>
  <si>
    <t>bmikhak@sfsu.edu</t>
  </si>
  <si>
    <t>Heather Daniels</t>
  </si>
  <si>
    <t>heatherj@sfsu.edu</t>
  </si>
  <si>
    <t>Mandy Ross</t>
  </si>
  <si>
    <t>mandyb@sfsu.edu</t>
  </si>
  <si>
    <t>Michael David Lukas</t>
  </si>
  <si>
    <t>mdlukas@sfsu.edu</t>
  </si>
  <si>
    <t>Yuanhong Chen</t>
  </si>
  <si>
    <t>ychen29@mail.sfsu.edu</t>
  </si>
  <si>
    <t>Adan Puffelis</t>
  </si>
  <si>
    <t>apuffeli@mail.sfsu.edu</t>
  </si>
  <si>
    <t>Rekia Jibrin</t>
  </si>
  <si>
    <t>jibrin@sfsu.edu</t>
  </si>
  <si>
    <t>Robert Kohls</t>
  </si>
  <si>
    <t>rakohls@gmail.com</t>
  </si>
  <si>
    <t>Blanca-Maria Misse</t>
  </si>
  <si>
    <t>bmisse@sfsu.edu</t>
  </si>
  <si>
    <t>Terra Eggink</t>
  </si>
  <si>
    <t>teggink@sfsu.edu</t>
  </si>
  <si>
    <t>Michael Outinen</t>
  </si>
  <si>
    <t>moutinen@sfsu.edu</t>
  </si>
  <si>
    <t>Frances Dibble</t>
  </si>
  <si>
    <t>fdibble@sfsu.edu</t>
  </si>
  <si>
    <t>Sijia Gao</t>
  </si>
  <si>
    <t>sijia_gao2013@163.com</t>
  </si>
  <si>
    <t>Katharine Kreindler</t>
  </si>
  <si>
    <t>kreindle@sfsu.edu</t>
  </si>
  <si>
    <t>Marciana Flores</t>
  </si>
  <si>
    <t>mfloresa@sfsu.edu</t>
  </si>
  <si>
    <t>Cynthia Davis</t>
  </si>
  <si>
    <t>csdavis@sfsu.edu</t>
  </si>
  <si>
    <t>Anastasia Smirnova</t>
  </si>
  <si>
    <t>smirnov@sfsu.edu</t>
  </si>
  <si>
    <t>Taylor Harman</t>
  </si>
  <si>
    <t>tharman@mail.sfsu.edu</t>
  </si>
  <si>
    <t>Konstantinos Kalantzis</t>
  </si>
  <si>
    <t>noemail@sfsu.edu</t>
  </si>
  <si>
    <t>Charlie Mcmenomy</t>
  </si>
  <si>
    <t>mmcmenomy@mail.sfsu.edu</t>
  </si>
  <si>
    <t>Sabrina Ghidossi</t>
  </si>
  <si>
    <t>sghidoss@mail.sfsu.edu</t>
  </si>
  <si>
    <t>Gerson Ascencio</t>
  </si>
  <si>
    <t>gascenci@mail.sfsu.edu</t>
  </si>
  <si>
    <t>Azisa Todd</t>
  </si>
  <si>
    <t>atodd1@mail.sfsu.edu</t>
  </si>
  <si>
    <t>Matthew Cardona</t>
  </si>
  <si>
    <t>mcardona2@mail.sfsu.edu</t>
  </si>
  <si>
    <t>Nhi Nguyen</t>
  </si>
  <si>
    <t>nnguye16@sfsu.edu</t>
  </si>
  <si>
    <t>Michelle Castillo</t>
  </si>
  <si>
    <t>mcastil2@mail.sfsu.edu</t>
  </si>
  <si>
    <t>Rebecca Wood</t>
  </si>
  <si>
    <t>rwood1@mail.sfsu.edu</t>
  </si>
  <si>
    <t>Breanna Montero</t>
  </si>
  <si>
    <t xml:space="preserve"> bmontero@mail.sfsu.edu</t>
  </si>
  <si>
    <t>Stephanie Cyr</t>
  </si>
  <si>
    <t>scyr@sfsu.edu</t>
  </si>
  <si>
    <t>Wyatt Irmen</t>
  </si>
  <si>
    <t>wirmen@mail.sfsu.edu</t>
  </si>
  <si>
    <t>Anton Konevski</t>
  </si>
  <si>
    <t>a.konevski88@gmail.com</t>
  </si>
  <si>
    <t>Pablo Lorenzo Riquelme Cuartero</t>
  </si>
  <si>
    <t>priquelm@sfsu.edu</t>
  </si>
  <si>
    <t>Elena Fader</t>
  </si>
  <si>
    <t>efader@mail.sfsu.edu</t>
  </si>
  <si>
    <t>Justine Morrison</t>
  </si>
  <si>
    <t>jmorris3@sfsu.edu</t>
  </si>
  <si>
    <t>Sonia Khoee</t>
  </si>
  <si>
    <t>soniakhoee@yahoo.com</t>
  </si>
  <si>
    <t>Josue Carreon</t>
  </si>
  <si>
    <t>jcarreo1@sfsu.edu</t>
  </si>
  <si>
    <t>Cheryl Eccles</t>
  </si>
  <si>
    <t>ceccles@mail.sfsu.edu</t>
  </si>
  <si>
    <t>Lauren Wong</t>
  </si>
  <si>
    <t>lwong6@mail.sfsu.edu</t>
  </si>
  <si>
    <t>Eduardo Piaggio</t>
  </si>
  <si>
    <t>epiaggio@mail.sfsu.edu</t>
  </si>
  <si>
    <t>Niah Freeman</t>
  </si>
  <si>
    <t>nfreema1@mail.sfsu.edu</t>
  </si>
  <si>
    <t>Rolando Diaz</t>
  </si>
  <si>
    <t>rdiaz2@sfsu.edu</t>
  </si>
  <si>
    <t>Sarah Purnell</t>
  </si>
  <si>
    <t>spurnel1@mail.sfsu.edu</t>
  </si>
  <si>
    <t>Samuel Roven</t>
  </si>
  <si>
    <t>roven@sfsu.edu</t>
  </si>
  <si>
    <t>Bruna Mota</t>
  </si>
  <si>
    <t>bmota@mail.sfsu.edu</t>
  </si>
  <si>
    <t>Agnes Hong</t>
  </si>
  <si>
    <t>ahong2@sfsu.edu</t>
  </si>
  <si>
    <t>Carolina De Robertis</t>
  </si>
  <si>
    <t>caro@sfsu.edu</t>
  </si>
  <si>
    <t>Alex Orr</t>
  </si>
  <si>
    <t>alexmorr@sfsu.edu</t>
  </si>
  <si>
    <t>Simmy Makhijani</t>
  </si>
  <si>
    <t>simmy@sfsu.edu</t>
  </si>
  <si>
    <t>Rosamond Chadwick</t>
  </si>
  <si>
    <t>incahootspress@gmail.com</t>
  </si>
  <si>
    <t>Jaimy Mann</t>
  </si>
  <si>
    <t>jaimy@sfsu.edu</t>
  </si>
  <si>
    <t>Swati Paul</t>
  </si>
  <si>
    <t>swatip@sfsu.edu</t>
  </si>
  <si>
    <t>Vera Rapcsak</t>
  </si>
  <si>
    <t>vrapcsak@mail.sfsu.edu</t>
  </si>
  <si>
    <t>Mary Reynolds</t>
  </si>
  <si>
    <t>mreynol1@mail.sfsu.edu</t>
  </si>
  <si>
    <t>Adriana Magana</t>
  </si>
  <si>
    <t>almagana@sfsu.edu</t>
  </si>
  <si>
    <t>Nolan Krueger</t>
  </si>
  <si>
    <t>ntkrueger@sfsu.edu</t>
  </si>
  <si>
    <t>Jane Rudebusch</t>
  </si>
  <si>
    <t>jrudebus@mail.sfsu.edu</t>
  </si>
  <si>
    <t>Douglas Codron</t>
  </si>
  <si>
    <t>dcodron@sfsu.edu</t>
  </si>
  <si>
    <t>Genievive del Mundo</t>
  </si>
  <si>
    <t>gen@sfsu.edu</t>
  </si>
  <si>
    <t>Riham Barbar</t>
  </si>
  <si>
    <t>rbarbar@sfsu.edu</t>
  </si>
  <si>
    <t>Kun She</t>
  </si>
  <si>
    <t>kshe@mail.sfsu.edu</t>
  </si>
  <si>
    <t>Ederlyn Peralta</t>
  </si>
  <si>
    <t>eperalt1@mail.sfsu.edu</t>
  </si>
  <si>
    <t>Kali Stover</t>
  </si>
  <si>
    <t>kstover@sfsu.edu</t>
  </si>
  <si>
    <t>Arefa Hossain</t>
  </si>
  <si>
    <t>arefa16@sfsu.edu</t>
  </si>
  <si>
    <t>Vanessa Wei</t>
  </si>
  <si>
    <t>ywei1@mail.sfsu.edu</t>
  </si>
  <si>
    <t>Guido Krickx</t>
  </si>
  <si>
    <t>krickx@sfsu.edu</t>
  </si>
  <si>
    <t>Jung Eun Kim</t>
  </si>
  <si>
    <t>jekim@sfsu.edu</t>
  </si>
  <si>
    <t>Elisa Maria Cornejo Molina</t>
  </si>
  <si>
    <t xml:space="preserve"> ecornejomolina@sfsu.edu </t>
  </si>
  <si>
    <t>Sarah Tsutsui</t>
  </si>
  <si>
    <t>stsutsui@mail.sfsu.edu</t>
  </si>
  <si>
    <t>Gaelan Spor</t>
  </si>
  <si>
    <t>gaelan@sfsu.edu</t>
  </si>
  <si>
    <t>Victor Coronado</t>
  </si>
  <si>
    <t>vcoronad@mail.sfsu.edu</t>
  </si>
  <si>
    <t>Itzel Garcia</t>
  </si>
  <si>
    <t>iagarcia@sfsu.edu</t>
  </si>
  <si>
    <t>Ryan Swanson</t>
  </si>
  <si>
    <t>rswanso2@sfsu.edu</t>
  </si>
  <si>
    <t>Michael Choi</t>
  </si>
  <si>
    <t>mchoi4@sfsu.edu</t>
  </si>
  <si>
    <t>Mattie Taormina</t>
  </si>
  <si>
    <t>mattie15@sfsu.edu</t>
  </si>
  <si>
    <t>Kathryn Kooistra</t>
  </si>
  <si>
    <t>kkooistr@sfsu.edu</t>
  </si>
  <si>
    <t>Wendy Chapman</t>
  </si>
  <si>
    <t>wmc@sfsu.edu</t>
  </si>
  <si>
    <t>Melissa Guzman-Garcia</t>
  </si>
  <si>
    <t>mguz@sfsu.edu</t>
  </si>
  <si>
    <t>Matt Hoffman</t>
  </si>
  <si>
    <t>hoffmanm@sfsu.edu</t>
  </si>
  <si>
    <t>Gina James</t>
  </si>
  <si>
    <t>gjames@sfsu.edu</t>
  </si>
  <si>
    <t>Amichai Lyons</t>
  </si>
  <si>
    <t>alyons@sfsu.edu</t>
  </si>
  <si>
    <t>Kent Lorenz</t>
  </si>
  <si>
    <t>kalorenz@sfsu.edu</t>
  </si>
  <si>
    <t>Claude Bartholomew</t>
  </si>
  <si>
    <t>claude@sfsu.edu</t>
  </si>
  <si>
    <t>Yi Zhou</t>
  </si>
  <si>
    <t>yizhou88@sfsu.edu</t>
  </si>
  <si>
    <t>Hossain Jahani</t>
  </si>
  <si>
    <t>hossain@sfsu.edu</t>
  </si>
  <si>
    <t>Kathleen DeGuzman</t>
  </si>
  <si>
    <t>krfd@sfsu.edu</t>
  </si>
  <si>
    <t>Martha Lincoln</t>
  </si>
  <si>
    <t>mlincoln@sfsu.edu</t>
  </si>
  <si>
    <t>Leticia Hernandez</t>
  </si>
  <si>
    <t>joinleticia@gmail.com</t>
  </si>
  <si>
    <t>Emily Shindledecker</t>
  </si>
  <si>
    <t>eshindle@sfsu.edu</t>
  </si>
  <si>
    <t>Jennifer Stimson</t>
  </si>
  <si>
    <t>jstimson@sfsu.edu</t>
  </si>
  <si>
    <t>Donela Wright</t>
  </si>
  <si>
    <t>dcwright@sfsu.edu</t>
  </si>
  <si>
    <t>Norma Salcedo</t>
  </si>
  <si>
    <t>normasal@sfsu.edu</t>
  </si>
  <si>
    <t>Kim Coble</t>
  </si>
  <si>
    <t>kcoble@sfsu.edu</t>
  </si>
  <si>
    <t>Autumn Thoyre</t>
  </si>
  <si>
    <t>athoyre@sfsu.edu</t>
  </si>
  <si>
    <t>Cesar Rodriguez</t>
  </si>
  <si>
    <t>crodrig@sfsu.edu</t>
  </si>
  <si>
    <t>Nick Sousanis</t>
  </si>
  <si>
    <t>sousanis@sfsu.edu</t>
  </si>
  <si>
    <t>Molly Strear</t>
  </si>
  <si>
    <t>mstrear@sfsu.edu</t>
  </si>
  <si>
    <t>Huizhong Xu</t>
  </si>
  <si>
    <t>huizhong@sfsu.edu</t>
  </si>
  <si>
    <t>Jennifer Daubenmier</t>
  </si>
  <si>
    <t>jdauben@sfsu.edu</t>
  </si>
  <si>
    <t>Stephanie Currie</t>
  </si>
  <si>
    <t>sacurrie@sfsu.edu</t>
  </si>
  <si>
    <t>Olivia Albiero</t>
  </si>
  <si>
    <t>albiero@sfsu.edu</t>
  </si>
  <si>
    <t>Fatima Zahrae Chrifi Alaoui</t>
  </si>
  <si>
    <t>fzalaoui@sfsu.edu</t>
  </si>
  <si>
    <t>Mark Davis</t>
  </si>
  <si>
    <t>mdavis79@sfsu.edu</t>
  </si>
  <si>
    <t>Xue Han</t>
  </si>
  <si>
    <t>hanx@sfsu.edu</t>
  </si>
  <si>
    <t>Ilana Crispi</t>
  </si>
  <si>
    <t>icrispi@sfsu.edu</t>
  </si>
  <si>
    <t>Rachel Gross</t>
  </si>
  <si>
    <t>rbgross@sfsu.edu</t>
  </si>
  <si>
    <t>Susanna Jones</t>
  </si>
  <si>
    <t>susjones@sfsu.edu</t>
  </si>
  <si>
    <t>Elif Balin</t>
  </si>
  <si>
    <t>ebalin@sfsu.edu</t>
  </si>
  <si>
    <t>Yadira Ibarra</t>
  </si>
  <si>
    <t>yibarra@sfsu.edu</t>
  </si>
  <si>
    <t>Ron Hayduk</t>
  </si>
  <si>
    <t>rhayduk@sfsu.edu</t>
  </si>
  <si>
    <t>Emily Clader</t>
  </si>
  <si>
    <t>eclader@sfsu.edu</t>
  </si>
  <si>
    <t>Dustin Ross</t>
  </si>
  <si>
    <t>rossd@sfsu.edu</t>
  </si>
  <si>
    <t>Gaurav Suri</t>
  </si>
  <si>
    <t>suri@sfsu.edu</t>
  </si>
  <si>
    <t>Kimbrough Moore</t>
  </si>
  <si>
    <t>amoore8@sfsu.edu</t>
  </si>
  <si>
    <t>Craig Nathanson</t>
  </si>
  <si>
    <t>craign@sfsu.edu</t>
  </si>
  <si>
    <t>Lissette Jimenez</t>
  </si>
  <si>
    <t>lmj@sfsu.edu</t>
  </si>
  <si>
    <t>Chenwei Li</t>
  </si>
  <si>
    <t>cwli@sfsu.edu</t>
  </si>
  <si>
    <t>Thaomy Beltran</t>
  </si>
  <si>
    <t>thaomy@sfsu.edu</t>
  </si>
  <si>
    <t>Maria Allis</t>
  </si>
  <si>
    <t>mallis@sfsu.edu</t>
  </si>
  <si>
    <t>Molly Shea</t>
  </si>
  <si>
    <t>mvshea@sfsu.edu</t>
  </si>
  <si>
    <t>Martin Dixon</t>
  </si>
  <si>
    <t>mjdixon@sfsu.edu</t>
  </si>
  <si>
    <t>Robert Allen</t>
  </si>
  <si>
    <t>roballen@sfsu.edu</t>
  </si>
  <si>
    <t>Katharine Studer</t>
  </si>
  <si>
    <t>studerk@sfsu.edu</t>
  </si>
  <si>
    <t>Karen Morrison</t>
  </si>
  <si>
    <t>kymorris@sfsu.edu</t>
  </si>
  <si>
    <t>Christopher Yost-Bremm</t>
  </si>
  <si>
    <t>cyb@sfsu.edu</t>
  </si>
  <si>
    <t>Smit Parekh</t>
  </si>
  <si>
    <t>sparekh@mail.sfsu.edu</t>
  </si>
  <si>
    <t>Krista Vikse</t>
  </si>
  <si>
    <t>kristak@sfsu.edu</t>
  </si>
  <si>
    <t>Shih Chu Chou</t>
  </si>
  <si>
    <t>scchou@sfsu.edu</t>
  </si>
  <si>
    <t>Lufei Ruan</t>
  </si>
  <si>
    <t>ruanlf@sfsu.edu</t>
  </si>
  <si>
    <t>Sepideh Modrek</t>
  </si>
  <si>
    <t>smodrek@sfsu.edu</t>
  </si>
  <si>
    <t>Alejandro Velez Melendez</t>
  </si>
  <si>
    <t>avelezm@sfsu.edu</t>
  </si>
  <si>
    <t>James Chao</t>
  </si>
  <si>
    <t>ychao1@mail.sfsu.edu</t>
  </si>
  <si>
    <t>Naima Shalhoub</t>
  </si>
  <si>
    <t>shalhoub@sfsu.edu</t>
  </si>
  <si>
    <t>Nasser Shahrasbi</t>
  </si>
  <si>
    <t>nassersh@sfsu.edu</t>
  </si>
  <si>
    <t>Maryam Hasan</t>
  </si>
  <si>
    <t>maryamhn@sfsu.edu</t>
  </si>
  <si>
    <t>Amir Gohar</t>
  </si>
  <si>
    <t>agohar@sfsu.edu</t>
  </si>
  <si>
    <t>Quinn Rioz</t>
  </si>
  <si>
    <t>quinnrioz@sfsu.edu</t>
  </si>
  <si>
    <t>Dave Sikula</t>
  </si>
  <si>
    <t>dsikula@sfsu.edu</t>
  </si>
  <si>
    <t>London Pinkney</t>
  </si>
  <si>
    <t>lpinkney@mail.sfsu.edu</t>
  </si>
  <si>
    <t>Fatemeh Khalkhal</t>
  </si>
  <si>
    <t>fkhal@sfsu.edu</t>
  </si>
  <si>
    <t>Jeannie Psomas</t>
  </si>
  <si>
    <t>jpsomas@sfsu.edu</t>
  </si>
  <si>
    <t>Arthur Farkas</t>
  </si>
  <si>
    <t>artief@sfsu.edu</t>
  </si>
  <si>
    <t>Manely Sharifian</t>
  </si>
  <si>
    <t>manely@sfsu.edu</t>
  </si>
  <si>
    <t>Lee Friedman</t>
  </si>
  <si>
    <t>leef@sfsu.edu</t>
  </si>
  <si>
    <t>Laura Suth</t>
  </si>
  <si>
    <t>laurassimpson@sfsu.edu</t>
  </si>
  <si>
    <t>Silindra Mcray</t>
  </si>
  <si>
    <t>smcray@sfsu.edu</t>
  </si>
  <si>
    <t>Aileen Lopez</t>
  </si>
  <si>
    <t>alopez50@mail.sfsu.edu</t>
  </si>
  <si>
    <t>Brian Vu</t>
  </si>
  <si>
    <t>brianvu@sfsu.edu</t>
  </si>
  <si>
    <t>Eleanor Morgan</t>
  </si>
  <si>
    <t>emorgan2@mail.sfsu.edu</t>
  </si>
  <si>
    <t>Dawn Lucier</t>
  </si>
  <si>
    <t>dlucier@sfsu.edu</t>
  </si>
  <si>
    <t>Leonardo Cruz</t>
  </si>
  <si>
    <t>cruzl@sfsu.edu</t>
  </si>
  <si>
    <t>Jonathan Pressley</t>
  </si>
  <si>
    <t>jpressley1@sfsu.edu</t>
  </si>
  <si>
    <t>Max Harrington</t>
  </si>
  <si>
    <t>mharrington3@sfsu.edu</t>
  </si>
  <si>
    <t>Garrick Wilhelm</t>
  </si>
  <si>
    <t>garrick@sfsu.edu</t>
  </si>
  <si>
    <t>Whitney Vallabhaneni</t>
  </si>
  <si>
    <t>wvalla@sfsu.edu</t>
  </si>
  <si>
    <t>Joshua Park</t>
  </si>
  <si>
    <t>jpark34@sfsu.edu</t>
  </si>
  <si>
    <t>Cori Miller</t>
  </si>
  <si>
    <t>comiller@sfsu.edu</t>
  </si>
  <si>
    <t>Aydin Jang</t>
  </si>
  <si>
    <t>ajang1@mail.sfsu.edu</t>
  </si>
  <si>
    <t>Joseph Seyedan</t>
  </si>
  <si>
    <t>jseyedan@sfsu.edu</t>
  </si>
  <si>
    <t>Jamie Oppenheim</t>
  </si>
  <si>
    <t>jamieoppenheim@sfsu.edu</t>
  </si>
  <si>
    <t>Teggin Summers</t>
  </si>
  <si>
    <t>teggin@sfsu.edu</t>
  </si>
  <si>
    <t>Michael Martin</t>
  </si>
  <si>
    <t>mmartin47@sfsu.edu</t>
  </si>
  <si>
    <t>Alec Baud</t>
  </si>
  <si>
    <t>abaud@mail.sfsu.edu</t>
  </si>
  <si>
    <t>Kloe Keeter</t>
  </si>
  <si>
    <t>kkeeter@mail.sfsu.edu</t>
  </si>
  <si>
    <t>Lauren Wagner</t>
  </si>
  <si>
    <t>lwagner@sfsu.edu</t>
  </si>
  <si>
    <t>Philip Nguyen</t>
  </si>
  <si>
    <t>pnguyen13@sfsu.edu</t>
  </si>
  <si>
    <t>Bryan Lam</t>
  </si>
  <si>
    <t>blam5@sfsu.edu</t>
  </si>
  <si>
    <t>Rafael Nunez</t>
  </si>
  <si>
    <t>rnunez8@sfsu.edu</t>
  </si>
  <si>
    <t>Chris Sandoval</t>
  </si>
  <si>
    <t>lsandoval2@mail.sfsu.edu</t>
  </si>
  <si>
    <t>Angelica Mendez</t>
  </si>
  <si>
    <t>amendez3@mail.sfsu.edu</t>
  </si>
  <si>
    <t>Jacob Wildermuth</t>
  </si>
  <si>
    <t>jwildermuth@mail.sfsu.edu</t>
  </si>
  <si>
    <t>Jasmine Giblin</t>
  </si>
  <si>
    <t>jgiblin@mail.sfsu.edu</t>
  </si>
  <si>
    <t>Gilbert Alarcon-Cruz</t>
  </si>
  <si>
    <t>galarconcruz@mail.sfsu.edu</t>
  </si>
  <si>
    <t>Emily Hops</t>
  </si>
  <si>
    <t>ehops@sfsu.edu</t>
  </si>
  <si>
    <t>Lisa Tieber Nielson</t>
  </si>
  <si>
    <t>lisatieber@sfsu.edu</t>
  </si>
  <si>
    <t>Nathan Kosta</t>
  </si>
  <si>
    <t>nkosta@mail.sfsu.edu</t>
  </si>
  <si>
    <t>Jeanette Ayala-Rios</t>
  </si>
  <si>
    <t>jayalarios@sfsu.edu</t>
  </si>
  <si>
    <t>Mark Manansala</t>
  </si>
  <si>
    <t>manansala@sfsu.edu</t>
  </si>
  <si>
    <t>Bellal Naderi</t>
  </si>
  <si>
    <t>bnaderi@mail.sfsu.edu</t>
  </si>
  <si>
    <t>Joyce Al-Islam</t>
  </si>
  <si>
    <t>jalislam@sfsu.edu</t>
  </si>
  <si>
    <t>Nicole Meyer</t>
  </si>
  <si>
    <t>nicoleomeyer@sfsu.edu</t>
  </si>
  <si>
    <t>Teresa Pratt</t>
  </si>
  <si>
    <t>tpratt@sfsu.edu</t>
  </si>
  <si>
    <t>Ishman Anderson</t>
  </si>
  <si>
    <t>ianderson@sfsu.edu</t>
  </si>
  <si>
    <t>Prince Estanislao</t>
  </si>
  <si>
    <t>pestanislao@mail.sfsu.edu</t>
  </si>
  <si>
    <t>Nathan White</t>
  </si>
  <si>
    <t>nwhite2@mail.sfsu.edu</t>
  </si>
  <si>
    <t>Sarah Nelson</t>
  </si>
  <si>
    <t>sarahnelson@sfsu.edu</t>
  </si>
  <si>
    <t>Davida Desmond</t>
  </si>
  <si>
    <t>ddesmond1@sfsu.edu</t>
  </si>
  <si>
    <t>Ann Ledo-Lane</t>
  </si>
  <si>
    <t>aledolane@sfsu.edu</t>
  </si>
  <si>
    <t>Garric Smith</t>
  </si>
  <si>
    <t>garricsmith@sfsu.edu</t>
  </si>
  <si>
    <t>Emily Root</t>
  </si>
  <si>
    <t>emilyroot@sfsu.edu</t>
  </si>
  <si>
    <t>Dennis Gillingham</t>
  </si>
  <si>
    <t>dgillingham@sfsu.edu</t>
  </si>
  <si>
    <t>Porscha Moore</t>
  </si>
  <si>
    <t>lmoore12@sfsu.edu</t>
  </si>
  <si>
    <t>Michelle Sinapuelas</t>
  </si>
  <si>
    <t>msinapuelas@sfsu.edu</t>
  </si>
  <si>
    <t>Kendra Harris</t>
  </si>
  <si>
    <t>kcharris@sfsu.edu</t>
  </si>
  <si>
    <t>Roxanne Shooshani</t>
  </si>
  <si>
    <t>roxys@sfsu.edu</t>
  </si>
  <si>
    <t>Tara Hjalmquist</t>
  </si>
  <si>
    <t>thjalmq@sfsu.edu</t>
  </si>
  <si>
    <t>Chris Collins</t>
  </si>
  <si>
    <t>cjcollins@sfsu.edu</t>
  </si>
  <si>
    <t>Ivan Ornelas</t>
  </si>
  <si>
    <t>ivanornelas@sfsu.edu</t>
  </si>
  <si>
    <t>Matthew Reed</t>
  </si>
  <si>
    <t>mattreed@sfsu.edu</t>
  </si>
  <si>
    <t>Tigran Kurkchiyants</t>
  </si>
  <si>
    <t>tkurkchiyants@mail.sfsu.edu</t>
  </si>
  <si>
    <t>Deena Lin</t>
  </si>
  <si>
    <t>deenalin@sfsu.edu</t>
  </si>
  <si>
    <t>Elwyn Moir</t>
  </si>
  <si>
    <t>emoir@mail.sfsu.edu</t>
  </si>
  <si>
    <t>Saroj Quinn</t>
  </si>
  <si>
    <t>sarojquinn@sfsu.edu</t>
  </si>
  <si>
    <t>Mark Fink</t>
  </si>
  <si>
    <t>markfink@sfsu.edu</t>
  </si>
  <si>
    <t>Minling Zhang</t>
  </si>
  <si>
    <t>mzhang8@sfsu.edu</t>
  </si>
  <si>
    <t>Michelle Jungbluth</t>
  </si>
  <si>
    <t>mjungbluth@sfsu.edu</t>
  </si>
  <si>
    <t>Jason Gruzdas</t>
  </si>
  <si>
    <t>jgruzdas@sfsu.edu</t>
  </si>
  <si>
    <t>Stephanie Porcell</t>
  </si>
  <si>
    <t>sporcell@sfsu.edu</t>
  </si>
  <si>
    <t>Jung Hoon Kim</t>
  </si>
  <si>
    <t>jhkim@sfsu.edu</t>
  </si>
  <si>
    <t>Sara Baguskas</t>
  </si>
  <si>
    <t>baguskas@sfsu.edu</t>
  </si>
  <si>
    <t>Lorraine Diaz</t>
  </si>
  <si>
    <t>ldiaz11@sfsu.edu</t>
  </si>
  <si>
    <t>Jalen Sharp</t>
  </si>
  <si>
    <t>jsharp2@mail.sfsu.edu</t>
  </si>
  <si>
    <t>Arjita Sethi</t>
  </si>
  <si>
    <t>arjita@sfsu.edu</t>
  </si>
  <si>
    <t>Satomi Abe</t>
  </si>
  <si>
    <t>sabe2@mail.sfsu.edu</t>
  </si>
  <si>
    <t>Maryssa Mitsch</t>
  </si>
  <si>
    <t>mmitsch@sfsu.edu</t>
  </si>
  <si>
    <t>Meredith Reifschneider</t>
  </si>
  <si>
    <t>mreifschneider@sfsu.edu</t>
  </si>
  <si>
    <t>Alicia Reid</t>
  </si>
  <si>
    <t>aliciareid@sfsu.edu</t>
  </si>
  <si>
    <t>Ryan Smith</t>
  </si>
  <si>
    <t>ryansmith@sfsu.edu</t>
  </si>
  <si>
    <t>Rex Cheung</t>
  </si>
  <si>
    <t>rexcheung@sfsu.edu</t>
  </si>
  <si>
    <t>Ian Dunham</t>
  </si>
  <si>
    <t>iandunham@sfsu.edu</t>
  </si>
  <si>
    <t>Nara Jeong</t>
  </si>
  <si>
    <t>narajeong@sfsu.edu</t>
  </si>
  <si>
    <t>Yifan Li</t>
  </si>
  <si>
    <t>yifanli@sfsu.edu</t>
  </si>
  <si>
    <t>Veronica Rabelo</t>
  </si>
  <si>
    <t>rabelo@sfsu.edu</t>
  </si>
  <si>
    <t>Carole Kulik</t>
  </si>
  <si>
    <t>carolekulik@sfsu.edu</t>
  </si>
  <si>
    <t>Casey Nesbit</t>
  </si>
  <si>
    <t>cnesbit@sfsu.edu</t>
  </si>
  <si>
    <t>Diana Sanchez</t>
  </si>
  <si>
    <t>sanchezdianar@sfsu.edu</t>
  </si>
  <si>
    <t>William Jacobs</t>
  </si>
  <si>
    <t>wjacobs@sfsu.edu</t>
  </si>
  <si>
    <t>Jason  Cantley</t>
  </si>
  <si>
    <t>cantley@sfsu.edu</t>
  </si>
  <si>
    <t>Mari Hulick</t>
  </si>
  <si>
    <t>mh@sfsu.edu</t>
  </si>
  <si>
    <t>Libby Black</t>
  </si>
  <si>
    <t>libbyblack@sfsu.edu</t>
  </si>
  <si>
    <t>Lauren Jessica Wheeler-Dublin</t>
  </si>
  <si>
    <t>lwheelerdubin@sfsu.edu</t>
  </si>
  <si>
    <t>Kathi Lampkin</t>
  </si>
  <si>
    <t>klampkin@sfsu.edu</t>
  </si>
  <si>
    <t>Patrick Sage</t>
  </si>
  <si>
    <t>patrickmsage@sfsu.edu</t>
  </si>
  <si>
    <t>Gianna Shields</t>
  </si>
  <si>
    <t>gshields@mail.sfsu.edu</t>
  </si>
  <si>
    <t>Nicholas Conway</t>
  </si>
  <si>
    <t>nickconway@sfsu.edu</t>
  </si>
  <si>
    <t>Emiko Takagi</t>
  </si>
  <si>
    <t>etakagi@sfsu.edu</t>
  </si>
  <si>
    <t>David Pena-Guzman</t>
  </si>
  <si>
    <t>davidmpena@sfsu.edu</t>
  </si>
  <si>
    <t>Caitlin Dolan</t>
  </si>
  <si>
    <t>cedolan@sfsu.edu</t>
  </si>
  <si>
    <t>Kevin Chen</t>
  </si>
  <si>
    <t>kevinbchen@sfsu.edu</t>
  </si>
  <si>
    <t>Christophe Ley</t>
  </si>
  <si>
    <t>christopheley@sfsu.edu</t>
  </si>
  <si>
    <t>Rashid R. Kohan</t>
  </si>
  <si>
    <t>kohan@sfsu.edu</t>
  </si>
  <si>
    <t>Anthony Pahnke</t>
  </si>
  <si>
    <t>anthonypahnke@sfsu.edu</t>
  </si>
  <si>
    <t>Camree May</t>
  </si>
  <si>
    <t>camreemay@sfsu.edu</t>
  </si>
  <si>
    <t>Ryan Moore</t>
  </si>
  <si>
    <t>rymaxmoore7370@sfsu.edu</t>
  </si>
  <si>
    <t>Elizabeth Ramirez-Soto</t>
  </si>
  <si>
    <t>Eramirezsoto@sfsu.edu</t>
  </si>
  <si>
    <t>Victoria Lee</t>
  </si>
  <si>
    <t>victorialee@sfsu.edu</t>
  </si>
  <si>
    <t>Katharine Mahalic</t>
  </si>
  <si>
    <t>kmahalic@sfsu.edu</t>
  </si>
  <si>
    <t>Rachel Zemser</t>
  </si>
  <si>
    <t>rzemser@sfsu.edu</t>
  </si>
  <si>
    <t>Meredith Benton</t>
  </si>
  <si>
    <t>mbenton@sfsu.edu</t>
  </si>
  <si>
    <t>Mark Almond</t>
  </si>
  <si>
    <t>malmond@sfsu.edu</t>
  </si>
  <si>
    <t>Noelle Anderson</t>
  </si>
  <si>
    <t>noelleand@sfsu.edu</t>
  </si>
  <si>
    <t>Kendra Pearson</t>
  </si>
  <si>
    <t>kpearson1@mail.sfsu.edu</t>
  </si>
  <si>
    <t>Kathryn Bruin</t>
  </si>
  <si>
    <t>kathybruin@sfsu.edu</t>
  </si>
  <si>
    <t>Michel Fraser</t>
  </si>
  <si>
    <t>mfraser3@mail.sfsu.edu</t>
  </si>
  <si>
    <t>Tony Alfaro</t>
  </si>
  <si>
    <t>aalfaro2@mail.sfsu.edu</t>
  </si>
  <si>
    <t>Thor Olsen</t>
  </si>
  <si>
    <t>tolsen@mail.sfsu.edu</t>
  </si>
  <si>
    <t>Jason Welch</t>
  </si>
  <si>
    <t>jasonwelch@sfsu.edu</t>
  </si>
  <si>
    <t>Anita Seralathan</t>
  </si>
  <si>
    <t>anitas@sfsu.edu</t>
  </si>
  <si>
    <t>Erica Sanchez</t>
  </si>
  <si>
    <t>elsanchez09@sfsu.edu</t>
  </si>
  <si>
    <t>Tessa Cruz</t>
  </si>
  <si>
    <t>tessacruz@sfsu.edu</t>
  </si>
  <si>
    <t>Lorena Benitez Rivera</t>
  </si>
  <si>
    <t>lbenitezrivera@mail.sfsu.edu</t>
  </si>
  <si>
    <t>Jacob Dinardi</t>
  </si>
  <si>
    <t>jdinardi@sfsu.edu</t>
  </si>
  <si>
    <t>Zachary Russi</t>
  </si>
  <si>
    <t>zrussi@mail.sfsu.edu</t>
  </si>
  <si>
    <t>Shalom Gutierrez Diaz-Henry</t>
  </si>
  <si>
    <t>sgutierrez15@sfsu.edu</t>
  </si>
  <si>
    <t>Komal Virk</t>
  </si>
  <si>
    <t>kvirk@mail.sfsu.edu</t>
  </si>
  <si>
    <t>Menaal Alowdi</t>
  </si>
  <si>
    <t>malowdi@mail.sfsu.edu</t>
  </si>
  <si>
    <t>Efren Bose</t>
  </si>
  <si>
    <t>efren@sfsu.edu</t>
  </si>
  <si>
    <t>Roque Coral-Herrera</t>
  </si>
  <si>
    <t>rcoralherrera@mail.sfsu.edu</t>
  </si>
  <si>
    <t>Brendan Todd</t>
  </si>
  <si>
    <t>btodd1@mail.sfsu.edu</t>
  </si>
  <si>
    <t>Josh Prado</t>
  </si>
  <si>
    <t>jprado2@mail.sfsu.edu</t>
  </si>
  <si>
    <t>Kirk Labriola</t>
  </si>
  <si>
    <t>klabriola@mail.sfsu.edu</t>
  </si>
  <si>
    <t>Kwadwo Duane Deterville</t>
  </si>
  <si>
    <t>ddeterville@sfsu.edu</t>
  </si>
  <si>
    <t>Soyeong Bak</t>
  </si>
  <si>
    <t>sbak1@mail.sfsu.edu</t>
  </si>
  <si>
    <t>Paul Deangelis</t>
  </si>
  <si>
    <t>pdeangelis@sfsu.edu</t>
  </si>
  <si>
    <t>Eeshan Kumar</t>
  </si>
  <si>
    <t>ekumar@mail.sfsu.edu</t>
  </si>
  <si>
    <t>Kelly Le</t>
  </si>
  <si>
    <t>kle39@sfsu.edu</t>
  </si>
  <si>
    <t>Dvorah Lewis</t>
  </si>
  <si>
    <t>dvorahlewis@sfsu.edu</t>
  </si>
  <si>
    <t>Shannon Clawson</t>
  </si>
  <si>
    <t>sclawson@sfsu.edu</t>
  </si>
  <si>
    <t>Brett Collins</t>
  </si>
  <si>
    <t>bcollins1@sfsu.edu</t>
  </si>
  <si>
    <t>Zach Smirnov</t>
  </si>
  <si>
    <t>zsmirnov@mail.sfsu.edu</t>
  </si>
  <si>
    <t>Christina Warren</t>
  </si>
  <si>
    <t>tinawarren@sfsu.edu</t>
  </si>
  <si>
    <t>Stefan Gougherty</t>
  </si>
  <si>
    <t>sgougherty@sfsu.edu</t>
  </si>
  <si>
    <t>Carolyne Cook</t>
  </si>
  <si>
    <t>cookc@sfsu.edu</t>
  </si>
  <si>
    <t>Leilani Serafin</t>
  </si>
  <si>
    <t>lserafin81@gmail.com</t>
  </si>
  <si>
    <t>Carlos Quinteros</t>
  </si>
  <si>
    <t>cquinteros@mail.sfsu.edu</t>
  </si>
  <si>
    <t>Daniel Figueroa Paniagua</t>
  </si>
  <si>
    <t>dfigueroapaniagua@mail.sfsu.edu</t>
  </si>
  <si>
    <t>Joanne Derbort</t>
  </si>
  <si>
    <t>jdderbort@sfsu.edu</t>
  </si>
  <si>
    <t>Elana Naftalin-Kelman</t>
  </si>
  <si>
    <t>enaftalinkelman@sfsu.edu</t>
  </si>
  <si>
    <t>Wagner Peng</t>
  </si>
  <si>
    <t>wpeng1@sfsu.edu</t>
  </si>
  <si>
    <t>Ruby Ming</t>
  </si>
  <si>
    <t>rming@mail.sfsu.edu</t>
  </si>
  <si>
    <t>Nicole Shaffer</t>
  </si>
  <si>
    <t>nshaffer@mail.sfsu.edu</t>
  </si>
  <si>
    <t>Laura Mizuha</t>
  </si>
  <si>
    <t>lmizuha@gmail.com</t>
  </si>
  <si>
    <t>Tudor Amza</t>
  </si>
  <si>
    <t>tamza@mail.sfsu.edu</t>
  </si>
  <si>
    <t>Merilee Mcdougal</t>
  </si>
  <si>
    <t>merileemcdougal@sfsu.edu</t>
  </si>
  <si>
    <t>Domenic Gulli</t>
  </si>
  <si>
    <t>dgulli@mail.sfsu.edu</t>
  </si>
  <si>
    <t>Fabio De Martino</t>
  </si>
  <si>
    <t>fabio@sfsu.edu</t>
  </si>
  <si>
    <t>Pari Golchehreh</t>
  </si>
  <si>
    <t>parile525@gmail.com</t>
  </si>
  <si>
    <t>Carina Gallo</t>
  </si>
  <si>
    <t>cgallo@sfsu.edu</t>
  </si>
  <si>
    <t>Chenghao Hu</t>
  </si>
  <si>
    <t>chhu@sfsu.edu</t>
  </si>
  <si>
    <t>Robert Bonner</t>
  </si>
  <si>
    <t>bonner@sfsu.edu</t>
  </si>
  <si>
    <t>Tai-Yin Chi</t>
  </si>
  <si>
    <t>tchi@sfsu.edu</t>
  </si>
  <si>
    <t>Wei Huang</t>
  </si>
  <si>
    <t>weihuang@sfsu.edu</t>
  </si>
  <si>
    <t>Tien Lee</t>
  </si>
  <si>
    <t>tienlee@sfsu.edu</t>
  </si>
  <si>
    <t>Joanne Sopt</t>
  </si>
  <si>
    <t>joannesopt@sfsu.edu</t>
  </si>
  <si>
    <t>Dayna Herbert Walker</t>
  </si>
  <si>
    <t>dowalker@sfsu.edu</t>
  </si>
  <si>
    <t>Brian Yang</t>
  </si>
  <si>
    <t>brianyang@sfsu.edu</t>
  </si>
  <si>
    <t>Guillaume Faddoul</t>
  </si>
  <si>
    <t>gfaddoul@sfsu.edu</t>
  </si>
  <si>
    <t>Leia Bagesteiro</t>
  </si>
  <si>
    <t>lbb@sfsu.edu</t>
  </si>
  <si>
    <t>Paige Viren</t>
  </si>
  <si>
    <t>paigeviren@sfsu.edu</t>
  </si>
  <si>
    <t>Priyanka Joshi</t>
  </si>
  <si>
    <t>priyankajoshi@sfsu.edu</t>
  </si>
  <si>
    <t>Ana Lourdes Cardenas</t>
  </si>
  <si>
    <t>lourdescardenas@sfsu.edu</t>
  </si>
  <si>
    <t>See Won Byun</t>
  </si>
  <si>
    <t>sbyun@sfsu.edu</t>
  </si>
  <si>
    <t>Shabnam Piryaei</t>
  </si>
  <si>
    <t>spiryaei@sfsu.edu</t>
  </si>
  <si>
    <t>Arezoo Islami</t>
  </si>
  <si>
    <t>arezooi@sfsu.edu</t>
  </si>
  <si>
    <t>Rebecca Eissler</t>
  </si>
  <si>
    <t>reissler@sfsu.edu</t>
  </si>
  <si>
    <t>Laura Green</t>
  </si>
  <si>
    <t>lagreen@sfsu.edu</t>
  </si>
  <si>
    <t>Ivan Anastassov</t>
  </si>
  <si>
    <t>ianastassov@sfsu.edu</t>
  </si>
  <si>
    <t>Jingjing Qiu</t>
  </si>
  <si>
    <t>qiu@sfsu.edu</t>
  </si>
  <si>
    <t>Nicole Salazar Velmeshev</t>
  </si>
  <si>
    <t>nsave@sfsu.edu</t>
  </si>
  <si>
    <t>Bridget Gelms</t>
  </si>
  <si>
    <t>bgelms@sfsu.edu</t>
  </si>
  <si>
    <t>David Quintero</t>
  </si>
  <si>
    <t>qdavid@sfsu.edu</t>
  </si>
  <si>
    <t>Scott Eigenhuis</t>
  </si>
  <si>
    <t>seigenhuis@sfsu.edu</t>
  </si>
  <si>
    <t>Tina Lin</t>
  </si>
  <si>
    <t>tinaln@sfsu.edu</t>
  </si>
  <si>
    <t>Andy Yao</t>
  </si>
  <si>
    <t>yaoa@sfsu.edu</t>
  </si>
  <si>
    <t>Noe Mora</t>
  </si>
  <si>
    <t>noemora@sfsu.edu</t>
  </si>
  <si>
    <t>Zubaida Qamar</t>
  </si>
  <si>
    <t>qz@sfsu.edu</t>
  </si>
  <si>
    <t>Angelica Camacho</t>
  </si>
  <si>
    <t>camachoa@sfsu.edu</t>
  </si>
  <si>
    <t>McCall Olson</t>
  </si>
  <si>
    <t>mccallolson@sfsu.edu</t>
  </si>
  <si>
    <t>Daniel Acosta Elkan</t>
  </si>
  <si>
    <t>daelkan@sfsu.edu</t>
  </si>
  <si>
    <t>Miho Lee</t>
  </si>
  <si>
    <t>mihola@sfsu.edu</t>
  </si>
  <si>
    <t>Karen Boyce</t>
  </si>
  <si>
    <t>boycek@sfsu.edu</t>
  </si>
  <si>
    <t>Abeer Aljarrah</t>
  </si>
  <si>
    <t>abeer@sfsu.edu</t>
  </si>
  <si>
    <t>Pooyan Fazli</t>
  </si>
  <si>
    <t>pooyan@sfsu.edu</t>
  </si>
  <si>
    <t>Aritree Samanta</t>
  </si>
  <si>
    <t>asamanta@sfsu.edu</t>
  </si>
  <si>
    <t>Sara-Lee Jaffe</t>
  </si>
  <si>
    <t>sarajaffe@sfsu.edu</t>
  </si>
  <si>
    <t>Kaho Tisthammer</t>
  </si>
  <si>
    <t>ktist@sfsu.edu</t>
  </si>
  <si>
    <t>Zoe Mccloskey</t>
  </si>
  <si>
    <t>zmccloskey@sfsu.edu</t>
  </si>
  <si>
    <t>Marley Zalay</t>
  </si>
  <si>
    <t>mzalay@sfsu.edu</t>
  </si>
  <si>
    <t>Abdur Sikder</t>
  </si>
  <si>
    <t>abdur@sfsu.edu</t>
  </si>
  <si>
    <t>Judy Picetti</t>
  </si>
  <si>
    <t>jpicetti@sfsu.edu</t>
  </si>
  <si>
    <t>Aimee Suzara</t>
  </si>
  <si>
    <t>asuzara@sfsu.edu</t>
  </si>
  <si>
    <t>Amir Pourmousa</t>
  </si>
  <si>
    <t>amirpourmousa@sfsu.edu</t>
  </si>
  <si>
    <t>Malahat Fardadi</t>
  </si>
  <si>
    <t>mfardadi@sfsu.edu</t>
  </si>
  <si>
    <t>Kimberly Young</t>
  </si>
  <si>
    <t>young.kim.ann@gmail.com</t>
  </si>
  <si>
    <t>Eileene Tejada</t>
  </si>
  <si>
    <t>ectejada@sfsu.edu</t>
  </si>
  <si>
    <t>Tyler Lacy</t>
  </si>
  <si>
    <t>tylerclacy@sfsu.edu</t>
  </si>
  <si>
    <t>Thomas Lugo</t>
  </si>
  <si>
    <t>tlugo@sfsu.edu</t>
  </si>
  <si>
    <t>Rashad Small</t>
  </si>
  <si>
    <t>jrashadsmall@gmail.com</t>
  </si>
  <si>
    <t>Joshua Mcveigh-Schultz</t>
  </si>
  <si>
    <t>jmcvs@sfsu.edu</t>
  </si>
  <si>
    <t>Pedro Osorio</t>
  </si>
  <si>
    <t>pedroosorio@sfsu.edu</t>
  </si>
  <si>
    <t>Alta Laure Fleurentin</t>
  </si>
  <si>
    <t>loyfle10@sfsu.edu</t>
  </si>
  <si>
    <t>Michael Cortina</t>
  </si>
  <si>
    <t>michaelcortina@sfsu.edu</t>
  </si>
  <si>
    <t>Stacy Peterson</t>
  </si>
  <si>
    <t>smpeterson@sfsu.edu</t>
  </si>
  <si>
    <t>Marlon Gayle</t>
  </si>
  <si>
    <t>mgayle@sfsu.edu</t>
  </si>
  <si>
    <t>Shuxin JI</t>
  </si>
  <si>
    <t>shuxinji@sfsu.edu</t>
  </si>
  <si>
    <t>Gem Le</t>
  </si>
  <si>
    <t>gemle@sfsu.edu</t>
  </si>
  <si>
    <t>Callie Branstiter</t>
  </si>
  <si>
    <t>callie.branstiter@gmail.com</t>
  </si>
  <si>
    <t>Peter Hendricks</t>
  </si>
  <si>
    <t>peterhendricks@sfsu.edu</t>
  </si>
  <si>
    <t>Gregory Tate</t>
  </si>
  <si>
    <t>gregorytate3@icloud.com</t>
  </si>
  <si>
    <t>Natasha Smith</t>
  </si>
  <si>
    <t>coachtash@sfsu.edu</t>
  </si>
  <si>
    <t>Steven Garen</t>
  </si>
  <si>
    <t>sgaren@sfsu.edu</t>
  </si>
  <si>
    <t>Danielle Lundstrom</t>
  </si>
  <si>
    <t>dlundstrom@sfsu.edu</t>
  </si>
  <si>
    <t>Mia Reisweber</t>
  </si>
  <si>
    <t>mreisweber@sfsu.edu</t>
  </si>
  <si>
    <t>Bucket Manyweather</t>
  </si>
  <si>
    <t>bucketmanyweather@sfsu.edu</t>
  </si>
  <si>
    <t>John DeMartini</t>
  </si>
  <si>
    <t>jdemartini@sfsu.edu</t>
  </si>
  <si>
    <t>Lisa  Ike</t>
  </si>
  <si>
    <t>lsike7@gmail.com</t>
  </si>
  <si>
    <t>Vreni Michelini Castillo</t>
  </si>
  <si>
    <t>professorv@sfsu.edu</t>
  </si>
  <si>
    <t>Linda Mariscal</t>
  </si>
  <si>
    <t>lmariscal@sfsu.edu</t>
  </si>
  <si>
    <t>Michael Gilbertson</t>
  </si>
  <si>
    <t>mgilbertson@sfsu.edu</t>
  </si>
  <si>
    <t>Sander Salguero</t>
  </si>
  <si>
    <t>sander.salguero@gmail.com</t>
  </si>
  <si>
    <t>Isabel Hyo Jung Song</t>
  </si>
  <si>
    <t>hjsong@sfsu.edu</t>
  </si>
  <si>
    <t>Anusha Sundarrajan</t>
  </si>
  <si>
    <t>anusha@sfsu.edu</t>
  </si>
  <si>
    <t>Youmna Assad</t>
  </si>
  <si>
    <t>youmnaa2018@sfsu.edu</t>
  </si>
  <si>
    <t>Jesus Solorio</t>
  </si>
  <si>
    <t>jesussolorio@sfsu.edu</t>
  </si>
  <si>
    <t>Jessie Mcgee</t>
  </si>
  <si>
    <t>jmcgee@sfsu.edu</t>
  </si>
  <si>
    <t>Nanci Roman Gonzalez</t>
  </si>
  <si>
    <t>nromangonzalez@sfsu.edu</t>
  </si>
  <si>
    <t>Ismael Lara</t>
  </si>
  <si>
    <t>ilara@sfsu.edu</t>
  </si>
  <si>
    <t>Brett Williams</t>
  </si>
  <si>
    <t>rwilliams3@sfsu.edu</t>
  </si>
  <si>
    <t>Mehmet Selim Gunay</t>
  </si>
  <si>
    <t>mgunay@sfsu.edu</t>
  </si>
  <si>
    <t>Ronald Appin</t>
  </si>
  <si>
    <t>rappin@sfsu.edu</t>
  </si>
  <si>
    <t>Heidi Carlsen</t>
  </si>
  <si>
    <t>hcarlsen@sfsu.edu</t>
  </si>
  <si>
    <t>Dorothy Perea</t>
  </si>
  <si>
    <t>dorothyperea@sfsu.edu</t>
  </si>
  <si>
    <t>Jennifer Menjivar-Baumann</t>
  </si>
  <si>
    <t>jenmenjivar@sfsu.edu</t>
  </si>
  <si>
    <t>Joseph Nezwek</t>
  </si>
  <si>
    <t>jnezwek@sfsu.edu</t>
  </si>
  <si>
    <t>Salma Begum</t>
  </si>
  <si>
    <t>salmab19@sfsu.edu</t>
  </si>
  <si>
    <t>Hanako Asakura</t>
  </si>
  <si>
    <t>kuroinu@sfsu.edu</t>
  </si>
  <si>
    <t>Leonardo De Assis</t>
  </si>
  <si>
    <t>lpgassis@sfsu.edu</t>
  </si>
  <si>
    <t>Michelle Toney</t>
  </si>
  <si>
    <t>mstoney@sfsu.edu</t>
  </si>
  <si>
    <t>Socorro Soberano</t>
  </si>
  <si>
    <t>ssoberano@sfsu.edu</t>
  </si>
  <si>
    <t>Cliff Caruthers</t>
  </si>
  <si>
    <t>cliffc@sfsu.edu</t>
  </si>
  <si>
    <t>Ida Poberezovsky</t>
  </si>
  <si>
    <t>idapoberezovsky@ramsinc.org</t>
  </si>
  <si>
    <t>Max Lee</t>
  </si>
  <si>
    <t>mclee@sfsu.edu</t>
  </si>
  <si>
    <t>Scherane Kinney</t>
  </si>
  <si>
    <t>skinney@sfsu.edu</t>
  </si>
  <si>
    <t>Nina Hosmane</t>
  </si>
  <si>
    <t>nhosmane@sfsu.edu</t>
  </si>
  <si>
    <t>Sungha Jang</t>
  </si>
  <si>
    <t>shjang@sfsu.edu</t>
  </si>
  <si>
    <t>Josh Davis</t>
  </si>
  <si>
    <t>joshdavis@sfsu.edu</t>
  </si>
  <si>
    <t>Ashmi Desai</t>
  </si>
  <si>
    <t>ashmidesai@sfsu.edu</t>
  </si>
  <si>
    <t>Rowena Robles</t>
  </si>
  <si>
    <t>rrobles3@sfsu.edu</t>
  </si>
  <si>
    <t>Elizabeth Hunter</t>
  </si>
  <si>
    <t>ehunter777@mac.com</t>
  </si>
  <si>
    <t>Eric Koehn</t>
  </si>
  <si>
    <t>ekoehn@sfsu.edu</t>
  </si>
  <si>
    <t>Yiyi Wang</t>
  </si>
  <si>
    <t>yiyiwang@sfsu.edu</t>
  </si>
  <si>
    <t>Whitney Taylor</t>
  </si>
  <si>
    <t>wktaylor@sfsu.edu</t>
  </si>
  <si>
    <t>Ellen Christensen</t>
  </si>
  <si>
    <t>ellenchristensen@sfsu.edu</t>
  </si>
  <si>
    <t>Rosa Park</t>
  </si>
  <si>
    <t>rosapark@sfsu.edu</t>
  </si>
  <si>
    <t>Bethany Sparks</t>
  </si>
  <si>
    <t>bethanysparks@sfsu.edu</t>
  </si>
  <si>
    <t>Shandy Hauk</t>
  </si>
  <si>
    <t>hauk@sfsu.edu</t>
  </si>
  <si>
    <t>Shahrukh Humayoun</t>
  </si>
  <si>
    <t>humayoun@sfsu.edu</t>
  </si>
  <si>
    <t>Ge-Yao Liu</t>
  </si>
  <si>
    <t>gyliu@sfsu.edu</t>
  </si>
  <si>
    <t>Erin Bray</t>
  </si>
  <si>
    <t>ebray@sfsu.edu</t>
  </si>
  <si>
    <t>David Hurwich</t>
  </si>
  <si>
    <t>davidhurwich@sfsu.edu</t>
  </si>
  <si>
    <t>Natalia Porter</t>
  </si>
  <si>
    <t>nataliaporter@sfsu.edu</t>
  </si>
  <si>
    <t>Charli Sakari</t>
  </si>
  <si>
    <t>sakaricm@sfsu.edu</t>
  </si>
  <si>
    <t>Albert De La Tierra</t>
  </si>
  <si>
    <t>adelatierra@sfsu.edu</t>
  </si>
  <si>
    <t>Shuoyuan He</t>
  </si>
  <si>
    <t>shhe@sfsu.edu</t>
  </si>
  <si>
    <t>Henry Boateng</t>
  </si>
  <si>
    <t>boateng@sfsu.edu</t>
  </si>
  <si>
    <t>Jingyi Wang</t>
  </si>
  <si>
    <t>jingyiwang@sfsu.edu</t>
  </si>
  <si>
    <t>Paul Steward</t>
  </si>
  <si>
    <t>steward@sfsu.edu</t>
  </si>
  <si>
    <t>Roger Kuhn</t>
  </si>
  <si>
    <t>rkuhn@sfsu.edu</t>
  </si>
  <si>
    <t>John J. Dougherty</t>
  </si>
  <si>
    <t>jdougherty@sfsu.edu</t>
  </si>
  <si>
    <t>Ponipate Rokolekutu</t>
  </si>
  <si>
    <t>prokolekutu@sfsu.edu</t>
  </si>
  <si>
    <t>Ebru Ipek</t>
  </si>
  <si>
    <t>eipek@sfsu.edu</t>
  </si>
  <si>
    <t>Karen Rubin</t>
  </si>
  <si>
    <t>krubin@sfsu.edu</t>
  </si>
  <si>
    <t>Loan Le</t>
  </si>
  <si>
    <t>lklesfsu@sfsu.edu</t>
  </si>
  <si>
    <t>Yuki Obayashi</t>
  </si>
  <si>
    <t>obayashi@sfsu.edu</t>
  </si>
  <si>
    <t>Yvonne Cobbs</t>
  </si>
  <si>
    <t>ycobbs@sfsu.edu</t>
  </si>
  <si>
    <t>Ornella Mattei</t>
  </si>
  <si>
    <t>mattei@sfsu.edu</t>
  </si>
  <si>
    <t>Gopal Dayaneni</t>
  </si>
  <si>
    <t>gopaldayaneni@sfsu.edu</t>
  </si>
  <si>
    <t>Tony Gallo</t>
  </si>
  <si>
    <t>tonygallo@sfsu.edu</t>
  </si>
  <si>
    <t>Laurence Frabotta</t>
  </si>
  <si>
    <t>frabotta@sfsu.edu</t>
  </si>
  <si>
    <t>Lilit Mazmanyan</t>
  </si>
  <si>
    <t>lmazmanyan@sfsu.edu</t>
  </si>
  <si>
    <t>Jami Baltz</t>
  </si>
  <si>
    <t>jbaltz@sfsu.edu</t>
  </si>
  <si>
    <t>Farhad Azimzadeh</t>
  </si>
  <si>
    <t>farhadazimzadeh@sfsu.edu</t>
  </si>
  <si>
    <t>Sarah Leslie</t>
  </si>
  <si>
    <t>sleslie@sfsu.edu</t>
  </si>
  <si>
    <t>Renee Songer</t>
  </si>
  <si>
    <t>reneesonger@sfsu.edu</t>
  </si>
  <si>
    <t>Katie Manbachi</t>
  </si>
  <si>
    <t>kmanbachi@sfsu.edu</t>
  </si>
  <si>
    <t>Saskia Van Kampen</t>
  </si>
  <si>
    <t>saskia@sfsu.edu</t>
  </si>
  <si>
    <t>Dmitriy Ivanov</t>
  </si>
  <si>
    <t>divanov@sfsu.edu</t>
  </si>
  <si>
    <t>Elliott Endre</t>
  </si>
  <si>
    <t>elliottendre@sfsu.edu</t>
  </si>
  <si>
    <t>Kristin Easley</t>
  </si>
  <si>
    <t>keasley@sfsu.edu</t>
  </si>
  <si>
    <t>James Tracy</t>
  </si>
  <si>
    <t>jtracy1@sfsu.edu</t>
  </si>
  <si>
    <t>Andrew P. Sturner</t>
  </si>
  <si>
    <t>asturner@sfsu.edu</t>
  </si>
  <si>
    <t>Caroline Casper</t>
  </si>
  <si>
    <t>ccasper@sfsu.edu</t>
  </si>
  <si>
    <t>Joe Greene</t>
  </si>
  <si>
    <t>joegreene@sfsu.edu</t>
  </si>
  <si>
    <t>Kerry Laitala</t>
  </si>
  <si>
    <t>klaitala@sfsu.edu</t>
  </si>
  <si>
    <t>Demont  Oliver</t>
  </si>
  <si>
    <t>dboliver@sfsu.edu</t>
  </si>
  <si>
    <t>Jeremy Reid</t>
  </si>
  <si>
    <t>jwreid@sfsu.edu</t>
  </si>
  <si>
    <t>Deborah De Lambert</t>
  </si>
  <si>
    <t>ddelambert@sfsu.edu</t>
  </si>
  <si>
    <t>Diane Presler</t>
  </si>
  <si>
    <t>dpresler@sfsu.edu</t>
  </si>
  <si>
    <t>Beatriz Herrera</t>
  </si>
  <si>
    <t>bherrera5@sfsu.edu</t>
  </si>
  <si>
    <t>Charlie Li</t>
  </si>
  <si>
    <t>charlieli@sfsu.edu</t>
  </si>
  <si>
    <t>Sarah Bowles</t>
  </si>
  <si>
    <t>sebowles@sfsu.edu</t>
  </si>
  <si>
    <t>John Clay</t>
  </si>
  <si>
    <t>dannyclay@sfsu.edu</t>
  </si>
  <si>
    <t>Darion Wallace</t>
  </si>
  <si>
    <t>darionw@sfsu.edu</t>
  </si>
  <si>
    <t>Kara Davis</t>
  </si>
  <si>
    <t>karadavis@sfsu.edu</t>
  </si>
  <si>
    <t>Dawn Thomas</t>
  </si>
  <si>
    <t>dathomas@sfsu.edu</t>
  </si>
  <si>
    <t>Lena Yang</t>
  </si>
  <si>
    <t>inaeyang@sfsu.edu</t>
  </si>
  <si>
    <t>Colton Brandau</t>
  </si>
  <si>
    <t>cjbrandau@sfsu.edu</t>
  </si>
  <si>
    <t>Bobbi Pompey</t>
  </si>
  <si>
    <t>bpompey@sfsu.edu</t>
  </si>
  <si>
    <t>Trinicia Alexander</t>
  </si>
  <si>
    <t>triniciaalexander@sfsu.edu</t>
  </si>
  <si>
    <t>Lulesa Hammond</t>
  </si>
  <si>
    <t>lesah@sfsu.edu</t>
  </si>
  <si>
    <t>Macy Salzberger</t>
  </si>
  <si>
    <t>salzberger@sfsu.edu</t>
  </si>
  <si>
    <t>Mayumi Hagiwara</t>
  </si>
  <si>
    <t>mhagiwara@sfsu.edu</t>
  </si>
  <si>
    <t>Andrew Hongo</t>
  </si>
  <si>
    <t>andrewhongo@sfsu.edu</t>
  </si>
  <si>
    <t>Lele Chen</t>
  </si>
  <si>
    <t>lesleychen@sfsu.edu</t>
  </si>
  <si>
    <t>Minh Pham</t>
  </si>
  <si>
    <t>ptuanminh@sfsu.edu</t>
  </si>
  <si>
    <t>Eghbal Rashidi</t>
  </si>
  <si>
    <t>rashidi@sfsu.edu</t>
  </si>
  <si>
    <t>Michael De Anda Muniz</t>
  </si>
  <si>
    <t>mdeandamuniz@sfsu.edu</t>
  </si>
  <si>
    <t>Barbara Abadia-Rexach</t>
  </si>
  <si>
    <t>barbaraabadiarexach@sfsu.edu</t>
  </si>
  <si>
    <t>Leora Kava</t>
  </si>
  <si>
    <t>lkava@sfsu.edu</t>
  </si>
  <si>
    <t>Molly McManus</t>
  </si>
  <si>
    <t>mollymcmanus@sfsu.edu</t>
  </si>
  <si>
    <t>Rachel Flynn</t>
  </si>
  <si>
    <t>rachelflynn@sfsu.edu</t>
  </si>
  <si>
    <t>Derrick Bines</t>
  </si>
  <si>
    <t>dbines@sfsu.edu</t>
  </si>
  <si>
    <t>Supriya Misra</t>
  </si>
  <si>
    <t>supriya@sfsu.edu</t>
  </si>
  <si>
    <t>Alexandra Hinck</t>
  </si>
  <si>
    <t>ahinck@sfsu.edu</t>
  </si>
  <si>
    <t>William Clark</t>
  </si>
  <si>
    <t>wsclark@sfsu.edu</t>
  </si>
  <si>
    <t>Virginia Schwarz</t>
  </si>
  <si>
    <t>vschwarz@sfsu.edu</t>
  </si>
  <si>
    <t>Amanda Roberti</t>
  </si>
  <si>
    <t>aroberti@sfsu.edu</t>
  </si>
  <si>
    <t>Tzec, Sosa Tzec</t>
  </si>
  <si>
    <t>omarsosa@sfsu.edu</t>
  </si>
  <si>
    <t>Derrick Groom</t>
  </si>
  <si>
    <t>dgroom@sfsu.edu</t>
  </si>
  <si>
    <t>Timothy Sun</t>
  </si>
  <si>
    <t>timothysun@sfsu.edu</t>
  </si>
  <si>
    <t>Zhuwei Qin</t>
  </si>
  <si>
    <t>zwqin@sfsu.edu</t>
  </si>
  <si>
    <t>Stephanie Claussen</t>
  </si>
  <si>
    <t>sclaussen@sfsu.edu</t>
  </si>
  <si>
    <t>Joseph Cassara</t>
  </si>
  <si>
    <t>josephcassara@sfsu.edu</t>
  </si>
  <si>
    <t>Artel Great</t>
  </si>
  <si>
    <t>artelgreat@sfsu.edu</t>
  </si>
  <si>
    <t>Mayuran Tiruchelvam</t>
  </si>
  <si>
    <t>mayuran@sfsu.edu</t>
  </si>
  <si>
    <t>Jessica Oya</t>
  </si>
  <si>
    <t>jessicaoya@sfsu.edu</t>
  </si>
  <si>
    <t>Monique Coleman</t>
  </si>
  <si>
    <t>moniquecoleman@sfsu.edu</t>
  </si>
  <si>
    <t>Tonya Foster</t>
  </si>
  <si>
    <t>tmfoster@sfsu.edu</t>
  </si>
  <si>
    <t>Abul Pitre</t>
  </si>
  <si>
    <t>apitre@sfsu.edu</t>
  </si>
  <si>
    <t>Karl Alfonso Evangelista</t>
  </si>
  <si>
    <t>karladevangelista@sfsu.edu</t>
  </si>
  <si>
    <t>Aarthi Padmanabhan</t>
  </si>
  <si>
    <t>apad@sfsu.edu</t>
  </si>
  <si>
    <t>Michael Annetta</t>
  </si>
  <si>
    <t>ma@sfsu.edu</t>
  </si>
  <si>
    <t>Martin Agran</t>
  </si>
  <si>
    <t>magran@sfsu.edu</t>
  </si>
  <si>
    <t>Augustine Romero</t>
  </si>
  <si>
    <t>augustineromero@sfsu.edu</t>
  </si>
  <si>
    <t>Anita Wilhelm</t>
  </si>
  <si>
    <t>anitawilhelm@sfsu.edu</t>
  </si>
  <si>
    <t>Yujin Lee</t>
  </si>
  <si>
    <t>yjleehur@sfsu.edu</t>
  </si>
  <si>
    <t>Douglas Spielman</t>
  </si>
  <si>
    <t>spielman@sfsu.edu</t>
  </si>
  <si>
    <t>Karen Gottlieb</t>
  </si>
  <si>
    <t>kgottlieb@sfsu.edu</t>
  </si>
  <si>
    <t>Jasmine Williams</t>
  </si>
  <si>
    <t>drjwilliams@sfsu.edu</t>
  </si>
  <si>
    <t>Matthew Miller</t>
  </si>
  <si>
    <t>matthew.miller4@ucsf.edu</t>
  </si>
  <si>
    <t>Kishia James</t>
  </si>
  <si>
    <t>kjames15@sfsu.edu</t>
  </si>
  <si>
    <t>Janice Tanemura</t>
  </si>
  <si>
    <t>jntanemura@sfsu.edu</t>
  </si>
  <si>
    <t>George Sellu</t>
  </si>
  <si>
    <t>gsellu@sfsu.edu</t>
  </si>
  <si>
    <t>Carter Clinton</t>
  </si>
  <si>
    <t>carterclinton@sfsu.edu</t>
  </si>
  <si>
    <t>E. Wes Bethel</t>
  </si>
  <si>
    <t>ewbethel@sfsu.edu</t>
  </si>
  <si>
    <t>Aritra Bhattacharyya</t>
  </si>
  <si>
    <t>aritrabhattacharyya1@sfsu.edu</t>
  </si>
  <si>
    <t>Janna Elwell</t>
  </si>
  <si>
    <t>jelwell@sfsu.edu</t>
  </si>
  <si>
    <t>Irem Korucu Kiroglu</t>
  </si>
  <si>
    <t>ikorucu@sfsu.edu</t>
  </si>
  <si>
    <t>Victoria Cong</t>
  </si>
  <si>
    <t>Victoria.Cong@ucsf.edu</t>
  </si>
  <si>
    <t>Lisa Hayes</t>
  </si>
  <si>
    <t>lisa.hayes@ucsf.edu</t>
  </si>
  <si>
    <t>Nicole Takemoto</t>
  </si>
  <si>
    <t>ntakemoto@sfsu.edu</t>
  </si>
  <si>
    <t>Brandon Jouganatos</t>
  </si>
  <si>
    <t>brandon.jouganatos@gmail.com</t>
  </si>
  <si>
    <t>Daniel Huang</t>
  </si>
  <si>
    <t>danehuang@sfsu.edu</t>
  </si>
  <si>
    <t>Aakash Gautam</t>
  </si>
  <si>
    <t>aakash@sfsu.edu</t>
  </si>
  <si>
    <t>Christopher Manuele</t>
  </si>
  <si>
    <t>chrismanuele@sfsu.edu</t>
  </si>
  <si>
    <t>Marion Dayre</t>
  </si>
  <si>
    <t>mariondayre@sfsu.edu</t>
  </si>
  <si>
    <t>Jessica Stone</t>
  </si>
  <si>
    <t>stonejh@sfsu.edu</t>
  </si>
  <si>
    <t>Purushottama Bilimoria</t>
  </si>
  <si>
    <t>bilimoria@sfsu.edu</t>
  </si>
  <si>
    <t>Crystal Edwards</t>
  </si>
  <si>
    <t>cledwards@sfsu.edu</t>
  </si>
  <si>
    <t>Oscar Soto</t>
  </si>
  <si>
    <t>ofsoto@sfsu.edu</t>
  </si>
  <si>
    <t>Sean Teal</t>
  </si>
  <si>
    <t>steal@sfsu.edu</t>
  </si>
  <si>
    <t>Anel Lizcano</t>
  </si>
  <si>
    <t>alizcano@sfsu.edu</t>
  </si>
  <si>
    <t>Paula Mirando</t>
  </si>
  <si>
    <t>paulamirando@sfsu.edu</t>
  </si>
  <si>
    <t>Beverly Glover</t>
  </si>
  <si>
    <t>beverlyrglover@sfsu.edu</t>
  </si>
  <si>
    <t>Akachi Kalem</t>
  </si>
  <si>
    <t>akachikalem@sfsu.edu</t>
  </si>
  <si>
    <t>Eddie Yuen</t>
  </si>
  <si>
    <t>eddieyuen@sfsu.edu</t>
  </si>
  <si>
    <t>Marsha Luster</t>
  </si>
  <si>
    <t>marshaluster@sfsu.edu</t>
  </si>
  <si>
    <t>Teresa Ricado-Fraire</t>
  </si>
  <si>
    <t>teresa.ricado@ottp-sf.org</t>
  </si>
  <si>
    <t>Heath Proskin</t>
  </si>
  <si>
    <t>proskin@sfsu.edu</t>
  </si>
  <si>
    <t>Mihaela Mihailova</t>
  </si>
  <si>
    <t>mihailova@sfsu.edu</t>
  </si>
  <si>
    <t>Lequina Myles</t>
  </si>
  <si>
    <t>ltmyles@sfsu.edu</t>
  </si>
  <si>
    <t>Bryan Jaycox</t>
  </si>
  <si>
    <t>bryanjaycox@sfsu.edu</t>
  </si>
  <si>
    <t>Fernando Felicio dos Santos de Carvalho</t>
  </si>
  <si>
    <t>fcarvalho@sfsu.edu</t>
  </si>
  <si>
    <t>Tasha Hansen</t>
  </si>
  <si>
    <t>thansen7@sfsu.edu</t>
  </si>
  <si>
    <t>Keston Hinds Cruz</t>
  </si>
  <si>
    <t>kestonc@sfsu.edu</t>
  </si>
  <si>
    <t>Laura Gross</t>
  </si>
  <si>
    <t>lgross@sfsu.edu</t>
  </si>
  <si>
    <t>James Galanis</t>
  </si>
  <si>
    <t>jgalanis@sfsu.edu</t>
  </si>
  <si>
    <t>Wilkie Wong</t>
  </si>
  <si>
    <t>wilkiewong@sfsu.edu</t>
  </si>
  <si>
    <t>Jocelyn Smith-Gray</t>
  </si>
  <si>
    <t>jdsmithgray@sfsu.edu</t>
  </si>
  <si>
    <t>Shealan Singh</t>
  </si>
  <si>
    <t>shealansingh@sfsu.edu</t>
  </si>
  <si>
    <t>Sarah Fountain</t>
  </si>
  <si>
    <t>sfountain@sfsu.edu</t>
  </si>
  <si>
    <t>Amy Holm</t>
  </si>
  <si>
    <t>amyholm@sfsu.edu</t>
  </si>
  <si>
    <t>Monica Riley</t>
  </si>
  <si>
    <t>mriley@sfsu.edu</t>
  </si>
  <si>
    <t>Theresa Geller</t>
  </si>
  <si>
    <t>tlgeller@sfsu.edu</t>
  </si>
  <si>
    <t>Andrew Lanphar</t>
  </si>
  <si>
    <t>alanphar@sfsu.edu</t>
  </si>
  <si>
    <t>Victoria Hritonenko</t>
  </si>
  <si>
    <t>hritonenko@sfsu.edu</t>
  </si>
  <si>
    <t>Ashley Vind</t>
  </si>
  <si>
    <t>ashleyvind@sfsu.edu</t>
  </si>
  <si>
    <t>Mohammed Nadeem</t>
  </si>
  <si>
    <t>drnadeem@sfsu.edu</t>
  </si>
  <si>
    <t>Meredith Safran</t>
  </si>
  <si>
    <t>msafran@sfsu.edu</t>
  </si>
  <si>
    <t>Chikako Naito</t>
  </si>
  <si>
    <t>cnaito@sfsu.edu</t>
  </si>
  <si>
    <t>John Tinloy</t>
  </si>
  <si>
    <t>jtinloy@sfsu.edu</t>
  </si>
  <si>
    <t>Kay Kwon</t>
  </si>
  <si>
    <t>kkwon1@sfsu.edu</t>
  </si>
  <si>
    <t>Nathan Churches</t>
  </si>
  <si>
    <t>churches@sfsu.edu</t>
  </si>
  <si>
    <t>Jingmei Li</t>
  </si>
  <si>
    <t>jingmeili@sfsu.edu</t>
  </si>
  <si>
    <t>Darius Taylor</t>
  </si>
  <si>
    <t>dariustaylor@sfsu.edu</t>
  </si>
  <si>
    <t>Jessica Cromheecke</t>
  </si>
  <si>
    <t>jlcromheecke@sfsu.edu</t>
  </si>
  <si>
    <t>Rachel Scherr</t>
  </si>
  <si>
    <t>rescherr@sfsu.edu</t>
  </si>
  <si>
    <t>Alejandra Hernandez</t>
  </si>
  <si>
    <t>Alejandra.hernandez@ucsf.edu</t>
  </si>
  <si>
    <t>Vincent Ann</t>
  </si>
  <si>
    <t>vincent.ann@ucsf.edu</t>
  </si>
  <si>
    <t>Gabriela Taccir</t>
  </si>
  <si>
    <t>gtaccir@sfsu.edu</t>
  </si>
  <si>
    <t>Miguel Abad</t>
  </si>
  <si>
    <t>mnabad@sfsu.edu</t>
  </si>
  <si>
    <t>Esther West</t>
  </si>
  <si>
    <t>ejwest@sfsu.edu</t>
  </si>
  <si>
    <t>Mary Jew</t>
  </si>
  <si>
    <t>mjew8@sfsu.edu</t>
  </si>
  <si>
    <t>Angela Fillingim</t>
  </si>
  <si>
    <t>afillingim@sfsu.edu</t>
  </si>
  <si>
    <t>Dee Picon</t>
  </si>
  <si>
    <t>dpicon@sfsu.edu</t>
  </si>
  <si>
    <t>Lizzie Babalola</t>
  </si>
  <si>
    <t>lizziebabalola@sfsu.edu</t>
  </si>
  <si>
    <t>Soheyla Mohammadigorji</t>
  </si>
  <si>
    <t>soheylagorji@sfsu.edu</t>
  </si>
  <si>
    <t>Richard Curci</t>
  </si>
  <si>
    <t>rcurci@sfsu.edu</t>
  </si>
  <si>
    <t>Alan Pelaez Lopez</t>
  </si>
  <si>
    <t>alanpl@sfsu.edu</t>
  </si>
  <si>
    <t>Ashley Albright</t>
  </si>
  <si>
    <t>ashley.albright@ucsf.edu</t>
  </si>
  <si>
    <t>Kevin Magnaye</t>
  </si>
  <si>
    <t>kevin.magnaye@ucsf.edu</t>
  </si>
  <si>
    <t>Michael Schweikardt</t>
  </si>
  <si>
    <t>mzs@sfsu.edu</t>
  </si>
  <si>
    <t>Sana Hussaini</t>
  </si>
  <si>
    <t>skhan08@sfsu.edu</t>
  </si>
  <si>
    <t>N Rae Shaw</t>
  </si>
  <si>
    <t>nraeshaw@sfsu.edu</t>
  </si>
  <si>
    <t>Vivian Huang</t>
  </si>
  <si>
    <t>vhuang@sfsu.edu</t>
  </si>
  <si>
    <t>Yiwen Chen</t>
  </si>
  <si>
    <t>yiwenchen@sfsu.edu</t>
  </si>
  <si>
    <t>Catharine McKeever</t>
  </si>
  <si>
    <t>cmckeever@sfsu.edu</t>
  </si>
  <si>
    <t>Katherine Rhoades</t>
  </si>
  <si>
    <t>krhoades@sfsu.edu</t>
  </si>
  <si>
    <t>Graham Carpenter</t>
  </si>
  <si>
    <t>gcarpenter@sfsu.edu</t>
  </si>
  <si>
    <t>Yeonka Kim</t>
  </si>
  <si>
    <t>yeonkakim@sfsu.edu</t>
  </si>
  <si>
    <t>Tiffany Caesar</t>
  </si>
  <si>
    <t>tiffanycaesar@sfsu.edu</t>
  </si>
  <si>
    <t>Taleb, Ben Taleb</t>
  </si>
  <si>
    <t>bbentaleb@sfsu.edu</t>
  </si>
  <si>
    <t>Carolina Prado</t>
  </si>
  <si>
    <t>carolinaprado@sfsu.edu</t>
  </si>
  <si>
    <t>Anya Dani</t>
  </si>
  <si>
    <t>adani@sfsu.edu</t>
  </si>
  <si>
    <t>Danielle Lopez</t>
  </si>
  <si>
    <t>dlopez45@sfsu.edu</t>
  </si>
  <si>
    <t>Jaclyn Wolf</t>
  </si>
  <si>
    <t>jaclynwolf@sfsu.edu</t>
  </si>
  <si>
    <t>Sanchita Ghose</t>
  </si>
  <si>
    <t>sanchitaghose@sfsu.edu</t>
  </si>
  <si>
    <t>Shuyi Liu</t>
  </si>
  <si>
    <t>shuyil@sfsu.edu</t>
  </si>
  <si>
    <t>June Beltran</t>
  </si>
  <si>
    <t>jdbeltran@sfsu.edu</t>
  </si>
  <si>
    <t>Michael Enright</t>
  </si>
  <si>
    <t>enrightm@sfsu.edu</t>
  </si>
  <si>
    <t>Leah Kallen</t>
  </si>
  <si>
    <t>lkallen@sfsu.edu</t>
  </si>
  <si>
    <t>Archana Anand</t>
  </si>
  <si>
    <t>archanand@sfsu.edu</t>
  </si>
  <si>
    <t>Genevieve Quick</t>
  </si>
  <si>
    <t>gquick@sfsu.edu</t>
  </si>
  <si>
    <t>Andrew Loesel</t>
  </si>
  <si>
    <t>amloesel@sfsu.edu</t>
  </si>
  <si>
    <t>Qun Wang</t>
  </si>
  <si>
    <t>qunwang@sfsu.edu</t>
  </si>
  <si>
    <t>Shriti Raj</t>
  </si>
  <si>
    <t>shritiraj@sfsu.edu</t>
  </si>
  <si>
    <t>Elysha Martinez</t>
  </si>
  <si>
    <t>elyshamartinez@sfsu.edu</t>
  </si>
  <si>
    <t>Jinyoung Jo</t>
  </si>
  <si>
    <t>jinyoungjo@sfsu.edu</t>
  </si>
  <si>
    <t>Kristen Beckler</t>
  </si>
  <si>
    <t>kbeckler@sfsu.edu</t>
  </si>
  <si>
    <t>Adeeba Deterville</t>
  </si>
  <si>
    <t>adeterville@sfsu.edu</t>
  </si>
  <si>
    <t>Jamie Smith</t>
  </si>
  <si>
    <t>jamiesmith@sfsu.edu</t>
  </si>
  <si>
    <t>Rachel Pausch</t>
  </si>
  <si>
    <t>rpausch@sfsu.edu</t>
  </si>
  <si>
    <t>Lina Ahmadieh</t>
  </si>
  <si>
    <t>lahmadieh@sfsu.edu</t>
  </si>
  <si>
    <t>Jakob Kotas</t>
  </si>
  <si>
    <t>kotas@sfsu.edu</t>
  </si>
  <si>
    <t>Amanda Hubbard</t>
  </si>
  <si>
    <t>mandyhubbard@sfsu.edu</t>
  </si>
  <si>
    <t>Sharleen Haarsma</t>
  </si>
  <si>
    <t>shaarsma@sfsu.edu</t>
  </si>
  <si>
    <t>David Hayer</t>
  </si>
  <si>
    <t>hd@sfsu.edu</t>
  </si>
  <si>
    <t>Amy Ranger</t>
  </si>
  <si>
    <t>aranger@sfsu.edu</t>
  </si>
  <si>
    <t>Minyoung Lee</t>
  </si>
  <si>
    <t>minyounglee@sfsu.edu</t>
  </si>
  <si>
    <t>Carrie Mitran</t>
  </si>
  <si>
    <t>cmitran@sfsu.edu</t>
  </si>
  <si>
    <t>Mareena Roufail</t>
  </si>
  <si>
    <t>mareenaroufail@sfsu.edu</t>
  </si>
  <si>
    <t>Mary K Wharton</t>
  </si>
  <si>
    <t>kristina@sfsu.edu</t>
  </si>
  <si>
    <t>Parsa Taheri</t>
  </si>
  <si>
    <t>ptaheri@sfsu.edu</t>
  </si>
  <si>
    <t>Ryan Farquhar</t>
  </si>
  <si>
    <t>rfarquhar@sfsu.edu</t>
  </si>
  <si>
    <t>Kimberly Wong</t>
  </si>
  <si>
    <t>kaw@sfsu.edu</t>
  </si>
  <si>
    <t>Kristina Miller</t>
  </si>
  <si>
    <t>kmiller01@sfsu.edu</t>
  </si>
  <si>
    <t>Murat Bulut</t>
  </si>
  <si>
    <t>muratbulut@sfsu.edu</t>
  </si>
  <si>
    <t>Angela Berry</t>
  </si>
  <si>
    <t>amberry@sfsu.edu</t>
  </si>
  <si>
    <t>Jamila Hammami</t>
  </si>
  <si>
    <t>jhammami@sfsu.edu</t>
  </si>
  <si>
    <t>Erron Al-Amin</t>
  </si>
  <si>
    <t>erronalamin@sfsu.edu</t>
  </si>
  <si>
    <t>Michael Brantley</t>
  </si>
  <si>
    <t>mbrantley@sfsu.edu</t>
  </si>
  <si>
    <t>Vladimir Calugaru</t>
  </si>
  <si>
    <t>vcalugaru@sfsu.edu</t>
  </si>
  <si>
    <t>Benjamin Larson</t>
  </si>
  <si>
    <t>btlarson@sfsu.edu</t>
  </si>
  <si>
    <t>Mera Horne</t>
  </si>
  <si>
    <t>merahorne@sfsu.edu</t>
  </si>
  <si>
    <t>Tanya Bell</t>
  </si>
  <si>
    <t>tanyabell@sfsu.edu</t>
  </si>
  <si>
    <t>Avik Das</t>
  </si>
  <si>
    <t>avik@sfsu.edu</t>
  </si>
  <si>
    <t>Stephen Morewitz</t>
  </si>
  <si>
    <t>stephen2@sfsu.edu</t>
  </si>
  <si>
    <t>Cara Phipps</t>
  </si>
  <si>
    <t>caraphipps@sfsu.edu</t>
  </si>
  <si>
    <t>Amy Liu</t>
  </si>
  <si>
    <t>liuamyj@sfsu.edu</t>
  </si>
  <si>
    <t>Saul Sierra-Alonso</t>
  </si>
  <si>
    <t>ssierraalonso@sfsu.edu</t>
  </si>
  <si>
    <t>John Hayden</t>
  </si>
  <si>
    <t>jhayden@sfsu.edu</t>
  </si>
  <si>
    <t>Nicole Thayer</t>
  </si>
  <si>
    <t>nicolethayer@sfsu.edu</t>
  </si>
  <si>
    <t>Amanda Kight</t>
  </si>
  <si>
    <t>akight@sfsu.edu</t>
  </si>
  <si>
    <t>Maymanah Farhat</t>
  </si>
  <si>
    <t>mfarhat@sfsu.edu</t>
  </si>
  <si>
    <t>Sonya Arreola</t>
  </si>
  <si>
    <t>sonyaarreola@sfsu.edu</t>
  </si>
  <si>
    <t>Michelle Jordan</t>
  </si>
  <si>
    <t>jordanm3@sfsu.edu</t>
  </si>
  <si>
    <t>Stephanie Seveska</t>
  </si>
  <si>
    <t>anneseveska@sfsu.edu</t>
  </si>
  <si>
    <t>Allison Kendra</t>
  </si>
  <si>
    <t>akendra@sfsu.edu</t>
  </si>
  <si>
    <t>Yun Li</t>
  </si>
  <si>
    <t>fongli@sfsu.edu</t>
  </si>
  <si>
    <t>Li Anne Tseu Duffy</t>
  </si>
  <si>
    <t>ltseuduffy@sfsu.edu</t>
  </si>
  <si>
    <t>Lorenzo Lones</t>
  </si>
  <si>
    <t>llones@sfsu.edu</t>
  </si>
  <si>
    <t>John Nikolaros</t>
  </si>
  <si>
    <t>jnikolaros@sfsu.edu</t>
  </si>
  <si>
    <t>Cheryl Sabella</t>
  </si>
  <si>
    <t>csabella@sfsu.edu</t>
  </si>
  <si>
    <t>Michael Clarke</t>
  </si>
  <si>
    <t>michaelclarke@sfsu.edu</t>
  </si>
  <si>
    <t xml:space="preserve">Dominique battle </t>
  </si>
  <si>
    <t>ndaniel@sfsu.edu</t>
  </si>
  <si>
    <t>Rachel Geiger</t>
  </si>
  <si>
    <t>Briana Merinda</t>
  </si>
  <si>
    <t>brianamiranda@sfsu.edu</t>
  </si>
  <si>
    <t>Tania Perez</t>
  </si>
  <si>
    <t>tsperezosu@sfsu.edu</t>
  </si>
  <si>
    <t>Nicole Fisher</t>
  </si>
  <si>
    <t>nicole.fisher@ucsf.edu</t>
  </si>
  <si>
    <t>Eric Figueroa</t>
  </si>
  <si>
    <t>ericfigueroa@sfsu.edu</t>
  </si>
  <si>
    <t>Da'Shonda Parks</t>
  </si>
  <si>
    <t>dashondaparks@sfsu.edu</t>
  </si>
  <si>
    <t>Lucy Chen</t>
  </si>
  <si>
    <t>lucy@sfsu.edu</t>
  </si>
  <si>
    <t>Debra Gill</t>
  </si>
  <si>
    <t>dgill@sfsu.edu</t>
  </si>
  <si>
    <t>Sierra Lear</t>
  </si>
  <si>
    <t>sierralear@sfsu.edu</t>
  </si>
  <si>
    <t>Alice Brye-Vela</t>
  </si>
  <si>
    <t>ybryevela@sfsu.edu</t>
  </si>
  <si>
    <t>Petronela Buiga</t>
  </si>
  <si>
    <t>elabuiga@stanford.edu</t>
  </si>
  <si>
    <t>Kyle Wallance-Jordan</t>
  </si>
  <si>
    <t>kwallacejordan@sfsu.edu</t>
  </si>
  <si>
    <t>Marques Jackson</t>
  </si>
  <si>
    <t>jackson@sfsu.edu</t>
  </si>
  <si>
    <t>Margaret Goodwin</t>
  </si>
  <si>
    <t>mgoodwin@sfsu.edu</t>
  </si>
  <si>
    <t>Meagan Khoury</t>
  </si>
  <si>
    <t>meagankhoury@sfsu.edu</t>
  </si>
  <si>
    <t>Saveth Seang</t>
  </si>
  <si>
    <t>savethseang@sfsu.edu</t>
  </si>
  <si>
    <t>Rayan El-Amine</t>
  </si>
  <si>
    <t>relamine@sfsu.edu</t>
  </si>
  <si>
    <t>Adrian Bacong</t>
  </si>
  <si>
    <t>adrianbacong@sfsu.edu</t>
  </si>
  <si>
    <t>Tamara Porras</t>
  </si>
  <si>
    <t>tporras@sfsu.edu</t>
  </si>
  <si>
    <t>Marlayna Locklear</t>
  </si>
  <si>
    <t>Vasquez, Diaz Vasquez</t>
  </si>
  <si>
    <t>jrubendv@sfsu.edu</t>
  </si>
  <si>
    <t>Nicole Friedenberg</t>
  </si>
  <si>
    <t>nfriedenberg@mail.sfsu.edu</t>
  </si>
  <si>
    <t>Patrick Ohslund</t>
  </si>
  <si>
    <t>pohslund1@sfsu.edu</t>
  </si>
  <si>
    <t>Sudha Krishnamoorthy</t>
  </si>
  <si>
    <t>skrishnamoorthy@sfsu.edu</t>
  </si>
  <si>
    <t>Christopher Gibson</t>
  </si>
  <si>
    <t>cgibson2@mail.sfsu.edu</t>
  </si>
  <si>
    <t>Alexandra Naeve</t>
  </si>
  <si>
    <t>anaeve@sfsu.edu</t>
  </si>
  <si>
    <t>Brittney Cooper</t>
  </si>
  <si>
    <t>bcooper2@mail.sfsu.edu</t>
  </si>
  <si>
    <t>Ryan McGuire</t>
  </si>
  <si>
    <t>ryan.mcguire@sbcglobal.net</t>
  </si>
  <si>
    <t>Jessenia Suarez</t>
  </si>
  <si>
    <t>jsuarez1@mail.sfsu.edu</t>
  </si>
  <si>
    <t>Andrea Ramirez</t>
  </si>
  <si>
    <t>aramirez45@mail.sfsu.edu</t>
  </si>
  <si>
    <t>Shahriyar Najafgholizadeh</t>
  </si>
  <si>
    <t>snajafgholizadeh@mail.sfsu.edu</t>
  </si>
  <si>
    <t>David Kwon</t>
  </si>
  <si>
    <t>dkwon3@mail.sfsu.edu</t>
  </si>
  <si>
    <t>Cintya Chaves</t>
  </si>
  <si>
    <t>cdias1@sfsu.edu</t>
  </si>
  <si>
    <t>Logan Hansen</t>
  </si>
  <si>
    <t>lhansen1@mail.sfsu.edu</t>
  </si>
  <si>
    <t xml:space="preserve">Shaun Garlick </t>
  </si>
  <si>
    <t>sgarlick@mail.sfsu.edu</t>
  </si>
  <si>
    <t>Yuenrati Htet</t>
  </si>
  <si>
    <t>yhtet@mail.sfsu.edu</t>
  </si>
  <si>
    <t>Rithik Hemanth</t>
  </si>
  <si>
    <t>rhemanth@mail.sfsu.edu</t>
  </si>
  <si>
    <t>Vanessa Jelmyer</t>
  </si>
  <si>
    <t>vjelmyer@mail.sfsu.edu</t>
  </si>
  <si>
    <t>Pablo Pirir</t>
  </si>
  <si>
    <t>ppirir@sfsu.edu</t>
  </si>
  <si>
    <t>Jessica Solis</t>
  </si>
  <si>
    <t>jsolis8@mail.sfsu.edu</t>
  </si>
  <si>
    <t>Ananda Aw</t>
  </si>
  <si>
    <t>kaw1@mail.sfsu.edu</t>
  </si>
  <si>
    <t>Patrick O'melveny</t>
  </si>
  <si>
    <t>pomelveny@mail.sfsu.edu</t>
  </si>
  <si>
    <t>Madison Norman</t>
  </si>
  <si>
    <t xml:space="preserve"> mnorman2@sfsu.edu </t>
  </si>
  <si>
    <t>Taylor Artunian</t>
  </si>
  <si>
    <t>tartunian@mail.sfsu.edu</t>
  </si>
  <si>
    <t>Rejeanne Smith</t>
  </si>
  <si>
    <t>rsmith16@mail.sfsu.edu</t>
  </si>
  <si>
    <t>Darren Brodowy</t>
  </si>
  <si>
    <t>dbrodowy@mail.sfsu.edu</t>
  </si>
  <si>
    <t>Emily Liu</t>
  </si>
  <si>
    <t>eliu7@mail.sfsu.edu</t>
  </si>
  <si>
    <t>Rory Fearon</t>
  </si>
  <si>
    <t>rfearon@sfsu.edu</t>
  </si>
  <si>
    <t>Birdy Wei-Ting Hung</t>
  </si>
  <si>
    <t>whung2@mail.sfsu.edu</t>
  </si>
  <si>
    <t>Hamideh Summer Osama</t>
  </si>
  <si>
    <t>shamideh@sfsu.edu</t>
  </si>
  <si>
    <t>Emily Macway</t>
  </si>
  <si>
    <t>emacway@mail.sfsu.edu</t>
  </si>
  <si>
    <t>Huy Ho</t>
  </si>
  <si>
    <t>hho7@mail.sfsu.edu</t>
  </si>
  <si>
    <t>Steven Petelo</t>
  </si>
  <si>
    <t>spetelo@sfsu.edu</t>
  </si>
  <si>
    <t>Renata Browne</t>
  </si>
  <si>
    <t>rbrowne@sfsu.edu</t>
  </si>
  <si>
    <t>Panya Sukphranee</t>
  </si>
  <si>
    <t>psukphranee@sfsu.edu</t>
  </si>
  <si>
    <t>Camilo Villa</t>
  </si>
  <si>
    <t>cvillagomez@sfsu.edu</t>
  </si>
  <si>
    <t>Yong Chi</t>
  </si>
  <si>
    <t>ychi@mail.sfsu.edu</t>
  </si>
  <si>
    <t>Suzanna Ackroyd</t>
  </si>
  <si>
    <t>sackroyd@mail.sfsu.edu</t>
  </si>
  <si>
    <t>Katelyn Endow</t>
  </si>
  <si>
    <t>kendow@sfsu.edu</t>
  </si>
  <si>
    <t>Gunes Soysal</t>
  </si>
  <si>
    <t>gsoysal@mail.sfsu.edu</t>
  </si>
  <si>
    <t>Sara Burton Ucar</t>
  </si>
  <si>
    <t>sburton2@mail.sfsu.edu</t>
  </si>
  <si>
    <t>Melissa Dorothy Ledesma</t>
  </si>
  <si>
    <t>mledesma4@mail.sfsu.edu</t>
  </si>
  <si>
    <t>Luke Heslip</t>
  </si>
  <si>
    <t>lheslip1@mail.sfsu.edu</t>
  </si>
  <si>
    <t>Sean Sliger</t>
  </si>
  <si>
    <t>ssliger@mail.sfsu.edu</t>
  </si>
  <si>
    <t>Sandra Duong</t>
  </si>
  <si>
    <t>sduong7@mail.sfsu.edu</t>
  </si>
  <si>
    <t>Raissa Marchetti-Kozlov</t>
  </si>
  <si>
    <t>rmarchettikozlov@sfsu.edu</t>
  </si>
  <si>
    <t>Shivam Gangwani</t>
  </si>
  <si>
    <t>sgangwani@mail.sfsu.edu</t>
  </si>
  <si>
    <t>Scott Slater</t>
  </si>
  <si>
    <t>sslader1@sfsu.edu</t>
  </si>
  <si>
    <t>Morgan Butler</t>
  </si>
  <si>
    <t>mbutler3@sfsu.edu</t>
  </si>
  <si>
    <t>Syed Hassaan Azam</t>
  </si>
  <si>
    <t>sazam1@mail.sfsu.edu</t>
  </si>
  <si>
    <t>Grayson Kohary</t>
  </si>
  <si>
    <t>gkohary@mail.sfsu.edu</t>
  </si>
  <si>
    <t>Judy Abuel</t>
  </si>
  <si>
    <t>jabuel@mail.sfsu.edu</t>
  </si>
  <si>
    <t>Luke Quinton</t>
  </si>
  <si>
    <t>lquinton@mail.sfsu.edu</t>
  </si>
  <si>
    <t>Aarshil Patel</t>
  </si>
  <si>
    <t>apatel13@mail.sfsu.edu</t>
  </si>
  <si>
    <t>Makena Nakaji</t>
  </si>
  <si>
    <t xml:space="preserve"> mnakaji@mail.sfsu.edu </t>
  </si>
  <si>
    <t>Yogesh Badala</t>
  </si>
  <si>
    <t>ybadala@mail.sfsu.edu</t>
  </si>
  <si>
    <t>Audrey Wong</t>
  </si>
  <si>
    <t>awong38@mail.sfsu.edu</t>
  </si>
  <si>
    <t>Priyam Mavani</t>
  </si>
  <si>
    <t>pmavani@mail.sfsu.edu</t>
  </si>
  <si>
    <t>Tuto Lopez Gonzalez</t>
  </si>
  <si>
    <t>clopezgonzalez@mail.sfsu.edu</t>
  </si>
  <si>
    <t>Anushka Jain</t>
  </si>
  <si>
    <t>ajain5@mail.sfsu.edu</t>
  </si>
  <si>
    <t>Christine Vargas</t>
  </si>
  <si>
    <t>christinemariev98@gmail.com</t>
  </si>
  <si>
    <t>Valerii Latyshev</t>
  </si>
  <si>
    <t>vlatyshev@mail.sfsu.edu</t>
  </si>
  <si>
    <t>Gretchen Cion</t>
  </si>
  <si>
    <t>gcion@mail.sfsu.edu</t>
  </si>
  <si>
    <t>Christopher Pascua</t>
  </si>
  <si>
    <t>cpascua@sfsu.edu</t>
  </si>
  <si>
    <t>Chris Nguyen</t>
  </si>
  <si>
    <t>cnguyen47@mail.sfsu.edu</t>
  </si>
  <si>
    <t>Jupiter Davis</t>
  </si>
  <si>
    <t>jdavis23@mail.sfsu.edu</t>
  </si>
  <si>
    <t>Helena Almassy</t>
  </si>
  <si>
    <t>halmassy@mail.sfsu.edu</t>
  </si>
  <si>
    <t>Nouhuijs, van Nouhuijs</t>
  </si>
  <si>
    <t>fvannouhuijs@mail.sfsu.edu</t>
  </si>
  <si>
    <t>Preet Jigneshkumar Agnihotri</t>
  </si>
  <si>
    <t>pagnihotri@mail.sfsu.edu</t>
  </si>
  <si>
    <t>Dominic Ditmyer</t>
  </si>
  <si>
    <t>dditmyer@mail.sfsu.edu</t>
  </si>
  <si>
    <t>Prince Yadav</t>
  </si>
  <si>
    <t>pyadav1@sfsu.edu</t>
  </si>
  <si>
    <t>Pooneh Kalhori</t>
  </si>
  <si>
    <t>pkalhori@mail.sfsu.edu</t>
  </si>
  <si>
    <t>Phillip Nguyen</t>
  </si>
  <si>
    <t>pnguyen22@mail.sfsu.edu</t>
  </si>
  <si>
    <t>Mona Shaath</t>
  </si>
  <si>
    <t>mshaath@mail.sfsu.edu</t>
  </si>
  <si>
    <t>Derek Dimond</t>
  </si>
  <si>
    <t>ddimond@mail.sfsu.edu</t>
  </si>
  <si>
    <t>Rebecca Kim</t>
  </si>
  <si>
    <t>rkim6@mail.sfsu.edu</t>
  </si>
  <si>
    <t>Alexander Pena</t>
  </si>
  <si>
    <t>apena9@mail.sfsu.edu</t>
  </si>
  <si>
    <t>Victoria Frager</t>
  </si>
  <si>
    <t>vfrager@mail.sfsu.edu</t>
  </si>
  <si>
    <t>NatÃ¡lia Vieira</t>
  </si>
  <si>
    <t>nvieira@mail.sfsu.edu</t>
  </si>
  <si>
    <t>Danny Lopez</t>
  </si>
  <si>
    <t>dlopez34@mail.sfsu.edu</t>
  </si>
  <si>
    <t>Codey Stevenson</t>
  </si>
  <si>
    <t>cstephenson@sfsu.edu</t>
  </si>
  <si>
    <t xml:space="preserve">Richard Gutierrez-Soliz </t>
  </si>
  <si>
    <t>rgutierrezsoliz@sfsu.edu</t>
  </si>
  <si>
    <t>Ngoc Nguyen</t>
  </si>
  <si>
    <t>nnguyen39@mail.sfsu.edu</t>
  </si>
  <si>
    <t>Emily Jane Peralta</t>
  </si>
  <si>
    <t>eperalta4@mail.sfsu.edu</t>
  </si>
  <si>
    <t xml:space="preserve">Michael Clarke </t>
  </si>
  <si>
    <t>mclarke@mail.sfsu.edu</t>
  </si>
  <si>
    <t>Luis Ybarra</t>
  </si>
  <si>
    <t>lybarra@mail.sfsu.edu</t>
  </si>
  <si>
    <t>Ethan Cortes</t>
  </si>
  <si>
    <t>ecortes1@sfsu.edu</t>
  </si>
  <si>
    <t>Aswin Rangasamy Venkatesan</t>
  </si>
  <si>
    <t>arangasamyvenkatesan@sfsu.edu</t>
  </si>
  <si>
    <t>Justin Shebert</t>
  </si>
  <si>
    <t>jshebert@mail.sfsu.edu</t>
  </si>
  <si>
    <t>Edward Ash</t>
  </si>
  <si>
    <t>eash@sfsu.edu</t>
  </si>
  <si>
    <t>Eric Coyle</t>
  </si>
  <si>
    <t>ecoyle@sfsu.edu</t>
  </si>
  <si>
    <t>Max Oginz</t>
  </si>
  <si>
    <t>moginz@mail.sfsu.edu</t>
  </si>
  <si>
    <t>Ben Lazar</t>
  </si>
  <si>
    <t>blazar@sfsu.edu</t>
  </si>
  <si>
    <t>Anastasia Ovchinnikov</t>
  </si>
  <si>
    <t>aovchinnikov@sfsu.edu</t>
  </si>
  <si>
    <t>Abdulrahman Alhomoud</t>
  </si>
  <si>
    <t>aalhomoud@sfsu.edu</t>
  </si>
  <si>
    <t>Alexei Spindell</t>
  </si>
  <si>
    <t>aspindell@sfsu.edu</t>
  </si>
  <si>
    <t>David Umbertus</t>
  </si>
  <si>
    <t>dumbertus@sfsu.edu</t>
  </si>
  <si>
    <t>AndrÃ©s Patino</t>
  </si>
  <si>
    <t>apatinolopez@sfsu.edu</t>
  </si>
  <si>
    <t>Annie Pancak</t>
  </si>
  <si>
    <t>apancak@sfsu.edu</t>
  </si>
  <si>
    <t>Victoria Chou</t>
  </si>
  <si>
    <t>vchou@sfsu.edu</t>
  </si>
  <si>
    <t>Conor Harrington</t>
  </si>
  <si>
    <t>charrington@sfsu.edu</t>
  </si>
  <si>
    <t>Kshitiz Sareen</t>
  </si>
  <si>
    <t>ksareen@sfsu.edu</t>
  </si>
  <si>
    <t>Kira Miller</t>
  </si>
  <si>
    <t>kmiller21@sfsu.edu</t>
  </si>
  <si>
    <t>Miao Wang</t>
  </si>
  <si>
    <t>mwang17@mail.sfsu.edu</t>
  </si>
  <si>
    <t>Noah Litwer</t>
  </si>
  <si>
    <t>nlitwer@sfsu.edu</t>
  </si>
  <si>
    <t>Yaqoub Yusuf</t>
  </si>
  <si>
    <t>yyusuf@sfsu.edu</t>
  </si>
  <si>
    <t>Sebastian Oberkfell</t>
  </si>
  <si>
    <t>soberkfell@sfsu.edu</t>
  </si>
  <si>
    <t>Daniel Cornejo</t>
  </si>
  <si>
    <t>dcornejo1@sfsu.edu</t>
  </si>
  <si>
    <t>Kunal Verma</t>
  </si>
  <si>
    <t>kverma@sfsu.edu</t>
  </si>
  <si>
    <t>Max Taus</t>
  </si>
  <si>
    <t>mtaus@sfsu.edu</t>
  </si>
  <si>
    <t>Mohseen Fathima Syed Sultan Mohideen</t>
  </si>
  <si>
    <t>mfathima@sfsu.edu</t>
  </si>
  <si>
    <t>Triana Anderson</t>
  </si>
  <si>
    <t>tanderson6@sfsu.edu</t>
  </si>
  <si>
    <t>Billy Gong</t>
  </si>
  <si>
    <t>wgong@sfsu.edu</t>
  </si>
  <si>
    <t>Melika Teimouri</t>
  </si>
  <si>
    <t>melika.teimouri1373@gmail.com</t>
  </si>
  <si>
    <t>MaryGracy Arackal Antony</t>
  </si>
  <si>
    <t>mantony@sfsu.edu</t>
  </si>
  <si>
    <t>Michael Byrd</t>
  </si>
  <si>
    <t>mbyrd2@sfsu.edu</t>
  </si>
  <si>
    <t>Duccio Rocca</t>
  </si>
  <si>
    <t>drocca@sfsu.edu</t>
  </si>
  <si>
    <t>Connor Loehde-Woolard</t>
  </si>
  <si>
    <t>cloehdewoolard@sfsu.edu</t>
  </si>
  <si>
    <t>Lekha Patil</t>
  </si>
  <si>
    <t>lpatil@sfsu.edu</t>
  </si>
  <si>
    <t>Rohit Chopra</t>
  </si>
  <si>
    <t>rchopra2@sfsu.edu</t>
  </si>
  <si>
    <t>Ian Wallace</t>
  </si>
  <si>
    <t>iwallace@sfsu.edu</t>
  </si>
  <si>
    <t>Darcy Brunk</t>
  </si>
  <si>
    <t>dbrunk@sfsu.edu</t>
  </si>
  <si>
    <t>Mandy Buck</t>
  </si>
  <si>
    <t>abuck2@sfsu.edu</t>
  </si>
  <si>
    <t>Paul Sulpice</t>
  </si>
  <si>
    <t>psulpice@sfsu.edu</t>
  </si>
  <si>
    <t>Fernando Gonzalez</t>
  </si>
  <si>
    <t>fgonzalez3@sfsu.edu</t>
  </si>
  <si>
    <t>Connor Fitzpatrick</t>
  </si>
  <si>
    <t>cfitzpatrick1@sfsu.edu</t>
  </si>
  <si>
    <t>Genessa Benton</t>
  </si>
  <si>
    <t>gbenton@sfsu.edu</t>
  </si>
  <si>
    <t>Madison Wang</t>
  </si>
  <si>
    <t>mwang18@sfsu.edu</t>
  </si>
  <si>
    <t>Nick Mendler</t>
  </si>
  <si>
    <t>nmendler@sfsu.edu</t>
  </si>
  <si>
    <t>Kim Long Le</t>
  </si>
  <si>
    <t>kle35@sfsu.edu</t>
  </si>
  <si>
    <t>Omar Yamak</t>
  </si>
  <si>
    <t>oyamak@sfsu.edu</t>
  </si>
  <si>
    <t>Calvin Anderson</t>
  </si>
  <si>
    <t>aandersonkibler@sfsu.edu</t>
  </si>
  <si>
    <t>Vandana Ganesan Kaushik</t>
  </si>
  <si>
    <t>vkaushik@sfsu.edu</t>
  </si>
  <si>
    <t>Kameron Gausling</t>
  </si>
  <si>
    <t>kgausling@sfsu.edu</t>
  </si>
  <si>
    <t>Aaron Eiben</t>
  </si>
  <si>
    <t>aeiben@sfsu.edu</t>
  </si>
  <si>
    <t>Easton Honaker</t>
  </si>
  <si>
    <t>ehonaker@sfsu.edu</t>
  </si>
  <si>
    <t>Allison Swart</t>
  </si>
  <si>
    <t>aswart@sfsu.edu</t>
  </si>
  <si>
    <t>Amir Hashemizad</t>
  </si>
  <si>
    <t>ahashemizad@sfsu.edu</t>
  </si>
  <si>
    <t>Valerie Gilbert</t>
  </si>
  <si>
    <t>vgilbert@sfsu.edu</t>
  </si>
  <si>
    <t>Andrea Martin</t>
  </si>
  <si>
    <t>amartin39@sfsu.edu</t>
  </si>
  <si>
    <t>Kouki Tamura</t>
  </si>
  <si>
    <t>ktamura1@sfsu.edu</t>
  </si>
  <si>
    <t>William O'Brien</t>
  </si>
  <si>
    <t>wobrien@sfsu.edu</t>
  </si>
  <si>
    <t>Jason Bowers</t>
  </si>
  <si>
    <t>jbowers2@sfsu.edu</t>
  </si>
  <si>
    <t>Danni Zhang</t>
  </si>
  <si>
    <t>dzhang7@sfsu.edu</t>
  </si>
  <si>
    <t>Vaikunth Desai</t>
  </si>
  <si>
    <t>vdesai@sfsu.edu</t>
  </si>
  <si>
    <t>Ullas Terakanambi Lokesh</t>
  </si>
  <si>
    <t>uterakanambilokesh@sfsu.edu</t>
  </si>
  <si>
    <t>Anudeep Katukojwala</t>
  </si>
  <si>
    <t>akatukojwala@sfsu.edu</t>
  </si>
  <si>
    <t>Yuriah Lydon</t>
  </si>
  <si>
    <t>ylydon@sfsu.edu</t>
  </si>
  <si>
    <t>Hatem Adell</t>
  </si>
  <si>
    <t>hadell@sfsu.edu</t>
  </si>
  <si>
    <t>Dimitri Angelidis</t>
  </si>
  <si>
    <t>dangelidis@sfsu.edu</t>
  </si>
  <si>
    <t>Phil Coren</t>
  </si>
  <si>
    <t>pcoren@sfsu.edu</t>
  </si>
  <si>
    <t>belinda.reyes124@gmail.com</t>
  </si>
  <si>
    <t>Max Boshaw</t>
  </si>
  <si>
    <t>mboshaw@sfsu.edu</t>
  </si>
  <si>
    <t>Joe Bonin</t>
  </si>
  <si>
    <t>jbonin@sfsu.edu</t>
  </si>
  <si>
    <t>Marco Cordero</t>
  </si>
  <si>
    <t>mcordero7@sfsu.edu</t>
  </si>
  <si>
    <t>Joe Holdreith</t>
  </si>
  <si>
    <t>jholdreith@sfsu.edu</t>
  </si>
  <si>
    <t>Yeonwook Jung</t>
  </si>
  <si>
    <t>yjung4@sfsu.edu</t>
  </si>
  <si>
    <t>Alice Truong</t>
  </si>
  <si>
    <t>atruong16@sfsu.edu</t>
  </si>
  <si>
    <t>Tammy Tran</t>
  </si>
  <si>
    <t>ttran64@sfsu.edu</t>
  </si>
  <si>
    <t>Kentaro Kawasaki</t>
  </si>
  <si>
    <t>kkawasaki@sfsu.edu</t>
  </si>
  <si>
    <t>Brian Trinh</t>
  </si>
  <si>
    <t>btrinh7@sfsu.edu</t>
  </si>
  <si>
    <t>Sean Hennigan</t>
  </si>
  <si>
    <t>shennigan@sfsu.edu</t>
  </si>
  <si>
    <t>Anika O'Donnell</t>
  </si>
  <si>
    <t>aodonnell1@sfsu.edu</t>
  </si>
  <si>
    <t>Jason Meintjes</t>
  </si>
  <si>
    <t>jmeintjes@sfsu.edu</t>
  </si>
  <si>
    <t>Santosh Bajagain</t>
  </si>
  <si>
    <t>sbajagain@sfsu.edu</t>
  </si>
  <si>
    <t>Su Ilayda Ozcan</t>
  </si>
  <si>
    <t>sozcan@sfsu.edu</t>
  </si>
  <si>
    <t>Marie Shimizu</t>
  </si>
  <si>
    <t>mshimizu4@sfsu.edu</t>
  </si>
  <si>
    <t>Annie Chu</t>
  </si>
  <si>
    <t>achu13@sfsu.edu</t>
  </si>
  <si>
    <t>Sarvesh Shinde</t>
  </si>
  <si>
    <t>sshinde@sfsu.edu</t>
  </si>
  <si>
    <t>Jill Yochim</t>
  </si>
  <si>
    <t>jyochim@sfsu.edu</t>
  </si>
  <si>
    <t>Sarila Young</t>
  </si>
  <si>
    <t>syoung16@sfsu.edu</t>
  </si>
  <si>
    <t>Jonathan Gaydos</t>
  </si>
  <si>
    <t>jgaydos@sfsu.edu</t>
  </si>
  <si>
    <t>Joseph Larse</t>
  </si>
  <si>
    <t>jlarse@sfsu.edu</t>
  </si>
  <si>
    <t>Yashleen Sharma</t>
  </si>
  <si>
    <t>ysharma@sfsu.edu</t>
  </si>
  <si>
    <t>Trevor Hart</t>
  </si>
  <si>
    <t>thart7@sfsu.edu</t>
  </si>
  <si>
    <t>Nick Vasquez</t>
  </si>
  <si>
    <t>nvasquez1@sfsu.edu</t>
  </si>
  <si>
    <t>Lucas Fayet-Faber</t>
  </si>
  <si>
    <t>lfayetfaber@sfsu.edu</t>
  </si>
  <si>
    <t>Claire Komori</t>
  </si>
  <si>
    <t>ckomori@sfsu.edu</t>
  </si>
  <si>
    <t>Alexis Hooper</t>
  </si>
  <si>
    <t>ahooper2@sfsu.edu</t>
  </si>
  <si>
    <t xml:space="preserve">908492005	</t>
  </si>
  <si>
    <t>Ried Wagner</t>
  </si>
  <si>
    <t>riedwagner@sfsu.edu</t>
  </si>
  <si>
    <t>Noah Price</t>
  </si>
  <si>
    <t>nprice@sfsu.edu</t>
  </si>
  <si>
    <t>Carolina De Robertis </t>
  </si>
  <si>
    <t>Lan De Vera</t>
  </si>
  <si>
    <t>ldevera@sfsu.edu</t>
  </si>
  <si>
    <t>Stanislav Shaposhnikov</t>
  </si>
  <si>
    <t>sshaposhnikov@sfsu.edu</t>
  </si>
  <si>
    <t>Michelle Montoya</t>
  </si>
  <si>
    <t>mmontoy@sfsu.edu</t>
  </si>
  <si>
    <t>Victor Aguilar</t>
  </si>
  <si>
    <t>vaguila4@sfsu.edu</t>
  </si>
  <si>
    <t>Ty Maniulit</t>
  </si>
  <si>
    <t>tymaniulit@sfsu.edu</t>
  </si>
  <si>
    <t xml:space="preserve">Christopher Clark </t>
  </si>
  <si>
    <t>cclark@sfsu.edu</t>
  </si>
  <si>
    <t xml:space="preserve">Zia Davidian </t>
  </si>
  <si>
    <t>zdavidian@sfsu.edu</t>
  </si>
  <si>
    <t>Sheldon Gen</t>
  </si>
  <si>
    <t>sgen@sfsu.edu</t>
  </si>
  <si>
    <t>Alcides Fuentes</t>
  </si>
  <si>
    <t>alcidesfuentes@sfsu.edu</t>
  </si>
  <si>
    <t>Nicholas Leung</t>
  </si>
  <si>
    <t>n_leung1@u.pacific.edu</t>
  </si>
  <si>
    <t>Mikey Pagan</t>
  </si>
  <si>
    <t>kpagan1@mail.sfsu.edu</t>
  </si>
  <si>
    <t>Samer Dabit</t>
  </si>
  <si>
    <t>sdabit@sfsu.edu</t>
  </si>
  <si>
    <t>Jason Bell</t>
  </si>
  <si>
    <t>jbell@asi.sfsu.edu</t>
  </si>
  <si>
    <t>Julio Torress</t>
  </si>
  <si>
    <t>jtorres30@sfsu.edu</t>
  </si>
  <si>
    <t>betsey8050@me.com</t>
  </si>
  <si>
    <t>Rebecca Cheng</t>
  </si>
  <si>
    <t>rebeccacheng@sfsu.edu</t>
  </si>
  <si>
    <t>Amy Sueyoshi</t>
  </si>
  <si>
    <t>sueyoshi@sfsu.edu</t>
  </si>
  <si>
    <t>Evan Jaynes</t>
  </si>
  <si>
    <t>jaynes@sfsu.edu</t>
  </si>
  <si>
    <t>Luis Poncio</t>
  </si>
  <si>
    <t>lponcio@mail.sfsu.edu</t>
  </si>
  <si>
    <t>Matthew Menor</t>
  </si>
  <si>
    <t>menor@sfsu.edu</t>
  </si>
  <si>
    <t>Time Ubungen</t>
  </si>
  <si>
    <t>time@sfsu.edu</t>
  </si>
  <si>
    <t>J.C. Gonzales</t>
  </si>
  <si>
    <t>jj.gonzales@me.com</t>
  </si>
  <si>
    <t>betsey8050@mac.com</t>
  </si>
  <si>
    <t>Sally G Pasion</t>
  </si>
  <si>
    <t>Alexandra Theodotou</t>
  </si>
  <si>
    <t>atheodotou@sfsu.edu</t>
  </si>
  <si>
    <t>Joshua Baltodano</t>
  </si>
  <si>
    <t>jbltodano@sfsu.edu</t>
  </si>
  <si>
    <t>Dawn-Elissa Fischer</t>
  </si>
  <si>
    <t>Heather Chow</t>
  </si>
  <si>
    <t>heatherc@sfsu.edu</t>
  </si>
  <si>
    <t xml:space="preserve">Steven H. Cochrane </t>
  </si>
  <si>
    <t>cochrane7777@gmail.com</t>
  </si>
  <si>
    <t>Jason Nava</t>
  </si>
  <si>
    <t>jnava6@sfsu.edu</t>
  </si>
  <si>
    <t>Thien Lam</t>
  </si>
  <si>
    <t>ttlam@sfsu.edu</t>
  </si>
  <si>
    <t>Clive Hayzelden</t>
  </si>
  <si>
    <t>cliveh@sfsu.edu</t>
  </si>
  <si>
    <t>Dee Bradford</t>
  </si>
  <si>
    <t>dbradford@sfsu.edu</t>
  </si>
  <si>
    <t>Jaye Evans</t>
  </si>
  <si>
    <t>jayeevans@sfsu.edu</t>
  </si>
  <si>
    <t>Annalise Harlow</t>
  </si>
  <si>
    <t>aharlow@sfsu.edu</t>
  </si>
  <si>
    <t>Devina Do</t>
  </si>
  <si>
    <t>ddo2@sfsu.edu</t>
  </si>
  <si>
    <t>Jasmin Bomanjee</t>
  </si>
  <si>
    <t>jsboman@sfsu.edu</t>
  </si>
  <si>
    <t>Kurt Daw</t>
  </si>
  <si>
    <t>kurtdaw@sfsu.edu</t>
  </si>
  <si>
    <t>Fumi Izumi</t>
  </si>
  <si>
    <t>fumifumi@sfsu.edu</t>
  </si>
  <si>
    <t>Dilara Yarbrough</t>
  </si>
  <si>
    <t>dilara@sfsu.edu</t>
  </si>
  <si>
    <t>Julia Miyaoka</t>
  </si>
  <si>
    <t>jmiyaoka@sfsu.edu</t>
  </si>
  <si>
    <t>Alanna Cooney</t>
  </si>
  <si>
    <t>aycooney@sfsu.edu</t>
  </si>
  <si>
    <t>Chrissy Lau</t>
  </si>
  <si>
    <t>chrissylau@sfsu.edu</t>
  </si>
  <si>
    <t>John Thompson</t>
  </si>
  <si>
    <t>jthompson20@sfsu.edu</t>
  </si>
  <si>
    <t>Ruvani Fonseka</t>
  </si>
  <si>
    <t>rfonseka@sfsu.edu</t>
  </si>
  <si>
    <t>Dani Poortinga</t>
  </si>
  <si>
    <t>dpoortinga@sfsu.edu</t>
  </si>
  <si>
    <t>Anisha Singh</t>
  </si>
  <si>
    <t>asingh56@sfsu.edu</t>
  </si>
  <si>
    <t>Andrew Luis</t>
  </si>
  <si>
    <t>drewluis@sfsu.edu</t>
  </si>
  <si>
    <t>Eugene Young</t>
  </si>
  <si>
    <t>eryoung@sfsu.edu</t>
  </si>
  <si>
    <t>Julia Parma</t>
  </si>
  <si>
    <t>julianaparma@sfsu.edu</t>
  </si>
  <si>
    <t>Alyssa Kubota</t>
  </si>
  <si>
    <t>akubota@sfsu.edu</t>
  </si>
  <si>
    <t>Rashid Kohan</t>
  </si>
  <si>
    <t>Savita Malik</t>
  </si>
  <si>
    <t>smalik@sfsu.edu</t>
  </si>
  <si>
    <t>Omar Zahzah</t>
  </si>
  <si>
    <t>ozahzah@sfsu.edu</t>
  </si>
  <si>
    <t>Kari Beuerman</t>
  </si>
  <si>
    <t xml:space="preserve">	karibeuerman@sfsu.edu</t>
  </si>
  <si>
    <t>Maya Chinchilla</t>
  </si>
  <si>
    <t>maya@sfsu.edu</t>
  </si>
  <si>
    <t>Anjalee Beverly</t>
  </si>
  <si>
    <t>abeverly@sfsu.edu</t>
  </si>
  <si>
    <t>Emma Fine</t>
  </si>
  <si>
    <t xml:space="preserve">efine@sfsu.edu </t>
  </si>
  <si>
    <t xml:space="preserve">Leah Humphreys </t>
  </si>
  <si>
    <t>larc@sfsu.edu</t>
  </si>
  <si>
    <t>Elizabeth Detrich</t>
  </si>
  <si>
    <t>edetrich@sfsu.edu</t>
  </si>
  <si>
    <t>Lorenzo Finau-Cruz</t>
  </si>
  <si>
    <t>finaucr@sfsu.edu</t>
  </si>
  <si>
    <t>Gian Carlo Baldonado</t>
  </si>
  <si>
    <t>gbaldonado@sfsu.edu</t>
  </si>
  <si>
    <t>Mark Leinauer</t>
  </si>
  <si>
    <t>markleinauer@sfsu.edu</t>
  </si>
  <si>
    <t>Rebeca Moran</t>
  </si>
  <si>
    <t>rmoran@sfsu.edu</t>
  </si>
  <si>
    <t>cloud</t>
  </si>
  <si>
    <t>dwang12@sfsu.edu</t>
  </si>
  <si>
    <t>Aaron Singh</t>
  </si>
  <si>
    <t>asingh39@sfsu.edu</t>
  </si>
  <si>
    <t>Heather Sawyer</t>
  </si>
  <si>
    <t>heathersawyer@sfsu.edu</t>
  </si>
  <si>
    <t>Casondra Sobieralski</t>
  </si>
  <si>
    <t>casondras@sfsu.edu</t>
  </si>
  <si>
    <t>Shirley Tsang</t>
  </si>
  <si>
    <t>stsang1@sfsu.edu</t>
  </si>
  <si>
    <t>Rick Nizzardini</t>
  </si>
  <si>
    <t>rnizzard@sfsu.edu</t>
  </si>
  <si>
    <t>William Carduner</t>
  </si>
  <si>
    <t>wcarduner@sfsu.edu</t>
  </si>
  <si>
    <t>Cristina Alcantara</t>
  </si>
  <si>
    <t>cba@sfsu.edu</t>
  </si>
  <si>
    <t>Moxie Carlblom</t>
  </si>
  <si>
    <t>ecarlblom@sfsu.edu</t>
  </si>
  <si>
    <t>Levalasi Loi-On</t>
  </si>
  <si>
    <t>levalasi@sfsu.edu</t>
  </si>
  <si>
    <t>Brian McGhee</t>
  </si>
  <si>
    <t>bmcghee2@sfsu.edu</t>
  </si>
  <si>
    <t>Nasrin Mohabatti</t>
  </si>
  <si>
    <t>mohabatti@sfsu.edu</t>
  </si>
  <si>
    <t>Karla Castillo</t>
  </si>
  <si>
    <t>karlac@sfsu.edu</t>
  </si>
  <si>
    <t>Lizzy Borges</t>
  </si>
  <si>
    <t>eborges@sfsu.edu</t>
  </si>
  <si>
    <t>Jun Min Zhang</t>
  </si>
  <si>
    <t>jimmysoe@sfsu.edu</t>
  </si>
  <si>
    <t>Bahar Javadi</t>
  </si>
  <si>
    <t>javadi@sfsu.edu</t>
  </si>
  <si>
    <t>Karin Knowles</t>
  </si>
  <si>
    <t>klknowles@sfsu.edu</t>
  </si>
  <si>
    <t>Navi Kaur</t>
  </si>
  <si>
    <t>kaur@sfsu.edu</t>
  </si>
  <si>
    <t>Quyen Le</t>
  </si>
  <si>
    <t>quyen@sfsu.edu</t>
  </si>
  <si>
    <t>Yeram Cheong</t>
  </si>
  <si>
    <t>yeramcheong@sfsu.edu</t>
  </si>
  <si>
    <t>Ashley Klein</t>
  </si>
  <si>
    <t>atklein@sfsu.edu</t>
  </si>
  <si>
    <t>Karen Wiederholt</t>
  </si>
  <si>
    <t>kwied@sfsu.edu</t>
  </si>
  <si>
    <t>Nicole Stibbard</t>
  </si>
  <si>
    <t>nstibbard@sfsu.edu</t>
  </si>
  <si>
    <t>Eric Christensen</t>
  </si>
  <si>
    <t>ericchristensen@sfsu.edu</t>
  </si>
  <si>
    <t>Lauren Cohn-Frankel</t>
  </si>
  <si>
    <t>laurencf@sfsu.edu</t>
  </si>
  <si>
    <t>Young Soo Kim</t>
  </si>
  <si>
    <t>youngkim@sfsu.edu</t>
  </si>
  <si>
    <t>Sarah Almaqousi</t>
  </si>
  <si>
    <t xml:space="preserve"> sjones@sfsu.edu </t>
  </si>
  <si>
    <t>Husamettin Erciyes</t>
  </si>
  <si>
    <t>herciyes@sfsu.edu</t>
  </si>
  <si>
    <t>Ken Maeshiro</t>
  </si>
  <si>
    <t>kmaeshir@sfsu.edu</t>
  </si>
  <si>
    <t>Toan Thai</t>
  </si>
  <si>
    <t>toan@sfsu.edu</t>
  </si>
  <si>
    <t>Kunie Kikunaga</t>
  </si>
  <si>
    <t>kkikunaga@sfsu.edu</t>
  </si>
  <si>
    <t>Maelynn Le</t>
  </si>
  <si>
    <t>mle12@mail.sfsu.edu</t>
  </si>
  <si>
    <t xml:space="preserve">Emma Mink </t>
  </si>
  <si>
    <t>Emink@mail.sfsu.edu</t>
  </si>
  <si>
    <t>Julio Ramirez</t>
  </si>
  <si>
    <t>bacillus@sfsu.edu</t>
  </si>
  <si>
    <t>Natalie Ayala</t>
  </si>
  <si>
    <t>nayala@sfsu.edu</t>
  </si>
  <si>
    <t>Katsafumi Araki</t>
  </si>
  <si>
    <t>Eli Dinkelspiel</t>
  </si>
  <si>
    <t>edinkelspiel@sfsu.edu</t>
  </si>
  <si>
    <t>Paul Medeiros</t>
  </si>
  <si>
    <t>pauljmed@mail.sfsu.edu</t>
  </si>
  <si>
    <t>Shufen Ma</t>
  </si>
  <si>
    <t>sma@sfsu.edu</t>
  </si>
  <si>
    <t>Nicole Gluckstern</t>
  </si>
  <si>
    <t>ngluckstern@mail.sfsu.edu</t>
  </si>
  <si>
    <t>Colin Schildhauer</t>
  </si>
  <si>
    <t>SchildhauerC@sfsu.edu</t>
  </si>
  <si>
    <t>Cynthia Chu</t>
  </si>
  <si>
    <t>cchu4@sfsu.edu</t>
  </si>
  <si>
    <t>Minu Kumar</t>
  </si>
  <si>
    <t>mkumar@sfsu.edu</t>
  </si>
  <si>
    <t>Yuki Huynh</t>
  </si>
  <si>
    <t>yukihuynh@sfsu.edu</t>
  </si>
  <si>
    <t>Nesma Elhizzawi</t>
  </si>
  <si>
    <t>nelhizzawi@sfsu.edu</t>
  </si>
  <si>
    <t>Justin Wong</t>
  </si>
  <si>
    <t>justinw707@sfsu.edu</t>
  </si>
  <si>
    <t>Madeline Flamer</t>
  </si>
  <si>
    <t>madeline@sfsu.edu</t>
  </si>
  <si>
    <t xml:space="preserve">Eliott Scheuer </t>
  </si>
  <si>
    <t>escheuer@sfsu.edu</t>
  </si>
  <si>
    <t>Mike Young</t>
  </si>
  <si>
    <t>lyoung13@sfsu.edu</t>
  </si>
  <si>
    <t>Phonita Yuen</t>
  </si>
  <si>
    <t>phonitay@sfsu.edu</t>
  </si>
  <si>
    <t>Hinako Ishikawa</t>
  </si>
  <si>
    <t>hIshikawa1@sfsu.edu</t>
  </si>
  <si>
    <t>Shanina Shumate</t>
  </si>
  <si>
    <t>sshumate@sfsu.edu</t>
  </si>
  <si>
    <t>Erik Rosegard</t>
  </si>
  <si>
    <t>rosegard@sfsu.edu</t>
  </si>
  <si>
    <t>Naomi Corwin</t>
  </si>
  <si>
    <t>ncorwin@sfsu.edu</t>
  </si>
  <si>
    <t>Jeremy Khuth</t>
  </si>
  <si>
    <t>jkhuth@sfsu.edu</t>
  </si>
  <si>
    <t xml:space="preserve">Paul Maeshall </t>
  </si>
  <si>
    <t>Pianotechpaul@sfsu.edu</t>
  </si>
  <si>
    <t>Leonard Hunter</t>
  </si>
  <si>
    <t>llhunter@sfsu.edu</t>
  </si>
  <si>
    <t>Yukie Goto</t>
  </si>
  <si>
    <t>kittybee10@yahoo.com</t>
  </si>
  <si>
    <t>Breanna Hamm</t>
  </si>
  <si>
    <t>bhamm@sfsu.edu</t>
  </si>
  <si>
    <t>Lily Lai</t>
  </si>
  <si>
    <t>lilylai@sfsu.edu</t>
  </si>
  <si>
    <t>Diana Fung</t>
  </si>
  <si>
    <t>dfung@sfsu.edu</t>
  </si>
  <si>
    <t>Marissa Dong</t>
  </si>
  <si>
    <t>mdong@sfsu.edu</t>
  </si>
  <si>
    <t>David Casso</t>
  </si>
  <si>
    <t>dcasso@sfsu.edu</t>
  </si>
  <si>
    <t>Jaime Lopez</t>
  </si>
  <si>
    <t>Jaimelopez@sfsu.edu</t>
  </si>
  <si>
    <t>Meghan Catam</t>
  </si>
  <si>
    <t>mcatam@mail.sfsu.edu</t>
  </si>
  <si>
    <t xml:space="preserve">Kyoung Chang </t>
  </si>
  <si>
    <t>kchang16@sfsu.edu</t>
  </si>
  <si>
    <t>Aaron Sullivan</t>
  </si>
  <si>
    <t>absullivan@sfsu.edu</t>
  </si>
  <si>
    <t>Nina Shaver</t>
  </si>
  <si>
    <t>ninashaver@sfsu.edu</t>
  </si>
  <si>
    <t>Sanika Doolani</t>
  </si>
  <si>
    <t>sanikadoolani@sfsu.edu</t>
  </si>
  <si>
    <t>Xuhui Chen</t>
  </si>
  <si>
    <t>tracychen@sfsu.edu</t>
  </si>
  <si>
    <t>Shiyu Yang</t>
  </si>
  <si>
    <t>Shiyu.yang@sfsu.edu</t>
  </si>
  <si>
    <t>Jesus Alvarez</t>
  </si>
  <si>
    <t>jalvareziii@sfsu.edu</t>
  </si>
  <si>
    <t>Hasmig Tatiossian</t>
  </si>
  <si>
    <t>htat@sfsu.edu</t>
  </si>
  <si>
    <t>Zainab Agha</t>
  </si>
  <si>
    <t>zainabagha@sfsu.edu</t>
  </si>
  <si>
    <t>Alma Pulido</t>
  </si>
  <si>
    <t>apulido@sfsu.edu</t>
  </si>
  <si>
    <t>Julieta Kusnir</t>
  </si>
  <si>
    <t>julieta@sfsu.edu</t>
  </si>
  <si>
    <t>Kenya Meija</t>
  </si>
  <si>
    <t>kzmejia@sfsu.edu</t>
  </si>
  <si>
    <t>Colin Williams</t>
  </si>
  <si>
    <t>cwilliams36@sfsu.edu</t>
  </si>
  <si>
    <t>Golda Dinsay</t>
  </si>
  <si>
    <t>gdinsay@sfsu.edu</t>
  </si>
  <si>
    <t>Huy Le</t>
  </si>
  <si>
    <t>huyle@sfsu.edu</t>
  </si>
  <si>
    <t>Henok Tsegaye</t>
  </si>
  <si>
    <t>htsegaye@sfsu.edu</t>
  </si>
  <si>
    <t>Amy Lam</t>
  </si>
  <si>
    <t>amyglam@sfsu.edu</t>
  </si>
  <si>
    <t>Samuel Reid</t>
  </si>
  <si>
    <t>sreid1@mail.sfsu.edu</t>
  </si>
  <si>
    <t>Kenny Consedine</t>
  </si>
  <si>
    <t>kconsedine@sfsu.edu</t>
  </si>
  <si>
    <t>David Herrera</t>
  </si>
  <si>
    <t>dherrera@sfsu.edu</t>
  </si>
  <si>
    <t>Yasi Martin-Partovi</t>
  </si>
  <si>
    <t>jmartinpartovi@sfsu.edu</t>
  </si>
  <si>
    <t>Jesse Hewit</t>
  </si>
  <si>
    <t>jahewit@sfsu.edu</t>
  </si>
  <si>
    <t>Andrew Deibert</t>
  </si>
  <si>
    <t>adeibert@sfsu.edu</t>
  </si>
  <si>
    <t>Nestor Castillo</t>
  </si>
  <si>
    <t>nestorc@sfsu.edu</t>
  </si>
  <si>
    <t>Tupou Latukefu</t>
  </si>
  <si>
    <t>latukefu@sfsu.edu</t>
  </si>
  <si>
    <t>Ping Rochanavibhata</t>
  </si>
  <si>
    <t>rochanavibhata@sfsu.edu</t>
  </si>
  <si>
    <t>Gabriela Segovia-MCG</t>
  </si>
  <si>
    <t>Steve Puig</t>
  </si>
  <si>
    <t>spuig@sfsu.edu</t>
  </si>
  <si>
    <t>Erik Hidalgo</t>
  </si>
  <si>
    <t>ehidalgo@sfsu.edu</t>
  </si>
  <si>
    <t>Joey Samuel Ng</t>
  </si>
  <si>
    <t>Sofia Fulgoni</t>
  </si>
  <si>
    <t>sfulgoni@sfsu.edu</t>
  </si>
  <si>
    <t>Anesu Mupombwa</t>
  </si>
  <si>
    <t>amupombwa@sfsu.edu</t>
  </si>
  <si>
    <t>Timara Vereen</t>
  </si>
  <si>
    <t>tvereen@sfsu.edu</t>
  </si>
  <si>
    <t>Lewis Haidt</t>
  </si>
  <si>
    <t>lhaidt@sfsu.edu</t>
  </si>
  <si>
    <t>John Holland</t>
  </si>
  <si>
    <t>holland@sfsu.edu</t>
  </si>
  <si>
    <t>Christopher Conroy</t>
  </si>
  <si>
    <t>chconroy@sfsu.edu</t>
  </si>
  <si>
    <t>Ryan Pearce</t>
  </si>
  <si>
    <t>rpearce@mail.sfsu.edu</t>
  </si>
  <si>
    <t>Raymond Hernandez</t>
  </si>
  <si>
    <t>rhernandez15@sfsu.edu</t>
  </si>
  <si>
    <t>Summer Smith</t>
  </si>
  <si>
    <t>ssmith18@sfsu.edu</t>
  </si>
  <si>
    <t>Nina Mir</t>
  </si>
  <si>
    <t>nina@sfsu.edu</t>
  </si>
  <si>
    <t>Andre Carter</t>
  </si>
  <si>
    <t>acarter@sfsu.edu</t>
  </si>
  <si>
    <t>Lilian Gathua</t>
  </si>
  <si>
    <t>liliangathua@sfsu.edu</t>
  </si>
  <si>
    <t>Isabel Seiden</t>
  </si>
  <si>
    <t>iseiden@sfsu.edu</t>
  </si>
  <si>
    <t>Mitzy PorrasBecerra</t>
  </si>
  <si>
    <t>MITZYFPB@sfsu.edu</t>
  </si>
  <si>
    <t>Christopher Fields</t>
  </si>
  <si>
    <t>cfields5@sfsu.edu</t>
  </si>
  <si>
    <t>Candy Mou</t>
  </si>
  <si>
    <t>candymoo@sfsu.edu</t>
  </si>
  <si>
    <t>Tyler Berkson</t>
  </si>
  <si>
    <t>tberkson@sfsu.edu</t>
  </si>
  <si>
    <t>Di Kohnke</t>
  </si>
  <si>
    <t>diana.kohnke@library.ca.gov</t>
  </si>
  <si>
    <t>Mayra Torres</t>
  </si>
  <si>
    <t>mtorres5@sfsu.edu</t>
  </si>
  <si>
    <t>Nicholas Knight</t>
  </si>
  <si>
    <t>nknight2@sfsu.edu</t>
  </si>
  <si>
    <t>Erik Malagon-Leon</t>
  </si>
  <si>
    <t>emalagonleon@sfsu.edu</t>
  </si>
  <si>
    <t>Ramel Ishaya</t>
  </si>
  <si>
    <t>ramel@sfsu.edu</t>
  </si>
  <si>
    <t>Athan Cheung</t>
  </si>
  <si>
    <t>acheung4@mail.sfsu.edu</t>
  </si>
  <si>
    <t>Dominic Sciucchetti</t>
  </si>
  <si>
    <t>dominics@sfsu.edu</t>
  </si>
  <si>
    <t>Celia Xinyu Wei</t>
  </si>
  <si>
    <t>xwei@sfsu.edu</t>
  </si>
  <si>
    <t>Kyle Liu</t>
  </si>
  <si>
    <t>kliu17@sfsu.edu</t>
  </si>
  <si>
    <t>Ricardo Sarmiento</t>
  </si>
  <si>
    <t>ricksarm@sfsu.edu</t>
  </si>
  <si>
    <t>Caitlin Ryan</t>
  </si>
  <si>
    <t>caitlin@sfsu.edu</t>
  </si>
  <si>
    <t>Angelica Joy Alberti</t>
  </si>
  <si>
    <t>Yuneng Tan</t>
  </si>
  <si>
    <t>ytan12@mail.sfsu.edu</t>
  </si>
  <si>
    <t>Patrick JieJun Xiong</t>
  </si>
  <si>
    <t>jxiong4@mail.sfsu.edu</t>
  </si>
  <si>
    <t>Paige Reilly</t>
  </si>
  <si>
    <t>preilly@sfsu.edu</t>
  </si>
  <si>
    <t>Evie Hidysmith</t>
  </si>
  <si>
    <t>jhidysmith@sfsu.edu</t>
  </si>
  <si>
    <t>Victoria Narkewicz</t>
  </si>
  <si>
    <t>toria@sfsu.edu</t>
  </si>
  <si>
    <t>Kate White</t>
  </si>
  <si>
    <t>katewhite@sfsu.edu</t>
  </si>
  <si>
    <t>Sugeetha Pathmanabhan</t>
  </si>
  <si>
    <t>sugeetha@sfsu.edu</t>
  </si>
  <si>
    <t xml:space="preserve"> Eusebio Lozano</t>
  </si>
  <si>
    <t>eusebiolozano@sfsu.edu</t>
  </si>
  <si>
    <t>Sandra Williams</t>
  </si>
  <si>
    <t>sswilliams@sfsu.edu</t>
  </si>
  <si>
    <t>Bianca Licata</t>
  </si>
  <si>
    <t>blicata@sfsu.edu</t>
  </si>
  <si>
    <t xml:space="preserve">Ally Nguyen </t>
  </si>
  <si>
    <t>an@sfsu.edu</t>
  </si>
  <si>
    <t>jhernandez70@mail.sfsu.edu</t>
  </si>
  <si>
    <t xml:space="preserve">Sarah Brauer </t>
  </si>
  <si>
    <t>920736892@sfsu.edu</t>
  </si>
  <si>
    <t>Sean Nguyen</t>
  </si>
  <si>
    <t>snguyen47@sfsu.edu</t>
  </si>
  <si>
    <t>Kimberly Tsui</t>
  </si>
  <si>
    <t>kimmiet@sfsu.edu</t>
  </si>
  <si>
    <t>Armin Fardis</t>
  </si>
  <si>
    <t>afardis@sfsu.edu</t>
  </si>
  <si>
    <t>Emelia Leon</t>
  </si>
  <si>
    <t>eleon@sfsu.edu</t>
  </si>
  <si>
    <t>Adam Sussman</t>
  </si>
  <si>
    <t>asussman@sfsu.edu</t>
  </si>
  <si>
    <t>Corrine Cheung</t>
  </si>
  <si>
    <t>corrinec@sfsu.edu</t>
  </si>
  <si>
    <t>SFSU ID number</t>
  </si>
  <si>
    <t>Equipment ID (if applicable)</t>
  </si>
  <si>
    <t>DEBT COLLECTOR</t>
  </si>
  <si>
    <t>Ian Sinapuelas</t>
  </si>
  <si>
    <t xml:space="preserve">3 Weeks </t>
  </si>
  <si>
    <t>LCD450</t>
  </si>
  <si>
    <t xml:space="preserve">a week </t>
  </si>
  <si>
    <t>email sent 1/20/23</t>
  </si>
  <si>
    <t xml:space="preserve">Alexandra Hinck </t>
  </si>
  <si>
    <t>one day</t>
  </si>
  <si>
    <t>M Schoerke</t>
  </si>
  <si>
    <t>Kevin D Croshal</t>
  </si>
  <si>
    <t>Later tonight</t>
  </si>
  <si>
    <t>Webcam-6 AT Lib 85</t>
  </si>
  <si>
    <t>ES-CTP-001</t>
  </si>
  <si>
    <t>Meredith Stefran</t>
  </si>
  <si>
    <t xml:space="preserve">A Week </t>
  </si>
  <si>
    <t xml:space="preserve">a day </t>
  </si>
  <si>
    <t>Arturo Arritta</t>
  </si>
  <si>
    <t>DVD The War: 1. A Necessarly War</t>
  </si>
  <si>
    <t>DVD 500 nations Cauldron of War</t>
  </si>
  <si>
    <t>Picked up last semester</t>
  </si>
  <si>
    <t>Returned from last semester</t>
  </si>
  <si>
    <t xml:space="preserve">2 Weeks </t>
  </si>
  <si>
    <t>end of the day</t>
  </si>
  <si>
    <t>CAROLINA MARTINEZ</t>
  </si>
  <si>
    <t>A DAY</t>
  </si>
  <si>
    <t>Fenicia Jacks</t>
  </si>
  <si>
    <t>Venise Wangner</t>
  </si>
  <si>
    <t>VHS Cart</t>
  </si>
  <si>
    <t>81076 @HSS154</t>
  </si>
  <si>
    <t>VGAHD-4</t>
  </si>
  <si>
    <t>Tomorrow</t>
  </si>
  <si>
    <t xml:space="preserve">Dane Johnson </t>
  </si>
  <si>
    <t>LCD453</t>
  </si>
  <si>
    <t>6:30 today</t>
  </si>
  <si>
    <t>Lucas Tobin</t>
  </si>
  <si>
    <t>1 week from date</t>
  </si>
  <si>
    <t>End of Day</t>
  </si>
  <si>
    <t>LCD-400</t>
  </si>
  <si>
    <t>Will return it on 11/01</t>
  </si>
  <si>
    <t>Projector was not checked back in</t>
  </si>
  <si>
    <t>DVD- DR-9</t>
  </si>
  <si>
    <t>11/3 (Thursday)</t>
  </si>
  <si>
    <t>PA-10</t>
  </si>
  <si>
    <t>T.Holton</t>
  </si>
  <si>
    <t>BR-1</t>
  </si>
  <si>
    <t>Monday</t>
  </si>
  <si>
    <t xml:space="preserve">Ja Ronn Thompson </t>
  </si>
  <si>
    <t>end of the semester</t>
  </si>
  <si>
    <t>Velerie Fernandez</t>
  </si>
  <si>
    <t>Today (11/14)</t>
  </si>
  <si>
    <t>CHDMI-A72</t>
  </si>
  <si>
    <t>E Wes Bathel</t>
  </si>
  <si>
    <t>Today (11/15)</t>
  </si>
  <si>
    <t xml:space="preserve">Tracy Thai </t>
  </si>
  <si>
    <t>Th or FR</t>
  </si>
  <si>
    <t xml:space="preserve">End of the semenster </t>
  </si>
  <si>
    <t xml:space="preserve">Kevin, Joey </t>
  </si>
  <si>
    <t xml:space="preserve">Tomorrow </t>
  </si>
  <si>
    <t>Dan Curtis Cummuns</t>
  </si>
  <si>
    <t xml:space="preserve">Seyedan Joseph </t>
  </si>
  <si>
    <t>Today 2pm</t>
  </si>
  <si>
    <t>Valeria Fernandez</t>
  </si>
  <si>
    <t>Today 12.30</t>
  </si>
  <si>
    <t>Kanisha, Joey</t>
  </si>
  <si>
    <t xml:space="preserve">Katherine Mahalic </t>
  </si>
  <si>
    <t>Crystal Anderson</t>
  </si>
  <si>
    <t>Valdez Neriyda</t>
  </si>
  <si>
    <t>TODAY</t>
  </si>
  <si>
    <t>7:50pm today</t>
  </si>
  <si>
    <t>Jim Halligen</t>
  </si>
  <si>
    <t>Today 3.25pm</t>
  </si>
  <si>
    <t xml:space="preserve">Today 2pm </t>
  </si>
  <si>
    <t>Katherine Mahalic</t>
  </si>
  <si>
    <t>Calvin Anderson-Kibler</t>
  </si>
  <si>
    <t>Amy Skanieczuy</t>
  </si>
  <si>
    <t>a</t>
  </si>
  <si>
    <t xml:space="preserve">Dylan </t>
  </si>
  <si>
    <t>Laptop Bag</t>
  </si>
  <si>
    <t>Ted, Kevin</t>
  </si>
  <si>
    <t>Proski</t>
  </si>
  <si>
    <t>3pm today</t>
  </si>
  <si>
    <t xml:space="preserve">Yogesh Badala </t>
  </si>
  <si>
    <t>Katie Mahalic</t>
  </si>
  <si>
    <t>Ben Black</t>
  </si>
  <si>
    <t>Valdez Nereyda</t>
  </si>
  <si>
    <t xml:space="preserve">Priyanvada Abeywickrama </t>
  </si>
  <si>
    <t>Was never checked back in</t>
  </si>
  <si>
    <t>End of semester (?)</t>
  </si>
  <si>
    <t>NO</t>
  </si>
  <si>
    <t>blank</t>
  </si>
  <si>
    <t>1/6/23 or 01/07/23</t>
  </si>
  <si>
    <t>Email</t>
  </si>
  <si>
    <t>Duplicate?</t>
  </si>
  <si>
    <t>Projector Screen</t>
  </si>
  <si>
    <t>01/26/2023 2pm</t>
  </si>
  <si>
    <t>_</t>
  </si>
  <si>
    <t>same day?</t>
  </si>
  <si>
    <t>DVD-DR-8</t>
  </si>
  <si>
    <t>Returned from 2021</t>
  </si>
  <si>
    <t>tomorrow</t>
  </si>
  <si>
    <t xml:space="preserve">Actually was a eth to usbs </t>
  </si>
  <si>
    <t>Today, 8pm</t>
  </si>
  <si>
    <t>End of week</t>
  </si>
  <si>
    <t>AT</t>
  </si>
  <si>
    <t>yes</t>
  </si>
  <si>
    <t>Borrowed &amp; already returned, said she has another one at home to be returned end of semester</t>
  </si>
  <si>
    <t>end of today</t>
  </si>
  <si>
    <t>Picked up for James C Blackman (jcblackman@sfsu.edu)</t>
  </si>
  <si>
    <t>02/20/2023 - 4:45</t>
  </si>
  <si>
    <t>Borrowed during fall 2021</t>
  </si>
  <si>
    <t xml:space="preserve">today </t>
  </si>
  <si>
    <t>ASH</t>
  </si>
  <si>
    <t>2/23/2023 After 4:30pm</t>
  </si>
  <si>
    <t>DTEN Cart</t>
  </si>
  <si>
    <t xml:space="preserve">A day </t>
  </si>
  <si>
    <t>End of Sem</t>
  </si>
  <si>
    <t>Checked out 6 Zoom DARs for her students to use</t>
  </si>
  <si>
    <t>2/30/2023</t>
  </si>
  <si>
    <t xml:space="preserve">Larissa </t>
  </si>
  <si>
    <t>Slide Projector</t>
  </si>
  <si>
    <t>F-261</t>
  </si>
  <si>
    <t>n/a - old WCO record to follow up on</t>
  </si>
  <si>
    <t>F-287</t>
  </si>
  <si>
    <t>AT-DJIP2-07</t>
  </si>
  <si>
    <t>Marciel Santos</t>
  </si>
  <si>
    <t>LCD-450</t>
  </si>
  <si>
    <t>Checked out by Khalid Mahmood - 923021486 - kmahmood@sfsu.edu</t>
  </si>
  <si>
    <t>Already has one but forgot at home and so will return after class, 2:00</t>
  </si>
  <si>
    <t>1 of 2 -- for indefinite use in Tutoring Center</t>
  </si>
  <si>
    <t>2 of 2 -- for indefinite use in Tutoring Center</t>
  </si>
  <si>
    <t xml:space="preserve">LCD 450 </t>
  </si>
  <si>
    <t>Said ot have forgotten their first adapter at home</t>
  </si>
  <si>
    <t>Aux Cable (RCA to 3.5mm)</t>
  </si>
  <si>
    <t>RCA cable and power adapter. One day rental. Return by 8 PM</t>
  </si>
  <si>
    <t>One day rental. Return by 8 PM</t>
  </si>
  <si>
    <t xml:space="preserve">Christophet Clark </t>
  </si>
  <si>
    <t>Mac Power Adapter (MagSafe 1)</t>
  </si>
  <si>
    <t xml:space="preserve">Jeremy </t>
  </si>
  <si>
    <t>TA (instructor will email)</t>
  </si>
  <si>
    <t>Replaced with new adapter</t>
  </si>
  <si>
    <t>Needed to charge a couple of hours</t>
  </si>
  <si>
    <t>Will return after LIB 286 event today</t>
  </si>
  <si>
    <t>(also returned a USB-c to HDMI)</t>
  </si>
  <si>
    <t>Julio Torres</t>
  </si>
  <si>
    <t>(student assistant but have Jason Bell's approval)</t>
  </si>
  <si>
    <t xml:space="preserve">theresa </t>
  </si>
  <si>
    <t xml:space="preserve">usbc-hdmi </t>
  </si>
  <si>
    <t>68707B</t>
  </si>
  <si>
    <t>Lost.  English department has to replace it (rent till we get the new one)</t>
  </si>
  <si>
    <t>also borrowed a large tripod</t>
  </si>
  <si>
    <t>Microphone Stands - XLR (Tall)</t>
  </si>
  <si>
    <t xml:space="preserve">Loaned out for the day. </t>
  </si>
  <si>
    <t>Issued for office use TH509</t>
  </si>
  <si>
    <t>Checked out by Bryan Lam</t>
  </si>
  <si>
    <t>Quantity: 3</t>
  </si>
  <si>
    <t>Quantity: 2</t>
  </si>
  <si>
    <t>Quantity: 1</t>
  </si>
  <si>
    <t>Loaned for one day</t>
  </si>
  <si>
    <t>VETS dept</t>
  </si>
  <si>
    <t>vets@sfsu.edu</t>
  </si>
  <si>
    <t>duplicate?</t>
  </si>
  <si>
    <t>Expected return at 2pm, picked up by #920158249, #923044678</t>
  </si>
  <si>
    <t>Hdmi mdp</t>
  </si>
  <si>
    <t>Laptop (Dell)</t>
  </si>
  <si>
    <t>Tester Dell &amp; charger, room camera remote -- Provosts office needed for LCA Dean's search</t>
  </si>
  <si>
    <t>Strategic MKTG</t>
  </si>
  <si>
    <t>Not Found</t>
  </si>
  <si>
    <t>Strategic Marketing people Cristian was working with</t>
  </si>
  <si>
    <t>Must return after class</t>
  </si>
  <si>
    <t>For Saturday event</t>
  </si>
  <si>
    <t>Forget hers at home and will bring back after class is over</t>
  </si>
  <si>
    <t>poncio@mail.sfsu.edu</t>
  </si>
  <si>
    <t>Speakers (Logitech Z200)</t>
  </si>
  <si>
    <t xml:space="preserve">Checked out by a student for tabeling event </t>
  </si>
  <si>
    <t>large barrel adapter</t>
  </si>
  <si>
    <t>iphone 3.5mm headphone jack</t>
  </si>
  <si>
    <t>(~6ft)</t>
  </si>
  <si>
    <t>NBorrowing for the day</t>
  </si>
  <si>
    <t>borrowed before COVID</t>
  </si>
  <si>
    <t>exchanged for an Anker HDMI &gt; USB-C adapter</t>
  </si>
  <si>
    <t>Dropped off by colleague</t>
  </si>
  <si>
    <t>Kevin approved it (obsolete adapter)</t>
  </si>
  <si>
    <t>m</t>
  </si>
  <si>
    <t>checked one out previously and misplaced it; will return this webcam after their event</t>
  </si>
  <si>
    <t>Will return after his class around 5pm</t>
  </si>
  <si>
    <t>Speaker Stands (Large PA)</t>
  </si>
  <si>
    <t>Issued by desktop</t>
  </si>
  <si>
    <t>Will return after class.</t>
  </si>
  <si>
    <t xml:space="preserve">Borrowed before pandemic. </t>
  </si>
  <si>
    <t>Mourice Kenneth Estes</t>
  </si>
  <si>
    <t>mestes@mail.sfsu.edu</t>
  </si>
  <si>
    <t>Will bring back at 4pm</t>
  </si>
  <si>
    <t xml:space="preserve">908545071 - Jamil got it </t>
  </si>
  <si>
    <t>Just checked in, no record of checking out</t>
  </si>
  <si>
    <t>Old adapter returned. Adaper was damaged and has been discarded.</t>
  </si>
  <si>
    <t>Has 6 already checked out.  Kevin told him to return this one tonight at 7</t>
  </si>
  <si>
    <t>Found the correct model charger for her and exchanged for the two loaners.</t>
  </si>
  <si>
    <t xml:space="preserve">Return logged. </t>
  </si>
  <si>
    <t>Return logged.</t>
  </si>
  <si>
    <t>sent to learning spaces</t>
  </si>
  <si>
    <t xml:space="preserve">I donno who check it out It was not on the list </t>
  </si>
  <si>
    <t>5/25/203</t>
  </si>
  <si>
    <t>Found her own adapter</t>
  </si>
  <si>
    <t>INC0101447</t>
  </si>
  <si>
    <t>Microphone (MXL AC-406 USB)</t>
  </si>
  <si>
    <t>Borrowed before covid from desktop. Returned today.</t>
  </si>
  <si>
    <t>efine@sfsu.edu</t>
  </si>
  <si>
    <t xml:space="preserve">Rented pre covid </t>
  </si>
  <si>
    <t>Returned the PA</t>
  </si>
  <si>
    <t>Approved by Cristian</t>
  </si>
  <si>
    <t>RaeAnne Lee</t>
  </si>
  <si>
    <t>rlee9@sfsu.edu</t>
  </si>
  <si>
    <t>Meagan Prasad</t>
  </si>
  <si>
    <t>mprasad1@sfsu.edu</t>
  </si>
  <si>
    <t>RItu</t>
  </si>
  <si>
    <t>Borrowing audio setup on Friday for COSE in Hensill Hall, using on Saturday, will return on Monday</t>
  </si>
  <si>
    <t xml:space="preserve">Event at CCSC, borrowed with a cart and mic stand. </t>
  </si>
  <si>
    <t>mic stand returned - Kevin</t>
  </si>
  <si>
    <t xml:space="preserve">Second pair of battery </t>
  </si>
  <si>
    <t>Light Reflector</t>
  </si>
  <si>
    <t>DLSR Camera (Cannon 5D)</t>
  </si>
  <si>
    <t>8/14/2023 12ish pm</t>
  </si>
  <si>
    <t>LTM-916</t>
  </si>
  <si>
    <t>x</t>
  </si>
  <si>
    <t>iClicker Base Kit</t>
  </si>
  <si>
    <t>a week</t>
  </si>
  <si>
    <t>Lisa</t>
  </si>
  <si>
    <t>69263, 69262</t>
  </si>
  <si>
    <t>Richard  Ortiz</t>
  </si>
  <si>
    <t>...</t>
  </si>
  <si>
    <t xml:space="preserve">End of sementer </t>
  </si>
  <si>
    <t>original expected return date 9/4, updated on 9/18</t>
  </si>
  <si>
    <t>joey</t>
  </si>
  <si>
    <t>Natalia Matos Vieira</t>
  </si>
  <si>
    <t>nvieira@sfsu.edu</t>
  </si>
  <si>
    <t xml:space="preserve">Projector Cart </t>
  </si>
  <si>
    <t>HUM 403</t>
  </si>
  <si>
    <t>Jeff Madigan</t>
  </si>
  <si>
    <t>jmadigan@sfsu.edu</t>
  </si>
  <si>
    <t>AT-DTS-LTP3</t>
  </si>
  <si>
    <t>Laptop (Dell) + bag and charger</t>
  </si>
  <si>
    <t>returned</t>
  </si>
  <si>
    <t>AT-DTS-LTP2</t>
  </si>
  <si>
    <t>Joey/Ted</t>
  </si>
  <si>
    <t>AT-DTS-LTM3</t>
  </si>
  <si>
    <t>Was just sitting on the ground (?)</t>
  </si>
  <si>
    <t>AT-DTS-LTP1</t>
  </si>
  <si>
    <t>At-dts-ltm3</t>
  </si>
  <si>
    <t>End of day 10/17</t>
  </si>
  <si>
    <t>Issued as a loaner by desktop until data migration of her laptop is completed.</t>
  </si>
  <si>
    <t>by 3pm 10/18</t>
  </si>
  <si>
    <t>At-dts-ltm2</t>
  </si>
  <si>
    <t xml:space="preserve">Returned from previous semester. Wasn't found on the sheet so, made a new entry </t>
  </si>
  <si>
    <t>256GB</t>
  </si>
  <si>
    <t>*She may or may not have borrowed this.  We figured out she  would only need 1, but I had two sitting there and didn't notice if she ended up taking both</t>
  </si>
  <si>
    <t>She borrowed it sometime in 2021, and there are no records of her borrowing the equipment, so I made a new entry.</t>
  </si>
  <si>
    <t>#67803</t>
  </si>
  <si>
    <t>Didn't have power cord</t>
  </si>
  <si>
    <t>End of day</t>
  </si>
  <si>
    <t>Replacing broken one at home.  She will bring back broken one on Monday, 8/21.</t>
  </si>
  <si>
    <t>A week</t>
  </si>
  <si>
    <t>Christian</t>
  </si>
  <si>
    <t>Students: Please let Cristian know once this has been returned.  He needs to update the firmware. Thank you!</t>
  </si>
  <si>
    <t>end of semster</t>
  </si>
  <si>
    <t xml:space="preserve">End semenster </t>
  </si>
  <si>
    <t>Eliott Scheuer (918853941) Picked it up | Checked out in WCO, return date 11/30/2023</t>
  </si>
  <si>
    <t>Power Strip</t>
  </si>
  <si>
    <t>Will leave in BUS 212 until LS fixes</t>
  </si>
  <si>
    <t>Within 3 weeks time,
latest 11/29/2023</t>
  </si>
  <si>
    <t>BH 336</t>
  </si>
  <si>
    <t>Today 4.30pm</t>
  </si>
  <si>
    <t>5PM today</t>
  </si>
  <si>
    <t>VHS</t>
  </si>
  <si>
    <t>kevin</t>
  </si>
  <si>
    <t>Not checked out in WCO because already has a late notice</t>
  </si>
  <si>
    <t>She returned the camcorder, SD card, orange cable, tripod</t>
  </si>
  <si>
    <t>(was not in checkout sheet, but she returned)</t>
  </si>
  <si>
    <t>End of today</t>
  </si>
  <si>
    <t>Said he'd return it today</t>
  </si>
  <si>
    <t>Canon DSLR</t>
  </si>
  <si>
    <t>Janurary 5th</t>
  </si>
  <si>
    <t>50mm Lens instead of the typical lens that is inside of that camera bag.</t>
  </si>
  <si>
    <t>When ITS fixes her network port</t>
  </si>
  <si>
    <t>AT-DTS-LTM2</t>
  </si>
  <si>
    <t>Evan from Orientation</t>
  </si>
  <si>
    <t>Kanisha Shah</t>
  </si>
  <si>
    <t>kshah11@sfsu.edu</t>
  </si>
  <si>
    <t>AT-DTS-LTM1</t>
  </si>
  <si>
    <t>week from today</t>
  </si>
  <si>
    <t>end of Day</t>
  </si>
  <si>
    <t>Brought back wrong one -- I sent an email for her to return our "LTM1" adapter</t>
  </si>
  <si>
    <t>USBC USBA</t>
  </si>
  <si>
    <t>LTP-4(no bag)</t>
  </si>
  <si>
    <t>LTM2</t>
  </si>
  <si>
    <t>PA system and stands included</t>
  </si>
  <si>
    <t>LTP2</t>
  </si>
  <si>
    <t>Tall cart</t>
  </si>
  <si>
    <t>END OF DAY</t>
  </si>
  <si>
    <t>LTM702</t>
  </si>
  <si>
    <t>12PM Today</t>
  </si>
  <si>
    <t>LTM 909</t>
  </si>
  <si>
    <t>Expected return around 3:25pm</t>
  </si>
  <si>
    <t>end of tomorro</t>
  </si>
  <si>
    <t>Adsat</t>
  </si>
  <si>
    <t>STP-308</t>
  </si>
  <si>
    <t>WEBCAM-7</t>
  </si>
  <si>
    <t xml:space="preserve">Sam </t>
  </si>
  <si>
    <t>HDWC-10 Webcam</t>
  </si>
  <si>
    <t>LCD 450</t>
  </si>
  <si>
    <t>1st March</t>
  </si>
  <si>
    <t>29th Feb @6.30pm</t>
  </si>
  <si>
    <t xml:space="preserve">DVC 604 </t>
  </si>
  <si>
    <t>STP - 312</t>
  </si>
  <si>
    <t xml:space="preserve">End Of the day </t>
  </si>
  <si>
    <t>USB C 1</t>
  </si>
  <si>
    <t>Mac Charger only</t>
  </si>
  <si>
    <t>End of day 03/06/2024</t>
  </si>
  <si>
    <t>LTML 1</t>
  </si>
  <si>
    <t>End of Day 03/07/24</t>
  </si>
  <si>
    <t>LPT 2</t>
  </si>
  <si>
    <t>LTM3</t>
  </si>
  <si>
    <t>email sent on 1/31 -- I think he already returned it</t>
  </si>
  <si>
    <t>LTP3</t>
  </si>
  <si>
    <t>Jonathan is trying to fix -- broken touchpad</t>
  </si>
  <si>
    <t>LTP2 (?)</t>
  </si>
  <si>
    <t>Soon</t>
  </si>
  <si>
    <t>end of 3/14</t>
  </si>
  <si>
    <t>LTM-914</t>
  </si>
  <si>
    <t>MH213</t>
  </si>
  <si>
    <t xml:space="preserve">End of Day </t>
  </si>
  <si>
    <t>LTM 1</t>
  </si>
  <si>
    <t>end of day today</t>
  </si>
  <si>
    <t>USBC 1</t>
  </si>
  <si>
    <t>one with big speaker</t>
  </si>
  <si>
    <t>tall one</t>
  </si>
  <si>
    <t xml:space="preserve">End of day </t>
  </si>
  <si>
    <t>LTP-2</t>
  </si>
  <si>
    <t xml:space="preserve">with a cable </t>
  </si>
  <si>
    <t xml:space="preserve">They are using the equipment until tomorrow 3/26 </t>
  </si>
  <si>
    <t>They are using the equipment until tomorrow 3/26</t>
  </si>
  <si>
    <t>Microphone Stands - XLR (Short)</t>
  </si>
  <si>
    <t>They are using charger till 4/2/2024</t>
  </si>
  <si>
    <t>She'll try and get it back tomorrow</t>
  </si>
  <si>
    <t>USB C-2</t>
  </si>
  <si>
    <t>The laptop will be return Thursday afternoon</t>
  </si>
  <si>
    <t>4pm-ish today</t>
  </si>
  <si>
    <t>DR-18</t>
  </si>
  <si>
    <t>2-3 Hours</t>
  </si>
  <si>
    <t>end of class (6:15pm today)</t>
  </si>
  <si>
    <t>AT-DJIP2-01</t>
  </si>
  <si>
    <t>Blue tarp included</t>
  </si>
  <si>
    <t>May 3rd</t>
  </si>
  <si>
    <t>Just the Charger</t>
  </si>
  <si>
    <t>May 9th</t>
  </si>
  <si>
    <t>Vrunda Patel (922847806) picking up via convo with Caroline Alcantara &lt;caroline@sfsu.edu&gt;</t>
  </si>
  <si>
    <t>EOD 4/26</t>
  </si>
  <si>
    <t>May 7th</t>
  </si>
  <si>
    <t>Webcam Mounts (bar mount)</t>
  </si>
  <si>
    <t>USBC-2</t>
  </si>
  <si>
    <t>Just Charger</t>
  </si>
  <si>
    <t xml:space="preserve">Indefinetly </t>
  </si>
  <si>
    <t>Checked out earlier in the semester</t>
  </si>
  <si>
    <t>Lightning &gt; USB-C/HDMI</t>
  </si>
  <si>
    <t>DC-12</t>
  </si>
  <si>
    <t>DVC-403</t>
  </si>
  <si>
    <t>Now due back 5/28</t>
  </si>
  <si>
    <t>STP-304</t>
  </si>
  <si>
    <t>This Thursday</t>
  </si>
  <si>
    <t>Slide Carousel, Phone Number: 415-582-7117</t>
  </si>
  <si>
    <t>lC0450</t>
  </si>
  <si>
    <t>No Tripod, includes waterproof case</t>
  </si>
  <si>
    <t>Was missing universal mount attachment thing</t>
  </si>
  <si>
    <t>DVC-502</t>
  </si>
  <si>
    <t>LCD 400</t>
  </si>
  <si>
    <t>July 9 2024</t>
  </si>
  <si>
    <t>documenting that she returned this -- leaving university</t>
  </si>
  <si>
    <t>VGA &gt; MDP Adapter</t>
  </si>
  <si>
    <t>Special exception: Cloud's friend Quetzal Rivas-Muro</t>
  </si>
  <si>
    <t>ariana</t>
  </si>
  <si>
    <t>dvc-604</t>
  </si>
  <si>
    <t>Additional: tripod stp-308, picked up by Parth Pancal 923041545 INC0144741</t>
  </si>
  <si>
    <t>Laptop (PC) + bag and charger</t>
  </si>
  <si>
    <t>LTP1</t>
  </si>
  <si>
    <t>Short-term loan, until she gets her 
long-term PC</t>
  </si>
  <si>
    <t>Checked out for another prof -- will return after summer R4 session. -Kevin</t>
  </si>
  <si>
    <t>LTP-915</t>
  </si>
  <si>
    <t xml:space="preserve">She checked it out during Spring through desktop and brought it back today </t>
  </si>
  <si>
    <t>Returned, needs wiped</t>
  </si>
  <si>
    <t>Returned Today- from covid</t>
  </si>
  <si>
    <t>Just the charger</t>
  </si>
  <si>
    <t>Sophia Zepeda</t>
  </si>
  <si>
    <t>szepeda1@sfsu.edu</t>
  </si>
  <si>
    <t>Maria</t>
  </si>
  <si>
    <t>DC-7</t>
  </si>
  <si>
    <t>LTP 4</t>
  </si>
  <si>
    <t>LTP 3</t>
  </si>
  <si>
    <t>LTP4</t>
  </si>
  <si>
    <t xml:space="preserve">End of the day </t>
  </si>
  <si>
    <t>Tester</t>
  </si>
  <si>
    <t>923119064 Roxane Jaramyllo checked out on her behalf</t>
  </si>
  <si>
    <t>Tuesday</t>
  </si>
  <si>
    <t>Class end at 6.45pm</t>
  </si>
  <si>
    <t>Class ends at 6.45pm</t>
  </si>
  <si>
    <t xml:space="preserve">Class ends at 6.45pm - also checked out an SD Card Adapater </t>
  </si>
  <si>
    <t>Gautam Baksi</t>
  </si>
  <si>
    <t>gautam@sfsu.edu</t>
  </si>
  <si>
    <t>BA-2</t>
  </si>
  <si>
    <t>Next Tuesday</t>
  </si>
  <si>
    <t>Student returned this.</t>
  </si>
  <si>
    <t>67529; 67962</t>
  </si>
  <si>
    <t>Tester Dell, no charger</t>
  </si>
  <si>
    <t>Today 3:30</t>
  </si>
  <si>
    <t>Just laptop &amp; charger no bag/ Tony mentioned he may bring the computer tomorrow morning.</t>
  </si>
  <si>
    <t>Needs to return cart as well</t>
  </si>
  <si>
    <t>Instructor had previously</t>
  </si>
  <si>
    <t>With USBC adapter</t>
  </si>
  <si>
    <t>Drop off 12pm 21st Oct</t>
  </si>
  <si>
    <t>Drop off before 7.30pm</t>
  </si>
  <si>
    <t>Etham</t>
  </si>
  <si>
    <t>With camera SD card</t>
  </si>
  <si>
    <t>also checked out speaker stands</t>
  </si>
  <si>
    <t>Next Week</t>
  </si>
  <si>
    <t>LTM-3</t>
  </si>
  <si>
    <t xml:space="preserve">and extender </t>
  </si>
  <si>
    <t>Left in room until LS takes a look at projector</t>
  </si>
  <si>
    <t>End of Semestet</t>
  </si>
  <si>
    <t>2pm return</t>
  </si>
  <si>
    <t>Mona</t>
  </si>
  <si>
    <t>LIB121</t>
  </si>
  <si>
    <t>Left tster so he could finish his class, only laptop.</t>
  </si>
  <si>
    <t>DJIP2-04</t>
  </si>
  <si>
    <t>3 mics &amp; 3 XLRs</t>
  </si>
  <si>
    <t>returned missing: iPhone adapter, XLR, power cable.  -Kevin</t>
  </si>
  <si>
    <t>broke a mic clip -Kevin</t>
  </si>
  <si>
    <t xml:space="preserve">SD card and two batteries were included. </t>
  </si>
  <si>
    <t xml:space="preserve">She did not take the laptop bag. </t>
  </si>
  <si>
    <t>7PM Tonight</t>
  </si>
  <si>
    <t xml:space="preserve">end of the day </t>
  </si>
  <si>
    <t>Returned after she got in 2020</t>
  </si>
  <si>
    <t>Loaned out a long time ago</t>
  </si>
  <si>
    <t>USB-C 3</t>
  </si>
  <si>
    <t>Monday 12pm</t>
  </si>
  <si>
    <t>4.30pm return</t>
  </si>
  <si>
    <t>Once Desktop Emails</t>
  </si>
  <si>
    <t>Waiting for data migration</t>
  </si>
  <si>
    <t>Gp98</t>
  </si>
  <si>
    <t>12/16/224</t>
  </si>
  <si>
    <t>Yuki</t>
  </si>
  <si>
    <t>128GB memory card and USBC hub</t>
  </si>
  <si>
    <t>1pm return</t>
  </si>
  <si>
    <t xml:space="preserve">She had, and returned with an external DVD player. Since I did not find it in the list I added today. </t>
  </si>
  <si>
    <t>definetely has power adapter</t>
  </si>
  <si>
    <t>LCD-HD-650</t>
  </si>
  <si>
    <t>July 26 2024</t>
  </si>
  <si>
    <t>A student will be picking up the cart/screen</t>
  </si>
  <si>
    <t>Without the bag</t>
  </si>
  <si>
    <t>Business 108</t>
  </si>
  <si>
    <t>until fix</t>
  </si>
  <si>
    <t>PS-300</t>
  </si>
  <si>
    <t>Projector Cart and Extension Cord left in CA 107 Little Theatre</t>
  </si>
  <si>
    <t>#70337</t>
  </si>
  <si>
    <t>Not in WCO</t>
  </si>
  <si>
    <t>LCD400</t>
  </si>
  <si>
    <t>STP-115</t>
  </si>
  <si>
    <t>and SD card reader</t>
  </si>
  <si>
    <t>SD Card from returned Camcorder (Sony 4K)</t>
  </si>
  <si>
    <t xml:space="preserve">His computer is being troubleshooted, hence why he has emergency laptop extended until tomorrow. </t>
  </si>
  <si>
    <t>**Waiting for Dell repair, hence why it hasn't been checked in yet**</t>
  </si>
  <si>
    <t>Extended until Early Jan -Kevin</t>
  </si>
  <si>
    <t>DVC 503</t>
  </si>
  <si>
    <t>Orientation</t>
  </si>
  <si>
    <t>Ethernet Cable included</t>
  </si>
  <si>
    <t>14/1/2025</t>
  </si>
  <si>
    <t>Returned from covid</t>
  </si>
  <si>
    <t>LTP 2</t>
  </si>
  <si>
    <t>Will return tomorrow by 1pm</t>
  </si>
  <si>
    <t>HUM 374, projector cart. Until 6.45 today</t>
  </si>
  <si>
    <t>SPA -29</t>
  </si>
  <si>
    <t>Forgot his at home</t>
  </si>
  <si>
    <t>Wasn't in checkout sheet, but he returned to me</t>
  </si>
  <si>
    <t>unknown</t>
  </si>
  <si>
    <t>Until Spr25 starts</t>
  </si>
  <si>
    <t>She's checking out for her student Ernest</t>
  </si>
  <si>
    <t>GP-14</t>
  </si>
  <si>
    <t>ES-DAR-002</t>
  </si>
  <si>
    <t>Until hers is fixed</t>
  </si>
  <si>
    <t>LTP-1</t>
  </si>
  <si>
    <t>Afternoon 2/5</t>
  </si>
  <si>
    <t>WAC-003</t>
  </si>
  <si>
    <t>MDPH-101</t>
  </si>
  <si>
    <t>Returned -- wasn't on excel already</t>
  </si>
  <si>
    <t xml:space="preserve">He did not bring the bag. </t>
  </si>
  <si>
    <t>Two large PAs loaned for Alpha Phi Alpha</t>
  </si>
  <si>
    <t>Setup projector 2/13, pick up 2/14 cuz rain (BUS 108)</t>
  </si>
  <si>
    <t>Didn't take entire kit</t>
  </si>
  <si>
    <t>BR -7</t>
  </si>
  <si>
    <t>CVGA-22 AT LIB 85</t>
  </si>
  <si>
    <t>she said she checked these out last year, but i couldn't find them on sheet</t>
  </si>
  <si>
    <t xml:space="preserve">ultra long </t>
  </si>
  <si>
    <t>Returned</t>
  </si>
  <si>
    <t>Checked In USB-S - HTMI on 3/4/25</t>
  </si>
  <si>
    <t>BR-8</t>
  </si>
  <si>
    <t>usb-c 3</t>
  </si>
  <si>
    <t>BR-7</t>
  </si>
  <si>
    <t>USBC1</t>
  </si>
  <si>
    <t>STS-8</t>
  </si>
  <si>
    <t>HSS 204 conference room</t>
  </si>
  <si>
    <t>I week</t>
  </si>
  <si>
    <t>2 PM TODAY</t>
  </si>
  <si>
    <t>Today: 5:30</t>
  </si>
  <si>
    <t>1 week</t>
  </si>
  <si>
    <t>SPA-25</t>
  </si>
  <si>
    <t>3pm</t>
  </si>
  <si>
    <t>Checked out by Sophia Amigon 923353818 - Leticia coordinated in advance</t>
  </si>
  <si>
    <t>maleeka</t>
  </si>
  <si>
    <t>until fixed</t>
  </si>
  <si>
    <t>HUM 110</t>
  </si>
  <si>
    <t>Bahareh Javadizadeh</t>
  </si>
  <si>
    <t>March 8th</t>
  </si>
  <si>
    <t>MDP to HDMI Cable</t>
  </si>
  <si>
    <t>DSLR -1</t>
  </si>
  <si>
    <t>Sony-4K-1</t>
  </si>
  <si>
    <t>cc-26</t>
  </si>
  <si>
    <t>USB - C 1</t>
  </si>
  <si>
    <t>4 Pm Today</t>
  </si>
  <si>
    <t>USB C 3</t>
  </si>
  <si>
    <t>Dell USB-C-1</t>
  </si>
  <si>
    <t xml:space="preserve">DC - 4 </t>
  </si>
  <si>
    <t>Atharva</t>
  </si>
  <si>
    <t>Missing tightening nut on speaker stand</t>
  </si>
  <si>
    <t>SPA-45</t>
  </si>
  <si>
    <t>04/10/25 2:01PM</t>
  </si>
  <si>
    <t>BA 4</t>
  </si>
  <si>
    <t xml:space="preserve">Atharva </t>
  </si>
  <si>
    <t>XLR- 2,4,6</t>
  </si>
  <si>
    <t>3 MICROPHONES</t>
  </si>
  <si>
    <t>3 CABLES</t>
  </si>
  <si>
    <t>x3</t>
  </si>
  <si>
    <t>Dell USBC - 1</t>
  </si>
  <si>
    <t>This afternoon</t>
  </si>
  <si>
    <t>With a Remote RO16H</t>
  </si>
  <si>
    <t>FS-22</t>
  </si>
  <si>
    <t>FS-23</t>
  </si>
  <si>
    <t>FS-24</t>
  </si>
  <si>
    <t>FS-25</t>
  </si>
  <si>
    <t>XLR-2</t>
  </si>
  <si>
    <t>XLR-4</t>
  </si>
  <si>
    <t>XLR-6</t>
  </si>
  <si>
    <t>BA-3</t>
  </si>
  <si>
    <t>BR6</t>
  </si>
  <si>
    <t>LTP-3</t>
  </si>
  <si>
    <t>dslr-1</t>
  </si>
  <si>
    <t>LTP-4</t>
  </si>
  <si>
    <t>4/17/25 11:30AM</t>
  </si>
  <si>
    <t>4/17/25 12:07PM</t>
  </si>
  <si>
    <t>165141;165239;166246;166239;166320</t>
  </si>
  <si>
    <t>LRL-1</t>
  </si>
  <si>
    <t>Tablet stand (snake mount)</t>
  </si>
  <si>
    <t>some phone stand</t>
  </si>
  <si>
    <t>e</t>
  </si>
  <si>
    <t>MISC</t>
  </si>
  <si>
    <t xml:space="preserve">Just the cable. </t>
  </si>
  <si>
    <t>A67</t>
  </si>
  <si>
    <t>XLR 4,6,2</t>
  </si>
  <si>
    <t>3 Cables</t>
  </si>
  <si>
    <t>4 stands</t>
  </si>
  <si>
    <t xml:space="preserve">BA-4 </t>
  </si>
  <si>
    <t>XLR 3</t>
  </si>
  <si>
    <t>Cable and stand too</t>
  </si>
  <si>
    <t>br-6</t>
  </si>
  <si>
    <t>Shivani Modha</t>
  </si>
  <si>
    <t>smodha@sfsu.edu</t>
  </si>
  <si>
    <t>Dell Docking Station returned from Research &amp; Sponsored Program Dept.</t>
  </si>
  <si>
    <t xml:space="preserve">BA -3 </t>
  </si>
  <si>
    <t>XLR -2,4,6</t>
  </si>
  <si>
    <t xml:space="preserve">This Card reader belongs to Cristian. </t>
  </si>
  <si>
    <t>Dell USBC-1</t>
  </si>
  <si>
    <t>Approve by Cristian</t>
  </si>
  <si>
    <t>dell usb c1</t>
  </si>
  <si>
    <t>spa45</t>
  </si>
  <si>
    <t>SONY-4K-1</t>
  </si>
  <si>
    <t>PA2</t>
  </si>
  <si>
    <t>68302 Straight Outta Hunters Point</t>
  </si>
  <si>
    <t>Student Stefan Gasanyan, 922498496</t>
  </si>
  <si>
    <t>sony-4k-2</t>
  </si>
  <si>
    <t>L-tri-3</t>
  </si>
  <si>
    <t>L-tri-2</t>
  </si>
  <si>
    <t>05/02/25 11:00AM</t>
  </si>
  <si>
    <t xml:space="preserve">? </t>
  </si>
  <si>
    <t>STS-7</t>
  </si>
  <si>
    <t>917515019 Sherrell Teague checking out</t>
  </si>
  <si>
    <t>PA-2</t>
  </si>
  <si>
    <t>Logitech H40</t>
  </si>
  <si>
    <t>Lightning 2</t>
  </si>
  <si>
    <t>Sony 4K 2</t>
  </si>
  <si>
    <t xml:space="preserve">PA-10 </t>
  </si>
  <si>
    <t>Returned! Not logged when checked out.</t>
  </si>
  <si>
    <t>s</t>
  </si>
  <si>
    <t>BUS 213</t>
  </si>
  <si>
    <t>Checked out by student Harriet Heydemann (917918253)</t>
  </si>
  <si>
    <t>Only one</t>
  </si>
  <si>
    <t>L-TRI-2</t>
  </si>
  <si>
    <t>DSC-2</t>
  </si>
  <si>
    <t xml:space="preserve">Inventory LIB-80 | Brand </t>
  </si>
  <si>
    <t>Tot Units</t>
  </si>
  <si>
    <t>Out</t>
  </si>
  <si>
    <t>On Hand</t>
  </si>
  <si>
    <t>Note</t>
  </si>
  <si>
    <t>[Miscellaneous]</t>
  </si>
  <si>
    <t>DJI</t>
  </si>
  <si>
    <t>Sony</t>
  </si>
  <si>
    <t>Logitech CONNECT</t>
  </si>
  <si>
    <t>Dell</t>
  </si>
  <si>
    <t>Lumens</t>
  </si>
  <si>
    <t>GoPro</t>
  </si>
  <si>
    <t>Azden WR-Pro</t>
  </si>
  <si>
    <t>Generic</t>
  </si>
  <si>
    <t>Sennheiser</t>
  </si>
  <si>
    <t>SHURE</t>
  </si>
  <si>
    <t>LOGITEC</t>
  </si>
  <si>
    <t>iClicker</t>
  </si>
  <si>
    <t>iClicker (Big box)</t>
  </si>
  <si>
    <t>Apple</t>
  </si>
  <si>
    <t>Rode</t>
  </si>
  <si>
    <t>Blue</t>
  </si>
  <si>
    <t>Misc</t>
  </si>
  <si>
    <t>MXL</t>
  </si>
  <si>
    <t>Zoom</t>
  </si>
  <si>
    <t>Anker</t>
  </si>
  <si>
    <t>Behringer</t>
  </si>
  <si>
    <t>WACOM</t>
  </si>
  <si>
    <t>Hitachi</t>
  </si>
  <si>
    <t>(1 in LIB 80); get these back</t>
  </si>
  <si>
    <t>Neewer</t>
  </si>
  <si>
    <t>Trigyn</t>
  </si>
  <si>
    <t>Inventory record carried over from WCO - Greta Snider has had two checked out since 2021, had to return both in WCO in order to check in a DVD on 2/17/23</t>
  </si>
  <si>
    <t>Logitech</t>
  </si>
  <si>
    <t>Microsoft</t>
  </si>
  <si>
    <t>TRYONE</t>
  </si>
  <si>
    <t>Ash using one for 3D printer</t>
  </si>
  <si>
    <t>Logitech HD 720p Webcam</t>
  </si>
  <si>
    <t>Logitech C920s Pro HD Webcam</t>
  </si>
  <si>
    <t>CamStand</t>
  </si>
  <si>
    <t>8 box</t>
  </si>
  <si>
    <t>PIPISHELL</t>
  </si>
  <si>
    <t>Cannon</t>
  </si>
  <si>
    <t>Godox</t>
  </si>
  <si>
    <t>Razer</t>
  </si>
  <si>
    <t>GoPro 4 and Tripod</t>
  </si>
  <si>
    <t>Equipment</t>
  </si>
  <si>
    <t>How many</t>
  </si>
  <si>
    <t>Added or Removed?</t>
  </si>
  <si>
    <t>New Total</t>
  </si>
  <si>
    <t xml:space="preserve">HDMI &gt; USB-C </t>
  </si>
  <si>
    <t>added</t>
  </si>
  <si>
    <t>New Anker adapters for SP23 via Jonathan</t>
  </si>
  <si>
    <t>HDMI &gt; MDP</t>
  </si>
  <si>
    <t>removed</t>
  </si>
  <si>
    <t>Obsolete &amp; we have too many to fit in bin &gt; e-waste</t>
  </si>
  <si>
    <t>VGA &gt; MDP</t>
  </si>
  <si>
    <t>Extra new Anker adapters for SP23 via Healy</t>
  </si>
  <si>
    <t>Extra new Anker adapters for SP23 via Cristian</t>
  </si>
  <si>
    <t>Row #</t>
  </si>
  <si>
    <t>Has note: "email sent, 1/20/23"</t>
  </si>
  <si>
    <t xml:space="preserve">Article Name </t>
  </si>
  <si>
    <t xml:space="preserve">Check out Max Time </t>
  </si>
  <si>
    <t>1 Day</t>
  </si>
  <si>
    <t xml:space="preserve">1-2 Days </t>
  </si>
  <si>
    <t>1-2 day</t>
  </si>
  <si>
    <t>1-2 Days</t>
  </si>
  <si>
    <t xml:space="preserve">1-2 days </t>
  </si>
  <si>
    <t>1 Week</t>
  </si>
  <si>
    <t>1-2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</si>
</sst>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B101B"/>
      <name val="Helvetica Neue"/>
      <family val="2"/>
    </font>
    <font>
      <sz val="11"/>
      <color rgb="FF000000"/>
      <name val="Slack-Lato"/>
      <charset val="1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  <scheme val="minor"/>
    </font>
    <font>
      <sz val="10"/>
      <color rgb="FF000000"/>
      <name val="SourceSansPro"/>
      <charset val="1"/>
    </font>
    <font>
      <b/>
      <u/>
      <sz val="9"/>
      <color theme="1"/>
      <name val="Calibri"/>
      <family val="2"/>
      <scheme val="minor"/>
    </font>
    <font>
      <sz val="11"/>
      <color rgb="FF1D1C1D"/>
      <name val="Slack-Lato"/>
      <charset val="1"/>
    </font>
    <font>
      <sz val="11"/>
      <color rgb="FF000000"/>
      <name val="Source Sans Pro"/>
      <charset val="1"/>
    </font>
    <font>
      <sz val="11"/>
      <color rgb="FFD1D2D3"/>
      <name val="Slack-Lato"/>
      <charset val="1"/>
    </font>
    <font>
      <sz val="12"/>
      <color rgb="FF000000"/>
      <name val="Calibri"/>
      <family val="2"/>
      <scheme val="minor"/>
    </font>
    <font>
      <sz val="11"/>
      <color rgb="FF1D1C1D"/>
      <name val="Calibri"/>
      <family val="2"/>
    </font>
    <font>
      <b/>
      <u/>
      <sz val="9"/>
      <color rgb="FF000000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 inden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2" borderId="0" xfId="0" applyFont="1" applyFill="1" applyAlignment="1">
      <alignment horizontal="center" vertical="center"/>
    </xf>
    <xf numFmtId="0" fontId="2" fillId="0" borderId="0" xfId="1" applyAlignment="1">
      <alignment horizontal="right"/>
    </xf>
    <xf numFmtId="0" fontId="0" fillId="3" borderId="0" xfId="0" applyFill="1"/>
    <xf numFmtId="1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indent="1"/>
    </xf>
    <xf numFmtId="0" fontId="0" fillId="3" borderId="0" xfId="0" applyFill="1" applyAlignment="1">
      <alignment horizontal="center"/>
    </xf>
    <xf numFmtId="1" fontId="4" fillId="3" borderId="0" xfId="0" applyNumberFormat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0" fontId="8" fillId="3" borderId="0" xfId="0" applyFont="1" applyFill="1"/>
    <xf numFmtId="1" fontId="8" fillId="3" borderId="0" xfId="0" applyNumberFormat="1" applyFont="1" applyFill="1" applyAlignment="1">
      <alignment horizontal="center" vertical="center"/>
    </xf>
    <xf numFmtId="0" fontId="7" fillId="0" borderId="0" xfId="1" applyFont="1" applyAlignment="1">
      <alignment horizontal="right"/>
    </xf>
    <xf numFmtId="1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0" xfId="0" applyFill="1"/>
    <xf numFmtId="14" fontId="7" fillId="3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2" fillId="0" borderId="0" xfId="1" applyAlignment="1">
      <alignment horizontal="center"/>
    </xf>
    <xf numFmtId="0" fontId="6" fillId="0" borderId="0" xfId="0" applyFont="1"/>
    <xf numFmtId="0" fontId="2" fillId="3" borderId="0" xfId="1" applyFill="1" applyAlignment="1">
      <alignment horizontal="center" vertical="center"/>
    </xf>
    <xf numFmtId="0" fontId="15" fillId="0" borderId="0" xfId="0" applyFont="1" applyAlignment="1">
      <alignment horizontal="center"/>
    </xf>
    <xf numFmtId="14" fontId="0" fillId="0" borderId="0" xfId="0" applyNumberFormat="1"/>
    <xf numFmtId="0" fontId="16" fillId="0" borderId="0" xfId="0" applyFont="1"/>
    <xf numFmtId="0" fontId="17" fillId="0" borderId="0" xfId="0" applyFont="1" applyAlignment="1">
      <alignment horizontal="right"/>
    </xf>
    <xf numFmtId="14" fontId="3" fillId="4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2" fillId="5" borderId="0" xfId="1" applyFill="1" applyAlignment="1">
      <alignment horizontal="center"/>
    </xf>
    <xf numFmtId="0" fontId="0" fillId="5" borderId="0" xfId="0" applyFill="1" applyAlignment="1">
      <alignment horizontal="center" vertical="center" indent="1"/>
    </xf>
    <xf numFmtId="1" fontId="3" fillId="6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/>
    <xf numFmtId="1" fontId="13" fillId="2" borderId="0" xfId="0" applyNumberFormat="1" applyFont="1" applyFill="1" applyAlignment="1">
      <alignment horizontal="center" vertical="center"/>
    </xf>
    <xf numFmtId="14" fontId="13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/>
    <xf numFmtId="0" fontId="20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/>
    <xf numFmtId="14" fontId="4" fillId="3" borderId="0" xfId="0" applyNumberFormat="1" applyFont="1" applyFill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4" fillId="0" borderId="0" xfId="0" applyFont="1"/>
    <xf numFmtId="16" fontId="0" fillId="5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center" wrapText="1"/>
    </xf>
    <xf numFmtId="0" fontId="22" fillId="0" borderId="0" xfId="0" applyFont="1"/>
    <xf numFmtId="0" fontId="20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72"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ill>
        <patternFill>
          <bgColor rgb="FFFFC7CE"/>
        </patternFill>
      </fill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b/>
        <i val="0"/>
        <color rgb="FFD9D9D9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D9D9D9"/>
      </font>
    </dxf>
    <dxf>
      <font>
        <b/>
        <i val="0"/>
        <color rgb="FFD9D9D9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7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664D167-CCC0-40D6-999B-3E8D6E8DA32A}">
    <nsvFilter filterId="{2287FE15-0B4C-4D66-8DC3-900F37BD7667}" ref="A1:L4813" tableId="0">
      <columnFilter colId="4">
        <filter colId="4">
          <x:filters>
            <x:filter val="DVD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954EEE1-8F84-4691-85E1-2D59DC878817}">
    <nsvFilter filterId="{2287FE15-0B4C-4D66-8DC3-900F37BD7667}" ref="A1:L97" tableId="0">
      <columnFilter colId="4">
        <filter colId="4">
          <x:filters>
            <x:filter val="DVD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hyperlink" Target="https://sfsu.service-now.com/incident.do?sys_id=65c9cb0f974d16102912361ef053af43&amp;sysparm_record_target=incident&amp;sysparm_record_row=1&amp;sysparm_record_rows=5&amp;sysparm_record_list=123TEXTQUERY321%3D900004760%5EORDERBYDESCnumber" TargetMode="External"/><Relationship Id="rId1" Type="http://schemas.openxmlformats.org/officeDocument/2006/relationships/hyperlink" Target="mailto:jkdarrow@mail.sfsu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alberti@mail.sfsu.edu" TargetMode="External"/><Relationship Id="rId3" Type="http://schemas.openxmlformats.org/officeDocument/2006/relationships/hyperlink" Target="mailto:kzendejas@sfsu.edu" TargetMode="External"/><Relationship Id="rId7" Type="http://schemas.openxmlformats.org/officeDocument/2006/relationships/hyperlink" Target="mailto:rpearce@sfsu.edu" TargetMode="External"/><Relationship Id="rId2" Type="http://schemas.openxmlformats.org/officeDocument/2006/relationships/hyperlink" Target="mailto:zcrowley@sfsu.edu" TargetMode="External"/><Relationship Id="rId1" Type="http://schemas.openxmlformats.org/officeDocument/2006/relationships/hyperlink" Target="mailto:vanguelova@sfsu.edu" TargetMode="External"/><Relationship Id="rId6" Type="http://schemas.openxmlformats.org/officeDocument/2006/relationships/hyperlink" Target="mailto:kzendejas@sfsu.edu" TargetMode="External"/><Relationship Id="rId5" Type="http://schemas.openxmlformats.org/officeDocument/2006/relationships/hyperlink" Target="mailto:jng9@sfsu.edu" TargetMode="External"/><Relationship Id="rId4" Type="http://schemas.openxmlformats.org/officeDocument/2006/relationships/hyperlink" Target="mailto:mdelcastilloschmidhiber@mail.sfsu.edu" TargetMode="External"/><Relationship Id="rId9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childhauerC@sfsu.edu" TargetMode="External"/><Relationship Id="rId21" Type="http://schemas.openxmlformats.org/officeDocument/2006/relationships/hyperlink" Target="mailto:kpagan1@mail.sfsu.edu" TargetMode="External"/><Relationship Id="rId42" Type="http://schemas.openxmlformats.org/officeDocument/2006/relationships/hyperlink" Target="mailto:ttlam@sfsu.edu" TargetMode="External"/><Relationship Id="rId63" Type="http://schemas.openxmlformats.org/officeDocument/2006/relationships/hyperlink" Target="mailto:rabelo@sfsu.edu" TargetMode="External"/><Relationship Id="rId84" Type="http://schemas.openxmlformats.org/officeDocument/2006/relationships/hyperlink" Target="mailto:cba@sfsu.edu" TargetMode="External"/><Relationship Id="rId138" Type="http://schemas.openxmlformats.org/officeDocument/2006/relationships/hyperlink" Target="mailto:dfung@sfsu.edu" TargetMode="External"/><Relationship Id="rId159" Type="http://schemas.openxmlformats.org/officeDocument/2006/relationships/hyperlink" Target="mailto:amyglam@sfsu.edu" TargetMode="External"/><Relationship Id="rId170" Type="http://schemas.openxmlformats.org/officeDocument/2006/relationships/hyperlink" Target="mailto:gsegovia@sfsu.edu" TargetMode="External"/><Relationship Id="rId191" Type="http://schemas.openxmlformats.org/officeDocument/2006/relationships/hyperlink" Target="mailto:diana.kohnke@library.ca.gov" TargetMode="External"/><Relationship Id="rId205" Type="http://schemas.openxmlformats.org/officeDocument/2006/relationships/hyperlink" Target="mailto:ytan12@mail.sfsu.edu" TargetMode="External"/><Relationship Id="rId107" Type="http://schemas.openxmlformats.org/officeDocument/2006/relationships/hyperlink" Target="mailto:kkikunaga@sfsu.edu" TargetMode="External"/><Relationship Id="rId11" Type="http://schemas.openxmlformats.org/officeDocument/2006/relationships/hyperlink" Target="mailto:ldevera@sfsu.edu" TargetMode="External"/><Relationship Id="rId32" Type="http://schemas.openxmlformats.org/officeDocument/2006/relationships/hyperlink" Target="mailto:time@sfsu.edu" TargetMode="External"/><Relationship Id="rId53" Type="http://schemas.openxmlformats.org/officeDocument/2006/relationships/hyperlink" Target="mailto:aycooney@sfsu.edu" TargetMode="External"/><Relationship Id="rId74" Type="http://schemas.openxmlformats.org/officeDocument/2006/relationships/hyperlink" Target="mailto:gbaldonado@sfsu.edu" TargetMode="External"/><Relationship Id="rId128" Type="http://schemas.openxmlformats.org/officeDocument/2006/relationships/hyperlink" Target="mailto:hIshikawa1@sfsu.edu" TargetMode="External"/><Relationship Id="rId149" Type="http://schemas.openxmlformats.org/officeDocument/2006/relationships/hyperlink" Target="mailto:jalvareziii@sfsu.edu" TargetMode="External"/><Relationship Id="rId5" Type="http://schemas.openxmlformats.org/officeDocument/2006/relationships/hyperlink" Target="mailto:teaster@sfsu.edu" TargetMode="External"/><Relationship Id="rId95" Type="http://schemas.openxmlformats.org/officeDocument/2006/relationships/hyperlink" Target="mailto:quyen@sfsu.edu" TargetMode="External"/><Relationship Id="rId160" Type="http://schemas.openxmlformats.org/officeDocument/2006/relationships/hyperlink" Target="mailto:casondras@sfsu.edu" TargetMode="External"/><Relationship Id="rId181" Type="http://schemas.openxmlformats.org/officeDocument/2006/relationships/hyperlink" Target="mailto:rhernandez15@sfsu.edu" TargetMode="External"/><Relationship Id="rId216" Type="http://schemas.openxmlformats.org/officeDocument/2006/relationships/hyperlink" Target="mailto:920736892@sfsu.edu" TargetMode="External"/><Relationship Id="rId22" Type="http://schemas.openxmlformats.org/officeDocument/2006/relationships/hyperlink" Target="mailto:sdabit@sfsu.edu" TargetMode="External"/><Relationship Id="rId43" Type="http://schemas.openxmlformats.org/officeDocument/2006/relationships/hyperlink" Target="mailto:cliveh@sfsu.edu" TargetMode="External"/><Relationship Id="rId64" Type="http://schemas.openxmlformats.org/officeDocument/2006/relationships/hyperlink" Target="mailto:kohan@sfsu.edu" TargetMode="External"/><Relationship Id="rId118" Type="http://schemas.openxmlformats.org/officeDocument/2006/relationships/hyperlink" Target="mailto:jkdarrow@mail.sfsu.edu" TargetMode="External"/><Relationship Id="rId139" Type="http://schemas.openxmlformats.org/officeDocument/2006/relationships/hyperlink" Target="mailto:mdong@sfsu.edu" TargetMode="External"/><Relationship Id="rId85" Type="http://schemas.openxmlformats.org/officeDocument/2006/relationships/hyperlink" Target="mailto:ecarlblom@sfsu.edu" TargetMode="External"/><Relationship Id="rId150" Type="http://schemas.openxmlformats.org/officeDocument/2006/relationships/hyperlink" Target="mailto:htat@sfsu.edu" TargetMode="External"/><Relationship Id="rId171" Type="http://schemas.openxmlformats.org/officeDocument/2006/relationships/hyperlink" Target="mailto:spuig@sfsu.edu" TargetMode="External"/><Relationship Id="rId192" Type="http://schemas.openxmlformats.org/officeDocument/2006/relationships/hyperlink" Target="mailto:jeremy@sfsu.edu" TargetMode="External"/><Relationship Id="rId206" Type="http://schemas.openxmlformats.org/officeDocument/2006/relationships/hyperlink" Target="mailto:preilly@sfsu.edu" TargetMode="External"/><Relationship Id="rId12" Type="http://schemas.openxmlformats.org/officeDocument/2006/relationships/hyperlink" Target="mailto:sshaposhnikov@sfsu.edu" TargetMode="External"/><Relationship Id="rId33" Type="http://schemas.openxmlformats.org/officeDocument/2006/relationships/hyperlink" Target="mailto:jj.gonzales@me.com" TargetMode="External"/><Relationship Id="rId108" Type="http://schemas.openxmlformats.org/officeDocument/2006/relationships/hyperlink" Target="mailto:mle12@mail.sfsu.edu" TargetMode="External"/><Relationship Id="rId129" Type="http://schemas.openxmlformats.org/officeDocument/2006/relationships/hyperlink" Target="mailto:sshumate@sfsu.edu" TargetMode="External"/><Relationship Id="rId54" Type="http://schemas.openxmlformats.org/officeDocument/2006/relationships/hyperlink" Target="mailto:chrissylau@sfsu.edu" TargetMode="External"/><Relationship Id="rId75" Type="http://schemas.openxmlformats.org/officeDocument/2006/relationships/hyperlink" Target="mailto:rmoran@sfsu.edu" TargetMode="External"/><Relationship Id="rId96" Type="http://schemas.openxmlformats.org/officeDocument/2006/relationships/hyperlink" Target="mailto:yeramcheong@sfsu.edu" TargetMode="External"/><Relationship Id="rId140" Type="http://schemas.openxmlformats.org/officeDocument/2006/relationships/hyperlink" Target="mailto:dcasso@sfsu.edu" TargetMode="External"/><Relationship Id="rId161" Type="http://schemas.openxmlformats.org/officeDocument/2006/relationships/hyperlink" Target="mailto:sreid1@mail.sfsu.edu" TargetMode="External"/><Relationship Id="rId182" Type="http://schemas.openxmlformats.org/officeDocument/2006/relationships/hyperlink" Target="mailto:ssmith18@sfsu.edu" TargetMode="External"/><Relationship Id="rId217" Type="http://schemas.openxmlformats.org/officeDocument/2006/relationships/hyperlink" Target="mailto:snguyen47@sfsu.edu" TargetMode="External"/><Relationship Id="rId6" Type="http://schemas.openxmlformats.org/officeDocument/2006/relationships/hyperlink" Target="mailto:blam5@sfsu.edu" TargetMode="External"/><Relationship Id="rId23" Type="http://schemas.openxmlformats.org/officeDocument/2006/relationships/hyperlink" Target="mailto:jbr@sfsu.edu" TargetMode="External"/><Relationship Id="rId119" Type="http://schemas.openxmlformats.org/officeDocument/2006/relationships/hyperlink" Target="mailto:cchu4@sfsu.edu" TargetMode="External"/><Relationship Id="rId44" Type="http://schemas.openxmlformats.org/officeDocument/2006/relationships/hyperlink" Target="mailto:dbradford@sfsu.edu" TargetMode="External"/><Relationship Id="rId65" Type="http://schemas.openxmlformats.org/officeDocument/2006/relationships/hyperlink" Target="mailto:smalik@sfsu.edu" TargetMode="External"/><Relationship Id="rId86" Type="http://schemas.openxmlformats.org/officeDocument/2006/relationships/hyperlink" Target="mailto:levalasi@sfsu.edu" TargetMode="External"/><Relationship Id="rId130" Type="http://schemas.openxmlformats.org/officeDocument/2006/relationships/hyperlink" Target="mailto:rosegard@sfsu.edu" TargetMode="External"/><Relationship Id="rId151" Type="http://schemas.openxmlformats.org/officeDocument/2006/relationships/hyperlink" Target="mailto:zainabagha@sfsu.edu" TargetMode="External"/><Relationship Id="rId172" Type="http://schemas.openxmlformats.org/officeDocument/2006/relationships/hyperlink" Target="mailto:ehidalgo@sfsu.edu" TargetMode="External"/><Relationship Id="rId193" Type="http://schemas.openxmlformats.org/officeDocument/2006/relationships/hyperlink" Target="mailto:mtorres5@sfsu.edu" TargetMode="External"/><Relationship Id="rId207" Type="http://schemas.openxmlformats.org/officeDocument/2006/relationships/hyperlink" Target="mailto:jhidysmith@sfsu.edu" TargetMode="External"/><Relationship Id="rId13" Type="http://schemas.openxmlformats.org/officeDocument/2006/relationships/hyperlink" Target="mailto:mmontoy@sfsu.edu" TargetMode="External"/><Relationship Id="rId109" Type="http://schemas.openxmlformats.org/officeDocument/2006/relationships/hyperlink" Target="mailto:Emink@mail.sfsu.edu" TargetMode="External"/><Relationship Id="rId34" Type="http://schemas.openxmlformats.org/officeDocument/2006/relationships/hyperlink" Target="mailto:atheodotou@sfsu.edu" TargetMode="External"/><Relationship Id="rId55" Type="http://schemas.openxmlformats.org/officeDocument/2006/relationships/hyperlink" Target="mailto:jthompson20@sfsu.edu" TargetMode="External"/><Relationship Id="rId76" Type="http://schemas.openxmlformats.org/officeDocument/2006/relationships/hyperlink" Target="mailto:dwang12@sfsu.edu" TargetMode="External"/><Relationship Id="rId97" Type="http://schemas.openxmlformats.org/officeDocument/2006/relationships/hyperlink" Target="mailto:atklein@sfsu.edu" TargetMode="External"/><Relationship Id="rId120" Type="http://schemas.openxmlformats.org/officeDocument/2006/relationships/hyperlink" Target="mailto:mkumar@sfsu.edu" TargetMode="External"/><Relationship Id="rId141" Type="http://schemas.openxmlformats.org/officeDocument/2006/relationships/hyperlink" Target="mailto:Jaimelopez@sfsu.edu" TargetMode="External"/><Relationship Id="rId7" Type="http://schemas.openxmlformats.org/officeDocument/2006/relationships/hyperlink" Target="mailto:mzhang8@sfsu.edu" TargetMode="External"/><Relationship Id="rId162" Type="http://schemas.openxmlformats.org/officeDocument/2006/relationships/hyperlink" Target="mailto:kconsedine@sfsu.edu" TargetMode="External"/><Relationship Id="rId183" Type="http://schemas.openxmlformats.org/officeDocument/2006/relationships/hyperlink" Target="mailto:nina@sfsu.edu" TargetMode="External"/><Relationship Id="rId218" Type="http://schemas.openxmlformats.org/officeDocument/2006/relationships/hyperlink" Target="mailto:kimmiet@sfsu.edu" TargetMode="External"/><Relationship Id="rId24" Type="http://schemas.openxmlformats.org/officeDocument/2006/relationships/hyperlink" Target="mailto:jbell@asi.sfsu.edu" TargetMode="External"/><Relationship Id="rId45" Type="http://schemas.openxmlformats.org/officeDocument/2006/relationships/hyperlink" Target="mailto:jayeevans@sfsu.edu" TargetMode="External"/><Relationship Id="rId66" Type="http://schemas.openxmlformats.org/officeDocument/2006/relationships/hyperlink" Target="mailto:ozahzah@sfsu.edu" TargetMode="External"/><Relationship Id="rId87" Type="http://schemas.openxmlformats.org/officeDocument/2006/relationships/hyperlink" Target="mailto:bmcghee2@sfsu.edu" TargetMode="External"/><Relationship Id="rId110" Type="http://schemas.openxmlformats.org/officeDocument/2006/relationships/hyperlink" Target="mailto:bacillus@sfsu.edu" TargetMode="External"/><Relationship Id="rId131" Type="http://schemas.openxmlformats.org/officeDocument/2006/relationships/hyperlink" Target="mailto:ncorwin@sfsu.edu" TargetMode="External"/><Relationship Id="rId152" Type="http://schemas.openxmlformats.org/officeDocument/2006/relationships/hyperlink" Target="mailto:apulido@sfsu.edu" TargetMode="External"/><Relationship Id="rId173" Type="http://schemas.openxmlformats.org/officeDocument/2006/relationships/hyperlink" Target="mailto:jng9@sfsu.edu" TargetMode="External"/><Relationship Id="rId194" Type="http://schemas.openxmlformats.org/officeDocument/2006/relationships/hyperlink" Target="mailto:nknight2@sfsu.edu" TargetMode="External"/><Relationship Id="rId208" Type="http://schemas.openxmlformats.org/officeDocument/2006/relationships/hyperlink" Target="mailto:toria@sfsu.edu" TargetMode="External"/><Relationship Id="rId14" Type="http://schemas.openxmlformats.org/officeDocument/2006/relationships/hyperlink" Target="mailto:vaguila4@sfsu.edu" TargetMode="External"/><Relationship Id="rId35" Type="http://schemas.openxmlformats.org/officeDocument/2006/relationships/hyperlink" Target="mailto:pasion@sfsu.edu" TargetMode="External"/><Relationship Id="rId56" Type="http://schemas.openxmlformats.org/officeDocument/2006/relationships/hyperlink" Target="mailto:rfonseka@sfsu.edu" TargetMode="External"/><Relationship Id="rId77" Type="http://schemas.openxmlformats.org/officeDocument/2006/relationships/hyperlink" Target="mailto:asingh39@sfsu.edu" TargetMode="External"/><Relationship Id="rId100" Type="http://schemas.openxmlformats.org/officeDocument/2006/relationships/hyperlink" Target="mailto:nstibbard@sfsu.edu" TargetMode="External"/><Relationship Id="rId8" Type="http://schemas.openxmlformats.org/officeDocument/2006/relationships/hyperlink" Target="mailto:riedwagner@sfsu.edu" TargetMode="External"/><Relationship Id="rId51" Type="http://schemas.openxmlformats.org/officeDocument/2006/relationships/hyperlink" Target="mailto:dilara@sfsu.edu" TargetMode="External"/><Relationship Id="rId72" Type="http://schemas.openxmlformats.org/officeDocument/2006/relationships/hyperlink" Target="mailto:edetrich@sfsu.edu" TargetMode="External"/><Relationship Id="rId93" Type="http://schemas.openxmlformats.org/officeDocument/2006/relationships/hyperlink" Target="mailto:klknowles@sfsu.edu" TargetMode="External"/><Relationship Id="rId98" Type="http://schemas.openxmlformats.org/officeDocument/2006/relationships/hyperlink" Target="mailto:blam5@sfsu.edu" TargetMode="External"/><Relationship Id="rId121" Type="http://schemas.openxmlformats.org/officeDocument/2006/relationships/hyperlink" Target="mailto:yukihuynh@sfsu.edu" TargetMode="External"/><Relationship Id="rId142" Type="http://schemas.openxmlformats.org/officeDocument/2006/relationships/hyperlink" Target="mailto:mcatam@mail.sfsu.edu" TargetMode="External"/><Relationship Id="rId163" Type="http://schemas.openxmlformats.org/officeDocument/2006/relationships/hyperlink" Target="mailto:dherrera@sfsu.edu" TargetMode="External"/><Relationship Id="rId184" Type="http://schemas.openxmlformats.org/officeDocument/2006/relationships/hyperlink" Target="mailto:acarter@sfsu.edu" TargetMode="External"/><Relationship Id="rId189" Type="http://schemas.openxmlformats.org/officeDocument/2006/relationships/hyperlink" Target="mailto:candymoo@sfsu.edu" TargetMode="External"/><Relationship Id="rId219" Type="http://schemas.openxmlformats.org/officeDocument/2006/relationships/hyperlink" Target="mailto:afardis@sfsu.edu" TargetMode="External"/><Relationship Id="rId3" Type="http://schemas.openxmlformats.org/officeDocument/2006/relationships/hyperlink" Target="mailto:mocataldo@sfsu.edu" TargetMode="External"/><Relationship Id="rId214" Type="http://schemas.openxmlformats.org/officeDocument/2006/relationships/hyperlink" Target="mailto:an@sfsu.edu" TargetMode="External"/><Relationship Id="rId25" Type="http://schemas.openxmlformats.org/officeDocument/2006/relationships/hyperlink" Target="mailto:jtorres30@sfsu.edu" TargetMode="External"/><Relationship Id="rId46" Type="http://schemas.openxmlformats.org/officeDocument/2006/relationships/hyperlink" Target="mailto:aharlow@sfsu.edu" TargetMode="External"/><Relationship Id="rId67" Type="http://schemas.openxmlformats.org/officeDocument/2006/relationships/hyperlink" Target="mailto:%09karibeuerman@sfsu.edu" TargetMode="External"/><Relationship Id="rId116" Type="http://schemas.openxmlformats.org/officeDocument/2006/relationships/hyperlink" Target="mailto:ngluckstern@mail.sfsu.edu" TargetMode="External"/><Relationship Id="rId137" Type="http://schemas.openxmlformats.org/officeDocument/2006/relationships/hyperlink" Target="mailto:lilylai@sfsu.edu" TargetMode="External"/><Relationship Id="rId158" Type="http://schemas.openxmlformats.org/officeDocument/2006/relationships/hyperlink" Target="mailto:htsegaye@sfsu.edu" TargetMode="External"/><Relationship Id="rId20" Type="http://schemas.openxmlformats.org/officeDocument/2006/relationships/hyperlink" Target="mailto:n_leung1@u.pacific.edu" TargetMode="External"/><Relationship Id="rId41" Type="http://schemas.openxmlformats.org/officeDocument/2006/relationships/hyperlink" Target="mailto:jnava6@sfsu.edu" TargetMode="External"/><Relationship Id="rId62" Type="http://schemas.openxmlformats.org/officeDocument/2006/relationships/hyperlink" Target="mailto:akubota@sfsu.edu" TargetMode="External"/><Relationship Id="rId83" Type="http://schemas.openxmlformats.org/officeDocument/2006/relationships/hyperlink" Target="mailto:wcarduner@sfsu.edu" TargetMode="External"/><Relationship Id="rId88" Type="http://schemas.openxmlformats.org/officeDocument/2006/relationships/hyperlink" Target="mailto:mohabatti@sfsu.edu" TargetMode="External"/><Relationship Id="rId111" Type="http://schemas.openxmlformats.org/officeDocument/2006/relationships/hyperlink" Target="mailto:nayala@sfsu.edu" TargetMode="External"/><Relationship Id="rId132" Type="http://schemas.openxmlformats.org/officeDocument/2006/relationships/hyperlink" Target="mailto:jkhuth@sfsu.edu" TargetMode="External"/><Relationship Id="rId153" Type="http://schemas.openxmlformats.org/officeDocument/2006/relationships/hyperlink" Target="mailto:julieta@sfsu.edu" TargetMode="External"/><Relationship Id="rId174" Type="http://schemas.openxmlformats.org/officeDocument/2006/relationships/hyperlink" Target="mailto:sfulgoni@sfsu.edu" TargetMode="External"/><Relationship Id="rId179" Type="http://schemas.openxmlformats.org/officeDocument/2006/relationships/hyperlink" Target="mailto:chconroy@sfsu.edu" TargetMode="External"/><Relationship Id="rId195" Type="http://schemas.openxmlformats.org/officeDocument/2006/relationships/hyperlink" Target="mailto:emalagonleon@sfsu.edu" TargetMode="External"/><Relationship Id="rId209" Type="http://schemas.openxmlformats.org/officeDocument/2006/relationships/hyperlink" Target="mailto:katewhite@sfsu.edu" TargetMode="External"/><Relationship Id="rId190" Type="http://schemas.openxmlformats.org/officeDocument/2006/relationships/hyperlink" Target="mailto:tberkson@sfsu.edu" TargetMode="External"/><Relationship Id="rId204" Type="http://schemas.openxmlformats.org/officeDocument/2006/relationships/hyperlink" Target="mailto:jxiong4@mail.sfsu.edu" TargetMode="External"/><Relationship Id="rId220" Type="http://schemas.openxmlformats.org/officeDocument/2006/relationships/hyperlink" Target="mailto:eleon@sfsu.edu" TargetMode="External"/><Relationship Id="rId15" Type="http://schemas.openxmlformats.org/officeDocument/2006/relationships/hyperlink" Target="mailto:tymaniulit@sfsu.edu" TargetMode="External"/><Relationship Id="rId36" Type="http://schemas.openxmlformats.org/officeDocument/2006/relationships/hyperlink" Target="mailto:jbltodano@sfsu.edu" TargetMode="External"/><Relationship Id="rId57" Type="http://schemas.openxmlformats.org/officeDocument/2006/relationships/hyperlink" Target="mailto:dpoortinga@sfsu.edu" TargetMode="External"/><Relationship Id="rId106" Type="http://schemas.openxmlformats.org/officeDocument/2006/relationships/hyperlink" Target="mailto:toan@sfsu.edu" TargetMode="External"/><Relationship Id="rId127" Type="http://schemas.openxmlformats.org/officeDocument/2006/relationships/hyperlink" Target="mailto:phonitay@sfsu.edu" TargetMode="External"/><Relationship Id="rId10" Type="http://schemas.openxmlformats.org/officeDocument/2006/relationships/hyperlink" Target="mailto:caro@sfsu.edu" TargetMode="External"/><Relationship Id="rId31" Type="http://schemas.openxmlformats.org/officeDocument/2006/relationships/hyperlink" Target="mailto:menor@sfsu.edu" TargetMode="External"/><Relationship Id="rId52" Type="http://schemas.openxmlformats.org/officeDocument/2006/relationships/hyperlink" Target="mailto:jmiyaoka@sfsu.edu" TargetMode="External"/><Relationship Id="rId73" Type="http://schemas.openxmlformats.org/officeDocument/2006/relationships/hyperlink" Target="mailto:finaucr@sfsu.edu" TargetMode="External"/><Relationship Id="rId78" Type="http://schemas.openxmlformats.org/officeDocument/2006/relationships/hyperlink" Target="mailto:heathersawyer@sfsu.edu" TargetMode="External"/><Relationship Id="rId94" Type="http://schemas.openxmlformats.org/officeDocument/2006/relationships/hyperlink" Target="mailto:kaur@sfsu.edu" TargetMode="External"/><Relationship Id="rId99" Type="http://schemas.openxmlformats.org/officeDocument/2006/relationships/hyperlink" Target="mailto:kwied@sfsu.edu" TargetMode="External"/><Relationship Id="rId101" Type="http://schemas.openxmlformats.org/officeDocument/2006/relationships/hyperlink" Target="mailto:ericchristensen@sfsu.edu" TargetMode="External"/><Relationship Id="rId122" Type="http://schemas.openxmlformats.org/officeDocument/2006/relationships/hyperlink" Target="mailto:nelhizzawi@sfsu.edu" TargetMode="External"/><Relationship Id="rId143" Type="http://schemas.openxmlformats.org/officeDocument/2006/relationships/hyperlink" Target="mailto:kchang16@sfsu.edu" TargetMode="External"/><Relationship Id="rId148" Type="http://schemas.openxmlformats.org/officeDocument/2006/relationships/hyperlink" Target="mailto:Shiyu.yang@sfsu.edu" TargetMode="External"/><Relationship Id="rId164" Type="http://schemas.openxmlformats.org/officeDocument/2006/relationships/hyperlink" Target="mailto:jmartinpartovi@sfsu.edu" TargetMode="External"/><Relationship Id="rId169" Type="http://schemas.openxmlformats.org/officeDocument/2006/relationships/hyperlink" Target="mailto:rochanavibhata@sfsu.edu" TargetMode="External"/><Relationship Id="rId185" Type="http://schemas.openxmlformats.org/officeDocument/2006/relationships/hyperlink" Target="mailto:liliangathua@sfsu.edu" TargetMode="External"/><Relationship Id="rId4" Type="http://schemas.openxmlformats.org/officeDocument/2006/relationships/hyperlink" Target="mailto:mwang17@mail.sfsu.edu" TargetMode="External"/><Relationship Id="rId9" Type="http://schemas.openxmlformats.org/officeDocument/2006/relationships/hyperlink" Target="mailto:nprice@sfsu.edu" TargetMode="External"/><Relationship Id="rId180" Type="http://schemas.openxmlformats.org/officeDocument/2006/relationships/hyperlink" Target="mailto:rpearce@mail.sfsu.edu" TargetMode="External"/><Relationship Id="rId210" Type="http://schemas.openxmlformats.org/officeDocument/2006/relationships/hyperlink" Target="mailto:sugeetha@sfsu.edu" TargetMode="External"/><Relationship Id="rId215" Type="http://schemas.openxmlformats.org/officeDocument/2006/relationships/hyperlink" Target="mailto:jhernandez70@mail.sfsu.edu" TargetMode="External"/><Relationship Id="rId26" Type="http://schemas.openxmlformats.org/officeDocument/2006/relationships/hyperlink" Target="mailto:betsey8050@me.com" TargetMode="External"/><Relationship Id="rId47" Type="http://schemas.openxmlformats.org/officeDocument/2006/relationships/hyperlink" Target="mailto:ddo2@sfsu.edu" TargetMode="External"/><Relationship Id="rId68" Type="http://schemas.openxmlformats.org/officeDocument/2006/relationships/hyperlink" Target="mailto:maya@sfsu.edu" TargetMode="External"/><Relationship Id="rId89" Type="http://schemas.openxmlformats.org/officeDocument/2006/relationships/hyperlink" Target="mailto:karlac@sfsu.edu" TargetMode="External"/><Relationship Id="rId112" Type="http://schemas.openxmlformats.org/officeDocument/2006/relationships/hyperlink" Target="mailto:sbakker@sfsu.edu" TargetMode="External"/><Relationship Id="rId133" Type="http://schemas.openxmlformats.org/officeDocument/2006/relationships/hyperlink" Target="mailto:Pianotechpaul@sfsu.edu" TargetMode="External"/><Relationship Id="rId154" Type="http://schemas.openxmlformats.org/officeDocument/2006/relationships/hyperlink" Target="mailto:kzmejia@sfsu.edu" TargetMode="External"/><Relationship Id="rId175" Type="http://schemas.openxmlformats.org/officeDocument/2006/relationships/hyperlink" Target="mailto:amupombwa@sfsu.edu" TargetMode="External"/><Relationship Id="rId196" Type="http://schemas.openxmlformats.org/officeDocument/2006/relationships/hyperlink" Target="mailto:ramel@sfsu.edu" TargetMode="External"/><Relationship Id="rId200" Type="http://schemas.openxmlformats.org/officeDocument/2006/relationships/hyperlink" Target="mailto:xwei@sfsu.edu" TargetMode="External"/><Relationship Id="rId16" Type="http://schemas.openxmlformats.org/officeDocument/2006/relationships/hyperlink" Target="mailto:cclark@sfsu.edu" TargetMode="External"/><Relationship Id="rId221" Type="http://schemas.openxmlformats.org/officeDocument/2006/relationships/hyperlink" Target="mailto:asussman@sfsu.edu" TargetMode="External"/><Relationship Id="rId37" Type="http://schemas.openxmlformats.org/officeDocument/2006/relationships/hyperlink" Target="mailto:def@sfsu.edu" TargetMode="External"/><Relationship Id="rId58" Type="http://schemas.openxmlformats.org/officeDocument/2006/relationships/hyperlink" Target="mailto:asingh56@sfsu.edu" TargetMode="External"/><Relationship Id="rId79" Type="http://schemas.openxmlformats.org/officeDocument/2006/relationships/hyperlink" Target="mailto:casondras@sfsu.edu" TargetMode="External"/><Relationship Id="rId102" Type="http://schemas.openxmlformats.org/officeDocument/2006/relationships/hyperlink" Target="mailto:laurencf@sfsu.edu" TargetMode="External"/><Relationship Id="rId123" Type="http://schemas.openxmlformats.org/officeDocument/2006/relationships/hyperlink" Target="mailto:justinw707@sfsu.edu" TargetMode="External"/><Relationship Id="rId144" Type="http://schemas.openxmlformats.org/officeDocument/2006/relationships/hyperlink" Target="mailto:absullivan@sfsu.edu" TargetMode="External"/><Relationship Id="rId90" Type="http://schemas.openxmlformats.org/officeDocument/2006/relationships/hyperlink" Target="mailto:eborges@sfsu.edu" TargetMode="External"/><Relationship Id="rId165" Type="http://schemas.openxmlformats.org/officeDocument/2006/relationships/hyperlink" Target="mailto:jahewit@sfsu.edu" TargetMode="External"/><Relationship Id="rId186" Type="http://schemas.openxmlformats.org/officeDocument/2006/relationships/hyperlink" Target="mailto:iseiden@sfsu.edu" TargetMode="External"/><Relationship Id="rId211" Type="http://schemas.openxmlformats.org/officeDocument/2006/relationships/hyperlink" Target="mailto:eusebiolozano@sfsu.edu" TargetMode="External"/><Relationship Id="rId27" Type="http://schemas.openxmlformats.org/officeDocument/2006/relationships/hyperlink" Target="mailto:rebeccacheng@sfsu.edu" TargetMode="External"/><Relationship Id="rId48" Type="http://schemas.openxmlformats.org/officeDocument/2006/relationships/hyperlink" Target="mailto:jsboman@sfsu.edu" TargetMode="External"/><Relationship Id="rId69" Type="http://schemas.openxmlformats.org/officeDocument/2006/relationships/hyperlink" Target="mailto:abeverly@sfsu.edu" TargetMode="External"/><Relationship Id="rId113" Type="http://schemas.openxmlformats.org/officeDocument/2006/relationships/hyperlink" Target="mailto:pauljmed@mail.sfsu.edu" TargetMode="External"/><Relationship Id="rId134" Type="http://schemas.openxmlformats.org/officeDocument/2006/relationships/hyperlink" Target="mailto:llhunter@sfsu.edu" TargetMode="External"/><Relationship Id="rId80" Type="http://schemas.openxmlformats.org/officeDocument/2006/relationships/hyperlink" Target="mailto:mkcecil@sfsu.edu" TargetMode="External"/><Relationship Id="rId155" Type="http://schemas.openxmlformats.org/officeDocument/2006/relationships/hyperlink" Target="mailto:cwilliams36@sfsu.edu" TargetMode="External"/><Relationship Id="rId176" Type="http://schemas.openxmlformats.org/officeDocument/2006/relationships/hyperlink" Target="mailto:tvereen@sfsu.edu" TargetMode="External"/><Relationship Id="rId197" Type="http://schemas.openxmlformats.org/officeDocument/2006/relationships/hyperlink" Target="mailto:kzendejas@sfsu.edu" TargetMode="External"/><Relationship Id="rId201" Type="http://schemas.openxmlformats.org/officeDocument/2006/relationships/hyperlink" Target="mailto:kliu17@sfsu.edu" TargetMode="External"/><Relationship Id="rId222" Type="http://schemas.openxmlformats.org/officeDocument/2006/relationships/hyperlink" Target="mailto:corrinec@sfsu.edu" TargetMode="External"/><Relationship Id="rId17" Type="http://schemas.openxmlformats.org/officeDocument/2006/relationships/hyperlink" Target="mailto:zdavidian@sfsu.edu" TargetMode="External"/><Relationship Id="rId38" Type="http://schemas.openxmlformats.org/officeDocument/2006/relationships/hyperlink" Target="mailto:heatherc@sfsu.edu" TargetMode="External"/><Relationship Id="rId59" Type="http://schemas.openxmlformats.org/officeDocument/2006/relationships/hyperlink" Target="mailto:eryoung@sfsu.edu" TargetMode="External"/><Relationship Id="rId103" Type="http://schemas.openxmlformats.org/officeDocument/2006/relationships/hyperlink" Target="mailto:youngkim@sfsu.edu" TargetMode="External"/><Relationship Id="rId124" Type="http://schemas.openxmlformats.org/officeDocument/2006/relationships/hyperlink" Target="mailto:madeline@sfsu.edu" TargetMode="External"/><Relationship Id="rId70" Type="http://schemas.openxmlformats.org/officeDocument/2006/relationships/hyperlink" Target="mailto:efine@sfsu.edu" TargetMode="External"/><Relationship Id="rId91" Type="http://schemas.openxmlformats.org/officeDocument/2006/relationships/hyperlink" Target="mailto:jimmysoe@sfsu.edu" TargetMode="External"/><Relationship Id="rId145" Type="http://schemas.openxmlformats.org/officeDocument/2006/relationships/hyperlink" Target="mailto:ninashaver@sfsu.edu" TargetMode="External"/><Relationship Id="rId166" Type="http://schemas.openxmlformats.org/officeDocument/2006/relationships/hyperlink" Target="mailto:adeibert@sfsu.edu" TargetMode="External"/><Relationship Id="rId187" Type="http://schemas.openxmlformats.org/officeDocument/2006/relationships/hyperlink" Target="mailto:MITZYFPB@sfsu.edu" TargetMode="External"/><Relationship Id="rId1" Type="http://schemas.openxmlformats.org/officeDocument/2006/relationships/hyperlink" Target="mailto:lct@sfsu.edu" TargetMode="External"/><Relationship Id="rId212" Type="http://schemas.openxmlformats.org/officeDocument/2006/relationships/hyperlink" Target="mailto:sswilliams@sfsu.edu" TargetMode="External"/><Relationship Id="rId28" Type="http://schemas.openxmlformats.org/officeDocument/2006/relationships/hyperlink" Target="mailto:sueyoshi@sfsu.edu" TargetMode="External"/><Relationship Id="rId49" Type="http://schemas.openxmlformats.org/officeDocument/2006/relationships/hyperlink" Target="mailto:kurtdaw@sfsu.edu" TargetMode="External"/><Relationship Id="rId114" Type="http://schemas.openxmlformats.org/officeDocument/2006/relationships/hyperlink" Target="mailto:edinkelspiel@sfsu.edu" TargetMode="External"/><Relationship Id="rId60" Type="http://schemas.openxmlformats.org/officeDocument/2006/relationships/hyperlink" Target="mailto:drewluis@sfsu.edu" TargetMode="External"/><Relationship Id="rId81" Type="http://schemas.openxmlformats.org/officeDocument/2006/relationships/hyperlink" Target="mailto:stsang1@sfsu.edu" TargetMode="External"/><Relationship Id="rId135" Type="http://schemas.openxmlformats.org/officeDocument/2006/relationships/hyperlink" Target="mailto:kittybee10@yahoo.com" TargetMode="External"/><Relationship Id="rId156" Type="http://schemas.openxmlformats.org/officeDocument/2006/relationships/hyperlink" Target="mailto:gdinsay@sfsu.edu" TargetMode="External"/><Relationship Id="rId177" Type="http://schemas.openxmlformats.org/officeDocument/2006/relationships/hyperlink" Target="mailto:lhaidt@sfsu.edu" TargetMode="External"/><Relationship Id="rId198" Type="http://schemas.openxmlformats.org/officeDocument/2006/relationships/hyperlink" Target="mailto:acheung4@mail.sfsu.edu" TargetMode="External"/><Relationship Id="rId202" Type="http://schemas.openxmlformats.org/officeDocument/2006/relationships/hyperlink" Target="mailto:ricksarm@sfsu.edu" TargetMode="External"/><Relationship Id="rId18" Type="http://schemas.openxmlformats.org/officeDocument/2006/relationships/hyperlink" Target="mailto:sgen@sfsu.edu" TargetMode="External"/><Relationship Id="rId39" Type="http://schemas.openxmlformats.org/officeDocument/2006/relationships/hyperlink" Target="mailto:beverlyrglover@sfsu.edu" TargetMode="External"/><Relationship Id="rId50" Type="http://schemas.openxmlformats.org/officeDocument/2006/relationships/hyperlink" Target="mailto:fumifumi@sfsu.edu" TargetMode="External"/><Relationship Id="rId104" Type="http://schemas.openxmlformats.org/officeDocument/2006/relationships/hyperlink" Target="mailto:herciyes@sfsu.edu" TargetMode="External"/><Relationship Id="rId125" Type="http://schemas.openxmlformats.org/officeDocument/2006/relationships/hyperlink" Target="mailto:escheuer@sfsu.edu" TargetMode="External"/><Relationship Id="rId146" Type="http://schemas.openxmlformats.org/officeDocument/2006/relationships/hyperlink" Target="mailto:sanikadoolani@sfsu.edu" TargetMode="External"/><Relationship Id="rId167" Type="http://schemas.openxmlformats.org/officeDocument/2006/relationships/hyperlink" Target="mailto:nestorc@sfsu.edu" TargetMode="External"/><Relationship Id="rId188" Type="http://schemas.openxmlformats.org/officeDocument/2006/relationships/hyperlink" Target="mailto:cfields5@sfsu.edu" TargetMode="External"/><Relationship Id="rId71" Type="http://schemas.openxmlformats.org/officeDocument/2006/relationships/hyperlink" Target="mailto:larc@sfsu.edu" TargetMode="External"/><Relationship Id="rId92" Type="http://schemas.openxmlformats.org/officeDocument/2006/relationships/hyperlink" Target="mailto:javadi@sfsu.edu" TargetMode="External"/><Relationship Id="rId213" Type="http://schemas.openxmlformats.org/officeDocument/2006/relationships/hyperlink" Target="mailto:blicata@sfsu.edu" TargetMode="External"/><Relationship Id="rId2" Type="http://schemas.openxmlformats.org/officeDocument/2006/relationships/hyperlink" Target="mailto:rgutierrezsoliz@sfsu.edu" TargetMode="External"/><Relationship Id="rId29" Type="http://schemas.openxmlformats.org/officeDocument/2006/relationships/hyperlink" Target="mailto:jaynes@sfsu.edu" TargetMode="External"/><Relationship Id="rId40" Type="http://schemas.openxmlformats.org/officeDocument/2006/relationships/hyperlink" Target="mailto:cochrane7777@gmail.com" TargetMode="External"/><Relationship Id="rId115" Type="http://schemas.openxmlformats.org/officeDocument/2006/relationships/hyperlink" Target="mailto:sma@sfsu.edu" TargetMode="External"/><Relationship Id="rId136" Type="http://schemas.openxmlformats.org/officeDocument/2006/relationships/hyperlink" Target="mailto:bhamm@sfsu.edu" TargetMode="External"/><Relationship Id="rId157" Type="http://schemas.openxmlformats.org/officeDocument/2006/relationships/hyperlink" Target="mailto:huyle@sfsu.edu" TargetMode="External"/><Relationship Id="rId178" Type="http://schemas.openxmlformats.org/officeDocument/2006/relationships/hyperlink" Target="mailto:holland@sfsu.edu" TargetMode="External"/><Relationship Id="rId61" Type="http://schemas.openxmlformats.org/officeDocument/2006/relationships/hyperlink" Target="mailto:julianaparma@sfsu.edu" TargetMode="External"/><Relationship Id="rId82" Type="http://schemas.openxmlformats.org/officeDocument/2006/relationships/hyperlink" Target="mailto:rnizzard@sfsu.edu" TargetMode="External"/><Relationship Id="rId199" Type="http://schemas.openxmlformats.org/officeDocument/2006/relationships/hyperlink" Target="mailto:dominics@sfsu.edu" TargetMode="External"/><Relationship Id="rId203" Type="http://schemas.openxmlformats.org/officeDocument/2006/relationships/hyperlink" Target="mailto:caitlin@sfsu.edu" TargetMode="External"/><Relationship Id="rId19" Type="http://schemas.openxmlformats.org/officeDocument/2006/relationships/hyperlink" Target="mailto:alcidesfuentes@sfsu.edu" TargetMode="External"/><Relationship Id="rId30" Type="http://schemas.openxmlformats.org/officeDocument/2006/relationships/hyperlink" Target="mailto:lponcio@mail.sfsu.edu" TargetMode="External"/><Relationship Id="rId105" Type="http://schemas.openxmlformats.org/officeDocument/2006/relationships/hyperlink" Target="mailto:kmaeshir@sfsu.edu" TargetMode="External"/><Relationship Id="rId126" Type="http://schemas.openxmlformats.org/officeDocument/2006/relationships/hyperlink" Target="mailto:lyoung13@sfsu.edu" TargetMode="External"/><Relationship Id="rId147" Type="http://schemas.openxmlformats.org/officeDocument/2006/relationships/hyperlink" Target="mailto:tracychen@sfsu.edu" TargetMode="External"/><Relationship Id="rId168" Type="http://schemas.openxmlformats.org/officeDocument/2006/relationships/hyperlink" Target="mailto:latukefu@sfsu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gsantos@sf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FE15-0B4C-4D66-8DC3-900F37BD7667}">
  <sheetPr codeName="Sheet1" filterMode="1"/>
  <dimension ref="A1:L4821"/>
  <sheetViews>
    <sheetView tabSelected="1" workbookViewId="0">
      <pane ySplit="1" topLeftCell="G628" activePane="bottomLeft" state="frozen"/>
      <selection pane="bottomLeft" activeCell="K635" sqref="K635"/>
    </sheetView>
  </sheetViews>
  <sheetFormatPr defaultColWidth="9.140625" defaultRowHeight="15"/>
  <cols>
    <col min="1" max="1" width="16.7109375" style="11" bestFit="1" customWidth="1"/>
    <col min="2" max="2" width="17.42578125" style="11" customWidth="1"/>
    <col min="3" max="3" width="25.140625" style="11" customWidth="1"/>
    <col min="4" max="4" width="28.28515625" style="11" bestFit="1" customWidth="1"/>
    <col min="5" max="5" width="37.85546875" style="11" customWidth="1"/>
    <col min="6" max="6" width="15.42578125" style="11" customWidth="1"/>
    <col min="7" max="7" width="39.5703125" style="93" bestFit="1" customWidth="1"/>
    <col min="8" max="8" width="27.28515625" style="12" bestFit="1" customWidth="1"/>
    <col min="9" max="9" width="12" style="11" customWidth="1"/>
    <col min="10" max="10" width="11.42578125" style="109" customWidth="1"/>
    <col min="11" max="11" width="16.42578125" style="97" bestFit="1" customWidth="1"/>
    <col min="12" max="12" width="168.85546875" style="86" bestFit="1" customWidth="1"/>
    <col min="13" max="14" width="10.85546875" bestFit="1" customWidth="1"/>
    <col min="19" max="21" width="9.140625" bestFit="1" customWidth="1"/>
  </cols>
  <sheetData>
    <row r="1" spans="1:12" s="82" customFormat="1" ht="12">
      <c r="A1" s="79" t="s">
        <v>0</v>
      </c>
      <c r="B1" s="80" t="s">
        <v>1</v>
      </c>
      <c r="C1" s="81" t="s">
        <v>2</v>
      </c>
      <c r="D1" s="81" t="s">
        <v>3</v>
      </c>
      <c r="E1" s="22" t="s">
        <v>4</v>
      </c>
      <c r="F1" s="22" t="s">
        <v>5</v>
      </c>
      <c r="G1" s="22" t="s">
        <v>6</v>
      </c>
      <c r="H1" s="80" t="s">
        <v>7</v>
      </c>
      <c r="I1" s="22" t="s">
        <v>8</v>
      </c>
      <c r="J1" s="106" t="s">
        <v>9</v>
      </c>
      <c r="K1" s="80" t="s">
        <v>10</v>
      </c>
      <c r="L1" s="83" t="s">
        <v>11</v>
      </c>
    </row>
    <row r="2" spans="1:12">
      <c r="A2" s="19">
        <v>911546290</v>
      </c>
      <c r="B2" s="96">
        <v>44805</v>
      </c>
      <c r="C2" s="19" t="str">
        <f>IF(ISBLANK(A2),"Name",IF(ISNA(VLOOKUP(A2,'Master List'!A:C,2,FALSE)), "Not Found", VLOOKUP(A2,'Master List'!A:C,2,FALSE)))</f>
        <v>Amilcar Castillo Ortiz</v>
      </c>
      <c r="D2" s="19" t="str">
        <f>IF(ISBLANK(A2), "Email",IF(ISNA(VLOOKUP(A2,'Master List'!A:C,3,FALSE)), "Not Found", VLOOKUP(A2,'Master List'!A:C,3,FALSE)))</f>
        <v>amilco@sfsu.edu</v>
      </c>
      <c r="E2" s="19" t="s">
        <v>12</v>
      </c>
      <c r="F2" s="4" t="str">
        <f>IF(OR(A2="",E2="","",A2="?",E2="?"),"duplicate?",IF(COUNTIFS($A:A,A2,E:E,E2)&gt;1,"yes","no"))</f>
        <v>no</v>
      </c>
      <c r="G2" s="92" t="s">
        <v>13</v>
      </c>
      <c r="H2" s="57">
        <v>45282</v>
      </c>
      <c r="I2" s="19"/>
      <c r="J2" s="107"/>
      <c r="K2" s="97" t="str">
        <f ca="1">IF(J2="","Date",IF(J2&lt;&gt;"",IF(K2="Date",NOW(),K2),""))</f>
        <v>Date</v>
      </c>
      <c r="L2" s="84"/>
    </row>
    <row r="3" spans="1:12">
      <c r="A3" s="19">
        <v>922886247</v>
      </c>
      <c r="B3" s="96">
        <v>44805</v>
      </c>
      <c r="C3" s="19" t="str">
        <f>IF(ISBLANK(A3),"Name",IF(ISNA(VLOOKUP(A3,'Master List'!A:C,2,FALSE)), "Not Found", VLOOKUP(A3,'Master List'!A:C,2,FALSE)))</f>
        <v>Belinda Reyes</v>
      </c>
      <c r="D3" s="19" t="str">
        <f>IF(ISBLANK(A3), "Email",IF(ISNA(VLOOKUP(A3,'Master List'!A:C,3,FALSE)), "Not Found", VLOOKUP(A3,'Master List'!A:C,3,FALSE)))</f>
        <v>belinda.reyes124@gmail.com</v>
      </c>
      <c r="E3" s="19" t="s">
        <v>14</v>
      </c>
      <c r="F3" s="4" t="str">
        <f>IF(OR(A3="",E3="","",A3="?",E3="?"),"duplicate?",IF(COUNTIFS($A:A,A3,E:E,E3)&gt;1,"yes","no"))</f>
        <v>duplicate?</v>
      </c>
      <c r="G3" s="92" t="s">
        <v>15</v>
      </c>
      <c r="H3" s="57">
        <v>45282</v>
      </c>
      <c r="I3" s="19"/>
      <c r="J3" s="107"/>
      <c r="K3" s="97" t="str">
        <f ca="1">IF(J3="","Date",IF(J3&lt;&gt;"",IF(K3="Date",NOW(),K3),""))</f>
        <v>Date</v>
      </c>
      <c r="L3" s="84"/>
    </row>
    <row r="4" spans="1:12">
      <c r="A4" s="19">
        <v>909749144</v>
      </c>
      <c r="B4" s="96">
        <v>44805</v>
      </c>
      <c r="C4" s="19" t="str">
        <f>IF(ISBLANK(A4),"Name",IF(ISNA(VLOOKUP(A4,'Master List'!A:C,2,FALSE)), "Not Found", VLOOKUP(A4,'Master List'!A:C,2,FALSE)))</f>
        <v>Erica Maciel</v>
      </c>
      <c r="D4" s="19" t="str">
        <f>IF(ISBLANK(A4), "Email",IF(ISNA(VLOOKUP(A4,'Master List'!A:C,3,FALSE)), "Not Found", VLOOKUP(A4,'Master List'!A:C,3,FALSE)))</f>
        <v>emaciel@sfsu.edu</v>
      </c>
      <c r="E4" s="19" t="s">
        <v>16</v>
      </c>
      <c r="F4" s="4" t="str">
        <f>IF(OR(A4="",E4="","",A4="?",E4="?"),"duplicate?",IF(COUNTIFS($A:A,A4,E:E,E4)&gt;1,"yes","no"))</f>
        <v>no</v>
      </c>
      <c r="G4" s="92" t="s">
        <v>15</v>
      </c>
      <c r="H4" s="57">
        <v>45282</v>
      </c>
      <c r="I4" s="19"/>
      <c r="J4" s="107"/>
      <c r="K4" s="97" t="str">
        <f ca="1">IF(J4="","Date",IF(J4&lt;&gt;"",IF(K4="Date",NOW(),K4),""))</f>
        <v>Date</v>
      </c>
      <c r="L4" s="84"/>
    </row>
    <row r="5" spans="1:12">
      <c r="A5" s="19">
        <v>909749144</v>
      </c>
      <c r="B5" s="96">
        <v>44805</v>
      </c>
      <c r="C5" s="19" t="str">
        <f>IF(ISBLANK(A5),"Name",IF(ISNA(VLOOKUP(A5,'Master List'!A:C,2,FALSE)), "Not Found", VLOOKUP(A5,'Master List'!A:C,2,FALSE)))</f>
        <v>Erica Maciel</v>
      </c>
      <c r="D5" s="19" t="str">
        <f>IF(ISBLANK(A5), "Email",IF(ISNA(VLOOKUP(A5,'Master List'!A:C,3,FALSE)), "Not Found", VLOOKUP(A5,'Master List'!A:C,3,FALSE)))</f>
        <v>emaciel@sfsu.edu</v>
      </c>
      <c r="E5" s="19" t="s">
        <v>17</v>
      </c>
      <c r="F5" s="4" t="str">
        <f>IF(OR(A5="",E5="","",A5="?",E5="?"),"duplicate?",IF(COUNTIFS($A:A,A5,E:E,E5)&gt;1,"yes","no"))</f>
        <v>no</v>
      </c>
      <c r="G5" s="92" t="s">
        <v>13</v>
      </c>
      <c r="H5" s="57">
        <v>45282</v>
      </c>
      <c r="I5" s="19"/>
      <c r="J5" s="107"/>
      <c r="K5" s="97" t="str">
        <f ca="1">IF(J5="","Date",IF(J5&lt;&gt;"",IF(K5="Date",NOW(),K5),""))</f>
        <v>Date</v>
      </c>
      <c r="L5" s="84"/>
    </row>
    <row r="6" spans="1:12">
      <c r="A6" s="19">
        <v>918830723</v>
      </c>
      <c r="B6" s="96">
        <v>44805</v>
      </c>
      <c r="C6" s="19" t="str">
        <f>IF(ISBLANK(A6),"Name",IF(ISNA(VLOOKUP(A6,'Master List'!A:C,2,FALSE)), "Not Found", VLOOKUP(A6,'Master List'!A:C,2,FALSE)))</f>
        <v>Jesus Solorio</v>
      </c>
      <c r="D6" s="19" t="str">
        <f>IF(ISBLANK(A6), "Email",IF(ISNA(VLOOKUP(A6,'Master List'!A:C,3,FALSE)), "Not Found", VLOOKUP(A6,'Master List'!A:C,3,FALSE)))</f>
        <v>jesussolorio@sfsu.edu</v>
      </c>
      <c r="E6" s="19" t="s">
        <v>16</v>
      </c>
      <c r="F6" s="4" t="str">
        <f>IF(OR(A6="",E6="","",A6="?",E6="?"),"duplicate?",IF(COUNTIFS($A:A,A6,E:E,E6)&gt;1,"yes","no"))</f>
        <v>no</v>
      </c>
      <c r="G6" s="92" t="s">
        <v>13</v>
      </c>
      <c r="H6" s="57">
        <v>45282</v>
      </c>
      <c r="I6" s="19"/>
      <c r="J6" s="107"/>
      <c r="K6" s="97" t="str">
        <f ca="1">IF(J6="","Date",IF(J6&lt;&gt;"",IF(K6="Date",NOW(),K6),""))</f>
        <v>Date</v>
      </c>
      <c r="L6" s="84"/>
    </row>
    <row r="7" spans="1:12">
      <c r="A7" s="19">
        <v>901118496</v>
      </c>
      <c r="B7" s="96">
        <v>44805</v>
      </c>
      <c r="C7" s="19" t="str">
        <f>IF(ISBLANK(A7),"Name",IF(ISNA(VLOOKUP(A7,'Master List'!A:C,2,FALSE)), "Not Found", VLOOKUP(A7,'Master List'!A:C,2,FALSE)))</f>
        <v>Marilyn Smulyan</v>
      </c>
      <c r="D7" s="19" t="str">
        <f>IF(ISBLANK(A7), "Email",IF(ISNA(VLOOKUP(A7,'Master List'!A:C,3,FALSE)), "Not Found", VLOOKUP(A7,'Master List'!A:C,3,FALSE)))</f>
        <v>msmulyan@sfsu.edu</v>
      </c>
      <c r="E7" s="19" t="s">
        <v>16</v>
      </c>
      <c r="F7" s="4" t="str">
        <f>IF(OR(A7="",E7="","",A7="?",E7="?"),"duplicate?",IF(COUNTIFS($A:A,A7,E:E,E7)&gt;1,"yes","no"))</f>
        <v>no</v>
      </c>
      <c r="G7" s="92" t="s">
        <v>13</v>
      </c>
      <c r="H7" s="57">
        <v>45283</v>
      </c>
      <c r="I7" s="19"/>
      <c r="J7" s="107"/>
      <c r="K7" s="97" t="str">
        <f ca="1">IF(J7="","Date",IF(J7&lt;&gt;"",IF(K7="Date",NOW(),K7),""))</f>
        <v>Date</v>
      </c>
      <c r="L7" s="84"/>
    </row>
    <row r="8" spans="1:12">
      <c r="A8" s="19">
        <v>915081692</v>
      </c>
      <c r="B8" s="96">
        <v>44805</v>
      </c>
      <c r="C8" s="19" t="str">
        <f>IF(ISBLANK(A8),"Name",IF(ISNA(VLOOKUP(A8,'Master List'!A:C,2,FALSE)), "Not Found", VLOOKUP(A8,'Master List'!A:C,2,FALSE)))</f>
        <v>Nereyda Valdez</v>
      </c>
      <c r="D8" s="19" t="str">
        <f>IF(ISBLANK(A8), "Email",IF(ISNA(VLOOKUP(A8,'Master List'!A:C,3,FALSE)), "Not Found", VLOOKUP(A8,'Master List'!A:C,3,FALSE)))</f>
        <v>nmonteci@sfsu.edu</v>
      </c>
      <c r="E8" s="19" t="s">
        <v>18</v>
      </c>
      <c r="F8" s="4" t="str">
        <f>IF(OR(A8="",E8="","",A8="?",E8="?"),"duplicate?",IF(COUNTIFS($A:A,A8,E:E,E8)&gt;1,"yes","no"))</f>
        <v>no</v>
      </c>
      <c r="G8" s="92" t="s">
        <v>13</v>
      </c>
      <c r="H8" s="57">
        <v>45282</v>
      </c>
      <c r="I8" s="19"/>
      <c r="J8" s="107"/>
      <c r="K8" s="97" t="str">
        <f ca="1">IF(J8="","Date",IF(J8&lt;&gt;"",IF(K8="Date",NOW(),K8),""))</f>
        <v>Date</v>
      </c>
      <c r="L8" s="84"/>
    </row>
    <row r="9" spans="1:12">
      <c r="A9" s="19">
        <v>901130898</v>
      </c>
      <c r="B9" s="96">
        <v>44805</v>
      </c>
      <c r="C9" s="19" t="str">
        <f>IF(ISBLANK(A9),"Name",IF(ISNA(VLOOKUP(A9,'Master List'!A:C,2,FALSE)), "Not Found", VLOOKUP(A9,'Master List'!A:C,2,FALSE)))</f>
        <v>Patricia Van Velsor</v>
      </c>
      <c r="D9" s="19" t="str">
        <f>IF(ISBLANK(A9), "Email",IF(ISNA(VLOOKUP(A9,'Master List'!A:C,3,FALSE)), "Not Found", VLOOKUP(A9,'Master List'!A:C,3,FALSE)))</f>
        <v>pvanvels@sfsu.edu</v>
      </c>
      <c r="E9" s="19" t="s">
        <v>16</v>
      </c>
      <c r="F9" s="4" t="str">
        <f>IF(OR(A9="",E9="","",A9="?",E9="?"),"duplicate?",IF(COUNTIFS($A:A,A9,E:E,E9)&gt;1,"yes","no"))</f>
        <v>no</v>
      </c>
      <c r="G9" s="92" t="s">
        <v>13</v>
      </c>
      <c r="H9" s="57">
        <v>45282</v>
      </c>
      <c r="I9" s="19"/>
      <c r="J9" s="107"/>
      <c r="K9" s="97" t="str">
        <f ca="1">IF(J9="","Date",IF(J9&lt;&gt;"",IF(K9="Date",NOW(),K9),""))</f>
        <v>Date</v>
      </c>
      <c r="L9" s="84"/>
    </row>
    <row r="10" spans="1:12">
      <c r="A10" s="19">
        <v>918103178</v>
      </c>
      <c r="B10" s="96">
        <v>44805</v>
      </c>
      <c r="C10" s="19" t="str">
        <f>IF(ISBLANK(A10),"Name",IF(ISNA(VLOOKUP(A10,'Master List'!A:C,2,FALSE)), "Not Found", VLOOKUP(A10,'Master List'!A:C,2,FALSE)))</f>
        <v>Veronica Rabelo</v>
      </c>
      <c r="D10" s="19" t="str">
        <f>IF(ISBLANK(A10), "Email",IF(ISNA(VLOOKUP(A10,'Master List'!A:C,3,FALSE)), "Not Found", VLOOKUP(A10,'Master List'!A:C,3,FALSE)))</f>
        <v>rabelo@sfsu.edu</v>
      </c>
      <c r="E10" s="19" t="s">
        <v>19</v>
      </c>
      <c r="F10" s="4" t="str">
        <f>IF(OR(A10="",E10="","",A10="?",E10="?"),"duplicate?",IF(COUNTIFS($A:A,A10,E:E,E10)&gt;1,"yes","no"))</f>
        <v>no</v>
      </c>
      <c r="G10" s="92" t="s">
        <v>13</v>
      </c>
      <c r="H10" s="57">
        <v>45282</v>
      </c>
      <c r="I10" s="19"/>
      <c r="J10" s="107"/>
      <c r="K10" s="97" t="str">
        <f ca="1">IF(J10="","Date",IF(J10&lt;&gt;"",IF(K10="Date",NOW(),K10),""))</f>
        <v>Date</v>
      </c>
      <c r="L10" s="84"/>
    </row>
    <row r="11" spans="1:12">
      <c r="A11" s="19">
        <v>900018215</v>
      </c>
      <c r="B11" s="96">
        <v>44805</v>
      </c>
      <c r="C11" s="19" t="str">
        <f>IF(ISBLANK(A11),"Name",IF(ISNA(VLOOKUP(A11,'Master List'!A:C,2,FALSE)), "Not Found", VLOOKUP(A11,'Master List'!A:C,2,FALSE)))</f>
        <v>Vivian Chavez</v>
      </c>
      <c r="D11" s="19" t="str">
        <f>IF(ISBLANK(A11), "Email",IF(ISNA(VLOOKUP(A11,'Master List'!A:C,3,FALSE)), "Not Found", VLOOKUP(A11,'Master List'!A:C,3,FALSE)))</f>
        <v>vchavez@sfsu.edu</v>
      </c>
      <c r="E11" s="19" t="s">
        <v>20</v>
      </c>
      <c r="F11" s="4" t="str">
        <f>IF(OR(A11="",E11="","",A11="?",E11="?"),"duplicate?",IF(COUNTIFS($A:A,A11,E:E,E11)&gt;1,"yes","no"))</f>
        <v>no</v>
      </c>
      <c r="G11" s="92" t="s">
        <v>15</v>
      </c>
      <c r="H11" s="57" t="s">
        <v>21</v>
      </c>
      <c r="I11" s="19"/>
      <c r="J11" s="108"/>
      <c r="K11" s="97" t="str">
        <f ca="1">IF(J11="","Date",IF(J11&lt;&gt;"",IF(K11="Date",NOW(),K11),""))</f>
        <v>Date</v>
      </c>
      <c r="L11" s="84"/>
    </row>
    <row r="12" spans="1:12">
      <c r="A12" s="19">
        <v>917117336</v>
      </c>
      <c r="B12" s="96">
        <v>44806</v>
      </c>
      <c r="C12" s="19" t="str">
        <f>IF(ISBLANK(A12),"Name",IF(ISNA(VLOOKUP(A12,'Master List'!A:C,2,FALSE)), "Not Found", VLOOKUP(A12,'Master List'!A:C,2,FALSE)))</f>
        <v>Bruna Mota</v>
      </c>
      <c r="D12" s="19" t="str">
        <f>IF(ISBLANK(A12), "Email",IF(ISNA(VLOOKUP(A12,'Master List'!A:C,3,FALSE)), "Not Found", VLOOKUP(A12,'Master List'!A:C,3,FALSE)))</f>
        <v>bmota@mail.sfsu.edu</v>
      </c>
      <c r="E12" s="19" t="s">
        <v>16</v>
      </c>
      <c r="F12" s="4" t="str">
        <f>IF(OR(A12="",E12="","",A12="?",E12="?"),"duplicate?",IF(COUNTIFS($A:A,A12,E:E,E12)&gt;1,"yes","no"))</f>
        <v>no</v>
      </c>
      <c r="G12" s="92" t="s">
        <v>13</v>
      </c>
      <c r="H12" s="57">
        <v>45282</v>
      </c>
      <c r="I12" s="19"/>
      <c r="J12" s="107"/>
      <c r="K12" s="97" t="str">
        <f ca="1">IF(J12="","Date",IF(J12&lt;&gt;"",IF(K12="Date",NOW(),K12),""))</f>
        <v>Date</v>
      </c>
      <c r="L12" s="84"/>
    </row>
    <row r="13" spans="1:12">
      <c r="A13" s="19">
        <v>916467726</v>
      </c>
      <c r="B13" s="96">
        <v>44806</v>
      </c>
      <c r="C13" s="19" t="str">
        <f>IF(ISBLANK(A13),"Name",IF(ISNA(VLOOKUP(A13,'Master List'!A:C,2,FALSE)), "Not Found", VLOOKUP(A13,'Master List'!A:C,2,FALSE)))</f>
        <v>Edwin Ochong</v>
      </c>
      <c r="D13" s="19" t="str">
        <f>IF(ISBLANK(A13), "Email",IF(ISNA(VLOOKUP(A13,'Master List'!A:C,3,FALSE)), "Not Found", VLOOKUP(A13,'Master List'!A:C,3,FALSE)))</f>
        <v>edochong@yahoo.com</v>
      </c>
      <c r="E13" s="19" t="s">
        <v>19</v>
      </c>
      <c r="F13" s="4" t="str">
        <f>IF(OR(A13="",E13="","",A13="?",E13="?"),"duplicate?",IF(COUNTIFS($A:A,A13,E:E,E13)&gt;1,"yes","no"))</f>
        <v>no</v>
      </c>
      <c r="G13" s="92" t="s">
        <v>13</v>
      </c>
      <c r="H13" s="57">
        <v>45282</v>
      </c>
      <c r="I13" s="19"/>
      <c r="J13" s="107"/>
      <c r="K13" s="97" t="str">
        <f ca="1">IF(J13="","Date",IF(J13&lt;&gt;"",IF(K13="Date",NOW(),K13),""))</f>
        <v>Date</v>
      </c>
      <c r="L13" s="84"/>
    </row>
    <row r="14" spans="1:12">
      <c r="A14" s="19">
        <v>912461828</v>
      </c>
      <c r="B14" s="96">
        <v>44810</v>
      </c>
      <c r="C14" s="19" t="str">
        <f>IF(ISBLANK(A14),"Name",IF(ISNA(VLOOKUP(A14,'Master List'!A:C,2,FALSE)), "Not Found", VLOOKUP(A14,'Master List'!A:C,2,FALSE)))</f>
        <v>Asharee Brown</v>
      </c>
      <c r="D14" s="19" t="str">
        <f>IF(ISBLANK(A14), "Email",IF(ISNA(VLOOKUP(A14,'Master List'!A:C,3,FALSE)), "Not Found", VLOOKUP(A14,'Master List'!A:C,3,FALSE)))</f>
        <v>asbrown@sfsu.edu</v>
      </c>
      <c r="E14" s="19" t="s">
        <v>16</v>
      </c>
      <c r="F14" s="4" t="str">
        <f>IF(OR(A14="",E14="","",A14="?",E14="?"),"duplicate?",IF(COUNTIFS($A:A,A14,E:E,E14)&gt;1,"yes","no"))</f>
        <v>no</v>
      </c>
      <c r="G14" s="92"/>
      <c r="H14" s="57">
        <v>45282</v>
      </c>
      <c r="I14" s="19"/>
      <c r="J14" s="107"/>
      <c r="K14" s="97" t="str">
        <f ca="1">IF(J14="","Date",IF(J14&lt;&gt;"",IF(K14="Date",NOW(),K14),""))</f>
        <v>Date</v>
      </c>
      <c r="L14" s="84"/>
    </row>
    <row r="15" spans="1:12">
      <c r="A15" s="19">
        <v>912461828</v>
      </c>
      <c r="B15" s="96">
        <v>44810</v>
      </c>
      <c r="C15" s="19" t="str">
        <f>IF(ISBLANK(A15),"Name",IF(ISNA(VLOOKUP(A15,'Master List'!A:C,2,FALSE)), "Not Found", VLOOKUP(A15,'Master List'!A:C,2,FALSE)))</f>
        <v>Asharee Brown</v>
      </c>
      <c r="D15" s="19" t="str">
        <f>IF(ISBLANK(A15), "Email",IF(ISNA(VLOOKUP(A15,'Master List'!A:C,3,FALSE)), "Not Found", VLOOKUP(A15,'Master List'!A:C,3,FALSE)))</f>
        <v>asbrown@sfsu.edu</v>
      </c>
      <c r="E15" s="19" t="s">
        <v>19</v>
      </c>
      <c r="F15" s="4" t="str">
        <f>IF(OR(A15="",E15="","",A15="?",E15="?"),"duplicate?",IF(COUNTIFS($A:A,A15,E:E,E15)&gt;1,"yes","no"))</f>
        <v>no</v>
      </c>
      <c r="G15" s="92" t="s">
        <v>13</v>
      </c>
      <c r="H15" s="57">
        <v>45282</v>
      </c>
      <c r="I15" s="19"/>
      <c r="J15" s="107"/>
      <c r="K15" s="97" t="str">
        <f ca="1">IF(J15="","Date",IF(J15&lt;&gt;"",IF(K15="Date",NOW(),K15),""))</f>
        <v>Date</v>
      </c>
      <c r="L15" s="84"/>
    </row>
    <row r="16" spans="1:12">
      <c r="A16" s="19">
        <v>900045866</v>
      </c>
      <c r="B16" s="96">
        <v>44810</v>
      </c>
      <c r="C16" s="19" t="str">
        <f>IF(ISBLANK(A16),"Name",IF(ISNA(VLOOKUP(A16,'Master List'!A:C,2,FALSE)), "Not Found", VLOOKUP(A16,'Master List'!A:C,2,FALSE)))</f>
        <v>Elane Feng</v>
      </c>
      <c r="D16" s="19" t="str">
        <f>IF(ISBLANK(A16), "Email",IF(ISNA(VLOOKUP(A16,'Master List'!A:C,3,FALSE)), "Not Found", VLOOKUP(A16,'Master List'!A:C,3,FALSE)))</f>
        <v>efeng@sfsu.edu</v>
      </c>
      <c r="E16" s="19" t="s">
        <v>20</v>
      </c>
      <c r="F16" s="4" t="str">
        <f>IF(OR(A16="",E16="","",A16="?",E16="?"),"duplicate?",IF(COUNTIFS($A:A,A16,E:E,E16)&gt;1,"yes","no"))</f>
        <v>no</v>
      </c>
      <c r="G16" s="92" t="s">
        <v>13</v>
      </c>
      <c r="H16" s="57">
        <v>45282</v>
      </c>
      <c r="I16" s="19"/>
      <c r="J16" s="107"/>
      <c r="K16" s="97" t="str">
        <f ca="1">IF(J16="","Date",IF(J16&lt;&gt;"",IF(K16="Date",NOW(),K16),""))</f>
        <v>Date</v>
      </c>
      <c r="L16" s="84"/>
    </row>
    <row r="17" spans="1:12">
      <c r="A17" s="19">
        <v>906999384</v>
      </c>
      <c r="B17" s="96">
        <v>44810</v>
      </c>
      <c r="C17" s="19" t="str">
        <f>IF(ISBLANK(A17),"Name",IF(ISNA(VLOOKUP(A17,'Master List'!A:C,2,FALSE)), "Not Found", VLOOKUP(A17,'Master List'!A:C,2,FALSE)))</f>
        <v>Gail Baugh</v>
      </c>
      <c r="D17" s="19" t="str">
        <f>IF(ISBLANK(A17), "Email",IF(ISNA(VLOOKUP(A17,'Master List'!A:C,3,FALSE)), "Not Found", VLOOKUP(A17,'Master List'!A:C,3,FALSE)))</f>
        <v>gailbaugh@sfsu.edu</v>
      </c>
      <c r="E17" s="19" t="s">
        <v>19</v>
      </c>
      <c r="F17" s="4" t="str">
        <f>IF(OR(A17="",E17="","",A17="?",E17="?"),"duplicate?",IF(COUNTIFS($A:A,A17,E:E,E17)&gt;1,"yes","no"))</f>
        <v>no</v>
      </c>
      <c r="G17" s="92" t="s">
        <v>22</v>
      </c>
      <c r="H17" s="57">
        <v>45282</v>
      </c>
      <c r="I17" s="19"/>
      <c r="J17" s="107"/>
      <c r="K17" s="97" t="str">
        <f ca="1">IF(J17="","Date",IF(J17&lt;&gt;"",IF(K17="Date",NOW(),K17),""))</f>
        <v>Date</v>
      </c>
      <c r="L17" s="84"/>
    </row>
    <row r="18" spans="1:12">
      <c r="A18" s="19">
        <v>900015524</v>
      </c>
      <c r="B18" s="96">
        <v>44810</v>
      </c>
      <c r="C18" s="19" t="str">
        <f>IF(ISBLANK(A18),"Name",IF(ISNA(VLOOKUP(A18,'Master List'!A:C,2,FALSE)), "Not Found", VLOOKUP(A18,'Master List'!A:C,2,FALSE)))</f>
        <v>George Gassner</v>
      </c>
      <c r="D18" s="19" t="str">
        <f>IF(ISBLANK(A18), "Email",IF(ISNA(VLOOKUP(A18,'Master List'!A:C,3,FALSE)), "Not Found", VLOOKUP(A18,'Master List'!A:C,3,FALSE)))</f>
        <v>gassner@sfsu.edu</v>
      </c>
      <c r="E18" s="19" t="s">
        <v>23</v>
      </c>
      <c r="F18" s="4" t="str">
        <f>IF(OR(A18="",E18="","",A18="?",E18="?"),"duplicate?",IF(COUNTIFS($A:A,A18,E:E,E18)&gt;1,"yes","no"))</f>
        <v>no</v>
      </c>
      <c r="G18" s="92"/>
      <c r="H18" s="57">
        <v>45282</v>
      </c>
      <c r="I18" s="19"/>
      <c r="J18" s="107"/>
      <c r="K18" s="97" t="str">
        <f ca="1">IF(J18="","Date",IF(J18&lt;&gt;"",IF(K18="Date",NOW(),K18),""))</f>
        <v>Date</v>
      </c>
      <c r="L18" s="84"/>
    </row>
    <row r="19" spans="1:12">
      <c r="A19" s="19">
        <v>908492564</v>
      </c>
      <c r="B19" s="96">
        <v>44810</v>
      </c>
      <c r="C19" s="19" t="str">
        <f>IF(ISBLANK(A19),"Name",IF(ISNA(VLOOKUP(A19,'Master List'!A:C,2,FALSE)), "Not Found", VLOOKUP(A19,'Master List'!A:C,2,FALSE)))</f>
        <v>Julietta Hua</v>
      </c>
      <c r="D19" s="19" t="str">
        <f>IF(ISBLANK(A19), "Email",IF(ISNA(VLOOKUP(A19,'Master List'!A:C,3,FALSE)), "Not Found", VLOOKUP(A19,'Master List'!A:C,3,FALSE)))</f>
        <v>jyhua@sfsu.edu</v>
      </c>
      <c r="E19" s="19" t="s">
        <v>24</v>
      </c>
      <c r="F19" s="4" t="str">
        <f>IF(OR(A19="",E19="","",A19="?",E19="?"),"duplicate?",IF(COUNTIFS($A:A,A19,E:E,E19)&gt;1,"yes","no"))</f>
        <v>no</v>
      </c>
      <c r="G19" s="92" t="s">
        <v>22</v>
      </c>
      <c r="H19" s="57">
        <v>45282</v>
      </c>
      <c r="I19" s="19"/>
      <c r="J19" s="107"/>
      <c r="K19" s="97" t="str">
        <f ca="1">IF(J19="","Date",IF(J19&lt;&gt;"",IF(K19="Date",NOW(),K19),""))</f>
        <v>Date</v>
      </c>
      <c r="L19" s="84"/>
    </row>
    <row r="20" spans="1:12">
      <c r="A20" s="19">
        <v>902476632</v>
      </c>
      <c r="B20" s="96">
        <v>44810</v>
      </c>
      <c r="C20" s="19" t="str">
        <f>IF(ISBLANK(A20),"Name",IF(ISNA(VLOOKUP(A20,'Master List'!A:C,2,FALSE)), "Not Found", VLOOKUP(A20,'Master List'!A:C,2,FALSE)))</f>
        <v>Matt Pico</v>
      </c>
      <c r="D20" s="19" t="str">
        <f>IF(ISBLANK(A20), "Email",IF(ISNA(VLOOKUP(A20,'Master List'!A:C,3,FALSE)), "Not Found", VLOOKUP(A20,'Master List'!A:C,3,FALSE)))</f>
        <v>mpico@sfsu.edu</v>
      </c>
      <c r="E20" s="19" t="s">
        <v>19</v>
      </c>
      <c r="F20" s="4" t="str">
        <f>IF(OR(A20="",E20="","",A20="?",E20="?"),"duplicate?",IF(COUNTIFS($A:A,A20,E:E,E20)&gt;1,"yes","no"))</f>
        <v>no</v>
      </c>
      <c r="G20" s="92" t="s">
        <v>22</v>
      </c>
      <c r="H20" s="57">
        <v>45282</v>
      </c>
      <c r="I20" s="19"/>
      <c r="J20" s="107"/>
      <c r="K20" s="97" t="str">
        <f ca="1">IF(J20="","Date",IF(J20&lt;&gt;"",IF(K20="Date",NOW(),K20),""))</f>
        <v>Date</v>
      </c>
      <c r="L20" s="84"/>
    </row>
    <row r="21" spans="1:12">
      <c r="A21" s="19">
        <v>918328884</v>
      </c>
      <c r="B21" s="96">
        <v>44810</v>
      </c>
      <c r="C21" s="19" t="str">
        <f>IF(ISBLANK(A21),"Name",IF(ISNA(VLOOKUP(A21,'Master List'!A:C,2,FALSE)), "Not Found", VLOOKUP(A21,'Master List'!A:C,2,FALSE)))</f>
        <v>Menaal Alowdi</v>
      </c>
      <c r="D21" s="19" t="str">
        <f>IF(ISBLANK(A21), "Email",IF(ISNA(VLOOKUP(A21,'Master List'!A:C,3,FALSE)), "Not Found", VLOOKUP(A21,'Master List'!A:C,3,FALSE)))</f>
        <v>malowdi@mail.sfsu.edu</v>
      </c>
      <c r="E21" s="19" t="s">
        <v>19</v>
      </c>
      <c r="F21" s="4" t="str">
        <f>IF(OR(A21="",E21="","",A21="?",E21="?"),"duplicate?",IF(COUNTIFS($A:A,A21,E:E,E21)&gt;1,"yes","no"))</f>
        <v>no</v>
      </c>
      <c r="G21" s="92" t="s">
        <v>22</v>
      </c>
      <c r="H21" s="57">
        <v>45282</v>
      </c>
      <c r="I21" s="19"/>
      <c r="J21" s="107"/>
      <c r="K21" s="97" t="str">
        <f ca="1">IF(J21="","Date",IF(J21&lt;&gt;"",IF(K21="Date",NOW(),K21),""))</f>
        <v>Date</v>
      </c>
      <c r="L21" s="84"/>
    </row>
    <row r="22" spans="1:12">
      <c r="A22" s="19">
        <v>909186933</v>
      </c>
      <c r="B22" s="96">
        <v>44810</v>
      </c>
      <c r="C22" s="19" t="str">
        <f>IF(ISBLANK(A22),"Name",IF(ISNA(VLOOKUP(A22,'Master List'!A:C,2,FALSE)), "Not Found", VLOOKUP(A22,'Master List'!A:C,2,FALSE)))</f>
        <v>Mahmood Monshipouri</v>
      </c>
      <c r="D22" s="19" t="str">
        <f>IF(ISBLANK(A22), "Email",IF(ISNA(VLOOKUP(A22,'Master List'!A:C,3,FALSE)), "Not Found", VLOOKUP(A22,'Master List'!A:C,3,FALSE)))</f>
        <v>mmonship@sfsu.edu</v>
      </c>
      <c r="E22" s="19" t="s">
        <v>19</v>
      </c>
      <c r="F22" s="4" t="str">
        <f>IF(OR(A22="",E22="","",A22="?",E22="?"),"duplicate?",IF(COUNTIFS($A:A,A22,E:E,E22)&gt;1,"yes","no"))</f>
        <v>no</v>
      </c>
      <c r="G22" s="92" t="s">
        <v>13</v>
      </c>
      <c r="H22" s="57">
        <v>45282</v>
      </c>
      <c r="I22" s="19"/>
      <c r="J22" s="107"/>
      <c r="K22" s="97" t="str">
        <f ca="1">IF(J22="","Date",IF(J22&lt;&gt;"",IF(K22="Date",NOW(),K22),""))</f>
        <v>Date</v>
      </c>
      <c r="L22" s="84"/>
    </row>
    <row r="23" spans="1:12">
      <c r="A23" s="19">
        <v>917253199</v>
      </c>
      <c r="B23" s="96">
        <v>44810</v>
      </c>
      <c r="C23" s="19" t="str">
        <f>IF(ISBLANK(A23),"Name",IF(ISNA(VLOOKUP(A23,'Master List'!A:C,2,FALSE)), "Not Found", VLOOKUP(A23,'Master List'!A:C,2,FALSE)))</f>
        <v>Robert Allen</v>
      </c>
      <c r="D23" s="19" t="str">
        <f>IF(ISBLANK(A23), "Email",IF(ISNA(VLOOKUP(A23,'Master List'!A:C,3,FALSE)), "Not Found", VLOOKUP(A23,'Master List'!A:C,3,FALSE)))</f>
        <v>roballen@sfsu.edu</v>
      </c>
      <c r="E23" s="19" t="s">
        <v>25</v>
      </c>
      <c r="F23" s="4" t="str">
        <f>IF(OR(A23="",E23="","",A23="?",E23="?"),"duplicate?",IF(COUNTIFS($A:A,A23,E:E,E23)&gt;1,"yes","no"))</f>
        <v>no</v>
      </c>
      <c r="G23" s="92" t="s">
        <v>22</v>
      </c>
      <c r="H23" s="57">
        <v>45282</v>
      </c>
      <c r="I23" s="19"/>
      <c r="J23" s="107"/>
      <c r="K23" s="97" t="str">
        <f ca="1">IF(J23="","Date",IF(J23&lt;&gt;"",IF(K23="Date",NOW(),K23),""))</f>
        <v>Date</v>
      </c>
      <c r="L23" s="84"/>
    </row>
    <row r="24" spans="1:12">
      <c r="A24" s="19">
        <v>918848234</v>
      </c>
      <c r="B24" s="96">
        <v>44810</v>
      </c>
      <c r="C24" s="19" t="str">
        <f>IF(ISBLANK(A24),"Name",IF(ISNA(VLOOKUP(A24,'Master List'!A:C,2,FALSE)), "Not Found", VLOOKUP(A24,'Master List'!A:C,2,FALSE)))</f>
        <v>Sanchita Ghose</v>
      </c>
      <c r="D24" s="19" t="str">
        <f>IF(ISBLANK(A24), "Email",IF(ISNA(VLOOKUP(A24,'Master List'!A:C,3,FALSE)), "Not Found", VLOOKUP(A24,'Master List'!A:C,3,FALSE)))</f>
        <v>sanchitaghose@sfsu.edu</v>
      </c>
      <c r="E24" s="19" t="s">
        <v>26</v>
      </c>
      <c r="F24" s="4" t="str">
        <f>IF(OR(A24="",E24="","",A24="?",E24="?"),"duplicate?",IF(COUNTIFS($A:A,A24,E:E,E24)&gt;1,"yes","no"))</f>
        <v>no</v>
      </c>
      <c r="G24" s="92" t="s">
        <v>13</v>
      </c>
      <c r="H24" s="57">
        <v>45282</v>
      </c>
      <c r="I24" s="19"/>
      <c r="J24" s="107"/>
      <c r="K24" s="97" t="str">
        <f ca="1">IF(J24="","Date",IF(J24&lt;&gt;"",IF(K24="Date",NOW(),K24),""))</f>
        <v>Date</v>
      </c>
      <c r="L24" s="84"/>
    </row>
    <row r="25" spans="1:12">
      <c r="A25" s="19">
        <v>915848432</v>
      </c>
      <c r="B25" s="96">
        <v>44810</v>
      </c>
      <c r="C25" s="19" t="str">
        <f>IF(ISBLANK(A25),"Name",IF(ISNA(VLOOKUP(A25,'Master List'!A:C,2,FALSE)), "Not Found", VLOOKUP(A25,'Master List'!A:C,2,FALSE)))</f>
        <v>Valerie Fernandez</v>
      </c>
      <c r="D25" s="19" t="str">
        <f>IF(ISBLANK(A25), "Email",IF(ISNA(VLOOKUP(A25,'Master List'!A:C,3,FALSE)), "Not Found", VLOOKUP(A25,'Master List'!A:C,3,FALSE)))</f>
        <v>vfernandez3@sfsu.edu</v>
      </c>
      <c r="E25" s="19" t="s">
        <v>19</v>
      </c>
      <c r="F25" s="4" t="str">
        <f>IF(OR(A25="",E25="","",A25="?",E25="?"),"duplicate?",IF(COUNTIFS($A:A,A25,E:E,E25)&gt;1,"yes","no"))</f>
        <v>no</v>
      </c>
      <c r="G25" s="92" t="s">
        <v>13</v>
      </c>
      <c r="H25" s="57">
        <v>45282</v>
      </c>
      <c r="I25" s="19"/>
      <c r="J25" s="107"/>
      <c r="K25" s="97" t="str">
        <f ca="1">IF(J25="","Date",IF(J25&lt;&gt;"",IF(K25="Date",NOW(),K25),""))</f>
        <v>Date</v>
      </c>
      <c r="L25" s="84"/>
    </row>
    <row r="26" spans="1:12">
      <c r="A26" s="19">
        <v>922404701</v>
      </c>
      <c r="B26" s="96">
        <v>44811</v>
      </c>
      <c r="C26" s="19" t="str">
        <f>IF(ISBLANK(A26),"Name",IF(ISNA(VLOOKUP(A26,'Master List'!A:C,2,FALSE)), "Not Found", VLOOKUP(A26,'Master List'!A:C,2,FALSE)))</f>
        <v>Anudeep Katukojwala</v>
      </c>
      <c r="D26" s="19" t="str">
        <f>IF(ISBLANK(A26), "Email",IF(ISNA(VLOOKUP(A26,'Master List'!A:C,3,FALSE)), "Not Found", VLOOKUP(A26,'Master List'!A:C,3,FALSE)))</f>
        <v>akatukojwala@sfsu.edu</v>
      </c>
      <c r="E26" s="19" t="s">
        <v>27</v>
      </c>
      <c r="F26" s="4" t="str">
        <f>IF(OR(A26="",E26="","",A26="?",E26="?"),"duplicate?",IF(COUNTIFS($A:A,A26,E:E,E26)&gt;1,"yes","no"))</f>
        <v>no</v>
      </c>
      <c r="G26" s="92"/>
      <c r="H26" s="57">
        <v>45282</v>
      </c>
      <c r="I26" s="19"/>
      <c r="J26" s="107"/>
      <c r="K26" s="97" t="str">
        <f ca="1">IF(J26="","Date",IF(J26&lt;&gt;"",IF(K26="Date",NOW(),K26),""))</f>
        <v>Date</v>
      </c>
      <c r="L26" s="84"/>
    </row>
    <row r="27" spans="1:12">
      <c r="A27" s="19">
        <v>922404701</v>
      </c>
      <c r="B27" s="96">
        <v>44811</v>
      </c>
      <c r="C27" s="19" t="str">
        <f>IF(ISBLANK(A27),"Name",IF(ISNA(VLOOKUP(A27,'Master List'!A:C,2,FALSE)), "Not Found", VLOOKUP(A27,'Master List'!A:C,2,FALSE)))</f>
        <v>Anudeep Katukojwala</v>
      </c>
      <c r="D27" s="19" t="str">
        <f>IF(ISBLANK(A27), "Email",IF(ISNA(VLOOKUP(A27,'Master List'!A:C,3,FALSE)), "Not Found", VLOOKUP(A27,'Master List'!A:C,3,FALSE)))</f>
        <v>akatukojwala@sfsu.edu</v>
      </c>
      <c r="E27" s="19" t="s">
        <v>19</v>
      </c>
      <c r="F27" s="4" t="str">
        <f>IF(OR(A27="",E27="","",A27="?",E27="?"),"duplicate?",IF(COUNTIFS($A:A,A27,E:E,E27)&gt;1,"yes","no"))</f>
        <v>no</v>
      </c>
      <c r="G27" s="92" t="s">
        <v>22</v>
      </c>
      <c r="H27" s="57">
        <v>45282</v>
      </c>
      <c r="I27" s="19"/>
      <c r="J27" s="107"/>
      <c r="K27" s="97" t="str">
        <f ca="1">IF(J27="","Date",IF(J27&lt;&gt;"",IF(K27="Date",NOW(),K27),""))</f>
        <v>Date</v>
      </c>
      <c r="L27" s="84"/>
    </row>
    <row r="28" spans="1:12">
      <c r="A28" s="19">
        <v>900204037</v>
      </c>
      <c r="B28" s="96">
        <v>44812</v>
      </c>
      <c r="C28" s="19" t="str">
        <f>IF(ISBLANK(A28),"Name",IF(ISNA(VLOOKUP(A28,'Master List'!A:C,2,FALSE)), "Not Found", VLOOKUP(A28,'Master List'!A:C,2,FALSE)))</f>
        <v>Carolyn Gencarella</v>
      </c>
      <c r="D28" s="19" t="str">
        <f>IF(ISBLANK(A28), "Email",IF(ISNA(VLOOKUP(A28,'Master List'!A:C,3,FALSE)), "Not Found", VLOOKUP(A28,'Master List'!A:C,3,FALSE)))</f>
        <v>gencarellac@sfsu.edu</v>
      </c>
      <c r="E28" s="19" t="s">
        <v>16</v>
      </c>
      <c r="F28" s="4" t="str">
        <f>IF(OR(A28="",E28="","",A28="?",E28="?"),"duplicate?",IF(COUNTIFS($A:A,A28,E:E,E28)&gt;1,"yes","no"))</f>
        <v>no</v>
      </c>
      <c r="G28" s="92" t="s">
        <v>22</v>
      </c>
      <c r="H28" s="57">
        <v>45282</v>
      </c>
      <c r="I28" s="19"/>
      <c r="J28" s="107"/>
      <c r="K28" s="97" t="str">
        <f ca="1">IF(J28="","Date",IF(J28&lt;&gt;"",IF(K28="Date",NOW(),K28),""))</f>
        <v>Date</v>
      </c>
      <c r="L28" s="84"/>
    </row>
    <row r="29" spans="1:12">
      <c r="A29" s="19">
        <v>909819539</v>
      </c>
      <c r="B29" s="96">
        <v>44816</v>
      </c>
      <c r="C29" s="19" t="str">
        <f>IF(ISBLANK(A29),"Name",IF(ISNA(VLOOKUP(A29,'Master List'!A:C,2,FALSE)), "Not Found", VLOOKUP(A29,'Master List'!A:C,2,FALSE)))</f>
        <v>Nicholas Torres</v>
      </c>
      <c r="D29" s="19" t="str">
        <f>IF(ISBLANK(A29), "Email",IF(ISNA(VLOOKUP(A29,'Master List'!A:C,3,FALSE)), "Not Found", VLOOKUP(A29,'Master List'!A:C,3,FALSE)))</f>
        <v>ntorres3@mail.sfsu.edu</v>
      </c>
      <c r="E29" s="19" t="s">
        <v>17</v>
      </c>
      <c r="F29" s="4" t="str">
        <f>IF(OR(A29="",E29="","",A29="?",E29="?"),"duplicate?",IF(COUNTIFS($A:A,A29,E:E,E29)&gt;1,"yes","no"))</f>
        <v>no</v>
      </c>
      <c r="G29" s="92" t="s">
        <v>22</v>
      </c>
      <c r="H29" s="57">
        <v>45282</v>
      </c>
      <c r="I29" s="19"/>
      <c r="J29" s="107"/>
      <c r="K29" s="97" t="str">
        <f ca="1">IF(J29="","Date",IF(J29&lt;&gt;"",IF(K29="Date",NOW(),K29),""))</f>
        <v>Date</v>
      </c>
      <c r="L29" s="84"/>
    </row>
    <row r="30" spans="1:12">
      <c r="A30" s="19">
        <v>907603858</v>
      </c>
      <c r="B30" s="96">
        <v>44817</v>
      </c>
      <c r="C30" s="19" t="str">
        <f>IF(ISBLANK(A30),"Name",IF(ISNA(VLOOKUP(A30,'Master List'!A:C,2,FALSE)), "Not Found", VLOOKUP(A30,'Master List'!A:C,2,FALSE)))</f>
        <v>Jason Harris-Boundy</v>
      </c>
      <c r="D30" s="19" t="str">
        <f>IF(ISBLANK(A30), "Email",IF(ISNA(VLOOKUP(A30,'Master List'!A:C,3,FALSE)), "Not Found", VLOOKUP(A30,'Master List'!A:C,3,FALSE)))</f>
        <v>jchb@sfsu.edu</v>
      </c>
      <c r="E30" s="19" t="s">
        <v>19</v>
      </c>
      <c r="F30" s="4" t="str">
        <f>IF(OR(A30="",E30="","",A30="?",E30="?"),"duplicate?",IF(COUNTIFS($A:A,A30,E:E,E30)&gt;1,"yes","no"))</f>
        <v>no</v>
      </c>
      <c r="G30" s="92" t="s">
        <v>22</v>
      </c>
      <c r="H30" s="57">
        <v>45282</v>
      </c>
      <c r="I30" s="19"/>
      <c r="J30" s="107"/>
      <c r="K30" s="97" t="str">
        <f ca="1">IF(J30="","Date",IF(J30&lt;&gt;"",IF(K30="Date",NOW(),K30),""))</f>
        <v>Date</v>
      </c>
      <c r="L30" s="84"/>
    </row>
    <row r="31" spans="1:12">
      <c r="A31" s="19">
        <v>909861620</v>
      </c>
      <c r="B31" s="96">
        <v>44817</v>
      </c>
      <c r="C31" s="19" t="str">
        <f>IF(ISBLANK(A31),"Name",IF(ISNA(VLOOKUP(A31,'Master List'!A:C,2,FALSE)), "Not Found", VLOOKUP(A31,'Master List'!A:C,2,FALSE)))</f>
        <v>Kwong-Liem Kwan</v>
      </c>
      <c r="D31" s="19" t="str">
        <f>IF(ISBLANK(A31), "Email",IF(ISNA(VLOOKUP(A31,'Master List'!A:C,3,FALSE)), "Not Found", VLOOKUP(A31,'Master List'!A:C,3,FALSE)))</f>
        <v>kwan@sfsu.edu</v>
      </c>
      <c r="E31" s="19" t="s">
        <v>19</v>
      </c>
      <c r="F31" s="4" t="str">
        <f>IF(OR(A31="",E31="","",A31="?",E31="?"),"duplicate?",IF(COUNTIFS($A:A,A31,E:E,E31)&gt;1,"yes","no"))</f>
        <v>yes</v>
      </c>
      <c r="G31" s="92"/>
      <c r="H31" s="57">
        <v>45282</v>
      </c>
      <c r="I31" s="19"/>
      <c r="J31" s="107"/>
      <c r="K31" s="97" t="str">
        <f ca="1">IF(J31="","Date",IF(J31&lt;&gt;"",IF(K31="Date",NOW(),K31),""))</f>
        <v>Date</v>
      </c>
      <c r="L31" s="84"/>
    </row>
    <row r="32" spans="1:12">
      <c r="A32" s="19">
        <v>918836274</v>
      </c>
      <c r="B32" s="96">
        <v>44818</v>
      </c>
      <c r="C32" s="19" t="str">
        <f>IF(ISBLANK(A32),"Name",IF(ISNA(VLOOKUP(A32,'Master List'!A:C,2,FALSE)), "Not Found", VLOOKUP(A32,'Master List'!A:C,2,FALSE)))</f>
        <v>Caroline Casper</v>
      </c>
      <c r="D32" s="19" t="str">
        <f>IF(ISBLANK(A32), "Email",IF(ISNA(VLOOKUP(A32,'Master List'!A:C,3,FALSE)), "Not Found", VLOOKUP(A32,'Master List'!A:C,3,FALSE)))</f>
        <v>ccasper@sfsu.edu</v>
      </c>
      <c r="E32" s="19" t="s">
        <v>19</v>
      </c>
      <c r="F32" s="4" t="str">
        <f>IF(OR(A32="",E32="","",A32="?",E32="?"),"duplicate?",IF(COUNTIFS($A:A,A32,E:E,E32)&gt;1,"yes","no"))</f>
        <v>yes</v>
      </c>
      <c r="G32" s="92" t="s">
        <v>22</v>
      </c>
      <c r="H32" s="57">
        <v>45282</v>
      </c>
      <c r="I32" s="19"/>
      <c r="J32" s="107"/>
      <c r="K32" s="97" t="str">
        <f ca="1">IF(J32="","Date",IF(J32&lt;&gt;"",IF(K32="Date",NOW(),K32),""))</f>
        <v>Date</v>
      </c>
      <c r="L32" s="84"/>
    </row>
    <row r="33" spans="1:12">
      <c r="A33" s="19">
        <v>911369841</v>
      </c>
      <c r="B33" s="96">
        <v>44818</v>
      </c>
      <c r="C33" s="19" t="str">
        <f>IF(ISBLANK(A33),"Name",IF(ISNA(VLOOKUP(A33,'Master List'!A:C,2,FALSE)), "Not Found", VLOOKUP(A33,'Master List'!A:C,2,FALSE)))</f>
        <v>Aiko Yoshino</v>
      </c>
      <c r="D33" s="19" t="str">
        <f>IF(ISBLANK(A33), "Email",IF(ISNA(VLOOKUP(A33,'Master List'!A:C,3,FALSE)), "Not Found", VLOOKUP(A33,'Master List'!A:C,3,FALSE)))</f>
        <v>ayoshino@sfsu.edu</v>
      </c>
      <c r="E33" s="19" t="s">
        <v>19</v>
      </c>
      <c r="F33" s="4" t="str">
        <f>IF(OR(A33="",E33="","",A33="?",E33="?"),"duplicate?",IF(COUNTIFS($A:A,A33,E:E,E33)&gt;1,"yes","no"))</f>
        <v>yes</v>
      </c>
      <c r="G33" s="92" t="s">
        <v>22</v>
      </c>
      <c r="H33" s="57">
        <v>45282</v>
      </c>
      <c r="I33" s="19"/>
      <c r="J33" s="107"/>
      <c r="K33" s="97" t="str">
        <f ca="1">IF(J33="","Date",IF(J33&lt;&gt;"",IF(K33="Date",NOW(),K33),""))</f>
        <v>Date</v>
      </c>
      <c r="L33" s="84"/>
    </row>
    <row r="34" spans="1:12">
      <c r="A34" s="19">
        <v>918834168</v>
      </c>
      <c r="B34" s="96">
        <v>44818</v>
      </c>
      <c r="C34" s="19" t="str">
        <f>IF(ISBLANK(A34),"Name",IF(ISNA(VLOOKUP(A34,'Master List'!A:C,2,FALSE)), "Not Found", VLOOKUP(A34,'Master List'!A:C,2,FALSE)))</f>
        <v>Jingyi Wang</v>
      </c>
      <c r="D34" s="19" t="str">
        <f>IF(ISBLANK(A34), "Email",IF(ISNA(VLOOKUP(A34,'Master List'!A:C,3,FALSE)), "Not Found", VLOOKUP(A34,'Master List'!A:C,3,FALSE)))</f>
        <v>jingyiwang@sfsu.edu</v>
      </c>
      <c r="E34" s="19" t="s">
        <v>19</v>
      </c>
      <c r="F34" s="4" t="str">
        <f>IF(OR(A34="",E34="","",A34="?",E34="?"),"duplicate?",IF(COUNTIFS($A:A,A34,E:E,E34)&gt;1,"yes","no"))</f>
        <v>no</v>
      </c>
      <c r="G34" s="92" t="s">
        <v>22</v>
      </c>
      <c r="H34" s="57">
        <v>45282</v>
      </c>
      <c r="I34" s="19"/>
      <c r="J34" s="107"/>
      <c r="K34" s="97" t="str">
        <f ca="1">IF(J34="","Date",IF(J34&lt;&gt;"",IF(K34="Date",NOW(),K34),""))</f>
        <v>Date</v>
      </c>
      <c r="L34" s="84"/>
    </row>
    <row r="35" spans="1:12">
      <c r="A35" s="19">
        <v>900029187</v>
      </c>
      <c r="B35" s="96">
        <v>44818</v>
      </c>
      <c r="C35" s="19" t="str">
        <f>IF(ISBLANK(A35),"Name",IF(ISNA(VLOOKUP(A35,'Master List'!A:C,2,FALSE)), "Not Found", VLOOKUP(A35,'Master List'!A:C,2,FALSE)))</f>
        <v>Karen Johnson-Brennan</v>
      </c>
      <c r="D35" s="19" t="str">
        <f>IF(ISBLANK(A35), "Email",IF(ISNA(VLOOKUP(A35,'Master List'!A:C,3,FALSE)), "Not Found", VLOOKUP(A35,'Master List'!A:C,3,FALSE)))</f>
        <v>kcjb@sfsu.edu</v>
      </c>
      <c r="E35" s="19" t="s">
        <v>28</v>
      </c>
      <c r="F35" s="4" t="str">
        <f>IF(OR(A35="",E35="","",A35="?",E35="?"),"duplicate?",IF(COUNTIFS($A:A,A35,E:E,E35)&gt;1,"yes","no"))</f>
        <v>no</v>
      </c>
      <c r="G35" s="92" t="s">
        <v>22</v>
      </c>
      <c r="H35" s="57">
        <v>45282</v>
      </c>
      <c r="I35" s="19"/>
      <c r="J35" s="107"/>
      <c r="K35" s="97" t="str">
        <f ca="1">IF(J35="","Date",IF(J35&lt;&gt;"",IF(K35="Date",NOW(),K35),""))</f>
        <v>Date</v>
      </c>
      <c r="L35" s="84"/>
    </row>
    <row r="36" spans="1:12">
      <c r="A36" s="19">
        <v>900025404</v>
      </c>
      <c r="B36" s="96">
        <v>44819</v>
      </c>
      <c r="C36" s="19" t="str">
        <f>IF(ISBLANK(A36),"Name",IF(ISNA(VLOOKUP(A36,'Master List'!A:C,2,FALSE)), "Not Found", VLOOKUP(A36,'Master List'!A:C,2,FALSE)))</f>
        <v>Bruce Heiman</v>
      </c>
      <c r="D36" s="19" t="str">
        <f>IF(ISBLANK(A36), "Email",IF(ISNA(VLOOKUP(A36,'Master List'!A:C,3,FALSE)), "Not Found", VLOOKUP(A36,'Master List'!A:C,3,FALSE)))</f>
        <v>bheiman@sfsu.edu</v>
      </c>
      <c r="E36" s="19" t="s">
        <v>24</v>
      </c>
      <c r="F36" s="4" t="str">
        <f>IF(OR(A36="",E36="","",A36="?",E36="?"),"duplicate?",IF(COUNTIFS($A:A,A36,E:E,E36)&gt;1,"yes","no"))</f>
        <v>no</v>
      </c>
      <c r="G36" s="92" t="s">
        <v>15</v>
      </c>
      <c r="H36" s="57">
        <v>45282</v>
      </c>
      <c r="I36" s="19"/>
      <c r="J36" s="107"/>
      <c r="K36" s="97" t="str">
        <f ca="1">IF(J36="","Date",IF(J36&lt;&gt;"",IF(K36="Date",NOW(),K36),""))</f>
        <v>Date</v>
      </c>
      <c r="L36" s="84"/>
    </row>
    <row r="37" spans="1:12">
      <c r="A37" s="19">
        <v>906207684</v>
      </c>
      <c r="B37" s="96">
        <v>44819</v>
      </c>
      <c r="C37" s="19" t="str">
        <f>IF(ISBLANK(A37),"Name",IF(ISNA(VLOOKUP(A37,'Master List'!A:C,2,FALSE)), "Not Found", VLOOKUP(A37,'Master List'!A:C,2,FALSE)))</f>
        <v>Mark Shrayber</v>
      </c>
      <c r="D37" s="19" t="str">
        <f>IF(ISBLANK(A37), "Email",IF(ISNA(VLOOKUP(A37,'Master List'!A:C,3,FALSE)), "Not Found", VLOOKUP(A37,'Master List'!A:C,3,FALSE)))</f>
        <v>mshraybe@sfsu.edu</v>
      </c>
      <c r="E37" s="19" t="s">
        <v>19</v>
      </c>
      <c r="F37" s="4" t="str">
        <f>IF(OR(A37="",E37="","",A37="?",E37="?"),"duplicate?",IF(COUNTIFS($A:A,A37,E:E,E37)&gt;1,"yes","no"))</f>
        <v>no</v>
      </c>
      <c r="G37" s="92" t="s">
        <v>22</v>
      </c>
      <c r="H37" s="57">
        <v>45282</v>
      </c>
      <c r="I37" s="19"/>
      <c r="J37" s="107"/>
      <c r="K37" s="97" t="str">
        <f ca="1">IF(J37="","Date",IF(J37&lt;&gt;"",IF(K37="Date",NOW(),K37),""))</f>
        <v>Date</v>
      </c>
      <c r="L37" s="84"/>
    </row>
    <row r="38" spans="1:12">
      <c r="A38" s="19">
        <v>922404701</v>
      </c>
      <c r="B38" s="96">
        <v>44823</v>
      </c>
      <c r="C38" s="19" t="str">
        <f>IF(ISBLANK(A38),"Name",IF(ISNA(VLOOKUP(A38,'Master List'!A:C,2,FALSE)), "Not Found", VLOOKUP(A38,'Master List'!A:C,2,FALSE)))</f>
        <v>Anudeep Katukojwala</v>
      </c>
      <c r="D38" s="19" t="str">
        <f>IF(ISBLANK(A38), "Email",IF(ISNA(VLOOKUP(A38,'Master List'!A:C,3,FALSE)), "Not Found", VLOOKUP(A38,'Master List'!A:C,3,FALSE)))</f>
        <v>akatukojwala@sfsu.edu</v>
      </c>
      <c r="E38" s="19" t="s">
        <v>29</v>
      </c>
      <c r="F38" s="4" t="str">
        <f>IF(OR(A38="",E38="","",A38="?",E38="?"),"duplicate?",IF(COUNTIFS($A:A,A38,E:E,E38)&gt;1,"yes","no"))</f>
        <v>no</v>
      </c>
      <c r="G38" s="92" t="s">
        <v>22</v>
      </c>
      <c r="H38" s="57">
        <v>45282</v>
      </c>
      <c r="I38" s="19"/>
      <c r="J38" s="107"/>
      <c r="K38" s="97" t="str">
        <f ca="1">IF(J38="","Date",IF(J38&lt;&gt;"",IF(K38="Date",NOW(),K38),""))</f>
        <v>Date</v>
      </c>
      <c r="L38" s="84"/>
    </row>
    <row r="39" spans="1:12">
      <c r="A39" s="19">
        <v>900018007</v>
      </c>
      <c r="B39" s="96">
        <v>44823</v>
      </c>
      <c r="C39" s="19" t="str">
        <f>IF(ISBLANK(A39),"Name",IF(ISNA(VLOOKUP(A39,'Master List'!A:C,2,FALSE)), "Not Found", VLOOKUP(A39,'Master List'!A:C,2,FALSE)))</f>
        <v>Deborah Miller</v>
      </c>
      <c r="D39" s="19" t="str">
        <f>IF(ISBLANK(A39), "Email",IF(ISNA(VLOOKUP(A39,'Master List'!A:C,3,FALSE)), "Not Found", VLOOKUP(A39,'Master List'!A:C,3,FALSE)))</f>
        <v>debbiem@sfsu.edu</v>
      </c>
      <c r="E39" s="19" t="s">
        <v>25</v>
      </c>
      <c r="F39" s="4" t="str">
        <f>IF(OR(A39="",E39="","",A39="?",E39="?"),"duplicate?",IF(COUNTIFS($A:A,A39,E:E,E39)&gt;1,"yes","no"))</f>
        <v>no</v>
      </c>
      <c r="G39" s="92" t="s">
        <v>15</v>
      </c>
      <c r="H39" s="57">
        <v>45282</v>
      </c>
      <c r="I39" s="19"/>
      <c r="J39" s="107"/>
      <c r="K39" s="97" t="str">
        <f ca="1">IF(J39="","Date",IF(J39&lt;&gt;"",IF(K39="Date",NOW(),K39),""))</f>
        <v>Date</v>
      </c>
      <c r="L39" s="84"/>
    </row>
    <row r="40" spans="1:12">
      <c r="A40" s="19">
        <v>917242331</v>
      </c>
      <c r="B40" s="96">
        <v>44823</v>
      </c>
      <c r="C40" s="19" t="str">
        <f>IF(ISBLANK(A40),"Name",IF(ISNA(VLOOKUP(A40,'Master List'!A:C,2,FALSE)), "Not Found", VLOOKUP(A40,'Master List'!A:C,2,FALSE)))</f>
        <v>Ilana Crispi</v>
      </c>
      <c r="D40" s="19" t="str">
        <f>IF(ISBLANK(A40), "Email",IF(ISNA(VLOOKUP(A40,'Master List'!A:C,3,FALSE)), "Not Found", VLOOKUP(A40,'Master List'!A:C,3,FALSE)))</f>
        <v>icrispi@sfsu.edu</v>
      </c>
      <c r="E40" s="19" t="s">
        <v>30</v>
      </c>
      <c r="F40" s="4" t="str">
        <f>IF(OR(A40="",E40="","",A40="?",E40="?"),"duplicate?",IF(COUNTIFS($A:A,A40,E:E,E40)&gt;1,"yes","no"))</f>
        <v>no</v>
      </c>
      <c r="G40" s="92" t="s">
        <v>15</v>
      </c>
      <c r="H40" s="57">
        <v>45282</v>
      </c>
      <c r="I40" s="19"/>
      <c r="J40" s="107"/>
      <c r="K40" s="97" t="str">
        <f ca="1">IF(J40="","Date",IF(J40&lt;&gt;"",IF(K40="Date",NOW(),K40),""))</f>
        <v>Date</v>
      </c>
      <c r="L40" s="84"/>
    </row>
    <row r="41" spans="1:12">
      <c r="A41" s="19">
        <v>917242331</v>
      </c>
      <c r="B41" s="96">
        <v>44823</v>
      </c>
      <c r="C41" s="19" t="str">
        <f>IF(ISBLANK(A41),"Name",IF(ISNA(VLOOKUP(A41,'Master List'!A:C,2,FALSE)), "Not Found", VLOOKUP(A41,'Master List'!A:C,2,FALSE)))</f>
        <v>Ilana Crispi</v>
      </c>
      <c r="D41" s="19" t="str">
        <f>IF(ISBLANK(A41), "Email",IF(ISNA(VLOOKUP(A41,'Master List'!A:C,3,FALSE)), "Not Found", VLOOKUP(A41,'Master List'!A:C,3,FALSE)))</f>
        <v>icrispi@sfsu.edu</v>
      </c>
      <c r="E41" s="19" t="s">
        <v>31</v>
      </c>
      <c r="F41" s="4" t="str">
        <f>IF(OR(A41="",E41="","",A41="?",E41="?"),"duplicate?",IF(COUNTIFS($A:A,A41,E:E,E41)&gt;1,"yes","no"))</f>
        <v>no</v>
      </c>
      <c r="G41" s="92" t="s">
        <v>15</v>
      </c>
      <c r="H41" s="57">
        <v>45282</v>
      </c>
      <c r="I41" s="19"/>
      <c r="J41" s="107"/>
      <c r="K41" s="97" t="str">
        <f ca="1">IF(J41="","Date",IF(J41&lt;&gt;"",IF(K41="Date",NOW(),K41),""))</f>
        <v>Date</v>
      </c>
      <c r="L41" s="84"/>
    </row>
    <row r="42" spans="1:12">
      <c r="A42" s="19">
        <v>900003304</v>
      </c>
      <c r="B42" s="96">
        <v>44823</v>
      </c>
      <c r="C42" s="19" t="str">
        <f>IF(ISBLANK(A42),"Name",IF(ISNA(VLOOKUP(A42,'Master List'!A:C,2,FALSE)), "Not Found", VLOOKUP(A42,'Master List'!A:C,2,FALSE)))</f>
        <v>Raquel Rivera Pinderhughes</v>
      </c>
      <c r="D42" s="19" t="str">
        <f>IF(ISBLANK(A42), "Email",IF(ISNA(VLOOKUP(A42,'Master List'!A:C,3,FALSE)), "Not Found", VLOOKUP(A42,'Master List'!A:C,3,FALSE)))</f>
        <v>raquelrp@sfsu.edu</v>
      </c>
      <c r="E42" s="19" t="s">
        <v>19</v>
      </c>
      <c r="F42" s="4" t="str">
        <f>IF(OR(A42="",E42="","",A42="?",E42="?"),"duplicate?",IF(COUNTIFS($A:A,A42,E:E,E42)&gt;1,"yes","no"))</f>
        <v>no</v>
      </c>
      <c r="G42" s="92" t="s">
        <v>22</v>
      </c>
      <c r="H42" s="57">
        <v>45282</v>
      </c>
      <c r="I42" s="19"/>
      <c r="J42" s="107"/>
      <c r="K42" s="97" t="str">
        <f ca="1">IF(J42="","Date",IF(J42&lt;&gt;"",IF(K42="Date",NOW(),K42),""))</f>
        <v>Date</v>
      </c>
      <c r="L42" s="84"/>
    </row>
    <row r="43" spans="1:12">
      <c r="A43" s="19">
        <v>900011962</v>
      </c>
      <c r="B43" s="96">
        <v>44824</v>
      </c>
      <c r="C43" s="19" t="str">
        <f>IF(ISBLANK(A43),"Name",IF(ISNA(VLOOKUP(A43,'Master List'!A:C,2,FALSE)), "Not Found", VLOOKUP(A43,'Master List'!A:C,2,FALSE)))</f>
        <v>Alexander Schuster</v>
      </c>
      <c r="D43" s="19" t="str">
        <f>IF(ISBLANK(A43), "Email",IF(ISNA(VLOOKUP(A43,'Master List'!A:C,3,FALSE)), "Not Found", VLOOKUP(A43,'Master List'!A:C,3,FALSE)))</f>
        <v>schuster@sfsu.edu</v>
      </c>
      <c r="E43" s="19" t="s">
        <v>19</v>
      </c>
      <c r="F43" s="4" t="str">
        <f>IF(OR(A43="",E43="","",A43="?",E43="?"),"duplicate?",IF(COUNTIFS($A:A,A43,E:E,E43)&gt;1,"yes","no"))</f>
        <v>no</v>
      </c>
      <c r="G43" s="92" t="s">
        <v>22</v>
      </c>
      <c r="H43" s="57">
        <v>45282</v>
      </c>
      <c r="I43" s="19"/>
      <c r="J43" s="107"/>
      <c r="K43" s="97" t="str">
        <f ca="1">IF(J43="","Date",IF(J43&lt;&gt;"",IF(K43="Date",NOW(),K43),""))</f>
        <v>Date</v>
      </c>
      <c r="L43" s="84"/>
    </row>
    <row r="44" spans="1:12">
      <c r="A44" s="19">
        <v>917242435</v>
      </c>
      <c r="B44" s="96">
        <v>44824</v>
      </c>
      <c r="C44" s="19" t="str">
        <f>IF(ISBLANK(A44),"Name",IF(ISNA(VLOOKUP(A44,'Master List'!A:C,2,FALSE)), "Not Found", VLOOKUP(A44,'Master List'!A:C,2,FALSE)))</f>
        <v>Susanna Jones</v>
      </c>
      <c r="D44" s="19" t="str">
        <f>IF(ISBLANK(A44), "Email",IF(ISNA(VLOOKUP(A44,'Master List'!A:C,3,FALSE)), "Not Found", VLOOKUP(A44,'Master List'!A:C,3,FALSE)))</f>
        <v>susjones@sfsu.edu</v>
      </c>
      <c r="E44" s="19" t="s">
        <v>19</v>
      </c>
      <c r="F44" s="4" t="str">
        <f>IF(OR(A44="",E44="","",A44="?",E44="?"),"duplicate?",IF(COUNTIFS($A:A,A44,E:E,E44)&gt;1,"yes","no"))</f>
        <v>no</v>
      </c>
      <c r="G44" s="92" t="s">
        <v>22</v>
      </c>
      <c r="H44" s="57">
        <v>45282</v>
      </c>
      <c r="I44" s="19"/>
      <c r="J44" s="107"/>
      <c r="K44" s="97" t="str">
        <f ca="1">IF(J44="","Date",IF(J44&lt;&gt;"",IF(K44="Date",NOW(),K44),""))</f>
        <v>Date</v>
      </c>
      <c r="L44" s="84"/>
    </row>
    <row r="45" spans="1:12">
      <c r="A45" s="19">
        <v>904343380</v>
      </c>
      <c r="B45" s="96">
        <v>44825</v>
      </c>
      <c r="C45" s="19" t="str">
        <f>IF(ISBLANK(A45),"Name",IF(ISNA(VLOOKUP(A45,'Master List'!A:C,2,FALSE)), "Not Found", VLOOKUP(A45,'Master List'!A:C,2,FALSE)))</f>
        <v>Cynthia Martinez</v>
      </c>
      <c r="D45" s="19" t="str">
        <f>IF(ISBLANK(A45), "Email",IF(ISNA(VLOOKUP(A45,'Master List'!A:C,3,FALSE)), "Not Found", VLOOKUP(A45,'Master List'!A:C,3,FALSE)))</f>
        <v>cmartinez42@sfsu.edu</v>
      </c>
      <c r="E45" s="19" t="s">
        <v>19</v>
      </c>
      <c r="F45" s="4" t="str">
        <f>IF(OR(A45="",E45="","",A45="?",E45="?"),"duplicate?",IF(COUNTIFS($A:A,A45,E:E,E45)&gt;1,"yes","no"))</f>
        <v>yes</v>
      </c>
      <c r="G45" s="92"/>
      <c r="H45" s="57">
        <v>45282</v>
      </c>
      <c r="I45" s="19"/>
      <c r="J45" s="107"/>
      <c r="K45" s="97" t="str">
        <f ca="1">IF(J45="","Date",IF(J45&lt;&gt;"",IF(K45="Date",NOW(),K45),""))</f>
        <v>Date</v>
      </c>
      <c r="L45" s="84"/>
    </row>
    <row r="46" spans="1:12">
      <c r="A46" s="19">
        <v>910600371</v>
      </c>
      <c r="B46" s="96">
        <v>44830</v>
      </c>
      <c r="C46" s="19" t="str">
        <f>IF(ISBLANK(A46),"Name",IF(ISNA(VLOOKUP(A46,'Master List'!A:C,2,FALSE)), "Not Found", VLOOKUP(A46,'Master List'!A:C,2,FALSE)))</f>
        <v>Charles Postel</v>
      </c>
      <c r="D46" s="19" t="str">
        <f>IF(ISBLANK(A46), "Email",IF(ISNA(VLOOKUP(A46,'Master List'!A:C,3,FALSE)), "Not Found", VLOOKUP(A46,'Master List'!A:C,3,FALSE)))</f>
        <v>postel@sfsu.edu</v>
      </c>
      <c r="E46" s="19" t="s">
        <v>32</v>
      </c>
      <c r="F46" s="4" t="str">
        <f>IF(OR(A46="",E46="","",A46="?",E46="?"),"duplicate?",IF(COUNTIFS($A:A,A46,E:E,E46)&gt;1,"yes","no"))</f>
        <v>no</v>
      </c>
      <c r="G46" s="92"/>
      <c r="H46" s="57">
        <v>45282</v>
      </c>
      <c r="I46" s="19"/>
      <c r="J46" s="107"/>
      <c r="K46" s="97" t="str">
        <f ca="1">IF(J46="","Date",IF(J46&lt;&gt;"",IF(K46="Date",NOW(),K46),""))</f>
        <v>Date</v>
      </c>
      <c r="L46" s="84"/>
    </row>
    <row r="47" spans="1:12">
      <c r="A47" s="19">
        <v>910660652</v>
      </c>
      <c r="B47" s="96">
        <v>44830</v>
      </c>
      <c r="C47" s="19" t="str">
        <f>IF(ISBLANK(A47),"Name",IF(ISNA(VLOOKUP(A47,'Master List'!A:C,2,FALSE)), "Not Found", VLOOKUP(A47,'Master List'!A:C,2,FALSE)))</f>
        <v>Chelsea Mcnutt</v>
      </c>
      <c r="D47" s="19" t="str">
        <f>IF(ISBLANK(A47), "Email",IF(ISNA(VLOOKUP(A47,'Master List'!A:C,3,FALSE)), "Not Found", VLOOKUP(A47,'Master List'!A:C,3,FALSE)))</f>
        <v>cmcnutt@sfsu.edu</v>
      </c>
      <c r="E47" s="19" t="s">
        <v>30</v>
      </c>
      <c r="F47" s="4" t="str">
        <f>IF(OR(A47="",E47="","",A47="?",E47="?"),"duplicate?",IF(COUNTIFS($A:A,A47,E:E,E47)&gt;1,"yes","no"))</f>
        <v>no</v>
      </c>
      <c r="G47" s="92"/>
      <c r="H47" s="57">
        <v>45195</v>
      </c>
      <c r="I47" s="19"/>
      <c r="J47" s="107"/>
      <c r="K47" s="97" t="str">
        <f ca="1">IF(J47="","Date",IF(J47&lt;&gt;"",IF(K47="Date",NOW(),K47),""))</f>
        <v>Date</v>
      </c>
      <c r="L47" s="84"/>
    </row>
    <row r="48" spans="1:12">
      <c r="A48" s="19">
        <v>913032515</v>
      </c>
      <c r="B48" s="96">
        <v>44830</v>
      </c>
      <c r="C48" s="19" t="str">
        <f>IF(ISBLANK(A48),"Name",IF(ISNA(VLOOKUP(A48,'Master List'!A:C,2,FALSE)), "Not Found", VLOOKUP(A48,'Master List'!A:C,2,FALSE)))</f>
        <v xml:space="preserve">Marisa Gymson </v>
      </c>
      <c r="D48" s="19" t="str">
        <f>IF(ISBLANK(A48), "Email",IF(ISNA(VLOOKUP(A48,'Master List'!A:C,3,FALSE)), "Not Found", VLOOKUP(A48,'Master List'!A:C,3,FALSE)))</f>
        <v>mjimison@sfsu.edu</v>
      </c>
      <c r="E48" s="19" t="s">
        <v>19</v>
      </c>
      <c r="F48" s="4" t="str">
        <f>IF(OR(A48="",E48="","",A48="?",E48="?"),"duplicate?",IF(COUNTIFS($A:A,A48,E:E,E48)&gt;1,"yes","no"))</f>
        <v>no</v>
      </c>
      <c r="G48" s="92"/>
      <c r="H48" s="57">
        <v>45282</v>
      </c>
      <c r="I48" s="19"/>
      <c r="J48" s="107"/>
      <c r="K48" s="97" t="str">
        <f ca="1">IF(J48="","Date",IF(J48&lt;&gt;"",IF(K48="Date",NOW(),K48),""))</f>
        <v>Date</v>
      </c>
      <c r="L48" s="84"/>
    </row>
    <row r="49" spans="1:12">
      <c r="A49" s="19">
        <v>903505439</v>
      </c>
      <c r="B49" s="96">
        <v>44830</v>
      </c>
      <c r="C49" s="19" t="str">
        <f>IF(ISBLANK(A49),"Name",IF(ISNA(VLOOKUP(A49,'Master List'!A:C,2,FALSE)), "Not Found", VLOOKUP(A49,'Master List'!A:C,2,FALSE)))</f>
        <v>Omar Kudsi</v>
      </c>
      <c r="D49" s="19" t="str">
        <f>IF(ISBLANK(A49), "Email",IF(ISNA(VLOOKUP(A49,'Master List'!A:C,3,FALSE)), "Not Found", VLOOKUP(A49,'Master List'!A:C,3,FALSE)))</f>
        <v>kudsi@sfsu.edu</v>
      </c>
      <c r="E49" s="19" t="s">
        <v>33</v>
      </c>
      <c r="F49" s="4" t="str">
        <f>IF(OR(A49="",E49="","",A49="?",E49="?"),"duplicate?",IF(COUNTIFS($A:A,A49,E:E,E49)&gt;1,"yes","no"))</f>
        <v>no</v>
      </c>
      <c r="G49" s="92" t="s">
        <v>34</v>
      </c>
      <c r="H49" s="57">
        <v>45282</v>
      </c>
      <c r="I49" s="19"/>
      <c r="J49" s="107"/>
      <c r="K49" s="97" t="str">
        <f ca="1">IF(J49="","Date",IF(J49&lt;&gt;"",IF(K49="Date",NOW(),K49),""))</f>
        <v>Date</v>
      </c>
      <c r="L49" s="84"/>
    </row>
    <row r="50" spans="1:12">
      <c r="A50" s="19">
        <v>904849457</v>
      </c>
      <c r="B50" s="96">
        <v>44831</v>
      </c>
      <c r="C50" s="19" t="str">
        <f>IF(ISBLANK(A50),"Name",IF(ISNA(VLOOKUP(A50,'Master List'!A:C,2,FALSE)), "Not Found", VLOOKUP(A50,'Master List'!A:C,2,FALSE)))</f>
        <v>aa valdivia</v>
      </c>
      <c r="D50" s="19" t="str">
        <f>IF(ISBLANK(A50), "Email",IF(ISNA(VLOOKUP(A50,'Master List'!A:C,3,FALSE)), "Not Found", VLOOKUP(A50,'Master List'!A:C,3,FALSE)))</f>
        <v>aavaldivia@sfsu.edu</v>
      </c>
      <c r="E50" s="19" t="s">
        <v>19</v>
      </c>
      <c r="F50" s="4" t="str">
        <f>IF(OR(A50="",E50="","",A50="?",E50="?"),"duplicate?",IF(COUNTIFS($A:A,A50,E:E,E50)&gt;1,"yes","no"))</f>
        <v>no</v>
      </c>
      <c r="G50" s="92"/>
      <c r="H50" s="57">
        <v>45282</v>
      </c>
      <c r="I50" s="19"/>
      <c r="J50" s="107"/>
      <c r="K50" s="97" t="str">
        <f ca="1">IF(J50="","Date",IF(J50&lt;&gt;"",IF(K50="Date",NOW(),K50),""))</f>
        <v>Date</v>
      </c>
      <c r="L50" s="84"/>
    </row>
    <row r="51" spans="1:12">
      <c r="A51" s="19">
        <v>918119389</v>
      </c>
      <c r="B51" s="96">
        <v>44831</v>
      </c>
      <c r="C51" s="19" t="str">
        <f>IF(ISBLANK(A51),"Name",IF(ISNA(VLOOKUP(A51,'Master List'!A:C,2,FALSE)), "Not Found", VLOOKUP(A51,'Master List'!A:C,2,FALSE)))</f>
        <v>Katharine Mahalic</v>
      </c>
      <c r="D51" s="19" t="str">
        <f>IF(ISBLANK(A51), "Email",IF(ISNA(VLOOKUP(A51,'Master List'!A:C,3,FALSE)), "Not Found", VLOOKUP(A51,'Master List'!A:C,3,FALSE)))</f>
        <v>kmahalic@sfsu.edu</v>
      </c>
      <c r="E51" s="19" t="s">
        <v>19</v>
      </c>
      <c r="F51" s="4" t="str">
        <f>IF(OR(A51="",E51="","",A51="?",E51="?"),"duplicate?",IF(COUNTIFS($A:A,A51,E:E,E51)&gt;1,"yes","no"))</f>
        <v>yes</v>
      </c>
      <c r="G51" s="92"/>
      <c r="H51" s="57">
        <v>45282</v>
      </c>
      <c r="I51" s="19"/>
      <c r="J51" s="107"/>
      <c r="K51" s="97" t="str">
        <f ca="1">IF(J51="","Date",IF(J51&lt;&gt;"",IF(K51="Date",NOW(),K51),""))</f>
        <v>Date</v>
      </c>
      <c r="L51" s="84"/>
    </row>
    <row r="52" spans="1:12">
      <c r="A52" s="19">
        <v>908778356</v>
      </c>
      <c r="B52" s="96">
        <v>44833</v>
      </c>
      <c r="C52" s="19" t="str">
        <f>IF(ISBLANK(A52),"Name",IF(ISNA(VLOOKUP(A52,'Master List'!A:C,2,FALSE)), "Not Found", VLOOKUP(A52,'Master List'!A:C,2,FALSE)))</f>
        <v>Allen Conkle</v>
      </c>
      <c r="D52" s="19" t="str">
        <f>IF(ISBLANK(A52), "Email",IF(ISNA(VLOOKUP(A52,'Master List'!A:C,3,FALSE)), "Not Found", VLOOKUP(A52,'Master List'!A:C,3,FALSE)))</f>
        <v>aconkle@sfsu.edu</v>
      </c>
      <c r="E52" s="19" t="s">
        <v>14</v>
      </c>
      <c r="F52" s="4" t="str">
        <f>IF(OR(A52="",E52="","",A52="?",E52="?"),"duplicate?",IF(COUNTIFS($A:A,A52,E:E,E52)&gt;1,"yes","no"))</f>
        <v>duplicate?</v>
      </c>
      <c r="G52" s="92"/>
      <c r="H52" s="57">
        <v>45282</v>
      </c>
      <c r="I52" s="19"/>
      <c r="J52" s="107"/>
      <c r="K52" s="97" t="str">
        <f ca="1">IF(J52="","Date",IF(J52&lt;&gt;"",IF(K52="Date",NOW(),K52),""))</f>
        <v>Date</v>
      </c>
      <c r="L52" s="84"/>
    </row>
    <row r="53" spans="1:12">
      <c r="A53" s="19">
        <v>916405287</v>
      </c>
      <c r="B53" s="96">
        <v>44833</v>
      </c>
      <c r="C53" s="19" t="str">
        <f>IF(ISBLANK(A53),"Name",IF(ISNA(VLOOKUP(A53,'Master List'!A:C,2,FALSE)), "Not Found", VLOOKUP(A53,'Master List'!A:C,2,FALSE)))</f>
        <v>Christopher Wessels</v>
      </c>
      <c r="D53" s="19" t="str">
        <f>IF(ISBLANK(A53), "Email",IF(ISNA(VLOOKUP(A53,'Master List'!A:C,3,FALSE)), "Not Found", VLOOKUP(A53,'Master List'!A:C,3,FALSE)))</f>
        <v>cwessels@sfsu.edu</v>
      </c>
      <c r="E53" s="19" t="s">
        <v>19</v>
      </c>
      <c r="F53" s="4" t="str">
        <f>IF(OR(A53="",E53="","",A53="?",E53="?"),"duplicate?",IF(COUNTIFS($A:A,A53,E:E,E53)&gt;1,"yes","no"))</f>
        <v>no</v>
      </c>
      <c r="G53" s="92"/>
      <c r="H53" s="57">
        <v>45282</v>
      </c>
      <c r="I53" s="19"/>
      <c r="J53" s="107"/>
      <c r="K53" s="97" t="str">
        <f ca="1">IF(J53="","Date",IF(J53&lt;&gt;"",IF(K53="Date",NOW(),K53),""))</f>
        <v>Date</v>
      </c>
      <c r="L53" s="84"/>
    </row>
    <row r="54" spans="1:12">
      <c r="A54" s="19">
        <v>917924870</v>
      </c>
      <c r="B54" s="96">
        <v>44833</v>
      </c>
      <c r="C54" s="19" t="str">
        <f>IF(ISBLANK(A54),"Name",IF(ISNA(VLOOKUP(A54,'Master List'!A:C,2,FALSE)), "Not Found", VLOOKUP(A54,'Master List'!A:C,2,FALSE)))</f>
        <v>Teresa Pratt</v>
      </c>
      <c r="D54" s="19" t="str">
        <f>IF(ISBLANK(A54), "Email",IF(ISNA(VLOOKUP(A54,'Master List'!A:C,3,FALSE)), "Not Found", VLOOKUP(A54,'Master List'!A:C,3,FALSE)))</f>
        <v>tpratt@sfsu.edu</v>
      </c>
      <c r="E54" s="19" t="s">
        <v>19</v>
      </c>
      <c r="F54" s="4" t="str">
        <f>IF(OR(A54="",E54="","",A54="?",E54="?"),"duplicate?",IF(COUNTIFS($A:A,A54,E:E,E54)&gt;1,"yes","no"))</f>
        <v>yes</v>
      </c>
      <c r="G54" s="92"/>
      <c r="H54" s="57">
        <v>45282</v>
      </c>
      <c r="I54" s="19"/>
      <c r="J54" s="107"/>
      <c r="K54" s="97" t="str">
        <f ca="1">IF(J54="","Date",IF(J54&lt;&gt;"",IF(K54="Date",NOW(),K54),""))</f>
        <v>Date</v>
      </c>
      <c r="L54" s="84"/>
    </row>
    <row r="55" spans="1:12">
      <c r="A55" s="19">
        <v>909169370</v>
      </c>
      <c r="B55" s="96">
        <v>44833</v>
      </c>
      <c r="C55" s="19" t="str">
        <f>IF(ISBLANK(A55),"Name",IF(ISNA(VLOOKUP(A55,'Master List'!A:C,2,FALSE)), "Not Found", VLOOKUP(A55,'Master List'!A:C,2,FALSE)))</f>
        <v>Veronika Papyrina</v>
      </c>
      <c r="D55" s="19" t="str">
        <f>IF(ISBLANK(A55), "Email",IF(ISNA(VLOOKUP(A55,'Master List'!A:C,3,FALSE)), "Not Found", VLOOKUP(A55,'Master List'!A:C,3,FALSE)))</f>
        <v>papyrina@sfsu.edu</v>
      </c>
      <c r="E55" s="19" t="s">
        <v>35</v>
      </c>
      <c r="F55" s="4" t="str">
        <f>IF(OR(A55="",E55="","",A55="?",E55="?"),"duplicate?",IF(COUNTIFS($A:A,A55,E:E,E55)&gt;1,"yes","no"))</f>
        <v>no</v>
      </c>
      <c r="G55" s="92"/>
      <c r="H55" s="57">
        <v>44838</v>
      </c>
      <c r="I55" s="19"/>
      <c r="J55" s="107"/>
      <c r="K55" s="97" t="str">
        <f ca="1">IF(J55="","Date",IF(J55&lt;&gt;"",IF(K55="Date",NOW(),K55),""))</f>
        <v>Date</v>
      </c>
      <c r="L55" s="84"/>
    </row>
    <row r="56" spans="1:12">
      <c r="A56" s="19">
        <v>900049597</v>
      </c>
      <c r="B56" s="96">
        <v>44837</v>
      </c>
      <c r="C56" s="19" t="str">
        <f>IF(ISBLANK(A56),"Name",IF(ISNA(VLOOKUP(A56,'Master List'!A:C,2,FALSE)), "Not Found", VLOOKUP(A56,'Master List'!A:C,2,FALSE)))</f>
        <v>Burcu Ellis</v>
      </c>
      <c r="D56" s="19" t="str">
        <f>IF(ISBLANK(A56), "Email",IF(ISNA(VLOOKUP(A56,'Master List'!A:C,3,FALSE)), "Not Found", VLOOKUP(A56,'Master List'!A:C,3,FALSE)))</f>
        <v>bellis@sfsu.edu</v>
      </c>
      <c r="E56" s="19" t="s">
        <v>36</v>
      </c>
      <c r="F56" s="4" t="str">
        <f>IF(OR(A56="",E56="","",A56="?",E56="?"),"duplicate?",IF(COUNTIFS($A:A,A56,E:E,E56)&gt;1,"yes","no"))</f>
        <v>no</v>
      </c>
      <c r="G56" s="92"/>
      <c r="H56" s="57">
        <v>45282</v>
      </c>
      <c r="I56" s="19"/>
      <c r="J56" s="107"/>
      <c r="K56" s="97" t="str">
        <f ca="1">IF(J56="","Date",IF(J56&lt;&gt;"",IF(K56="Date",NOW(),K56),""))</f>
        <v>Date</v>
      </c>
      <c r="L56" s="84"/>
    </row>
    <row r="57" spans="1:12">
      <c r="A57" s="19">
        <v>911215765</v>
      </c>
      <c r="B57" s="96">
        <v>44837</v>
      </c>
      <c r="C57" s="19" t="str">
        <f>IF(ISBLANK(A57),"Name",IF(ISNA(VLOOKUP(A57,'Master List'!A:C,2,FALSE)), "Not Found", VLOOKUP(A57,'Master List'!A:C,2,FALSE)))</f>
        <v>Mays Danfoura</v>
      </c>
      <c r="D57" s="19" t="str">
        <f>IF(ISBLANK(A57), "Email",IF(ISNA(VLOOKUP(A57,'Master List'!A:C,3,FALSE)), "Not Found", VLOOKUP(A57,'Master List'!A:C,3,FALSE)))</f>
        <v>mdanfura@sfsu.edu</v>
      </c>
      <c r="E57" s="19" t="s">
        <v>19</v>
      </c>
      <c r="F57" s="4" t="str">
        <f>IF(OR(A57="",E57="","",A57="?",E57="?"),"duplicate?",IF(COUNTIFS($A:A,A57,E:E,E57)&gt;1,"yes","no"))</f>
        <v>no</v>
      </c>
      <c r="G57" s="92"/>
      <c r="H57" s="57">
        <v>45282</v>
      </c>
      <c r="I57" s="19"/>
      <c r="J57" s="107"/>
      <c r="K57" s="97" t="str">
        <f ca="1">IF(J57="","Date",IF(J57&lt;&gt;"",IF(K57="Date",NOW(),K57),""))</f>
        <v>Date</v>
      </c>
      <c r="L57" s="84"/>
    </row>
    <row r="58" spans="1:12">
      <c r="A58" s="19">
        <v>918831256</v>
      </c>
      <c r="B58" s="96">
        <v>44837</v>
      </c>
      <c r="C58" s="19" t="str">
        <f>IF(ISBLANK(A58),"Name",IF(ISNA(VLOOKUP(A58,'Master List'!A:C,2,FALSE)), "Not Found", VLOOKUP(A58,'Master List'!A:C,2,FALSE)))</f>
        <v>Michelle Toney</v>
      </c>
      <c r="D58" s="19" t="str">
        <f>IF(ISBLANK(A58), "Email",IF(ISNA(VLOOKUP(A58,'Master List'!A:C,3,FALSE)), "Not Found", VLOOKUP(A58,'Master List'!A:C,3,FALSE)))</f>
        <v>mstoney@sfsu.edu</v>
      </c>
      <c r="E58" s="19" t="s">
        <v>20</v>
      </c>
      <c r="F58" s="4" t="str">
        <f>IF(OR(A58="",E58="","",A58="?",E58="?"),"duplicate?",IF(COUNTIFS($A:A,A58,E:E,E58)&gt;1,"yes","no"))</f>
        <v>no</v>
      </c>
      <c r="G58" s="92"/>
      <c r="H58" s="57">
        <v>45282</v>
      </c>
      <c r="I58" s="19"/>
      <c r="J58" s="107"/>
      <c r="K58" s="97" t="str">
        <f ca="1">IF(J58="","Date",IF(J58&lt;&gt;"",IF(K58="Date",NOW(),K58),""))</f>
        <v>Date</v>
      </c>
      <c r="L58" s="84"/>
    </row>
    <row r="59" spans="1:12">
      <c r="A59" s="19">
        <v>903505439</v>
      </c>
      <c r="B59" s="96">
        <v>44837</v>
      </c>
      <c r="C59" s="19" t="str">
        <f>IF(ISBLANK(A59),"Name",IF(ISNA(VLOOKUP(A59,'Master List'!A:C,2,FALSE)), "Not Found", VLOOKUP(A59,'Master List'!A:C,2,FALSE)))</f>
        <v>Omar Kudsi</v>
      </c>
      <c r="D59" s="19" t="str">
        <f>IF(ISBLANK(A59), "Email",IF(ISNA(VLOOKUP(A59,'Master List'!A:C,3,FALSE)), "Not Found", VLOOKUP(A59,'Master List'!A:C,3,FALSE)))</f>
        <v>kudsi@sfsu.edu</v>
      </c>
      <c r="E59" s="19" t="s">
        <v>19</v>
      </c>
      <c r="F59" s="4" t="str">
        <f>IF(OR(A59="",E59="","",A59="?",E59="?"),"duplicate?",IF(COUNTIFS($A:A,A59,E:E,E59)&gt;1,"yes","no"))</f>
        <v>no</v>
      </c>
      <c r="G59" s="92"/>
      <c r="H59" s="57">
        <v>45282</v>
      </c>
      <c r="I59" s="19"/>
      <c r="J59" s="107"/>
      <c r="K59" s="97" t="str">
        <f ca="1">IF(J59="","Date",IF(J59&lt;&gt;"",IF(K59="Date",NOW(),K59),""))</f>
        <v>Date</v>
      </c>
      <c r="L59" s="84"/>
    </row>
    <row r="60" spans="1:12">
      <c r="A60" s="19">
        <v>918825406</v>
      </c>
      <c r="B60" s="96">
        <v>44838</v>
      </c>
      <c r="C60" s="19" t="str">
        <f>IF(ISBLANK(A60),"Name",IF(ISNA(VLOOKUP(A60,'Master List'!A:C,2,FALSE)), "Not Found", VLOOKUP(A60,'Master List'!A:C,2,FALSE)))</f>
        <v>Chenghao Hu</v>
      </c>
      <c r="D60" s="19" t="str">
        <f>IF(ISBLANK(A60), "Email",IF(ISNA(VLOOKUP(A60,'Master List'!A:C,3,FALSE)), "Not Found", VLOOKUP(A60,'Master List'!A:C,3,FALSE)))</f>
        <v>chhu@sfsu.edu</v>
      </c>
      <c r="E60" s="19" t="s">
        <v>20</v>
      </c>
      <c r="F60" s="4" t="str">
        <f>IF(OR(A60="",E60="","",A60="?",E60="?"),"duplicate?",IF(COUNTIFS($A:A,A60,E:E,E60)&gt;1,"yes","no"))</f>
        <v>no</v>
      </c>
      <c r="G60" s="92"/>
      <c r="H60" s="57">
        <v>45282</v>
      </c>
      <c r="I60" s="19"/>
      <c r="J60" s="107"/>
      <c r="K60" s="97" t="str">
        <f ca="1">IF(J60="","Date",IF(J60&lt;&gt;"",IF(K60="Date",NOW(),K60),""))</f>
        <v>Date</v>
      </c>
      <c r="L60" s="84"/>
    </row>
    <row r="61" spans="1:12">
      <c r="A61" s="19">
        <v>900021790</v>
      </c>
      <c r="B61" s="96">
        <v>44844</v>
      </c>
      <c r="C61" s="19" t="str">
        <f>IF(ISBLANK(A61),"Name",IF(ISNA(VLOOKUP(A61,'Master List'!A:C,2,FALSE)), "Not Found", VLOOKUP(A61,'Master List'!A:C,2,FALSE)))</f>
        <v>Christine Manuguid</v>
      </c>
      <c r="D61" s="19" t="str">
        <f>IF(ISBLANK(A61), "Email",IF(ISNA(VLOOKUP(A61,'Master List'!A:C,3,FALSE)), "Not Found", VLOOKUP(A61,'Master List'!A:C,3,FALSE)))</f>
        <v>cmanu@sfsu.edu</v>
      </c>
      <c r="E61" s="19" t="s">
        <v>36</v>
      </c>
      <c r="F61" s="4" t="str">
        <f>IF(OR(A61="",E61="","",A61="?",E61="?"),"duplicate?",IF(COUNTIFS($A:A,A61,E:E,E61)&gt;1,"yes","no"))</f>
        <v>no</v>
      </c>
      <c r="G61" s="92"/>
      <c r="H61" s="57">
        <v>45282</v>
      </c>
      <c r="I61" s="19"/>
      <c r="J61" s="107"/>
      <c r="K61" s="97" t="str">
        <f ca="1">IF(J61="","Date",IF(J61&lt;&gt;"",IF(K61="Date",NOW(),K61),""))</f>
        <v>Date</v>
      </c>
      <c r="L61" s="84"/>
    </row>
    <row r="62" spans="1:12">
      <c r="A62" s="19">
        <v>900021790</v>
      </c>
      <c r="B62" s="96">
        <v>44844</v>
      </c>
      <c r="C62" s="19" t="str">
        <f>IF(ISBLANK(A62),"Name",IF(ISNA(VLOOKUP(A62,'Master List'!A:C,2,FALSE)), "Not Found", VLOOKUP(A62,'Master List'!A:C,2,FALSE)))</f>
        <v>Christine Manuguid</v>
      </c>
      <c r="D62" s="19" t="str">
        <f>IF(ISBLANK(A62), "Email",IF(ISNA(VLOOKUP(A62,'Master List'!A:C,3,FALSE)), "Not Found", VLOOKUP(A62,'Master List'!A:C,3,FALSE)))</f>
        <v>cmanu@sfsu.edu</v>
      </c>
      <c r="E62" s="19" t="s">
        <v>28</v>
      </c>
      <c r="F62" s="4" t="str">
        <f>IF(OR(A62="",E62="","",A62="?",E62="?"),"duplicate?",IF(COUNTIFS($A:A,A62,E:E,E62)&gt;1,"yes","no"))</f>
        <v>no</v>
      </c>
      <c r="G62" s="92"/>
      <c r="H62" s="57">
        <v>45282</v>
      </c>
      <c r="I62" s="19"/>
      <c r="J62" s="107"/>
      <c r="K62" s="97" t="str">
        <f ca="1">IF(J62="","Date",IF(J62&lt;&gt;"",IF(K62="Date",NOW(),K62),""))</f>
        <v>Date</v>
      </c>
      <c r="L62" s="84"/>
    </row>
    <row r="63" spans="1:12">
      <c r="A63" s="19">
        <v>900021790</v>
      </c>
      <c r="B63" s="96">
        <v>44844</v>
      </c>
      <c r="C63" s="19" t="str">
        <f>IF(ISBLANK(A63),"Name",IF(ISNA(VLOOKUP(A63,'Master List'!A:C,2,FALSE)), "Not Found", VLOOKUP(A63,'Master List'!A:C,2,FALSE)))</f>
        <v>Christine Manuguid</v>
      </c>
      <c r="D63" s="19" t="str">
        <f>IF(ISBLANK(A63), "Email",IF(ISNA(VLOOKUP(A63,'Master List'!A:C,3,FALSE)), "Not Found", VLOOKUP(A63,'Master List'!A:C,3,FALSE)))</f>
        <v>cmanu@sfsu.edu</v>
      </c>
      <c r="E63" s="19" t="s">
        <v>30</v>
      </c>
      <c r="F63" s="4" t="str">
        <f>IF(OR(A63="",E63="","",A63="?",E63="?"),"duplicate?",IF(COUNTIFS($A:A,A63,E:E,E63)&gt;1,"yes","no"))</f>
        <v>no</v>
      </c>
      <c r="G63" s="92"/>
      <c r="H63" s="57">
        <v>45282</v>
      </c>
      <c r="I63" s="19"/>
      <c r="J63" s="107"/>
      <c r="K63" s="97" t="str">
        <f ca="1">IF(J63="","Date",IF(J63&lt;&gt;"",IF(K63="Date",NOW(),K63),""))</f>
        <v>Date</v>
      </c>
      <c r="L63" s="84"/>
    </row>
    <row r="64" spans="1:12">
      <c r="A64" s="19">
        <v>909390175</v>
      </c>
      <c r="B64" s="96">
        <v>44844</v>
      </c>
      <c r="C64" s="19" t="str">
        <f>IF(ISBLANK(A64),"Name",IF(ISNA(VLOOKUP(A64,'Master List'!A:C,2,FALSE)), "Not Found", VLOOKUP(A64,'Master List'!A:C,2,FALSE)))</f>
        <v>Yvette Rico</v>
      </c>
      <c r="D64" s="19" t="str">
        <f>IF(ISBLANK(A64), "Email",IF(ISNA(VLOOKUP(A64,'Master List'!A:C,3,FALSE)), "Not Found", VLOOKUP(A64,'Master List'!A:C,3,FALSE)))</f>
        <v>yrico@sfsu.edu</v>
      </c>
      <c r="E64" s="19" t="s">
        <v>19</v>
      </c>
      <c r="F64" s="4" t="str">
        <f>IF(OR(A64="",E64="","",A64="?",E64="?"),"duplicate?",IF(COUNTIFS($A:A,A64,E:E,E64)&gt;1,"yes","no"))</f>
        <v>no</v>
      </c>
      <c r="G64" s="92"/>
      <c r="H64" s="57">
        <v>45282</v>
      </c>
      <c r="I64" s="19"/>
      <c r="J64" s="107"/>
      <c r="K64" s="97" t="str">
        <f ca="1">IF(J64="","Date",IF(J64&lt;&gt;"",IF(K64="Date",NOW(),K64),""))</f>
        <v>Date</v>
      </c>
      <c r="L64" s="84"/>
    </row>
    <row r="65" spans="1:12">
      <c r="A65" s="19">
        <v>918103113</v>
      </c>
      <c r="B65" s="96">
        <v>44845</v>
      </c>
      <c r="C65" s="19" t="str">
        <f>IF(ISBLANK(A65),"Name",IF(ISNA(VLOOKUP(A65,'Master List'!A:C,2,FALSE)), "Not Found", VLOOKUP(A65,'Master List'!A:C,2,FALSE)))</f>
        <v>Ian Dunham</v>
      </c>
      <c r="D65" s="19" t="str">
        <f>IF(ISBLANK(A65), "Email",IF(ISNA(VLOOKUP(A65,'Master List'!A:C,3,FALSE)), "Not Found", VLOOKUP(A65,'Master List'!A:C,3,FALSE)))</f>
        <v>iandunham@sfsu.edu</v>
      </c>
      <c r="E65" s="19" t="s">
        <v>20</v>
      </c>
      <c r="F65" s="4" t="str">
        <f>IF(OR(A65="",E65="","",A65="?",E65="?"),"duplicate?",IF(COUNTIFS($A:A,A65,E:E,E65)&gt;1,"yes","no"))</f>
        <v>no</v>
      </c>
      <c r="G65" s="92"/>
      <c r="H65" s="57">
        <v>45282</v>
      </c>
      <c r="I65" s="19"/>
      <c r="J65" s="107"/>
      <c r="K65" s="97" t="str">
        <f ca="1">IF(J65="","Date",IF(J65&lt;&gt;"",IF(K65="Date",NOW(),K65),""))</f>
        <v>Date</v>
      </c>
      <c r="L65" s="84"/>
    </row>
    <row r="66" spans="1:12">
      <c r="A66" s="19">
        <v>900016772</v>
      </c>
      <c r="B66" s="96">
        <v>44845</v>
      </c>
      <c r="C66" s="19" t="str">
        <f>IF(ISBLANK(A66),"Name",IF(ISNA(VLOOKUP(A66,'Master List'!A:C,2,FALSE)), "Not Found", VLOOKUP(A66,'Master List'!A:C,2,FALSE)))</f>
        <v>Miriam Smith</v>
      </c>
      <c r="D66" s="19" t="str">
        <f>IF(ISBLANK(A66), "Email",IF(ISNA(VLOOKUP(A66,'Master List'!A:C,3,FALSE)), "Not Found", VLOOKUP(A66,'Master List'!A:C,3,FALSE)))</f>
        <v>miriam@sfsu.edu</v>
      </c>
      <c r="E66" s="19" t="s">
        <v>20</v>
      </c>
      <c r="F66" s="4" t="str">
        <f>IF(OR(A66="",E66="","",A66="?",E66="?"),"duplicate?",IF(COUNTIFS($A:A,A66,E:E,E66)&gt;1,"yes","no"))</f>
        <v>no</v>
      </c>
      <c r="G66" s="92"/>
      <c r="H66" s="57">
        <v>45282</v>
      </c>
      <c r="I66" s="19"/>
      <c r="J66" s="107"/>
      <c r="K66" s="97" t="str">
        <f ca="1">IF(J66="","Date",IF(J66&lt;&gt;"",IF(K66="Date",NOW(),K66),""))</f>
        <v>Date</v>
      </c>
      <c r="L66" s="84"/>
    </row>
    <row r="67" spans="1:12">
      <c r="A67" s="19">
        <v>918834389</v>
      </c>
      <c r="B67" s="96">
        <v>44845</v>
      </c>
      <c r="C67" s="19" t="str">
        <f>IF(ISBLANK(A67),"Name",IF(ISNA(VLOOKUP(A67,'Master List'!A:C,2,FALSE)), "Not Found", VLOOKUP(A67,'Master List'!A:C,2,FALSE)))</f>
        <v>Ponipate Rokolekutu</v>
      </c>
      <c r="D67" s="19" t="str">
        <f>IF(ISBLANK(A67), "Email",IF(ISNA(VLOOKUP(A67,'Master List'!A:C,3,FALSE)), "Not Found", VLOOKUP(A67,'Master List'!A:C,3,FALSE)))</f>
        <v>prokolekutu@sfsu.edu</v>
      </c>
      <c r="E67" s="19" t="s">
        <v>19</v>
      </c>
      <c r="F67" s="4" t="str">
        <f>IF(OR(A67="",E67="","",A67="?",E67="?"),"duplicate?",IF(COUNTIFS($A:A,A67,E:E,E67)&gt;1,"yes","no"))</f>
        <v>yes</v>
      </c>
      <c r="G67" s="92"/>
      <c r="H67" s="57">
        <v>45282</v>
      </c>
      <c r="I67" s="19"/>
      <c r="J67" s="107"/>
      <c r="K67" s="97" t="str">
        <f ca="1">IF(J67="","Date",IF(J67&lt;&gt;"",IF(K67="Date",NOW(),K67),""))</f>
        <v>Date</v>
      </c>
      <c r="L67" s="84"/>
    </row>
    <row r="68" spans="1:12">
      <c r="A68" s="19">
        <v>900016499</v>
      </c>
      <c r="B68" s="96">
        <v>44845</v>
      </c>
      <c r="C68" s="19" t="str">
        <f>IF(ISBLANK(A68),"Name",IF(ISNA(VLOOKUP(A68,'Master List'!A:C,2,FALSE)), "Not Found", VLOOKUP(A68,'Master List'!A:C,2,FALSE)))</f>
        <v>Teresa Carrillo</v>
      </c>
      <c r="D68" s="19" t="str">
        <f>IF(ISBLANK(A68), "Email",IF(ISNA(VLOOKUP(A68,'Master List'!A:C,3,FALSE)), "Not Found", VLOOKUP(A68,'Master List'!A:C,3,FALSE)))</f>
        <v>tisa@sfsu.edu</v>
      </c>
      <c r="E68" s="19" t="s">
        <v>31</v>
      </c>
      <c r="F68" s="4" t="str">
        <f>IF(OR(A68="",E68="","",A68="?",E68="?"),"duplicate?",IF(COUNTIFS($A:A,A68,E:E,E68)&gt;1,"yes","no"))</f>
        <v>no</v>
      </c>
      <c r="G68" s="92"/>
      <c r="H68" s="57">
        <v>45282</v>
      </c>
      <c r="I68" s="19"/>
      <c r="J68" s="107"/>
      <c r="K68" s="97" t="str">
        <f ca="1">IF(J68="","Date",IF(J68&lt;&gt;"",IF(K68="Date",NOW(),K68),""))</f>
        <v>Date</v>
      </c>
      <c r="L68" s="84"/>
    </row>
    <row r="69" spans="1:12">
      <c r="A69" s="19">
        <v>900016499</v>
      </c>
      <c r="B69" s="96">
        <v>44845</v>
      </c>
      <c r="C69" s="19" t="str">
        <f>IF(ISBLANK(A69),"Name",IF(ISNA(VLOOKUP(A69,'Master List'!A:C,2,FALSE)), "Not Found", VLOOKUP(A69,'Master List'!A:C,2,FALSE)))</f>
        <v>Teresa Carrillo</v>
      </c>
      <c r="D69" s="19" t="str">
        <f>IF(ISBLANK(A69), "Email",IF(ISNA(VLOOKUP(A69,'Master List'!A:C,3,FALSE)), "Not Found", VLOOKUP(A69,'Master List'!A:C,3,FALSE)))</f>
        <v>tisa@sfsu.edu</v>
      </c>
      <c r="E69" s="19" t="s">
        <v>20</v>
      </c>
      <c r="F69" s="4" t="str">
        <f>IF(OR(A69="",E69="","",A69="?",E69="?"),"duplicate?",IF(COUNTIFS($A:A,A69,E:E,E69)&gt;1,"yes","no"))</f>
        <v>no</v>
      </c>
      <c r="G69" s="92"/>
      <c r="H69" s="57">
        <v>45282</v>
      </c>
      <c r="I69" s="19"/>
      <c r="J69" s="107"/>
      <c r="K69" s="97" t="str">
        <f ca="1">IF(J69="","Date",IF(J69&lt;&gt;"",IF(K69="Date",NOW(),K69),""))</f>
        <v>Date</v>
      </c>
      <c r="L69" s="84"/>
    </row>
    <row r="70" spans="1:12">
      <c r="A70" s="19">
        <v>900032099</v>
      </c>
      <c r="B70" s="96">
        <v>44847</v>
      </c>
      <c r="C70" s="19" t="str">
        <f>IF(ISBLANK(A70),"Name",IF(ISNA(VLOOKUP(A70,'Master List'!A:C,2,FALSE)), "Not Found", VLOOKUP(A70,'Master List'!A:C,2,FALSE)))</f>
        <v>Mary Halloran</v>
      </c>
      <c r="D70" s="19" t="str">
        <f>IF(ISBLANK(A70), "Email",IF(ISNA(VLOOKUP(A70,'Master List'!A:C,3,FALSE)), "Not Found", VLOOKUP(A70,'Master List'!A:C,3,FALSE)))</f>
        <v>mahall@sfsu.edu</v>
      </c>
      <c r="E70" s="19" t="s">
        <v>19</v>
      </c>
      <c r="F70" s="4" t="str">
        <f>IF(OR(A70="",E70="","",A70="?",E70="?"),"duplicate?",IF(COUNTIFS($A:A,A70,E:E,E70)&gt;1,"yes","no"))</f>
        <v>no</v>
      </c>
      <c r="G70" s="92"/>
      <c r="H70" s="57">
        <v>45282</v>
      </c>
      <c r="I70" s="19"/>
      <c r="J70" s="107"/>
      <c r="K70" s="97" t="str">
        <f ca="1">IF(J70="","Date",IF(J70&lt;&gt;"",IF(K70="Date",NOW(),K70),""))</f>
        <v>Date</v>
      </c>
      <c r="L70" s="84"/>
    </row>
    <row r="71" spans="1:12">
      <c r="A71" s="19">
        <v>921833286</v>
      </c>
      <c r="B71" s="96">
        <v>44847</v>
      </c>
      <c r="C71" s="19" t="str">
        <f>IF(ISBLANK(A71),"Name",IF(ISNA(VLOOKUP(A71,'Master List'!A:C,2,FALSE)), "Not Found", VLOOKUP(A71,'Master List'!A:C,2,FALSE)))</f>
        <v xml:space="preserve">Michael Clarke </v>
      </c>
      <c r="D71" s="19" t="str">
        <f>IF(ISBLANK(A71), "Email",IF(ISNA(VLOOKUP(A71,'Master List'!A:C,3,FALSE)), "Not Found", VLOOKUP(A71,'Master List'!A:C,3,FALSE)))</f>
        <v>mclarke@mail.sfsu.edu</v>
      </c>
      <c r="E71" s="19" t="s">
        <v>19</v>
      </c>
      <c r="F71" s="4" t="str">
        <f>IF(OR(A71="",E71="","",A71="?",E71="?"),"duplicate?",IF(COUNTIFS($A:A,A71,E:E,E71)&gt;1,"yes","no"))</f>
        <v>no</v>
      </c>
      <c r="G71" s="92"/>
      <c r="H71" s="57">
        <v>45282</v>
      </c>
      <c r="I71" s="19"/>
      <c r="J71" s="107"/>
      <c r="K71" s="97" t="str">
        <f ca="1">IF(J71="","Date",IF(J71&lt;&gt;"",IF(K71="Date",NOW(),K71),""))</f>
        <v>Date</v>
      </c>
      <c r="L71" s="84"/>
    </row>
    <row r="72" spans="1:12">
      <c r="A72" s="19">
        <v>916387555</v>
      </c>
      <c r="B72" s="96">
        <v>44851</v>
      </c>
      <c r="C72" s="19" t="str">
        <f>IF(ISBLANK(A72),"Name",IF(ISNA(VLOOKUP(A72,'Master List'!A:C,2,FALSE)), "Not Found", VLOOKUP(A72,'Master List'!A:C,2,FALSE)))</f>
        <v>Jenna Meacham</v>
      </c>
      <c r="D72" s="19" t="str">
        <f>IF(ISBLANK(A72), "Email",IF(ISNA(VLOOKUP(A72,'Master List'!A:C,3,FALSE)), "Not Found", VLOOKUP(A72,'Master List'!A:C,3,FALSE)))</f>
        <v>jmeach@sfsu.edu</v>
      </c>
      <c r="E72" s="19" t="s">
        <v>20</v>
      </c>
      <c r="F72" s="4" t="str">
        <f>IF(OR(A72="",E72="","",A72="?",E72="?"),"duplicate?",IF(COUNTIFS($A:A,A72,E:E,E72)&gt;1,"yes","no"))</f>
        <v>no</v>
      </c>
      <c r="G72" s="92"/>
      <c r="H72" s="57">
        <v>44851</v>
      </c>
      <c r="I72" s="19"/>
      <c r="J72" s="107"/>
      <c r="K72" s="97" t="str">
        <f ca="1">IF(J72="","Date",IF(J72&lt;&gt;"",IF(K72="Date",NOW(),K72),""))</f>
        <v>Date</v>
      </c>
      <c r="L72" s="84"/>
    </row>
    <row r="73" spans="1:12">
      <c r="A73" s="19">
        <v>908492096</v>
      </c>
      <c r="B73" s="96">
        <v>44852</v>
      </c>
      <c r="C73" s="19" t="str">
        <f>IF(ISBLANK(A73),"Name",IF(ISNA(VLOOKUP(A73,'Master List'!A:C,2,FALSE)), "Not Found", VLOOKUP(A73,'Master List'!A:C,2,FALSE)))</f>
        <v>Alexandra Piryatinska</v>
      </c>
      <c r="D73" s="19" t="str">
        <f>IF(ISBLANK(A73), "Email",IF(ISNA(VLOOKUP(A73,'Master List'!A:C,3,FALSE)), "Not Found", VLOOKUP(A73,'Master List'!A:C,3,FALSE)))</f>
        <v>alpiryat@sfsu.edu</v>
      </c>
      <c r="E73" s="19" t="s">
        <v>20</v>
      </c>
      <c r="F73" s="4" t="str">
        <f>IF(OR(A73="",E73="","",A73="?",E73="?"),"duplicate?",IF(COUNTIFS($A:A,A73,E:E,E73)&gt;1,"yes","no"))</f>
        <v>no</v>
      </c>
      <c r="G73" s="92"/>
      <c r="H73" s="57">
        <v>44854</v>
      </c>
      <c r="I73" s="19"/>
      <c r="J73" s="107"/>
      <c r="K73" s="97" t="str">
        <f ca="1">IF(J73="","Date",IF(J73&lt;&gt;"",IF(K73="Date",NOW(),K73),""))</f>
        <v>Date</v>
      </c>
      <c r="L73" s="84"/>
    </row>
    <row r="74" spans="1:12">
      <c r="A74" s="19">
        <v>900987456</v>
      </c>
      <c r="B74" s="96">
        <v>44852</v>
      </c>
      <c r="C74" s="19" t="str">
        <f>IF(ISBLANK(A74),"Name",IF(ISNA(VLOOKUP(A74,'Master List'!A:C,2,FALSE)), "Not Found", VLOOKUP(A74,'Master List'!A:C,2,FALSE)))</f>
        <v>Christopher Chekuri</v>
      </c>
      <c r="D74" s="19" t="str">
        <f>IF(ISBLANK(A74), "Email",IF(ISNA(VLOOKUP(A74,'Master List'!A:C,3,FALSE)), "Not Found", VLOOKUP(A74,'Master List'!A:C,3,FALSE)))</f>
        <v>cchekuri@sfsu.edu</v>
      </c>
      <c r="E74" s="19" t="s">
        <v>20</v>
      </c>
      <c r="F74" s="4" t="str">
        <f>IF(OR(A74="",E74="","",A74="?",E74="?"),"duplicate?",IF(COUNTIFS($A:A,A74,E:E,E74)&gt;1,"yes","no"))</f>
        <v>no</v>
      </c>
      <c r="G74" s="92"/>
      <c r="H74" s="57" t="s">
        <v>37</v>
      </c>
      <c r="I74" s="19"/>
      <c r="J74" s="107"/>
      <c r="K74" s="97" t="str">
        <f ca="1">IF(J74="","Date",IF(J74&lt;&gt;"",IF(K74="Date",NOW(),K74),""))</f>
        <v>Date</v>
      </c>
      <c r="L74" s="84"/>
    </row>
    <row r="75" spans="1:12">
      <c r="A75" s="19">
        <v>913444134</v>
      </c>
      <c r="B75" s="96">
        <v>44852</v>
      </c>
      <c r="C75" s="19" t="str">
        <f>IF(ISBLANK(A75),"Name",IF(ISNA(VLOOKUP(A75,'Master List'!A:C,2,FALSE)), "Not Found", VLOOKUP(A75,'Master List'!A:C,2,FALSE)))</f>
        <v>Gary Straub</v>
      </c>
      <c r="D75" s="19" t="str">
        <f>IF(ISBLANK(A75), "Email",IF(ISNA(VLOOKUP(A75,'Master List'!A:C,3,FALSE)), "Not Found", VLOOKUP(A75,'Master List'!A:C,3,FALSE)))</f>
        <v>gstraub@sfsu.edu</v>
      </c>
      <c r="E75" s="19" t="s">
        <v>38</v>
      </c>
      <c r="F75" s="4" t="str">
        <f>IF(OR(A75="",E75="","",A75="?",E75="?"),"duplicate?",IF(COUNTIFS($A:A,A75,E:E,E75)&gt;1,"yes","no"))</f>
        <v>no</v>
      </c>
      <c r="G75" s="92"/>
      <c r="H75" s="57">
        <v>45282</v>
      </c>
      <c r="I75" s="19" t="s">
        <v>39</v>
      </c>
      <c r="J75" s="107"/>
      <c r="K75" s="97" t="str">
        <f ca="1">IF(J75="","Date",IF(J75&lt;&gt;"",IF(K75="Date",NOW(),K75),""))</f>
        <v>Date</v>
      </c>
      <c r="L75" s="84" t="s">
        <v>40</v>
      </c>
    </row>
    <row r="76" spans="1:12">
      <c r="A76" s="19">
        <v>917243813</v>
      </c>
      <c r="B76" s="96">
        <v>44852</v>
      </c>
      <c r="C76" s="19" t="str">
        <f>IF(ISBLANK(A76),"Name",IF(ISNA(VLOOKUP(A76,'Master List'!A:C,2,FALSE)), "Not Found", VLOOKUP(A76,'Master List'!A:C,2,FALSE)))</f>
        <v>Kimbrough Moore</v>
      </c>
      <c r="D76" s="19" t="str">
        <f>IF(ISBLANK(A76), "Email",IF(ISNA(VLOOKUP(A76,'Master List'!A:C,3,FALSE)), "Not Found", VLOOKUP(A76,'Master List'!A:C,3,FALSE)))</f>
        <v>amoore8@sfsu.edu</v>
      </c>
      <c r="E76" s="19" t="s">
        <v>19</v>
      </c>
      <c r="F76" s="4" t="str">
        <f>IF(OR(A76="",E76="","",A76="?",E76="?"),"duplicate?",IF(COUNTIFS($A:A,A76,E:E,E76)&gt;1,"yes","no"))</f>
        <v>yes</v>
      </c>
      <c r="G76" s="92"/>
      <c r="H76" s="57">
        <v>45282</v>
      </c>
      <c r="I76" s="19"/>
      <c r="J76" s="107"/>
      <c r="K76" s="97" t="str">
        <f ca="1">IF(J76="","Date",IF(J76&lt;&gt;"",IF(K76="Date",NOW(),K76),""))</f>
        <v>Date</v>
      </c>
      <c r="L76" s="84"/>
    </row>
    <row r="77" spans="1:12">
      <c r="A77" s="19">
        <v>921873560</v>
      </c>
      <c r="B77" s="96">
        <v>44852</v>
      </c>
      <c r="C77" s="19" t="str">
        <f>IF(ISBLANK(A77),"Name",IF(ISNA(VLOOKUP(A77,'Master List'!A:C,2,FALSE)), "Not Found", VLOOKUP(A77,'Master List'!A:C,2,FALSE)))</f>
        <v>Luis Ybarra</v>
      </c>
      <c r="D77" s="19" t="str">
        <f>IF(ISBLANK(A77), "Email",IF(ISNA(VLOOKUP(A77,'Master List'!A:C,3,FALSE)), "Not Found", VLOOKUP(A77,'Master List'!A:C,3,FALSE)))</f>
        <v>lybarra@mail.sfsu.edu</v>
      </c>
      <c r="E77" s="19" t="s">
        <v>19</v>
      </c>
      <c r="F77" s="4" t="str">
        <f>IF(OR(A77="",E77="","",A77="?",E77="?"),"duplicate?",IF(COUNTIFS($A:A,A77,E:E,E77)&gt;1,"yes","no"))</f>
        <v>yes</v>
      </c>
      <c r="G77" s="92"/>
      <c r="H77" s="57">
        <v>45282</v>
      </c>
      <c r="I77" s="19"/>
      <c r="J77" s="107"/>
      <c r="K77" s="97" t="str">
        <f ca="1">IF(J77="","Date",IF(J77&lt;&gt;"",IF(K77="Date",NOW(),K77),""))</f>
        <v>Date</v>
      </c>
      <c r="L77" s="84"/>
    </row>
    <row r="78" spans="1:12">
      <c r="A78" s="19">
        <v>901528763</v>
      </c>
      <c r="B78" s="96">
        <v>44852</v>
      </c>
      <c r="C78" s="19" t="str">
        <f>IF(ISBLANK(A78),"Name",IF(ISNA(VLOOKUP(A78,'Master List'!A:C,2,FALSE)), "Not Found", VLOOKUP(A78,'Master List'!A:C,2,FALSE)))</f>
        <v>Nico Peck</v>
      </c>
      <c r="D78" s="19" t="str">
        <f>IF(ISBLANK(A78), "Email",IF(ISNA(VLOOKUP(A78,'Master List'!A:C,3,FALSE)), "Not Found", VLOOKUP(A78,'Master List'!A:C,3,FALSE)))</f>
        <v>nicopeck@sfsu.edu</v>
      </c>
      <c r="E78" s="19" t="s">
        <v>19</v>
      </c>
      <c r="F78" s="4" t="str">
        <f>IF(OR(A78="",E78="","",A78="?",E78="?"),"duplicate?",IF(COUNTIFS($A:A,A78,E:E,E78)&gt;1,"yes","no"))</f>
        <v>no</v>
      </c>
      <c r="G78" s="92"/>
      <c r="H78" s="57">
        <v>45282</v>
      </c>
      <c r="I78" s="19"/>
      <c r="J78" s="107"/>
      <c r="K78" s="97" t="str">
        <f ca="1">IF(J78="","Date",IF(J78&lt;&gt;"",IF(K78="Date",NOW(),K78),""))</f>
        <v>Date</v>
      </c>
      <c r="L78" s="84"/>
    </row>
    <row r="79" spans="1:12">
      <c r="A79" s="19">
        <v>909169188</v>
      </c>
      <c r="B79" s="96">
        <v>44852</v>
      </c>
      <c r="C79" s="19" t="str">
        <f>IF(ISBLANK(A79),"Name",IF(ISNA(VLOOKUP(A79,'Master List'!A:C,2,FALSE)), "Not Found", VLOOKUP(A79,'Master List'!A:C,2,FALSE)))</f>
        <v>Ryan Howell</v>
      </c>
      <c r="D79" s="19" t="str">
        <f>IF(ISBLANK(A79), "Email",IF(ISNA(VLOOKUP(A79,'Master List'!A:C,3,FALSE)), "Not Found", VLOOKUP(A79,'Master List'!A:C,3,FALSE)))</f>
        <v>rhowell@sfsu.edu</v>
      </c>
      <c r="E79" s="19" t="s">
        <v>19</v>
      </c>
      <c r="F79" s="4" t="str">
        <f>IF(OR(A79="",E79="","",A79="?",E79="?"),"duplicate?",IF(COUNTIFS($A:A,A79,E:E,E79)&gt;1,"yes","no"))</f>
        <v>no</v>
      </c>
      <c r="G79" s="92"/>
      <c r="H79" s="57">
        <v>45282</v>
      </c>
      <c r="I79" s="19"/>
      <c r="J79" s="107"/>
      <c r="K79" s="97" t="str">
        <f ca="1">IF(J79="","Date",IF(J79&lt;&gt;"",IF(K79="Date",NOW(),K79),""))</f>
        <v>Date</v>
      </c>
      <c r="L79" s="84"/>
    </row>
    <row r="80" spans="1:12">
      <c r="A80" s="19">
        <v>911369841</v>
      </c>
      <c r="B80" s="96">
        <v>44853</v>
      </c>
      <c r="C80" s="19" t="str">
        <f>IF(ISBLANK(A80),"Name",IF(ISNA(VLOOKUP(A80,'Master List'!A:C,2,FALSE)), "Not Found", VLOOKUP(A80,'Master List'!A:C,2,FALSE)))</f>
        <v>Aiko Yoshino</v>
      </c>
      <c r="D80" s="19" t="str">
        <f>IF(ISBLANK(A80), "Email",IF(ISNA(VLOOKUP(A80,'Master List'!A:C,3,FALSE)), "Not Found", VLOOKUP(A80,'Master List'!A:C,3,FALSE)))</f>
        <v>ayoshino@sfsu.edu</v>
      </c>
      <c r="E80" s="19" t="s">
        <v>19</v>
      </c>
      <c r="F80" s="4" t="str">
        <f>IF(OR(A80="",E80="","",A80="?",E80="?"),"duplicate?",IF(COUNTIFS($A:A,A80,E:E,E80)&gt;1,"yes","no"))</f>
        <v>yes</v>
      </c>
      <c r="G80" s="92"/>
      <c r="H80" s="57">
        <v>45282</v>
      </c>
      <c r="I80" s="19"/>
      <c r="J80" s="107"/>
      <c r="K80" s="97" t="str">
        <f ca="1">IF(J80="","Date",IF(J80&lt;&gt;"",IF(K80="Date",NOW(),K80),""))</f>
        <v>Date</v>
      </c>
      <c r="L80" s="84"/>
    </row>
    <row r="81" spans="1:12">
      <c r="A81" s="19">
        <v>906495374</v>
      </c>
      <c r="B81" s="96">
        <v>44859</v>
      </c>
      <c r="C81" s="19" t="str">
        <f>IF(ISBLANK(A81),"Name",IF(ISNA(VLOOKUP(A81,'Master List'!A:C,2,FALSE)), "Not Found", VLOOKUP(A81,'Master List'!A:C,2,FALSE)))</f>
        <v>Felicia Viator</v>
      </c>
      <c r="D81" s="19" t="str">
        <f>IF(ISBLANK(A81), "Email",IF(ISNA(VLOOKUP(A81,'Master List'!A:C,3,FALSE)), "Not Found", VLOOKUP(A81,'Master List'!A:C,3,FALSE)))</f>
        <v>fviator@sfsu.edu</v>
      </c>
      <c r="E81" s="19" t="s">
        <v>17</v>
      </c>
      <c r="F81" s="4" t="str">
        <f>IF(OR(A81="",E81="","",A81="?",E81="?"),"duplicate?",IF(COUNTIFS($A:A,A81,E:E,E81)&gt;1,"yes","no"))</f>
        <v>no</v>
      </c>
      <c r="G81" s="92"/>
      <c r="H81" s="57">
        <v>44859</v>
      </c>
      <c r="I81" s="19"/>
      <c r="J81" s="107"/>
      <c r="K81" s="97" t="str">
        <f ca="1">IF(J81="","Date",IF(J81&lt;&gt;"",IF(K81="Date",NOW(),K81),""))</f>
        <v>Date</v>
      </c>
      <c r="L81" s="84"/>
    </row>
    <row r="82" spans="1:12">
      <c r="A82" s="19">
        <v>912361195</v>
      </c>
      <c r="B82" s="96">
        <v>44859</v>
      </c>
      <c r="C82" s="19" t="str">
        <f>IF(ISBLANK(A82),"Name",IF(ISNA(VLOOKUP(A82,'Master List'!A:C,2,FALSE)), "Not Found", VLOOKUP(A82,'Master List'!A:C,2,FALSE)))</f>
        <v>Joanna Englehardt</v>
      </c>
      <c r="D82" s="19" t="str">
        <f>IF(ISBLANK(A82), "Email",IF(ISNA(VLOOKUP(A82,'Master List'!A:C,3,FALSE)), "Not Found", VLOOKUP(A82,'Master List'!A:C,3,FALSE)))</f>
        <v>joannae@sfsu.edu</v>
      </c>
      <c r="E82" s="19" t="s">
        <v>19</v>
      </c>
      <c r="F82" s="4" t="str">
        <f>IF(OR(A82="",E82="","",A82="?",E82="?"),"duplicate?",IF(COUNTIFS($A:A,A82,E:E,E82)&gt;1,"yes","no"))</f>
        <v>no</v>
      </c>
      <c r="G82" s="92"/>
      <c r="H82" s="57">
        <v>45282</v>
      </c>
      <c r="I82" s="19"/>
      <c r="J82" s="107"/>
      <c r="K82" s="97" t="str">
        <f ca="1">IF(J82="","Date",IF(J82&lt;&gt;"",IF(K82="Date",NOW(),K82),""))</f>
        <v>Date</v>
      </c>
      <c r="L82" s="84"/>
    </row>
    <row r="83" spans="1:12">
      <c r="A83" s="19">
        <v>912361195</v>
      </c>
      <c r="B83" s="96">
        <v>44859</v>
      </c>
      <c r="C83" s="19" t="str">
        <f>IF(ISBLANK(A83),"Name",IF(ISNA(VLOOKUP(A83,'Master List'!A:C,2,FALSE)), "Not Found", VLOOKUP(A83,'Master List'!A:C,2,FALSE)))</f>
        <v>Joanna Englehardt</v>
      </c>
      <c r="D83" s="19" t="str">
        <f>IF(ISBLANK(A83), "Email",IF(ISNA(VLOOKUP(A83,'Master List'!A:C,3,FALSE)), "Not Found", VLOOKUP(A83,'Master List'!A:C,3,FALSE)))</f>
        <v>joannae@sfsu.edu</v>
      </c>
      <c r="E83" s="19" t="s">
        <v>16</v>
      </c>
      <c r="F83" s="4" t="str">
        <f>IF(OR(A83="",E83="","",A83="?",E83="?"),"duplicate?",IF(COUNTIFS($A:A,A83,E:E,E83)&gt;1,"yes","no"))</f>
        <v>no</v>
      </c>
      <c r="G83" s="92"/>
      <c r="H83" s="57">
        <v>45282</v>
      </c>
      <c r="I83" s="19"/>
      <c r="J83" s="107"/>
      <c r="K83" s="97" t="str">
        <f ca="1">IF(J83="","Date",IF(J83&lt;&gt;"",IF(K83="Date",NOW(),K83),""))</f>
        <v>Date</v>
      </c>
      <c r="L83" s="84"/>
    </row>
    <row r="84" spans="1:12">
      <c r="A84" s="19">
        <v>900058281</v>
      </c>
      <c r="B84" s="96">
        <v>44860</v>
      </c>
      <c r="C84" s="19" t="str">
        <f>IF(ISBLANK(A84),"Name",IF(ISNA(VLOOKUP(A84,'Master List'!A:C,2,FALSE)), "Not Found", VLOOKUP(A84,'Master List'!A:C,2,FALSE)))</f>
        <v>Kevin Conner</v>
      </c>
      <c r="D84" s="19" t="str">
        <f>IF(ISBLANK(A84), "Email",IF(ISNA(VLOOKUP(A84,'Master List'!A:C,3,FALSE)), "Not Found", VLOOKUP(A84,'Master List'!A:C,3,FALSE)))</f>
        <v>kevin@sfsu.edu</v>
      </c>
      <c r="E84" s="19" t="s">
        <v>41</v>
      </c>
      <c r="F84" s="4" t="str">
        <f>IF(OR(A84="",E84="","",A84="?",E84="?"),"duplicate?",IF(COUNTIFS($A:A,A84,E:E,E84)&gt;1,"yes","no"))</f>
        <v>no</v>
      </c>
      <c r="G84" s="92"/>
      <c r="H84" s="57">
        <v>45282</v>
      </c>
      <c r="I84" s="19"/>
      <c r="J84" s="107"/>
      <c r="K84" s="97" t="str">
        <f ca="1">IF(J84="","Date",IF(J84&lt;&gt;"",IF(K84="Date",NOW(),K84),""))</f>
        <v>Date</v>
      </c>
      <c r="L84" s="84"/>
    </row>
    <row r="85" spans="1:12">
      <c r="A85" s="19">
        <v>908379035</v>
      </c>
      <c r="B85" s="96">
        <v>44860</v>
      </c>
      <c r="C85" s="19" t="str">
        <f>IF(ISBLANK(A85),"Name",IF(ISNA(VLOOKUP(A85,'Master List'!A:C,2,FALSE)), "Not Found", VLOOKUP(A85,'Master List'!A:C,2,FALSE)))</f>
        <v>Soumyaa Behrens</v>
      </c>
      <c r="D85" s="19" t="str">
        <f>IF(ISBLANK(A85), "Email",IF(ISNA(VLOOKUP(A85,'Master List'!A:C,3,FALSE)), "Not Found", VLOOKUP(A85,'Master List'!A:C,3,FALSE)))</f>
        <v>soumyaa@sfsu.edu</v>
      </c>
      <c r="E85" s="19" t="s">
        <v>42</v>
      </c>
      <c r="F85" s="4" t="str">
        <f>IF(OR(A85="",E85="","",A85="?",E85="?"),"duplicate?",IF(COUNTIFS($A:A,A85,E:E,E85)&gt;1,"yes","no"))</f>
        <v>no</v>
      </c>
      <c r="G85" s="92"/>
      <c r="H85" s="57">
        <v>44860</v>
      </c>
      <c r="I85" s="19"/>
      <c r="J85" s="107"/>
      <c r="K85" s="97" t="str">
        <f ca="1">IF(J85="","Date",IF(J85&lt;&gt;"",IF(K85="Date",NOW(),K85),""))</f>
        <v>Date</v>
      </c>
      <c r="L85" s="84"/>
    </row>
    <row r="86" spans="1:12">
      <c r="A86" s="19">
        <v>913477401</v>
      </c>
      <c r="B86" s="96">
        <v>44861</v>
      </c>
      <c r="C86" s="19" t="str">
        <f>IF(ISBLANK(A86),"Name",IF(ISNA(VLOOKUP(A86,'Master List'!A:C,2,FALSE)), "Not Found", VLOOKUP(A86,'Master List'!A:C,2,FALSE)))</f>
        <v>Manav Thapar</v>
      </c>
      <c r="D86" s="19" t="str">
        <f>IF(ISBLANK(A86), "Email",IF(ISNA(VLOOKUP(A86,'Master List'!A:C,3,FALSE)), "Not Found", VLOOKUP(A86,'Master List'!A:C,3,FALSE)))</f>
        <v>mthapar@sfsu.edu</v>
      </c>
      <c r="E86" s="19" t="s">
        <v>19</v>
      </c>
      <c r="F86" s="4" t="str">
        <f>IF(OR(A86="",E86="","",A86="?",E86="?"),"duplicate?",IF(COUNTIFS($A:A,A86,E:E,E86)&gt;1,"yes","no"))</f>
        <v>no</v>
      </c>
      <c r="G86" s="92"/>
      <c r="H86" s="57">
        <v>45282</v>
      </c>
      <c r="I86" s="19"/>
      <c r="J86" s="107"/>
      <c r="K86" s="97" t="str">
        <f ca="1">IF(J86="","Date",IF(J86&lt;&gt;"",IF(K86="Date",NOW(),K86),""))</f>
        <v>Date</v>
      </c>
      <c r="L86" s="84"/>
    </row>
    <row r="87" spans="1:12">
      <c r="A87" s="19">
        <v>909004140</v>
      </c>
      <c r="B87" s="96">
        <v>44861</v>
      </c>
      <c r="C87" s="19" t="str">
        <f>IF(ISBLANK(A87),"Name",IF(ISNA(VLOOKUP(A87,'Master List'!A:C,2,FALSE)), "Not Found", VLOOKUP(A87,'Master List'!A:C,2,FALSE)))</f>
        <v>Ryan Gurney</v>
      </c>
      <c r="D87" s="19" t="str">
        <f>IF(ISBLANK(A87), "Email",IF(ISNA(VLOOKUP(A87,'Master List'!A:C,3,FALSE)), "Not Found", VLOOKUP(A87,'Master List'!A:C,3,FALSE)))</f>
        <v>rgurney@sfsu.edu</v>
      </c>
      <c r="E87" s="19" t="s">
        <v>28</v>
      </c>
      <c r="F87" s="4" t="str">
        <f>IF(OR(A87="",E87="","",A87="?",E87="?"),"duplicate?",IF(COUNTIFS($A:A,A87,E:E,E87)&gt;1,"yes","no"))</f>
        <v>no</v>
      </c>
      <c r="G87" s="92"/>
      <c r="H87" s="57">
        <v>44861</v>
      </c>
      <c r="I87" s="19"/>
      <c r="J87" s="107"/>
      <c r="K87" s="97" t="str">
        <f ca="1">IF(J87="","Date",IF(J87&lt;&gt;"",IF(K87="Date",NOW(),K87),""))</f>
        <v>Date</v>
      </c>
      <c r="L87" s="84"/>
    </row>
    <row r="88" spans="1:12">
      <c r="A88" s="19">
        <v>918847454</v>
      </c>
      <c r="B88" s="96">
        <v>44862</v>
      </c>
      <c r="C88" s="19" t="str">
        <f>IF(ISBLANK(A88),"Name",IF(ISNA(VLOOKUP(A88,'Master List'!A:C,2,FALSE)), "Not Found", VLOOKUP(A88,'Master List'!A:C,2,FALSE)))</f>
        <v>Tiffany Caesar</v>
      </c>
      <c r="D88" s="19" t="str">
        <f>IF(ISBLANK(A88), "Email",IF(ISNA(VLOOKUP(A88,'Master List'!A:C,3,FALSE)), "Not Found", VLOOKUP(A88,'Master List'!A:C,3,FALSE)))</f>
        <v>tiffanycaesar@sfsu.edu</v>
      </c>
      <c r="E88" s="19" t="s">
        <v>29</v>
      </c>
      <c r="F88" s="4" t="str">
        <f>IF(OR(A88="",E88="","",A88="?",E88="?"),"duplicate?",IF(COUNTIFS($A:A,A88,E:E,E88)&gt;1,"yes","no"))</f>
        <v>no</v>
      </c>
      <c r="G88" s="92"/>
      <c r="H88" s="57">
        <v>45282</v>
      </c>
      <c r="I88" s="19"/>
      <c r="J88" s="107"/>
      <c r="K88" s="97" t="str">
        <f ca="1">IF(J88="","Date",IF(J88&lt;&gt;"",IF(K88="Date",NOW(),K88),""))</f>
        <v>Date</v>
      </c>
      <c r="L88" s="84"/>
    </row>
    <row r="89" spans="1:12">
      <c r="A89" s="19">
        <v>917948426</v>
      </c>
      <c r="B89" s="96">
        <v>44865</v>
      </c>
      <c r="C89" s="19" t="str">
        <f>IF(ISBLANK(A89),"Name",IF(ISNA(VLOOKUP(A89,'Master List'!A:C,2,FALSE)), "Not Found", VLOOKUP(A89,'Master List'!A:C,2,FALSE)))</f>
        <v>Deena Lin</v>
      </c>
      <c r="D89" s="19" t="str">
        <f>IF(ISBLANK(A89), "Email",IF(ISNA(VLOOKUP(A89,'Master List'!A:C,3,FALSE)), "Not Found", VLOOKUP(A89,'Master List'!A:C,3,FALSE)))</f>
        <v>deenalin@sfsu.edu</v>
      </c>
      <c r="E89" s="19" t="s">
        <v>19</v>
      </c>
      <c r="F89" s="4" t="str">
        <f>IF(OR(A89="",E89="","",A89="?",E89="?"),"duplicate?",IF(COUNTIFS($A:A,A89,E:E,E89)&gt;1,"yes","no"))</f>
        <v>no</v>
      </c>
      <c r="G89" s="92"/>
      <c r="H89" s="57">
        <v>45282</v>
      </c>
      <c r="I89" s="19"/>
      <c r="J89" s="107"/>
      <c r="K89" s="97" t="str">
        <f ca="1">IF(J89="","Date",IF(J89&lt;&gt;"",IF(K89="Date",NOW(),K89),""))</f>
        <v>Date</v>
      </c>
      <c r="L89" s="84"/>
    </row>
    <row r="90" spans="1:12">
      <c r="A90" s="19">
        <v>918849976</v>
      </c>
      <c r="B90" s="96">
        <v>44866</v>
      </c>
      <c r="C90" s="19" t="str">
        <f>IF(ISBLANK(A90),"Name",IF(ISNA(VLOOKUP(A90,'Master List'!A:C,2,FALSE)), "Not Found", VLOOKUP(A90,'Master List'!A:C,2,FALSE)))</f>
        <v xml:space="preserve">Dominique battle </v>
      </c>
      <c r="D90" s="19" t="str">
        <f>IF(ISBLANK(A90), "Email",IF(ISNA(VLOOKUP(A90,'Master List'!A:C,3,FALSE)), "Not Found", VLOOKUP(A90,'Master List'!A:C,3,FALSE)))</f>
        <v>ndaniel@sfsu.edu</v>
      </c>
      <c r="E90" s="19" t="s">
        <v>36</v>
      </c>
      <c r="F90" s="4" t="str">
        <f>IF(OR(A90="",E90="","",A90="?",E90="?"),"duplicate?",IF(COUNTIFS($A:A,A90,E:E,E90)&gt;1,"yes","no"))</f>
        <v>no</v>
      </c>
      <c r="G90" s="92"/>
      <c r="H90" s="57">
        <v>45282</v>
      </c>
      <c r="I90" s="19"/>
      <c r="J90" s="107"/>
      <c r="K90" s="97" t="str">
        <f ca="1">IF(J90="","Date",IF(J90&lt;&gt;"",IF(K90="Date",NOW(),K90),""))</f>
        <v>Date</v>
      </c>
      <c r="L90" s="84"/>
    </row>
    <row r="91" spans="1:12">
      <c r="A91" s="19">
        <v>900040510</v>
      </c>
      <c r="B91" s="96">
        <v>44866</v>
      </c>
      <c r="C91" s="19" t="str">
        <f>IF(ISBLANK(A91),"Name",IF(ISNA(VLOOKUP(A91,'Master List'!A:C,2,FALSE)), "Not Found", VLOOKUP(A91,'Master List'!A:C,2,FALSE)))</f>
        <v>Julia Ayana Airakan-Mance</v>
      </c>
      <c r="D91" s="19" t="str">
        <f>IF(ISBLANK(A91), "Email",IF(ISNA(VLOOKUP(A91,'Master List'!A:C,3,FALSE)), "Not Found", VLOOKUP(A91,'Master List'!A:C,3,FALSE)))</f>
        <v>airakan@sfsu.edu</v>
      </c>
      <c r="E91" s="19" t="s">
        <v>33</v>
      </c>
      <c r="F91" s="4" t="str">
        <f>IF(OR(A91="",E91="","",A91="?",E91="?"),"duplicate?",IF(COUNTIFS($A:A,A91,E:E,E91)&gt;1,"yes","no"))</f>
        <v>no</v>
      </c>
      <c r="G91" s="92"/>
      <c r="H91" s="57">
        <v>45282</v>
      </c>
      <c r="I91" s="19"/>
      <c r="J91" s="107"/>
      <c r="K91" s="97" t="str">
        <f ca="1">IF(J91="","Date",IF(J91&lt;&gt;"",IF(K91="Date",NOW(),K91),""))</f>
        <v>Date</v>
      </c>
      <c r="L91" s="84"/>
    </row>
    <row r="92" spans="1:12">
      <c r="A92" s="19">
        <v>917924870</v>
      </c>
      <c r="B92" s="96">
        <v>44866</v>
      </c>
      <c r="C92" s="19" t="str">
        <f>IF(ISBLANK(A92),"Name",IF(ISNA(VLOOKUP(A92,'Master List'!A:C,2,FALSE)), "Not Found", VLOOKUP(A92,'Master List'!A:C,2,FALSE)))</f>
        <v>Teresa Pratt</v>
      </c>
      <c r="D92" s="19" t="str">
        <f>IF(ISBLANK(A92), "Email",IF(ISNA(VLOOKUP(A92,'Master List'!A:C,3,FALSE)), "Not Found", VLOOKUP(A92,'Master List'!A:C,3,FALSE)))</f>
        <v>tpratt@sfsu.edu</v>
      </c>
      <c r="E92" s="19" t="s">
        <v>19</v>
      </c>
      <c r="F92" s="4" t="str">
        <f>IF(OR(A92="",E92="","",A92="?",E92="?"),"duplicate?",IF(COUNTIFS($A:A,A92,E:E,E92)&gt;1,"yes","no"))</f>
        <v>yes</v>
      </c>
      <c r="G92" s="92"/>
      <c r="H92" s="57">
        <v>45282</v>
      </c>
      <c r="I92" s="19"/>
      <c r="J92" s="107"/>
      <c r="K92" s="97" t="str">
        <f ca="1">IF(J92="","Date",IF(J92&lt;&gt;"",IF(K92="Date",NOW(),K92),""))</f>
        <v>Date</v>
      </c>
      <c r="L92" s="84"/>
    </row>
    <row r="93" spans="1:12">
      <c r="A93" s="19">
        <v>900561537</v>
      </c>
      <c r="B93" s="96">
        <v>44866</v>
      </c>
      <c r="C93" s="19" t="str">
        <f>IF(ISBLANK(A93),"Name",IF(ISNA(VLOOKUP(A93,'Master List'!A:C,2,FALSE)), "Not Found", VLOOKUP(A93,'Master List'!A:C,2,FALSE)))</f>
        <v>Tomoko Komada</v>
      </c>
      <c r="D93" s="19" t="str">
        <f>IF(ISBLANK(A93), "Email",IF(ISNA(VLOOKUP(A93,'Master List'!A:C,3,FALSE)), "Not Found", VLOOKUP(A93,'Master List'!A:C,3,FALSE)))</f>
        <v>tkomada@sfsu.edu</v>
      </c>
      <c r="E93" s="19" t="s">
        <v>43</v>
      </c>
      <c r="F93" s="4" t="str">
        <f>IF(OR(A93="",E93="","",A93="?",E93="?"),"duplicate?",IF(COUNTIFS($A:A,A93,E:E,E93)&gt;1,"yes","no"))</f>
        <v>no</v>
      </c>
      <c r="G93" s="92"/>
      <c r="H93" s="57">
        <v>45282</v>
      </c>
      <c r="I93" s="19"/>
      <c r="J93" s="107"/>
      <c r="K93" s="97" t="str">
        <f ca="1">IF(J93="","Date",IF(J93&lt;&gt;"",IF(K93="Date",NOW(),K93),""))</f>
        <v>Date</v>
      </c>
      <c r="L93" s="84"/>
    </row>
    <row r="94" spans="1:12">
      <c r="A94" s="19">
        <v>900561537</v>
      </c>
      <c r="B94" s="96">
        <v>44866</v>
      </c>
      <c r="C94" s="19" t="str">
        <f>IF(ISBLANK(A94),"Name",IF(ISNA(VLOOKUP(A94,'Master List'!A:C,2,FALSE)), "Not Found", VLOOKUP(A94,'Master List'!A:C,2,FALSE)))</f>
        <v>Tomoko Komada</v>
      </c>
      <c r="D94" s="19" t="str">
        <f>IF(ISBLANK(A94), "Email",IF(ISNA(VLOOKUP(A94,'Master List'!A:C,3,FALSE)), "Not Found", VLOOKUP(A94,'Master List'!A:C,3,FALSE)))</f>
        <v>tkomada@sfsu.edu</v>
      </c>
      <c r="E94" s="19" t="s">
        <v>29</v>
      </c>
      <c r="F94" s="4" t="str">
        <f>IF(OR(A94="",E94="","",A94="?",E94="?"),"duplicate?",IF(COUNTIFS($A:A,A94,E:E,E94)&gt;1,"yes","no"))</f>
        <v>no</v>
      </c>
      <c r="G94" s="92"/>
      <c r="H94" s="57">
        <v>45282</v>
      </c>
      <c r="I94" s="19"/>
      <c r="J94" s="107"/>
      <c r="K94" s="97" t="str">
        <f ca="1">IF(J94="","Date",IF(J94&lt;&gt;"",IF(K94="Date",NOW(),K94),""))</f>
        <v>Date</v>
      </c>
      <c r="L94" s="84"/>
    </row>
    <row r="95" spans="1:12">
      <c r="A95" s="19">
        <v>900561537</v>
      </c>
      <c r="B95" s="96">
        <v>44866</v>
      </c>
      <c r="C95" s="19" t="str">
        <f>IF(ISBLANK(A95),"Name",IF(ISNA(VLOOKUP(A95,'Master List'!A:C,2,FALSE)), "Not Found", VLOOKUP(A95,'Master List'!A:C,2,FALSE)))</f>
        <v>Tomoko Komada</v>
      </c>
      <c r="D95" s="19" t="str">
        <f>IF(ISBLANK(A95), "Email",IF(ISNA(VLOOKUP(A95,'Master List'!A:C,3,FALSE)), "Not Found", VLOOKUP(A95,'Master List'!A:C,3,FALSE)))</f>
        <v>tkomada@sfsu.edu</v>
      </c>
      <c r="E95" s="19" t="s">
        <v>36</v>
      </c>
      <c r="F95" s="4" t="str">
        <f>IF(OR(A95="",E95="","",A95="?",E95="?"),"duplicate?",IF(COUNTIFS($A:A,A95,E:E,E95)&gt;1,"yes","no"))</f>
        <v>no</v>
      </c>
      <c r="G95" s="92"/>
      <c r="H95" s="57">
        <v>45282</v>
      </c>
      <c r="I95" s="19"/>
      <c r="J95" s="107"/>
      <c r="K95" s="97" t="str">
        <f ca="1">IF(J95="","Date",IF(J95&lt;&gt;"",IF(K95="Date",NOW(),K95),""))</f>
        <v>Date</v>
      </c>
      <c r="L95" s="84"/>
    </row>
    <row r="96" spans="1:12">
      <c r="A96" s="19">
        <v>918843086</v>
      </c>
      <c r="B96" s="96">
        <v>44867</v>
      </c>
      <c r="C96" s="19" t="str">
        <f>IF(ISBLANK(A96),"Name",IF(ISNA(VLOOKUP(A96,'Master List'!A:C,2,FALSE)), "Not Found", VLOOKUP(A96,'Master List'!A:C,2,FALSE)))</f>
        <v>Akachi Kalem</v>
      </c>
      <c r="D96" s="19" t="str">
        <f>IF(ISBLANK(A96), "Email",IF(ISNA(VLOOKUP(A96,'Master List'!A:C,3,FALSE)), "Not Found", VLOOKUP(A96,'Master List'!A:C,3,FALSE)))</f>
        <v>akachikalem@sfsu.edu</v>
      </c>
      <c r="E96" s="19" t="s">
        <v>19</v>
      </c>
      <c r="F96" s="4" t="str">
        <f>IF(OR(A96="",E96="","",A96="?",E96="?"),"duplicate?",IF(COUNTIFS($A:A,A96,E:E,E96)&gt;1,"yes","no"))</f>
        <v>no</v>
      </c>
      <c r="G96" s="92"/>
      <c r="H96" s="57">
        <v>45282</v>
      </c>
      <c r="I96" s="19"/>
      <c r="J96" s="107"/>
      <c r="K96" s="97" t="str">
        <f ca="1">IF(J96="","Date",IF(J96&lt;&gt;"",IF(K96="Date",NOW(),K96),""))</f>
        <v>Date</v>
      </c>
      <c r="L96" s="84"/>
    </row>
    <row r="97" spans="1:12">
      <c r="A97" s="19">
        <v>900028160</v>
      </c>
      <c r="B97" s="96">
        <v>44867</v>
      </c>
      <c r="C97" s="19" t="str">
        <f>IF(ISBLANK(A97),"Name",IF(ISNA(VLOOKUP(A97,'Master List'!A:C,2,FALSE)), "Not Found", VLOOKUP(A97,'Master List'!A:C,2,FALSE)))</f>
        <v>Herm Pugay</v>
      </c>
      <c r="D97" s="19" t="str">
        <f>IF(ISBLANK(A97), "Email",IF(ISNA(VLOOKUP(A97,'Master List'!A:C,3,FALSE)), "Not Found", VLOOKUP(A97,'Master List'!A:C,3,FALSE)))</f>
        <v>hpugay@sfsu.edu</v>
      </c>
      <c r="E97" s="19" t="s">
        <v>14</v>
      </c>
      <c r="F97" s="4" t="str">
        <f>IF(OR(A97="",E97="","",A97="?",E97="?"),"duplicate?",IF(COUNTIFS($A:A,A97,E:E,E97)&gt;1,"yes","no"))</f>
        <v>duplicate?</v>
      </c>
      <c r="G97" s="92"/>
      <c r="H97" s="57">
        <v>45282</v>
      </c>
      <c r="I97" s="19"/>
      <c r="J97" s="107"/>
      <c r="K97" s="97" t="str">
        <f ca="1">IF(J97="","Date",IF(J97&lt;&gt;"",IF(K97="Date",NOW(),K97),""))</f>
        <v>Date</v>
      </c>
      <c r="L97" s="84"/>
    </row>
    <row r="98" spans="1:12">
      <c r="A98" s="19">
        <v>922230410</v>
      </c>
      <c r="B98" s="96">
        <v>44867</v>
      </c>
      <c r="C98" s="19" t="str">
        <f>IF(ISBLANK(A98),"Name",IF(ISNA(VLOOKUP(A98,'Master List'!A:C,2,FALSE)), "Not Found", VLOOKUP(A98,'Master List'!A:C,2,FALSE)))</f>
        <v>Kshitiz Sareen</v>
      </c>
      <c r="D98" s="19" t="str">
        <f>IF(ISBLANK(A98), "Email",IF(ISNA(VLOOKUP(A98,'Master List'!A:C,3,FALSE)), "Not Found", VLOOKUP(A98,'Master List'!A:C,3,FALSE)))</f>
        <v>ksareen@sfsu.edu</v>
      </c>
      <c r="E98" s="19" t="s">
        <v>19</v>
      </c>
      <c r="F98" s="4" t="str">
        <f>IF(OR(A98="",E98="","",A98="?",E98="?"),"duplicate?",IF(COUNTIFS($A:A,A98,E:E,E98)&gt;1,"yes","no"))</f>
        <v>yes</v>
      </c>
      <c r="G98" s="92"/>
      <c r="H98" s="57">
        <v>45282</v>
      </c>
      <c r="I98" s="19"/>
      <c r="J98" s="107"/>
      <c r="K98" s="97" t="str">
        <f ca="1">IF(J98="","Date",IF(J98&lt;&gt;"",IF(K98="Date",NOW(),K98),""))</f>
        <v>Date</v>
      </c>
      <c r="L98" s="84"/>
    </row>
    <row r="99" spans="1:12">
      <c r="A99" s="19">
        <v>917241473</v>
      </c>
      <c r="B99" s="96">
        <v>44868</v>
      </c>
      <c r="C99" s="19" t="str">
        <f>IF(ISBLANK(A99),"Name",IF(ISNA(VLOOKUP(A99,'Master List'!A:C,2,FALSE)), "Not Found", VLOOKUP(A99,'Master List'!A:C,2,FALSE)))</f>
        <v>Jennifer Daubenmier</v>
      </c>
      <c r="D99" s="19" t="str">
        <f>IF(ISBLANK(A99), "Email",IF(ISNA(VLOOKUP(A99,'Master List'!A:C,3,FALSE)), "Not Found", VLOOKUP(A99,'Master List'!A:C,3,FALSE)))</f>
        <v>jdauben@sfsu.edu</v>
      </c>
      <c r="E99" s="19" t="s">
        <v>44</v>
      </c>
      <c r="F99" s="4" t="str">
        <f>IF(OR(A99="",E99="","",A99="?",E99="?"),"duplicate?",IF(COUNTIFS($A:A,A99,E:E,E99)&gt;1,"yes","no"))</f>
        <v>no</v>
      </c>
      <c r="G99" s="92"/>
      <c r="H99" s="57">
        <v>45282</v>
      </c>
      <c r="I99" s="19"/>
      <c r="J99" s="107"/>
      <c r="K99" s="97" t="str">
        <f ca="1">IF(J99="","Date",IF(J99&lt;&gt;"",IF(K99="Date",NOW(),K99),""))</f>
        <v>Date</v>
      </c>
      <c r="L99" s="84"/>
    </row>
    <row r="100" spans="1:12">
      <c r="A100" s="19">
        <v>900035518</v>
      </c>
      <c r="B100" s="96">
        <v>44868</v>
      </c>
      <c r="C100" s="19" t="str">
        <f>IF(ISBLANK(A100),"Name",IF(ISNA(VLOOKUP(A100,'Master List'!A:C,2,FALSE)), "Not Found", VLOOKUP(A100,'Master List'!A:C,2,FALSE)))</f>
        <v>Sanjit Sengupta</v>
      </c>
      <c r="D100" s="19" t="str">
        <f>IF(ISBLANK(A100), "Email",IF(ISNA(VLOOKUP(A100,'Master List'!A:C,3,FALSE)), "Not Found", VLOOKUP(A100,'Master List'!A:C,3,FALSE)))</f>
        <v>sengupta@sfsu.edu</v>
      </c>
      <c r="E100" s="19" t="s">
        <v>45</v>
      </c>
      <c r="F100" s="4" t="str">
        <f>IF(OR(A100="",E100="","",A100="?",E100="?"),"duplicate?",IF(COUNTIFS($A:A,A100,E:E,E100)&gt;1,"yes","no"))</f>
        <v>no</v>
      </c>
      <c r="G100" s="92"/>
      <c r="H100" s="57">
        <v>45282</v>
      </c>
      <c r="I100" s="58"/>
      <c r="J100" s="107"/>
      <c r="K100" s="97" t="str">
        <f ca="1">IF(J100="","Date",IF(J100&lt;&gt;"",IF(K100="Date",NOW(),K100),""))</f>
        <v>Date</v>
      </c>
      <c r="L100" s="84"/>
    </row>
    <row r="101" spans="1:12">
      <c r="A101" s="19">
        <v>911398493</v>
      </c>
      <c r="B101" s="96">
        <v>44869</v>
      </c>
      <c r="C101" s="19" t="str">
        <f>IF(ISBLANK(A101),"Name",IF(ISNA(VLOOKUP(A101,'Master List'!A:C,2,FALSE)), "Not Found", VLOOKUP(A101,'Master List'!A:C,2,FALSE)))</f>
        <v>Chris Finley</v>
      </c>
      <c r="D101" s="19" t="str">
        <f>IF(ISBLANK(A101), "Email",IF(ISNA(VLOOKUP(A101,'Master List'!A:C,3,FALSE)), "Not Found", VLOOKUP(A101,'Master List'!A:C,3,FALSE)))</f>
        <v>cfinley@sfsu.edu</v>
      </c>
      <c r="E101" s="19" t="s">
        <v>16</v>
      </c>
      <c r="F101" s="4" t="str">
        <f>IF(OR(A101="",E101="","",A101="?",E101="?"),"duplicate?",IF(COUNTIFS($A:A,A101,E:E,E101)&gt;1,"yes","no"))</f>
        <v>no</v>
      </c>
      <c r="G101" s="92"/>
      <c r="H101" s="57">
        <v>45282</v>
      </c>
      <c r="I101" s="19"/>
      <c r="J101" s="107"/>
      <c r="K101" s="97" t="str">
        <f ca="1">IF(J101="","Date",IF(J101&lt;&gt;"",IF(K101="Date",NOW(),K101),""))</f>
        <v>Date</v>
      </c>
      <c r="L101" s="84"/>
    </row>
    <row r="102" spans="1:12">
      <c r="A102" s="19">
        <v>918850158</v>
      </c>
      <c r="B102" s="96">
        <v>44872</v>
      </c>
      <c r="C102" s="19" t="str">
        <f>IF(ISBLANK(A102),"Name",IF(ISNA(VLOOKUP(A102,'Master List'!A:C,2,FALSE)), "Not Found", VLOOKUP(A102,'Master List'!A:C,2,FALSE)))</f>
        <v>Briana Merinda</v>
      </c>
      <c r="D102" s="19" t="str">
        <f>IF(ISBLANK(A102), "Email",IF(ISNA(VLOOKUP(A102,'Master List'!A:C,3,FALSE)), "Not Found", VLOOKUP(A102,'Master List'!A:C,3,FALSE)))</f>
        <v>brianamiranda@sfsu.edu</v>
      </c>
      <c r="E102" s="19" t="s">
        <v>42</v>
      </c>
      <c r="F102" s="4" t="str">
        <f>IF(OR(A102="",E102="","",A102="?",E102="?"),"duplicate?",IF(COUNTIFS($A:A,A102,E:E,E102)&gt;1,"yes","no"))</f>
        <v>no</v>
      </c>
      <c r="G102" s="92"/>
      <c r="H102" s="57">
        <v>45079</v>
      </c>
      <c r="I102" s="19"/>
      <c r="J102" s="107"/>
      <c r="K102" s="97" t="str">
        <f ca="1">IF(J102="","Date",IF(J102&lt;&gt;"",IF(K102="Date",NOW(),K102),""))</f>
        <v>Date</v>
      </c>
      <c r="L102" s="84"/>
    </row>
    <row r="103" spans="1:12">
      <c r="A103" s="19">
        <v>917242331</v>
      </c>
      <c r="B103" s="96">
        <v>44872</v>
      </c>
      <c r="C103" s="19" t="str">
        <f>IF(ISBLANK(A103),"Name",IF(ISNA(VLOOKUP(A103,'Master List'!A:C,2,FALSE)), "Not Found", VLOOKUP(A103,'Master List'!A:C,2,FALSE)))</f>
        <v>Ilana Crispi</v>
      </c>
      <c r="D103" s="19" t="str">
        <f>IF(ISBLANK(A103), "Email",IF(ISNA(VLOOKUP(A103,'Master List'!A:C,3,FALSE)), "Not Found", VLOOKUP(A103,'Master List'!A:C,3,FALSE)))</f>
        <v>icrispi@sfsu.edu</v>
      </c>
      <c r="E103" s="19" t="s">
        <v>20</v>
      </c>
      <c r="F103" s="4" t="str">
        <f>IF(OR(A103="",E103="","",A103="?",E103="?"),"duplicate?",IF(COUNTIFS($A:A,A103,E:E,E103)&gt;1,"yes","no"))</f>
        <v>no</v>
      </c>
      <c r="G103" s="92"/>
      <c r="H103" s="57">
        <v>45282</v>
      </c>
      <c r="I103" s="19"/>
      <c r="J103" s="107"/>
      <c r="K103" s="97" t="str">
        <f ca="1">IF(J103="","Date",IF(J103&lt;&gt;"",IF(K103="Date",NOW(),K103),""))</f>
        <v>Date</v>
      </c>
      <c r="L103" s="84"/>
    </row>
    <row r="104" spans="1:12">
      <c r="A104" s="19">
        <v>911407775</v>
      </c>
      <c r="B104" s="96">
        <v>44872</v>
      </c>
      <c r="C104" s="19" t="str">
        <f>IF(ISBLANK(A104),"Name",IF(ISNA(VLOOKUP(A104,'Master List'!A:C,2,FALSE)), "Not Found", VLOOKUP(A104,'Master List'!A:C,2,FALSE)))</f>
        <v>Deborah Farris</v>
      </c>
      <c r="D104" s="19" t="str">
        <f>IF(ISBLANK(A104), "Email",IF(ISNA(VLOOKUP(A104,'Master List'!A:C,3,FALSE)), "Not Found", VLOOKUP(A104,'Master List'!A:C,3,FALSE)))</f>
        <v>dfarris@mail.sfsu.edu</v>
      </c>
      <c r="E104" s="19" t="s">
        <v>19</v>
      </c>
      <c r="F104" s="4" t="str">
        <f>IF(OR(A104="",E104="","",A104="?",E104="?"),"duplicate?",IF(COUNTIFS($A:A,A104,E:E,E104)&gt;1,"yes","no"))</f>
        <v>no</v>
      </c>
      <c r="G104" s="92"/>
      <c r="H104" s="57">
        <v>45282</v>
      </c>
      <c r="I104" s="19"/>
      <c r="J104" s="107"/>
      <c r="K104" s="97" t="str">
        <f ca="1">IF(J104="","Date",IF(J104&lt;&gt;"",IF(K104="Date",NOW(),K104),""))</f>
        <v>Date</v>
      </c>
      <c r="L104" s="84"/>
    </row>
    <row r="105" spans="1:12">
      <c r="A105" s="19">
        <v>918845608</v>
      </c>
      <c r="B105" s="96">
        <v>44874</v>
      </c>
      <c r="C105" s="19" t="str">
        <f>IF(ISBLANK(A105),"Name",IF(ISNA(VLOOKUP(A105,'Master List'!A:C,2,FALSE)), "Not Found", VLOOKUP(A105,'Master List'!A:C,2,FALSE)))</f>
        <v>Angela Fillingim</v>
      </c>
      <c r="D105" s="19" t="str">
        <f>IF(ISBLANK(A105), "Email",IF(ISNA(VLOOKUP(A105,'Master List'!A:C,3,FALSE)), "Not Found", VLOOKUP(A105,'Master List'!A:C,3,FALSE)))</f>
        <v>afillingim@sfsu.edu</v>
      </c>
      <c r="E105" s="19" t="s">
        <v>46</v>
      </c>
      <c r="F105" s="4" t="str">
        <f>IF(OR(A105="",E105="","",A105="?",E105="?"),"duplicate?",IF(COUNTIFS($A:A,A105,E:E,E105)&gt;1,"yes","no"))</f>
        <v>no</v>
      </c>
      <c r="G105" s="92"/>
      <c r="H105" s="57">
        <v>45282</v>
      </c>
      <c r="I105" s="19" t="s">
        <v>47</v>
      </c>
      <c r="J105" s="107"/>
      <c r="K105" s="97" t="str">
        <f ca="1">IF(J105="","Date",IF(J105&lt;&gt;"",IF(K105="Date",NOW(),K105),""))</f>
        <v>Date</v>
      </c>
      <c r="L105" s="84"/>
    </row>
    <row r="106" spans="1:12">
      <c r="A106" s="19">
        <v>913683958</v>
      </c>
      <c r="B106" s="96">
        <v>44874</v>
      </c>
      <c r="C106" s="19" t="str">
        <f>IF(ISBLANK(A106),"Name",IF(ISNA(VLOOKUP(A106,'Master List'!A:C,2,FALSE)), "Not Found", VLOOKUP(A106,'Master List'!A:C,2,FALSE)))</f>
        <v>Andrea Crapanzano</v>
      </c>
      <c r="D106" s="19" t="str">
        <f>IF(ISBLANK(A106), "Email",IF(ISNA(VLOOKUP(A106,'Master List'!A:C,3,FALSE)), "Not Found", VLOOKUP(A106,'Master List'!A:C,3,FALSE)))</f>
        <v>acrapanzano@sfsu.edu</v>
      </c>
      <c r="E106" s="19" t="s">
        <v>16</v>
      </c>
      <c r="F106" s="4" t="str">
        <f>IF(OR(A106="",E106="","",A106="?",E106="?"),"duplicate?",IF(COUNTIFS($A:A,A106,E:E,E106)&gt;1,"yes","no"))</f>
        <v>no</v>
      </c>
      <c r="G106" s="92"/>
      <c r="H106" s="57">
        <v>45282</v>
      </c>
      <c r="I106" s="19" t="s">
        <v>47</v>
      </c>
      <c r="J106" s="107"/>
      <c r="K106" s="97" t="str">
        <f ca="1">IF(J106="","Date",IF(J106&lt;&gt;"",IF(K106="Date",NOW(),K106),""))</f>
        <v>Date</v>
      </c>
      <c r="L106" s="84"/>
    </row>
    <row r="107" spans="1:12">
      <c r="A107" s="19">
        <v>918845608</v>
      </c>
      <c r="B107" s="96">
        <v>44874</v>
      </c>
      <c r="C107" s="19" t="str">
        <f>IF(ISBLANK(A107),"Name",IF(ISNA(VLOOKUP(A107,'Master List'!A:C,2,FALSE)), "Not Found", VLOOKUP(A107,'Master List'!A:C,2,FALSE)))</f>
        <v>Angela Fillingim</v>
      </c>
      <c r="D107" s="19" t="str">
        <f>IF(ISBLANK(A107), "Email",IF(ISNA(VLOOKUP(A107,'Master List'!A:C,3,FALSE)), "Not Found", VLOOKUP(A107,'Master List'!A:C,3,FALSE)))</f>
        <v>afillingim@sfsu.edu</v>
      </c>
      <c r="E107" s="19" t="s">
        <v>16</v>
      </c>
      <c r="F107" s="4" t="str">
        <f>IF(OR(A107="",E107="","",A107="?",E107="?"),"duplicate?",IF(COUNTIFS($A:A,A107,E:E,E107)&gt;1,"yes","no"))</f>
        <v>no</v>
      </c>
      <c r="G107" s="92"/>
      <c r="H107" s="57">
        <v>45282</v>
      </c>
      <c r="I107" s="19" t="s">
        <v>47</v>
      </c>
      <c r="J107" s="107"/>
      <c r="K107" s="97" t="str">
        <f ca="1">IF(J107="","Date",IF(J107&lt;&gt;"",IF(K107="Date",NOW(),K107),""))</f>
        <v>Date</v>
      </c>
      <c r="L107" s="84"/>
    </row>
    <row r="108" spans="1:12">
      <c r="A108" s="19">
        <v>912991357</v>
      </c>
      <c r="B108" s="96">
        <v>44874</v>
      </c>
      <c r="C108" s="19" t="str">
        <f>IF(ISBLANK(A108),"Name",IF(ISNA(VLOOKUP(A108,'Master List'!A:C,2,FALSE)), "Not Found", VLOOKUP(A108,'Master List'!A:C,2,FALSE)))</f>
        <v>Anne Linton</v>
      </c>
      <c r="D108" s="19" t="str">
        <f>IF(ISBLANK(A108), "Email",IF(ISNA(VLOOKUP(A108,'Master List'!A:C,3,FALSE)), "Not Found", VLOOKUP(A108,'Master List'!A:C,3,FALSE)))</f>
        <v>aelinton@sfsu.edu</v>
      </c>
      <c r="E108" s="19" t="s">
        <v>24</v>
      </c>
      <c r="F108" s="4" t="str">
        <f>IF(OR(A108="",E108="","",A108="?",E108="?"),"duplicate?",IF(COUNTIFS($A:A,A108,E:E,E108)&gt;1,"yes","no"))</f>
        <v>no</v>
      </c>
      <c r="G108" s="92"/>
      <c r="H108" s="57">
        <v>45282</v>
      </c>
      <c r="I108" s="19" t="s">
        <v>47</v>
      </c>
      <c r="J108" s="107"/>
      <c r="K108" s="97" t="str">
        <f ca="1">IF(J108="","Date",IF(J108&lt;&gt;"",IF(K108="Date",NOW(),K108),""))</f>
        <v>Date</v>
      </c>
      <c r="L108" s="84"/>
    </row>
    <row r="109" spans="1:12">
      <c r="A109" s="19">
        <v>909024589</v>
      </c>
      <c r="B109" s="96">
        <v>44874</v>
      </c>
      <c r="C109" s="19" t="str">
        <f>IF(ISBLANK(A109),"Name",IF(ISNA(VLOOKUP(A109,'Master List'!A:C,2,FALSE)), "Not Found", VLOOKUP(A109,'Master List'!A:C,2,FALSE)))</f>
        <v>B ferns</v>
      </c>
      <c r="D109" s="19" t="str">
        <f>IF(ISBLANK(A109), "Email",IF(ISNA(VLOOKUP(A109,'Master List'!A:C,3,FALSE)), "Not Found", VLOOKUP(A109,'Master List'!A:C,3,FALSE)))</f>
        <v>fern.bryan@gmail.com</v>
      </c>
      <c r="E109" s="19" t="s">
        <v>19</v>
      </c>
      <c r="F109" s="4" t="str">
        <f>IF(OR(A109="",E109="","",A109="?",E109="?"),"duplicate?",IF(COUNTIFS($A:A,A109,E:E,E109)&gt;1,"yes","no"))</f>
        <v>yes</v>
      </c>
      <c r="G109" s="92"/>
      <c r="H109" s="57">
        <v>45282</v>
      </c>
      <c r="I109" s="19" t="s">
        <v>47</v>
      </c>
      <c r="J109" s="107"/>
      <c r="K109" s="97" t="str">
        <f ca="1">IF(J109="","Date",IF(J109&lt;&gt;"",IF(K109="Date",NOW(),K109),""))</f>
        <v>Date</v>
      </c>
      <c r="L109" s="84"/>
    </row>
    <row r="110" spans="1:12">
      <c r="A110" s="19">
        <v>909024589</v>
      </c>
      <c r="B110" s="96">
        <v>44874</v>
      </c>
      <c r="C110" s="19" t="str">
        <f>IF(ISBLANK(A110),"Name",IF(ISNA(VLOOKUP(A110,'Master List'!A:C,2,FALSE)), "Not Found", VLOOKUP(A110,'Master List'!A:C,2,FALSE)))</f>
        <v>B ferns</v>
      </c>
      <c r="D110" s="19" t="str">
        <f>IF(ISBLANK(A110), "Email",IF(ISNA(VLOOKUP(A110,'Master List'!A:C,3,FALSE)), "Not Found", VLOOKUP(A110,'Master List'!A:C,3,FALSE)))</f>
        <v>fern.bryan@gmail.com</v>
      </c>
      <c r="E110" s="19" t="s">
        <v>19</v>
      </c>
      <c r="F110" s="4" t="str">
        <f>IF(OR(A110="",E110="","",A110="?",E110="?"),"duplicate?",IF(COUNTIFS($A:A,A110,E:E,E110)&gt;1,"yes","no"))</f>
        <v>yes</v>
      </c>
      <c r="G110" s="92"/>
      <c r="H110" s="57">
        <v>45282</v>
      </c>
      <c r="I110" s="19"/>
      <c r="J110" s="107"/>
      <c r="K110" s="97" t="str">
        <f ca="1">IF(J110="","Date",IF(J110&lt;&gt;"",IF(K110="Date",NOW(),K110),""))</f>
        <v>Date</v>
      </c>
      <c r="L110" s="84"/>
    </row>
    <row r="111" spans="1:12">
      <c r="A111" s="19">
        <v>917316938</v>
      </c>
      <c r="B111" s="96">
        <v>44874</v>
      </c>
      <c r="C111" s="19" t="str">
        <f>IF(ISBLANK(A111),"Name",IF(ISNA(VLOOKUP(A111,'Master List'!A:C,2,FALSE)), "Not Found", VLOOKUP(A111,'Master List'!A:C,2,FALSE)))</f>
        <v>Brian Vu</v>
      </c>
      <c r="D111" s="19" t="str">
        <f>IF(ISBLANK(A111), "Email",IF(ISNA(VLOOKUP(A111,'Master List'!A:C,3,FALSE)), "Not Found", VLOOKUP(A111,'Master List'!A:C,3,FALSE)))</f>
        <v>brianvu@sfsu.edu</v>
      </c>
      <c r="E111" s="19" t="s">
        <v>36</v>
      </c>
      <c r="F111" s="4" t="str">
        <f>IF(OR(A111="",E111="","",A111="?",E111="?"),"duplicate?",IF(COUNTIFS($A:A,A111,E:E,E111)&gt;1,"yes","no"))</f>
        <v>no</v>
      </c>
      <c r="G111" s="92"/>
      <c r="H111" s="57">
        <v>45282</v>
      </c>
      <c r="I111" s="19" t="s">
        <v>47</v>
      </c>
      <c r="J111" s="107"/>
      <c r="K111" s="97" t="str">
        <f ca="1">IF(J111="","Date",IF(J111&lt;&gt;"",IF(K111="Date",NOW(),K111),""))</f>
        <v>Date</v>
      </c>
      <c r="L111" s="84"/>
    </row>
    <row r="112" spans="1:12">
      <c r="A112" s="19">
        <v>918836274</v>
      </c>
      <c r="B112" s="96">
        <v>44874</v>
      </c>
      <c r="C112" s="19" t="str">
        <f>IF(ISBLANK(A112),"Name",IF(ISNA(VLOOKUP(A112,'Master List'!A:C,2,FALSE)), "Not Found", VLOOKUP(A112,'Master List'!A:C,2,FALSE)))</f>
        <v>Caroline Casper</v>
      </c>
      <c r="D112" s="19" t="str">
        <f>IF(ISBLANK(A112), "Email",IF(ISNA(VLOOKUP(A112,'Master List'!A:C,3,FALSE)), "Not Found", VLOOKUP(A112,'Master List'!A:C,3,FALSE)))</f>
        <v>ccasper@sfsu.edu</v>
      </c>
      <c r="E112" s="19" t="s">
        <v>19</v>
      </c>
      <c r="F112" s="4" t="str">
        <f>IF(OR(A112="",E112="","",A112="?",E112="?"),"duplicate?",IF(COUNTIFS($A:A,A112,E:E,E112)&gt;1,"yes","no"))</f>
        <v>yes</v>
      </c>
      <c r="G112" s="92"/>
      <c r="H112" s="57">
        <v>45282</v>
      </c>
      <c r="I112" s="19" t="s">
        <v>47</v>
      </c>
      <c r="J112" s="107"/>
      <c r="K112" s="97" t="str">
        <f ca="1">IF(J112="","Date",IF(J112&lt;&gt;"",IF(K112="Date",NOW(),K112),""))</f>
        <v>Date</v>
      </c>
      <c r="L112" s="84"/>
    </row>
    <row r="113" spans="1:12">
      <c r="A113" s="19">
        <v>921389102</v>
      </c>
      <c r="B113" s="96">
        <v>44874</v>
      </c>
      <c r="C113" s="19" t="str">
        <f>IF(ISBLANK(A113),"Name",IF(ISNA(VLOOKUP(A113,'Master List'!A:C,2,FALSE)), "Not Found", VLOOKUP(A113,'Master List'!A:C,2,FALSE)))</f>
        <v>Christine Vargas</v>
      </c>
      <c r="D113" s="19" t="str">
        <f>IF(ISBLANK(A113), "Email",IF(ISNA(VLOOKUP(A113,'Master List'!A:C,3,FALSE)), "Not Found", VLOOKUP(A113,'Master List'!A:C,3,FALSE)))</f>
        <v>christinemariev98@gmail.com</v>
      </c>
      <c r="E113" s="19" t="s">
        <v>36</v>
      </c>
      <c r="F113" s="4" t="str">
        <f>IF(OR(A113="",E113="","",A113="?",E113="?"),"duplicate?",IF(COUNTIFS($A:A,A113,E:E,E113)&gt;1,"yes","no"))</f>
        <v>no</v>
      </c>
      <c r="G113" s="92"/>
      <c r="H113" s="57">
        <v>45282</v>
      </c>
      <c r="I113" s="19" t="s">
        <v>47</v>
      </c>
      <c r="J113" s="107"/>
      <c r="K113" s="97" t="str">
        <f ca="1">IF(J113="","Date",IF(J113&lt;&gt;"",IF(K113="Date",NOW(),K113),""))</f>
        <v>Date</v>
      </c>
      <c r="L113" s="84"/>
    </row>
    <row r="114" spans="1:12">
      <c r="A114" s="19">
        <v>900029746</v>
      </c>
      <c r="B114" s="96">
        <v>44874</v>
      </c>
      <c r="C114" s="19" t="str">
        <f>IF(ISBLANK(A114),"Name",IF(ISNA(VLOOKUP(A114,'Master List'!A:C,2,FALSE)), "Not Found", VLOOKUP(A114,'Master List'!A:C,2,FALSE)))</f>
        <v>Diana Rumjahn</v>
      </c>
      <c r="D114" s="19" t="str">
        <f>IF(ISBLANK(A114), "Email",IF(ISNA(VLOOKUP(A114,'Master List'!A:C,3,FALSE)), "Not Found", VLOOKUP(A114,'Master List'!A:C,3,FALSE)))</f>
        <v>drumjahn@sfsu.edu</v>
      </c>
      <c r="E114" s="19" t="s">
        <v>19</v>
      </c>
      <c r="F114" s="4" t="str">
        <f>IF(OR(A114="",E114="","",A114="?",E114="?"),"duplicate?",IF(COUNTIFS($A:A,A114,E:E,E114)&gt;1,"yes","no"))</f>
        <v>yes</v>
      </c>
      <c r="G114" s="92"/>
      <c r="H114" s="57">
        <v>45282</v>
      </c>
      <c r="I114" s="19"/>
      <c r="J114" s="107"/>
      <c r="K114" s="97" t="str">
        <f ca="1">IF(J114="","Date",IF(J114&lt;&gt;"",IF(K114="Date",NOW(),K114),""))</f>
        <v>Date</v>
      </c>
      <c r="L114" s="84"/>
    </row>
    <row r="115" spans="1:12">
      <c r="A115" s="19">
        <v>900029746</v>
      </c>
      <c r="B115" s="96">
        <v>44874</v>
      </c>
      <c r="C115" s="19" t="str">
        <f>IF(ISBLANK(A115),"Name",IF(ISNA(VLOOKUP(A115,'Master List'!A:C,2,FALSE)), "Not Found", VLOOKUP(A115,'Master List'!A:C,2,FALSE)))</f>
        <v>Diana Rumjahn</v>
      </c>
      <c r="D115" s="19" t="str">
        <f>IF(ISBLANK(A115), "Email",IF(ISNA(VLOOKUP(A115,'Master List'!A:C,3,FALSE)), "Not Found", VLOOKUP(A115,'Master List'!A:C,3,FALSE)))</f>
        <v>drumjahn@sfsu.edu</v>
      </c>
      <c r="E115" s="19" t="s">
        <v>17</v>
      </c>
      <c r="F115" s="4" t="str">
        <f>IF(OR(A115="",E115="","",A115="?",E115="?"),"duplicate?",IF(COUNTIFS($A:A,A115,E:E,E115)&gt;1,"yes","no"))</f>
        <v>yes</v>
      </c>
      <c r="G115" s="92"/>
      <c r="H115" s="57">
        <v>45282</v>
      </c>
      <c r="I115" s="19"/>
      <c r="J115" s="107"/>
      <c r="K115" s="97" t="str">
        <f ca="1">IF(J115="","Date",IF(J115&lt;&gt;"",IF(K115="Date",NOW(),K115),""))</f>
        <v>Date</v>
      </c>
      <c r="L115" s="84"/>
    </row>
    <row r="116" spans="1:12">
      <c r="A116" s="19">
        <v>900029746</v>
      </c>
      <c r="B116" s="96">
        <v>44874</v>
      </c>
      <c r="C116" s="19" t="str">
        <f>IF(ISBLANK(A116),"Name",IF(ISNA(VLOOKUP(A116,'Master List'!A:C,2,FALSE)), "Not Found", VLOOKUP(A116,'Master List'!A:C,2,FALSE)))</f>
        <v>Diana Rumjahn</v>
      </c>
      <c r="D116" s="19" t="str">
        <f>IF(ISBLANK(A116), "Email",IF(ISNA(VLOOKUP(A116,'Master List'!A:C,3,FALSE)), "Not Found", VLOOKUP(A116,'Master List'!A:C,3,FALSE)))</f>
        <v>drumjahn@sfsu.edu</v>
      </c>
      <c r="E116" s="19" t="s">
        <v>17</v>
      </c>
      <c r="F116" s="4" t="str">
        <f>IF(OR(A116="",E116="","",A116="?",E116="?"),"duplicate?",IF(COUNTIFS($A:A,A116,E:E,E116)&gt;1,"yes","no"))</f>
        <v>yes</v>
      </c>
      <c r="G116" s="92"/>
      <c r="H116" s="57">
        <v>45282</v>
      </c>
      <c r="I116" s="19"/>
      <c r="J116" s="107"/>
      <c r="K116" s="97" t="str">
        <f ca="1">IF(J116="","Date",IF(J116&lt;&gt;"",IF(K116="Date",NOW(),K116),""))</f>
        <v>Date</v>
      </c>
      <c r="L116" s="84"/>
    </row>
    <row r="117" spans="1:12">
      <c r="A117" s="19">
        <v>900029746</v>
      </c>
      <c r="B117" s="96">
        <v>44874</v>
      </c>
      <c r="C117" s="19" t="str">
        <f>IF(ISBLANK(A117),"Name",IF(ISNA(VLOOKUP(A117,'Master List'!A:C,2,FALSE)), "Not Found", VLOOKUP(A117,'Master List'!A:C,2,FALSE)))</f>
        <v>Diana Rumjahn</v>
      </c>
      <c r="D117" s="19" t="str">
        <f>IF(ISBLANK(A117), "Email",IF(ISNA(VLOOKUP(A117,'Master List'!A:C,3,FALSE)), "Not Found", VLOOKUP(A117,'Master List'!A:C,3,FALSE)))</f>
        <v>drumjahn@sfsu.edu</v>
      </c>
      <c r="E117" s="19" t="s">
        <v>19</v>
      </c>
      <c r="F117" s="4" t="str">
        <f>IF(OR(A117="",E117="","",A117="?",E117="?"),"duplicate?",IF(COUNTIFS($A:A,A117,E:E,E117)&gt;1,"yes","no"))</f>
        <v>yes</v>
      </c>
      <c r="G117" s="92"/>
      <c r="H117" s="57">
        <v>45282</v>
      </c>
      <c r="I117" s="19"/>
      <c r="J117" s="107"/>
      <c r="K117" s="97" t="str">
        <f ca="1">IF(J117="","Date",IF(J117&lt;&gt;"",IF(K117="Date",NOW(),K117),""))</f>
        <v>Date</v>
      </c>
      <c r="L117" s="84"/>
    </row>
    <row r="118" spans="1:12">
      <c r="A118" s="19">
        <v>900029746</v>
      </c>
      <c r="B118" s="96">
        <v>44874</v>
      </c>
      <c r="C118" s="19" t="str">
        <f>IF(ISBLANK(A118),"Name",IF(ISNA(VLOOKUP(A118,'Master List'!A:C,2,FALSE)), "Not Found", VLOOKUP(A118,'Master List'!A:C,2,FALSE)))</f>
        <v>Diana Rumjahn</v>
      </c>
      <c r="D118" s="19" t="str">
        <f>IF(ISBLANK(A118), "Email",IF(ISNA(VLOOKUP(A118,'Master List'!A:C,3,FALSE)), "Not Found", VLOOKUP(A118,'Master List'!A:C,3,FALSE)))</f>
        <v>drumjahn@sfsu.edu</v>
      </c>
      <c r="E118" s="19" t="s">
        <v>19</v>
      </c>
      <c r="F118" s="4" t="str">
        <f>IF(OR(A118="",E118="","",A118="?",E118="?"),"duplicate?",IF(COUNTIFS($A:A,A118,E:E,E118)&gt;1,"yes","no"))</f>
        <v>yes</v>
      </c>
      <c r="G118" s="92"/>
      <c r="H118" s="57">
        <v>45282</v>
      </c>
      <c r="I118" s="19"/>
      <c r="J118" s="107"/>
      <c r="K118" s="97" t="str">
        <f ca="1">IF(J118="","Date",IF(J118&lt;&gt;"",IF(K118="Date",NOW(),K118),""))</f>
        <v>Date</v>
      </c>
      <c r="L118" s="84"/>
    </row>
    <row r="119" spans="1:12">
      <c r="A119" s="19">
        <v>900029746</v>
      </c>
      <c r="B119" s="96">
        <v>44874</v>
      </c>
      <c r="C119" s="19" t="str">
        <f>IF(ISBLANK(A119),"Name",IF(ISNA(VLOOKUP(A119,'Master List'!A:C,2,FALSE)), "Not Found", VLOOKUP(A119,'Master List'!A:C,2,FALSE)))</f>
        <v>Diana Rumjahn</v>
      </c>
      <c r="D119" s="19" t="str">
        <f>IF(ISBLANK(A119), "Email",IF(ISNA(VLOOKUP(A119,'Master List'!A:C,3,FALSE)), "Not Found", VLOOKUP(A119,'Master List'!A:C,3,FALSE)))</f>
        <v>drumjahn@sfsu.edu</v>
      </c>
      <c r="E119" s="19" t="s">
        <v>19</v>
      </c>
      <c r="F119" s="4" t="str">
        <f>IF(OR(A119="",E119="","",A119="?",E119="?"),"duplicate?",IF(COUNTIFS($A:A,A119,E:E,E119)&gt;1,"yes","no"))</f>
        <v>yes</v>
      </c>
      <c r="G119" s="92"/>
      <c r="H119" s="57">
        <v>45282</v>
      </c>
      <c r="I119" s="19"/>
      <c r="J119" s="107"/>
      <c r="K119" s="97" t="str">
        <f ca="1">IF(J119="","Date",IF(J119&lt;&gt;"",IF(K119="Date",NOW(),K119),""))</f>
        <v>Date</v>
      </c>
      <c r="L119" s="84"/>
    </row>
    <row r="120" spans="1:12">
      <c r="A120" s="19">
        <v>900029746</v>
      </c>
      <c r="B120" s="96">
        <v>44874</v>
      </c>
      <c r="C120" s="19" t="str">
        <f>IF(ISBLANK(A120),"Name",IF(ISNA(VLOOKUP(A120,'Master List'!A:C,2,FALSE)), "Not Found", VLOOKUP(A120,'Master List'!A:C,2,FALSE)))</f>
        <v>Diana Rumjahn</v>
      </c>
      <c r="D120" s="19" t="str">
        <f>IF(ISBLANK(A120), "Email",IF(ISNA(VLOOKUP(A120,'Master List'!A:C,3,FALSE)), "Not Found", VLOOKUP(A120,'Master List'!A:C,3,FALSE)))</f>
        <v>drumjahn@sfsu.edu</v>
      </c>
      <c r="E120" s="19" t="s">
        <v>19</v>
      </c>
      <c r="F120" s="4" t="str">
        <f>IF(OR(A120="",E120="","",A120="?",E120="?"),"duplicate?",IF(COUNTIFS($A:A,A120,E:E,E120)&gt;1,"yes","no"))</f>
        <v>yes</v>
      </c>
      <c r="G120" s="92"/>
      <c r="H120" s="57">
        <v>45282</v>
      </c>
      <c r="I120" s="19"/>
      <c r="J120" s="107"/>
      <c r="K120" s="97" t="str">
        <f ca="1">IF(J120="","Date",IF(J120&lt;&gt;"",IF(K120="Date",NOW(),K120),""))</f>
        <v>Date</v>
      </c>
      <c r="L120" s="84"/>
    </row>
    <row r="121" spans="1:12">
      <c r="A121" s="19">
        <v>900029746</v>
      </c>
      <c r="B121" s="96">
        <v>44874</v>
      </c>
      <c r="C121" s="19" t="str">
        <f>IF(ISBLANK(A121),"Name",IF(ISNA(VLOOKUP(A121,'Master List'!A:C,2,FALSE)), "Not Found", VLOOKUP(A121,'Master List'!A:C,2,FALSE)))</f>
        <v>Diana Rumjahn</v>
      </c>
      <c r="D121" s="19" t="str">
        <f>IF(ISBLANK(A121), "Email",IF(ISNA(VLOOKUP(A121,'Master List'!A:C,3,FALSE)), "Not Found", VLOOKUP(A121,'Master List'!A:C,3,FALSE)))</f>
        <v>drumjahn@sfsu.edu</v>
      </c>
      <c r="E121" s="19" t="s">
        <v>16</v>
      </c>
      <c r="F121" s="4" t="str">
        <f>IF(OR(A121="",E121="","",A121="?",E121="?"),"duplicate?",IF(COUNTIFS($A:A,A121,E:E,E121)&gt;1,"yes","no"))</f>
        <v>yes</v>
      </c>
      <c r="G121" s="92"/>
      <c r="H121" s="57">
        <v>45282</v>
      </c>
      <c r="I121" s="19"/>
      <c r="J121" s="107"/>
      <c r="K121" s="97" t="str">
        <f ca="1">IF(J121="","Date",IF(J121&lt;&gt;"",IF(K121="Date",NOW(),K121),""))</f>
        <v>Date</v>
      </c>
      <c r="L121" s="84"/>
    </row>
    <row r="122" spans="1:12">
      <c r="A122" s="19">
        <v>900029746</v>
      </c>
      <c r="B122" s="96">
        <v>44874</v>
      </c>
      <c r="C122" s="19" t="str">
        <f>IF(ISBLANK(A122),"Name",IF(ISNA(VLOOKUP(A122,'Master List'!A:C,2,FALSE)), "Not Found", VLOOKUP(A122,'Master List'!A:C,2,FALSE)))</f>
        <v>Diana Rumjahn</v>
      </c>
      <c r="D122" s="19" t="str">
        <f>IF(ISBLANK(A122), "Email",IF(ISNA(VLOOKUP(A122,'Master List'!A:C,3,FALSE)), "Not Found", VLOOKUP(A122,'Master List'!A:C,3,FALSE)))</f>
        <v>drumjahn@sfsu.edu</v>
      </c>
      <c r="E122" s="19" t="s">
        <v>16</v>
      </c>
      <c r="F122" s="4" t="str">
        <f>IF(OR(A122="",E122="","",A122="?",E122="?"),"duplicate?",IF(COUNTIFS($A:A,A122,E:E,E122)&gt;1,"yes","no"))</f>
        <v>yes</v>
      </c>
      <c r="G122" s="92"/>
      <c r="H122" s="57">
        <v>45282</v>
      </c>
      <c r="I122" s="19" t="s">
        <v>47</v>
      </c>
      <c r="J122" s="107"/>
      <c r="K122" s="97" t="str">
        <f ca="1">IF(J122="","Date",IF(J122&lt;&gt;"",IF(K122="Date",NOW(),K122),""))</f>
        <v>Date</v>
      </c>
      <c r="L122" s="84"/>
    </row>
    <row r="123" spans="1:12">
      <c r="A123" s="19">
        <v>909749144</v>
      </c>
      <c r="B123" s="96">
        <v>44874</v>
      </c>
      <c r="C123" s="19" t="str">
        <f>IF(ISBLANK(A123),"Name",IF(ISNA(VLOOKUP(A123,'Master List'!A:C,2,FALSE)), "Not Found", VLOOKUP(A123,'Master List'!A:C,2,FALSE)))</f>
        <v>Erica Maciel</v>
      </c>
      <c r="D123" s="19" t="str">
        <f>IF(ISBLANK(A123), "Email",IF(ISNA(VLOOKUP(A123,'Master List'!A:C,3,FALSE)), "Not Found", VLOOKUP(A123,'Master List'!A:C,3,FALSE)))</f>
        <v>emaciel@sfsu.edu</v>
      </c>
      <c r="E123" s="19" t="s">
        <v>48</v>
      </c>
      <c r="F123" s="4" t="str">
        <f>IF(OR(A123="",E123="","",A123="?",E123="?"),"duplicate?",IF(COUNTIFS($A:A,A123,E:E,E123)&gt;1,"yes","no"))</f>
        <v>no</v>
      </c>
      <c r="G123" s="92"/>
      <c r="H123" s="57">
        <v>45282</v>
      </c>
      <c r="I123" s="19"/>
      <c r="J123" s="107"/>
      <c r="K123" s="97" t="str">
        <f ca="1">IF(J123="","Date",IF(J123&lt;&gt;"",IF(K123="Date",NOW(),K123),""))</f>
        <v>Date</v>
      </c>
      <c r="L123" s="84"/>
    </row>
    <row r="124" spans="1:12">
      <c r="A124" s="19">
        <v>909749144</v>
      </c>
      <c r="B124" s="96">
        <v>44874</v>
      </c>
      <c r="C124" s="19" t="str">
        <f>IF(ISBLANK(A124),"Name",IF(ISNA(VLOOKUP(A124,'Master List'!A:C,2,FALSE)), "Not Found", VLOOKUP(A124,'Master List'!A:C,2,FALSE)))</f>
        <v>Erica Maciel</v>
      </c>
      <c r="D124" s="19" t="str">
        <f>IF(ISBLANK(A124), "Email",IF(ISNA(VLOOKUP(A124,'Master List'!A:C,3,FALSE)), "Not Found", VLOOKUP(A124,'Master List'!A:C,3,FALSE)))</f>
        <v>emaciel@sfsu.edu</v>
      </c>
      <c r="E124" s="19" t="s">
        <v>28</v>
      </c>
      <c r="F124" s="4" t="str">
        <f>IF(OR(A124="",E124="","",A124="?",E124="?"),"duplicate?",IF(COUNTIFS($A:A,A124,E:E,E124)&gt;1,"yes","no"))</f>
        <v>no</v>
      </c>
      <c r="G124" s="92"/>
      <c r="H124" s="57">
        <v>45282</v>
      </c>
      <c r="I124" s="19" t="s">
        <v>47</v>
      </c>
      <c r="J124" s="107"/>
      <c r="K124" s="97" t="str">
        <f ca="1">IF(J124="","Date",IF(J124&lt;&gt;"",IF(K124="Date",NOW(),K124),""))</f>
        <v>Date</v>
      </c>
      <c r="L124" s="84"/>
    </row>
    <row r="125" spans="1:12">
      <c r="A125" s="19">
        <v>902976066</v>
      </c>
      <c r="B125" s="96">
        <v>44874</v>
      </c>
      <c r="C125" s="19" t="str">
        <f>IF(ISBLANK(A125),"Name",IF(ISNA(VLOOKUP(A125,'Master List'!A:C,2,FALSE)), "Not Found", VLOOKUP(A125,'Master List'!A:C,2,FALSE)))</f>
        <v>Fenicia Jacks, ASW, PPSC</v>
      </c>
      <c r="D125" s="19" t="str">
        <f>IF(ISBLANK(A125), "Email",IF(ISNA(VLOOKUP(A125,'Master List'!A:C,3,FALSE)), "Not Found", VLOOKUP(A125,'Master List'!A:C,3,FALSE)))</f>
        <v>jacksf@sfsu.edu</v>
      </c>
      <c r="E125" s="19" t="s">
        <v>25</v>
      </c>
      <c r="F125" s="4" t="str">
        <f>IF(OR(A125="",E125="","",A125="?",E125="?"),"duplicate?",IF(COUNTIFS($A:A,A125,E:E,E125)&gt;1,"yes","no"))</f>
        <v>no</v>
      </c>
      <c r="G125" s="92"/>
      <c r="H125" s="57">
        <v>45282</v>
      </c>
      <c r="I125" s="19" t="s">
        <v>47</v>
      </c>
      <c r="J125" s="107"/>
      <c r="K125" s="97" t="str">
        <f ca="1">IF(J125="","Date",IF(J125&lt;&gt;"",IF(K125="Date",NOW(),K125),""))</f>
        <v>Date</v>
      </c>
      <c r="L125" s="84"/>
    </row>
    <row r="126" spans="1:12">
      <c r="A126" s="19">
        <v>905387982</v>
      </c>
      <c r="B126" s="96">
        <v>44874</v>
      </c>
      <c r="C126" s="19" t="str">
        <f>IF(ISBLANK(A126),"Name",IF(ISNA(VLOOKUP(A126,'Master List'!A:C,2,FALSE)), "Not Found", VLOOKUP(A126,'Master List'!A:C,2,FALSE)))</f>
        <v>Glenda Ortez-Galan</v>
      </c>
      <c r="D126" s="19" t="str">
        <f>IF(ISBLANK(A126), "Email",IF(ISNA(VLOOKUP(A126,'Master List'!A:C,3,FALSE)), "Not Found", VLOOKUP(A126,'Master List'!A:C,3,FALSE)))</f>
        <v>gortezgalan@sfsu.edu</v>
      </c>
      <c r="E126" s="19" t="s">
        <v>19</v>
      </c>
      <c r="F126" s="4" t="str">
        <f>IF(OR(A126="",E126="","",A126="?",E126="?"),"duplicate?",IF(COUNTIFS($A:A,A126,E:E,E126)&gt;1,"yes","no"))</f>
        <v>no</v>
      </c>
      <c r="G126" s="92"/>
      <c r="H126" s="57">
        <v>45282</v>
      </c>
      <c r="I126" s="19" t="s">
        <v>49</v>
      </c>
      <c r="J126" s="107"/>
      <c r="K126" s="97" t="str">
        <f ca="1">IF(J126="","Date",IF(J126&lt;&gt;"",IF(K126="Date",NOW(),K126),""))</f>
        <v>Date</v>
      </c>
      <c r="L126" s="84"/>
    </row>
    <row r="127" spans="1:12">
      <c r="A127" s="19">
        <v>905387982</v>
      </c>
      <c r="B127" s="96">
        <v>44874</v>
      </c>
      <c r="C127" s="19" t="str">
        <f>IF(ISBLANK(A127),"Name",IF(ISNA(VLOOKUP(A127,'Master List'!A:C,2,FALSE)), "Not Found", VLOOKUP(A127,'Master List'!A:C,2,FALSE)))</f>
        <v>Glenda Ortez-Galan</v>
      </c>
      <c r="D127" s="19" t="str">
        <f>IF(ISBLANK(A127), "Email",IF(ISNA(VLOOKUP(A127,'Master List'!A:C,3,FALSE)), "Not Found", VLOOKUP(A127,'Master List'!A:C,3,FALSE)))</f>
        <v>gortezgalan@sfsu.edu</v>
      </c>
      <c r="E127" s="19" t="s">
        <v>16</v>
      </c>
      <c r="F127" s="4" t="str">
        <f>IF(OR(A127="",E127="","",A127="?",E127="?"),"duplicate?",IF(COUNTIFS($A:A,A127,E:E,E127)&gt;1,"yes","no"))</f>
        <v>no</v>
      </c>
      <c r="G127" s="92"/>
      <c r="H127" s="57">
        <v>45282</v>
      </c>
      <c r="I127" s="19" t="s">
        <v>47</v>
      </c>
      <c r="J127" s="107"/>
      <c r="K127" s="97" t="str">
        <f ca="1">IF(J127="","Date",IF(J127&lt;&gt;"",IF(K127="Date",NOW(),K127),""))</f>
        <v>Date</v>
      </c>
      <c r="L127" s="84"/>
    </row>
    <row r="128" spans="1:12">
      <c r="A128" s="19">
        <v>918196271</v>
      </c>
      <c r="B128" s="96">
        <v>44874</v>
      </c>
      <c r="C128" s="19" t="str">
        <f>IF(ISBLANK(A128),"Name",IF(ISNA(VLOOKUP(A128,'Master List'!A:C,2,FALSE)), "Not Found", VLOOKUP(A128,'Master List'!A:C,2,FALSE)))</f>
        <v>Jacob Dinardi</v>
      </c>
      <c r="D128" s="19" t="str">
        <f>IF(ISBLANK(A128), "Email",IF(ISNA(VLOOKUP(A128,'Master List'!A:C,3,FALSE)), "Not Found", VLOOKUP(A128,'Master List'!A:C,3,FALSE)))</f>
        <v>jdinardi@sfsu.edu</v>
      </c>
      <c r="E128" s="19" t="s">
        <v>25</v>
      </c>
      <c r="F128" s="4" t="str">
        <f>IF(OR(A128="",E128="","",A128="?",E128="?"),"duplicate?",IF(COUNTIFS($A:A,A128,E:E,E128)&gt;1,"yes","no"))</f>
        <v>no</v>
      </c>
      <c r="G128" s="92"/>
      <c r="H128" s="57">
        <v>45282</v>
      </c>
      <c r="I128" s="19" t="s">
        <v>47</v>
      </c>
      <c r="J128" s="107"/>
      <c r="K128" s="97" t="str">
        <f ca="1">IF(J128="","Date",IF(J128&lt;&gt;"",IF(K128="Date",NOW(),K128),""))</f>
        <v>Date</v>
      </c>
      <c r="L128" s="84"/>
    </row>
    <row r="129" spans="1:12">
      <c r="A129" s="19">
        <v>901103221</v>
      </c>
      <c r="B129" s="96">
        <v>44874</v>
      </c>
      <c r="C129" s="19" t="str">
        <f>IF(ISBLANK(A129),"Name",IF(ISNA(VLOOKUP(A129,'Master List'!A:C,2,FALSE)), "Not Found", VLOOKUP(A129,'Master List'!A:C,2,FALSE)))</f>
        <v>James Cartwright</v>
      </c>
      <c r="D129" s="19" t="str">
        <f>IF(ISBLANK(A129), "Email",IF(ISNA(VLOOKUP(A129,'Master List'!A:C,3,FALSE)), "Not Found", VLOOKUP(A129,'Master List'!A:C,3,FALSE)))</f>
        <v>jamescartwright60@sfsu.edu</v>
      </c>
      <c r="E129" s="19" t="s">
        <v>19</v>
      </c>
      <c r="F129" s="4" t="str">
        <f>IF(OR(A129="",E129="","",A129="?",E129="?"),"duplicate?",IF(COUNTIFS($A:A,A129,E:E,E129)&gt;1,"yes","no"))</f>
        <v>yes</v>
      </c>
      <c r="G129" s="92"/>
      <c r="H129" s="57">
        <v>45282</v>
      </c>
      <c r="I129" s="19" t="s">
        <v>47</v>
      </c>
      <c r="J129" s="107"/>
      <c r="K129" s="97" t="str">
        <f ca="1">IF(J129="","Date",IF(J129&lt;&gt;"",IF(K129="Date",NOW(),K129),""))</f>
        <v>Date</v>
      </c>
      <c r="L129" s="84"/>
    </row>
    <row r="130" spans="1:12">
      <c r="A130" s="19">
        <v>901103221</v>
      </c>
      <c r="B130" s="96">
        <v>44874</v>
      </c>
      <c r="C130" s="19" t="str">
        <f>IF(ISBLANK(A130),"Name",IF(ISNA(VLOOKUP(A130,'Master List'!A:C,2,FALSE)), "Not Found", VLOOKUP(A130,'Master List'!A:C,2,FALSE)))</f>
        <v>James Cartwright</v>
      </c>
      <c r="D130" s="19" t="str">
        <f>IF(ISBLANK(A130), "Email",IF(ISNA(VLOOKUP(A130,'Master List'!A:C,3,FALSE)), "Not Found", VLOOKUP(A130,'Master List'!A:C,3,FALSE)))</f>
        <v>jamescartwright60@sfsu.edu</v>
      </c>
      <c r="E130" s="19" t="s">
        <v>19</v>
      </c>
      <c r="F130" s="4" t="str">
        <f>IF(OR(A130="",E130="","",A130="?",E130="?"),"duplicate?",IF(COUNTIFS($A:A,A130,E:E,E130)&gt;1,"yes","no"))</f>
        <v>yes</v>
      </c>
      <c r="G130" s="92"/>
      <c r="H130" s="57">
        <v>45282</v>
      </c>
      <c r="I130" s="19"/>
      <c r="J130" s="107"/>
      <c r="K130" s="97" t="str">
        <f ca="1">IF(J130="","Date",IF(J130&lt;&gt;"",IF(K130="Date",NOW(),K130),""))</f>
        <v>Date</v>
      </c>
      <c r="L130" s="84"/>
    </row>
    <row r="131" spans="1:12">
      <c r="A131" s="19">
        <v>910371961</v>
      </c>
      <c r="B131" s="96">
        <v>44874</v>
      </c>
      <c r="C131" s="19" t="str">
        <f>IF(ISBLANK(A131),"Name",IF(ISNA(VLOOKUP(A131,'Master List'!A:C,2,FALSE)), "Not Found", VLOOKUP(A131,'Master List'!A:C,2,FALSE)))</f>
        <v xml:space="preserve">Jessy Aquino </v>
      </c>
      <c r="D131" s="19" t="str">
        <f>IF(ISBLANK(A131), "Email",IF(ISNA(VLOOKUP(A131,'Master List'!A:C,3,FALSE)), "Not Found", VLOOKUP(A131,'Master List'!A:C,3,FALSE)))</f>
        <v>jessyaquino@sfsu.edu</v>
      </c>
      <c r="E131" s="19" t="s">
        <v>36</v>
      </c>
      <c r="F131" s="4" t="str">
        <f>IF(OR(A131="",E131="","",A131="?",E131="?"),"duplicate?",IF(COUNTIFS($A:A,A131,E:E,E131)&gt;1,"yes","no"))</f>
        <v>no</v>
      </c>
      <c r="G131" s="92"/>
      <c r="H131" s="57">
        <v>45282</v>
      </c>
      <c r="I131" s="19" t="s">
        <v>47</v>
      </c>
      <c r="J131" s="107"/>
      <c r="K131" s="97" t="str">
        <f ca="1">IF(J131="","Date",IF(J131&lt;&gt;"",IF(K131="Date",NOW(),K131),""))</f>
        <v>Date</v>
      </c>
      <c r="L131" s="84"/>
    </row>
    <row r="132" spans="1:12">
      <c r="A132" s="19">
        <v>916845896</v>
      </c>
      <c r="B132" s="96">
        <v>44874</v>
      </c>
      <c r="C132" s="19" t="str">
        <f>IF(ISBLANK(A132),"Name",IF(ISNA(VLOOKUP(A132,'Master List'!A:C,2,FALSE)), "Not Found", VLOOKUP(A132,'Master List'!A:C,2,FALSE)))</f>
        <v>Josue Carreon</v>
      </c>
      <c r="D132" s="19" t="str">
        <f>IF(ISBLANK(A132), "Email",IF(ISNA(VLOOKUP(A132,'Master List'!A:C,3,FALSE)), "Not Found", VLOOKUP(A132,'Master List'!A:C,3,FALSE)))</f>
        <v>jcarreo1@sfsu.edu</v>
      </c>
      <c r="E132" s="19" t="s">
        <v>30</v>
      </c>
      <c r="F132" s="4" t="str">
        <f>IF(OR(A132="",E132="","",A132="?",E132="?"),"duplicate?",IF(COUNTIFS($A:A,A132,E:E,E132)&gt;1,"yes","no"))</f>
        <v>no</v>
      </c>
      <c r="G132" s="92"/>
      <c r="H132" s="57">
        <v>45282</v>
      </c>
      <c r="I132" s="19" t="s">
        <v>47</v>
      </c>
      <c r="J132" s="107"/>
      <c r="K132" s="97" t="str">
        <f ca="1">IF(J132="","Date",IF(J132&lt;&gt;"",IF(K132="Date",NOW(),K132),""))</f>
        <v>Date</v>
      </c>
      <c r="L132" s="84"/>
    </row>
    <row r="133" spans="1:12">
      <c r="A133" s="19">
        <v>900548108</v>
      </c>
      <c r="B133" s="96">
        <v>44874</v>
      </c>
      <c r="C133" s="19" t="str">
        <f>IF(ISBLANK(A133),"Name",IF(ISNA(VLOOKUP(A133,'Master List'!A:C,2,FALSE)), "Not Found", VLOOKUP(A133,'Master List'!A:C,2,FALSE)))</f>
        <v>Julie Briden</v>
      </c>
      <c r="D133" s="19" t="str">
        <f>IF(ISBLANK(A133), "Email",IF(ISNA(VLOOKUP(A133,'Master List'!A:C,3,FALSE)), "Not Found", VLOOKUP(A133,'Master List'!A:C,3,FALSE)))</f>
        <v>jbriden@sfsu.edu</v>
      </c>
      <c r="E133" s="19" t="s">
        <v>28</v>
      </c>
      <c r="F133" s="4" t="str">
        <f>IF(OR(A133="",E133="","",A133="?",E133="?"),"duplicate?",IF(COUNTIFS($A:A,A133,E:E,E133)&gt;1,"yes","no"))</f>
        <v>no</v>
      </c>
      <c r="G133" s="92"/>
      <c r="H133" s="57">
        <v>45282</v>
      </c>
      <c r="I133" s="19" t="s">
        <v>47</v>
      </c>
      <c r="J133" s="107"/>
      <c r="K133" s="97" t="str">
        <f ca="1">IF(J133="","Date",IF(J133&lt;&gt;"",IF(K133="Date",NOW(),K133),""))</f>
        <v>Date</v>
      </c>
      <c r="L133" s="84"/>
    </row>
    <row r="134" spans="1:12">
      <c r="A134" s="19">
        <v>912996037</v>
      </c>
      <c r="B134" s="96">
        <v>44874</v>
      </c>
      <c r="C134" s="19" t="str">
        <f>IF(ISBLANK(A134),"Name",IF(ISNA(VLOOKUP(A134,'Master List'!A:C,2,FALSE)), "Not Found", VLOOKUP(A134,'Master List'!A:C,2,FALSE)))</f>
        <v>M. Joaquin</v>
      </c>
      <c r="D134" s="19" t="str">
        <f>IF(ISBLANK(A134), "Email",IF(ISNA(VLOOKUP(A134,'Master List'!A:C,3,FALSE)), "Not Found", VLOOKUP(A134,'Master List'!A:C,3,FALSE)))</f>
        <v xml:space="preserve">ejoaquin@sfsu.edu </v>
      </c>
      <c r="E134" s="19" t="s">
        <v>28</v>
      </c>
      <c r="F134" s="4" t="str">
        <f>IF(OR(A134="",E134="","",A134="?",E134="?"),"duplicate?",IF(COUNTIFS($A:A,A134,E:E,E134)&gt;1,"yes","no"))</f>
        <v>no</v>
      </c>
      <c r="G134" s="92"/>
      <c r="H134" s="57">
        <v>45282</v>
      </c>
      <c r="I134" s="19" t="s">
        <v>47</v>
      </c>
      <c r="J134" s="107"/>
      <c r="K134" s="97" t="str">
        <f ca="1">IF(J134="","Date",IF(J134&lt;&gt;"",IF(K134="Date",NOW(),K134),""))</f>
        <v>Date</v>
      </c>
      <c r="L134" s="84"/>
    </row>
    <row r="135" spans="1:12">
      <c r="A135" s="19">
        <v>918849690</v>
      </c>
      <c r="B135" s="96">
        <v>44874</v>
      </c>
      <c r="C135" s="19" t="str">
        <f>IF(ISBLANK(A135),"Name",IF(ISNA(VLOOKUP(A135,'Master List'!A:C,2,FALSE)), "Not Found", VLOOKUP(A135,'Master List'!A:C,2,FALSE)))</f>
        <v>Michael Clarke</v>
      </c>
      <c r="D135" s="19" t="str">
        <f>IF(ISBLANK(A135), "Email",IF(ISNA(VLOOKUP(A135,'Master List'!A:C,3,FALSE)), "Not Found", VLOOKUP(A135,'Master List'!A:C,3,FALSE)))</f>
        <v>michaelclarke@sfsu.edu</v>
      </c>
      <c r="E135" s="19" t="s">
        <v>19</v>
      </c>
      <c r="F135" s="4" t="str">
        <f>IF(OR(A135="",E135="","",A135="?",E135="?"),"duplicate?",IF(COUNTIFS($A:A,A135,E:E,E135)&gt;1,"yes","no"))</f>
        <v>no</v>
      </c>
      <c r="G135" s="92"/>
      <c r="H135" s="57">
        <v>45282</v>
      </c>
      <c r="I135" s="19" t="s">
        <v>47</v>
      </c>
      <c r="J135" s="107"/>
      <c r="K135" s="97" t="str">
        <f ca="1">IF(J135="","Date",IF(J135&lt;&gt;"",IF(K135="Date",NOW(),K135),""))</f>
        <v>Date</v>
      </c>
      <c r="L135" s="84"/>
    </row>
    <row r="136" spans="1:12">
      <c r="A136" s="19">
        <v>918827135</v>
      </c>
      <c r="B136" s="96">
        <v>44874</v>
      </c>
      <c r="C136" s="19" t="str">
        <f>IF(ISBLANK(A136),"Name",IF(ISNA(VLOOKUP(A136,'Master List'!A:C,2,FALSE)), "Not Found", VLOOKUP(A136,'Master List'!A:C,2,FALSE)))</f>
        <v>Miho Lee</v>
      </c>
      <c r="D136" s="19" t="str">
        <f>IF(ISBLANK(A136), "Email",IF(ISNA(VLOOKUP(A136,'Master List'!A:C,3,FALSE)), "Not Found", VLOOKUP(A136,'Master List'!A:C,3,FALSE)))</f>
        <v>mihola@sfsu.edu</v>
      </c>
      <c r="E136" s="19" t="s">
        <v>19</v>
      </c>
      <c r="F136" s="4" t="str">
        <f>IF(OR(A136="",E136="","",A136="?",E136="?"),"duplicate?",IF(COUNTIFS($A:A,A136,E:E,E136)&gt;1,"yes","no"))</f>
        <v>no</v>
      </c>
      <c r="G136" s="92"/>
      <c r="H136" s="57">
        <v>45282</v>
      </c>
      <c r="I136" s="19" t="s">
        <v>47</v>
      </c>
      <c r="J136" s="107"/>
      <c r="K136" s="97" t="str">
        <f ca="1">IF(J136="","Date",IF(J136&lt;&gt;"",IF(K136="Date",NOW(),K136),""))</f>
        <v>Date</v>
      </c>
      <c r="L136" s="84"/>
    </row>
    <row r="137" spans="1:12">
      <c r="A137" s="19">
        <v>905907800</v>
      </c>
      <c r="B137" s="96">
        <v>44874</v>
      </c>
      <c r="C137" s="19" t="str">
        <f>IF(ISBLANK(A137),"Name",IF(ISNA(VLOOKUP(A137,'Master List'!A:C,2,FALSE)), "Not Found", VLOOKUP(A137,'Master List'!A:C,2,FALSE)))</f>
        <v>Noortan Hatifi</v>
      </c>
      <c r="D137" s="19" t="str">
        <f>IF(ISBLANK(A137), "Email",IF(ISNA(VLOOKUP(A137,'Master List'!A:C,3,FALSE)), "Not Found", VLOOKUP(A137,'Master List'!A:C,3,FALSE)))</f>
        <v>nortan@sfsu.edu</v>
      </c>
      <c r="E137" s="19" t="s">
        <v>36</v>
      </c>
      <c r="F137" s="4" t="str">
        <f>IF(OR(A137="",E137="","",A137="?",E137="?"),"duplicate?",IF(COUNTIFS($A:A,A137,E:E,E137)&gt;1,"yes","no"))</f>
        <v>no</v>
      </c>
      <c r="G137" s="92" t="s">
        <v>50</v>
      </c>
      <c r="H137" s="57">
        <v>45282</v>
      </c>
      <c r="I137" s="19" t="s">
        <v>47</v>
      </c>
      <c r="J137" s="107"/>
      <c r="K137" s="97" t="str">
        <f ca="1">IF(J137="","Date",IF(J137&lt;&gt;"",IF(K137="Date",NOW(),K137),""))</f>
        <v>Date</v>
      </c>
      <c r="L137" s="84"/>
    </row>
    <row r="138" spans="1:12">
      <c r="A138" s="19">
        <v>908491992</v>
      </c>
      <c r="B138" s="96">
        <v>44874</v>
      </c>
      <c r="C138" s="19" t="str">
        <f>IF(ISBLANK(A138),"Name",IF(ISNA(VLOOKUP(A138,'Master List'!A:C,2,FALSE)), "Not Found", VLOOKUP(A138,'Master List'!A:C,2,FALSE)))</f>
        <v>Paul Morris</v>
      </c>
      <c r="D138" s="19" t="str">
        <f>IF(ISBLANK(A138), "Email",IF(ISNA(VLOOKUP(A138,'Master List'!A:C,3,FALSE)), "Not Found", VLOOKUP(A138,'Master List'!A:C,3,FALSE)))</f>
        <v>pmorris@sfsu.edu</v>
      </c>
      <c r="E138" s="19" t="s">
        <v>19</v>
      </c>
      <c r="F138" s="4" t="str">
        <f>IF(OR(A138="",E138="","",A138="?",E138="?"),"duplicate?",IF(COUNTIFS($A:A,A138,E:E,E138)&gt;1,"yes","no"))</f>
        <v>no</v>
      </c>
      <c r="G138" s="92"/>
      <c r="H138" s="57">
        <v>44883</v>
      </c>
      <c r="I138" s="19"/>
      <c r="J138" s="107"/>
      <c r="K138" s="97" t="str">
        <f ca="1">IF(J138="","Date",IF(J138&lt;&gt;"",IF(K138="Date",NOW(),K138),""))</f>
        <v>Date</v>
      </c>
      <c r="L138" s="84"/>
    </row>
    <row r="139" spans="1:12">
      <c r="A139" s="19">
        <v>900024273</v>
      </c>
      <c r="B139" s="96">
        <v>44874</v>
      </c>
      <c r="C139" s="19" t="str">
        <f>IF(ISBLANK(A139),"Name",IF(ISNA(VLOOKUP(A139,'Master List'!A:C,2,FALSE)), "Not Found", VLOOKUP(A139,'Master List'!A:C,2,FALSE)))</f>
        <v>Peter Biella</v>
      </c>
      <c r="D139" s="19" t="str">
        <f>IF(ISBLANK(A139), "Email",IF(ISNA(VLOOKUP(A139,'Master List'!A:C,3,FALSE)), "Not Found", VLOOKUP(A139,'Master List'!A:C,3,FALSE)))</f>
        <v>biella@sfsu.edu</v>
      </c>
      <c r="E139" s="19" t="s">
        <v>25</v>
      </c>
      <c r="F139" s="4" t="str">
        <f>IF(OR(A139="",E139="","",A139="?",E139="?"),"duplicate?",IF(COUNTIFS($A:A,A139,E:E,E139)&gt;1,"yes","no"))</f>
        <v>no</v>
      </c>
      <c r="G139" s="92"/>
      <c r="H139" s="57">
        <v>45282</v>
      </c>
      <c r="I139" s="19" t="s">
        <v>47</v>
      </c>
      <c r="J139" s="107"/>
      <c r="K139" s="97" t="str">
        <f ca="1">IF(J139="","Date",IF(J139&lt;&gt;"",IF(K139="Date",NOW(),K139),""))</f>
        <v>Date</v>
      </c>
      <c r="L139" s="84"/>
    </row>
    <row r="140" spans="1:12">
      <c r="A140" s="19">
        <v>900016031</v>
      </c>
      <c r="B140" s="96">
        <v>44874</v>
      </c>
      <c r="C140" s="19" t="str">
        <f>IF(ISBLANK(A140),"Name",IF(ISNA(VLOOKUP(A140,'Master List'!A:C,2,FALSE)), "Not Found", VLOOKUP(A140,'Master List'!A:C,2,FALSE)))</f>
        <v>Peter Ingmire</v>
      </c>
      <c r="D140" s="19" t="str">
        <f>IF(ISBLANK(A140), "Email",IF(ISNA(VLOOKUP(A140,'Master List'!A:C,3,FALSE)), "Not Found", VLOOKUP(A140,'Master List'!A:C,3,FALSE)))</f>
        <v>ping@sfsu.edu</v>
      </c>
      <c r="E140" s="19" t="s">
        <v>19</v>
      </c>
      <c r="F140" s="4" t="str">
        <f>IF(OR(A140="",E140="","",A140="?",E140="?"),"duplicate?",IF(COUNTIFS($A:A,A140,E:E,E140)&gt;1,"yes","no"))</f>
        <v>no</v>
      </c>
      <c r="G140" s="92"/>
      <c r="H140" s="57">
        <v>45282</v>
      </c>
      <c r="I140" s="19" t="s">
        <v>47</v>
      </c>
      <c r="J140" s="107"/>
      <c r="K140" s="97" t="str">
        <f ca="1">IF(J140="","Date",IF(J140&lt;&gt;"",IF(K140="Date",NOW(),K140),""))</f>
        <v>Date</v>
      </c>
      <c r="L140" s="84"/>
    </row>
    <row r="141" spans="1:12">
      <c r="A141" s="19">
        <v>900016031</v>
      </c>
      <c r="B141" s="96">
        <v>44874</v>
      </c>
      <c r="C141" s="19" t="str">
        <f>IF(ISBLANK(A141),"Name",IF(ISNA(VLOOKUP(A141,'Master List'!A:C,2,FALSE)), "Not Found", VLOOKUP(A141,'Master List'!A:C,2,FALSE)))</f>
        <v>Peter Ingmire</v>
      </c>
      <c r="D141" s="19" t="str">
        <f>IF(ISBLANK(A141), "Email",IF(ISNA(VLOOKUP(A141,'Master List'!A:C,3,FALSE)), "Not Found", VLOOKUP(A141,'Master List'!A:C,3,FALSE)))</f>
        <v>ping@sfsu.edu</v>
      </c>
      <c r="E141" s="19" t="s">
        <v>31</v>
      </c>
      <c r="F141" s="4" t="str">
        <f>IF(OR(A141="",E141="","",A141="?",E141="?"),"duplicate?",IF(COUNTIFS($A:A,A141,E:E,E141)&gt;1,"yes","no"))</f>
        <v>no</v>
      </c>
      <c r="G141" s="92"/>
      <c r="H141" s="57">
        <v>45282</v>
      </c>
      <c r="I141" s="19" t="s">
        <v>47</v>
      </c>
      <c r="J141" s="107"/>
      <c r="K141" s="97" t="str">
        <f ca="1">IF(J141="","Date",IF(J141&lt;&gt;"",IF(K141="Date",NOW(),K141),""))</f>
        <v>Date</v>
      </c>
      <c r="L141" s="84"/>
    </row>
    <row r="142" spans="1:12">
      <c r="A142" s="19">
        <v>909766486</v>
      </c>
      <c r="B142" s="96">
        <v>44874</v>
      </c>
      <c r="C142" s="19" t="str">
        <f>IF(ISBLANK(A142),"Name",IF(ISNA(VLOOKUP(A142,'Master List'!A:C,2,FALSE)), "Not Found", VLOOKUP(A142,'Master List'!A:C,2,FALSE)))</f>
        <v>Ronald Richardson</v>
      </c>
      <c r="D142" s="19" t="str">
        <f>IF(ISBLANK(A142), "Email",IF(ISNA(VLOOKUP(A142,'Master List'!A:C,3,FALSE)), "Not Found", VLOOKUP(A142,'Master List'!A:C,3,FALSE)))</f>
        <v>ronosaur@sfsu.edu</v>
      </c>
      <c r="E142" s="19" t="s">
        <v>19</v>
      </c>
      <c r="F142" s="4" t="str">
        <f>IF(OR(A142="",E142="","",A142="?",E142="?"),"duplicate?",IF(COUNTIFS($A:A,A142,E:E,E142)&gt;1,"yes","no"))</f>
        <v>no</v>
      </c>
      <c r="G142" s="92"/>
      <c r="H142" s="57">
        <v>45282</v>
      </c>
      <c r="I142" s="19" t="s">
        <v>47</v>
      </c>
      <c r="J142" s="107"/>
      <c r="K142" s="97" t="str">
        <f ca="1">IF(J142="","Date",IF(J142&lt;&gt;"",IF(K142="Date",NOW(),K142),""))</f>
        <v>Date</v>
      </c>
      <c r="L142" s="84"/>
    </row>
    <row r="143" spans="1:12">
      <c r="A143" s="19">
        <v>918848234</v>
      </c>
      <c r="B143" s="96">
        <v>44874</v>
      </c>
      <c r="C143" s="19" t="str">
        <f>IF(ISBLANK(A143),"Name",IF(ISNA(VLOOKUP(A143,'Master List'!A:C,2,FALSE)), "Not Found", VLOOKUP(A143,'Master List'!A:C,2,FALSE)))</f>
        <v>Sanchita Ghose</v>
      </c>
      <c r="D143" s="19" t="str">
        <f>IF(ISBLANK(A143), "Email",IF(ISNA(VLOOKUP(A143,'Master List'!A:C,3,FALSE)), "Not Found", VLOOKUP(A143,'Master List'!A:C,3,FALSE)))</f>
        <v>sanchitaghose@sfsu.edu</v>
      </c>
      <c r="E143" s="19" t="s">
        <v>51</v>
      </c>
      <c r="F143" s="4" t="str">
        <f>IF(OR(A143="",E143="","",A143="?",E143="?"),"duplicate?",IF(COUNTIFS($A:A,A143,E:E,E143)&gt;1,"yes","no"))</f>
        <v>no</v>
      </c>
      <c r="G143" s="92"/>
      <c r="H143" s="57">
        <v>45282</v>
      </c>
      <c r="I143" s="19"/>
      <c r="J143" s="107"/>
      <c r="K143" s="97" t="str">
        <f ca="1">IF(J143="","Date",IF(J143&lt;&gt;"",IF(K143="Date",NOW(),K143),""))</f>
        <v>Date</v>
      </c>
      <c r="L143" s="84"/>
    </row>
    <row r="144" spans="1:12">
      <c r="A144" s="19">
        <v>918848234</v>
      </c>
      <c r="B144" s="96">
        <v>44874</v>
      </c>
      <c r="C144" s="19" t="str">
        <f>IF(ISBLANK(A144),"Name",IF(ISNA(VLOOKUP(A144,'Master List'!A:C,2,FALSE)), "Not Found", VLOOKUP(A144,'Master List'!A:C,2,FALSE)))</f>
        <v>Sanchita Ghose</v>
      </c>
      <c r="D144" s="19" t="str">
        <f>IF(ISBLANK(A144), "Email",IF(ISNA(VLOOKUP(A144,'Master List'!A:C,3,FALSE)), "Not Found", VLOOKUP(A144,'Master List'!A:C,3,FALSE)))</f>
        <v>sanchitaghose@sfsu.edu</v>
      </c>
      <c r="E144" s="19" t="s">
        <v>36</v>
      </c>
      <c r="F144" s="4" t="str">
        <f>IF(OR(A144="",E144="","",A144="?",E144="?"),"duplicate?",IF(COUNTIFS($A:A,A144,E:E,E144)&gt;1,"yes","no"))</f>
        <v>no</v>
      </c>
      <c r="G144" s="92"/>
      <c r="H144" s="57">
        <v>45282</v>
      </c>
      <c r="I144" s="19"/>
      <c r="J144" s="107"/>
      <c r="K144" s="97" t="str">
        <f ca="1">IF(J144="","Date",IF(J144&lt;&gt;"",IF(K144="Date",NOW(),K144),""))</f>
        <v>Date</v>
      </c>
      <c r="L144" s="84"/>
    </row>
    <row r="145" spans="1:12">
      <c r="A145" s="19">
        <v>918848234</v>
      </c>
      <c r="B145" s="96">
        <v>44874</v>
      </c>
      <c r="C145" s="19" t="str">
        <f>IF(ISBLANK(A145),"Name",IF(ISNA(VLOOKUP(A145,'Master List'!A:C,2,FALSE)), "Not Found", VLOOKUP(A145,'Master List'!A:C,2,FALSE)))</f>
        <v>Sanchita Ghose</v>
      </c>
      <c r="D145" s="19" t="str">
        <f>IF(ISBLANK(A145), "Email",IF(ISNA(VLOOKUP(A145,'Master List'!A:C,3,FALSE)), "Not Found", VLOOKUP(A145,'Master List'!A:C,3,FALSE)))</f>
        <v>sanchitaghose@sfsu.edu</v>
      </c>
      <c r="E145" s="19" t="s">
        <v>30</v>
      </c>
      <c r="F145" s="4" t="str">
        <f>IF(OR(A145="",E145="","",A145="?",E145="?"),"duplicate?",IF(COUNTIFS($A:A,A145,E:E,E145)&gt;1,"yes","no"))</f>
        <v>no</v>
      </c>
      <c r="G145" s="92"/>
      <c r="H145" s="57">
        <v>45282</v>
      </c>
      <c r="I145" s="19" t="s">
        <v>47</v>
      </c>
      <c r="J145" s="107"/>
      <c r="K145" s="97" t="str">
        <f ca="1">IF(J145="","Date",IF(J145&lt;&gt;"",IF(K145="Date",NOW(),K145),""))</f>
        <v>Date</v>
      </c>
      <c r="L145" s="84"/>
    </row>
    <row r="146" spans="1:12">
      <c r="A146" s="19">
        <v>918065868</v>
      </c>
      <c r="B146" s="96">
        <v>44874</v>
      </c>
      <c r="C146" s="19" t="str">
        <f>IF(ISBLANK(A146),"Name",IF(ISNA(VLOOKUP(A146,'Master List'!A:C,2,FALSE)), "Not Found", VLOOKUP(A146,'Master List'!A:C,2,FALSE)))</f>
        <v>Sara Baguskas</v>
      </c>
      <c r="D146" s="19" t="str">
        <f>IF(ISBLANK(A146), "Email",IF(ISNA(VLOOKUP(A146,'Master List'!A:C,3,FALSE)), "Not Found", VLOOKUP(A146,'Master List'!A:C,3,FALSE)))</f>
        <v>baguskas@sfsu.edu</v>
      </c>
      <c r="E146" s="19" t="s">
        <v>28</v>
      </c>
      <c r="F146" s="4" t="str">
        <f>IF(OR(A146="",E146="","",A146="?",E146="?"),"duplicate?",IF(COUNTIFS($A:A,A146,E:E,E146)&gt;1,"yes","no"))</f>
        <v>no</v>
      </c>
      <c r="G146" s="92"/>
      <c r="H146" s="57">
        <v>45282</v>
      </c>
      <c r="I146" s="19" t="s">
        <v>47</v>
      </c>
      <c r="J146" s="107"/>
      <c r="K146" s="97" t="str">
        <f ca="1">IF(J146="","Date",IF(J146&lt;&gt;"",IF(K146="Date",NOW(),K146),""))</f>
        <v>Date</v>
      </c>
      <c r="L146" s="84"/>
    </row>
    <row r="147" spans="1:12">
      <c r="A147" s="19">
        <v>918849378</v>
      </c>
      <c r="B147" s="96">
        <v>44874</v>
      </c>
      <c r="C147" s="19" t="str">
        <f>IF(ISBLANK(A147),"Name",IF(ISNA(VLOOKUP(A147,'Master List'!A:C,2,FALSE)), "Not Found", VLOOKUP(A147,'Master List'!A:C,2,FALSE)))</f>
        <v>Sonya Arreola</v>
      </c>
      <c r="D147" s="19" t="str">
        <f>IF(ISBLANK(A147), "Email",IF(ISNA(VLOOKUP(A147,'Master List'!A:C,3,FALSE)), "Not Found", VLOOKUP(A147,'Master List'!A:C,3,FALSE)))</f>
        <v>sonyaarreola@sfsu.edu</v>
      </c>
      <c r="E147" s="19" t="s">
        <v>19</v>
      </c>
      <c r="F147" s="4" t="str">
        <f>IF(OR(A147="",E147="","",A147="?",E147="?"),"duplicate?",IF(COUNTIFS($A:A,A147,E:E,E147)&gt;1,"yes","no"))</f>
        <v>no</v>
      </c>
      <c r="G147" s="92"/>
      <c r="H147" s="57">
        <v>45282</v>
      </c>
      <c r="I147" s="19" t="s">
        <v>47</v>
      </c>
      <c r="J147" s="107"/>
      <c r="K147" s="97" t="str">
        <f ca="1">IF(J147="","Date",IF(J147&lt;&gt;"",IF(K147="Date",NOW(),K147),""))</f>
        <v>Date</v>
      </c>
      <c r="L147" s="84"/>
    </row>
    <row r="148" spans="1:12">
      <c r="A148" s="19">
        <v>900016486</v>
      </c>
      <c r="B148" s="96">
        <v>44874</v>
      </c>
      <c r="C148" s="19" t="str">
        <f>IF(ISBLANK(A148),"Name",IF(ISNA(VLOOKUP(A148,'Master List'!A:C,2,FALSE)), "Not Found", VLOOKUP(A148,'Master List'!A:C,2,FALSE)))</f>
        <v>Todd Roehrman</v>
      </c>
      <c r="D148" s="19" t="str">
        <f>IF(ISBLANK(A148), "Email",IF(ISNA(VLOOKUP(A148,'Master List'!A:C,3,FALSE)), "Not Found", VLOOKUP(A148,'Master List'!A:C,3,FALSE)))</f>
        <v>roehrman@sfsu.edu</v>
      </c>
      <c r="E148" s="19" t="s">
        <v>45</v>
      </c>
      <c r="F148" s="4" t="str">
        <f>IF(OR(A148="",E148="","",A148="?",E148="?"),"duplicate?",IF(COUNTIFS($A:A,A148,E:E,E148)&gt;1,"yes","no"))</f>
        <v>no</v>
      </c>
      <c r="G148" s="92"/>
      <c r="H148" s="57">
        <v>45282</v>
      </c>
      <c r="I148" s="19"/>
      <c r="J148" s="107"/>
      <c r="K148" s="97" t="str">
        <f ca="1">IF(J148="","Date",IF(J148&lt;&gt;"",IF(K148="Date",NOW(),K148),""))</f>
        <v>Date</v>
      </c>
      <c r="L148" s="84"/>
    </row>
    <row r="149" spans="1:12">
      <c r="A149" s="19">
        <v>900016486</v>
      </c>
      <c r="B149" s="96">
        <v>44874</v>
      </c>
      <c r="C149" s="19" t="str">
        <f>IF(ISBLANK(A149),"Name",IF(ISNA(VLOOKUP(A149,'Master List'!A:C,2,FALSE)), "Not Found", VLOOKUP(A149,'Master List'!A:C,2,FALSE)))</f>
        <v>Todd Roehrman</v>
      </c>
      <c r="D149" s="19" t="str">
        <f>IF(ISBLANK(A149), "Email",IF(ISNA(VLOOKUP(A149,'Master List'!A:C,3,FALSE)), "Not Found", VLOOKUP(A149,'Master List'!A:C,3,FALSE)))</f>
        <v>roehrman@sfsu.edu</v>
      </c>
      <c r="E149" s="19" t="s">
        <v>31</v>
      </c>
      <c r="F149" s="4" t="str">
        <f>IF(OR(A149="",E149="","",A149="?",E149="?"),"duplicate?",IF(COUNTIFS($A:A,A149,E:E,E149)&gt;1,"yes","no"))</f>
        <v>no</v>
      </c>
      <c r="G149" s="92"/>
      <c r="H149" s="57">
        <v>45282</v>
      </c>
      <c r="I149" s="19"/>
      <c r="J149" s="107"/>
      <c r="K149" s="97" t="str">
        <f ca="1">IF(J149="","Date",IF(J149&lt;&gt;"",IF(K149="Date",NOW(),K149),""))</f>
        <v>Date</v>
      </c>
      <c r="L149" s="84"/>
    </row>
    <row r="150" spans="1:12">
      <c r="A150" s="19">
        <v>908358092</v>
      </c>
      <c r="B150" s="96">
        <v>44874</v>
      </c>
      <c r="C150" s="19" t="str">
        <f>IF(ISBLANK(A150),"Name",IF(ISNA(VLOOKUP(A150,'Master List'!A:C,2,FALSE)), "Not Found", VLOOKUP(A150,'Master List'!A:C,2,FALSE)))</f>
        <v>Tolga Akgun</v>
      </c>
      <c r="D150" s="19" t="str">
        <f>IF(ISBLANK(A150), "Email",IF(ISNA(VLOOKUP(A150,'Master List'!A:C,3,FALSE)), "Not Found", VLOOKUP(A150,'Master List'!A:C,3,FALSE)))</f>
        <v>takgun@sfsu.edu</v>
      </c>
      <c r="E150" s="19" t="s">
        <v>19</v>
      </c>
      <c r="F150" s="4" t="str">
        <f>IF(OR(A150="",E150="","",A150="?",E150="?"),"duplicate?",IF(COUNTIFS($A:A,A150,E:E,E150)&gt;1,"yes","no"))</f>
        <v>no</v>
      </c>
      <c r="G150" s="92"/>
      <c r="H150" s="57">
        <v>45282</v>
      </c>
      <c r="I150" s="19" t="s">
        <v>47</v>
      </c>
      <c r="J150" s="107"/>
      <c r="K150" s="97" t="str">
        <f ca="1">IF(J150="","Date",IF(J150&lt;&gt;"",IF(K150="Date",NOW(),K150),""))</f>
        <v>Date</v>
      </c>
      <c r="L150" s="84"/>
    </row>
    <row r="151" spans="1:12">
      <c r="A151" s="19">
        <v>915848432</v>
      </c>
      <c r="B151" s="96">
        <v>44874</v>
      </c>
      <c r="C151" s="19" t="str">
        <f>IF(ISBLANK(A151),"Name",IF(ISNA(VLOOKUP(A151,'Master List'!A:C,2,FALSE)), "Not Found", VLOOKUP(A151,'Master List'!A:C,2,FALSE)))</f>
        <v>Valerie Fernandez</v>
      </c>
      <c r="D151" s="19" t="str">
        <f>IF(ISBLANK(A151), "Email",IF(ISNA(VLOOKUP(A151,'Master List'!A:C,3,FALSE)), "Not Found", VLOOKUP(A151,'Master List'!A:C,3,FALSE)))</f>
        <v>vfernandez3@sfsu.edu</v>
      </c>
      <c r="E151" s="19" t="s">
        <v>16</v>
      </c>
      <c r="F151" s="4" t="str">
        <f>IF(OR(A151="",E151="","",A151="?",E151="?"),"duplicate?",IF(COUNTIFS($A:A,A151,E:E,E151)&gt;1,"yes","no"))</f>
        <v>no</v>
      </c>
      <c r="G151" s="92"/>
      <c r="H151" s="57">
        <v>45282</v>
      </c>
      <c r="I151" s="19" t="s">
        <v>47</v>
      </c>
      <c r="J151" s="107"/>
      <c r="K151" s="97" t="str">
        <f ca="1">IF(J151="","Date",IF(J151&lt;&gt;"",IF(K151="Date",NOW(),K151),""))</f>
        <v>Date</v>
      </c>
      <c r="L151" s="84"/>
    </row>
    <row r="152" spans="1:12">
      <c r="A152" s="19">
        <v>918830593</v>
      </c>
      <c r="B152" s="96">
        <v>44879</v>
      </c>
      <c r="C152" s="19" t="str">
        <f>IF(ISBLANK(A152),"Name",IF(ISNA(VLOOKUP(A152,'Master List'!A:C,2,FALSE)), "Not Found", VLOOKUP(A152,'Master List'!A:C,2,FALSE)))</f>
        <v>Isabel Hyo Jung Song</v>
      </c>
      <c r="D152" s="19" t="str">
        <f>IF(ISBLANK(A152), "Email",IF(ISNA(VLOOKUP(A152,'Master List'!A:C,3,FALSE)), "Not Found", VLOOKUP(A152,'Master List'!A:C,3,FALSE)))</f>
        <v>hjsong@sfsu.edu</v>
      </c>
      <c r="E152" s="19" t="s">
        <v>20</v>
      </c>
      <c r="F152" s="4" t="str">
        <f>IF(OR(A152="",E152="","",A152="?",E152="?"),"duplicate?",IF(COUNTIFS($A:A,A152,E:E,E152)&gt;1,"yes","no"))</f>
        <v>no</v>
      </c>
      <c r="G152" s="92"/>
      <c r="H152" s="57">
        <v>45282</v>
      </c>
      <c r="I152" s="19" t="s">
        <v>52</v>
      </c>
      <c r="J152" s="107"/>
      <c r="K152" s="97" t="str">
        <f ca="1">IF(J152="","Date",IF(J152&lt;&gt;"",IF(K152="Date",NOW(),K152),""))</f>
        <v>Date</v>
      </c>
      <c r="L152" s="84"/>
    </row>
    <row r="153" spans="1:12">
      <c r="A153" s="19">
        <v>918830593</v>
      </c>
      <c r="B153" s="96">
        <v>44879</v>
      </c>
      <c r="C153" s="19" t="str">
        <f>IF(ISBLANK(A153),"Name",IF(ISNA(VLOOKUP(A153,'Master List'!A:C,2,FALSE)), "Not Found", VLOOKUP(A153,'Master List'!A:C,2,FALSE)))</f>
        <v>Isabel Hyo Jung Song</v>
      </c>
      <c r="D153" s="19" t="str">
        <f>IF(ISBLANK(A153), "Email",IF(ISNA(VLOOKUP(A153,'Master List'!A:C,3,FALSE)), "Not Found", VLOOKUP(A153,'Master List'!A:C,3,FALSE)))</f>
        <v>hjsong@sfsu.edu</v>
      </c>
      <c r="E153" s="19" t="s">
        <v>19</v>
      </c>
      <c r="F153" s="4" t="str">
        <f>IF(OR(A153="",E153="","",A153="?",E153="?"),"duplicate?",IF(COUNTIFS($A:A,A153,E:E,E153)&gt;1,"yes","no"))</f>
        <v>yes</v>
      </c>
      <c r="G153" s="92"/>
      <c r="H153" s="57">
        <v>45282</v>
      </c>
      <c r="I153" s="19" t="s">
        <v>52</v>
      </c>
      <c r="J153" s="107"/>
      <c r="K153" s="97" t="str">
        <f ca="1">IF(J153="","Date",IF(J153&lt;&gt;"",IF(K153="Date",NOW(),K153),""))</f>
        <v>Date</v>
      </c>
      <c r="L153" s="84"/>
    </row>
    <row r="154" spans="1:12">
      <c r="A154" s="19">
        <v>922230410</v>
      </c>
      <c r="B154" s="96">
        <v>44883</v>
      </c>
      <c r="C154" s="19" t="str">
        <f>IF(ISBLANK(A154),"Name",IF(ISNA(VLOOKUP(A154,'Master List'!A:C,2,FALSE)), "Not Found", VLOOKUP(A154,'Master List'!A:C,2,FALSE)))</f>
        <v>Kshitiz Sareen</v>
      </c>
      <c r="D154" s="19" t="str">
        <f>IF(ISBLANK(A154), "Email",IF(ISNA(VLOOKUP(A154,'Master List'!A:C,3,FALSE)), "Not Found", VLOOKUP(A154,'Master List'!A:C,3,FALSE)))</f>
        <v>ksareen@sfsu.edu</v>
      </c>
      <c r="E154" s="19" t="s">
        <v>19</v>
      </c>
      <c r="F154" s="4" t="str">
        <f>IF(OR(A154="",E154="","",A154="?",E154="?"),"duplicate?",IF(COUNTIFS($A:A,A154,E:E,E154)&gt;1,"yes","no"))</f>
        <v>yes</v>
      </c>
      <c r="G154" s="92"/>
      <c r="H154" s="57">
        <v>44886</v>
      </c>
      <c r="I154" s="19" t="s">
        <v>53</v>
      </c>
      <c r="J154" s="107"/>
      <c r="K154" s="97" t="str">
        <f ca="1">IF(J154="","Date",IF(J154&lt;&gt;"",IF(K154="Date",NOW(),K154),""))</f>
        <v>Date</v>
      </c>
      <c r="L154" s="84"/>
    </row>
    <row r="155" spans="1:12">
      <c r="A155" s="59">
        <v>900045866</v>
      </c>
      <c r="B155" s="96">
        <v>44886</v>
      </c>
      <c r="C155" s="19" t="str">
        <f>IF(ISBLANK(A155),"Name",IF(ISNA(VLOOKUP(A155,'Master List'!A:C,2,FALSE)), "Not Found", VLOOKUP(A155,'Master List'!A:C,2,FALSE)))</f>
        <v>Elane Feng</v>
      </c>
      <c r="D155" s="19" t="str">
        <f>IF(ISBLANK(A155), "Email",IF(ISNA(VLOOKUP(A155,'Master List'!A:C,3,FALSE)), "Not Found", VLOOKUP(A155,'Master List'!A:C,3,FALSE)))</f>
        <v>efeng@sfsu.edu</v>
      </c>
      <c r="E155" s="19" t="s">
        <v>36</v>
      </c>
      <c r="F155" s="4" t="str">
        <f>IF(OR(A155="",E155="","",A155="?",E155="?"),"duplicate?",IF(COUNTIFS($A:A,A155,E:E,E155)&gt;1,"yes","no"))</f>
        <v>no</v>
      </c>
      <c r="G155" s="92"/>
      <c r="H155" s="57">
        <v>45282</v>
      </c>
      <c r="I155" s="19" t="s">
        <v>54</v>
      </c>
      <c r="J155" s="107"/>
      <c r="K155" s="97" t="str">
        <f ca="1">IF(J155="","Date",IF(J155&lt;&gt;"",IF(K155="Date",NOW(),K155),""))</f>
        <v>Date</v>
      </c>
      <c r="L155" s="84"/>
    </row>
    <row r="156" spans="1:12">
      <c r="A156" s="19">
        <v>910586656</v>
      </c>
      <c r="B156" s="96">
        <v>44893</v>
      </c>
      <c r="C156" s="19" t="str">
        <f>IF(ISBLANK(A156),"Name",IF(ISNA(VLOOKUP(A156,'Master List'!A:C,2,FALSE)), "Not Found", VLOOKUP(A156,'Master List'!A:C,2,FALSE)))</f>
        <v>Luella Fu</v>
      </c>
      <c r="D156" s="19" t="str">
        <f>IF(ISBLANK(A156), "Email",IF(ISNA(VLOOKUP(A156,'Master List'!A:C,3,FALSE)), "Not Found", VLOOKUP(A156,'Master List'!A:C,3,FALSE)))</f>
        <v>luella@sfsu.edu</v>
      </c>
      <c r="E156" s="19" t="s">
        <v>36</v>
      </c>
      <c r="F156" s="4" t="str">
        <f>IF(OR(A156="",E156="","",A156="?",E156="?"),"duplicate?",IF(COUNTIFS($A:A,A156,E:E,E156)&gt;1,"yes","no"))</f>
        <v>no</v>
      </c>
      <c r="G156" s="92"/>
      <c r="H156" s="57">
        <v>45282</v>
      </c>
      <c r="I156" s="19"/>
      <c r="J156" s="107"/>
      <c r="K156" s="97" t="str">
        <f ca="1">IF(J156="","Date",IF(J156&lt;&gt;"",IF(K156="Date",NOW(),K156),""))</f>
        <v>Date</v>
      </c>
      <c r="L156" s="84"/>
    </row>
    <row r="157" spans="1:12">
      <c r="A157" s="19">
        <v>918826498</v>
      </c>
      <c r="B157" s="96">
        <v>44894</v>
      </c>
      <c r="C157" s="19" t="str">
        <f>IF(ISBLANK(A157),"Name",IF(ISNA(VLOOKUP(A157,'Master List'!A:C,2,FALSE)), "Not Found", VLOOKUP(A157,'Master List'!A:C,2,FALSE)))</f>
        <v>Jingjing Qiu</v>
      </c>
      <c r="D157" s="19" t="str">
        <f>IF(ISBLANK(A157), "Email",IF(ISNA(VLOOKUP(A157,'Master List'!A:C,3,FALSE)), "Not Found", VLOOKUP(A157,'Master List'!A:C,3,FALSE)))</f>
        <v>qiu@sfsu.edu</v>
      </c>
      <c r="E157" s="19" t="s">
        <v>28</v>
      </c>
      <c r="F157" s="4" t="str">
        <f>IF(OR(A157="",E157="","",A157="?",E157="?"),"duplicate?",IF(COUNTIFS($A:A,A157,E:E,E157)&gt;1,"yes","no"))</f>
        <v>no</v>
      </c>
      <c r="G157" s="92"/>
      <c r="H157" s="57">
        <v>45282</v>
      </c>
      <c r="I157" s="19" t="s">
        <v>55</v>
      </c>
      <c r="J157" s="107"/>
      <c r="K157" s="97" t="str">
        <f ca="1">IF(J157="","Date",IF(J157&lt;&gt;"",IF(K157="Date",NOW(),K157),""))</f>
        <v>Date</v>
      </c>
      <c r="L157" s="84"/>
    </row>
    <row r="158" spans="1:12">
      <c r="A158" s="19">
        <v>920024375</v>
      </c>
      <c r="B158" s="96">
        <v>44894</v>
      </c>
      <c r="C158" s="19" t="str">
        <f>IF(ISBLANK(A158),"Name",IF(ISNA(VLOOKUP(A158,'Master List'!A:C,2,FALSE)), "Not Found", VLOOKUP(A158,'Master List'!A:C,2,FALSE)))</f>
        <v>Sudha Krishnamoorthy</v>
      </c>
      <c r="D158" s="19" t="str">
        <f>IF(ISBLANK(A158), "Email",IF(ISNA(VLOOKUP(A158,'Master List'!A:C,3,FALSE)), "Not Found", VLOOKUP(A158,'Master List'!A:C,3,FALSE)))</f>
        <v>skrishnamoorthy@sfsu.edu</v>
      </c>
      <c r="E158" s="19" t="s">
        <v>20</v>
      </c>
      <c r="F158" s="4" t="str">
        <f>IF(OR(A158="",E158="","",A158="?",E158="?"),"duplicate?",IF(COUNTIFS($A:A,A158,E:E,E158)&gt;1,"yes","no"))</f>
        <v>no</v>
      </c>
      <c r="G158" s="92"/>
      <c r="H158" s="57">
        <v>45282</v>
      </c>
      <c r="I158" s="19" t="s">
        <v>56</v>
      </c>
      <c r="J158" s="107"/>
      <c r="K158" s="97" t="str">
        <f ca="1">IF(J158="","Date",IF(J158&lt;&gt;"",IF(K158="Date",NOW(),K158),""))</f>
        <v>Date</v>
      </c>
      <c r="L158" s="84"/>
    </row>
    <row r="159" spans="1:12">
      <c r="A159" s="19">
        <v>900030734</v>
      </c>
      <c r="B159" s="96">
        <v>44895</v>
      </c>
      <c r="C159" s="19" t="str">
        <f>IF(ISBLANK(A159),"Name",IF(ISNA(VLOOKUP(A159,'Master List'!A:C,2,FALSE)), "Not Found", VLOOKUP(A159,'Master List'!A:C,2,FALSE)))</f>
        <v>Caroline Alcantara</v>
      </c>
      <c r="D159" s="19" t="str">
        <f>IF(ISBLANK(A159), "Email",IF(ISNA(VLOOKUP(A159,'Master List'!A:C,3,FALSE)), "Not Found", VLOOKUP(A159,'Master List'!A:C,3,FALSE)))</f>
        <v>caroline@sfsu.edu</v>
      </c>
      <c r="E159" s="19" t="s">
        <v>57</v>
      </c>
      <c r="F159" s="4" t="str">
        <f>IF(OR(A159="",E159="","",A159="?",E159="?"),"duplicate?",IF(COUNTIFS($A:A,A159,E:E,E159)&gt;1,"yes","no"))</f>
        <v>no</v>
      </c>
      <c r="G159" s="92"/>
      <c r="H159" s="57">
        <v>45282</v>
      </c>
      <c r="I159" s="19" t="s">
        <v>55</v>
      </c>
      <c r="J159" s="107"/>
      <c r="K159" s="97" t="str">
        <f ca="1">IF(J159="","Date",IF(J159&lt;&gt;"",IF(K159="Date",NOW(),K159),""))</f>
        <v>Date</v>
      </c>
      <c r="L159" s="84"/>
    </row>
    <row r="160" spans="1:12">
      <c r="A160" s="19">
        <v>920775489</v>
      </c>
      <c r="B160" s="96">
        <v>44895</v>
      </c>
      <c r="C160" s="19" t="str">
        <f>IF(ISBLANK(A160),"Name",IF(ISNA(VLOOKUP(A160,'Master List'!A:C,2,FALSE)), "Not Found", VLOOKUP(A160,'Master List'!A:C,2,FALSE)))</f>
        <v>Katelyn Endow</v>
      </c>
      <c r="D160" s="19" t="str">
        <f>IF(ISBLANK(A160), "Email",IF(ISNA(VLOOKUP(A160,'Master List'!A:C,3,FALSE)), "Not Found", VLOOKUP(A160,'Master List'!A:C,3,FALSE)))</f>
        <v>kendow@sfsu.edu</v>
      </c>
      <c r="E160" s="19" t="s">
        <v>58</v>
      </c>
      <c r="F160" s="4" t="str">
        <f>IF(OR(A160="",E160="","",A160="?",E160="?"),"duplicate?",IF(COUNTIFS($A:A,A160,E:E,E160)&gt;1,"yes","no"))</f>
        <v>no</v>
      </c>
      <c r="G160" s="92"/>
      <c r="H160" s="57">
        <v>45282</v>
      </c>
      <c r="I160" s="19" t="s">
        <v>55</v>
      </c>
      <c r="J160" s="107"/>
      <c r="K160" s="97" t="str">
        <f ca="1">IF(J160="","Date",IF(J160&lt;&gt;"",IF(K160="Date",NOW(),K160),""))</f>
        <v>Date</v>
      </c>
      <c r="L160" s="84"/>
    </row>
    <row r="161" spans="1:12">
      <c r="A161" s="19">
        <v>918118557</v>
      </c>
      <c r="B161" s="96">
        <v>44896</v>
      </c>
      <c r="C161" s="19" t="str">
        <f>IF(ISBLANK(A161),"Name",IF(ISNA(VLOOKUP(A161,'Master List'!A:C,2,FALSE)), "Not Found", VLOOKUP(A161,'Master List'!A:C,2,FALSE)))</f>
        <v>Elizabeth Ramirez-Soto</v>
      </c>
      <c r="D161" s="19" t="str">
        <f>IF(ISBLANK(A161), "Email",IF(ISNA(VLOOKUP(A161,'Master List'!A:C,3,FALSE)), "Not Found", VLOOKUP(A161,'Master List'!A:C,3,FALSE)))</f>
        <v>Eramirezsoto@sfsu.edu</v>
      </c>
      <c r="E161" s="19" t="s">
        <v>19</v>
      </c>
      <c r="F161" s="4" t="str">
        <f>IF(OR(A161="",E161="","",A161="?",E161="?"),"duplicate?",IF(COUNTIFS($A:A,A161,E:E,E161)&gt;1,"yes","no"))</f>
        <v>no</v>
      </c>
      <c r="G161" s="92"/>
      <c r="H161" s="57">
        <v>44896</v>
      </c>
      <c r="I161" s="19" t="s">
        <v>49</v>
      </c>
      <c r="J161" s="107"/>
      <c r="K161" s="97" t="str">
        <f ca="1">IF(J161="","Date",IF(J161&lt;&gt;"",IF(K161="Date",NOW(),K161),""))</f>
        <v>Date</v>
      </c>
      <c r="L161" s="84"/>
    </row>
    <row r="162" spans="1:12">
      <c r="A162" s="19">
        <v>906993053</v>
      </c>
      <c r="B162" s="96">
        <v>44896</v>
      </c>
      <c r="C162" s="19" t="str">
        <f>IF(ISBLANK(A162),"Name",IF(ISNA(VLOOKUP(A162,'Master List'!A:C,2,FALSE)), "Not Found", VLOOKUP(A162,'Master List'!A:C,2,FALSE)))</f>
        <v>Sara Hackenberg</v>
      </c>
      <c r="D162" s="19" t="str">
        <f>IF(ISBLANK(A162), "Email",IF(ISNA(VLOOKUP(A162,'Master List'!A:C,3,FALSE)), "Not Found", VLOOKUP(A162,'Master List'!A:C,3,FALSE)))</f>
        <v>shackenb@sfsu.edu</v>
      </c>
      <c r="E162" s="19" t="s">
        <v>29</v>
      </c>
      <c r="F162" s="4" t="str">
        <f>IF(OR(A162="",E162="","",A162="?",E162="?"),"duplicate?",IF(COUNTIFS($A:A,A162,E:E,E162)&gt;1,"yes","no"))</f>
        <v>no</v>
      </c>
      <c r="G162" s="92"/>
      <c r="H162" s="57">
        <v>44900</v>
      </c>
      <c r="I162" s="19" t="s">
        <v>59</v>
      </c>
      <c r="J162" s="107"/>
      <c r="K162" s="97" t="str">
        <f ca="1">IF(J162="","Date",IF(J162&lt;&gt;"",IF(K162="Date",NOW(),K162),""))</f>
        <v>Date</v>
      </c>
      <c r="L162" s="84"/>
    </row>
    <row r="163" spans="1:12">
      <c r="A163" s="19">
        <v>906993053</v>
      </c>
      <c r="B163" s="96">
        <v>44896</v>
      </c>
      <c r="C163" s="19" t="str">
        <f>IF(ISBLANK(A163),"Name",IF(ISNA(VLOOKUP(A163,'Master List'!A:C,2,FALSE)), "Not Found", VLOOKUP(A163,'Master List'!A:C,2,FALSE)))</f>
        <v>Sara Hackenberg</v>
      </c>
      <c r="D163" s="19" t="str">
        <f>IF(ISBLANK(A163), "Email",IF(ISNA(VLOOKUP(A163,'Master List'!A:C,3,FALSE)), "Not Found", VLOOKUP(A163,'Master List'!A:C,3,FALSE)))</f>
        <v>shackenb@sfsu.edu</v>
      </c>
      <c r="E163" s="19" t="s">
        <v>36</v>
      </c>
      <c r="F163" s="4" t="str">
        <f>IF(OR(A163="",E163="","",A163="?",E163="?"),"duplicate?",IF(COUNTIFS($A:A,A163,E:E,E163)&gt;1,"yes","no"))</f>
        <v>no</v>
      </c>
      <c r="G163" s="92"/>
      <c r="H163" s="57">
        <v>44900</v>
      </c>
      <c r="I163" s="19" t="s">
        <v>59</v>
      </c>
      <c r="J163" s="107"/>
      <c r="K163" s="97" t="str">
        <f ca="1">IF(J163="","Date",IF(J163&lt;&gt;"",IF(K163="Date",NOW(),K163),""))</f>
        <v>Date</v>
      </c>
      <c r="L163" s="84"/>
    </row>
    <row r="164" spans="1:12">
      <c r="A164" s="19">
        <v>910658039</v>
      </c>
      <c r="B164" s="96">
        <v>44901</v>
      </c>
      <c r="C164" s="19" t="str">
        <f>IF(ISBLANK(A164),"Name",IF(ISNA(VLOOKUP(A164,'Master List'!A:C,2,FALSE)), "Not Found", VLOOKUP(A164,'Master List'!A:C,2,FALSE)))</f>
        <v>Jeremy Domasian</v>
      </c>
      <c r="D164" s="19" t="str">
        <f>IF(ISBLANK(A164), "Email",IF(ISNA(VLOOKUP(A164,'Master List'!A:C,3,FALSE)), "Not Found", VLOOKUP(A164,'Master List'!A:C,3,FALSE)))</f>
        <v>jeremy@sfsu.edu</v>
      </c>
      <c r="E164" s="19" t="s">
        <v>30</v>
      </c>
      <c r="F164" s="4" t="str">
        <f>IF(OR(A164="",E164="","",A164="?",E164="?"),"duplicate?",IF(COUNTIFS($A:A,A164,E:E,E164)&gt;1,"yes","no"))</f>
        <v>no</v>
      </c>
      <c r="G164" s="92"/>
      <c r="H164" s="57">
        <v>45282</v>
      </c>
      <c r="I164" s="19"/>
      <c r="J164" s="107"/>
      <c r="K164" s="97" t="str">
        <f ca="1">IF(J164="","Date",IF(J164&lt;&gt;"",IF(K164="Date",NOW(),K164),""))</f>
        <v>Date</v>
      </c>
      <c r="L164" s="84"/>
    </row>
    <row r="165" spans="1:12">
      <c r="A165" s="19">
        <v>900023064</v>
      </c>
      <c r="B165" s="96">
        <v>44901</v>
      </c>
      <c r="C165" s="19" t="str">
        <f>IF(ISBLANK(A165),"Name",IF(ISNA(VLOOKUP(A165,'Master List'!A:C,2,FALSE)), "Not Found", VLOOKUP(A165,'Master List'!A:C,2,FALSE)))</f>
        <v>Karen Coopman</v>
      </c>
      <c r="D165" s="19" t="str">
        <f>IF(ISBLANK(A165), "Email",IF(ISNA(VLOOKUP(A165,'Master List'!A:C,3,FALSE)), "Not Found", VLOOKUP(A165,'Master List'!A:C,3,FALSE)))</f>
        <v>coopman@sfsu.edu</v>
      </c>
      <c r="E165" s="19" t="s">
        <v>19</v>
      </c>
      <c r="F165" s="4" t="str">
        <f>IF(OR(A165="",E165="","",A165="?",E165="?"),"duplicate?",IF(COUNTIFS($A:A,A165,E:E,E165)&gt;1,"yes","no"))</f>
        <v>yes</v>
      </c>
      <c r="G165" s="92"/>
      <c r="H165" s="57">
        <v>44901</v>
      </c>
      <c r="I165" s="19" t="s">
        <v>56</v>
      </c>
      <c r="J165" s="107"/>
      <c r="K165" s="97" t="str">
        <f ca="1">IF(J165="","Date",IF(J165&lt;&gt;"",IF(K165="Date",NOW(),K165),""))</f>
        <v>Date</v>
      </c>
      <c r="L165" s="84"/>
    </row>
    <row r="166" spans="1:12">
      <c r="A166" s="19">
        <v>918119389</v>
      </c>
      <c r="B166" s="96">
        <v>44901</v>
      </c>
      <c r="C166" s="19" t="str">
        <f>IF(ISBLANK(A166),"Name",IF(ISNA(VLOOKUP(A166,'Master List'!A:C,2,FALSE)), "Not Found", VLOOKUP(A166,'Master List'!A:C,2,FALSE)))</f>
        <v>Katharine Mahalic</v>
      </c>
      <c r="D166" s="19" t="str">
        <f>IF(ISBLANK(A166), "Email",IF(ISNA(VLOOKUP(A166,'Master List'!A:C,3,FALSE)), "Not Found", VLOOKUP(A166,'Master List'!A:C,3,FALSE)))</f>
        <v>kmahalic@sfsu.edu</v>
      </c>
      <c r="E166" s="19" t="s">
        <v>19</v>
      </c>
      <c r="F166" s="4" t="str">
        <f>IF(OR(A166="",E166="","",A166="?",E166="?"),"duplicate?",IF(COUNTIFS($A:A,A166,E:E,E166)&gt;1,"yes","no"))</f>
        <v>yes</v>
      </c>
      <c r="G166" s="92"/>
      <c r="H166" s="57">
        <v>44901</v>
      </c>
      <c r="I166" s="19" t="s">
        <v>60</v>
      </c>
      <c r="J166" s="107"/>
      <c r="K166" s="97" t="str">
        <f ca="1">IF(J166="","Date",IF(J166&lt;&gt;"",IF(K166="Date",NOW(),K166),""))</f>
        <v>Date</v>
      </c>
      <c r="L166" s="84"/>
    </row>
    <row r="167" spans="1:12">
      <c r="A167" s="19">
        <v>922230410</v>
      </c>
      <c r="B167" s="96">
        <v>44902</v>
      </c>
      <c r="C167" s="19" t="str">
        <f>IF(ISBLANK(A167),"Name",IF(ISNA(VLOOKUP(A167,'Master List'!A:C,2,FALSE)), "Not Found", VLOOKUP(A167,'Master List'!A:C,2,FALSE)))</f>
        <v>Kshitiz Sareen</v>
      </c>
      <c r="D167" s="19" t="str">
        <f>IF(ISBLANK(A167), "Email",IF(ISNA(VLOOKUP(A167,'Master List'!A:C,3,FALSE)), "Not Found", VLOOKUP(A167,'Master List'!A:C,3,FALSE)))</f>
        <v>ksareen@sfsu.edu</v>
      </c>
      <c r="E167" s="19" t="s">
        <v>19</v>
      </c>
      <c r="F167" s="4" t="str">
        <f>IF(OR(A167="",E167="","",A167="?",E167="?"),"duplicate?",IF(COUNTIFS($A:A,A167,E:E,E167)&gt;1,"yes","no"))</f>
        <v>yes</v>
      </c>
      <c r="G167" s="92"/>
      <c r="H167" s="57">
        <v>44903</v>
      </c>
      <c r="I167" s="19" t="s">
        <v>59</v>
      </c>
      <c r="J167" s="107"/>
      <c r="K167" s="97" t="str">
        <f ca="1">IF(J167="","Date",IF(J167&lt;&gt;"",IF(K167="Date",NOW(),K167),""))</f>
        <v>Date</v>
      </c>
      <c r="L167" s="84"/>
    </row>
    <row r="168" spans="1:12">
      <c r="A168" s="19">
        <v>913869494</v>
      </c>
      <c r="B168" s="96">
        <v>44902</v>
      </c>
      <c r="C168" s="19" t="str">
        <f>IF(ISBLANK(A168),"Name",IF(ISNA(VLOOKUP(A168,'Master List'!A:C,2,FALSE)), "Not Found", VLOOKUP(A168,'Master List'!A:C,2,FALSE)))</f>
        <v>Nikolas Nackley</v>
      </c>
      <c r="D168" s="19" t="str">
        <f>IF(ISBLANK(A168), "Email",IF(ISNA(VLOOKUP(A168,'Master List'!A:C,3,FALSE)), "Not Found", VLOOKUP(A168,'Master List'!A:C,3,FALSE)))</f>
        <v>nnackley@sfsu.edu</v>
      </c>
      <c r="E168" s="19" t="s">
        <v>58</v>
      </c>
      <c r="F168" s="4" t="str">
        <f>IF(OR(A168="",E168="","",A168="?",E168="?"),"duplicate?",IF(COUNTIFS($A:A,A168,E:E,E168)&gt;1,"yes","no"))</f>
        <v>no</v>
      </c>
      <c r="G168" s="92"/>
      <c r="H168" s="57">
        <v>45282</v>
      </c>
      <c r="I168" s="19"/>
      <c r="J168" s="107"/>
      <c r="K168" s="97" t="str">
        <f ca="1">IF(J168="","Date",IF(J168&lt;&gt;"",IF(K168="Date",NOW(),K168),""))</f>
        <v>Date</v>
      </c>
      <c r="L168" s="84"/>
    </row>
    <row r="169" spans="1:12">
      <c r="A169" s="19">
        <v>918844477</v>
      </c>
      <c r="B169" s="96">
        <v>44903</v>
      </c>
      <c r="C169" s="19" t="str">
        <f>IF(ISBLANK(A169),"Name",IF(ISNA(VLOOKUP(A169,'Master List'!A:C,2,FALSE)), "Not Found", VLOOKUP(A169,'Master List'!A:C,2,FALSE)))</f>
        <v>Ashley Vind</v>
      </c>
      <c r="D169" s="19" t="str">
        <f>IF(ISBLANK(A169), "Email",IF(ISNA(VLOOKUP(A169,'Master List'!A:C,3,FALSE)), "Not Found", VLOOKUP(A169,'Master List'!A:C,3,FALSE)))</f>
        <v>ashleyvind@sfsu.edu</v>
      </c>
      <c r="E169" s="19" t="s">
        <v>30</v>
      </c>
      <c r="F169" s="4" t="str">
        <f>IF(OR(A169="",E169="","",A169="?",E169="?"),"duplicate?",IF(COUNTIFS($A:A,A169,E:E,E169)&gt;1,"yes","no"))</f>
        <v>no</v>
      </c>
      <c r="G169" s="92"/>
      <c r="H169" s="57">
        <v>45282</v>
      </c>
      <c r="I169" s="19"/>
      <c r="J169" s="107"/>
      <c r="K169" s="97" t="str">
        <f ca="1">IF(J169="","Date",IF(J169&lt;&gt;"",IF(K169="Date",NOW(),K169),""))</f>
        <v>Date</v>
      </c>
      <c r="L169" s="84"/>
    </row>
    <row r="170" spans="1:12">
      <c r="A170" s="19">
        <v>918844477</v>
      </c>
      <c r="B170" s="96">
        <v>44903</v>
      </c>
      <c r="C170" s="19" t="str">
        <f>IF(ISBLANK(A170),"Name",IF(ISNA(VLOOKUP(A170,'Master List'!A:C,2,FALSE)), "Not Found", VLOOKUP(A170,'Master List'!A:C,2,FALSE)))</f>
        <v>Ashley Vind</v>
      </c>
      <c r="D170" s="19" t="str">
        <f>IF(ISBLANK(A170), "Email",IF(ISNA(VLOOKUP(A170,'Master List'!A:C,3,FALSE)), "Not Found", VLOOKUP(A170,'Master List'!A:C,3,FALSE)))</f>
        <v>ashleyvind@sfsu.edu</v>
      </c>
      <c r="E170" s="19" t="s">
        <v>36</v>
      </c>
      <c r="F170" s="4" t="str">
        <f>IF(OR(A170="",E170="","",A170="?",E170="?"),"duplicate?",IF(COUNTIFS($A:A,A170,E:E,E170)&gt;1,"yes","no"))</f>
        <v>no</v>
      </c>
      <c r="G170" s="92"/>
      <c r="H170" s="57">
        <v>45282</v>
      </c>
      <c r="I170" s="19" t="s">
        <v>59</v>
      </c>
      <c r="J170" s="107"/>
      <c r="K170" s="97" t="str">
        <f ca="1">IF(J170="","Date",IF(J170&lt;&gt;"",IF(K170="Date",NOW(),K170),""))</f>
        <v>Date</v>
      </c>
      <c r="L170" s="84"/>
    </row>
    <row r="171" spans="1:12">
      <c r="A171" s="19">
        <v>900017994</v>
      </c>
      <c r="B171" s="96">
        <v>44908</v>
      </c>
      <c r="C171" s="19" t="str">
        <f>IF(ISBLANK(A171),"Name",IF(ISNA(VLOOKUP(A171,'Master List'!A:C,2,FALSE)), "Not Found", VLOOKUP(A171,'Master List'!A:C,2,FALSE)))</f>
        <v>Julie Paulson</v>
      </c>
      <c r="D171" s="19" t="str">
        <f>IF(ISBLANK(A171), "Email",IF(ISNA(VLOOKUP(A171,'Master List'!A:C,3,FALSE)), "Not Found", VLOOKUP(A171,'Master List'!A:C,3,FALSE)))</f>
        <v>jpaulson@sfsu.edu</v>
      </c>
      <c r="E171" s="19" t="s">
        <v>20</v>
      </c>
      <c r="F171" s="4" t="str">
        <f>IF(OR(A171="",E171="","",A171="?",E171="?"),"duplicate?",IF(COUNTIFS($A:A,A171,E:E,E171)&gt;1,"yes","no"))</f>
        <v>no</v>
      </c>
      <c r="G171" s="92"/>
      <c r="H171" s="57">
        <v>44908</v>
      </c>
      <c r="I171" s="19" t="s">
        <v>61</v>
      </c>
      <c r="J171" s="107"/>
      <c r="K171" s="97" t="str">
        <f ca="1">IF(J171="","Date",IF(J171&lt;&gt;"",IF(K171="Date",NOW(),K171),""))</f>
        <v>Date</v>
      </c>
      <c r="L171" s="84"/>
    </row>
    <row r="172" spans="1:12">
      <c r="A172" s="19">
        <v>900023064</v>
      </c>
      <c r="B172" s="96">
        <v>44908</v>
      </c>
      <c r="C172" s="19" t="str">
        <f>IF(ISBLANK(A172),"Name",IF(ISNA(VLOOKUP(A172,'Master List'!A:C,2,FALSE)), "Not Found", VLOOKUP(A172,'Master List'!A:C,2,FALSE)))</f>
        <v>Karen Coopman</v>
      </c>
      <c r="D172" s="19" t="str">
        <f>IF(ISBLANK(A172), "Email",IF(ISNA(VLOOKUP(A172,'Master List'!A:C,3,FALSE)), "Not Found", VLOOKUP(A172,'Master List'!A:C,3,FALSE)))</f>
        <v>coopman@sfsu.edu</v>
      </c>
      <c r="E172" s="19" t="s">
        <v>19</v>
      </c>
      <c r="F172" s="4" t="str">
        <f>IF(OR(A172="",E172="","",A172="?",E172="?"),"duplicate?",IF(COUNTIFS($A:A,A172,E:E,E172)&gt;1,"yes","no"))</f>
        <v>yes</v>
      </c>
      <c r="G172" s="92"/>
      <c r="H172" s="57">
        <v>44909</v>
      </c>
      <c r="I172" s="19" t="s">
        <v>61</v>
      </c>
      <c r="J172" s="107"/>
      <c r="K172" s="97" t="str">
        <f ca="1">IF(J172="","Date",IF(J172&lt;&gt;"",IF(K172="Date",NOW(),K172),""))</f>
        <v>Date</v>
      </c>
      <c r="L172" s="84"/>
    </row>
    <row r="173" spans="1:12">
      <c r="A173" s="19">
        <v>922230410</v>
      </c>
      <c r="B173" s="96">
        <v>44908</v>
      </c>
      <c r="C173" s="19" t="str">
        <f>IF(ISBLANK(A173),"Name",IF(ISNA(VLOOKUP(A173,'Master List'!A:C,2,FALSE)), "Not Found", VLOOKUP(A173,'Master List'!A:C,2,FALSE)))</f>
        <v>Kshitiz Sareen</v>
      </c>
      <c r="D173" s="19" t="str">
        <f>IF(ISBLANK(A173), "Email",IF(ISNA(VLOOKUP(A173,'Master List'!A:C,3,FALSE)), "Not Found", VLOOKUP(A173,'Master List'!A:C,3,FALSE)))</f>
        <v>ksareen@sfsu.edu</v>
      </c>
      <c r="E173" s="19" t="s">
        <v>19</v>
      </c>
      <c r="F173" s="4" t="str">
        <f>IF(OR(A173="",E173="","",A173="?",E173="?"),"duplicate?",IF(COUNTIFS($A:A,A173,E:E,E173)&gt;1,"yes","no"))</f>
        <v>yes</v>
      </c>
      <c r="G173" s="92"/>
      <c r="H173" s="57">
        <v>45282</v>
      </c>
      <c r="I173" s="19"/>
      <c r="J173" s="107"/>
      <c r="K173" s="97" t="str">
        <f ca="1">IF(J173="","Date",IF(J173&lt;&gt;"",IF(K173="Date",NOW(),K173),""))</f>
        <v>Date</v>
      </c>
      <c r="L173" s="84"/>
    </row>
    <row r="174" spans="1:12">
      <c r="A174" s="19">
        <v>904495610</v>
      </c>
      <c r="B174" s="96">
        <v>44910</v>
      </c>
      <c r="C174" s="19" t="str">
        <f>IF(ISBLANK(A174),"Name",IF(ISNA(VLOOKUP(A174,'Master List'!A:C,2,FALSE)), "Not Found", VLOOKUP(A174,'Master List'!A:C,2,FALSE)))</f>
        <v>Candace Low</v>
      </c>
      <c r="D174" s="19" t="str">
        <f>IF(ISBLANK(A174), "Email",IF(ISNA(VLOOKUP(A174,'Master List'!A:C,3,FALSE)), "Not Found", VLOOKUP(A174,'Master List'!A:C,3,FALSE)))</f>
        <v>clowsf@sfsu.edu</v>
      </c>
      <c r="E174" s="19" t="s">
        <v>62</v>
      </c>
      <c r="F174" s="4" t="str">
        <f>IF(OR(A174="",E174="","",A174="?",E174="?"),"duplicate?",IF(COUNTIFS($A:A,A174,E:E,E174)&gt;1,"yes","no"))</f>
        <v>no</v>
      </c>
      <c r="G174" s="92"/>
      <c r="H174" s="57">
        <v>45282</v>
      </c>
      <c r="I174" s="19"/>
      <c r="J174" s="107"/>
      <c r="K174" s="97" t="str">
        <f ca="1">IF(J174="","Date",IF(J174&lt;&gt;"",IF(K174="Date",NOW(),K174),""))</f>
        <v>Date</v>
      </c>
      <c r="L174" s="84"/>
    </row>
    <row r="175" spans="1:12">
      <c r="A175" s="19">
        <v>911435660</v>
      </c>
      <c r="B175" s="96">
        <v>44932</v>
      </c>
      <c r="C175" s="19" t="str">
        <f>IF(ISBLANK(A175),"Name",IF(ISNA(VLOOKUP(A175,'Master List'!A:C,2,FALSE)), "Not Found", VLOOKUP(A175,'Master List'!A:C,2,FALSE)))</f>
        <v>Raul Contreras III</v>
      </c>
      <c r="D175" s="19" t="str">
        <f>IF(ISBLANK(A175), "Email",IF(ISNA(VLOOKUP(A175,'Master List'!A:C,3,FALSE)), "Not Found", VLOOKUP(A175,'Master List'!A:C,3,FALSE)))</f>
        <v>raulc@sfsu.edu</v>
      </c>
      <c r="E175" s="19" t="s">
        <v>23</v>
      </c>
      <c r="F175" s="4" t="str">
        <f>IF(OR(A175="",E175="","",A175="?",E175="?"),"duplicate?",IF(COUNTIFS($A:A,A175,E:E,E175)&gt;1,"yes","no"))</f>
        <v>no</v>
      </c>
      <c r="G175" s="92"/>
      <c r="H175" s="57">
        <v>45078</v>
      </c>
      <c r="I175" s="19" t="s">
        <v>63</v>
      </c>
      <c r="J175" s="107"/>
      <c r="K175" s="97" t="str">
        <f ca="1">IF(J175="","Date",IF(J175&lt;&gt;"",IF(K175="Date",NOW(),K175),""))</f>
        <v>Date</v>
      </c>
      <c r="L175" s="84"/>
    </row>
    <row r="176" spans="1:12">
      <c r="A176" s="19">
        <v>913867609</v>
      </c>
      <c r="B176" s="96">
        <v>44937</v>
      </c>
      <c r="C176" s="19" t="str">
        <f>IF(ISBLANK(A176),"Name",IF(ISNA(VLOOKUP(A176,'Master List'!A:C,2,FALSE)), "Not Found", VLOOKUP(A176,'Master List'!A:C,2,FALSE)))</f>
        <v>Zhaoshuo Jiang</v>
      </c>
      <c r="D176" s="19" t="str">
        <f>IF(ISBLANK(A176), "Email",IF(ISNA(VLOOKUP(A176,'Master List'!A:C,3,FALSE)), "Not Found", VLOOKUP(A176,'Master List'!A:C,3,FALSE)))</f>
        <v>zsjiang@sfsu.edu</v>
      </c>
      <c r="E176" s="19" t="s">
        <v>64</v>
      </c>
      <c r="F176" s="4" t="str">
        <f>IF(OR(A176="",E176="","",A176="?",E176="?"),"duplicate?",IF(COUNTIFS($A:A,A176,E:E,E176)&gt;1,"yes","no"))</f>
        <v>no</v>
      </c>
      <c r="G176" s="92"/>
      <c r="H176" s="57">
        <v>45078</v>
      </c>
      <c r="I176" s="19" t="s">
        <v>65</v>
      </c>
      <c r="J176" s="107"/>
      <c r="K176" s="97" t="str">
        <f ca="1">IF(J176="","Date",IF(J176&lt;&gt;"",IF(K176="Date",NOW(),K176),""))</f>
        <v>Date</v>
      </c>
      <c r="L176" s="84"/>
    </row>
    <row r="177" spans="1:12">
      <c r="A177" s="19">
        <v>918850548</v>
      </c>
      <c r="B177" s="96">
        <v>44938</v>
      </c>
      <c r="C177" s="19" t="str">
        <f>IF(ISBLANK(A177),"Name",IF(ISNA(VLOOKUP(A177,'Master List'!A:C,2,FALSE)), "Not Found", VLOOKUP(A177,'Master List'!A:C,2,FALSE)))</f>
        <v>Da'Shonda Parks</v>
      </c>
      <c r="D177" s="19" t="str">
        <f>IF(ISBLANK(A177), "Email",IF(ISNA(VLOOKUP(A177,'Master List'!A:C,3,FALSE)), "Not Found", VLOOKUP(A177,'Master List'!A:C,3,FALSE)))</f>
        <v>dashondaparks@sfsu.edu</v>
      </c>
      <c r="E177" s="19" t="s">
        <v>19</v>
      </c>
      <c r="F177" s="4" t="str">
        <f>IF(OR(A177="",E177="","",A177="?",E177="?"),"duplicate?",IF(COUNTIFS($A:A,A177,E:E,E177)&gt;1,"yes","no"))</f>
        <v>no</v>
      </c>
      <c r="G177" s="92"/>
      <c r="H177" s="57">
        <v>45078</v>
      </c>
      <c r="I177" s="19" t="s">
        <v>66</v>
      </c>
      <c r="J177" s="107"/>
      <c r="K177" s="97" t="str">
        <f ca="1">IF(J177="","Date",IF(J177&lt;&gt;"",IF(K177="Date",NOW(),K177),""))</f>
        <v>Date</v>
      </c>
      <c r="L177" s="84"/>
    </row>
    <row r="178" spans="1:12">
      <c r="A178" s="19">
        <v>918850951</v>
      </c>
      <c r="B178" s="96">
        <v>44939</v>
      </c>
      <c r="C178" s="19" t="str">
        <f>IF(ISBLANK(A178),"Name",IF(ISNA(VLOOKUP(A178,'Master List'!A:C,2,FALSE)), "Not Found", VLOOKUP(A178,'Master List'!A:C,2,FALSE)))</f>
        <v>Kyle Wallance-Jordan</v>
      </c>
      <c r="D178" s="19" t="str">
        <f>IF(ISBLANK(A178), "Email",IF(ISNA(VLOOKUP(A178,'Master List'!A:C,3,FALSE)), "Not Found", VLOOKUP(A178,'Master List'!A:C,3,FALSE)))</f>
        <v>kwallacejordan@sfsu.edu</v>
      </c>
      <c r="E178" s="19" t="s">
        <v>36</v>
      </c>
      <c r="F178" s="4" t="str">
        <f>IF(OR(A178="",E178="","",A178="?",E178="?"),"duplicate?",IF(COUNTIFS($A:A,A178,E:E,E178)&gt;1,"yes","no"))</f>
        <v>yes</v>
      </c>
      <c r="G178" s="92"/>
      <c r="H178" s="57">
        <v>45078</v>
      </c>
      <c r="I178" s="19" t="s">
        <v>56</v>
      </c>
      <c r="J178" s="107"/>
      <c r="K178" s="97" t="str">
        <f ca="1">IF(J178="","Date",IF(J178&lt;&gt;"",IF(K178="Date",NOW(),K178),""))</f>
        <v>Date</v>
      </c>
      <c r="L178" s="84"/>
    </row>
    <row r="179" spans="1:12">
      <c r="A179" s="19">
        <v>918850951</v>
      </c>
      <c r="B179" s="96">
        <v>44939</v>
      </c>
      <c r="C179" s="19" t="str">
        <f>IF(ISBLANK(A179),"Name",IF(ISNA(VLOOKUP(A179,'Master List'!A:C,2,FALSE)), "Not Found", VLOOKUP(A179,'Master List'!A:C,2,FALSE)))</f>
        <v>Kyle Wallance-Jordan</v>
      </c>
      <c r="D179" s="19" t="str">
        <f>IF(ISBLANK(A179), "Email",IF(ISNA(VLOOKUP(A179,'Master List'!A:C,3,FALSE)), "Not Found", VLOOKUP(A179,'Master List'!A:C,3,FALSE)))</f>
        <v>kwallacejordan@sfsu.edu</v>
      </c>
      <c r="E179" s="19" t="s">
        <v>30</v>
      </c>
      <c r="F179" s="4" t="str">
        <f>IF(OR(A179="",E179="","",A179="?",E179="?"),"duplicate?",IF(COUNTIFS($A:A,A179,E:E,E179)&gt;1,"yes","no"))</f>
        <v>no</v>
      </c>
      <c r="G179" s="92"/>
      <c r="H179" s="57">
        <v>45078</v>
      </c>
      <c r="I179" s="19" t="s">
        <v>56</v>
      </c>
      <c r="J179" s="107"/>
      <c r="K179" s="97" t="str">
        <f ca="1">IF(J179="","Date",IF(J179&lt;&gt;"",IF(K179="Date",NOW(),K179),""))</f>
        <v>Date</v>
      </c>
      <c r="L179" s="84"/>
    </row>
    <row r="180" spans="1:12">
      <c r="A180" s="19">
        <v>918850951</v>
      </c>
      <c r="B180" s="96">
        <v>44943</v>
      </c>
      <c r="C180" s="19" t="str">
        <f>IF(ISBLANK(A180),"Name",IF(ISNA(VLOOKUP(A180,'Master List'!A:C,2,FALSE)), "Not Found", VLOOKUP(A180,'Master List'!A:C,2,FALSE)))</f>
        <v>Kyle Wallance-Jordan</v>
      </c>
      <c r="D180" s="19" t="str">
        <f>IF(ISBLANK(A180), "Email",IF(ISNA(VLOOKUP(A180,'Master List'!A:C,3,FALSE)), "Not Found", VLOOKUP(A180,'Master List'!A:C,3,FALSE)))</f>
        <v>kwallacejordan@sfsu.edu</v>
      </c>
      <c r="E180" s="19" t="s">
        <v>46</v>
      </c>
      <c r="F180" s="4" t="str">
        <f>IF(OR(A180="",E180="","",A180="?",E180="?"),"duplicate?",IF(COUNTIFS($A:A,A180,E:E,E180)&gt;1,"yes","no"))</f>
        <v>no</v>
      </c>
      <c r="G180" s="92"/>
      <c r="H180" s="57">
        <v>45078</v>
      </c>
      <c r="I180" s="19" t="s">
        <v>52</v>
      </c>
      <c r="J180" s="107"/>
      <c r="K180" s="97" t="str">
        <f ca="1">IF(J180="","Date",IF(J180&lt;&gt;"",IF(K180="Date",NOW(),K180),""))</f>
        <v>Date</v>
      </c>
      <c r="L180" s="84"/>
    </row>
    <row r="181" spans="1:12">
      <c r="A181" s="59">
        <v>901848901</v>
      </c>
      <c r="B181" s="96">
        <v>44943</v>
      </c>
      <c r="C181" s="19" t="str">
        <f>IF(ISBLANK(A181),"Name",IF(ISNA(VLOOKUP(A181,'Master List'!A:C,2,FALSE)), "Not Found", VLOOKUP(A181,'Master List'!A:C,2,FALSE)))</f>
        <v>Joshua Horowitz</v>
      </c>
      <c r="D181" s="19" t="str">
        <f>IF(ISBLANK(A181), "Email",IF(ISNA(VLOOKUP(A181,'Master List'!A:C,3,FALSE)), "Not Found", VLOOKUP(A181,'Master List'!A:C,3,FALSE)))</f>
        <v>doctorh@sfsu.edu</v>
      </c>
      <c r="E181" s="19" t="s">
        <v>46</v>
      </c>
      <c r="F181" s="4" t="str">
        <f>IF(OR(A181="",E181="","",A181="?",E181="?"),"duplicate?",IF(COUNTIFS($A:A,A181,E:E,E181)&gt;1,"yes","no"))</f>
        <v>no</v>
      </c>
      <c r="G181" s="92"/>
      <c r="H181" s="57">
        <v>45078</v>
      </c>
      <c r="I181" s="19" t="s">
        <v>54</v>
      </c>
      <c r="J181" s="107"/>
      <c r="K181" s="97" t="str">
        <f ca="1">IF(J181="","Date",IF(J181&lt;&gt;"",IF(K181="Date",NOW(),K181),""))</f>
        <v>Date</v>
      </c>
      <c r="L181" s="84"/>
    </row>
    <row r="182" spans="1:12">
      <c r="A182" s="59">
        <v>901848901</v>
      </c>
      <c r="B182" s="96">
        <v>44943</v>
      </c>
      <c r="C182" s="19" t="str">
        <f>IF(ISBLANK(A182),"Name",IF(ISNA(VLOOKUP(A182,'Master List'!A:C,2,FALSE)), "Not Found", VLOOKUP(A182,'Master List'!A:C,2,FALSE)))</f>
        <v>Joshua Horowitz</v>
      </c>
      <c r="D182" s="19" t="str">
        <f>IF(ISBLANK(A182), "Email",IF(ISNA(VLOOKUP(A182,'Master List'!A:C,3,FALSE)), "Not Found", VLOOKUP(A182,'Master List'!A:C,3,FALSE)))</f>
        <v>doctorh@sfsu.edu</v>
      </c>
      <c r="E182" s="19" t="s">
        <v>30</v>
      </c>
      <c r="F182" s="4" t="str">
        <f>IF(OR(A182="",E182="","",A182="?",E182="?"),"duplicate?",IF(COUNTIFS($A:A,A182,E:E,E182)&gt;1,"yes","no"))</f>
        <v>no</v>
      </c>
      <c r="G182" s="92"/>
      <c r="H182" s="57">
        <v>45078</v>
      </c>
      <c r="I182" s="19" t="s">
        <v>54</v>
      </c>
      <c r="J182" s="107"/>
      <c r="K182" s="97" t="str">
        <f ca="1">IF(J182="","Date",IF(J182&lt;&gt;"",IF(K182="Date",NOW(),K182),""))</f>
        <v>Date</v>
      </c>
      <c r="L182" s="84"/>
    </row>
    <row r="183" spans="1:12">
      <c r="A183" s="19">
        <v>900028979</v>
      </c>
      <c r="B183" s="96">
        <v>44943</v>
      </c>
      <c r="C183" s="19" t="str">
        <f>IF(ISBLANK(A183),"Name",IF(ISNA(VLOOKUP(A183,'Master List'!A:C,2,FALSE)), "Not Found", VLOOKUP(A183,'Master List'!A:C,2,FALSE)))</f>
        <v>Lisa Barbes Ackerman</v>
      </c>
      <c r="D183" s="19" t="str">
        <f>IF(ISBLANK(A183), "Email",IF(ISNA(VLOOKUP(A183,'Master List'!A:C,3,FALSE)), "Not Found", VLOOKUP(A183,'Master List'!A:C,3,FALSE)))</f>
        <v>lbarbes@sfsu.edu</v>
      </c>
      <c r="E183" s="19" t="s">
        <v>67</v>
      </c>
      <c r="F183" s="4" t="str">
        <f>IF(OR(A183="",E183="","",A183="?",E183="?"),"duplicate?",IF(COUNTIFS($A:A,A183,E:E,E183)&gt;1,"yes","no"))</f>
        <v>yes</v>
      </c>
      <c r="G183" s="92"/>
      <c r="H183" s="57">
        <v>45078</v>
      </c>
      <c r="I183" s="19" t="s">
        <v>54</v>
      </c>
      <c r="J183" s="107"/>
      <c r="K183" s="97" t="str">
        <f ca="1">IF(J183="","Date",IF(J183&lt;&gt;"",IF(K183="Date",NOW(),K183),""))</f>
        <v>Date</v>
      </c>
      <c r="L183" s="84"/>
    </row>
    <row r="184" spans="1:12">
      <c r="A184" s="19">
        <v>900028979</v>
      </c>
      <c r="B184" s="96">
        <v>44943</v>
      </c>
      <c r="C184" s="19" t="str">
        <f>IF(ISBLANK(A184),"Name",IF(ISNA(VLOOKUP(A184,'Master List'!A:C,2,FALSE)), "Not Found", VLOOKUP(A184,'Master List'!A:C,2,FALSE)))</f>
        <v>Lisa Barbes Ackerman</v>
      </c>
      <c r="D184" s="19" t="str">
        <f>IF(ISBLANK(A184), "Email",IF(ISNA(VLOOKUP(A184,'Master List'!A:C,3,FALSE)), "Not Found", VLOOKUP(A184,'Master List'!A:C,3,FALSE)))</f>
        <v>lbarbes@sfsu.edu</v>
      </c>
      <c r="E184" s="19" t="s">
        <v>67</v>
      </c>
      <c r="F184" s="4" t="str">
        <f>IF(OR(A184="",E184="","",A184="?",E184="?"),"duplicate?",IF(COUNTIFS($A:A,A184,E:E,E184)&gt;1,"yes","no"))</f>
        <v>yes</v>
      </c>
      <c r="G184" s="92"/>
      <c r="H184" s="57">
        <v>45078</v>
      </c>
      <c r="I184" s="19" t="s">
        <v>54</v>
      </c>
      <c r="J184" s="107"/>
      <c r="K184" s="97" t="str">
        <f ca="1">IF(J184="","Date",IF(J184&lt;&gt;"",IF(K184="Date",NOW(),K184),""))</f>
        <v>Date</v>
      </c>
      <c r="L184" s="84"/>
    </row>
    <row r="185" spans="1:12">
      <c r="A185" s="19">
        <v>900014679</v>
      </c>
      <c r="B185" s="96">
        <v>44949</v>
      </c>
      <c r="C185" s="19" t="str">
        <f>IF(ISBLANK(A185),"Name",IF(ISNA(VLOOKUP(A185,'Master List'!A:C,2,FALSE)), "Not Found", VLOOKUP(A185,'Master List'!A:C,2,FALSE)))</f>
        <v>Nona Caspers</v>
      </c>
      <c r="D185" s="19" t="str">
        <f>IF(ISBLANK(A185), "Email",IF(ISNA(VLOOKUP(A185,'Master List'!A:C,3,FALSE)), "Not Found", VLOOKUP(A185,'Master List'!A:C,3,FALSE)))</f>
        <v>ncaspers@sfsu.edu</v>
      </c>
      <c r="E185" s="19" t="s">
        <v>36</v>
      </c>
      <c r="F185" s="4" t="str">
        <f>IF(OR(A185="",E185="","",A185="?",E185="?"),"duplicate?",IF(COUNTIFS($A:A,A185,E:E,E185)&gt;1,"yes","no"))</f>
        <v>no</v>
      </c>
      <c r="G185" s="92"/>
      <c r="H185" s="57">
        <v>45078</v>
      </c>
      <c r="I185" s="19" t="s">
        <v>56</v>
      </c>
      <c r="J185" s="107"/>
      <c r="K185" s="97" t="str">
        <f ca="1">IF(J185="","Date",IF(J185&lt;&gt;"",IF(K185="Date",NOW(),K185),""))</f>
        <v>Date</v>
      </c>
      <c r="L185" s="84"/>
    </row>
    <row r="186" spans="1:12">
      <c r="A186" s="19">
        <v>917190955</v>
      </c>
      <c r="B186" s="96">
        <v>44950</v>
      </c>
      <c r="C186" s="19" t="str">
        <f>IF(ISBLANK(A186),"Name",IF(ISNA(VLOOKUP(A186,'Master List'!A:C,2,FALSE)), "Not Found", VLOOKUP(A186,'Master List'!A:C,2,FALSE)))</f>
        <v>Elisa Maria Cornejo Molina</v>
      </c>
      <c r="D186" s="19" t="str">
        <f>IF(ISBLANK(A186), "Email",IF(ISNA(VLOOKUP(A186,'Master List'!A:C,3,FALSE)), "Not Found", VLOOKUP(A186,'Master List'!A:C,3,FALSE)))</f>
        <v xml:space="preserve"> ecornejomolina@sfsu.edu </v>
      </c>
      <c r="E186" s="19" t="s">
        <v>36</v>
      </c>
      <c r="F186" s="4" t="str">
        <f>IF(OR(A186="",E186="","",A186="?",E186="?"),"duplicate?",IF(COUNTIFS($A:A,A186,E:E,E186)&gt;1,"yes","no"))</f>
        <v>yes</v>
      </c>
      <c r="G186" s="92"/>
      <c r="H186" s="57">
        <v>45078</v>
      </c>
      <c r="I186" s="19" t="s">
        <v>52</v>
      </c>
      <c r="J186" s="107"/>
      <c r="K186" s="97" t="str">
        <f ca="1">IF(J186="","Date",IF(J186&lt;&gt;"",IF(K186="Date",NOW(),K186),""))</f>
        <v>Date</v>
      </c>
      <c r="L186" s="84"/>
    </row>
    <row r="187" spans="1:12">
      <c r="A187" s="19">
        <v>912159396</v>
      </c>
      <c r="B187" s="96">
        <v>44953</v>
      </c>
      <c r="C187" s="19" t="str">
        <f>IF(ISBLANK(A187),"Name",IF(ISNA(VLOOKUP(A187,'Master List'!A:C,2,FALSE)), "Not Found", VLOOKUP(A187,'Master List'!A:C,2,FALSE)))</f>
        <v>Sybil Yang</v>
      </c>
      <c r="D187" s="19" t="str">
        <f>IF(ISBLANK(A187), "Email",IF(ISNA(VLOOKUP(A187,'Master List'!A:C,3,FALSE)), "Not Found", VLOOKUP(A187,'Master List'!A:C,3,FALSE)))</f>
        <v>sybil@sfsu.edu</v>
      </c>
      <c r="E187" s="19" t="s">
        <v>27</v>
      </c>
      <c r="F187" s="4" t="str">
        <f>IF(OR(A187="",E187="","",A187="?",E187="?"),"duplicate?",IF(COUNTIFS($A:A,A187,E:E,E187)&gt;1,"yes","no"))</f>
        <v>no</v>
      </c>
      <c r="G187" s="92"/>
      <c r="H187" s="57">
        <v>45078</v>
      </c>
      <c r="I187" s="19" t="s">
        <v>66</v>
      </c>
      <c r="J187" s="107"/>
      <c r="K187" s="97" t="str">
        <f ca="1">IF(J187="","Date",IF(J187&lt;&gt;"",IF(K187="Date",NOW(),K187),""))</f>
        <v>Date</v>
      </c>
      <c r="L187" s="84"/>
    </row>
    <row r="188" spans="1:12">
      <c r="A188" s="19">
        <v>903110603</v>
      </c>
      <c r="B188" s="96">
        <v>44953</v>
      </c>
      <c r="C188" s="19" t="str">
        <f>IF(ISBLANK(A188),"Name",IF(ISNA(VLOOKUP(A188,'Master List'!A:C,2,FALSE)), "Not Found", VLOOKUP(A188,'Master List'!A:C,2,FALSE)))</f>
        <v>Jeanphilipe Adamson (Queen Adu-Poku)</v>
      </c>
      <c r="D188" s="19" t="str">
        <f>IF(ISBLANK(A188), "Email",IF(ISNA(VLOOKUP(A188,'Master List'!A:C,3,FALSE)), "Not Found", VLOOKUP(A188,'Master List'!A:C,3,FALSE)))</f>
        <v>queenadupoku@sfsu.edu</v>
      </c>
      <c r="E188" s="19" t="s">
        <v>19</v>
      </c>
      <c r="F188" s="4" t="str">
        <f>IF(OR(A188="",E188="","",A188="?",E188="?"),"duplicate?",IF(COUNTIFS($A:A,A188,E:E,E188)&gt;1,"yes","no"))</f>
        <v>no</v>
      </c>
      <c r="G188" s="92"/>
      <c r="H188" s="57">
        <v>45078</v>
      </c>
      <c r="I188" s="19" t="s">
        <v>56</v>
      </c>
      <c r="J188" s="107"/>
      <c r="K188" s="97" t="str">
        <f ca="1">IF(J188="","Date",IF(J188&lt;&gt;"",IF(K188="Date",NOW(),K188),""))</f>
        <v>Date</v>
      </c>
      <c r="L188" s="84"/>
    </row>
    <row r="189" spans="1:12">
      <c r="A189" s="19">
        <v>900012937</v>
      </c>
      <c r="B189" s="96">
        <v>44953</v>
      </c>
      <c r="C189" s="19" t="str">
        <f>IF(ISBLANK(A189),"Name",IF(ISNA(VLOOKUP(A189,'Master List'!A:C,2,FALSE)), "Not Found", VLOOKUP(A189,'Master List'!A:C,2,FALSE)))</f>
        <v>Matt Horrigan</v>
      </c>
      <c r="D189" s="19" t="str">
        <f>IF(ISBLANK(A189), "Email",IF(ISNA(VLOOKUP(A189,'Master List'!A:C,3,FALSE)), "Not Found", VLOOKUP(A189,'Master List'!A:C,3,FALSE)))</f>
        <v>sabu@sfsu.edu</v>
      </c>
      <c r="E189" s="19" t="s">
        <v>19</v>
      </c>
      <c r="F189" s="4" t="str">
        <f>IF(OR(A189="",E189="","",A189="?",E189="?"),"duplicate?",IF(COUNTIFS($A:A,A189,E:E,E189)&gt;1,"yes","no"))</f>
        <v>no</v>
      </c>
      <c r="G189" s="92"/>
      <c r="H189" s="57">
        <v>45078</v>
      </c>
      <c r="I189" s="19" t="s">
        <v>56</v>
      </c>
      <c r="J189" s="107"/>
      <c r="K189" s="97" t="str">
        <f ca="1">IF(J189="","Date",IF(J189&lt;&gt;"",IF(K189="Date",NOW(),K189),""))</f>
        <v>Date</v>
      </c>
      <c r="L189" s="84"/>
    </row>
    <row r="190" spans="1:12">
      <c r="A190" s="19">
        <v>908492161</v>
      </c>
      <c r="B190" s="96">
        <v>44953</v>
      </c>
      <c r="C190" s="19" t="str">
        <f>IF(ISBLANK(A190),"Name",IF(ISNA(VLOOKUP(A190,'Master List'!A:C,2,FALSE)), "Not Found", VLOOKUP(A190,'Master List'!A:C,2,FALSE)))</f>
        <v>Leah Wingard</v>
      </c>
      <c r="D190" s="19" t="str">
        <f>IF(ISBLANK(A190), "Email",IF(ISNA(VLOOKUP(A190,'Master List'!A:C,3,FALSE)), "Not Found", VLOOKUP(A190,'Master List'!A:C,3,FALSE)))</f>
        <v>wingard@sfsu.edu</v>
      </c>
      <c r="E190" s="19" t="s">
        <v>67</v>
      </c>
      <c r="F190" s="4" t="str">
        <f>IF(OR(A190="",E190="","",A190="?",E190="?"),"duplicate?",IF(COUNTIFS($A:A,A190,E:E,E190)&gt;1,"yes","no"))</f>
        <v>no</v>
      </c>
      <c r="G190" s="92"/>
      <c r="H190" s="57">
        <v>45078</v>
      </c>
      <c r="I190" s="19" t="s">
        <v>66</v>
      </c>
      <c r="J190" s="107"/>
      <c r="K190" s="97" t="str">
        <f ca="1">IF(J190="","Date",IF(J190&lt;&gt;"",IF(K190="Date",NOW(),K190),""))</f>
        <v>Date</v>
      </c>
      <c r="L190" s="84"/>
    </row>
    <row r="191" spans="1:12">
      <c r="A191" s="19">
        <v>900047634</v>
      </c>
      <c r="B191" s="96">
        <v>44953</v>
      </c>
      <c r="C191" s="19" t="str">
        <f>IF(ISBLANK(A191),"Name",IF(ISNA(VLOOKUP(A191,'Master List'!A:C,2,FALSE)), "Not Found", VLOOKUP(A191,'Master List'!A:C,2,FALSE)))</f>
        <v>Chris McCarthy</v>
      </c>
      <c r="D191" s="19" t="str">
        <f>IF(ISBLANK(A191), "Email",IF(ISNA(VLOOKUP(A191,'Master List'!A:C,3,FALSE)), "Not Found", VLOOKUP(A191,'Master List'!A:C,3,FALSE)))</f>
        <v>planets@sfsu.edu</v>
      </c>
      <c r="E191" s="19" t="s">
        <v>19</v>
      </c>
      <c r="F191" s="4" t="str">
        <f>IF(OR(A191="",E191="","",A191="?",E191="?"),"duplicate?",IF(COUNTIFS($A:A,A191,E:E,E191)&gt;1,"yes","no"))</f>
        <v>no</v>
      </c>
      <c r="G191" s="92"/>
      <c r="H191" s="57">
        <v>45078</v>
      </c>
      <c r="I191" s="19" t="s">
        <v>66</v>
      </c>
      <c r="J191" s="107"/>
      <c r="K191" s="97" t="str">
        <f ca="1">IF(J191="","Date",IF(J191&lt;&gt;"",IF(K191="Date",NOW(),K191),""))</f>
        <v>Date</v>
      </c>
      <c r="L191" s="84"/>
    </row>
    <row r="192" spans="1:12">
      <c r="A192" s="19">
        <v>917248701</v>
      </c>
      <c r="B192" s="96">
        <v>44956</v>
      </c>
      <c r="C192" s="19" t="str">
        <f>IF(ISBLANK(A192),"Name",IF(ISNA(VLOOKUP(A192,'Master List'!A:C,2,FALSE)), "Not Found", VLOOKUP(A192,'Master List'!A:C,2,FALSE)))</f>
        <v>Maria Allis</v>
      </c>
      <c r="D192" s="19" t="str">
        <f>IF(ISBLANK(A192), "Email",IF(ISNA(VLOOKUP(A192,'Master List'!A:C,3,FALSE)), "Not Found", VLOOKUP(A192,'Master List'!A:C,3,FALSE)))</f>
        <v>mallis@sfsu.edu</v>
      </c>
      <c r="E192" s="19" t="s">
        <v>19</v>
      </c>
      <c r="F192" s="4" t="str">
        <f>IF(OR(A192="",E192="","",A192="?",E192="?"),"duplicate?",IF(COUNTIFS($A:A,A192,E:E,E192)&gt;1,"yes","no"))</f>
        <v>no</v>
      </c>
      <c r="G192" s="92"/>
      <c r="H192" s="57">
        <v>45078</v>
      </c>
      <c r="I192" s="19" t="s">
        <v>56</v>
      </c>
      <c r="J192" s="107"/>
      <c r="K192" s="97" t="str">
        <f ca="1">IF(J192="","Date",IF(J192&lt;&gt;"",IF(K192="Date",NOW(),K192),""))</f>
        <v>Date</v>
      </c>
      <c r="L192" s="84"/>
    </row>
    <row r="193" spans="1:12">
      <c r="A193" s="19">
        <v>900026171</v>
      </c>
      <c r="B193" s="96">
        <v>44956</v>
      </c>
      <c r="C193" s="19" t="str">
        <f>IF(ISBLANK(A193),"Name",IF(ISNA(VLOOKUP(A193,'Master List'!A:C,2,FALSE)), "Not Found", VLOOKUP(A193,'Master List'!A:C,2,FALSE)))</f>
        <v>Lynne Dowdy</v>
      </c>
      <c r="D193" s="19" t="str">
        <f>IF(ISBLANK(A193), "Email",IF(ISNA(VLOOKUP(A193,'Master List'!A:C,3,FALSE)), "Not Found", VLOOKUP(A193,'Master List'!A:C,3,FALSE)))</f>
        <v>lmdowdy@sfsu.edu</v>
      </c>
      <c r="E193" s="19" t="s">
        <v>19</v>
      </c>
      <c r="F193" s="4" t="str">
        <f>IF(OR(A193="",E193="","",A193="?",E193="?"),"duplicate?",IF(COUNTIFS($A:A,A193,E:E,E193)&gt;1,"yes","no"))</f>
        <v>no</v>
      </c>
      <c r="G193" s="92"/>
      <c r="H193" s="57">
        <v>45078</v>
      </c>
      <c r="I193" s="19" t="s">
        <v>56</v>
      </c>
      <c r="J193" s="107"/>
      <c r="K193" s="97" t="str">
        <f ca="1">IF(J193="","Date",IF(J193&lt;&gt;"",IF(K193="Date",NOW(),K193),""))</f>
        <v>Date</v>
      </c>
      <c r="L193" s="84"/>
    </row>
    <row r="194" spans="1:12">
      <c r="A194" s="19">
        <v>900055148</v>
      </c>
      <c r="B194" s="96">
        <v>44956</v>
      </c>
      <c r="C194" s="19" t="str">
        <f>IF(ISBLANK(A194),"Name",IF(ISNA(VLOOKUP(A194,'Master List'!A:C,2,FALSE)), "Not Found", VLOOKUP(A194,'Master List'!A:C,2,FALSE)))</f>
        <v>Atina Delfino</v>
      </c>
      <c r="D194" s="19" t="str">
        <f>IF(ISBLANK(A194), "Email",IF(ISNA(VLOOKUP(A194,'Master List'!A:C,3,FALSE)), "Not Found", VLOOKUP(A194,'Master List'!A:C,3,FALSE)))</f>
        <v>atinas@sfsu.edu</v>
      </c>
      <c r="E194" s="19" t="s">
        <v>19</v>
      </c>
      <c r="F194" s="4" t="str">
        <f>IF(OR(A194="",E194="","",A194="?",E194="?"),"duplicate?",IF(COUNTIFS($A:A,A194,E:E,E194)&gt;1,"yes","no"))</f>
        <v>no</v>
      </c>
      <c r="G194" s="92"/>
      <c r="H194" s="57">
        <v>45078</v>
      </c>
      <c r="I194" s="19" t="s">
        <v>56</v>
      </c>
      <c r="J194" s="107"/>
      <c r="K194" s="97" t="str">
        <f ca="1">IF(J194="","Date",IF(J194&lt;&gt;"",IF(K194="Date",NOW(),K194),""))</f>
        <v>Date</v>
      </c>
      <c r="L194" s="84"/>
    </row>
    <row r="195" spans="1:12">
      <c r="A195" s="19">
        <v>922217774</v>
      </c>
      <c r="B195" s="96">
        <v>44956</v>
      </c>
      <c r="C195" s="19" t="str">
        <f>IF(ISBLANK(A195),"Name",IF(ISNA(VLOOKUP(A195,'Master List'!A:C,2,FALSE)), "Not Found", VLOOKUP(A195,'Master List'!A:C,2,FALSE)))</f>
        <v>Alexei Spindell</v>
      </c>
      <c r="D195" s="19" t="str">
        <f>IF(ISBLANK(A195), "Email",IF(ISNA(VLOOKUP(A195,'Master List'!A:C,3,FALSE)), "Not Found", VLOOKUP(A195,'Master List'!A:C,3,FALSE)))</f>
        <v>aspindell@sfsu.edu</v>
      </c>
      <c r="E195" s="19" t="s">
        <v>25</v>
      </c>
      <c r="F195" s="4" t="str">
        <f>IF(OR(A195="",E195="","",A195="?",E195="?"),"duplicate?",IF(COUNTIFS($A:A,A195,E:E,E195)&gt;1,"yes","no"))</f>
        <v>no</v>
      </c>
      <c r="G195" s="92"/>
      <c r="H195" s="57">
        <v>45078</v>
      </c>
      <c r="I195" s="19" t="s">
        <v>56</v>
      </c>
      <c r="J195" s="107"/>
      <c r="K195" s="97" t="str">
        <f ca="1">IF(J195="","Date",IF(J195&lt;&gt;"",IF(K195="Date",NOW(),K195),""))</f>
        <v>Date</v>
      </c>
      <c r="L195" s="84"/>
    </row>
    <row r="196" spans="1:12">
      <c r="A196" s="19">
        <v>918827291</v>
      </c>
      <c r="B196" s="96">
        <v>44956</v>
      </c>
      <c r="C196" s="19" t="str">
        <f>IF(ISBLANK(A196),"Name",IF(ISNA(VLOOKUP(A196,'Master List'!A:C,2,FALSE)), "Not Found", VLOOKUP(A196,'Master List'!A:C,2,FALSE)))</f>
        <v>Sara-Lee Jaffe</v>
      </c>
      <c r="D196" s="19" t="str">
        <f>IF(ISBLANK(A196), "Email",IF(ISNA(VLOOKUP(A196,'Master List'!A:C,3,FALSE)), "Not Found", VLOOKUP(A196,'Master List'!A:C,3,FALSE)))</f>
        <v>sarajaffe@sfsu.edu</v>
      </c>
      <c r="E196" s="19" t="s">
        <v>67</v>
      </c>
      <c r="F196" s="4" t="str">
        <f>IF(OR(A196="",E196="","",A196="?",E196="?"),"duplicate?",IF(COUNTIFS($A:A,A196,E:E,E196)&gt;1,"yes","no"))</f>
        <v>yes</v>
      </c>
      <c r="G196" s="92"/>
      <c r="H196" s="57">
        <v>45078</v>
      </c>
      <c r="I196" s="19" t="s">
        <v>56</v>
      </c>
      <c r="J196" s="107"/>
      <c r="K196" s="97" t="str">
        <f ca="1">IF(J196="","Date",IF(J196&lt;&gt;"",IF(K196="Date",NOW(),K196),""))</f>
        <v>Date</v>
      </c>
      <c r="L196" s="84"/>
    </row>
    <row r="197" spans="1:12">
      <c r="A197" s="19">
        <v>917242331</v>
      </c>
      <c r="B197" s="96">
        <v>44956</v>
      </c>
      <c r="C197" s="19" t="str">
        <f>IF(ISBLANK(A197),"Name",IF(ISNA(VLOOKUP(A197,'Master List'!A:C,2,FALSE)), "Not Found", VLOOKUP(A197,'Master List'!A:C,2,FALSE)))</f>
        <v>Ilana Crispi</v>
      </c>
      <c r="D197" s="19" t="str">
        <f>IF(ISBLANK(A197), "Email",IF(ISNA(VLOOKUP(A197,'Master List'!A:C,3,FALSE)), "Not Found", VLOOKUP(A197,'Master List'!A:C,3,FALSE)))</f>
        <v>icrispi@sfsu.edu</v>
      </c>
      <c r="E197" s="19" t="s">
        <v>19</v>
      </c>
      <c r="F197" s="4" t="str">
        <f>IF(OR(A197="",E197="","",A197="?",E197="?"),"duplicate?",IF(COUNTIFS($A:A,A197,E:E,E197)&gt;1,"yes","no"))</f>
        <v>no</v>
      </c>
      <c r="G197" s="92"/>
      <c r="H197" s="57">
        <v>45078</v>
      </c>
      <c r="I197" s="19" t="s">
        <v>54</v>
      </c>
      <c r="J197" s="107"/>
      <c r="K197" s="97" t="str">
        <f ca="1">IF(J197="","Date",IF(J197&lt;&gt;"",IF(K197="Date",NOW(),K197),""))</f>
        <v>Date</v>
      </c>
      <c r="L197" s="84"/>
    </row>
    <row r="198" spans="1:12">
      <c r="A198" s="19">
        <v>909891468</v>
      </c>
      <c r="B198" s="96">
        <v>44956</v>
      </c>
      <c r="C198" s="19" t="str">
        <f>IF(ISBLANK(A198),"Name",IF(ISNA(VLOOKUP(A198,'Master List'!A:C,2,FALSE)), "Not Found", VLOOKUP(A198,'Master List'!A:C,2,FALSE)))</f>
        <v>Juanita Darling</v>
      </c>
      <c r="D198" s="19" t="str">
        <f>IF(ISBLANK(A198), "Email",IF(ISNA(VLOOKUP(A198,'Master List'!A:C,3,FALSE)), "Not Found", VLOOKUP(A198,'Master List'!A:C,3,FALSE)))</f>
        <v>juanitad@sfsu.edu</v>
      </c>
      <c r="E198" s="19" t="s">
        <v>12</v>
      </c>
      <c r="F198" s="4" t="str">
        <f>IF(OR(A198="",E198="","",A198="?",E198="?"),"duplicate?",IF(COUNTIFS($A:A,A198,E:E,E198)&gt;1,"yes","no"))</f>
        <v>no</v>
      </c>
      <c r="G198" s="92"/>
      <c r="H198" s="57">
        <v>45078</v>
      </c>
      <c r="I198" s="19" t="s">
        <v>54</v>
      </c>
      <c r="J198" s="107"/>
      <c r="K198" s="97" t="str">
        <f ca="1">IF(J198="","Date",IF(J198&lt;&gt;"",IF(K198="Date",NOW(),K198),""))</f>
        <v>Date</v>
      </c>
      <c r="L198" s="84"/>
    </row>
    <row r="199" spans="1:12">
      <c r="A199" s="19">
        <v>917916563</v>
      </c>
      <c r="B199" s="96">
        <v>44956</v>
      </c>
      <c r="C199" s="19" t="str">
        <f>IF(ISBLANK(A199),"Name",IF(ISNA(VLOOKUP(A199,'Master List'!A:C,2,FALSE)), "Not Found", VLOOKUP(A199,'Master List'!A:C,2,FALSE)))</f>
        <v>Jeanette Ayala-Rios</v>
      </c>
      <c r="D199" s="19" t="str">
        <f>IF(ISBLANK(A199), "Email",IF(ISNA(VLOOKUP(A199,'Master List'!A:C,3,FALSE)), "Not Found", VLOOKUP(A199,'Master List'!A:C,3,FALSE)))</f>
        <v>jayalarios@sfsu.edu</v>
      </c>
      <c r="E199" s="19" t="s">
        <v>25</v>
      </c>
      <c r="F199" s="4" t="str">
        <f>IF(OR(A199="",E199="","",A199="?",E199="?"),"duplicate?",IF(COUNTIFS($A:A,A199,E:E,E199)&gt;1,"yes","no"))</f>
        <v>no</v>
      </c>
      <c r="G199" s="92"/>
      <c r="H199" s="57">
        <v>45078</v>
      </c>
      <c r="I199" s="19" t="s">
        <v>52</v>
      </c>
      <c r="J199" s="107"/>
      <c r="K199" s="97" t="str">
        <f ca="1">IF(J199="","Date",IF(J199&lt;&gt;"",IF(K199="Date",NOW(),K199),""))</f>
        <v>Date</v>
      </c>
      <c r="L199" s="84"/>
    </row>
    <row r="200" spans="1:12">
      <c r="A200" s="19">
        <v>922290002</v>
      </c>
      <c r="B200" s="96">
        <v>44956</v>
      </c>
      <c r="C200" s="19" t="str">
        <f>IF(ISBLANK(A200),"Name",IF(ISNA(VLOOKUP(A200,'Master List'!A:C,2,FALSE)), "Not Found", VLOOKUP(A200,'Master List'!A:C,2,FALSE)))</f>
        <v>Calvin Anderson</v>
      </c>
      <c r="D200" s="19" t="str">
        <f>IF(ISBLANK(A200), "Email",IF(ISNA(VLOOKUP(A200,'Master List'!A:C,3,FALSE)), "Not Found", VLOOKUP(A200,'Master List'!A:C,3,FALSE)))</f>
        <v>aandersonkibler@sfsu.edu</v>
      </c>
      <c r="E200" s="19" t="s">
        <v>19</v>
      </c>
      <c r="F200" s="4" t="str">
        <f>IF(OR(A200="",E200="","",A200="?",E200="?"),"duplicate?",IF(COUNTIFS($A:A,A200,E:E,E200)&gt;1,"yes","no"))</f>
        <v>no</v>
      </c>
      <c r="G200" s="92"/>
      <c r="H200" s="57">
        <v>45078</v>
      </c>
      <c r="I200" s="19" t="s">
        <v>52</v>
      </c>
      <c r="J200" s="107"/>
      <c r="K200" s="97" t="str">
        <f ca="1">IF(J200="","Date",IF(J200&lt;&gt;"",IF(K200="Date",NOW(),K200),""))</f>
        <v>Date</v>
      </c>
      <c r="L200" s="84"/>
    </row>
    <row r="201" spans="1:12">
      <c r="A201" s="19">
        <v>901516816</v>
      </c>
      <c r="B201" s="96">
        <v>44956</v>
      </c>
      <c r="C201" s="19" t="str">
        <f>IF(ISBLANK(A201),"Name",IF(ISNA(VLOOKUP(A201,'Master List'!A:C,2,FALSE)), "Not Found", VLOOKUP(A201,'Master List'!A:C,2,FALSE)))</f>
        <v>Mark Bautista</v>
      </c>
      <c r="D201" s="19" t="str">
        <f>IF(ISBLANK(A201), "Email",IF(ISNA(VLOOKUP(A201,'Master List'!A:C,3,FALSE)), "Not Found", VLOOKUP(A201,'Master List'!A:C,3,FALSE)))</f>
        <v>markb@sfsu.edu</v>
      </c>
      <c r="E201" s="19" t="s">
        <v>19</v>
      </c>
      <c r="F201" s="4" t="str">
        <f>IF(OR(A201="",E201="","",A201="?",E201="?"),"duplicate?",IF(COUNTIFS($A:A,A201,E:E,E201)&gt;1,"yes","no"))</f>
        <v>no</v>
      </c>
      <c r="G201" s="92"/>
      <c r="H201" s="57">
        <v>45078</v>
      </c>
      <c r="I201" s="19" t="s">
        <v>54</v>
      </c>
      <c r="J201" s="107"/>
      <c r="K201" s="97" t="str">
        <f ca="1">IF(J201="","Date",IF(J201&lt;&gt;"",IF(K201="Date",NOW(),K201),""))</f>
        <v>Date</v>
      </c>
      <c r="L201" s="84"/>
    </row>
    <row r="202" spans="1:12">
      <c r="A202" s="19">
        <v>916496924</v>
      </c>
      <c r="B202" s="96">
        <v>44956</v>
      </c>
      <c r="C202" s="19" t="str">
        <f>IF(ISBLANK(A202),"Name",IF(ISNA(VLOOKUP(A202,'Master List'!A:C,2,FALSE)), "Not Found", VLOOKUP(A202,'Master List'!A:C,2,FALSE)))</f>
        <v>Bahar Mikhak</v>
      </c>
      <c r="D202" s="19" t="str">
        <f>IF(ISBLANK(A202), "Email",IF(ISNA(VLOOKUP(A202,'Master List'!A:C,3,FALSE)), "Not Found", VLOOKUP(A202,'Master List'!A:C,3,FALSE)))</f>
        <v>bmikhak@sfsu.edu</v>
      </c>
      <c r="E202" s="19" t="s">
        <v>19</v>
      </c>
      <c r="F202" s="4" t="str">
        <f>IF(OR(A202="",E202="","",A202="?",E202="?"),"duplicate?",IF(COUNTIFS($A:A,A202,E:E,E202)&gt;1,"yes","no"))</f>
        <v>no</v>
      </c>
      <c r="G202" s="92"/>
      <c r="H202" s="57">
        <v>45078</v>
      </c>
      <c r="I202" s="19" t="s">
        <v>54</v>
      </c>
      <c r="J202" s="107"/>
      <c r="K202" s="97" t="str">
        <f ca="1">IF(J202="","Date",IF(J202&lt;&gt;"",IF(K202="Date",NOW(),K202),""))</f>
        <v>Date</v>
      </c>
      <c r="L202" s="84"/>
    </row>
    <row r="203" spans="1:12">
      <c r="A203" s="19">
        <v>900572431</v>
      </c>
      <c r="B203" s="96">
        <v>44956</v>
      </c>
      <c r="C203" s="19" t="str">
        <f>IF(ISBLANK(A203),"Name",IF(ISNA(VLOOKUP(A203,'Master List'!A:C,2,FALSE)), "Not Found", VLOOKUP(A203,'Master List'!A:C,2,FALSE)))</f>
        <v>Judith Fraschella</v>
      </c>
      <c r="D203" s="19" t="str">
        <f>IF(ISBLANK(A203), "Email",IF(ISNA(VLOOKUP(A203,'Master List'!A:C,3,FALSE)), "Not Found", VLOOKUP(A203,'Master List'!A:C,3,FALSE)))</f>
        <v>jfrasche@sfsu.edu</v>
      </c>
      <c r="E203" s="19" t="s">
        <v>19</v>
      </c>
      <c r="F203" s="4" t="str">
        <f>IF(OR(A203="",E203="","",A203="?",E203="?"),"duplicate?",IF(COUNTIFS($A:A,A203,E:E,E203)&gt;1,"yes","no"))</f>
        <v>yes</v>
      </c>
      <c r="G203" s="92"/>
      <c r="H203" s="57">
        <v>45078</v>
      </c>
      <c r="I203" s="19" t="s">
        <v>56</v>
      </c>
      <c r="J203" s="107"/>
      <c r="K203" s="97" t="str">
        <f ca="1">IF(J203="","Date",IF(J203&lt;&gt;"",IF(K203="Date",NOW(),K203),""))</f>
        <v>Date</v>
      </c>
      <c r="L203" s="84"/>
    </row>
    <row r="204" spans="1:12">
      <c r="A204" s="19">
        <v>917916563</v>
      </c>
      <c r="B204" s="96">
        <v>44956</v>
      </c>
      <c r="C204" s="19" t="str">
        <f>IF(ISBLANK(A204),"Name",IF(ISNA(VLOOKUP(A204,'Master List'!A:C,2,FALSE)), "Not Found", VLOOKUP(A204,'Master List'!A:C,2,FALSE)))</f>
        <v>Jeanette Ayala-Rios</v>
      </c>
      <c r="D204" s="19" t="str">
        <f>IF(ISBLANK(A204), "Email",IF(ISNA(VLOOKUP(A204,'Master List'!A:C,3,FALSE)), "Not Found", VLOOKUP(A204,'Master List'!A:C,3,FALSE)))</f>
        <v>jayalarios@sfsu.edu</v>
      </c>
      <c r="E204" s="19" t="s">
        <v>48</v>
      </c>
      <c r="F204" s="4" t="str">
        <f>IF(OR(A204="",E204="","",A204="?",E204="?"),"duplicate?",IF(COUNTIFS($A:A,A204,E:E,E204)&gt;1,"yes","no"))</f>
        <v>no</v>
      </c>
      <c r="G204" s="92"/>
      <c r="H204" s="57">
        <v>45078</v>
      </c>
      <c r="I204" s="19" t="s">
        <v>53</v>
      </c>
      <c r="J204" s="107"/>
      <c r="K204" s="97" t="str">
        <f ca="1">IF(J204="","Date",IF(J204&lt;&gt;"",IF(K204="Date",NOW(),K204),""))</f>
        <v>Date</v>
      </c>
      <c r="L204" s="84"/>
    </row>
    <row r="205" spans="1:12">
      <c r="A205" s="19">
        <v>918833115</v>
      </c>
      <c r="B205" s="96">
        <v>44957</v>
      </c>
      <c r="C205" s="19" t="str">
        <f>IF(ISBLANK(A205),"Name",IF(ISNA(VLOOKUP(A205,'Master List'!A:C,2,FALSE)), "Not Found", VLOOKUP(A205,'Master List'!A:C,2,FALSE)))</f>
        <v>Rowena Robles</v>
      </c>
      <c r="D205" s="19" t="str">
        <f>IF(ISBLANK(A205), "Email",IF(ISNA(VLOOKUP(A205,'Master List'!A:C,3,FALSE)), "Not Found", VLOOKUP(A205,'Master List'!A:C,3,FALSE)))</f>
        <v>rrobles3@sfsu.edu</v>
      </c>
      <c r="E205" s="19" t="s">
        <v>19</v>
      </c>
      <c r="F205" s="4" t="str">
        <f>IF(OR(A205="",E205="","",A205="?",E205="?"),"duplicate?",IF(COUNTIFS($A:A,A205,E:E,E205)&gt;1,"yes","no"))</f>
        <v>yes</v>
      </c>
      <c r="G205" s="92"/>
      <c r="H205" s="57">
        <v>45078</v>
      </c>
      <c r="I205" s="19" t="s">
        <v>68</v>
      </c>
      <c r="J205" s="107"/>
      <c r="K205" s="97" t="str">
        <f ca="1">IF(J205="","Date",IF(J205&lt;&gt;"",IF(K205="Date",NOW(),K205),""))</f>
        <v>Date</v>
      </c>
      <c r="L205" s="84"/>
    </row>
    <row r="206" spans="1:12">
      <c r="A206" s="19">
        <v>909918170</v>
      </c>
      <c r="B206" s="96">
        <v>44957</v>
      </c>
      <c r="C206" s="19" t="str">
        <f>IF(ISBLANK(A206),"Name",IF(ISNA(VLOOKUP(A206,'Master List'!A:C,2,FALSE)), "Not Found", VLOOKUP(A206,'Master List'!A:C,2,FALSE)))</f>
        <v>Lawrence Hanley</v>
      </c>
      <c r="D206" s="19" t="str">
        <f>IF(ISBLANK(A206), "Email",IF(ISNA(VLOOKUP(A206,'Master List'!A:C,3,FALSE)), "Not Found", VLOOKUP(A206,'Master List'!A:C,3,FALSE)))</f>
        <v>lhanley@sfsu.edu</v>
      </c>
      <c r="E206" s="19" t="s">
        <v>19</v>
      </c>
      <c r="F206" s="4" t="str">
        <f>IF(OR(A206="",E206="","",A206="?",E206="?"),"duplicate?",IF(COUNTIFS($A:A,A206,E:E,E206)&gt;1,"yes","no"))</f>
        <v>no</v>
      </c>
      <c r="G206" s="92"/>
      <c r="H206" s="57">
        <v>45078</v>
      </c>
      <c r="I206" s="19" t="s">
        <v>54</v>
      </c>
      <c r="J206" s="107"/>
      <c r="K206" s="97" t="str">
        <f ca="1">IF(J206="","Date",IF(J206&lt;&gt;"",IF(K206="Date",NOW(),K206),""))</f>
        <v>Date</v>
      </c>
      <c r="L206" s="84"/>
    </row>
    <row r="207" spans="1:12">
      <c r="A207" s="19">
        <v>917268136</v>
      </c>
      <c r="B207" s="96">
        <v>44957</v>
      </c>
      <c r="C207" s="19" t="str">
        <f>IF(ISBLANK(A207),"Name",IF(ISNA(VLOOKUP(A207,'Master List'!A:C,2,FALSE)), "Not Found", VLOOKUP(A207,'Master List'!A:C,2,FALSE)))</f>
        <v>Fatemeh Khalkhal</v>
      </c>
      <c r="D207" s="19" t="str">
        <f>IF(ISBLANK(A207), "Email",IF(ISNA(VLOOKUP(A207,'Master List'!A:C,3,FALSE)), "Not Found", VLOOKUP(A207,'Master List'!A:C,3,FALSE)))</f>
        <v>fkhal@sfsu.edu</v>
      </c>
      <c r="E207" s="19" t="s">
        <v>19</v>
      </c>
      <c r="F207" s="4" t="str">
        <f>IF(OR(A207="",E207="","",A207="?",E207="?"),"duplicate?",IF(COUNTIFS($A:A,A207,E:E,E207)&gt;1,"yes","no"))</f>
        <v>no</v>
      </c>
      <c r="G207" s="92"/>
      <c r="H207" s="57">
        <v>45078</v>
      </c>
      <c r="I207" s="19" t="s">
        <v>59</v>
      </c>
      <c r="J207" s="107"/>
      <c r="K207" s="97" t="str">
        <f ca="1">IF(J207="","Date",IF(J207&lt;&gt;"",IF(K207="Date",NOW(),K207),""))</f>
        <v>Date</v>
      </c>
      <c r="L207" s="84"/>
    </row>
    <row r="208" spans="1:12">
      <c r="A208" s="19">
        <v>900011533</v>
      </c>
      <c r="B208" s="96">
        <v>44957</v>
      </c>
      <c r="C208" s="19" t="str">
        <f>IF(ISBLANK(A208),"Name",IF(ISNA(VLOOKUP(A208,'Master List'!A:C,2,FALSE)), "Not Found", VLOOKUP(A208,'Master List'!A:C,2,FALSE)))</f>
        <v>Ellen Hines</v>
      </c>
      <c r="D208" s="19" t="str">
        <f>IF(ISBLANK(A208), "Email",IF(ISNA(VLOOKUP(A208,'Master List'!A:C,3,FALSE)), "Not Found", VLOOKUP(A208,'Master List'!A:C,3,FALSE)))</f>
        <v>ehines@sfsu.edu</v>
      </c>
      <c r="E208" s="19" t="s">
        <v>67</v>
      </c>
      <c r="F208" s="4" t="str">
        <f>IF(OR(A208="",E208="","",A208="?",E208="?"),"duplicate?",IF(COUNTIFS($A:A,A208,E:E,E208)&gt;1,"yes","no"))</f>
        <v>no</v>
      </c>
      <c r="G208" s="92"/>
      <c r="H208" s="57">
        <v>45078</v>
      </c>
      <c r="I208" s="19" t="s">
        <v>54</v>
      </c>
      <c r="J208" s="107"/>
      <c r="K208" s="97" t="str">
        <f ca="1">IF(J208="","Date",IF(J208&lt;&gt;"",IF(K208="Date",NOW(),K208),""))</f>
        <v>Date</v>
      </c>
      <c r="L208" s="84"/>
    </row>
    <row r="209" spans="1:12">
      <c r="A209" s="19">
        <v>906487509</v>
      </c>
      <c r="B209" s="96">
        <v>44957</v>
      </c>
      <c r="C209" s="19" t="str">
        <f>IF(ISBLANK(A209),"Name",IF(ISNA(VLOOKUP(A209,'Master List'!A:C,2,FALSE)), "Not Found", VLOOKUP(A209,'Master List'!A:C,2,FALSE)))</f>
        <v>Amy Skonieczny</v>
      </c>
      <c r="D209" s="19" t="str">
        <f>IF(ISBLANK(A209), "Email",IF(ISNA(VLOOKUP(A209,'Master List'!A:C,3,FALSE)), "Not Found", VLOOKUP(A209,'Master List'!A:C,3,FALSE)))</f>
        <v>askonie@sfsu.edu</v>
      </c>
      <c r="E209" s="19" t="s">
        <v>19</v>
      </c>
      <c r="F209" s="4" t="str">
        <f>IF(OR(A209="",E209="","",A209="?",E209="?"),"duplicate?",IF(COUNTIFS($A:A,A209,E:E,E209)&gt;1,"yes","no"))</f>
        <v>no</v>
      </c>
      <c r="G209" s="92"/>
      <c r="H209" s="57">
        <v>45078</v>
      </c>
      <c r="I209" s="19" t="s">
        <v>69</v>
      </c>
      <c r="J209" s="107"/>
      <c r="K209" s="97" t="str">
        <f ca="1">IF(J209="","Date",IF(J209&lt;&gt;"",IF(K209="Date",NOW(),K209),""))</f>
        <v>Date</v>
      </c>
      <c r="L209" s="84"/>
    </row>
    <row r="210" spans="1:12">
      <c r="A210" s="19">
        <v>918841084</v>
      </c>
      <c r="B210" s="96">
        <v>44957</v>
      </c>
      <c r="C210" s="19" t="str">
        <f>IF(ISBLANK(A210),"Name",IF(ISNA(VLOOKUP(A210,'Master List'!A:C,2,FALSE)), "Not Found", VLOOKUP(A210,'Master List'!A:C,2,FALSE)))</f>
        <v>E. Wes Bethel</v>
      </c>
      <c r="D210" s="19" t="str">
        <f>IF(ISBLANK(A210), "Email",IF(ISNA(VLOOKUP(A210,'Master List'!A:C,3,FALSE)), "Not Found", VLOOKUP(A210,'Master List'!A:C,3,FALSE)))</f>
        <v>ewbethel@sfsu.edu</v>
      </c>
      <c r="E210" s="19" t="s">
        <v>20</v>
      </c>
      <c r="F210" s="4" t="str">
        <f>IF(OR(A210="",E210="","",A210="?",E210="?"),"duplicate?",IF(COUNTIFS($A:A,A210,E:E,E210)&gt;1,"yes","no"))</f>
        <v>no</v>
      </c>
      <c r="G210" s="92"/>
      <c r="H210" s="57">
        <v>45078</v>
      </c>
      <c r="I210" s="19" t="s">
        <v>54</v>
      </c>
      <c r="J210" s="107"/>
      <c r="K210" s="97" t="str">
        <f ca="1">IF(J210="","Date",IF(J210&lt;&gt;"",IF(K210="Date",NOW(),K210),""))</f>
        <v>Date</v>
      </c>
      <c r="L210" s="84"/>
    </row>
    <row r="211" spans="1:12">
      <c r="A211" s="19">
        <v>900171602</v>
      </c>
      <c r="B211" s="96">
        <v>44957</v>
      </c>
      <c r="C211" s="19" t="str">
        <f>IF(ISBLANK(A211),"Name",IF(ISNA(VLOOKUP(A211,'Master List'!A:C,2,FALSE)), "Not Found", VLOOKUP(A211,'Master List'!A:C,2,FALSE)))</f>
        <v>Matthew Moore</v>
      </c>
      <c r="D211" s="19" t="str">
        <f>IF(ISBLANK(A211), "Email",IF(ISNA(VLOOKUP(A211,'Master List'!A:C,3,FALSE)), "Not Found", VLOOKUP(A211,'Master List'!A:C,3,FALSE)))</f>
        <v>matthewmoore@sfsu.edu</v>
      </c>
      <c r="E211" s="19" t="s">
        <v>19</v>
      </c>
      <c r="F211" s="4" t="str">
        <f>IF(OR(A211="",E211="","",A211="?",E211="?"),"duplicate?",IF(COUNTIFS($A:A,A211,E:E,E211)&gt;1,"yes","no"))</f>
        <v>no</v>
      </c>
      <c r="G211" s="92"/>
      <c r="H211" s="57">
        <v>44958</v>
      </c>
      <c r="I211" s="19" t="s">
        <v>70</v>
      </c>
      <c r="J211" s="107"/>
      <c r="K211" s="97" t="str">
        <f ca="1">IF(J211="","Date",IF(J211&lt;&gt;"",IF(K211="Date",NOW(),K211),""))</f>
        <v>Date</v>
      </c>
      <c r="L211" s="84"/>
    </row>
    <row r="212" spans="1:12">
      <c r="A212" s="19">
        <v>900014679</v>
      </c>
      <c r="B212" s="96">
        <v>44957</v>
      </c>
      <c r="C212" s="19" t="str">
        <f>IF(ISBLANK(A212),"Name",IF(ISNA(VLOOKUP(A212,'Master List'!A:C,2,FALSE)), "Not Found", VLOOKUP(A212,'Master List'!A:C,2,FALSE)))</f>
        <v>Nona Caspers</v>
      </c>
      <c r="D212" s="19" t="str">
        <f>IF(ISBLANK(A212), "Email",IF(ISNA(VLOOKUP(A212,'Master List'!A:C,3,FALSE)), "Not Found", VLOOKUP(A212,'Master List'!A:C,3,FALSE)))</f>
        <v>ncaspers@sfsu.edu</v>
      </c>
      <c r="E212" s="19" t="s">
        <v>19</v>
      </c>
      <c r="F212" s="4" t="str">
        <f>IF(OR(A212="",E212="","",A212="?",E212="?"),"duplicate?",IF(COUNTIFS($A:A,A212,E:E,E212)&gt;1,"yes","no"))</f>
        <v>no</v>
      </c>
      <c r="G212" s="92"/>
      <c r="H212" s="57">
        <v>45078</v>
      </c>
      <c r="I212" s="19" t="s">
        <v>55</v>
      </c>
      <c r="J212" s="107"/>
      <c r="K212" s="97" t="str">
        <f ca="1">IF(J212="","Date",IF(J212&lt;&gt;"",IF(K212="Date",NOW(),K212),""))</f>
        <v>Date</v>
      </c>
      <c r="L212" s="84"/>
    </row>
    <row r="213" spans="1:12">
      <c r="A213" s="19">
        <v>918834389</v>
      </c>
      <c r="B213" s="96">
        <v>44957</v>
      </c>
      <c r="C213" s="19" t="str">
        <f>IF(ISBLANK(A213),"Name",IF(ISNA(VLOOKUP(A213,'Master List'!A:C,2,FALSE)), "Not Found", VLOOKUP(A213,'Master List'!A:C,2,FALSE)))</f>
        <v>Ponipate Rokolekutu</v>
      </c>
      <c r="D213" s="19" t="str">
        <f>IF(ISBLANK(A213), "Email",IF(ISNA(VLOOKUP(A213,'Master List'!A:C,3,FALSE)), "Not Found", VLOOKUP(A213,'Master List'!A:C,3,FALSE)))</f>
        <v>prokolekutu@sfsu.edu</v>
      </c>
      <c r="E213" s="19" t="s">
        <v>19</v>
      </c>
      <c r="F213" s="4" t="str">
        <f>IF(OR(A213="",E213="","",A213="?",E213="?"),"duplicate?",IF(COUNTIFS($A:A,A213,E:E,E213)&gt;1,"yes","no"))</f>
        <v>yes</v>
      </c>
      <c r="G213" s="92"/>
      <c r="H213" s="57">
        <v>44957</v>
      </c>
      <c r="I213" s="19" t="s">
        <v>71</v>
      </c>
      <c r="J213" s="107"/>
      <c r="K213" s="97" t="str">
        <f ca="1">IF(J213="","Date",IF(J213&lt;&gt;"",IF(K213="Date",NOW(),K213),""))</f>
        <v>Date</v>
      </c>
      <c r="L213" s="84"/>
    </row>
    <row r="214" spans="1:12">
      <c r="A214" s="19">
        <v>918847181</v>
      </c>
      <c r="B214" s="96">
        <v>44957</v>
      </c>
      <c r="C214" s="19" t="str">
        <f>IF(ISBLANK(A214),"Name",IF(ISNA(VLOOKUP(A214,'Master List'!A:C,2,FALSE)), "Not Found", VLOOKUP(A214,'Master List'!A:C,2,FALSE)))</f>
        <v>Sana Hussaini</v>
      </c>
      <c r="D214" s="19" t="str">
        <f>IF(ISBLANK(A214), "Email",IF(ISNA(VLOOKUP(A214,'Master List'!A:C,3,FALSE)), "Not Found", VLOOKUP(A214,'Master List'!A:C,3,FALSE)))</f>
        <v>skhan08@sfsu.edu</v>
      </c>
      <c r="E214" s="19" t="s">
        <v>19</v>
      </c>
      <c r="F214" s="4" t="str">
        <f>IF(OR(A214="",E214="","",A214="?",E214="?"),"duplicate?",IF(COUNTIFS($A:A,A214,E:E,E214)&gt;1,"yes","no"))</f>
        <v>no</v>
      </c>
      <c r="G214" s="92"/>
      <c r="H214" s="57">
        <v>45078</v>
      </c>
      <c r="I214" s="19" t="s">
        <v>61</v>
      </c>
      <c r="J214" s="107"/>
      <c r="K214" s="97" t="str">
        <f ca="1">IF(J214="","Date",IF(J214&lt;&gt;"",IF(K214="Date",NOW(),K214),""))</f>
        <v>Date</v>
      </c>
      <c r="L214" s="84"/>
    </row>
    <row r="215" spans="1:12">
      <c r="A215" s="19">
        <v>900006463</v>
      </c>
      <c r="B215" s="96">
        <v>44957</v>
      </c>
      <c r="C215" s="19" t="str">
        <f>IF(ISBLANK(A215),"Name",IF(ISNA(VLOOKUP(A215,'Master List'!A:C,2,FALSE)), "Not Found", VLOOKUP(A215,'Master List'!A:C,2,FALSE)))</f>
        <v>Ramesh Bollapragada</v>
      </c>
      <c r="D215" s="19" t="str">
        <f>IF(ISBLANK(A215), "Email",IF(ISNA(VLOOKUP(A215,'Master List'!A:C,3,FALSE)), "Not Found", VLOOKUP(A215,'Master List'!A:C,3,FALSE)))</f>
        <v>rameshb@sfsu.edu</v>
      </c>
      <c r="E215" s="19" t="s">
        <v>25</v>
      </c>
      <c r="F215" s="4" t="str">
        <f>IF(OR(A215="",E215="","",A215="?",E215="?"),"duplicate?",IF(COUNTIFS($A:A,A215,E:E,E215)&gt;1,"yes","no"))</f>
        <v>no</v>
      </c>
      <c r="G215" s="92"/>
      <c r="H215" s="57">
        <v>45078</v>
      </c>
      <c r="I215" s="19" t="s">
        <v>70</v>
      </c>
      <c r="J215" s="107"/>
      <c r="K215" s="97" t="str">
        <f ca="1">IF(J215="","Date",IF(J215&lt;&gt;"",IF(K215="Date",NOW(),K215),""))</f>
        <v>Date</v>
      </c>
      <c r="L215" s="84"/>
    </row>
    <row r="216" spans="1:12">
      <c r="A216" s="19">
        <v>900016915</v>
      </c>
      <c r="B216" s="96">
        <v>44957</v>
      </c>
      <c r="C216" s="19" t="str">
        <f>IF(ISBLANK(A216),"Name",IF(ISNA(VLOOKUP(A216,'Master List'!A:C,2,FALSE)), "Not Found", VLOOKUP(A216,'Master List'!A:C,2,FALSE)))</f>
        <v>Dean Suzuki</v>
      </c>
      <c r="D216" s="19" t="str">
        <f>IF(ISBLANK(A216), "Email",IF(ISNA(VLOOKUP(A216,'Master List'!A:C,3,FALSE)), "Not Found", VLOOKUP(A216,'Master List'!A:C,3,FALSE)))</f>
        <v>dsuzuki@sfsu.edu</v>
      </c>
      <c r="E216" s="19" t="s">
        <v>19</v>
      </c>
      <c r="F216" s="4" t="str">
        <f>IF(OR(A216="",E216="","",A216="?",E216="?"),"duplicate?",IF(COUNTIFS($A:A,A216,E:E,E216)&gt;1,"yes","no"))</f>
        <v>no</v>
      </c>
      <c r="G216" s="92"/>
      <c r="H216" s="57">
        <v>45078</v>
      </c>
      <c r="I216" s="19" t="s">
        <v>56</v>
      </c>
      <c r="J216" s="107"/>
      <c r="K216" s="97" t="str">
        <f ca="1">IF(J216="","Date",IF(J216&lt;&gt;"",IF(K216="Date",NOW(),K216),""))</f>
        <v>Date</v>
      </c>
      <c r="L216" s="84"/>
    </row>
    <row r="217" spans="1:12">
      <c r="A217" s="19">
        <v>918834155</v>
      </c>
      <c r="B217" s="96">
        <v>44957</v>
      </c>
      <c r="C217" s="19" t="str">
        <f>IF(ISBLANK(A217),"Name",IF(ISNA(VLOOKUP(A217,'Master List'!A:C,2,FALSE)), "Not Found", VLOOKUP(A217,'Master List'!A:C,2,FALSE)))</f>
        <v>Henry Boateng</v>
      </c>
      <c r="D217" s="19" t="str">
        <f>IF(ISBLANK(A217), "Email",IF(ISNA(VLOOKUP(A217,'Master List'!A:C,3,FALSE)), "Not Found", VLOOKUP(A217,'Master List'!A:C,3,FALSE)))</f>
        <v>boateng@sfsu.edu</v>
      </c>
      <c r="E217" s="19" t="s">
        <v>19</v>
      </c>
      <c r="F217" s="4" t="str">
        <f>IF(OR(A217="",E217="","",A217="?",E217="?"),"duplicate?",IF(COUNTIFS($A:A,A217,E:E,E217)&gt;1,"yes","no"))</f>
        <v>no</v>
      </c>
      <c r="G217" s="92"/>
      <c r="H217" s="57">
        <v>45078</v>
      </c>
      <c r="I217" s="19" t="s">
        <v>55</v>
      </c>
      <c r="J217" s="107"/>
      <c r="K217" s="97" t="str">
        <f ca="1">IF(J217="","Date",IF(J217&lt;&gt;"",IF(K217="Date",NOW(),K217),""))</f>
        <v>Date</v>
      </c>
      <c r="L217" s="84"/>
    </row>
    <row r="218" spans="1:12">
      <c r="A218" s="19">
        <v>918826914</v>
      </c>
      <c r="B218" s="96">
        <v>44958</v>
      </c>
      <c r="C218" s="19" t="str">
        <f>IF(ISBLANK(A218),"Name",IF(ISNA(VLOOKUP(A218,'Master List'!A:C,2,FALSE)), "Not Found", VLOOKUP(A218,'Master List'!A:C,2,FALSE)))</f>
        <v>Zubaida Qamar</v>
      </c>
      <c r="D218" s="19" t="str">
        <f>IF(ISBLANK(A218), "Email",IF(ISNA(VLOOKUP(A218,'Master List'!A:C,3,FALSE)), "Not Found", VLOOKUP(A218,'Master List'!A:C,3,FALSE)))</f>
        <v>qz@sfsu.edu</v>
      </c>
      <c r="E218" s="19" t="s">
        <v>19</v>
      </c>
      <c r="F218" s="4" t="str">
        <f>IF(OR(A218="",E218="","",A218="?",E218="?"),"duplicate?",IF(COUNTIFS($A:A,A218,E:E,E218)&gt;1,"yes","no"))</f>
        <v>no</v>
      </c>
      <c r="G218" s="92"/>
      <c r="H218" s="57">
        <v>45078</v>
      </c>
      <c r="I218" s="19" t="s">
        <v>39</v>
      </c>
      <c r="J218" s="107"/>
      <c r="K218" s="97" t="str">
        <f ca="1">IF(J218="","Date",IF(J218&lt;&gt;"",IF(K218="Date",NOW(),K218),""))</f>
        <v>Date</v>
      </c>
      <c r="L218" s="84"/>
    </row>
    <row r="219" spans="1:12">
      <c r="A219" s="19">
        <v>912138999</v>
      </c>
      <c r="B219" s="96">
        <v>44958</v>
      </c>
      <c r="C219" s="19" t="str">
        <f>IF(ISBLANK(A219),"Name",IF(ISNA(VLOOKUP(A219,'Master List'!A:C,2,FALSE)), "Not Found", VLOOKUP(A219,'Master List'!A:C,2,FALSE)))</f>
        <v>Eran Kaplan</v>
      </c>
      <c r="D219" s="19" t="str">
        <f>IF(ISBLANK(A219), "Email",IF(ISNA(VLOOKUP(A219,'Master List'!A:C,3,FALSE)), "Not Found", VLOOKUP(A219,'Master List'!A:C,3,FALSE)))</f>
        <v>erank@sfsu.edu</v>
      </c>
      <c r="E219" s="19" t="s">
        <v>67</v>
      </c>
      <c r="F219" s="4" t="str">
        <f>IF(OR(A219="",E219="","",A219="?",E219="?"),"duplicate?",IF(COUNTIFS($A:A,A219,E:E,E219)&gt;1,"yes","no"))</f>
        <v>no</v>
      </c>
      <c r="G219" s="92"/>
      <c r="H219" s="57">
        <v>45078</v>
      </c>
      <c r="I219" s="19" t="s">
        <v>39</v>
      </c>
      <c r="J219" s="107"/>
      <c r="K219" s="97" t="str">
        <f ca="1">IF(J219="","Date",IF(J219&lt;&gt;"",IF(K219="Date",NOW(),K219),""))</f>
        <v>Date</v>
      </c>
      <c r="L219" s="84"/>
    </row>
    <row r="220" spans="1:12">
      <c r="A220" s="19">
        <v>900689782</v>
      </c>
      <c r="B220" s="96">
        <v>44958</v>
      </c>
      <c r="C220" s="19" t="str">
        <f>IF(ISBLANK(A220),"Name",IF(ISNA(VLOOKUP(A220,'Master List'!A:C,2,FALSE)), "Not Found", VLOOKUP(A220,'Master List'!A:C,2,FALSE)))</f>
        <v>Sam Moussavi</v>
      </c>
      <c r="D220" s="19" t="str">
        <f>IF(ISBLANK(A220), "Email",IF(ISNA(VLOOKUP(A220,'Master List'!A:C,3,FALSE)), "Not Found", VLOOKUP(A220,'Master List'!A:C,3,FALSE)))</f>
        <v>moussavisam@sfsu.edu</v>
      </c>
      <c r="E220" s="19" t="s">
        <v>19</v>
      </c>
      <c r="F220" s="4" t="str">
        <f>IF(OR(A220="",E220="","",A220="?",E220="?"),"duplicate?",IF(COUNTIFS($A:A,A220,E:E,E220)&gt;1,"yes","no"))</f>
        <v>no</v>
      </c>
      <c r="G220" s="92"/>
      <c r="H220" s="57">
        <v>45078</v>
      </c>
      <c r="I220" s="19" t="s">
        <v>66</v>
      </c>
      <c r="J220" s="107"/>
      <c r="K220" s="97" t="str">
        <f ca="1">IF(J220="","Date",IF(J220&lt;&gt;"",IF(K220="Date",NOW(),K220),""))</f>
        <v>Date</v>
      </c>
      <c r="L220" s="84"/>
    </row>
    <row r="221" spans="1:12">
      <c r="A221" s="19">
        <v>922230410</v>
      </c>
      <c r="B221" s="96">
        <v>44958</v>
      </c>
      <c r="C221" s="19" t="str">
        <f>IF(ISBLANK(A221),"Name",IF(ISNA(VLOOKUP(A221,'Master List'!A:C,2,FALSE)), "Not Found", VLOOKUP(A221,'Master List'!A:C,2,FALSE)))</f>
        <v>Kshitiz Sareen</v>
      </c>
      <c r="D221" s="19" t="str">
        <f>IF(ISBLANK(A221), "Email",IF(ISNA(VLOOKUP(A221,'Master List'!A:C,3,FALSE)), "Not Found", VLOOKUP(A221,'Master List'!A:C,3,FALSE)))</f>
        <v>ksareen@sfsu.edu</v>
      </c>
      <c r="E221" s="19" t="s">
        <v>19</v>
      </c>
      <c r="F221" s="4" t="str">
        <f>IF(OR(A221="",E221="","",A221="?",E221="?"),"duplicate?",IF(COUNTIFS($A:A,A221,E:E,E221)&gt;1,"yes","no"))</f>
        <v>yes</v>
      </c>
      <c r="G221" s="92"/>
      <c r="H221" s="57">
        <v>44958</v>
      </c>
      <c r="I221" s="19" t="s">
        <v>66</v>
      </c>
      <c r="J221" s="107"/>
      <c r="K221" s="97" t="str">
        <f ca="1">IF(J221="","Date",IF(J221&lt;&gt;"",IF(K221="Date",NOW(),K221),""))</f>
        <v>Date</v>
      </c>
      <c r="L221" s="84"/>
    </row>
    <row r="222" spans="1:12">
      <c r="A222" s="19">
        <v>916448980</v>
      </c>
      <c r="B222" s="96">
        <v>44958</v>
      </c>
      <c r="C222" s="19" t="str">
        <f>IF(ISBLANK(A222),"Name",IF(ISNA(VLOOKUP(A222,'Master List'!A:C,2,FALSE)), "Not Found", VLOOKUP(A222,'Master List'!A:C,2,FALSE)))</f>
        <v>R. David Rebanal</v>
      </c>
      <c r="D222" s="19" t="str">
        <f>IF(ISBLANK(A222), "Email",IF(ISNA(VLOOKUP(A222,'Master List'!A:C,3,FALSE)), "Not Found", VLOOKUP(A222,'Master List'!A:C,3,FALSE)))</f>
        <v>drebanal@sfsu.edu</v>
      </c>
      <c r="E222" s="19" t="s">
        <v>19</v>
      </c>
      <c r="F222" s="4" t="str">
        <f>IF(OR(A222="",E222="","",A222="?",E222="?"),"duplicate?",IF(COUNTIFS($A:A,A222,E:E,E222)&gt;1,"yes","no"))</f>
        <v>no</v>
      </c>
      <c r="G222" s="92"/>
      <c r="H222" s="57">
        <v>45078</v>
      </c>
      <c r="I222" s="19" t="s">
        <v>59</v>
      </c>
      <c r="J222" s="107"/>
      <c r="K222" s="97" t="str">
        <f ca="1">IF(J222="","Date",IF(J222&lt;&gt;"",IF(K222="Date",NOW(),K222),""))</f>
        <v>Date</v>
      </c>
      <c r="L222" s="84"/>
    </row>
    <row r="223" spans="1:12">
      <c r="A223" s="19">
        <v>903794884</v>
      </c>
      <c r="B223" s="96">
        <v>44958</v>
      </c>
      <c r="C223" s="19" t="str">
        <f>IF(ISBLANK(A223),"Name",IF(ISNA(VLOOKUP(A223,'Master List'!A:C,2,FALSE)), "Not Found", VLOOKUP(A223,'Master List'!A:C,2,FALSE)))</f>
        <v>Sandra Fitzgerald</v>
      </c>
      <c r="D223" s="19" t="str">
        <f>IF(ISBLANK(A223), "Email",IF(ISNA(VLOOKUP(A223,'Master List'!A:C,3,FALSE)), "Not Found", VLOOKUP(A223,'Master List'!A:C,3,FALSE)))</f>
        <v>sfitz@sfsu.edu</v>
      </c>
      <c r="E223" s="19" t="s">
        <v>19</v>
      </c>
      <c r="F223" s="4" t="str">
        <f>IF(OR(A223="",E223="","",A223="?",E223="?"),"duplicate?",IF(COUNTIFS($A:A,A223,E:E,E223)&gt;1,"yes","no"))</f>
        <v>no</v>
      </c>
      <c r="G223" s="92"/>
      <c r="H223" s="57">
        <v>45078</v>
      </c>
      <c r="I223" s="19" t="s">
        <v>59</v>
      </c>
      <c r="J223" s="107"/>
      <c r="K223" s="97" t="str">
        <f ca="1">IF(J223="","Date",IF(J223&lt;&gt;"",IF(K223="Date",NOW(),K223),""))</f>
        <v>Date</v>
      </c>
      <c r="L223" s="84"/>
    </row>
    <row r="224" spans="1:12">
      <c r="A224" s="19">
        <v>912138999</v>
      </c>
      <c r="B224" s="96">
        <v>44958</v>
      </c>
      <c r="C224" s="19" t="str">
        <f>IF(ISBLANK(A224),"Name",IF(ISNA(VLOOKUP(A224,'Master List'!A:C,2,FALSE)), "Not Found", VLOOKUP(A224,'Master List'!A:C,2,FALSE)))</f>
        <v>Eran Kaplan</v>
      </c>
      <c r="D224" s="19" t="str">
        <f>IF(ISBLANK(A224), "Email",IF(ISNA(VLOOKUP(A224,'Master List'!A:C,3,FALSE)), "Not Found", VLOOKUP(A224,'Master List'!A:C,3,FALSE)))</f>
        <v>erank@sfsu.edu</v>
      </c>
      <c r="E224" s="19" t="s">
        <v>19</v>
      </c>
      <c r="F224" s="4" t="str">
        <f>IF(OR(A224="",E224="","",A224="?",E224="?"),"duplicate?",IF(COUNTIFS($A:A,A224,E:E,E224)&gt;1,"yes","no"))</f>
        <v>no</v>
      </c>
      <c r="G224" s="92"/>
      <c r="H224" s="57">
        <v>45078</v>
      </c>
      <c r="I224" s="19" t="s">
        <v>59</v>
      </c>
      <c r="J224" s="107"/>
      <c r="K224" s="97" t="str">
        <f ca="1">IF(J224="","Date",IF(J224&lt;&gt;"",IF(K224="Date",NOW(),K224),""))</f>
        <v>Date</v>
      </c>
      <c r="L224" s="84"/>
    </row>
    <row r="225" spans="1:12">
      <c r="A225" s="19">
        <v>918841006</v>
      </c>
      <c r="B225" s="96">
        <v>44958</v>
      </c>
      <c r="C225" s="19" t="str">
        <f>IF(ISBLANK(A225),"Name",IF(ISNA(VLOOKUP(A225,'Master List'!A:C,2,FALSE)), "Not Found", VLOOKUP(A225,'Master List'!A:C,2,FALSE)))</f>
        <v>Janice Tanemura</v>
      </c>
      <c r="D225" s="19" t="str">
        <f>IF(ISBLANK(A225), "Email",IF(ISNA(VLOOKUP(A225,'Master List'!A:C,3,FALSE)), "Not Found", VLOOKUP(A225,'Master List'!A:C,3,FALSE)))</f>
        <v>jntanemura@sfsu.edu</v>
      </c>
      <c r="E225" s="19" t="s">
        <v>19</v>
      </c>
      <c r="F225" s="4" t="str">
        <f>IF(OR(A225="",E225="","",A225="?",E225="?"),"duplicate?",IF(COUNTIFS($A:A,A225,E:E,E225)&gt;1,"yes","no"))</f>
        <v>no</v>
      </c>
      <c r="G225" s="92"/>
      <c r="H225" s="57">
        <v>45078</v>
      </c>
      <c r="I225" s="19" t="s">
        <v>59</v>
      </c>
      <c r="J225" s="107"/>
      <c r="K225" s="97" t="str">
        <f ca="1">IF(J225="","Date",IF(J225&lt;&gt;"",IF(K225="Date",NOW(),K225),""))</f>
        <v>Date</v>
      </c>
      <c r="L225" s="84"/>
    </row>
    <row r="226" spans="1:12">
      <c r="A226" s="19">
        <v>904176213</v>
      </c>
      <c r="B226" s="96">
        <v>44958</v>
      </c>
      <c r="C226" s="19" t="str">
        <f>IF(ISBLANK(A226),"Name",IF(ISNA(VLOOKUP(A226,'Master List'!A:C,2,FALSE)), "Not Found", VLOOKUP(A226,'Master List'!A:C,2,FALSE)))</f>
        <v>Tania Pollak</v>
      </c>
      <c r="D226" s="19" t="str">
        <f>IF(ISBLANK(A226), "Email",IF(ISNA(VLOOKUP(A226,'Master List'!A:C,3,FALSE)), "Not Found", VLOOKUP(A226,'Master List'!A:C,3,FALSE)))</f>
        <v>tnpollak@mail.sfsu.edu</v>
      </c>
      <c r="E226" s="19" t="s">
        <v>48</v>
      </c>
      <c r="F226" s="4" t="str">
        <f>IF(OR(A226="",E226="","",A226="?",E226="?"),"duplicate?",IF(COUNTIFS($A:A,A226,E:E,E226)&gt;1,"yes","no"))</f>
        <v>no</v>
      </c>
      <c r="G226" s="92"/>
      <c r="H226" s="57">
        <v>45078</v>
      </c>
      <c r="I226" s="19" t="s">
        <v>53</v>
      </c>
      <c r="J226" s="107"/>
      <c r="K226" s="97" t="str">
        <f ca="1">IF(J226="","Date",IF(J226&lt;&gt;"",IF(K226="Date",NOW(),K226),""))</f>
        <v>Date</v>
      </c>
      <c r="L226" s="84"/>
    </row>
    <row r="227" spans="1:12">
      <c r="A227" s="19">
        <v>918834779</v>
      </c>
      <c r="B227" s="96">
        <v>44958</v>
      </c>
      <c r="C227" s="19" t="str">
        <f>IF(ISBLANK(A227),"Name",IF(ISNA(VLOOKUP(A227,'Master List'!A:C,2,FALSE)), "Not Found", VLOOKUP(A227,'Master List'!A:C,2,FALSE)))</f>
        <v>Loan Le</v>
      </c>
      <c r="D227" s="19" t="str">
        <f>IF(ISBLANK(A227), "Email",IF(ISNA(VLOOKUP(A227,'Master List'!A:C,3,FALSE)), "Not Found", VLOOKUP(A227,'Master List'!A:C,3,FALSE)))</f>
        <v>lklesfsu@sfsu.edu</v>
      </c>
      <c r="E227" s="19" t="s">
        <v>19</v>
      </c>
      <c r="F227" s="4" t="str">
        <f>IF(OR(A227="",E227="","",A227="?",E227="?"),"duplicate?",IF(COUNTIFS($A:A,A227,E:E,E227)&gt;1,"yes","no"))</f>
        <v>no</v>
      </c>
      <c r="G227" s="92"/>
      <c r="H227" s="57">
        <v>45078</v>
      </c>
      <c r="I227" s="19" t="s">
        <v>55</v>
      </c>
      <c r="J227" s="107"/>
      <c r="K227" s="97" t="str">
        <f ca="1">IF(J227="","Date",IF(J227&lt;&gt;"",IF(K227="Date",NOW(),K227),""))</f>
        <v>Date</v>
      </c>
      <c r="L227" s="84"/>
    </row>
    <row r="228" spans="1:12">
      <c r="A228" s="19">
        <v>902221312</v>
      </c>
      <c r="B228" s="96">
        <v>44958</v>
      </c>
      <c r="C228" s="19" t="str">
        <f>IF(ISBLANK(A228),"Name",IF(ISNA(VLOOKUP(A228,'Master List'!A:C,2,FALSE)), "Not Found", VLOOKUP(A228,'Master List'!A:C,2,FALSE)))</f>
        <v>Paul Glanting</v>
      </c>
      <c r="D228" s="19" t="str">
        <f>IF(ISBLANK(A228), "Email",IF(ISNA(VLOOKUP(A228,'Master List'!A:C,3,FALSE)), "Not Found", VLOOKUP(A228,'Master List'!A:C,3,FALSE)))</f>
        <v>pbg@mail.sfsu.edu</v>
      </c>
      <c r="E228" s="19" t="s">
        <v>19</v>
      </c>
      <c r="F228" s="4" t="str">
        <f>IF(OR(A228="",E228="","",A228="?",E228="?"),"duplicate?",IF(COUNTIFS($A:A,A228,E:E,E228)&gt;1,"yes","no"))</f>
        <v>no</v>
      </c>
      <c r="G228" s="92" t="s">
        <v>15</v>
      </c>
      <c r="H228" s="57">
        <v>44942</v>
      </c>
      <c r="I228" s="19" t="s">
        <v>72</v>
      </c>
      <c r="J228" s="107"/>
      <c r="K228" s="97" t="str">
        <f ca="1">IF(J228="","Date",IF(J228&lt;&gt;"",IF(K228="Date",NOW(),K228),""))</f>
        <v>Date</v>
      </c>
      <c r="L228" s="84"/>
    </row>
    <row r="229" spans="1:12">
      <c r="A229" s="19">
        <v>900023857</v>
      </c>
      <c r="B229" s="96">
        <v>44958</v>
      </c>
      <c r="C229" s="19" t="str">
        <f>IF(ISBLANK(A229),"Name",IF(ISNA(VLOOKUP(A229,'Master List'!A:C,2,FALSE)), "Not Found", VLOOKUP(A229,'Master List'!A:C,2,FALSE)))</f>
        <v>Michelle Carter</v>
      </c>
      <c r="D229" s="19" t="str">
        <f>IF(ISBLANK(A229), "Email",IF(ISNA(VLOOKUP(A229,'Master List'!A:C,3,FALSE)), "Not Found", VLOOKUP(A229,'Master List'!A:C,3,FALSE)))</f>
        <v>mcarter@sfsu.edu</v>
      </c>
      <c r="E229" s="19" t="s">
        <v>19</v>
      </c>
      <c r="F229" s="4" t="str">
        <f>IF(OR(A229="",E229="","",A229="?",E229="?"),"duplicate?",IF(COUNTIFS($A:A,A229,E:E,E229)&gt;1,"yes","no"))</f>
        <v>no</v>
      </c>
      <c r="G229" s="92"/>
      <c r="H229" s="57">
        <v>45078</v>
      </c>
      <c r="I229" s="19" t="s">
        <v>72</v>
      </c>
      <c r="J229" s="107"/>
      <c r="K229" s="97" t="str">
        <f ca="1">IF(J229="","Date",IF(J229&lt;&gt;"",IF(K229="Date",NOW(),K229),""))</f>
        <v>Date</v>
      </c>
      <c r="L229" s="84"/>
    </row>
    <row r="230" spans="1:12">
      <c r="A230" s="19">
        <v>918844958</v>
      </c>
      <c r="B230" s="96">
        <v>44959</v>
      </c>
      <c r="C230" s="19" t="str">
        <f>IF(ISBLANK(A230),"Name",IF(ISNA(VLOOKUP(A230,'Master List'!A:C,2,FALSE)), "Not Found", VLOOKUP(A230,'Master List'!A:C,2,FALSE)))</f>
        <v>Mohammed Nadeem</v>
      </c>
      <c r="D230" s="19" t="str">
        <f>IF(ISBLANK(A230), "Email",IF(ISNA(VLOOKUP(A230,'Master List'!A:C,3,FALSE)), "Not Found", VLOOKUP(A230,'Master List'!A:C,3,FALSE)))</f>
        <v>drnadeem@sfsu.edu</v>
      </c>
      <c r="E230" s="19" t="s">
        <v>19</v>
      </c>
      <c r="F230" s="4" t="str">
        <f>IF(OR(A230="",E230="","",A230="?",E230="?"),"duplicate?",IF(COUNTIFS($A:A,A230,E:E,E230)&gt;1,"yes","no"))</f>
        <v>no</v>
      </c>
      <c r="G230" s="92"/>
      <c r="H230" s="57">
        <v>45078</v>
      </c>
      <c r="I230" s="19" t="s">
        <v>59</v>
      </c>
      <c r="J230" s="107"/>
      <c r="K230" s="97" t="str">
        <f ca="1">IF(J230="","Date",IF(J230&lt;&gt;"",IF(K230="Date",NOW(),K230),""))</f>
        <v>Date</v>
      </c>
      <c r="L230" s="84"/>
    </row>
    <row r="231" spans="1:12">
      <c r="A231" s="19">
        <v>920296153</v>
      </c>
      <c r="B231" s="96">
        <v>44959</v>
      </c>
      <c r="C231" s="19" t="str">
        <f>IF(ISBLANK(A231),"Name",IF(ISNA(VLOOKUP(A231,'Master List'!A:C,2,FALSE)), "Not Found", VLOOKUP(A231,'Master List'!A:C,2,FALSE)))</f>
        <v>Madison Norman</v>
      </c>
      <c r="D231" s="19" t="str">
        <f>IF(ISBLANK(A231), "Email",IF(ISNA(VLOOKUP(A231,'Master List'!A:C,3,FALSE)), "Not Found", VLOOKUP(A231,'Master List'!A:C,3,FALSE)))</f>
        <v xml:space="preserve"> mnorman2@sfsu.edu </v>
      </c>
      <c r="E231" s="19" t="s">
        <v>30</v>
      </c>
      <c r="F231" s="4" t="str">
        <f>IF(OR(A231="",E231="","",A231="?",E231="?"),"duplicate?",IF(COUNTIFS($A:A,A231,E:E,E231)&gt;1,"yes","no"))</f>
        <v>no</v>
      </c>
      <c r="G231" s="92"/>
      <c r="H231" s="57">
        <v>45078</v>
      </c>
      <c r="I231" s="19" t="s">
        <v>59</v>
      </c>
      <c r="J231" s="107"/>
      <c r="K231" s="97" t="str">
        <f ca="1">IF(J231="","Date",IF(J231&lt;&gt;"",IF(K231="Date",NOW(),K231),""))</f>
        <v>Date</v>
      </c>
      <c r="L231" s="84"/>
    </row>
    <row r="232" spans="1:12">
      <c r="A232" s="19">
        <v>916474135</v>
      </c>
      <c r="B232" s="96">
        <v>44959</v>
      </c>
      <c r="C232" s="19" t="str">
        <f>IF(ISBLANK(A232),"Name",IF(ISNA(VLOOKUP(A232,'Master List'!A:C,2,FALSE)), "Not Found", VLOOKUP(A232,'Master List'!A:C,2,FALSE)))</f>
        <v>Steve Choe</v>
      </c>
      <c r="D232" s="19" t="str">
        <f>IF(ISBLANK(A232), "Email",IF(ISNA(VLOOKUP(A232,'Master List'!A:C,3,FALSE)), "Not Found", VLOOKUP(A232,'Master List'!A:C,3,FALSE)))</f>
        <v>stevec3@sfsu.edu</v>
      </c>
      <c r="E232" s="19" t="s">
        <v>25</v>
      </c>
      <c r="F232" s="4" t="str">
        <f>IF(OR(A232="",E232="","",A232="?",E232="?"),"duplicate?",IF(COUNTIFS($A:A,A232,E:E,E232)&gt;1,"yes","no"))</f>
        <v>yes</v>
      </c>
      <c r="G232" s="92"/>
      <c r="H232" s="57">
        <v>45078</v>
      </c>
      <c r="I232" s="19" t="s">
        <v>56</v>
      </c>
      <c r="J232" s="107"/>
      <c r="K232" s="97" t="str">
        <f ca="1">IF(J232="","Date",IF(J232&lt;&gt;"",IF(K232="Date",NOW(),K232),""))</f>
        <v>Date</v>
      </c>
      <c r="L232" s="84"/>
    </row>
    <row r="233" spans="1:12">
      <c r="A233" s="19">
        <v>916474135</v>
      </c>
      <c r="B233" s="96">
        <v>44959</v>
      </c>
      <c r="C233" s="19" t="str">
        <f>IF(ISBLANK(A233),"Name",IF(ISNA(VLOOKUP(A233,'Master List'!A:C,2,FALSE)), "Not Found", VLOOKUP(A233,'Master List'!A:C,2,FALSE)))</f>
        <v>Steve Choe</v>
      </c>
      <c r="D233" s="19" t="str">
        <f>IF(ISBLANK(A233), "Email",IF(ISNA(VLOOKUP(A233,'Master List'!A:C,3,FALSE)), "Not Found", VLOOKUP(A233,'Master List'!A:C,3,FALSE)))</f>
        <v>stevec3@sfsu.edu</v>
      </c>
      <c r="E233" s="19" t="s">
        <v>64</v>
      </c>
      <c r="F233" s="4" t="str">
        <f>IF(OR(A233="",E233="","",A233="?",E233="?"),"duplicate?",IF(COUNTIFS($A:A,A233,E:E,E233)&gt;1,"yes","no"))</f>
        <v>no</v>
      </c>
      <c r="G233" s="92"/>
      <c r="H233" s="57">
        <v>45078</v>
      </c>
      <c r="I233" s="19" t="s">
        <v>66</v>
      </c>
      <c r="J233" s="107"/>
      <c r="K233" s="97" t="str">
        <f ca="1">IF(J233="","Date",IF(J233&lt;&gt;"",IF(K233="Date",NOW(),K233),""))</f>
        <v>Date</v>
      </c>
      <c r="L233" s="84"/>
    </row>
    <row r="234" spans="1:12">
      <c r="A234" s="19">
        <v>900572431</v>
      </c>
      <c r="B234" s="96">
        <v>44959</v>
      </c>
      <c r="C234" s="19" t="str">
        <f>IF(ISBLANK(A234),"Name",IF(ISNA(VLOOKUP(A234,'Master List'!A:C,2,FALSE)), "Not Found", VLOOKUP(A234,'Master List'!A:C,2,FALSE)))</f>
        <v>Judith Fraschella</v>
      </c>
      <c r="D234" s="19" t="str">
        <f>IF(ISBLANK(A234), "Email",IF(ISNA(VLOOKUP(A234,'Master List'!A:C,3,FALSE)), "Not Found", VLOOKUP(A234,'Master List'!A:C,3,FALSE)))</f>
        <v>jfrasche@sfsu.edu</v>
      </c>
      <c r="E234" s="19" t="s">
        <v>19</v>
      </c>
      <c r="F234" s="4" t="str">
        <f>IF(OR(A234="",E234="","",A234="?",E234="?"),"duplicate?",IF(COUNTIFS($A:A,A234,E:E,E234)&gt;1,"yes","no"))</f>
        <v>yes</v>
      </c>
      <c r="G234" s="92"/>
      <c r="H234" s="57">
        <v>45078</v>
      </c>
      <c r="I234" s="19" t="s">
        <v>70</v>
      </c>
      <c r="J234" s="107"/>
      <c r="K234" s="97" t="str">
        <f ca="1">IF(J234="","Date",IF(J234&lt;&gt;"",IF(K234="Date",NOW(),K234),""))</f>
        <v>Date</v>
      </c>
      <c r="L234" s="84"/>
    </row>
    <row r="235" spans="1:12">
      <c r="A235" s="19">
        <v>900002121</v>
      </c>
      <c r="B235" s="96">
        <v>44959</v>
      </c>
      <c r="C235" s="19" t="str">
        <f>IF(ISBLANK(A235),"Name",IF(ISNA(VLOOKUP(A235,'Master List'!A:C,2,FALSE)), "Not Found", VLOOKUP(A235,'Master List'!A:C,2,FALSE)))</f>
        <v>George Leonard</v>
      </c>
      <c r="D235" s="19" t="str">
        <f>IF(ISBLANK(A235), "Email",IF(ISNA(VLOOKUP(A235,'Master List'!A:C,3,FALSE)), "Not Found", VLOOKUP(A235,'Master List'!A:C,3,FALSE)))</f>
        <v>gleonard@sfsu.edu</v>
      </c>
      <c r="E235" s="19" t="s">
        <v>19</v>
      </c>
      <c r="F235" s="4" t="str">
        <f>IF(OR(A235="",E235="","",A235="?",E235="?"),"duplicate?",IF(COUNTIFS($A:A,A235,E:E,E235)&gt;1,"yes","no"))</f>
        <v>no</v>
      </c>
      <c r="G235" s="92"/>
      <c r="H235" s="57">
        <v>45078</v>
      </c>
      <c r="I235" s="19" t="s">
        <v>73</v>
      </c>
      <c r="J235" s="107"/>
      <c r="K235" s="97" t="str">
        <f ca="1">IF(J235="","Date",IF(J235&lt;&gt;"",IF(K235="Date",NOW(),K235),""))</f>
        <v>Date</v>
      </c>
      <c r="L235" s="84"/>
    </row>
    <row r="236" spans="1:12">
      <c r="A236" s="19">
        <v>905185260</v>
      </c>
      <c r="B236" s="96">
        <v>44960</v>
      </c>
      <c r="C236" s="19" t="str">
        <f>IF(ISBLANK(A236),"Name",IF(ISNA(VLOOKUP(A236,'Master List'!A:C,2,FALSE)), "Not Found", VLOOKUP(A236,'Master List'!A:C,2,FALSE)))</f>
        <v>Therese Doan</v>
      </c>
      <c r="D236" s="19" t="str">
        <f>IF(ISBLANK(A236), "Email",IF(ISNA(VLOOKUP(A236,'Master List'!A:C,3,FALSE)), "Not Found", VLOOKUP(A236,'Master List'!A:C,3,FALSE)))</f>
        <v>jungdoan@sfsu.edu</v>
      </c>
      <c r="E236" s="19" t="s">
        <v>19</v>
      </c>
      <c r="F236" s="4" t="str">
        <f>IF(OR(A236="",E236="","",A236="?",E236="?"),"duplicate?",IF(COUNTIFS($A:A,A236,E:E,E236)&gt;1,"yes","no"))</f>
        <v>no</v>
      </c>
      <c r="G236" s="92"/>
      <c r="H236" s="57">
        <v>45078</v>
      </c>
      <c r="I236" s="19" t="s">
        <v>74</v>
      </c>
      <c r="J236" s="107"/>
      <c r="K236" s="97" t="str">
        <f ca="1">IF(J236="","Date",IF(J236&lt;&gt;"",IF(K236="Date",NOW(),K236),""))</f>
        <v>Date</v>
      </c>
      <c r="L236" s="84"/>
    </row>
    <row r="237" spans="1:12">
      <c r="A237" s="19">
        <v>905185260</v>
      </c>
      <c r="B237" s="96">
        <v>44960</v>
      </c>
      <c r="C237" s="19" t="str">
        <f>IF(ISBLANK(A237),"Name",IF(ISNA(VLOOKUP(A237,'Master List'!A:C,2,FALSE)), "Not Found", VLOOKUP(A237,'Master List'!A:C,2,FALSE)))</f>
        <v>Therese Doan</v>
      </c>
      <c r="D237" s="19" t="str">
        <f>IF(ISBLANK(A237), "Email",IF(ISNA(VLOOKUP(A237,'Master List'!A:C,3,FALSE)), "Not Found", VLOOKUP(A237,'Master List'!A:C,3,FALSE)))</f>
        <v>jungdoan@sfsu.edu</v>
      </c>
      <c r="E237" s="19" t="s">
        <v>67</v>
      </c>
      <c r="F237" s="4" t="str">
        <f>IF(OR(A237="",E237="","",A237="?",E237="?"),"duplicate?",IF(COUNTIFS($A:A,A237,E:E,E237)&gt;1,"yes","no"))</f>
        <v>no</v>
      </c>
      <c r="G237" s="92"/>
      <c r="H237" s="57">
        <v>45078</v>
      </c>
      <c r="I237" s="19" t="s">
        <v>74</v>
      </c>
      <c r="J237" s="107"/>
      <c r="K237" s="97" t="str">
        <f ca="1">IF(J237="","Date",IF(J237&lt;&gt;"",IF(K237="Date",NOW(),K237),""))</f>
        <v>Date</v>
      </c>
      <c r="L237" s="84"/>
    </row>
    <row r="238" spans="1:12">
      <c r="A238" s="19">
        <v>909861620</v>
      </c>
      <c r="B238" s="96">
        <v>44963</v>
      </c>
      <c r="C238" s="19" t="str">
        <f>IF(ISBLANK(A238),"Name",IF(ISNA(VLOOKUP(A238,'Master List'!A:C,2,FALSE)), "Not Found", VLOOKUP(A238,'Master List'!A:C,2,FALSE)))</f>
        <v>Kwong-Liem Kwan</v>
      </c>
      <c r="D238" s="19" t="str">
        <f>IF(ISBLANK(A238), "Email",IF(ISNA(VLOOKUP(A238,'Master List'!A:C,3,FALSE)), "Not Found", VLOOKUP(A238,'Master List'!A:C,3,FALSE)))</f>
        <v>kwan@sfsu.edu</v>
      </c>
      <c r="E238" s="19" t="s">
        <v>19</v>
      </c>
      <c r="F238" s="4" t="str">
        <f>IF(OR(A238="",E238="","",A238="?",E238="?"),"duplicate?",IF(COUNTIFS($A:A,A238,E:E,E238)&gt;1,"yes","no"))</f>
        <v>yes</v>
      </c>
      <c r="G238" s="92"/>
      <c r="H238" s="57">
        <v>45078</v>
      </c>
      <c r="I238" s="19" t="s">
        <v>56</v>
      </c>
      <c r="J238" s="107"/>
      <c r="K238" s="97" t="str">
        <f ca="1">IF(J238="","Date",IF(J238&lt;&gt;"",IF(K238="Date",NOW(),K238),""))</f>
        <v>Date</v>
      </c>
      <c r="L238" s="84"/>
    </row>
    <row r="239" spans="1:12">
      <c r="A239" s="19">
        <v>922240615</v>
      </c>
      <c r="B239" s="96">
        <v>44963</v>
      </c>
      <c r="C239" s="19" t="str">
        <f>IF(ISBLANK(A239),"Name",IF(ISNA(VLOOKUP(A239,'Master List'!A:C,2,FALSE)), "Not Found", VLOOKUP(A239,'Master List'!A:C,2,FALSE)))</f>
        <v>Noah Litwer</v>
      </c>
      <c r="D239" s="19" t="str">
        <f>IF(ISBLANK(A239), "Email",IF(ISNA(VLOOKUP(A239,'Master List'!A:C,3,FALSE)), "Not Found", VLOOKUP(A239,'Master List'!A:C,3,FALSE)))</f>
        <v>nlitwer@sfsu.edu</v>
      </c>
      <c r="E239" s="19" t="s">
        <v>67</v>
      </c>
      <c r="F239" s="4" t="str">
        <f>IF(OR(A239="",E239="","",A239="?",E239="?"),"duplicate?",IF(COUNTIFS($A:A,A239,E:E,E239)&gt;1,"yes","no"))</f>
        <v>yes</v>
      </c>
      <c r="G239" s="92"/>
      <c r="H239" s="57">
        <v>45078</v>
      </c>
      <c r="I239" s="19" t="s">
        <v>56</v>
      </c>
      <c r="J239" s="107"/>
      <c r="K239" s="97" t="str">
        <f ca="1">IF(J239="","Date",IF(J239&lt;&gt;"",IF(K239="Date",NOW(),K239),""))</f>
        <v>Date</v>
      </c>
      <c r="L239" s="84"/>
    </row>
    <row r="240" spans="1:12">
      <c r="A240" s="19">
        <v>922240615</v>
      </c>
      <c r="B240" s="96">
        <v>44963</v>
      </c>
      <c r="C240" s="19" t="str">
        <f>IF(ISBLANK(A240),"Name",IF(ISNA(VLOOKUP(A240,'Master List'!A:C,2,FALSE)), "Not Found", VLOOKUP(A240,'Master List'!A:C,2,FALSE)))</f>
        <v>Noah Litwer</v>
      </c>
      <c r="D240" s="19" t="str">
        <f>IF(ISBLANK(A240), "Email",IF(ISNA(VLOOKUP(A240,'Master List'!A:C,3,FALSE)), "Not Found", VLOOKUP(A240,'Master List'!A:C,3,FALSE)))</f>
        <v>nlitwer@sfsu.edu</v>
      </c>
      <c r="E240" s="19" t="s">
        <v>75</v>
      </c>
      <c r="F240" s="4" t="str">
        <f>IF(OR(A240="",E240="","",A240="?",E240="?"),"duplicate?",IF(COUNTIFS($A:A,A240,E:E,E240)&gt;1,"yes","no"))</f>
        <v>no</v>
      </c>
      <c r="G240" s="92"/>
      <c r="H240" s="57">
        <v>45078</v>
      </c>
      <c r="I240" s="19" t="s">
        <v>56</v>
      </c>
      <c r="J240" s="107"/>
      <c r="K240" s="97" t="str">
        <f ca="1">IF(J240="","Date",IF(J240&lt;&gt;"",IF(K240="Date",NOW(),K240),""))</f>
        <v>Date</v>
      </c>
      <c r="L240" s="84"/>
    </row>
    <row r="241" spans="1:12">
      <c r="A241" s="19">
        <v>922240615</v>
      </c>
      <c r="B241" s="96">
        <v>44963</v>
      </c>
      <c r="C241" s="19" t="str">
        <f>IF(ISBLANK(A241),"Name",IF(ISNA(VLOOKUP(A241,'Master List'!A:C,2,FALSE)), "Not Found", VLOOKUP(A241,'Master List'!A:C,2,FALSE)))</f>
        <v>Noah Litwer</v>
      </c>
      <c r="D241" s="19" t="str">
        <f>IF(ISBLANK(A241), "Email",IF(ISNA(VLOOKUP(A241,'Master List'!A:C,3,FALSE)), "Not Found", VLOOKUP(A241,'Master List'!A:C,3,FALSE)))</f>
        <v>nlitwer@sfsu.edu</v>
      </c>
      <c r="E241" s="19" t="s">
        <v>67</v>
      </c>
      <c r="F241" s="4" t="str">
        <f>IF(OR(A241="",E241="","",A241="?",E241="?"),"duplicate?",IF(COUNTIFS($A:A,A241,E:E,E241)&gt;1,"yes","no"))</f>
        <v>yes</v>
      </c>
      <c r="G241" s="92"/>
      <c r="H241" s="57">
        <v>45078</v>
      </c>
      <c r="I241" s="19" t="s">
        <v>56</v>
      </c>
      <c r="J241" s="107"/>
      <c r="K241" s="97" t="str">
        <f ca="1">IF(J241="","Date",IF(J241&lt;&gt;"",IF(K241="Date",NOW(),K241),""))</f>
        <v>Date</v>
      </c>
      <c r="L241" s="84"/>
    </row>
    <row r="242" spans="1:12">
      <c r="A242" s="19">
        <v>917916563</v>
      </c>
      <c r="B242" s="96">
        <v>44963</v>
      </c>
      <c r="C242" s="19" t="str">
        <f>IF(ISBLANK(A242),"Name",IF(ISNA(VLOOKUP(A242,'Master List'!A:C,2,FALSE)), "Not Found", VLOOKUP(A242,'Master List'!A:C,2,FALSE)))</f>
        <v>Jeanette Ayala-Rios</v>
      </c>
      <c r="D242" s="19" t="str">
        <f>IF(ISBLANK(A242), "Email",IF(ISNA(VLOOKUP(A242,'Master List'!A:C,3,FALSE)), "Not Found", VLOOKUP(A242,'Master List'!A:C,3,FALSE)))</f>
        <v>jayalarios@sfsu.edu</v>
      </c>
      <c r="E242" s="19" t="s">
        <v>19</v>
      </c>
      <c r="F242" s="4" t="str">
        <f>IF(OR(A242="",E242="","",A242="?",E242="?"),"duplicate?",IF(COUNTIFS($A:A,A242,E:E,E242)&gt;1,"yes","no"))</f>
        <v>no</v>
      </c>
      <c r="G242" s="92"/>
      <c r="H242" s="57">
        <v>44963</v>
      </c>
      <c r="I242" s="19" t="s">
        <v>56</v>
      </c>
      <c r="J242" s="107"/>
      <c r="K242" s="97" t="str">
        <f ca="1">IF(J242="","Date",IF(J242&lt;&gt;"",IF(K242="Date",NOW(),K242),""))</f>
        <v>Date</v>
      </c>
      <c r="L242" s="84"/>
    </row>
    <row r="243" spans="1:12">
      <c r="A243" s="19">
        <v>920753025</v>
      </c>
      <c r="B243" s="96">
        <v>44963</v>
      </c>
      <c r="C243" s="19" t="str">
        <f>IF(ISBLANK(A243),"Name",IF(ISNA(VLOOKUP(A243,'Master List'!A:C,2,FALSE)), "Not Found", VLOOKUP(A243,'Master List'!A:C,2,FALSE)))</f>
        <v>Steven Petelo</v>
      </c>
      <c r="D243" s="19" t="str">
        <f>IF(ISBLANK(A243), "Email",IF(ISNA(VLOOKUP(A243,'Master List'!A:C,3,FALSE)), "Not Found", VLOOKUP(A243,'Master List'!A:C,3,FALSE)))</f>
        <v>spetelo@sfsu.edu</v>
      </c>
      <c r="E243" s="19" t="s">
        <v>19</v>
      </c>
      <c r="F243" s="4" t="str">
        <f>IF(OR(A243="",E243="","",A243="?",E243="?"),"duplicate?",IF(COUNTIFS($A:A,A243,E:E,E243)&gt;1,"yes","no"))</f>
        <v>no</v>
      </c>
      <c r="G243" s="92"/>
      <c r="H243" s="57">
        <v>45078</v>
      </c>
      <c r="I243" s="19" t="s">
        <v>66</v>
      </c>
      <c r="J243" s="107"/>
      <c r="K243" s="97" t="str">
        <f ca="1">IF(J243="","Date",IF(J243&lt;&gt;"",IF(K243="Date",NOW(),K243),""))</f>
        <v>Date</v>
      </c>
      <c r="L243" s="84"/>
    </row>
    <row r="244" spans="1:12">
      <c r="A244" s="19">
        <v>904495610</v>
      </c>
      <c r="B244" s="96">
        <v>44964</v>
      </c>
      <c r="C244" s="19" t="str">
        <f>IF(ISBLANK(A244),"Name",IF(ISNA(VLOOKUP(A244,'Master List'!A:C,2,FALSE)), "Not Found", VLOOKUP(A244,'Master List'!A:C,2,FALSE)))</f>
        <v>Candace Low</v>
      </c>
      <c r="D244" s="19" t="str">
        <f>IF(ISBLANK(A244), "Email",IF(ISNA(VLOOKUP(A244,'Master List'!A:C,3,FALSE)), "Not Found", VLOOKUP(A244,'Master List'!A:C,3,FALSE)))</f>
        <v>clowsf@sfsu.edu</v>
      </c>
      <c r="E244" s="19" t="s">
        <v>67</v>
      </c>
      <c r="F244" s="4" t="str">
        <f>IF(OR(A244="",E244="","",A244="?",E244="?"),"duplicate?",IF(COUNTIFS($A:A,A244,E:E,E244)&gt;1,"yes","no"))</f>
        <v>no</v>
      </c>
      <c r="G244" s="92"/>
      <c r="H244" s="57">
        <v>45078</v>
      </c>
      <c r="I244" s="19" t="s">
        <v>59</v>
      </c>
      <c r="J244" s="107"/>
      <c r="K244" s="97" t="str">
        <f ca="1">IF(J244="","Date",IF(J244&lt;&gt;"",IF(K244="Date",NOW(),K244),""))</f>
        <v>Date</v>
      </c>
      <c r="L244" s="84"/>
    </row>
    <row r="245" spans="1:12">
      <c r="A245" s="19">
        <v>918851276</v>
      </c>
      <c r="B245" s="96">
        <v>44964</v>
      </c>
      <c r="C245" s="19" t="str">
        <f>IF(ISBLANK(A245),"Name",IF(ISNA(VLOOKUP(A245,'Master List'!A:C,2,FALSE)), "Not Found", VLOOKUP(A245,'Master List'!A:C,2,FALSE)))</f>
        <v>Vasquez, Diaz Vasquez</v>
      </c>
      <c r="D245" s="19" t="str">
        <f>IF(ISBLANK(A245), "Email",IF(ISNA(VLOOKUP(A245,'Master List'!A:C,3,FALSE)), "Not Found", VLOOKUP(A245,'Master List'!A:C,3,FALSE)))</f>
        <v>jrubendv@sfsu.edu</v>
      </c>
      <c r="E245" s="19" t="s">
        <v>76</v>
      </c>
      <c r="F245" s="4" t="str">
        <f>IF(OR(A245="",E245="","",A245="?",E245="?"),"duplicate?",IF(COUNTIFS($A:A,A245,E:E,E245)&gt;1,"yes","no"))</f>
        <v>no</v>
      </c>
      <c r="G245" s="92"/>
      <c r="H245" s="57">
        <v>45078</v>
      </c>
      <c r="I245" s="19" t="s">
        <v>61</v>
      </c>
      <c r="J245" s="107"/>
      <c r="K245" s="97" t="str">
        <f ca="1">IF(J245="","Date",IF(J245&lt;&gt;"",IF(K245="Date",NOW(),K245),""))</f>
        <v>Date</v>
      </c>
      <c r="L245" s="84"/>
    </row>
    <row r="246" spans="1:12">
      <c r="A246" s="19">
        <v>909826143</v>
      </c>
      <c r="B246" s="96">
        <v>44964</v>
      </c>
      <c r="C246" s="19" t="str">
        <f>IF(ISBLANK(A246),"Name",IF(ISNA(VLOOKUP(A246,'Master List'!A:C,2,FALSE)), "Not Found", VLOOKUP(A246,'Master List'!A:C,2,FALSE)))</f>
        <v>Huan Lei Li</v>
      </c>
      <c r="D246" s="19" t="str">
        <f>IF(ISBLANK(A246), "Email",IF(ISNA(VLOOKUP(A246,'Master List'!A:C,3,FALSE)), "Not Found", VLOOKUP(A246,'Master List'!A:C,3,FALSE)))</f>
        <v>joyleili@mail.sfsu.edu</v>
      </c>
      <c r="E246" s="19" t="s">
        <v>19</v>
      </c>
      <c r="F246" s="4" t="str">
        <f>IF(OR(A246="",E246="","",A246="?",E246="?"),"duplicate?",IF(COUNTIFS($A:A,A246,E:E,E246)&gt;1,"yes","no"))</f>
        <v>no</v>
      </c>
      <c r="G246" s="92"/>
      <c r="H246" s="57">
        <v>45078</v>
      </c>
      <c r="I246" s="19" t="s">
        <v>77</v>
      </c>
      <c r="J246" s="107"/>
      <c r="K246" s="97" t="str">
        <f ca="1">IF(J246="","Date",IF(J246&lt;&gt;"",IF(K246="Date",NOW(),K246),""))</f>
        <v>Date</v>
      </c>
      <c r="L246" s="84"/>
    </row>
    <row r="247" spans="1:12">
      <c r="A247" s="19">
        <v>908492005</v>
      </c>
      <c r="B247" s="96">
        <v>44964</v>
      </c>
      <c r="C247" s="19" t="str">
        <f>IF(ISBLANK(A247),"Name",IF(ISNA(VLOOKUP(A247,'Master List'!A:C,2,FALSE)), "Not Found", VLOOKUP(A247,'Master List'!A:C,2,FALSE)))</f>
        <v>Kazunori Okada</v>
      </c>
      <c r="D247" s="19" t="str">
        <f>IF(ISBLANK(A247), "Email",IF(ISNA(VLOOKUP(A247,'Master List'!A:C,3,FALSE)), "Not Found", VLOOKUP(A247,'Master List'!A:C,3,FALSE)))</f>
        <v>kazokada@sfsu.edu</v>
      </c>
      <c r="E247" s="19" t="s">
        <v>67</v>
      </c>
      <c r="F247" s="4" t="str">
        <f>IF(OR(A247="",E247="","",A247="?",E247="?"),"duplicate?",IF(COUNTIFS($A:A,A247,E:E,E247)&gt;1,"yes","no"))</f>
        <v>no</v>
      </c>
      <c r="G247" s="92"/>
      <c r="H247" s="57">
        <v>45078</v>
      </c>
      <c r="I247" s="19" t="s">
        <v>72</v>
      </c>
      <c r="J247" s="107"/>
      <c r="K247" s="97" t="str">
        <f ca="1">IF(J247="","Date",IF(J247&lt;&gt;"",IF(K247="Date",NOW(),K247),""))</f>
        <v>Date</v>
      </c>
      <c r="L247" s="84"/>
    </row>
    <row r="248" spans="1:12">
      <c r="A248" s="19">
        <v>908492005</v>
      </c>
      <c r="B248" s="96">
        <v>44964</v>
      </c>
      <c r="C248" s="19" t="str">
        <f>IF(ISBLANK(A248),"Name",IF(ISNA(VLOOKUP(A248,'Master List'!A:C,2,FALSE)), "Not Found", VLOOKUP(A248,'Master List'!A:C,2,FALSE)))</f>
        <v>Kazunori Okada</v>
      </c>
      <c r="D248" s="19" t="str">
        <f>IF(ISBLANK(A248), "Email",IF(ISNA(VLOOKUP(A248,'Master List'!A:C,3,FALSE)), "Not Found", VLOOKUP(A248,'Master List'!A:C,3,FALSE)))</f>
        <v>kazokada@sfsu.edu</v>
      </c>
      <c r="E248" s="19" t="s">
        <v>19</v>
      </c>
      <c r="F248" s="4" t="str">
        <f>IF(OR(A248="",E248="","",A248="?",E248="?"),"duplicate?",IF(COUNTIFS($A:A,A248,E:E,E248)&gt;1,"yes","no"))</f>
        <v>no</v>
      </c>
      <c r="G248" s="92"/>
      <c r="H248" s="57">
        <v>45078</v>
      </c>
      <c r="I248" s="19" t="s">
        <v>72</v>
      </c>
      <c r="J248" s="107"/>
      <c r="K248" s="97" t="str">
        <f ca="1">IF(J248="","Date",IF(J248&lt;&gt;"",IF(K248="Date",NOW(),K248),""))</f>
        <v>Date</v>
      </c>
      <c r="L248" s="84"/>
    </row>
    <row r="249" spans="1:12">
      <c r="A249" s="19">
        <v>907608499</v>
      </c>
      <c r="B249" s="96">
        <v>44965</v>
      </c>
      <c r="C249" s="19" t="str">
        <f>IF(ISBLANK(A249),"Name",IF(ISNA(VLOOKUP(A249,'Master List'!A:C,2,FALSE)), "Not Found", VLOOKUP(A249,'Master List'!A:C,2,FALSE)))</f>
        <v>Gretchen George</v>
      </c>
      <c r="D249" s="19" t="str">
        <f>IF(ISBLANK(A249), "Email",IF(ISNA(VLOOKUP(A249,'Master List'!A:C,3,FALSE)), "Not Found", VLOOKUP(A249,'Master List'!A:C,3,FALSE)))</f>
        <v>glgeorge@sfsu.edu</v>
      </c>
      <c r="E249" s="19" t="s">
        <v>67</v>
      </c>
      <c r="F249" s="4" t="str">
        <f>IF(OR(A249="",E249="","",A249="?",E249="?"),"duplicate?",IF(COUNTIFS($A:A,A249,E:E,E249)&gt;1,"yes","no"))</f>
        <v>no</v>
      </c>
      <c r="G249" s="92"/>
      <c r="H249" s="57">
        <v>45078</v>
      </c>
      <c r="I249" s="19" t="s">
        <v>59</v>
      </c>
      <c r="J249" s="107"/>
      <c r="K249" s="97" t="str">
        <f ca="1">IF(J249="","Date",IF(J249&lt;&gt;"",IF(K249="Date",NOW(),K249),""))</f>
        <v>Date</v>
      </c>
      <c r="L249" s="84"/>
    </row>
    <row r="250" spans="1:12">
      <c r="A250" s="19">
        <v>913828674</v>
      </c>
      <c r="B250" s="96">
        <v>44965</v>
      </c>
      <c r="C250" s="19" t="str">
        <f>IF(ISBLANK(A250),"Name",IF(ISNA(VLOOKUP(A250,'Master List'!A:C,2,FALSE)), "Not Found", VLOOKUP(A250,'Master List'!A:C,2,FALSE)))</f>
        <v>George Barganier</v>
      </c>
      <c r="D250" s="19" t="str">
        <f>IF(ISBLANK(A250), "Email",IF(ISNA(VLOOKUP(A250,'Master List'!A:C,3,FALSE)), "Not Found", VLOOKUP(A250,'Master List'!A:C,3,FALSE)))</f>
        <v>gbarg@sfsu.edu</v>
      </c>
      <c r="E250" s="19" t="s">
        <v>67</v>
      </c>
      <c r="F250" s="4" t="str">
        <f>IF(OR(A250="",E250="","",A250="?",E250="?"),"duplicate?",IF(COUNTIFS($A:A,A250,E:E,E250)&gt;1,"yes","no"))</f>
        <v>no</v>
      </c>
      <c r="G250" s="92"/>
      <c r="H250" s="57">
        <v>45078</v>
      </c>
      <c r="I250" s="19" t="s">
        <v>65</v>
      </c>
      <c r="J250" s="107"/>
      <c r="K250" s="97" t="str">
        <f ca="1">IF(J250="","Date",IF(J250&lt;&gt;"",IF(K250="Date",NOW(),K250),""))</f>
        <v>Date</v>
      </c>
      <c r="L250" s="84"/>
    </row>
    <row r="251" spans="1:12">
      <c r="A251" s="19">
        <v>909163299</v>
      </c>
      <c r="B251" s="96">
        <v>44965</v>
      </c>
      <c r="C251" s="19" t="str">
        <f>IF(ISBLANK(A251),"Name",IF(ISNA(VLOOKUP(A251,'Master List'!A:C,2,FALSE)), "Not Found", VLOOKUP(A251,'Master List'!A:C,2,FALSE)))</f>
        <v>Eric Lamm</v>
      </c>
      <c r="D251" s="19" t="str">
        <f>IF(ISBLANK(A251), "Email",IF(ISNA(VLOOKUP(A251,'Master List'!A:C,3,FALSE)), "Not Found", VLOOKUP(A251,'Master List'!A:C,3,FALSE)))</f>
        <v>ericlamm@sfsu.edu</v>
      </c>
      <c r="E251" s="19" t="s">
        <v>19</v>
      </c>
      <c r="F251" s="4" t="str">
        <f>IF(OR(A251="",E251="","",A251="?",E251="?"),"duplicate?",IF(COUNTIFS($A:A,A251,E:E,E251)&gt;1,"yes","no"))</f>
        <v>no</v>
      </c>
      <c r="G251" s="92"/>
      <c r="H251" s="57">
        <v>45078</v>
      </c>
      <c r="I251" s="19" t="s">
        <v>54</v>
      </c>
      <c r="J251" s="107"/>
      <c r="K251" s="97" t="str">
        <f ca="1">IF(J251="","Date",IF(J251&lt;&gt;"",IF(K251="Date",NOW(),K251),""))</f>
        <v>Date</v>
      </c>
      <c r="L251" s="84"/>
    </row>
    <row r="252" spans="1:12">
      <c r="A252" s="19">
        <v>900004669</v>
      </c>
      <c r="B252" s="96">
        <v>44965</v>
      </c>
      <c r="C252" s="19" t="str">
        <f>IF(ISBLANK(A252),"Name",IF(ISNA(VLOOKUP(A252,'Master List'!A:C,2,FALSE)), "Not Found", VLOOKUP(A252,'Master List'!A:C,2,FALSE)))</f>
        <v>Wai-Leung Kwok</v>
      </c>
      <c r="D252" s="19" t="str">
        <f>IF(ISBLANK(A252), "Email",IF(ISNA(VLOOKUP(A252,'Master List'!A:C,3,FALSE)), "Not Found", VLOOKUP(A252,'Master List'!A:C,3,FALSE)))</f>
        <v>wkwok@sfsu.edu</v>
      </c>
      <c r="E252" s="19" t="s">
        <v>45</v>
      </c>
      <c r="F252" s="4" t="str">
        <f>IF(OR(A252="",E252="","",A252="?",E252="?"),"duplicate?",IF(COUNTIFS($A:A,A252,E:E,E252)&gt;1,"yes","no"))</f>
        <v>no</v>
      </c>
      <c r="G252" s="92"/>
      <c r="H252" s="57">
        <v>45078</v>
      </c>
      <c r="I252" s="19" t="s">
        <v>54</v>
      </c>
      <c r="J252" s="107"/>
      <c r="K252" s="97" t="str">
        <f ca="1">IF(J252="","Date",IF(J252&lt;&gt;"",IF(K252="Date",NOW(),K252),""))</f>
        <v>Date</v>
      </c>
      <c r="L252" s="84"/>
    </row>
    <row r="253" spans="1:12">
      <c r="A253" s="19">
        <v>913839360</v>
      </c>
      <c r="B253" s="96">
        <v>44966</v>
      </c>
      <c r="C253" s="19" t="str">
        <f>IF(ISBLANK(A253),"Name",IF(ISNA(VLOOKUP(A253,'Master List'!A:C,2,FALSE)), "Not Found", VLOOKUP(A253,'Master List'!A:C,2,FALSE)))</f>
        <v>Ting Zhou</v>
      </c>
      <c r="D253" s="19" t="str">
        <f>IF(ISBLANK(A253), "Email",IF(ISNA(VLOOKUP(A253,'Master List'!A:C,3,FALSE)), "Not Found", VLOOKUP(A253,'Master List'!A:C,3,FALSE)))</f>
        <v>tingz@sfsu.edu</v>
      </c>
      <c r="E253" s="19" t="s">
        <v>19</v>
      </c>
      <c r="F253" s="4" t="str">
        <f>IF(OR(A253="",E253="","",A253="?",E253="?"),"duplicate?",IF(COUNTIFS($A:A,A253,E:E,E253)&gt;1,"yes","no"))</f>
        <v>no</v>
      </c>
      <c r="G253" s="92"/>
      <c r="H253" s="57">
        <v>45078</v>
      </c>
      <c r="I253" s="19" t="s">
        <v>59</v>
      </c>
      <c r="J253" s="107"/>
      <c r="K253" s="97" t="str">
        <f ca="1">IF(J253="","Date",IF(J253&lt;&gt;"",IF(K253="Date",NOW(),K253),""))</f>
        <v>Date</v>
      </c>
      <c r="L253" s="84"/>
    </row>
    <row r="254" spans="1:12">
      <c r="A254" s="19">
        <v>918850834</v>
      </c>
      <c r="B254" s="96">
        <v>44966</v>
      </c>
      <c r="C254" s="19" t="str">
        <f>IF(ISBLANK(A254),"Name",IF(ISNA(VLOOKUP(A254,'Master List'!A:C,2,FALSE)), "Not Found", VLOOKUP(A254,'Master List'!A:C,2,FALSE)))</f>
        <v>Alice Brye-Vela</v>
      </c>
      <c r="D254" s="19" t="str">
        <f>IF(ISBLANK(A254), "Email",IF(ISNA(VLOOKUP(A254,'Master List'!A:C,3,FALSE)), "Not Found", VLOOKUP(A254,'Master List'!A:C,3,FALSE)))</f>
        <v>ybryevela@sfsu.edu</v>
      </c>
      <c r="E254" s="19" t="s">
        <v>19</v>
      </c>
      <c r="F254" s="4" t="str">
        <f>IF(OR(A254="",E254="","",A254="?",E254="?"),"duplicate?",IF(COUNTIFS($A:A,A254,E:E,E254)&gt;1,"yes","no"))</f>
        <v>no</v>
      </c>
      <c r="G254" s="92"/>
      <c r="H254" s="57">
        <v>45078</v>
      </c>
      <c r="I254" s="19" t="s">
        <v>59</v>
      </c>
      <c r="J254" s="107"/>
      <c r="K254" s="97" t="str">
        <f ca="1">IF(J254="","Date",IF(J254&lt;&gt;"",IF(K254="Date",NOW(),K254),""))</f>
        <v>Date</v>
      </c>
      <c r="L254" s="84"/>
    </row>
    <row r="255" spans="1:12">
      <c r="A255" s="19">
        <v>918851081</v>
      </c>
      <c r="B255" s="96">
        <v>44966</v>
      </c>
      <c r="C255" s="19" t="str">
        <f>IF(ISBLANK(A255),"Name",IF(ISNA(VLOOKUP(A255,'Master List'!A:C,2,FALSE)), "Not Found", VLOOKUP(A255,'Master List'!A:C,2,FALSE)))</f>
        <v>Rayan El-Amine</v>
      </c>
      <c r="D255" s="19" t="str">
        <f>IF(ISBLANK(A255), "Email",IF(ISNA(VLOOKUP(A255,'Master List'!A:C,3,FALSE)), "Not Found", VLOOKUP(A255,'Master List'!A:C,3,FALSE)))</f>
        <v>relamine@sfsu.edu</v>
      </c>
      <c r="E255" s="19" t="s">
        <v>78</v>
      </c>
      <c r="F255" s="4" t="str">
        <f>IF(OR(A255="",E255="","",A255="?",E255="?"),"duplicate?",IF(COUNTIFS($A:A,A255,E:E,E255)&gt;1,"yes","no"))</f>
        <v>no</v>
      </c>
      <c r="G255" s="92"/>
      <c r="H255" s="57">
        <v>45078</v>
      </c>
      <c r="I255" s="19" t="s">
        <v>71</v>
      </c>
      <c r="J255" s="107"/>
      <c r="K255" s="97" t="str">
        <f ca="1">IF(J255="","Date",IF(J255&lt;&gt;"",IF(K255="Date",NOW(),K255),""))</f>
        <v>Date</v>
      </c>
      <c r="L255" s="84"/>
    </row>
    <row r="256" spans="1:12">
      <c r="A256" s="19">
        <v>918851081</v>
      </c>
      <c r="B256" s="96">
        <v>44966</v>
      </c>
      <c r="C256" s="19" t="str">
        <f>IF(ISBLANK(A256),"Name",IF(ISNA(VLOOKUP(A256,'Master List'!A:C,2,FALSE)), "Not Found", VLOOKUP(A256,'Master List'!A:C,2,FALSE)))</f>
        <v>Rayan El-Amine</v>
      </c>
      <c r="D256" s="19" t="str">
        <f>IF(ISBLANK(A256), "Email",IF(ISNA(VLOOKUP(A256,'Master List'!A:C,3,FALSE)), "Not Found", VLOOKUP(A256,'Master List'!A:C,3,FALSE)))</f>
        <v>relamine@sfsu.edu</v>
      </c>
      <c r="E256" s="19" t="s">
        <v>36</v>
      </c>
      <c r="F256" s="4" t="str">
        <f>IF(OR(A256="",E256="","",A256="?",E256="?"),"duplicate?",IF(COUNTIFS($A:A,A256,E:E,E256)&gt;1,"yes","no"))</f>
        <v>no</v>
      </c>
      <c r="G256" s="92"/>
      <c r="H256" s="57">
        <v>45078</v>
      </c>
      <c r="I256" s="19" t="s">
        <v>71</v>
      </c>
      <c r="J256" s="107"/>
      <c r="K256" s="97" t="str">
        <f ca="1">IF(J256="","Date",IF(J256&lt;&gt;"",IF(K256="Date",NOW(),K256),""))</f>
        <v>Date</v>
      </c>
      <c r="L256" s="84"/>
    </row>
    <row r="257" spans="1:12">
      <c r="A257" s="19">
        <v>909186933</v>
      </c>
      <c r="B257" s="96">
        <v>44966</v>
      </c>
      <c r="C257" s="19" t="str">
        <f>IF(ISBLANK(A257),"Name",IF(ISNA(VLOOKUP(A257,'Master List'!A:C,2,FALSE)), "Not Found", VLOOKUP(A257,'Master List'!A:C,2,FALSE)))</f>
        <v>Mahmood Monshipouri</v>
      </c>
      <c r="D257" s="19" t="str">
        <f>IF(ISBLANK(A257), "Email",IF(ISNA(VLOOKUP(A257,'Master List'!A:C,3,FALSE)), "Not Found", VLOOKUP(A257,'Master List'!A:C,3,FALSE)))</f>
        <v>mmonship@sfsu.edu</v>
      </c>
      <c r="E257" s="19" t="s">
        <v>46</v>
      </c>
      <c r="F257" s="4" t="str">
        <f>IF(OR(A257="",E257="","",A257="?",E257="?"),"duplicate?",IF(COUNTIFS($A:A,A257,E:E,E257)&gt;1,"yes","no"))</f>
        <v>no</v>
      </c>
      <c r="G257" s="92"/>
      <c r="H257" s="57">
        <v>45078</v>
      </c>
      <c r="I257" s="19" t="s">
        <v>56</v>
      </c>
      <c r="J257" s="107"/>
      <c r="K257" s="97" t="str">
        <f ca="1">IF(J257="","Date",IF(J257&lt;&gt;"",IF(K257="Date",NOW(),K257),""))</f>
        <v>Date</v>
      </c>
      <c r="L257" s="84"/>
    </row>
    <row r="258" spans="1:12">
      <c r="A258" s="19">
        <v>905958448</v>
      </c>
      <c r="B258" s="96">
        <v>44967</v>
      </c>
      <c r="C258" s="19" t="str">
        <f>IF(ISBLANK(A258),"Name",IF(ISNA(VLOOKUP(A258,'Master List'!A:C,2,FALSE)), "Not Found", VLOOKUP(A258,'Master List'!A:C,2,FALSE)))</f>
        <v>Yoko Toriyabe</v>
      </c>
      <c r="D258" s="19" t="str">
        <f>IF(ISBLANK(A258), "Email",IF(ISNA(VLOOKUP(A258,'Master List'!A:C,3,FALSE)), "Not Found", VLOOKUP(A258,'Master List'!A:C,3,FALSE)))</f>
        <v>toriyabe@sfsu.edu</v>
      </c>
      <c r="E258" s="19" t="s">
        <v>19</v>
      </c>
      <c r="F258" s="4" t="str">
        <f>IF(OR(A258="",E258="","",A258="?",E258="?"),"duplicate?",IF(COUNTIFS($A:A,A258,E:E,E258)&gt;1,"yes","no"))</f>
        <v>no</v>
      </c>
      <c r="G258" s="92"/>
      <c r="H258" s="57">
        <v>45078</v>
      </c>
      <c r="I258" s="19" t="s">
        <v>70</v>
      </c>
      <c r="J258" s="107"/>
      <c r="K258" s="97" t="str">
        <f ca="1">IF(J258="","Date",IF(J258&lt;&gt;"",IF(K258="Date",NOW(),K258),""))</f>
        <v>Date</v>
      </c>
      <c r="L258" s="84"/>
    </row>
    <row r="259" spans="1:12">
      <c r="A259" s="19">
        <v>905958448</v>
      </c>
      <c r="B259" s="96">
        <v>44967</v>
      </c>
      <c r="C259" s="19" t="str">
        <f>IF(ISBLANK(A259),"Name",IF(ISNA(VLOOKUP(A259,'Master List'!A:C,2,FALSE)), "Not Found", VLOOKUP(A259,'Master List'!A:C,2,FALSE)))</f>
        <v>Yoko Toriyabe</v>
      </c>
      <c r="D259" s="19" t="str">
        <f>IF(ISBLANK(A259), "Email",IF(ISNA(VLOOKUP(A259,'Master List'!A:C,3,FALSE)), "Not Found", VLOOKUP(A259,'Master List'!A:C,3,FALSE)))</f>
        <v>toriyabe@sfsu.edu</v>
      </c>
      <c r="E259" s="19" t="s">
        <v>76</v>
      </c>
      <c r="F259" s="4" t="str">
        <f>IF(OR(A259="",E259="","",A259="?",E259="?"),"duplicate?",IF(COUNTIFS($A:A,A259,E:E,E259)&gt;1,"yes","no"))</f>
        <v>no</v>
      </c>
      <c r="G259" s="92"/>
      <c r="H259" s="57">
        <v>45078</v>
      </c>
      <c r="I259" s="19" t="s">
        <v>70</v>
      </c>
      <c r="J259" s="107"/>
      <c r="K259" s="97" t="str">
        <f ca="1">IF(J259="","Date",IF(J259&lt;&gt;"",IF(K259="Date",NOW(),K259),""))</f>
        <v>Date</v>
      </c>
      <c r="L259" s="84"/>
    </row>
    <row r="260" spans="1:12">
      <c r="A260" s="19">
        <v>905958448</v>
      </c>
      <c r="B260" s="96">
        <v>44967</v>
      </c>
      <c r="C260" s="19" t="str">
        <f>IF(ISBLANK(A260),"Name",IF(ISNA(VLOOKUP(A260,'Master List'!A:C,2,FALSE)), "Not Found", VLOOKUP(A260,'Master List'!A:C,2,FALSE)))</f>
        <v>Yoko Toriyabe</v>
      </c>
      <c r="D260" s="19" t="str">
        <f>IF(ISBLANK(A260), "Email",IF(ISNA(VLOOKUP(A260,'Master List'!A:C,3,FALSE)), "Not Found", VLOOKUP(A260,'Master List'!A:C,3,FALSE)))</f>
        <v>toriyabe@sfsu.edu</v>
      </c>
      <c r="E260" s="19" t="s">
        <v>67</v>
      </c>
      <c r="F260" s="4" t="str">
        <f>IF(OR(A260="",E260="","",A260="?",E260="?"),"duplicate?",IF(COUNTIFS($A:A,A260,E:E,E260)&gt;1,"yes","no"))</f>
        <v>yes</v>
      </c>
      <c r="G260" s="92"/>
      <c r="H260" s="57">
        <v>45078</v>
      </c>
      <c r="I260" s="19" t="s">
        <v>70</v>
      </c>
      <c r="J260" s="107"/>
      <c r="K260" s="97" t="str">
        <f ca="1">IF(J260="","Date",IF(J260&lt;&gt;"",IF(K260="Date",NOW(),K260),""))</f>
        <v>Date</v>
      </c>
      <c r="L260" s="84"/>
    </row>
    <row r="261" spans="1:12">
      <c r="A261" s="19">
        <v>907556512</v>
      </c>
      <c r="B261" s="96">
        <v>44970</v>
      </c>
      <c r="C261" s="19" t="str">
        <f>IF(ISBLANK(A261),"Name",IF(ISNA(VLOOKUP(A261,'Master List'!A:C,2,FALSE)), "Not Found", VLOOKUP(A261,'Master List'!A:C,2,FALSE)))</f>
        <v>Kristen McGraw</v>
      </c>
      <c r="D261" s="19" t="str">
        <f>IF(ISBLANK(A261), "Email",IF(ISNA(VLOOKUP(A261,'Master List'!A:C,3,FALSE)), "Not Found", VLOOKUP(A261,'Master List'!A:C,3,FALSE)))</f>
        <v>kristen@sfsu.edu</v>
      </c>
      <c r="E261" s="19" t="s">
        <v>19</v>
      </c>
      <c r="F261" s="4" t="str">
        <f>IF(OR(A261="",E261="","",A261="?",E261="?"),"duplicate?",IF(COUNTIFS($A:A,A261,E:E,E261)&gt;1,"yes","no"))</f>
        <v>no</v>
      </c>
      <c r="G261" s="92"/>
      <c r="H261" s="57">
        <v>45078</v>
      </c>
      <c r="I261" s="19" t="s">
        <v>71</v>
      </c>
      <c r="J261" s="107"/>
      <c r="K261" s="97" t="str">
        <f ca="1">IF(J261="","Date",IF(J261&lt;&gt;"",IF(K261="Date",NOW(),K261),""))</f>
        <v>Date</v>
      </c>
      <c r="L261" s="84"/>
    </row>
    <row r="262" spans="1:12">
      <c r="A262" s="19">
        <v>900055148</v>
      </c>
      <c r="B262" s="96">
        <v>44970</v>
      </c>
      <c r="C262" s="19" t="str">
        <f>IF(ISBLANK(A262),"Name",IF(ISNA(VLOOKUP(A262,'Master List'!A:C,2,FALSE)), "Not Found", VLOOKUP(A262,'Master List'!A:C,2,FALSE)))</f>
        <v>Atina Delfino</v>
      </c>
      <c r="D262" s="19" t="str">
        <f>IF(ISBLANK(A262), "Email",IF(ISNA(VLOOKUP(A262,'Master List'!A:C,3,FALSE)), "Not Found", VLOOKUP(A262,'Master List'!A:C,3,FALSE)))</f>
        <v>atinas@sfsu.edu</v>
      </c>
      <c r="E262" s="19" t="s">
        <v>12</v>
      </c>
      <c r="F262" s="4" t="str">
        <f>IF(OR(A262="",E262="","",A262="?",E262="?"),"duplicate?",IF(COUNTIFS($A:A,A262,E:E,E262)&gt;1,"yes","no"))</f>
        <v>no</v>
      </c>
      <c r="G262" s="92"/>
      <c r="H262" s="57">
        <v>45078</v>
      </c>
      <c r="I262" s="19" t="s">
        <v>79</v>
      </c>
      <c r="J262" s="107"/>
      <c r="K262" s="97" t="str">
        <f ca="1">IF(J262="","Date",IF(J262&lt;&gt;"",IF(K262="Date",NOW(),K262),""))</f>
        <v>Date</v>
      </c>
      <c r="L262" s="84"/>
    </row>
    <row r="263" spans="1:12">
      <c r="A263" s="19">
        <v>918827291</v>
      </c>
      <c r="B263" s="96">
        <v>44970</v>
      </c>
      <c r="C263" s="19" t="str">
        <f>IF(ISBLANK(A263),"Name",IF(ISNA(VLOOKUP(A263,'Master List'!A:C,2,FALSE)), "Not Found", VLOOKUP(A263,'Master List'!A:C,2,FALSE)))</f>
        <v>Sara-Lee Jaffe</v>
      </c>
      <c r="D263" s="19" t="str">
        <f>IF(ISBLANK(A263), "Email",IF(ISNA(VLOOKUP(A263,'Master List'!A:C,3,FALSE)), "Not Found", VLOOKUP(A263,'Master List'!A:C,3,FALSE)))</f>
        <v>sarajaffe@sfsu.edu</v>
      </c>
      <c r="E263" s="19" t="s">
        <v>67</v>
      </c>
      <c r="F263" s="4" t="str">
        <f>IF(OR(A263="",E263="","",A263="?",E263="?"),"duplicate?",IF(COUNTIFS($A:A,A263,E:E,E263)&gt;1,"yes","no"))</f>
        <v>yes</v>
      </c>
      <c r="G263" s="92"/>
      <c r="H263" s="57">
        <v>45078</v>
      </c>
      <c r="I263" s="19" t="s">
        <v>54</v>
      </c>
      <c r="J263" s="107"/>
      <c r="K263" s="97" t="str">
        <f ca="1">IF(J263="","Date",IF(J263&lt;&gt;"",IF(K263="Date",NOW(),K263),""))</f>
        <v>Date</v>
      </c>
      <c r="L263" s="84"/>
    </row>
    <row r="264" spans="1:12">
      <c r="A264" s="19">
        <v>909156799</v>
      </c>
      <c r="B264" s="96">
        <v>44971</v>
      </c>
      <c r="C264" s="19" t="str">
        <f>IF(ISBLANK(A264),"Name",IF(ISNA(VLOOKUP(A264,'Master List'!A:C,2,FALSE)), "Not Found", VLOOKUP(A264,'Master List'!A:C,2,FALSE)))</f>
        <v>Clare Sears</v>
      </c>
      <c r="D264" s="19" t="str">
        <f>IF(ISBLANK(A264), "Email",IF(ISNA(VLOOKUP(A264,'Master List'!A:C,3,FALSE)), "Not Found", VLOOKUP(A264,'Master List'!A:C,3,FALSE)))</f>
        <v>clares@sfsu.edu</v>
      </c>
      <c r="E264" s="19" t="s">
        <v>19</v>
      </c>
      <c r="F264" s="4" t="str">
        <f>IF(OR(A264="",E264="","",A264="?",E264="?"),"duplicate?",IF(COUNTIFS($A:A,A264,E:E,E264)&gt;1,"yes","no"))</f>
        <v>no</v>
      </c>
      <c r="G264" s="92"/>
      <c r="H264" s="57">
        <v>45078</v>
      </c>
      <c r="I264" s="19"/>
      <c r="J264" s="107"/>
      <c r="K264" s="97" t="str">
        <f ca="1">IF(J264="","Date",IF(J264&lt;&gt;"",IF(K264="Date",NOW(),K264),""))</f>
        <v>Date</v>
      </c>
      <c r="L264" s="84"/>
    </row>
    <row r="265" spans="1:12">
      <c r="A265" s="59">
        <v>900049597</v>
      </c>
      <c r="B265" s="96">
        <v>44971</v>
      </c>
      <c r="C265" s="19" t="str">
        <f>IF(ISBLANK(A265),"Name",IF(ISNA(VLOOKUP(A265,'Master List'!A:C,2,FALSE)), "Not Found", VLOOKUP(A265,'Master List'!A:C,2,FALSE)))</f>
        <v>Burcu Ellis</v>
      </c>
      <c r="D265" s="19" t="str">
        <f>IF(ISBLANK(A265), "Email",IF(ISNA(VLOOKUP(A265,'Master List'!A:C,3,FALSE)), "Not Found", VLOOKUP(A265,'Master List'!A:C,3,FALSE)))</f>
        <v>bellis@sfsu.edu</v>
      </c>
      <c r="E265" s="19" t="s">
        <v>30</v>
      </c>
      <c r="F265" s="4" t="str">
        <f>IF(OR(A265="",E265="","",A265="?",E265="?"),"duplicate?",IF(COUNTIFS($A:A,A265,E:E,E265)&gt;1,"yes","no"))</f>
        <v>yes</v>
      </c>
      <c r="G265" s="92"/>
      <c r="H265" s="57">
        <v>45078</v>
      </c>
      <c r="I265" s="19" t="s">
        <v>77</v>
      </c>
      <c r="J265" s="107"/>
      <c r="K265" s="97" t="str">
        <f ca="1">IF(J265="","Date",IF(J265&lt;&gt;"",IF(K265="Date",NOW(),K265),""))</f>
        <v>Date</v>
      </c>
      <c r="L265" s="84"/>
    </row>
    <row r="266" spans="1:12">
      <c r="A266" s="59">
        <v>900049597</v>
      </c>
      <c r="B266" s="96">
        <v>44971</v>
      </c>
      <c r="C266" s="19" t="str">
        <f>IF(ISBLANK(A266),"Name",IF(ISNA(VLOOKUP(A266,'Master List'!A:C,2,FALSE)), "Not Found", VLOOKUP(A266,'Master List'!A:C,2,FALSE)))</f>
        <v>Burcu Ellis</v>
      </c>
      <c r="D266" s="19" t="str">
        <f>IF(ISBLANK(A266), "Email",IF(ISNA(VLOOKUP(A266,'Master List'!A:C,3,FALSE)), "Not Found", VLOOKUP(A266,'Master List'!A:C,3,FALSE)))</f>
        <v>bellis@sfsu.edu</v>
      </c>
      <c r="E266" s="19" t="s">
        <v>30</v>
      </c>
      <c r="F266" s="4" t="str">
        <f>IF(OR(A266="",E266="","",A266="?",E266="?"),"duplicate?",IF(COUNTIFS($A:A,A266,E:E,E266)&gt;1,"yes","no"))</f>
        <v>yes</v>
      </c>
      <c r="G266" s="92"/>
      <c r="H266" s="57">
        <v>45078</v>
      </c>
      <c r="I266" s="19" t="s">
        <v>77</v>
      </c>
      <c r="J266" s="107"/>
      <c r="K266" s="97" t="str">
        <f ca="1">IF(J266="","Date",IF(J266&lt;&gt;"",IF(K266="Date",NOW(),K266),""))</f>
        <v>Date</v>
      </c>
      <c r="L266" s="84"/>
    </row>
    <row r="267" spans="1:12">
      <c r="A267" s="19">
        <v>918847818</v>
      </c>
      <c r="B267" s="96">
        <v>44972</v>
      </c>
      <c r="C267" s="19" t="str">
        <f>IF(ISBLANK(A267),"Name",IF(ISNA(VLOOKUP(A267,'Master List'!A:C,2,FALSE)), "Not Found", VLOOKUP(A267,'Master List'!A:C,2,FALSE)))</f>
        <v>Taleb, Ben Taleb</v>
      </c>
      <c r="D267" s="19" t="str">
        <f>IF(ISBLANK(A267), "Email",IF(ISNA(VLOOKUP(A267,'Master List'!A:C,3,FALSE)), "Not Found", VLOOKUP(A267,'Master List'!A:C,3,FALSE)))</f>
        <v>bbentaleb@sfsu.edu</v>
      </c>
      <c r="E267" s="19" t="s">
        <v>19</v>
      </c>
      <c r="F267" s="4" t="str">
        <f>IF(OR(A267="",E267="","",A267="?",E267="?"),"duplicate?",IF(COUNTIFS($A:A,A267,E:E,E267)&gt;1,"yes","no"))</f>
        <v>yes</v>
      </c>
      <c r="G267" s="92"/>
      <c r="H267" s="57">
        <v>45078</v>
      </c>
      <c r="I267" s="19" t="s">
        <v>59</v>
      </c>
      <c r="J267" s="107"/>
      <c r="K267" s="97" t="str">
        <f ca="1">IF(J267="","Date",IF(J267&lt;&gt;"",IF(K267="Date",NOW(),K267),""))</f>
        <v>Date</v>
      </c>
      <c r="L267" s="84" t="s">
        <v>80</v>
      </c>
    </row>
    <row r="268" spans="1:12">
      <c r="A268" s="19">
        <v>918847818</v>
      </c>
      <c r="B268" s="96">
        <v>44972</v>
      </c>
      <c r="C268" s="19" t="str">
        <f>IF(ISBLANK(A268),"Name",IF(ISNA(VLOOKUP(A268,'Master List'!A:C,2,FALSE)), "Not Found", VLOOKUP(A268,'Master List'!A:C,2,FALSE)))</f>
        <v>Taleb, Ben Taleb</v>
      </c>
      <c r="D268" s="19" t="str">
        <f>IF(ISBLANK(A268), "Email",IF(ISNA(VLOOKUP(A268,'Master List'!A:C,3,FALSE)), "Not Found", VLOOKUP(A268,'Master List'!A:C,3,FALSE)))</f>
        <v>bbentaleb@sfsu.edu</v>
      </c>
      <c r="E268" s="19" t="s">
        <v>76</v>
      </c>
      <c r="F268" s="4" t="str">
        <f>IF(OR(A268="",E268="","",A268="?",E268="?"),"duplicate?",IF(COUNTIFS($A:A,A268,E:E,E268)&gt;1,"yes","no"))</f>
        <v>no</v>
      </c>
      <c r="G268" s="92"/>
      <c r="H268" s="57">
        <v>45078</v>
      </c>
      <c r="I268" s="19" t="s">
        <v>59</v>
      </c>
      <c r="J268" s="107"/>
      <c r="K268" s="97" t="str">
        <f ca="1">IF(J268="","Date",IF(J268&lt;&gt;"",IF(K268="Date",NOW(),K268),""))</f>
        <v>Date</v>
      </c>
      <c r="L268" s="84"/>
    </row>
    <row r="269" spans="1:12">
      <c r="A269" s="19">
        <v>920702702</v>
      </c>
      <c r="B269" s="96">
        <v>44972</v>
      </c>
      <c r="C269" s="19" t="str">
        <f>IF(ISBLANK(A269),"Name",IF(ISNA(VLOOKUP(A269,'Master List'!A:C,2,FALSE)), "Not Found", VLOOKUP(A269,'Master List'!A:C,2,FALSE)))</f>
        <v>Rory Fearon</v>
      </c>
      <c r="D269" s="19" t="str">
        <f>IF(ISBLANK(A269), "Email",IF(ISNA(VLOOKUP(A269,'Master List'!A:C,3,FALSE)), "Not Found", VLOOKUP(A269,'Master List'!A:C,3,FALSE)))</f>
        <v>rfearon@sfsu.edu</v>
      </c>
      <c r="E269" s="19" t="s">
        <v>25</v>
      </c>
      <c r="F269" s="4" t="str">
        <f>IF(OR(A269="",E269="","",A269="?",E269="?"),"duplicate?",IF(COUNTIFS($A:A,A269,E:E,E269)&gt;1,"yes","no"))</f>
        <v>no</v>
      </c>
      <c r="G269" s="92"/>
      <c r="H269" s="57">
        <v>45078</v>
      </c>
      <c r="I269" s="19" t="s">
        <v>54</v>
      </c>
      <c r="J269" s="107"/>
      <c r="K269" s="97" t="str">
        <f ca="1">IF(J269="","Date",IF(J269&lt;&gt;"",IF(K269="Date",NOW(),K269),""))</f>
        <v>Date</v>
      </c>
      <c r="L269" s="84" t="s">
        <v>81</v>
      </c>
    </row>
    <row r="270" spans="1:12">
      <c r="A270" s="19">
        <v>916472744</v>
      </c>
      <c r="B270" s="96">
        <v>44972</v>
      </c>
      <c r="C270" s="19" t="str">
        <f>IF(ISBLANK(A270),"Name",IF(ISNA(VLOOKUP(A270,'Master List'!A:C,2,FALSE)), "Not Found", VLOOKUP(A270,'Master List'!A:C,2,FALSE)))</f>
        <v>James Gilligan</v>
      </c>
      <c r="D270" s="19" t="str">
        <f>IF(ISBLANK(A270), "Email",IF(ISNA(VLOOKUP(A270,'Master List'!A:C,3,FALSE)), "Not Found", VLOOKUP(A270,'Master List'!A:C,3,FALSE)))</f>
        <v>jimrgill@sfsu.edu</v>
      </c>
      <c r="E270" s="19" t="s">
        <v>36</v>
      </c>
      <c r="F270" s="4" t="str">
        <f>IF(OR(A270="",E270="","",A270="?",E270="?"),"duplicate?",IF(COUNTIFS($A:A,A270,E:E,E270)&gt;1,"yes","no"))</f>
        <v>no</v>
      </c>
      <c r="G270" s="92"/>
      <c r="H270" s="57">
        <v>45078</v>
      </c>
      <c r="I270" s="19" t="s">
        <v>54</v>
      </c>
      <c r="J270" s="107"/>
      <c r="K270" s="97" t="str">
        <f ca="1">IF(J270="","Date",IF(J270&lt;&gt;"",IF(K270="Date",NOW(),K270),""))</f>
        <v>Date</v>
      </c>
      <c r="L270" s="84" t="s">
        <v>82</v>
      </c>
    </row>
    <row r="271" spans="1:12">
      <c r="A271" s="19">
        <v>917242331</v>
      </c>
      <c r="B271" s="96">
        <v>44972</v>
      </c>
      <c r="C271" s="19" t="str">
        <f>IF(ISBLANK(A271),"Name",IF(ISNA(VLOOKUP(A271,'Master List'!A:C,2,FALSE)), "Not Found", VLOOKUP(A271,'Master List'!A:C,2,FALSE)))</f>
        <v>Ilana Crispi</v>
      </c>
      <c r="D271" s="19" t="str">
        <f>IF(ISBLANK(A271), "Email",IF(ISNA(VLOOKUP(A271,'Master List'!A:C,3,FALSE)), "Not Found", VLOOKUP(A271,'Master List'!A:C,3,FALSE)))</f>
        <v>icrispi@sfsu.edu</v>
      </c>
      <c r="E271" s="19" t="s">
        <v>83</v>
      </c>
      <c r="F271" s="4" t="str">
        <f>IF(OR(A271="",E271="","",A271="?",E271="?"),"duplicate?",IF(COUNTIFS($A:A,A271,E:E,E271)&gt;1,"yes","no"))</f>
        <v>no</v>
      </c>
      <c r="G271" s="92"/>
      <c r="H271" s="57">
        <v>44979</v>
      </c>
      <c r="I271" s="19" t="s">
        <v>56</v>
      </c>
      <c r="J271" s="107"/>
      <c r="K271" s="97" t="str">
        <f ca="1">IF(J271="","Date",IF(J271&lt;&gt;"",IF(K271="Date",NOW(),K271),""))</f>
        <v>Date</v>
      </c>
      <c r="L271" s="84"/>
    </row>
    <row r="272" spans="1:12">
      <c r="A272" s="19">
        <v>916448980</v>
      </c>
      <c r="B272" s="96">
        <v>44972</v>
      </c>
      <c r="C272" s="19" t="str">
        <f>IF(ISBLANK(A272),"Name",IF(ISNA(VLOOKUP(A272,'Master List'!A:C,2,FALSE)), "Not Found", VLOOKUP(A272,'Master List'!A:C,2,FALSE)))</f>
        <v>R. David Rebanal</v>
      </c>
      <c r="D272" s="19" t="str">
        <f>IF(ISBLANK(A272), "Email",IF(ISNA(VLOOKUP(A272,'Master List'!A:C,3,FALSE)), "Not Found", VLOOKUP(A272,'Master List'!A:C,3,FALSE)))</f>
        <v>drebanal@sfsu.edu</v>
      </c>
      <c r="E272" s="19" t="s">
        <v>76</v>
      </c>
      <c r="F272" s="4" t="str">
        <f>IF(OR(A272="",E272="","",A272="?",E272="?"),"duplicate?",IF(COUNTIFS($A:A,A272,E:E,E272)&gt;1,"yes","no"))</f>
        <v>no</v>
      </c>
      <c r="G272" s="92"/>
      <c r="H272" s="57">
        <v>45078</v>
      </c>
      <c r="I272" s="19" t="s">
        <v>54</v>
      </c>
      <c r="J272" s="107"/>
      <c r="K272" s="97" t="str">
        <f ca="1">IF(J272="","Date",IF(J272&lt;&gt;"",IF(K272="Date",NOW(),K272),""))</f>
        <v>Date</v>
      </c>
      <c r="L272" s="84"/>
    </row>
    <row r="273" spans="1:12">
      <c r="A273" s="19">
        <v>900028329</v>
      </c>
      <c r="B273" s="96">
        <v>44972</v>
      </c>
      <c r="C273" s="19" t="str">
        <f>IF(ISBLANK(A273),"Name",IF(ISNA(VLOOKUP(A273,'Master List'!A:C,2,FALSE)), "Not Found", VLOOKUP(A273,'Master List'!A:C,2,FALSE)))</f>
        <v>Sheldon Gen</v>
      </c>
      <c r="D273" s="19" t="str">
        <f>IF(ISBLANK(A273), "Email",IF(ISNA(VLOOKUP(A273,'Master List'!A:C,3,FALSE)), "Not Found", VLOOKUP(A273,'Master List'!A:C,3,FALSE)))</f>
        <v>sgen@sfsu.edu</v>
      </c>
      <c r="E273" s="19" t="s">
        <v>30</v>
      </c>
      <c r="F273" s="4" t="str">
        <f>IF(OR(A273="",E273="","",A273="?",E273="?"),"duplicate?",IF(COUNTIFS($A:A,A273,E:E,E273)&gt;1,"yes","no"))</f>
        <v>no</v>
      </c>
      <c r="G273" s="92"/>
      <c r="H273" s="57">
        <v>45078</v>
      </c>
      <c r="I273" s="19" t="s">
        <v>54</v>
      </c>
      <c r="J273" s="107"/>
      <c r="K273" s="97" t="str">
        <f ca="1">IF(J273="","Date",IF(J273&lt;&gt;"",IF(K273="Date",NOW(),K273),""))</f>
        <v>Date</v>
      </c>
      <c r="L273" s="84" t="s">
        <v>82</v>
      </c>
    </row>
    <row r="274" spans="1:12">
      <c r="A274" s="19">
        <v>918839394</v>
      </c>
      <c r="B274" s="96">
        <v>44972</v>
      </c>
      <c r="C274" s="19" t="str">
        <f>IF(ISBLANK(A274),"Name",IF(ISNA(VLOOKUP(A274,'Master List'!A:C,2,FALSE)), "Not Found", VLOOKUP(A274,'Master List'!A:C,2,FALSE)))</f>
        <v>Leora Kava</v>
      </c>
      <c r="D274" s="19" t="str">
        <f>IF(ISBLANK(A274), "Email",IF(ISNA(VLOOKUP(A274,'Master List'!A:C,3,FALSE)), "Not Found", VLOOKUP(A274,'Master List'!A:C,3,FALSE)))</f>
        <v>lkava@sfsu.edu</v>
      </c>
      <c r="E274" s="19" t="s">
        <v>27</v>
      </c>
      <c r="F274" s="4" t="str">
        <f>IF(OR(A274="",E274="","",A274="?",E274="?"),"duplicate?",IF(COUNTIFS($A:A,A274,E:E,E274)&gt;1,"yes","no"))</f>
        <v>no</v>
      </c>
      <c r="G274" s="92"/>
      <c r="H274" s="57">
        <v>45078</v>
      </c>
      <c r="I274" s="19" t="s">
        <v>52</v>
      </c>
      <c r="J274" s="107"/>
      <c r="K274" s="97" t="str">
        <f ca="1">IF(J274="","Date",IF(J274&lt;&gt;"",IF(K274="Date",NOW(),K274),""))</f>
        <v>Date</v>
      </c>
      <c r="L274" s="84"/>
    </row>
    <row r="275" spans="1:12">
      <c r="A275" s="19">
        <v>908504810</v>
      </c>
      <c r="B275" s="96">
        <v>44973</v>
      </c>
      <c r="C275" s="19" t="str">
        <f>IF(ISBLANK(A275),"Name",IF(ISNA(VLOOKUP(A275,'Master List'!A:C,2,FALSE)), "Not Found", VLOOKUP(A275,'Master List'!A:C,2,FALSE)))</f>
        <v>Julie Chronister</v>
      </c>
      <c r="D275" s="19" t="str">
        <f>IF(ISBLANK(A275), "Email",IF(ISNA(VLOOKUP(A275,'Master List'!A:C,3,FALSE)), "Not Found", VLOOKUP(A275,'Master List'!A:C,3,FALSE)))</f>
        <v>jchronis@sfsu.edu</v>
      </c>
      <c r="E275" s="19" t="s">
        <v>19</v>
      </c>
      <c r="F275" s="4" t="str">
        <f>IF(OR(A275="",E275="","",A275="?",E275="?"),"duplicate?",IF(COUNTIFS($A:A,A275,E:E,E275)&gt;1,"yes","no"))</f>
        <v>no</v>
      </c>
      <c r="G275" s="92"/>
      <c r="H275" s="57">
        <v>45078</v>
      </c>
      <c r="I275" s="19" t="s">
        <v>59</v>
      </c>
      <c r="J275" s="107"/>
      <c r="K275" s="97" t="str">
        <f ca="1">IF(J275="","Date",IF(J275&lt;&gt;"",IF(K275="Date",NOW(),K275),""))</f>
        <v>Date</v>
      </c>
      <c r="L275" s="84"/>
    </row>
    <row r="276" spans="1:12">
      <c r="A276" s="19">
        <v>906993196</v>
      </c>
      <c r="B276" s="96">
        <v>44973</v>
      </c>
      <c r="C276" s="19" t="str">
        <f>IF(ISBLANK(A276),"Name",IF(ISNA(VLOOKUP(A276,'Master List'!A:C,2,FALSE)), "Not Found", VLOOKUP(A276,'Master List'!A:C,2,FALSE)))</f>
        <v>Kenneth Paap</v>
      </c>
      <c r="D276" s="19" t="str">
        <f>IF(ISBLANK(A276), "Email",IF(ISNA(VLOOKUP(A276,'Master List'!A:C,3,FALSE)), "Not Found", VLOOKUP(A276,'Master List'!A:C,3,FALSE)))</f>
        <v>kenp@sfsu.edu</v>
      </c>
      <c r="E276" s="19" t="s">
        <v>19</v>
      </c>
      <c r="F276" s="4" t="str">
        <f>IF(OR(A276="",E276="","",A276="?",E276="?"),"duplicate?",IF(COUNTIFS($A:A,A276,E:E,E276)&gt;1,"yes","no"))</f>
        <v>no</v>
      </c>
      <c r="G276" s="92"/>
      <c r="H276" s="57">
        <v>45078</v>
      </c>
      <c r="I276" s="19" t="s">
        <v>52</v>
      </c>
      <c r="J276" s="107"/>
      <c r="K276" s="97" t="str">
        <f ca="1">IF(J276="","Date",IF(J276&lt;&gt;"",IF(K276="Date",NOW(),K276),""))</f>
        <v>Date</v>
      </c>
      <c r="L276" s="84"/>
    </row>
    <row r="277" spans="1:12">
      <c r="A277" s="19">
        <v>918851276</v>
      </c>
      <c r="B277" s="96">
        <v>44973</v>
      </c>
      <c r="C277" s="19" t="str">
        <f>IF(ISBLANK(A277),"Name",IF(ISNA(VLOOKUP(A277,'Master List'!A:C,2,FALSE)), "Not Found", VLOOKUP(A277,'Master List'!A:C,2,FALSE)))</f>
        <v>Vasquez, Diaz Vasquez</v>
      </c>
      <c r="D277" s="19" t="str">
        <f>IF(ISBLANK(A277), "Email",IF(ISNA(VLOOKUP(A277,'Master List'!A:C,3,FALSE)), "Not Found", VLOOKUP(A277,'Master List'!A:C,3,FALSE)))</f>
        <v>jrubendv@sfsu.edu</v>
      </c>
      <c r="E277" s="19" t="s">
        <v>19</v>
      </c>
      <c r="F277" s="4" t="str">
        <f>IF(OR(A277="",E277="","",A277="?",E277="?"),"duplicate?",IF(COUNTIFS($A:A,A277,E:E,E277)&gt;1,"yes","no"))</f>
        <v>no</v>
      </c>
      <c r="G277" s="92"/>
      <c r="H277" s="57">
        <v>45078</v>
      </c>
      <c r="I277" s="19" t="s">
        <v>60</v>
      </c>
      <c r="J277" s="107"/>
      <c r="K277" s="97" t="str">
        <f ca="1">IF(J277="","Date",IF(J277&lt;&gt;"",IF(K277="Date",NOW(),K277),""))</f>
        <v>Date</v>
      </c>
      <c r="L277" s="84"/>
    </row>
    <row r="278" spans="1:12">
      <c r="A278" s="19" t="s">
        <v>84</v>
      </c>
      <c r="B278" s="96">
        <v>44974</v>
      </c>
      <c r="C278" s="19" t="str">
        <f>IF(ISBLANK(A278),"Name",IF(ISNA(VLOOKUP(A278,'Master List'!A:C,2,FALSE)), "Not Found", VLOOKUP(A278,'Master List'!A:C,2,FALSE)))</f>
        <v>Elizabeth Hallford</v>
      </c>
      <c r="D278" s="19" t="str">
        <f>IF(ISBLANK(A278), "Email",IF(ISNA(VLOOKUP(A278,'Master List'!A:C,3,FALSE)), "Not Found", VLOOKUP(A278,'Master List'!A:C,3,FALSE)))</f>
        <v>betsey8050@me.com</v>
      </c>
      <c r="E278" s="19" t="s">
        <v>25</v>
      </c>
      <c r="F278" s="4" t="str">
        <f>IF(OR(A278="",E278="","",A278="?",E278="?"),"duplicate?",IF(COUNTIFS($A:A,A278,E:E,E278)&gt;1,"yes","no"))</f>
        <v>no</v>
      </c>
      <c r="G278" s="92"/>
      <c r="H278" s="57">
        <v>44974</v>
      </c>
      <c r="I278" s="19"/>
      <c r="J278" s="107"/>
      <c r="K278" s="97" t="str">
        <f ca="1">IF(J278="","Date",IF(J278&lt;&gt;"",IF(K278="Date",NOW(),K278),""))</f>
        <v>Date</v>
      </c>
      <c r="L278" s="84"/>
    </row>
    <row r="279" spans="1:12">
      <c r="A279" s="19">
        <v>902771381</v>
      </c>
      <c r="B279" s="96">
        <v>44977</v>
      </c>
      <c r="C279" s="19" t="str">
        <f>IF(ISBLANK(A279),"Name",IF(ISNA(VLOOKUP(A279,'Master List'!A:C,2,FALSE)), "Not Found", VLOOKUP(A279,'Master List'!A:C,2,FALSE)))</f>
        <v>Erika Dyquisto</v>
      </c>
      <c r="D279" s="19" t="str">
        <f>IF(ISBLANK(A279), "Email",IF(ISNA(VLOOKUP(A279,'Master List'!A:C,3,FALSE)), "Not Found", VLOOKUP(A279,'Master List'!A:C,3,FALSE)))</f>
        <v>dyquisto@sfsu.edu</v>
      </c>
      <c r="E279" s="19" t="s">
        <v>36</v>
      </c>
      <c r="F279" s="4" t="str">
        <f>IF(OR(A279="",E279="","",A279="?",E279="?"),"duplicate?",IF(COUNTIFS($A:A,A279,E:E,E279)&gt;1,"yes","no"))</f>
        <v>no</v>
      </c>
      <c r="G279" s="92"/>
      <c r="H279" s="57">
        <v>45036</v>
      </c>
      <c r="I279" s="19" t="s">
        <v>54</v>
      </c>
      <c r="J279" s="107"/>
      <c r="K279" s="97" t="str">
        <f ca="1">IF(J279="","Date",IF(J279&lt;&gt;"",IF(K279="Date",NOW(),K279),""))</f>
        <v>Date</v>
      </c>
      <c r="L279" s="84"/>
    </row>
    <row r="280" spans="1:12">
      <c r="A280" s="19">
        <v>904940977</v>
      </c>
      <c r="B280" s="96">
        <v>44977</v>
      </c>
      <c r="C280" s="19" t="str">
        <f>IF(ISBLANK(A280),"Name",IF(ISNA(VLOOKUP(A280,'Master List'!A:C,2,FALSE)), "Not Found", VLOOKUP(A280,'Master List'!A:C,2,FALSE)))</f>
        <v>Lauren Sneed</v>
      </c>
      <c r="D280" s="19" t="str">
        <f>IF(ISBLANK(A280), "Email",IF(ISNA(VLOOKUP(A280,'Master List'!A:C,3,FALSE)), "Not Found", VLOOKUP(A280,'Master List'!A:C,3,FALSE)))</f>
        <v>laurensneed@sfsu.edu</v>
      </c>
      <c r="E280" s="19" t="s">
        <v>19</v>
      </c>
      <c r="F280" s="4" t="str">
        <f>IF(OR(A280="",E280="","",A280="?",E280="?"),"duplicate?",IF(COUNTIFS($A:A,A280,E:E,E280)&gt;1,"yes","no"))</f>
        <v>yes</v>
      </c>
      <c r="G280" s="92"/>
      <c r="H280" s="57">
        <v>45078</v>
      </c>
      <c r="I280" s="19" t="s">
        <v>54</v>
      </c>
      <c r="J280" s="107"/>
      <c r="K280" s="97" t="str">
        <f ca="1">IF(J280="","Date",IF(J280&lt;&gt;"",IF(K280="Date",NOW(),K280),""))</f>
        <v>Date</v>
      </c>
      <c r="L280" s="84"/>
    </row>
    <row r="281" spans="1:12">
      <c r="A281" s="19">
        <v>918847818</v>
      </c>
      <c r="B281" s="96">
        <v>44977</v>
      </c>
      <c r="C281" s="19" t="str">
        <f>IF(ISBLANK(A281),"Name",IF(ISNA(VLOOKUP(A281,'Master List'!A:C,2,FALSE)), "Not Found", VLOOKUP(A281,'Master List'!A:C,2,FALSE)))</f>
        <v>Taleb, Ben Taleb</v>
      </c>
      <c r="D281" s="19" t="str">
        <f>IF(ISBLANK(A281), "Email",IF(ISNA(VLOOKUP(A281,'Master List'!A:C,3,FALSE)), "Not Found", VLOOKUP(A281,'Master List'!A:C,3,FALSE)))</f>
        <v>bbentaleb@sfsu.edu</v>
      </c>
      <c r="E281" s="19" t="s">
        <v>19</v>
      </c>
      <c r="F281" s="4" t="str">
        <f>IF(OR(A281="",E281="","",A281="?",E281="?"),"duplicate?",IF(COUNTIFS($A:A,A281,E:E,E281)&gt;1,"yes","no"))</f>
        <v>yes</v>
      </c>
      <c r="G281" s="92"/>
      <c r="H281" s="57">
        <v>45078</v>
      </c>
      <c r="I281" s="19" t="s">
        <v>70</v>
      </c>
      <c r="J281" s="107"/>
      <c r="K281" s="97" t="str">
        <f ca="1">IF(J281="","Date",IF(J281&lt;&gt;"",IF(K281="Date",NOW(),K281),""))</f>
        <v>Date</v>
      </c>
      <c r="L281" s="84"/>
    </row>
    <row r="282" spans="1:12">
      <c r="A282" s="19">
        <v>912971740</v>
      </c>
      <c r="B282" s="96">
        <v>44977</v>
      </c>
      <c r="C282" s="19" t="str">
        <f>IF(ISBLANK(A282),"Name",IF(ISNA(VLOOKUP(A282,'Master List'!A:C,2,FALSE)), "Not Found", VLOOKUP(A282,'Master List'!A:C,2,FALSE)))</f>
        <v>Deborah Stein</v>
      </c>
      <c r="D282" s="19" t="str">
        <f>IF(ISBLANK(A282), "Email",IF(ISNA(VLOOKUP(A282,'Master List'!A:C,3,FALSE)), "Not Found", VLOOKUP(A282,'Master List'!A:C,3,FALSE)))</f>
        <v>deborahstein@sfsu.edu</v>
      </c>
      <c r="E282" s="19" t="s">
        <v>19</v>
      </c>
      <c r="F282" s="4" t="str">
        <f>IF(OR(A282="",E282="","",A282="?",E282="?"),"duplicate?",IF(COUNTIFS($A:A,A282,E:E,E282)&gt;1,"yes","no"))</f>
        <v>no</v>
      </c>
      <c r="G282" s="92"/>
      <c r="H282" s="57">
        <v>45078</v>
      </c>
      <c r="I282" s="19" t="s">
        <v>70</v>
      </c>
      <c r="J282" s="107"/>
      <c r="K282" s="97" t="str">
        <f ca="1">IF(J282="","Date",IF(J282&lt;&gt;"",IF(K282="Date",NOW(),K282),""))</f>
        <v>Date</v>
      </c>
      <c r="L282" s="84"/>
    </row>
    <row r="283" spans="1:12">
      <c r="A283" s="19">
        <v>900058281</v>
      </c>
      <c r="B283" s="96">
        <v>44978</v>
      </c>
      <c r="C283" s="19" t="str">
        <f>IF(ISBLANK(A283),"Name",IF(ISNA(VLOOKUP(A283,'Master List'!A:C,2,FALSE)), "Not Found", VLOOKUP(A283,'Master List'!A:C,2,FALSE)))</f>
        <v>Kevin Conner</v>
      </c>
      <c r="D283" s="19" t="str">
        <f>IF(ISBLANK(A283), "Email",IF(ISNA(VLOOKUP(A283,'Master List'!A:C,3,FALSE)), "Not Found", VLOOKUP(A283,'Master List'!A:C,3,FALSE)))</f>
        <v>kevin@sfsu.edu</v>
      </c>
      <c r="E283" s="19" t="s">
        <v>19</v>
      </c>
      <c r="F283" s="4" t="str">
        <f>IF(OR(A283="",E283="","",A283="?",E283="?"),"duplicate?",IF(COUNTIFS($A:A,A283,E:E,E283)&gt;1,"yes","no"))</f>
        <v>no</v>
      </c>
      <c r="G283" s="92"/>
      <c r="H283" s="57">
        <v>45078</v>
      </c>
      <c r="I283" s="19" t="s">
        <v>71</v>
      </c>
      <c r="J283" s="107"/>
      <c r="K283" s="97" t="str">
        <f ca="1">IF(J283="","Date",IF(J283&lt;&gt;"",IF(K283="Date",NOW(),K283),""))</f>
        <v>Date</v>
      </c>
      <c r="L283" s="84" t="s">
        <v>85</v>
      </c>
    </row>
    <row r="284" spans="1:12">
      <c r="A284" s="19">
        <v>900014523</v>
      </c>
      <c r="B284" s="96">
        <v>44979</v>
      </c>
      <c r="C284" s="19" t="str">
        <f>IF(ISBLANK(A284),"Name",IF(ISNA(VLOOKUP(A284,'Master List'!A:C,2,FALSE)), "Not Found", VLOOKUP(A284,'Master List'!A:C,2,FALSE)))</f>
        <v>Paul Beckman</v>
      </c>
      <c r="D284" s="19" t="str">
        <f>IF(ISBLANK(A284), "Email",IF(ISNA(VLOOKUP(A284,'Master List'!A:C,3,FALSE)), "Not Found", VLOOKUP(A284,'Master List'!A:C,3,FALSE)))</f>
        <v>pbeckman@sfsu.edu</v>
      </c>
      <c r="E284" s="19" t="s">
        <v>19</v>
      </c>
      <c r="F284" s="4" t="str">
        <f>IF(OR(A284="",E284="","",A284="?",E284="?"),"duplicate?",IF(COUNTIFS($A:A,A284,E:E,E284)&gt;1,"yes","no"))</f>
        <v>no</v>
      </c>
      <c r="G284" s="92"/>
      <c r="H284" s="57">
        <v>44992</v>
      </c>
      <c r="I284" s="19" t="s">
        <v>73</v>
      </c>
      <c r="J284" s="107"/>
      <c r="K284" s="97" t="str">
        <f ca="1">IF(J284="","Date",IF(J284&lt;&gt;"",IF(K284="Date",NOW(),K284),""))</f>
        <v>Date</v>
      </c>
      <c r="L284" s="84"/>
    </row>
    <row r="285" spans="1:12">
      <c r="A285" s="19">
        <v>904129413</v>
      </c>
      <c r="B285" s="96">
        <v>44979</v>
      </c>
      <c r="C285" s="19" t="str">
        <f>IF(ISBLANK(A285),"Name",IF(ISNA(VLOOKUP(A285,'Master List'!A:C,2,FALSE)), "Not Found", VLOOKUP(A285,'Master List'!A:C,2,FALSE)))</f>
        <v>Gloria Moran</v>
      </c>
      <c r="D285" s="19" t="str">
        <f>IF(ISBLANK(A285), "Email",IF(ISNA(VLOOKUP(A285,'Master List'!A:C,3,FALSE)), "Not Found", VLOOKUP(A285,'Master List'!A:C,3,FALSE)))</f>
        <v>gmgmoran@sfsu.edu</v>
      </c>
      <c r="E285" s="19" t="s">
        <v>19</v>
      </c>
      <c r="F285" s="4" t="str">
        <f>IF(OR(A285="",E285="","",A285="?",E285="?"),"duplicate?",IF(COUNTIFS($A:A,A285,E:E,E285)&gt;1,"yes","no"))</f>
        <v>no</v>
      </c>
      <c r="G285" s="92"/>
      <c r="H285" s="57">
        <v>45078</v>
      </c>
      <c r="I285" s="19" t="s">
        <v>72</v>
      </c>
      <c r="J285" s="107"/>
      <c r="K285" s="97" t="str">
        <f ca="1">IF(J285="","Date",IF(J285&lt;&gt;"",IF(K285="Date",NOW(),K285),""))</f>
        <v>Date</v>
      </c>
      <c r="L285" s="84"/>
    </row>
    <row r="286" spans="1:12">
      <c r="A286" s="19">
        <v>918833115</v>
      </c>
      <c r="B286" s="96">
        <v>44980</v>
      </c>
      <c r="C286" s="19" t="str">
        <f>IF(ISBLANK(A286),"Name",IF(ISNA(VLOOKUP(A286,'Master List'!A:C,2,FALSE)), "Not Found", VLOOKUP(A286,'Master List'!A:C,2,FALSE)))</f>
        <v>Rowena Robles</v>
      </c>
      <c r="D286" s="19" t="str">
        <f>IF(ISBLANK(A286), "Email",IF(ISNA(VLOOKUP(A286,'Master List'!A:C,3,FALSE)), "Not Found", VLOOKUP(A286,'Master List'!A:C,3,FALSE)))</f>
        <v>rrobles3@sfsu.edu</v>
      </c>
      <c r="E286" s="19" t="s">
        <v>19</v>
      </c>
      <c r="F286" s="4" t="str">
        <f>IF(OR(A286="",E286="","",A286="?",E286="?"),"duplicate?",IF(COUNTIFS($A:A,A286,E:E,E286)&gt;1,"yes","no"))</f>
        <v>yes</v>
      </c>
      <c r="G286" s="92"/>
      <c r="H286" s="57">
        <v>44980</v>
      </c>
      <c r="I286" s="19" t="s">
        <v>59</v>
      </c>
      <c r="J286" s="107"/>
      <c r="K286" s="97" t="str">
        <f ca="1">IF(J286="","Date",IF(J286&lt;&gt;"",IF(K286="Date",NOW(),K286),""))</f>
        <v>Date</v>
      </c>
      <c r="L286" s="84" t="s">
        <v>86</v>
      </c>
    </row>
    <row r="287" spans="1:12">
      <c r="A287" s="19">
        <v>921873560</v>
      </c>
      <c r="B287" s="96">
        <v>44980</v>
      </c>
      <c r="C287" s="19" t="str">
        <f>IF(ISBLANK(A287),"Name",IF(ISNA(VLOOKUP(A287,'Master List'!A:C,2,FALSE)), "Not Found", VLOOKUP(A287,'Master List'!A:C,2,FALSE)))</f>
        <v>Luis Ybarra</v>
      </c>
      <c r="D287" s="19" t="str">
        <f>IF(ISBLANK(A287), "Email",IF(ISNA(VLOOKUP(A287,'Master List'!A:C,3,FALSE)), "Not Found", VLOOKUP(A287,'Master List'!A:C,3,FALSE)))</f>
        <v>lybarra@mail.sfsu.edu</v>
      </c>
      <c r="E287" s="19" t="s">
        <v>19</v>
      </c>
      <c r="F287" s="4" t="str">
        <f>IF(OR(A287="",E287="","",A287="?",E287="?"),"duplicate?",IF(COUNTIFS($A:A,A287,E:E,E287)&gt;1,"yes","no"))</f>
        <v>yes</v>
      </c>
      <c r="G287" s="92"/>
      <c r="H287" s="57">
        <v>44980</v>
      </c>
      <c r="I287" s="19" t="s">
        <v>66</v>
      </c>
      <c r="J287" s="107"/>
      <c r="K287" s="97" t="str">
        <f ca="1">IF(J287="","Date",IF(J287&lt;&gt;"",IF(K287="Date",NOW(),K287),""))</f>
        <v>Date</v>
      </c>
      <c r="L287" s="84" t="s">
        <v>87</v>
      </c>
    </row>
    <row r="288" spans="1:12">
      <c r="A288" s="19">
        <v>913857911</v>
      </c>
      <c r="B288" s="96">
        <v>44980</v>
      </c>
      <c r="C288" s="19" t="str">
        <f>IF(ISBLANK(A288),"Name",IF(ISNA(VLOOKUP(A288,'Master List'!A:C,2,FALSE)), "Not Found", VLOOKUP(A288,'Master List'!A:C,2,FALSE)))</f>
        <v>Marc Stein</v>
      </c>
      <c r="D288" s="19" t="str">
        <f>IF(ISBLANK(A288), "Email",IF(ISNA(VLOOKUP(A288,'Master List'!A:C,3,FALSE)), "Not Found", VLOOKUP(A288,'Master List'!A:C,3,FALSE)))</f>
        <v>marcs@sfsu.edu</v>
      </c>
      <c r="E288" s="19" t="s">
        <v>36</v>
      </c>
      <c r="F288" s="4" t="str">
        <f>IF(OR(A288="",E288="","",A288="?",E288="?"),"duplicate?",IF(COUNTIFS($A:A,A288,E:E,E288)&gt;1,"yes","no"))</f>
        <v>no</v>
      </c>
      <c r="G288" s="92"/>
      <c r="H288" s="57">
        <v>45078</v>
      </c>
      <c r="I288" s="19" t="s">
        <v>66</v>
      </c>
      <c r="J288" s="107"/>
      <c r="K288" s="97" t="str">
        <f ca="1">IF(J288="","Date",IF(J288&lt;&gt;"",IF(K288="Date",NOW(),K288),""))</f>
        <v>Date</v>
      </c>
      <c r="L288" s="84"/>
    </row>
    <row r="289" spans="1:12">
      <c r="A289" s="19">
        <v>917242344</v>
      </c>
      <c r="B289" s="96">
        <v>44980</v>
      </c>
      <c r="C289" s="19" t="str">
        <f>IF(ISBLANK(A289),"Name",IF(ISNA(VLOOKUP(A289,'Master List'!A:C,2,FALSE)), "Not Found", VLOOKUP(A289,'Master List'!A:C,2,FALSE)))</f>
        <v>Rachel Gross</v>
      </c>
      <c r="D289" s="19" t="str">
        <f>IF(ISBLANK(A289), "Email",IF(ISNA(VLOOKUP(A289,'Master List'!A:C,3,FALSE)), "Not Found", VLOOKUP(A289,'Master List'!A:C,3,FALSE)))</f>
        <v>rbgross@sfsu.edu</v>
      </c>
      <c r="E289" s="19" t="s">
        <v>33</v>
      </c>
      <c r="F289" s="4" t="str">
        <f>IF(OR(A289="",E289="","",A289="?",E289="?"),"duplicate?",IF(COUNTIFS($A:A,A289,E:E,E289)&gt;1,"yes","no"))</f>
        <v>no</v>
      </c>
      <c r="G289" s="92"/>
      <c r="H289" s="57">
        <v>45078</v>
      </c>
      <c r="I289" s="19" t="s">
        <v>52</v>
      </c>
      <c r="J289" s="107"/>
      <c r="K289" s="97" t="str">
        <f ca="1">IF(J289="","Date",IF(J289&lt;&gt;"",IF(K289="Date",NOW(),K289),""))</f>
        <v>Date</v>
      </c>
      <c r="L289" s="84"/>
    </row>
    <row r="290" spans="1:12">
      <c r="A290" s="19">
        <v>907144412</v>
      </c>
      <c r="B290" s="96">
        <v>44980</v>
      </c>
      <c r="C290" s="19" t="str">
        <f>IF(ISBLANK(A290),"Name",IF(ISNA(VLOOKUP(A290,'Master List'!A:C,2,FALSE)), "Not Found", VLOOKUP(A290,'Master List'!A:C,2,FALSE)))</f>
        <v>George Turner</v>
      </c>
      <c r="D290" s="19" t="str">
        <f>IF(ISBLANK(A290), "Email",IF(ISNA(VLOOKUP(A290,'Master List'!A:C,3,FALSE)), "Not Found", VLOOKUP(A290,'Master List'!A:C,3,FALSE)))</f>
        <v>grt@sfsu.edu</v>
      </c>
      <c r="E290" s="19" t="s">
        <v>19</v>
      </c>
      <c r="F290" s="4" t="str">
        <f>IF(OR(A290="",E290="","",A290="?",E290="?"),"duplicate?",IF(COUNTIFS($A:A,A290,E:E,E290)&gt;1,"yes","no"))</f>
        <v>no</v>
      </c>
      <c r="G290" s="92"/>
      <c r="H290" s="57">
        <v>45078</v>
      </c>
      <c r="I290" s="19" t="s">
        <v>66</v>
      </c>
      <c r="J290" s="107"/>
      <c r="K290" s="97" t="str">
        <f ca="1">IF(J290="","Date",IF(J290&lt;&gt;"",IF(K290="Date",NOW(),K290),""))</f>
        <v>Date</v>
      </c>
      <c r="L290" s="84"/>
    </row>
    <row r="291" spans="1:12">
      <c r="A291" s="19">
        <v>900031202</v>
      </c>
      <c r="B291" s="96">
        <v>44984</v>
      </c>
      <c r="C291" s="19" t="str">
        <f>IF(ISBLANK(A291),"Name",IF(ISNA(VLOOKUP(A291,'Master List'!A:C,2,FALSE)), "Not Found", VLOOKUP(A291,'Master List'!A:C,2,FALSE)))</f>
        <v>Natalia Tkachov</v>
      </c>
      <c r="D291" s="19" t="str">
        <f>IF(ISBLANK(A291), "Email",IF(ISNA(VLOOKUP(A291,'Master List'!A:C,3,FALSE)), "Not Found", VLOOKUP(A291,'Master List'!A:C,3,FALSE)))</f>
        <v>ntkachov@sfsu.edu</v>
      </c>
      <c r="E291" s="19" t="s">
        <v>19</v>
      </c>
      <c r="F291" s="4" t="str">
        <f>IF(OR(A291="",E291="","",A291="?",E291="?"),"duplicate?",IF(COUNTIFS($A:A,A291,E:E,E291)&gt;1,"yes","no"))</f>
        <v>no</v>
      </c>
      <c r="G291" s="92"/>
      <c r="H291" s="57">
        <v>45078</v>
      </c>
      <c r="I291" s="19" t="s">
        <v>59</v>
      </c>
      <c r="J291" s="107"/>
      <c r="K291" s="97" t="str">
        <f ca="1">IF(J291="","Date",IF(J291&lt;&gt;"",IF(K291="Date",NOW(),K291),""))</f>
        <v>Date</v>
      </c>
      <c r="L291" s="84"/>
    </row>
    <row r="292" spans="1:12" ht="18.75" customHeight="1">
      <c r="A292" s="19">
        <v>918848273</v>
      </c>
      <c r="B292" s="96">
        <v>44984</v>
      </c>
      <c r="C292" s="19" t="str">
        <f>IF(ISBLANK(A292),"Name",IF(ISNA(VLOOKUP(A292,'Master List'!A:C,2,FALSE)), "Not Found", VLOOKUP(A292,'Master List'!A:C,2,FALSE)))</f>
        <v>Shuyi Liu</v>
      </c>
      <c r="D292" s="19" t="str">
        <f>IF(ISBLANK(A292), "Email",IF(ISNA(VLOOKUP(A292,'Master List'!A:C,3,FALSE)), "Not Found", VLOOKUP(A292,'Master List'!A:C,3,FALSE)))</f>
        <v>shuyil@sfsu.edu</v>
      </c>
      <c r="E292" s="19" t="s">
        <v>19</v>
      </c>
      <c r="F292" s="4" t="str">
        <f>IF(OR(A292="",E292="","",A292="?",E292="?"),"duplicate?",IF(COUNTIFS($A:A,A292,E:E,E292)&gt;1,"yes","no"))</f>
        <v>yes</v>
      </c>
      <c r="G292" s="92"/>
      <c r="H292" s="57">
        <v>45078</v>
      </c>
      <c r="I292" s="19" t="s">
        <v>59</v>
      </c>
      <c r="J292" s="107"/>
      <c r="K292" s="97" t="str">
        <f ca="1">IF(J292="","Date",IF(J292&lt;&gt;"",IF(K292="Date",NOW(),K292),""))</f>
        <v>Date</v>
      </c>
      <c r="L292" s="84"/>
    </row>
    <row r="293" spans="1:12">
      <c r="A293" s="19">
        <v>910275293</v>
      </c>
      <c r="B293" s="96">
        <v>44985</v>
      </c>
      <c r="C293" s="19" t="str">
        <f>IF(ISBLANK(A293),"Name",IF(ISNA(VLOOKUP(A293,'Master List'!A:C,2,FALSE)), "Not Found", VLOOKUP(A293,'Master List'!A:C,2,FALSE)))</f>
        <v>Ginger Mueller-Testerman</v>
      </c>
      <c r="D293" s="19" t="str">
        <f>IF(ISBLANK(A293), "Email",IF(ISNA(VLOOKUP(A293,'Master List'!A:C,3,FALSE)), "Not Found", VLOOKUP(A293,'Master List'!A:C,3,FALSE)))</f>
        <v>ginger@sfsu.edu</v>
      </c>
      <c r="E293" s="19" t="s">
        <v>19</v>
      </c>
      <c r="F293" s="4" t="str">
        <f>IF(OR(A293="",E293="","",A293="?",E293="?"),"duplicate?",IF(COUNTIFS($A:A,A293,E:E,E293)&gt;1,"yes","no"))</f>
        <v>no</v>
      </c>
      <c r="G293" s="92"/>
      <c r="H293" s="57">
        <v>45078</v>
      </c>
      <c r="I293" s="19" t="s">
        <v>66</v>
      </c>
      <c r="J293" s="107"/>
      <c r="K293" s="97" t="str">
        <f ca="1">IF(J293="","Date",IF(J293&lt;&gt;"",IF(K293="Date",NOW(),K293),""))</f>
        <v>Date</v>
      </c>
      <c r="L293" s="84"/>
    </row>
    <row r="294" spans="1:12">
      <c r="A294" s="62">
        <v>900388260</v>
      </c>
      <c r="B294" s="96">
        <v>44986</v>
      </c>
      <c r="C294" s="19" t="str">
        <f>IF(ISBLANK(A294),"Name",IF(ISNA(VLOOKUP(A294,'Master List'!A:C,2,FALSE)), "Not Found", VLOOKUP(A294,'Master List'!A:C,2,FALSE)))</f>
        <v>Susan Englander</v>
      </c>
      <c r="D294" s="19" t="str">
        <f>IF(ISBLANK(A294), "Email",IF(ISNA(VLOOKUP(A294,'Master List'!A:C,3,FALSE)), "Not Found", VLOOKUP(A294,'Master List'!A:C,3,FALSE)))</f>
        <v>englande@sfsu.edu</v>
      </c>
      <c r="E294" s="19" t="s">
        <v>36</v>
      </c>
      <c r="F294" s="4" t="str">
        <f>IF(OR(A294="",E294="","",A294="?",E294="?"),"duplicate?",IF(COUNTIFS($A:A,A294,E:E,E294)&gt;1,"yes","no"))</f>
        <v>no</v>
      </c>
      <c r="G294" s="92"/>
      <c r="H294" s="57">
        <v>44986</v>
      </c>
      <c r="I294" s="19" t="s">
        <v>52</v>
      </c>
      <c r="J294" s="107"/>
      <c r="K294" s="97" t="str">
        <f ca="1">IF(J294="","Date",IF(J294&lt;&gt;"",IF(K294="Date",NOW(),K294),""))</f>
        <v>Date</v>
      </c>
      <c r="L294" s="84" t="s">
        <v>88</v>
      </c>
    </row>
    <row r="295" spans="1:12">
      <c r="A295" s="19">
        <v>918830593</v>
      </c>
      <c r="B295" s="96">
        <v>44986</v>
      </c>
      <c r="C295" s="19" t="str">
        <f>IF(ISBLANK(A295),"Name",IF(ISNA(VLOOKUP(A295,'Master List'!A:C,2,FALSE)), "Not Found", VLOOKUP(A295,'Master List'!A:C,2,FALSE)))</f>
        <v>Isabel Hyo Jung Song</v>
      </c>
      <c r="D295" s="19" t="str">
        <f>IF(ISBLANK(A295), "Email",IF(ISNA(VLOOKUP(A295,'Master List'!A:C,3,FALSE)), "Not Found", VLOOKUP(A295,'Master List'!A:C,3,FALSE)))</f>
        <v>hjsong@sfsu.edu</v>
      </c>
      <c r="E295" s="19" t="s">
        <v>89</v>
      </c>
      <c r="F295" s="4" t="str">
        <f>IF(OR(A295="",E295="","",A295="?",E295="?"),"duplicate?",IF(COUNTIFS($A:A,A295,E:E,E295)&gt;1,"yes","no"))</f>
        <v>no</v>
      </c>
      <c r="G295" s="92"/>
      <c r="H295" s="57">
        <v>45078</v>
      </c>
      <c r="I295" s="19" t="s">
        <v>52</v>
      </c>
      <c r="J295" s="107"/>
      <c r="K295" s="97" t="str">
        <f ca="1">IF(J295="","Date",IF(J295&lt;&gt;"",IF(K295="Date",NOW(),K295),""))</f>
        <v>Date</v>
      </c>
      <c r="L295" s="84" t="s">
        <v>90</v>
      </c>
    </row>
    <row r="296" spans="1:12">
      <c r="A296" s="19">
        <v>918834142</v>
      </c>
      <c r="B296" s="96">
        <v>44987</v>
      </c>
      <c r="C296" s="19" t="str">
        <f>IF(ISBLANK(A296),"Name",IF(ISNA(VLOOKUP(A296,'Master List'!A:C,2,FALSE)), "Not Found", VLOOKUP(A296,'Master List'!A:C,2,FALSE)))</f>
        <v>Shuoyuan He</v>
      </c>
      <c r="D296" s="19" t="str">
        <f>IF(ISBLANK(A296), "Email",IF(ISNA(VLOOKUP(A296,'Master List'!A:C,3,FALSE)), "Not Found", VLOOKUP(A296,'Master List'!A:C,3,FALSE)))</f>
        <v>shhe@sfsu.edu</v>
      </c>
      <c r="E296" s="19" t="s">
        <v>19</v>
      </c>
      <c r="F296" s="4" t="str">
        <f>IF(OR(A296="",E296="","",A296="?",E296="?"),"duplicate?",IF(COUNTIFS($A:A,A296,E:E,E296)&gt;1,"yes","no"))</f>
        <v>no</v>
      </c>
      <c r="G296" s="92"/>
      <c r="H296" s="57">
        <v>45078</v>
      </c>
      <c r="I296" s="19" t="s">
        <v>72</v>
      </c>
      <c r="J296" s="107"/>
      <c r="K296" s="97" t="str">
        <f ca="1">IF(J296="","Date",IF(J296&lt;&gt;"",IF(K296="Date",NOW(),K296),""))</f>
        <v>Date</v>
      </c>
      <c r="L296" s="84"/>
    </row>
    <row r="297" spans="1:12">
      <c r="A297" s="19">
        <v>902969189</v>
      </c>
      <c r="B297" s="96">
        <v>44987</v>
      </c>
      <c r="C297" s="19" t="str">
        <f>IF(ISBLANK(A297),"Name",IF(ISNA(VLOOKUP(A297,'Master List'!A:C,2,FALSE)), "Not Found", VLOOKUP(A297,'Master List'!A:C,2,FALSE)))</f>
        <v>Cecil Bell</v>
      </c>
      <c r="D297" s="19" t="str">
        <f>IF(ISBLANK(A297), "Email",IF(ISNA(VLOOKUP(A297,'Master List'!A:C,3,FALSE)), "Not Found", VLOOKUP(A297,'Master List'!A:C,3,FALSE)))</f>
        <v>jbellsf@sfsu.edu</v>
      </c>
      <c r="E297" s="19" t="s">
        <v>12</v>
      </c>
      <c r="F297" s="4" t="str">
        <f>IF(OR(A297="",E297="","",A297="?",E297="?"),"duplicate?",IF(COUNTIFS($A:A,A297,E:E,E297)&gt;1,"yes","no"))</f>
        <v>no</v>
      </c>
      <c r="G297" s="92"/>
      <c r="H297" s="57">
        <v>45078</v>
      </c>
      <c r="I297" s="19" t="s">
        <v>53</v>
      </c>
      <c r="J297" s="107"/>
      <c r="K297" s="97" t="str">
        <f ca="1">IF(J297="","Date",IF(J297&lt;&gt;"",IF(K297="Date",NOW(),K297),""))</f>
        <v>Date</v>
      </c>
      <c r="L297" s="84"/>
    </row>
    <row r="298" spans="1:12">
      <c r="A298" s="19">
        <v>917692404</v>
      </c>
      <c r="B298" s="96">
        <v>44987</v>
      </c>
      <c r="C298" s="19" t="str">
        <f>IF(ISBLANK(A298),"Name",IF(ISNA(VLOOKUP(A298,'Master List'!A:C,2,FALSE)), "Not Found", VLOOKUP(A298,'Master List'!A:C,2,FALSE)))</f>
        <v>Bryan Lam</v>
      </c>
      <c r="D298" s="19" t="str">
        <f>IF(ISBLANK(A298), "Email",IF(ISNA(VLOOKUP(A298,'Master List'!A:C,3,FALSE)), "Not Found", VLOOKUP(A298,'Master List'!A:C,3,FALSE)))</f>
        <v>blam5@sfsu.edu</v>
      </c>
      <c r="E298" s="19" t="s">
        <v>36</v>
      </c>
      <c r="F298" s="4" t="str">
        <f>IF(OR(A298="",E298="","",A298="?",E298="?"),"duplicate?",IF(COUNTIFS($A:A,A298,E:E,E298)&gt;1,"yes","no"))</f>
        <v>no</v>
      </c>
      <c r="G298" s="92"/>
      <c r="H298" s="57">
        <v>44995</v>
      </c>
      <c r="I298" s="19" t="s">
        <v>77</v>
      </c>
      <c r="J298" s="107"/>
      <c r="K298" s="97" t="str">
        <f ca="1">IF(J298="","Date",IF(J298&lt;&gt;"",IF(K298="Date",NOW(),K298),""))</f>
        <v>Date</v>
      </c>
      <c r="L298" s="84"/>
    </row>
    <row r="299" spans="1:12">
      <c r="A299" s="19">
        <v>918830593</v>
      </c>
      <c r="B299" s="96">
        <v>44992</v>
      </c>
      <c r="C299" s="19" t="str">
        <f>IF(ISBLANK(A299),"Name",IF(ISNA(VLOOKUP(A299,'Master List'!A:C,2,FALSE)), "Not Found", VLOOKUP(A299,'Master List'!A:C,2,FALSE)))</f>
        <v>Isabel Hyo Jung Song</v>
      </c>
      <c r="D299" s="19" t="str">
        <f>IF(ISBLANK(A299), "Email",IF(ISNA(VLOOKUP(A299,'Master List'!A:C,3,FALSE)), "Not Found", VLOOKUP(A299,'Master List'!A:C,3,FALSE)))</f>
        <v>hjsong@sfsu.edu</v>
      </c>
      <c r="E299" s="19" t="s">
        <v>19</v>
      </c>
      <c r="F299" s="4" t="str">
        <f>IF(OR(A299="",E299="","",A299="?",E299="?"),"duplicate?",IF(COUNTIFS($A:A,A299,E:E,E299)&gt;1,"yes","no"))</f>
        <v>yes</v>
      </c>
      <c r="G299" s="92"/>
      <c r="H299" s="57">
        <v>45078</v>
      </c>
      <c r="I299" s="19" t="s">
        <v>53</v>
      </c>
      <c r="J299" s="107"/>
      <c r="K299" s="97" t="str">
        <f ca="1">IF(J299="","Date",IF(J299&lt;&gt;"",IF(K299="Date",NOW(),K299),""))</f>
        <v>Date</v>
      </c>
      <c r="L299" s="84"/>
    </row>
    <row r="300" spans="1:12">
      <c r="A300" s="19">
        <v>907570981</v>
      </c>
      <c r="B300" s="96">
        <v>44992</v>
      </c>
      <c r="C300" s="19" t="str">
        <f>IF(ISBLANK(A300),"Name",IF(ISNA(VLOOKUP(A300,'Master List'!A:C,2,FALSE)), "Not Found", VLOOKUP(A300,'Master List'!A:C,2,FALSE)))</f>
        <v>Maricel Santos</v>
      </c>
      <c r="D300" s="19" t="str">
        <f>IF(ISBLANK(A300), "Email",IF(ISNA(VLOOKUP(A300,'Master List'!A:C,3,FALSE)), "Not Found", VLOOKUP(A300,'Master List'!A:C,3,FALSE)))</f>
        <v>mgsantos@sfsu.edu</v>
      </c>
      <c r="E300" s="19" t="s">
        <v>36</v>
      </c>
      <c r="F300" s="4" t="str">
        <f>IF(OR(A300="",E300="","",A300="?",E300="?"),"duplicate?",IF(COUNTIFS($A:A,A300,E:E,E300)&gt;1,"yes","no"))</f>
        <v>no</v>
      </c>
      <c r="G300" s="92"/>
      <c r="H300" s="57">
        <v>44994</v>
      </c>
      <c r="I300" s="19" t="s">
        <v>71</v>
      </c>
      <c r="J300" s="107"/>
      <c r="K300" s="97" t="str">
        <f ca="1">IF(J300="","Date",IF(J300&lt;&gt;"",IF(K300="Date",NOW(),K300),""))</f>
        <v>Date</v>
      </c>
      <c r="L300" s="84"/>
    </row>
    <row r="301" spans="1:12">
      <c r="A301" s="19">
        <v>900004812</v>
      </c>
      <c r="B301" s="96">
        <v>44993</v>
      </c>
      <c r="C301" s="19" t="str">
        <f>IF(ISBLANK(A301),"Name",IF(ISNA(VLOOKUP(A301,'Master List'!A:C,2,FALSE)), "Not Found", VLOOKUP(A301,'Master List'!A:C,2,FALSE)))</f>
        <v>Wynn Huynh</v>
      </c>
      <c r="D301" s="19" t="str">
        <f>IF(ISBLANK(A301), "Email",IF(ISNA(VLOOKUP(A301,'Master List'!A:C,3,FALSE)), "Not Found", VLOOKUP(A301,'Master List'!A:C,3,FALSE)))</f>
        <v>whuynh@sfsu.edu</v>
      </c>
      <c r="E301" s="19" t="s">
        <v>19</v>
      </c>
      <c r="F301" s="4" t="str">
        <f>IF(OR(A301="",E301="","",A301="?",E301="?"),"duplicate?",IF(COUNTIFS($A:A,A301,E:E,E301)&gt;1,"yes","no"))</f>
        <v>no</v>
      </c>
      <c r="G301" s="92"/>
      <c r="H301" s="57">
        <v>45016</v>
      </c>
      <c r="I301" s="19" t="s">
        <v>54</v>
      </c>
      <c r="J301" s="107"/>
      <c r="K301" s="97" t="str">
        <f ca="1">IF(J301="","Date",IF(J301&lt;&gt;"",IF(K301="Date",NOW(),K301),""))</f>
        <v>Date</v>
      </c>
      <c r="L301" s="85" t="s">
        <v>91</v>
      </c>
    </row>
    <row r="302" spans="1:12">
      <c r="A302" s="19">
        <v>900399297</v>
      </c>
      <c r="B302" s="96">
        <v>44993</v>
      </c>
      <c r="C302" s="19" t="str">
        <f>IF(ISBLANK(A302),"Name",IF(ISNA(VLOOKUP(A302,'Master List'!A:C,2,FALSE)), "Not Found", VLOOKUP(A302,'Master List'!A:C,2,FALSE)))</f>
        <v>Sara Felder</v>
      </c>
      <c r="D302" s="19" t="str">
        <f>IF(ISBLANK(A302), "Email",IF(ISNA(VLOOKUP(A302,'Master List'!A:C,3,FALSE)), "Not Found", VLOOKUP(A302,'Master List'!A:C,3,FALSE)))</f>
        <v>sfelder@sfsu.edu</v>
      </c>
      <c r="E302" s="19" t="s">
        <v>19</v>
      </c>
      <c r="F302" s="4" t="str">
        <f>IF(OR(A302="",E302="","",A302="?",E302="?"),"duplicate?",IF(COUNTIFS($A:A,A302,E:E,E302)&gt;1,"yes","no"))</f>
        <v>no</v>
      </c>
      <c r="G302" s="92"/>
      <c r="H302" s="57">
        <v>44932</v>
      </c>
      <c r="I302" s="19" t="s">
        <v>54</v>
      </c>
      <c r="J302" s="107"/>
      <c r="K302" s="97" t="str">
        <f ca="1">IF(J302="","Date",IF(J302&lt;&gt;"",IF(K302="Date",NOW(),K302),""))</f>
        <v>Date</v>
      </c>
      <c r="L302" s="84"/>
    </row>
    <row r="303" spans="1:12">
      <c r="A303" s="19">
        <v>911251762</v>
      </c>
      <c r="B303" s="96">
        <v>44994</v>
      </c>
      <c r="C303" s="19" t="str">
        <f>IF(ISBLANK(A303),"Name",IF(ISNA(VLOOKUP(A303,'Master List'!A:C,2,FALSE)), "Not Found", VLOOKUP(A303,'Master List'!A:C,2,FALSE)))</f>
        <v>Ryan Lescure</v>
      </c>
      <c r="D303" s="19" t="str">
        <f>IF(ISBLANK(A303), "Email",IF(ISNA(VLOOKUP(A303,'Master List'!A:C,3,FALSE)), "Not Found", VLOOKUP(A303,'Master List'!A:C,3,FALSE)))</f>
        <v>rlescure@sfsu.edu</v>
      </c>
      <c r="E303" s="19" t="s">
        <v>19</v>
      </c>
      <c r="F303" s="4" t="str">
        <f>IF(OR(A303="",E303="","",A303="?",E303="?"),"duplicate?",IF(COUNTIFS($A:A,A303,E:E,E303)&gt;1,"yes","no"))</f>
        <v>no</v>
      </c>
      <c r="G303" s="92"/>
      <c r="H303" s="57">
        <v>45078</v>
      </c>
      <c r="I303" s="19" t="s">
        <v>65</v>
      </c>
      <c r="J303" s="107"/>
      <c r="K303" s="97" t="str">
        <f ca="1">IF(J303="","Date",IF(J303&lt;&gt;"",IF(K303="Date",NOW(),K303),""))</f>
        <v>Date</v>
      </c>
      <c r="L303" s="84"/>
    </row>
    <row r="304" spans="1:12">
      <c r="A304" s="19">
        <v>918850951</v>
      </c>
      <c r="B304" s="96">
        <v>44994</v>
      </c>
      <c r="C304" s="19" t="str">
        <f>IF(ISBLANK(A304),"Name",IF(ISNA(VLOOKUP(A304,'Master List'!A:C,2,FALSE)), "Not Found", VLOOKUP(A304,'Master List'!A:C,2,FALSE)))</f>
        <v>Kyle Wallance-Jordan</v>
      </c>
      <c r="D304" s="19" t="str">
        <f>IF(ISBLANK(A304), "Email",IF(ISNA(VLOOKUP(A304,'Master List'!A:C,3,FALSE)), "Not Found", VLOOKUP(A304,'Master List'!A:C,3,FALSE)))</f>
        <v>kwallacejordan@sfsu.edu</v>
      </c>
      <c r="E304" s="19" t="s">
        <v>36</v>
      </c>
      <c r="F304" s="4" t="str">
        <f>IF(OR(A304="",E304="","",A304="?",E304="?"),"duplicate?",IF(COUNTIFS($A:A,A304,E:E,E304)&gt;1,"yes","no"))</f>
        <v>yes</v>
      </c>
      <c r="G304" s="92"/>
      <c r="H304" s="57">
        <v>45078</v>
      </c>
      <c r="I304" s="19" t="s">
        <v>54</v>
      </c>
      <c r="J304" s="107"/>
      <c r="K304" s="97" t="str">
        <f ca="1">IF(J304="","Date",IF(J304&lt;&gt;"",IF(K304="Date",NOW(),K304),""))</f>
        <v>Date</v>
      </c>
      <c r="L304" s="84"/>
    </row>
    <row r="305" spans="1:12">
      <c r="A305" s="19">
        <v>922215018</v>
      </c>
      <c r="B305" s="96">
        <v>44998</v>
      </c>
      <c r="C305" s="19" t="str">
        <f>IF(ISBLANK(A305),"Name",IF(ISNA(VLOOKUP(A305,'Master List'!A:C,2,FALSE)), "Not Found", VLOOKUP(A305,'Master List'!A:C,2,FALSE)))</f>
        <v>Lan De Vera</v>
      </c>
      <c r="D305" s="19" t="str">
        <f>IF(ISBLANK(A305), "Email",IF(ISNA(VLOOKUP(A305,'Master List'!A:C,3,FALSE)), "Not Found", VLOOKUP(A305,'Master List'!A:C,3,FALSE)))</f>
        <v>ldevera@sfsu.edu</v>
      </c>
      <c r="E305" s="19" t="s">
        <v>92</v>
      </c>
      <c r="F305" s="4" t="str">
        <f>IF(OR(A305="",E305="","",A305="?",E305="?"),"duplicate?",IF(COUNTIFS($A:A,A305,E:E,E305)&gt;1,"yes","no"))</f>
        <v>no</v>
      </c>
      <c r="G305" s="92"/>
      <c r="H305" s="57">
        <v>45078</v>
      </c>
      <c r="I305" s="19" t="s">
        <v>70</v>
      </c>
      <c r="J305" s="107"/>
      <c r="K305" s="97" t="str">
        <f ca="1">IF(J305="","Date",IF(J305&lt;&gt;"",IF(K305="Date",NOW(),K305),""))</f>
        <v>Date</v>
      </c>
      <c r="L305" s="84" t="s">
        <v>93</v>
      </c>
    </row>
    <row r="306" spans="1:12">
      <c r="A306" s="19">
        <v>918765931</v>
      </c>
      <c r="B306" s="96">
        <v>45000</v>
      </c>
      <c r="C306" s="19" t="str">
        <f>IF(ISBLANK(A306),"Name",IF(ISNA(VLOOKUP(A306,'Master List'!A:C,2,FALSE)), "Not Found", VLOOKUP(A306,'Master List'!A:C,2,FALSE)))</f>
        <v>Joanne Derbort</v>
      </c>
      <c r="D306" s="19" t="str">
        <f>IF(ISBLANK(A306), "Email",IF(ISNA(VLOOKUP(A306,'Master List'!A:C,3,FALSE)), "Not Found", VLOOKUP(A306,'Master List'!A:C,3,FALSE)))</f>
        <v>jdderbort@sfsu.edu</v>
      </c>
      <c r="E306" s="19" t="s">
        <v>25</v>
      </c>
      <c r="F306" s="4" t="str">
        <f>IF(OR(A306="",E306="","",A306="?",E306="?"),"duplicate?",IF(COUNTIFS($A:A,A306,E:E,E306)&gt;1,"yes","no"))</f>
        <v>no</v>
      </c>
      <c r="G306" s="92"/>
      <c r="H306" s="57">
        <v>45078</v>
      </c>
      <c r="I306" s="19" t="s">
        <v>59</v>
      </c>
      <c r="J306" s="107"/>
      <c r="K306" s="97" t="str">
        <f ca="1">IF(J306="","Date",IF(J306&lt;&gt;"",IF(K306="Date",NOW(),K306),""))</f>
        <v>Date</v>
      </c>
      <c r="L306" s="84"/>
    </row>
    <row r="307" spans="1:12">
      <c r="A307" s="19">
        <v>922386176</v>
      </c>
      <c r="B307" s="96" t="s">
        <v>94</v>
      </c>
      <c r="C307" s="19" t="str">
        <f>IF(ISBLANK(A307),"Name",IF(ISNA(VLOOKUP(A307,'Master List'!A:C,2,FALSE)), "Not Found", VLOOKUP(A307,'Master List'!A:C,2,FALSE)))</f>
        <v>Stanislav Shaposhnikov</v>
      </c>
      <c r="D307" s="19" t="str">
        <f>IF(ISBLANK(A307), "Email",IF(ISNA(VLOOKUP(A307,'Master List'!A:C,3,FALSE)), "Not Found", VLOOKUP(A307,'Master List'!A:C,3,FALSE)))</f>
        <v>sshaposhnikov@sfsu.edu</v>
      </c>
      <c r="E307" s="19" t="s">
        <v>95</v>
      </c>
      <c r="F307" s="4" t="str">
        <f>IF(OR(A307="",E307="","",A307="?",E307="?"),"duplicate?",IF(COUNTIFS($A:A,A307,E:E,E307)&gt;1,"yes","no"))</f>
        <v>no</v>
      </c>
      <c r="G307" s="92"/>
      <c r="H307" s="57">
        <v>45000</v>
      </c>
      <c r="I307" s="19" t="s">
        <v>54</v>
      </c>
      <c r="J307" s="107"/>
      <c r="K307" s="97" t="str">
        <f ca="1">IF(J307="","Date",IF(J307&lt;&gt;"",IF(K307="Date",NOW(),K307),""))</f>
        <v>Date</v>
      </c>
      <c r="L307" s="84"/>
    </row>
    <row r="308" spans="1:12">
      <c r="A308" s="19">
        <v>918847454</v>
      </c>
      <c r="B308" s="96">
        <v>45001</v>
      </c>
      <c r="C308" s="19" t="str">
        <f>IF(ISBLANK(A308),"Name",IF(ISNA(VLOOKUP(A308,'Master List'!A:C,2,FALSE)), "Not Found", VLOOKUP(A308,'Master List'!A:C,2,FALSE)))</f>
        <v>Tiffany Caesar</v>
      </c>
      <c r="D308" s="19" t="str">
        <f>IF(ISBLANK(A308), "Email",IF(ISNA(VLOOKUP(A308,'Master List'!A:C,3,FALSE)), "Not Found", VLOOKUP(A308,'Master List'!A:C,3,FALSE)))</f>
        <v>tiffanycaesar@sfsu.edu</v>
      </c>
      <c r="E308" s="19" t="s">
        <v>38</v>
      </c>
      <c r="F308" s="4" t="str">
        <f>IF(OR(A308="",E308="","",A308="?",E308="?"),"duplicate?",IF(COUNTIFS($A:A,A308,E:E,E308)&gt;1,"yes","no"))</f>
        <v>no</v>
      </c>
      <c r="G308" s="92"/>
      <c r="H308" s="57">
        <v>45078</v>
      </c>
      <c r="I308" s="19" t="s">
        <v>59</v>
      </c>
      <c r="J308" s="107"/>
      <c r="K308" s="97" t="str">
        <f ca="1">IF(J308="","Date",IF(J308&lt;&gt;"",IF(K308="Date",NOW(),K308),""))</f>
        <v>Date</v>
      </c>
      <c r="L308" s="84"/>
    </row>
    <row r="309" spans="1:12">
      <c r="A309" s="19">
        <v>918847454</v>
      </c>
      <c r="B309" s="96">
        <v>45001</v>
      </c>
      <c r="C309" s="19" t="str">
        <f>IF(ISBLANK(A309),"Name",IF(ISNA(VLOOKUP(A309,'Master List'!A:C,2,FALSE)), "Not Found", VLOOKUP(A309,'Master List'!A:C,2,FALSE)))</f>
        <v>Tiffany Caesar</v>
      </c>
      <c r="D309" s="19" t="str">
        <f>IF(ISBLANK(A309), "Email",IF(ISNA(VLOOKUP(A309,'Master List'!A:C,3,FALSE)), "Not Found", VLOOKUP(A309,'Master List'!A:C,3,FALSE)))</f>
        <v>tiffanycaesar@sfsu.edu</v>
      </c>
      <c r="E309" s="19" t="s">
        <v>58</v>
      </c>
      <c r="F309" s="4" t="str">
        <f>IF(OR(A309="",E309="","",A309="?",E309="?"),"duplicate?",IF(COUNTIFS($A:A,A309,E:E,E309)&gt;1,"yes","no"))</f>
        <v>no</v>
      </c>
      <c r="G309" s="92"/>
      <c r="H309" s="57">
        <v>45078</v>
      </c>
      <c r="I309" s="19" t="s">
        <v>59</v>
      </c>
      <c r="J309" s="107"/>
      <c r="K309" s="97" t="str">
        <f ca="1">IF(J309="","Date",IF(J309&lt;&gt;"",IF(K309="Date",NOW(),K309),""))</f>
        <v>Date</v>
      </c>
      <c r="L309" s="84"/>
    </row>
    <row r="310" spans="1:12">
      <c r="A310" s="19">
        <v>916804478</v>
      </c>
      <c r="B310" s="96">
        <v>45002</v>
      </c>
      <c r="C310" s="19" t="str">
        <f>IF(ISBLANK(A310),"Name",IF(ISNA(VLOOKUP(A310,'Master List'!A:C,2,FALSE)), "Not Found", VLOOKUP(A310,'Master List'!A:C,2,FALSE)))</f>
        <v>Victor Aguilar</v>
      </c>
      <c r="D310" s="19" t="str">
        <f>IF(ISBLANK(A310), "Email",IF(ISNA(VLOOKUP(A310,'Master List'!A:C,3,FALSE)), "Not Found", VLOOKUP(A310,'Master List'!A:C,3,FALSE)))</f>
        <v>vaguila4@sfsu.edu</v>
      </c>
      <c r="E310" s="19" t="s">
        <v>19</v>
      </c>
      <c r="F310" s="4" t="str">
        <f>IF(OR(A310="",E310="","",A310="?",E310="?"),"duplicate?",IF(COUNTIFS($A:A,A310,E:E,E310)&gt;1,"yes","no"))</f>
        <v>no</v>
      </c>
      <c r="G310" s="92"/>
      <c r="H310" s="57">
        <v>45291</v>
      </c>
      <c r="I310" s="19" t="s">
        <v>66</v>
      </c>
      <c r="J310" s="107"/>
      <c r="K310" s="97" t="str">
        <f ca="1">IF(J310="","Date",IF(J310&lt;&gt;"",IF(K310="Date",NOW(),K310),""))</f>
        <v>Date</v>
      </c>
      <c r="L310" s="84"/>
    </row>
    <row r="311" spans="1:12">
      <c r="A311" s="19">
        <v>916804478</v>
      </c>
      <c r="B311" s="96">
        <v>45002</v>
      </c>
      <c r="C311" s="19" t="str">
        <f>IF(ISBLANK(A311),"Name",IF(ISNA(VLOOKUP(A311,'Master List'!A:C,2,FALSE)), "Not Found", VLOOKUP(A311,'Master List'!A:C,2,FALSE)))</f>
        <v>Victor Aguilar</v>
      </c>
      <c r="D311" s="19" t="str">
        <f>IF(ISBLANK(A311), "Email",IF(ISNA(VLOOKUP(A311,'Master List'!A:C,3,FALSE)), "Not Found", VLOOKUP(A311,'Master List'!A:C,3,FALSE)))</f>
        <v>vaguila4@sfsu.edu</v>
      </c>
      <c r="E311" s="19" t="s">
        <v>67</v>
      </c>
      <c r="F311" s="4" t="str">
        <f>IF(OR(A311="",E311="","",A311="?",E311="?"),"duplicate?",IF(COUNTIFS($A:A,A311,E:E,E311)&gt;1,"yes","no"))</f>
        <v>no</v>
      </c>
      <c r="G311" s="92"/>
      <c r="H311" s="57">
        <v>45291</v>
      </c>
      <c r="I311" s="19" t="s">
        <v>66</v>
      </c>
      <c r="J311" s="107"/>
      <c r="K311" s="97" t="str">
        <f ca="1">IF(J311="","Date",IF(J311&lt;&gt;"",IF(K311="Date",NOW(),K311),""))</f>
        <v>Date</v>
      </c>
      <c r="L311" s="84"/>
    </row>
    <row r="312" spans="1:12">
      <c r="A312" s="19">
        <v>916181362</v>
      </c>
      <c r="B312" s="96">
        <v>45008</v>
      </c>
      <c r="C312" s="19" t="str">
        <f>IF(ISBLANK(A312),"Name",IF(ISNA(VLOOKUP(A312,'Master List'!A:C,2,FALSE)), "Not Found", VLOOKUP(A312,'Master List'!A:C,2,FALSE)))</f>
        <v>Ty Maniulit</v>
      </c>
      <c r="D312" s="19" t="str">
        <f>IF(ISBLANK(A312), "Email",IF(ISNA(VLOOKUP(A312,'Master List'!A:C,3,FALSE)), "Not Found", VLOOKUP(A312,'Master List'!A:C,3,FALSE)))</f>
        <v>tymaniulit@sfsu.edu</v>
      </c>
      <c r="E312" s="19" t="s">
        <v>19</v>
      </c>
      <c r="F312" s="4" t="str">
        <f>IF(OR(A312="",E312="","",A312="?",E312="?"),"duplicate?",IF(COUNTIFS($A:A,A312,E:E,E312)&gt;1,"yes","no"))</f>
        <v>no</v>
      </c>
      <c r="G312" s="92"/>
      <c r="H312" s="57" t="s">
        <v>21</v>
      </c>
      <c r="I312" s="19"/>
      <c r="J312" s="107"/>
      <c r="K312" s="97" t="str">
        <f ca="1">IF(J312="","Date",IF(J312&lt;&gt;"",IF(K312="Date",NOW(),K312),""))</f>
        <v>Date</v>
      </c>
      <c r="L312" s="84"/>
    </row>
    <row r="313" spans="1:12">
      <c r="A313" s="19">
        <v>917227316</v>
      </c>
      <c r="B313" s="96">
        <v>45012</v>
      </c>
      <c r="C313" s="19" t="str">
        <f>IF(ISBLANK(A313),"Name",IF(ISNA(VLOOKUP(A313,'Master List'!A:C,2,FALSE)), "Not Found", VLOOKUP(A313,'Master List'!A:C,2,FALSE)))</f>
        <v>Yi Zhou</v>
      </c>
      <c r="D313" s="19" t="str">
        <f>IF(ISBLANK(A313), "Email",IF(ISNA(VLOOKUP(A313,'Master List'!A:C,3,FALSE)), "Not Found", VLOOKUP(A313,'Master List'!A:C,3,FALSE)))</f>
        <v>yizhou88@sfsu.edu</v>
      </c>
      <c r="E313" s="19" t="s">
        <v>19</v>
      </c>
      <c r="F313" s="4" t="str">
        <f>IF(OR(A313="",E313="","",A313="?",E313="?"),"duplicate?",IF(COUNTIFS($A:A,A313,E:E,E313)&gt;1,"yes","no"))</f>
        <v>no</v>
      </c>
      <c r="G313" s="92"/>
      <c r="H313" s="57">
        <v>45078</v>
      </c>
      <c r="I313" s="19" t="s">
        <v>59</v>
      </c>
      <c r="J313" s="107"/>
      <c r="K313" s="97" t="str">
        <f ca="1">IF(J313="","Date",IF(J313&lt;&gt;"",IF(K313="Date",NOW(),K313),""))</f>
        <v>Date</v>
      </c>
      <c r="L313" s="84"/>
    </row>
    <row r="314" spans="1:12">
      <c r="A314" s="19">
        <v>917158819</v>
      </c>
      <c r="B314" s="96">
        <v>45013</v>
      </c>
      <c r="C314" s="19" t="str">
        <f>IF(ISBLANK(A314),"Name",IF(ISNA(VLOOKUP(A314,'Master List'!A:C,2,FALSE)), "Not Found", VLOOKUP(A314,'Master List'!A:C,2,FALSE)))</f>
        <v>Carolina De Robertis</v>
      </c>
      <c r="D314" s="19" t="str">
        <f>IF(ISBLANK(A314), "Email",IF(ISNA(VLOOKUP(A314,'Master List'!A:C,3,FALSE)), "Not Found", VLOOKUP(A314,'Master List'!A:C,3,FALSE)))</f>
        <v>caro@sfsu.edu</v>
      </c>
      <c r="E314" s="19" t="s">
        <v>19</v>
      </c>
      <c r="F314" s="4" t="str">
        <f>IF(OR(A314="",E314="","",A314="?",E314="?"),"duplicate?",IF(COUNTIFS($A:A,A314,E:E,E314)&gt;1,"yes","no"))</f>
        <v>yes</v>
      </c>
      <c r="G314" s="92"/>
      <c r="H314" s="57">
        <v>45291</v>
      </c>
      <c r="I314" s="19" t="s">
        <v>53</v>
      </c>
      <c r="J314" s="107"/>
      <c r="K314" s="97" t="str">
        <f ca="1">IF(J314="","Date",IF(J314&lt;&gt;"",IF(K314="Date",NOW(),K314),""))</f>
        <v>Date</v>
      </c>
      <c r="L314" s="84"/>
    </row>
    <row r="315" spans="1:12">
      <c r="A315" s="19">
        <v>920236886</v>
      </c>
      <c r="B315" s="96">
        <v>45014</v>
      </c>
      <c r="C315" s="19" t="str">
        <f>IF(ISBLANK(A315),"Name",IF(ISNA(VLOOKUP(A315,'Master List'!A:C,2,FALSE)), "Not Found", VLOOKUP(A315,'Master List'!A:C,2,FALSE)))</f>
        <v>Rithik Hemanth</v>
      </c>
      <c r="D315" s="19" t="str">
        <f>IF(ISBLANK(A315), "Email",IF(ISNA(VLOOKUP(A315,'Master List'!A:C,3,FALSE)), "Not Found", VLOOKUP(A315,'Master List'!A:C,3,FALSE)))</f>
        <v>rhemanth@mail.sfsu.edu</v>
      </c>
      <c r="E315" s="19" t="s">
        <v>96</v>
      </c>
      <c r="F315" s="4" t="str">
        <f>IF(OR(A315="",E315="","",A315="?",E315="?"),"duplicate?",IF(COUNTIFS($A:A,A315,E:E,E315)&gt;1,"yes","no"))</f>
        <v>no</v>
      </c>
      <c r="G315" s="92"/>
      <c r="H315" s="57">
        <v>45005</v>
      </c>
      <c r="I315" s="19" t="s">
        <v>54</v>
      </c>
      <c r="J315" s="107"/>
      <c r="K315" s="97" t="str">
        <f ca="1">IF(J315="","Date",IF(J315&lt;&gt;"",IF(K315="Date",NOW(),K315),""))</f>
        <v>Date</v>
      </c>
      <c r="L315" s="84" t="s">
        <v>97</v>
      </c>
    </row>
    <row r="316" spans="1:12">
      <c r="A316" s="19">
        <v>917461355</v>
      </c>
      <c r="B316" s="96">
        <v>45014</v>
      </c>
      <c r="C316" s="19" t="str">
        <f>IF(ISBLANK(A316),"Name",IF(ISNA(VLOOKUP(A316,'Master List'!A:C,2,FALSE)), "Not Found", VLOOKUP(A316,'Master List'!A:C,2,FALSE)))</f>
        <v>Alcides Fuentes</v>
      </c>
      <c r="D316" s="19" t="str">
        <f>IF(ISBLANK(A316), "Email",IF(ISNA(VLOOKUP(A316,'Master List'!A:C,3,FALSE)), "Not Found", VLOOKUP(A316,'Master List'!A:C,3,FALSE)))</f>
        <v>alcidesfuentes@sfsu.edu</v>
      </c>
      <c r="E316" s="19" t="s">
        <v>19</v>
      </c>
      <c r="F316" s="4" t="str">
        <f>IF(OR(A316="",E316="","",A316="?",E316="?"),"duplicate?",IF(COUNTIFS($A:A,A316,E:E,E316)&gt;1,"yes","no"))</f>
        <v>no</v>
      </c>
      <c r="G316" s="92"/>
      <c r="H316" s="57">
        <v>45107</v>
      </c>
      <c r="I316" s="19" t="s">
        <v>77</v>
      </c>
      <c r="J316" s="107"/>
      <c r="K316" s="97" t="str">
        <f ca="1">IF(J316="","Date",IF(J316&lt;&gt;"",IF(K316="Date",NOW(),K316),""))</f>
        <v>Date</v>
      </c>
      <c r="L316" s="84" t="s">
        <v>98</v>
      </c>
    </row>
    <row r="317" spans="1:12">
      <c r="A317" s="19">
        <v>910325057</v>
      </c>
      <c r="B317" s="96">
        <v>45014</v>
      </c>
      <c r="C317" s="19" t="str">
        <f>IF(ISBLANK(A317),"Name",IF(ISNA(VLOOKUP(A317,'Master List'!A:C,2,FALSE)), "Not Found", VLOOKUP(A317,'Master List'!A:C,2,FALSE)))</f>
        <v>Nicholas Leung</v>
      </c>
      <c r="D317" s="19" t="str">
        <f>IF(ISBLANK(A317), "Email",IF(ISNA(VLOOKUP(A317,'Master List'!A:C,3,FALSE)), "Not Found", VLOOKUP(A317,'Master List'!A:C,3,FALSE)))</f>
        <v>n_leung1@u.pacific.edu</v>
      </c>
      <c r="E317" s="19" t="s">
        <v>25</v>
      </c>
      <c r="F317" s="4" t="str">
        <f>IF(OR(A317="",E317="","",A317="?",E317="?"),"duplicate?",IF(COUNTIFS($A:A,A317,E:E,E317)&gt;1,"yes","no"))</f>
        <v>no</v>
      </c>
      <c r="G317" s="92"/>
      <c r="H317" s="57">
        <v>45014</v>
      </c>
      <c r="I317" s="19" t="s">
        <v>99</v>
      </c>
      <c r="J317" s="107"/>
      <c r="K317" s="97" t="str">
        <f ca="1">IF(J317="","Date",IF(J317&lt;&gt;"",IF(K317="Date",NOW(),K317),""))</f>
        <v>Date</v>
      </c>
      <c r="L317" s="84"/>
    </row>
    <row r="318" spans="1:12">
      <c r="A318" s="19">
        <v>909169266</v>
      </c>
      <c r="B318" s="96">
        <v>45015</v>
      </c>
      <c r="C318" s="19" t="str">
        <f>IF(ISBLANK(A318),"Name",IF(ISNA(VLOOKUP(A318,'Master List'!A:C,2,FALSE)), "Not Found", VLOOKUP(A318,'Master List'!A:C,2,FALSE)))</f>
        <v>Shuming Liu</v>
      </c>
      <c r="D318" s="19" t="str">
        <f>IF(ISBLANK(A318), "Email",IF(ISNA(VLOOKUP(A318,'Master List'!A:C,3,FALSE)), "Not Found", VLOOKUP(A318,'Master List'!A:C,3,FALSE)))</f>
        <v>shuming@sfsu.edu</v>
      </c>
      <c r="E318" s="19" t="s">
        <v>19</v>
      </c>
      <c r="F318" s="4" t="str">
        <f>IF(OR(A318="",E318="","",A318="?",E318="?"),"duplicate?",IF(COUNTIFS($A:A,A318,E:E,E318)&gt;1,"yes","no"))</f>
        <v>no</v>
      </c>
      <c r="G318" s="92"/>
      <c r="H318" s="57">
        <v>45107</v>
      </c>
      <c r="I318" s="19" t="s">
        <v>52</v>
      </c>
      <c r="J318" s="107"/>
      <c r="K318" s="97" t="str">
        <f ca="1">IF(J318="","Date",IF(J318&lt;&gt;"",IF(K318="Date",NOW(),K318),""))</f>
        <v>Date</v>
      </c>
      <c r="L318" s="84"/>
    </row>
    <row r="319" spans="1:12">
      <c r="A319" s="19">
        <v>907608</v>
      </c>
      <c r="B319" s="96">
        <v>45020</v>
      </c>
      <c r="C319" s="19" t="str">
        <f>IF(ISBLANK(A319),"Name",IF(ISNA(VLOOKUP(A319,'Master List'!A:C,2,FALSE)), "Not Found", VLOOKUP(A319,'Master List'!A:C,2,FALSE)))</f>
        <v>Not Found</v>
      </c>
      <c r="D319" s="19" t="str">
        <f>IF(ISBLANK(A319), "Email",IF(ISNA(VLOOKUP(A319,'Master List'!A:C,3,FALSE)), "Not Found", VLOOKUP(A319,'Master List'!A:C,3,FALSE)))</f>
        <v>Not Found</v>
      </c>
      <c r="E319" s="19" t="s">
        <v>19</v>
      </c>
      <c r="F319" s="4" t="str">
        <f>IF(OR(A319="",E319="","",A319="?",E319="?"),"duplicate?",IF(COUNTIFS($A:A,A319,E:E,E319)&gt;1,"yes","no"))</f>
        <v>no</v>
      </c>
      <c r="G319" s="92"/>
      <c r="H319" s="57">
        <v>45078</v>
      </c>
      <c r="I319" s="19" t="s">
        <v>59</v>
      </c>
      <c r="J319" s="107"/>
      <c r="K319" s="97" t="str">
        <f ca="1">IF(J319="","Date",IF(J319&lt;&gt;"",IF(K319="Date",NOW(),K319),""))</f>
        <v>Date</v>
      </c>
      <c r="L319" s="84"/>
    </row>
    <row r="320" spans="1:12">
      <c r="A320" s="19">
        <v>915216268</v>
      </c>
      <c r="B320" s="96">
        <v>45020</v>
      </c>
      <c r="C320" s="19" t="str">
        <f>IF(ISBLANK(A320),"Name",IF(ISNA(VLOOKUP(A320,'Master List'!A:C,2,FALSE)), "Not Found", VLOOKUP(A320,'Master List'!A:C,2,FALSE)))</f>
        <v>Samer Dabit</v>
      </c>
      <c r="D320" s="19" t="str">
        <f>IF(ISBLANK(A320), "Email",IF(ISNA(VLOOKUP(A320,'Master List'!A:C,3,FALSE)), "Not Found", VLOOKUP(A320,'Master List'!A:C,3,FALSE)))</f>
        <v>sdabit@sfsu.edu</v>
      </c>
      <c r="E320" s="19" t="s">
        <v>25</v>
      </c>
      <c r="F320" s="4" t="str">
        <f>IF(OR(A320="",E320="","",A320="?",E320="?"),"duplicate?",IF(COUNTIFS($A:A,A320,E:E,E320)&gt;1,"yes","no"))</f>
        <v>no</v>
      </c>
      <c r="G320" s="92"/>
      <c r="H320" s="57">
        <v>45078</v>
      </c>
      <c r="I320" s="19" t="s">
        <v>54</v>
      </c>
      <c r="J320" s="107"/>
      <c r="K320" s="97" t="str">
        <f ca="1">IF(J320="","Date",IF(J320&lt;&gt;"",IF(K320="Date",NOW(),K320),""))</f>
        <v>Date</v>
      </c>
      <c r="L320" s="84"/>
    </row>
    <row r="321" spans="1:12">
      <c r="A321" s="19">
        <v>900026717</v>
      </c>
      <c r="B321" s="96">
        <v>45022</v>
      </c>
      <c r="C321" s="19" t="str">
        <f>IF(ISBLANK(A321),"Name",IF(ISNA(VLOOKUP(A321,'Master List'!A:C,2,FALSE)), "Not Found", VLOOKUP(A321,'Master List'!A:C,2,FALSE)))</f>
        <v>Ali Kashani</v>
      </c>
      <c r="D321" s="19" t="str">
        <f>IF(ISBLANK(A321), "Email",IF(ISNA(VLOOKUP(A321,'Master List'!A:C,3,FALSE)), "Not Found", VLOOKUP(A321,'Master List'!A:C,3,FALSE)))</f>
        <v>kashani@sfsu.edu</v>
      </c>
      <c r="E321" s="19" t="s">
        <v>25</v>
      </c>
      <c r="F321" s="4" t="str">
        <f>IF(OR(A321="",E321="","",A321="?",E321="?"),"duplicate?",IF(COUNTIFS($A:A,A321,E:E,E321)&gt;1,"yes","no"))</f>
        <v>no</v>
      </c>
      <c r="G321" s="92"/>
      <c r="H321" s="57">
        <v>45291</v>
      </c>
      <c r="I321" s="19" t="s">
        <v>99</v>
      </c>
      <c r="J321" s="107"/>
      <c r="K321" s="97" t="str">
        <f ca="1">IF(J321="","Date",IF(J321&lt;&gt;"",IF(K321="Date",NOW(),K321),""))</f>
        <v>Date</v>
      </c>
      <c r="L321" s="84"/>
    </row>
    <row r="322" spans="1:12">
      <c r="A322" s="19">
        <v>913759800</v>
      </c>
      <c r="B322" s="96">
        <v>45022</v>
      </c>
      <c r="C322" s="19" t="str">
        <f>IF(ISBLANK(A322),"Name",IF(ISNA(VLOOKUP(A322,'Master List'!A:C,2,FALSE)), "Not Found", VLOOKUP(A322,'Master List'!A:C,2,FALSE)))</f>
        <v>Peter DeHaas</v>
      </c>
      <c r="D322" s="19" t="str">
        <f>IF(ISBLANK(A322), "Email",IF(ISNA(VLOOKUP(A322,'Master List'!A:C,3,FALSE)), "Not Found", VLOOKUP(A322,'Master List'!A:C,3,FALSE)))</f>
        <v>pdehaas@sfsu.edu</v>
      </c>
      <c r="E322" s="19" t="s">
        <v>25</v>
      </c>
      <c r="F322" s="4" t="str">
        <f>IF(OR(A322="",E322="","",A322="?",E322="?"),"duplicate?",IF(COUNTIFS($A:A,A322,E:E,E322)&gt;1,"yes","no"))</f>
        <v>yes</v>
      </c>
      <c r="G322" s="92"/>
      <c r="H322" s="57">
        <v>45078</v>
      </c>
      <c r="I322" s="19" t="s">
        <v>65</v>
      </c>
      <c r="J322" s="107"/>
      <c r="K322" s="97" t="str">
        <f ca="1">IF(J322="","Date",IF(J322&lt;&gt;"",IF(K322="Date",NOW(),K322),""))</f>
        <v>Date</v>
      </c>
      <c r="L322" s="84"/>
    </row>
    <row r="323" spans="1:12">
      <c r="A323" s="19">
        <v>916472354</v>
      </c>
      <c r="B323" s="96">
        <v>45022</v>
      </c>
      <c r="C323" s="19" t="str">
        <f>IF(ISBLANK(A323),"Name",IF(ISNA(VLOOKUP(A323,'Master List'!A:C,2,FALSE)), "Not Found", VLOOKUP(A323,'Master List'!A:C,2,FALSE)))</f>
        <v>Kim Komenich</v>
      </c>
      <c r="D323" s="19" t="str">
        <f>IF(ISBLANK(A323), "Email",IF(ISNA(VLOOKUP(A323,'Master List'!A:C,3,FALSE)), "Not Found", VLOOKUP(A323,'Master List'!A:C,3,FALSE)))</f>
        <v>komenich@sfsu.edu</v>
      </c>
      <c r="E323" s="19" t="s">
        <v>25</v>
      </c>
      <c r="F323" s="4" t="str">
        <f>IF(OR(A323="",E323="","",A323="?",E323="?"),"duplicate?",IF(COUNTIFS($A:A,A323,E:E,E323)&gt;1,"yes","no"))</f>
        <v>no</v>
      </c>
      <c r="G323" s="92"/>
      <c r="H323" s="57">
        <v>45022</v>
      </c>
      <c r="I323" s="19" t="s">
        <v>70</v>
      </c>
      <c r="J323" s="107"/>
      <c r="K323" s="97" t="str">
        <f ca="1">IF(J323="","Date",IF(J323&lt;&gt;"",IF(K323="Date",NOW(),K323),""))</f>
        <v>Date</v>
      </c>
      <c r="L323" s="84"/>
    </row>
    <row r="324" spans="1:12">
      <c r="A324" s="19">
        <v>911369841</v>
      </c>
      <c r="B324" s="96">
        <v>45022</v>
      </c>
      <c r="C324" s="19" t="str">
        <f>IF(ISBLANK(A324),"Name",IF(ISNA(VLOOKUP(A324,'Master List'!A:C,2,FALSE)), "Not Found", VLOOKUP(A324,'Master List'!A:C,2,FALSE)))</f>
        <v>Aiko Yoshino</v>
      </c>
      <c r="D324" s="19" t="str">
        <f>IF(ISBLANK(A324), "Email",IF(ISNA(VLOOKUP(A324,'Master List'!A:C,3,FALSE)), "Not Found", VLOOKUP(A324,'Master List'!A:C,3,FALSE)))</f>
        <v>ayoshino@sfsu.edu</v>
      </c>
      <c r="E324" s="19" t="s">
        <v>19</v>
      </c>
      <c r="F324" s="4" t="str">
        <f>IF(OR(A324="",E324="","",A324="?",E324="?"),"duplicate?",IF(COUNTIFS($A:A,A324,E:E,E324)&gt;1,"yes","no"))</f>
        <v>yes</v>
      </c>
      <c r="G324" s="92"/>
      <c r="H324" s="57">
        <v>45022</v>
      </c>
      <c r="I324" s="19" t="s">
        <v>69</v>
      </c>
      <c r="J324" s="107"/>
      <c r="K324" s="97" t="str">
        <f ca="1">IF(J324="","Date",IF(J324&lt;&gt;"",IF(K324="Date",NOW(),K324),""))</f>
        <v>Date</v>
      </c>
      <c r="L324" s="84" t="s">
        <v>100</v>
      </c>
    </row>
    <row r="325" spans="1:12">
      <c r="A325" s="19">
        <v>918103087</v>
      </c>
      <c r="B325" s="96">
        <v>45022</v>
      </c>
      <c r="C325" s="19" t="str">
        <f>IF(ISBLANK(A325),"Name",IF(ISNA(VLOOKUP(A325,'Master List'!A:C,2,FALSE)), "Not Found", VLOOKUP(A325,'Master List'!A:C,2,FALSE)))</f>
        <v>Ryan Smith</v>
      </c>
      <c r="D325" s="19" t="str">
        <f>IF(ISBLANK(A325), "Email",IF(ISNA(VLOOKUP(A325,'Master List'!A:C,3,FALSE)), "Not Found", VLOOKUP(A325,'Master List'!A:C,3,FALSE)))</f>
        <v>ryansmith@sfsu.edu</v>
      </c>
      <c r="E325" s="19" t="s">
        <v>19</v>
      </c>
      <c r="F325" s="4" t="str">
        <f>IF(OR(A325="",E325="","",A325="?",E325="?"),"duplicate?",IF(COUNTIFS($A:A,A325,E:E,E325)&gt;1,"yes","no"))</f>
        <v>no</v>
      </c>
      <c r="G325" s="92"/>
      <c r="H325" s="57">
        <v>45078</v>
      </c>
      <c r="I325" s="19" t="s">
        <v>70</v>
      </c>
      <c r="J325" s="107"/>
      <c r="K325" s="97" t="str">
        <f ca="1">IF(J325="","Date",IF(J325&lt;&gt;"",IF(K325="Date",NOW(),K325),""))</f>
        <v>Date</v>
      </c>
      <c r="L325" s="84"/>
    </row>
    <row r="326" spans="1:12">
      <c r="A326" s="19">
        <v>918103087</v>
      </c>
      <c r="B326" s="96">
        <v>45022</v>
      </c>
      <c r="C326" s="19" t="str">
        <f>IF(ISBLANK(A326),"Name",IF(ISNA(VLOOKUP(A326,'Master List'!A:C,2,FALSE)), "Not Found", VLOOKUP(A326,'Master List'!A:C,2,FALSE)))</f>
        <v>Ryan Smith</v>
      </c>
      <c r="D326" s="19" t="str">
        <f>IF(ISBLANK(A326), "Email",IF(ISNA(VLOOKUP(A326,'Master List'!A:C,3,FALSE)), "Not Found", VLOOKUP(A326,'Master List'!A:C,3,FALSE)))</f>
        <v>ryansmith@sfsu.edu</v>
      </c>
      <c r="E326" s="19" t="s">
        <v>23</v>
      </c>
      <c r="F326" s="4" t="str">
        <f>IF(OR(A326="",E326="","",A326="?",E326="?"),"duplicate?",IF(COUNTIFS($A:A,A326,E:E,E326)&gt;1,"yes","no"))</f>
        <v>no</v>
      </c>
      <c r="G326" s="92"/>
      <c r="H326" s="57">
        <v>45078</v>
      </c>
      <c r="I326" s="19" t="s">
        <v>70</v>
      </c>
      <c r="J326" s="107"/>
      <c r="K326" s="97" t="str">
        <f ca="1">IF(J326="","Date",IF(J326&lt;&gt;"",IF(K326="Date",NOW(),K326),""))</f>
        <v>Date</v>
      </c>
      <c r="L326" s="84"/>
    </row>
    <row r="327" spans="1:12">
      <c r="A327" s="19">
        <v>917263443</v>
      </c>
      <c r="B327" s="96">
        <v>45026</v>
      </c>
      <c r="C327" s="19" t="str">
        <f>IF(ISBLANK(A327),"Name",IF(ISNA(VLOOKUP(A327,'Master List'!A:C,2,FALSE)), "Not Found", VLOOKUP(A327,'Master List'!A:C,2,FALSE)))</f>
        <v>Nasser Shahrasbi</v>
      </c>
      <c r="D327" s="19" t="str">
        <f>IF(ISBLANK(A327), "Email",IF(ISNA(VLOOKUP(A327,'Master List'!A:C,3,FALSE)), "Not Found", VLOOKUP(A327,'Master List'!A:C,3,FALSE)))</f>
        <v>nassersh@sfsu.edu</v>
      </c>
      <c r="E327" s="19" t="s">
        <v>19</v>
      </c>
      <c r="F327" s="4" t="str">
        <f>IF(OR(A327="",E327="","",A327="?",E327="?"),"duplicate?",IF(COUNTIFS($A:A,A327,E:E,E327)&gt;1,"yes","no"))</f>
        <v>no</v>
      </c>
      <c r="G327" s="92"/>
      <c r="H327" s="57">
        <v>45033</v>
      </c>
      <c r="I327" s="60" t="s">
        <v>99</v>
      </c>
      <c r="J327" s="107"/>
      <c r="K327" s="97" t="str">
        <f ca="1">IF(J327="","Date",IF(J327&lt;&gt;"",IF(K327="Date",NOW(),K327),""))</f>
        <v>Date</v>
      </c>
      <c r="L327" s="84"/>
    </row>
    <row r="328" spans="1:12">
      <c r="A328" s="19">
        <v>908472141</v>
      </c>
      <c r="B328" s="96">
        <v>45027</v>
      </c>
      <c r="C328" s="19" t="str">
        <f>IF(ISBLANK(A328),"Name",IF(ISNA(VLOOKUP(A328,'Master List'!A:C,2,FALSE)), "Not Found", VLOOKUP(A328,'Master List'!A:C,2,FALSE)))</f>
        <v>Isauro M. Escamilla Calan</v>
      </c>
      <c r="D328" s="19" t="str">
        <f>IF(ISBLANK(A328), "Email",IF(ISNA(VLOOKUP(A328,'Master List'!A:C,3,FALSE)), "Not Found", VLOOKUP(A328,'Master List'!A:C,3,FALSE)))</f>
        <v>imescami@sfsu.edu</v>
      </c>
      <c r="E328" s="19" t="s">
        <v>30</v>
      </c>
      <c r="F328" s="4" t="str">
        <f>IF(OR(A328="",E328="","",A328="?",E328="?"),"duplicate?",IF(COUNTIFS($A:A,A328,E:E,E328)&gt;1,"yes","no"))</f>
        <v>no</v>
      </c>
      <c r="G328" s="92"/>
      <c r="H328" s="57">
        <v>45078</v>
      </c>
      <c r="I328" s="19" t="s">
        <v>55</v>
      </c>
      <c r="J328" s="107"/>
      <c r="K328" s="97" t="str">
        <f ca="1">IF(J328="","Date",IF(J328&lt;&gt;"",IF(K328="Date",NOW(),K328),""))</f>
        <v>Date</v>
      </c>
      <c r="L328" s="84" t="s">
        <v>101</v>
      </c>
    </row>
    <row r="329" spans="1:12">
      <c r="A329" s="19">
        <v>918825172</v>
      </c>
      <c r="B329" s="96">
        <v>45028</v>
      </c>
      <c r="C329" s="19" t="str">
        <f>IF(ISBLANK(A329),"Name",IF(ISNA(VLOOKUP(A329,'Master List'!A:C,2,FALSE)), "Not Found", VLOOKUP(A329,'Master List'!A:C,2,FALSE)))</f>
        <v>Carina Gallo</v>
      </c>
      <c r="D329" s="19" t="str">
        <f>IF(ISBLANK(A329), "Email",IF(ISNA(VLOOKUP(A329,'Master List'!A:C,3,FALSE)), "Not Found", VLOOKUP(A329,'Master List'!A:C,3,FALSE)))</f>
        <v>cgallo@sfsu.edu</v>
      </c>
      <c r="E329" s="19" t="s">
        <v>19</v>
      </c>
      <c r="F329" s="4" t="str">
        <f>IF(OR(A329="",E329="","",A329="?",E329="?"),"duplicate?",IF(COUNTIFS($A:A,A329,E:E,E329)&gt;1,"yes","no"))</f>
        <v>yes</v>
      </c>
      <c r="G329" s="92"/>
      <c r="H329" s="57">
        <v>45078</v>
      </c>
      <c r="I329" s="19" t="s">
        <v>59</v>
      </c>
      <c r="J329" s="107"/>
      <c r="K329" s="97" t="str">
        <f ca="1">IF(J329="","Date",IF(J329&lt;&gt;"",IF(K329="Date",NOW(),K329),""))</f>
        <v>Date</v>
      </c>
      <c r="L329" s="84"/>
    </row>
    <row r="330" spans="1:12">
      <c r="A330" s="19">
        <v>910624018</v>
      </c>
      <c r="B330" s="96">
        <v>45028</v>
      </c>
      <c r="C330" s="19" t="str">
        <f>IF(ISBLANK(A330),"Name",IF(ISNA(VLOOKUP(A330,'Master List'!A:C,2,FALSE)), "Not Found", VLOOKUP(A330,'Master List'!A:C,2,FALSE)))</f>
        <v>Cheng Chen</v>
      </c>
      <c r="D330" s="19" t="str">
        <f>IF(ISBLANK(A330), "Email",IF(ISNA(VLOOKUP(A330,'Master List'!A:C,3,FALSE)), "Not Found", VLOOKUP(A330,'Master List'!A:C,3,FALSE)))</f>
        <v>chcsfsu@sfsu.edu</v>
      </c>
      <c r="E330" s="19" t="s">
        <v>19</v>
      </c>
      <c r="F330" s="4" t="str">
        <f>IF(OR(A330="",E330="","",A330="?",E330="?"),"duplicate?",IF(COUNTIFS($A:A,A330,E:E,E330)&gt;1,"yes","no"))</f>
        <v>no</v>
      </c>
      <c r="G330" s="92"/>
      <c r="H330" s="57">
        <v>45078</v>
      </c>
      <c r="I330" s="19" t="s">
        <v>72</v>
      </c>
      <c r="J330" s="107"/>
      <c r="K330" s="97" t="str">
        <f ca="1">IF(J330="","Date",IF(J330&lt;&gt;"",IF(K330="Date",NOW(),K330),""))</f>
        <v>Date</v>
      </c>
      <c r="L330" s="84"/>
    </row>
    <row r="331" spans="1:12">
      <c r="A331" s="19">
        <v>904940977</v>
      </c>
      <c r="B331" s="96">
        <v>45028</v>
      </c>
      <c r="C331" s="19" t="str">
        <f>IF(ISBLANK(A331),"Name",IF(ISNA(VLOOKUP(A331,'Master List'!A:C,2,FALSE)), "Not Found", VLOOKUP(A331,'Master List'!A:C,2,FALSE)))</f>
        <v>Lauren Sneed</v>
      </c>
      <c r="D331" s="19" t="str">
        <f>IF(ISBLANK(A331), "Email",IF(ISNA(VLOOKUP(A331,'Master List'!A:C,3,FALSE)), "Not Found", VLOOKUP(A331,'Master List'!A:C,3,FALSE)))</f>
        <v>laurensneed@sfsu.edu</v>
      </c>
      <c r="E331" s="19" t="s">
        <v>19</v>
      </c>
      <c r="F331" s="4" t="str">
        <f>IF(OR(A331="",E331="","",A331="?",E331="?"),"duplicate?",IF(COUNTIFS($A:A,A331,E:E,E331)&gt;1,"yes","no"))</f>
        <v>yes</v>
      </c>
      <c r="G331" s="92"/>
      <c r="H331" s="57">
        <v>45078</v>
      </c>
      <c r="I331" s="19" t="s">
        <v>99</v>
      </c>
      <c r="J331" s="107"/>
      <c r="K331" s="97" t="str">
        <f ca="1">IF(J331="","Date",IF(J331&lt;&gt;"",IF(K331="Date",NOW(),K331),""))</f>
        <v>Date</v>
      </c>
      <c r="L331" s="84" t="s">
        <v>102</v>
      </c>
    </row>
    <row r="332" spans="1:12">
      <c r="A332" s="19">
        <v>904343380</v>
      </c>
      <c r="B332" s="96">
        <v>45033</v>
      </c>
      <c r="C332" s="19" t="str">
        <f>IF(ISBLANK(A332),"Name",IF(ISNA(VLOOKUP(A332,'Master List'!A:C,2,FALSE)), "Not Found", VLOOKUP(A332,'Master List'!A:C,2,FALSE)))</f>
        <v>Cynthia Martinez</v>
      </c>
      <c r="D332" s="19" t="str">
        <f>IF(ISBLANK(A332), "Email",IF(ISNA(VLOOKUP(A332,'Master List'!A:C,3,FALSE)), "Not Found", VLOOKUP(A332,'Master List'!A:C,3,FALSE)))</f>
        <v>cmartinez42@sfsu.edu</v>
      </c>
      <c r="E332" s="19" t="s">
        <v>19</v>
      </c>
      <c r="F332" s="4" t="str">
        <f>IF(OR(A332="",E332="","",A332="?",E332="?"),"duplicate?",IF(COUNTIFS($A:A,A332,E:E,E332)&gt;1,"yes","no"))</f>
        <v>yes</v>
      </c>
      <c r="G332" s="92"/>
      <c r="H332" s="57">
        <v>45035</v>
      </c>
      <c r="I332" s="19"/>
      <c r="J332" s="107"/>
      <c r="K332" s="97" t="str">
        <f ca="1">IF(J332="","Date",IF(J332&lt;&gt;"",IF(K332="Date",NOW(),K332),""))</f>
        <v>Date</v>
      </c>
      <c r="L332" s="84"/>
    </row>
    <row r="333" spans="1:12">
      <c r="A333" s="19">
        <v>900004669</v>
      </c>
      <c r="B333" s="96">
        <v>45035</v>
      </c>
      <c r="C333" s="19" t="str">
        <f>IF(ISBLANK(A333),"Name",IF(ISNA(VLOOKUP(A333,'Master List'!A:C,2,FALSE)), "Not Found", VLOOKUP(A333,'Master List'!A:C,2,FALSE)))</f>
        <v>Wai-Leung Kwok</v>
      </c>
      <c r="D333" s="19" t="str">
        <f>IF(ISBLANK(A333), "Email",IF(ISNA(VLOOKUP(A333,'Master List'!A:C,3,FALSE)), "Not Found", VLOOKUP(A333,'Master List'!A:C,3,FALSE)))</f>
        <v>wkwok@sfsu.edu</v>
      </c>
      <c r="E333" s="19" t="s">
        <v>19</v>
      </c>
      <c r="F333" s="4" t="str">
        <f>IF(OR(A333="",E333="","",A333="?",E333="?"),"duplicate?",IF(COUNTIFS($A:A,A333,E:E,E333)&gt;1,"yes","no"))</f>
        <v>no</v>
      </c>
      <c r="G333" s="92"/>
      <c r="H333" s="57">
        <v>45169</v>
      </c>
      <c r="I333" s="19" t="s">
        <v>54</v>
      </c>
      <c r="J333" s="107"/>
      <c r="K333" s="97" t="str">
        <f ca="1">IF(J333="","Date",IF(J333&lt;&gt;"",IF(K333="Date",NOW(),K333),""))</f>
        <v>Date</v>
      </c>
      <c r="L333" s="84" t="s">
        <v>103</v>
      </c>
    </row>
    <row r="334" spans="1:12">
      <c r="A334" s="19">
        <v>912159565</v>
      </c>
      <c r="B334" s="96">
        <v>45035</v>
      </c>
      <c r="C334" s="19" t="str">
        <f>IF(ISBLANK(A334),"Name",IF(ISNA(VLOOKUP(A334,'Master List'!A:C,2,FALSE)), "Not Found", VLOOKUP(A334,'Master List'!A:C,2,FALSE)))</f>
        <v>Jet Lee</v>
      </c>
      <c r="D334" s="19" t="str">
        <f>IF(ISBLANK(A334), "Email",IF(ISNA(VLOOKUP(A334,'Master List'!A:C,3,FALSE)), "Not Found", VLOOKUP(A334,'Master List'!A:C,3,FALSE)))</f>
        <v>jetlee@sfsu.edu</v>
      </c>
      <c r="E334" s="19" t="s">
        <v>36</v>
      </c>
      <c r="F334" s="4" t="str">
        <f>IF(OR(A334="",E334="","",A334="?",E334="?"),"duplicate?",IF(COUNTIFS($A:A,A334,E:E,E334)&gt;1,"yes","no"))</f>
        <v>no</v>
      </c>
      <c r="G334" s="92"/>
      <c r="H334" s="57" t="s">
        <v>21</v>
      </c>
      <c r="I334" s="19" t="s">
        <v>59</v>
      </c>
      <c r="J334" s="107"/>
      <c r="K334" s="97" t="str">
        <f ca="1">IF(J334="","Date",IF(J334&lt;&gt;"",IF(K334="Date",NOW(),K334),""))</f>
        <v>Date</v>
      </c>
      <c r="L334" s="84" t="s">
        <v>104</v>
      </c>
    </row>
    <row r="335" spans="1:12">
      <c r="A335" s="19">
        <v>907441085</v>
      </c>
      <c r="B335" s="96">
        <v>45036</v>
      </c>
      <c r="C335" s="19" t="str">
        <f>IF(ISBLANK(A335),"Name",IF(ISNA(VLOOKUP(A335,'Master List'!A:C,2,FALSE)), "Not Found", VLOOKUP(A335,'Master List'!A:C,2,FALSE)))</f>
        <v>Cathy Rath</v>
      </c>
      <c r="D335" s="19" t="str">
        <f>IF(ISBLANK(A335), "Email",IF(ISNA(VLOOKUP(A335,'Master List'!A:C,3,FALSE)), "Not Found", VLOOKUP(A335,'Master List'!A:C,3,FALSE)))</f>
        <v>crath@sfsu.edu</v>
      </c>
      <c r="E335" s="19" t="s">
        <v>36</v>
      </c>
      <c r="F335" s="4" t="str">
        <f>IF(OR(A335="",E335="","",A335="?",E335="?"),"duplicate?",IF(COUNTIFS($A:A,A335,E:E,E335)&gt;1,"yes","no"))</f>
        <v>no</v>
      </c>
      <c r="G335" s="92"/>
      <c r="H335" s="57">
        <v>45036</v>
      </c>
      <c r="I335" s="19" t="s">
        <v>66</v>
      </c>
      <c r="J335" s="107"/>
      <c r="K335" s="97" t="str">
        <f ca="1">IF(J335="","Date",IF(J335&lt;&gt;"",IF(K335="Date",NOW(),K335),""))</f>
        <v>Date</v>
      </c>
      <c r="L335" s="84"/>
    </row>
    <row r="336" spans="1:12">
      <c r="A336" s="19">
        <v>907441085</v>
      </c>
      <c r="B336" s="96">
        <v>45036</v>
      </c>
      <c r="C336" s="19" t="str">
        <f>IF(ISBLANK(A336),"Name",IF(ISNA(VLOOKUP(A336,'Master List'!A:C,2,FALSE)), "Not Found", VLOOKUP(A336,'Master List'!A:C,2,FALSE)))</f>
        <v>Cathy Rath</v>
      </c>
      <c r="D336" s="19" t="str">
        <f>IF(ISBLANK(A336), "Email",IF(ISNA(VLOOKUP(A336,'Master List'!A:C,3,FALSE)), "Not Found", VLOOKUP(A336,'Master List'!A:C,3,FALSE)))</f>
        <v>crath@sfsu.edu</v>
      </c>
      <c r="E336" s="19" t="s">
        <v>58</v>
      </c>
      <c r="F336" s="4" t="str">
        <f>IF(OR(A336="",E336="","",A336="?",E336="?"),"duplicate?",IF(COUNTIFS($A:A,A336,E:E,E336)&gt;1,"yes","no"))</f>
        <v>no</v>
      </c>
      <c r="G336" s="92"/>
      <c r="H336" s="57">
        <v>45036</v>
      </c>
      <c r="I336" s="19" t="s">
        <v>66</v>
      </c>
      <c r="J336" s="107"/>
      <c r="K336" s="97" t="str">
        <f ca="1">IF(J336="","Date",IF(J336&lt;&gt;"",IF(K336="Date",NOW(),K336),""))</f>
        <v>Date</v>
      </c>
      <c r="L336" s="84"/>
    </row>
    <row r="337" spans="1:12">
      <c r="A337" s="19">
        <v>907441085</v>
      </c>
      <c r="B337" s="96">
        <v>45036</v>
      </c>
      <c r="C337" s="19" t="str">
        <f>IF(ISBLANK(A337),"Name",IF(ISNA(VLOOKUP(A337,'Master List'!A:C,2,FALSE)), "Not Found", VLOOKUP(A337,'Master List'!A:C,2,FALSE)))</f>
        <v>Cathy Rath</v>
      </c>
      <c r="D337" s="19" t="str">
        <f>IF(ISBLANK(A337), "Email",IF(ISNA(VLOOKUP(A337,'Master List'!A:C,3,FALSE)), "Not Found", VLOOKUP(A337,'Master List'!A:C,3,FALSE)))</f>
        <v>crath@sfsu.edu</v>
      </c>
      <c r="E337" s="19" t="s">
        <v>76</v>
      </c>
      <c r="F337" s="4" t="str">
        <f>IF(OR(A337="",E337="","",A337="?",E337="?"),"duplicate?",IF(COUNTIFS($A:A,A337,E:E,E337)&gt;1,"yes","no"))</f>
        <v>no</v>
      </c>
      <c r="G337" s="92"/>
      <c r="H337" s="57">
        <v>45036</v>
      </c>
      <c r="I337" s="19" t="s">
        <v>66</v>
      </c>
      <c r="J337" s="107"/>
      <c r="K337" s="97" t="str">
        <f ca="1">IF(J337="","Date",IF(J337&lt;&gt;"",IF(K337="Date",NOW(),K337),""))</f>
        <v>Date</v>
      </c>
      <c r="L337" s="84"/>
    </row>
    <row r="338" spans="1:12">
      <c r="A338" s="19">
        <v>912217220</v>
      </c>
      <c r="B338" s="96">
        <v>45041</v>
      </c>
      <c r="C338" s="19" t="str">
        <f>IF(ISBLANK(A338),"Name",IF(ISNA(VLOOKUP(A338,'Master List'!A:C,2,FALSE)), "Not Found", VLOOKUP(A338,'Master List'!A:C,2,FALSE)))</f>
        <v>Robert Pina</v>
      </c>
      <c r="D338" s="19" t="str">
        <f>IF(ISBLANK(A338), "Email",IF(ISNA(VLOOKUP(A338,'Master List'!A:C,3,FALSE)), "Not Found", VLOOKUP(A338,'Master List'!A:C,3,FALSE)))</f>
        <v>pina@mail.sfsu.edu</v>
      </c>
      <c r="E338" s="19" t="s">
        <v>19</v>
      </c>
      <c r="F338" s="4" t="str">
        <f>IF(OR(A338="",E338="","",A338="?",E338="?"),"duplicate?",IF(COUNTIFS($A:A,A338,E:E,E338)&gt;1,"yes","no"))</f>
        <v>no</v>
      </c>
      <c r="G338" s="92"/>
      <c r="H338" s="57">
        <v>45078</v>
      </c>
      <c r="I338" s="19" t="s">
        <v>55</v>
      </c>
      <c r="J338" s="107"/>
      <c r="K338" s="97" t="str">
        <f ca="1">IF(J338="","Date",IF(J338&lt;&gt;"",IF(K338="Date",NOW(),K338),""))</f>
        <v>Date</v>
      </c>
      <c r="L338" s="84"/>
    </row>
    <row r="339" spans="1:12">
      <c r="A339" s="19">
        <v>900045658</v>
      </c>
      <c r="B339" s="96">
        <v>45042</v>
      </c>
      <c r="C339" s="19" t="str">
        <f>IF(ISBLANK(A339),"Name",IF(ISNA(VLOOKUP(A339,'Master List'!A:C,2,FALSE)), "Not Found", VLOOKUP(A339,'Master List'!A:C,2,FALSE)))</f>
        <v>Vera Klimkovsky</v>
      </c>
      <c r="D339" s="19" t="str">
        <f>IF(ISBLANK(A339), "Email",IF(ISNA(VLOOKUP(A339,'Master List'!A:C,3,FALSE)), "Not Found", VLOOKUP(A339,'Master List'!A:C,3,FALSE)))</f>
        <v>klimkovs@sfsu.edu</v>
      </c>
      <c r="E339" s="19" t="s">
        <v>105</v>
      </c>
      <c r="F339" s="4" t="str">
        <f>IF(OR(A339="",E339="","",A339="?",E339="?"),"duplicate?",IF(COUNTIFS($A:A,A339,E:E,E339)&gt;1,"yes","no"))</f>
        <v>no</v>
      </c>
      <c r="G339" s="92"/>
      <c r="H339" s="57" t="s">
        <v>21</v>
      </c>
      <c r="I339" s="19" t="s">
        <v>54</v>
      </c>
      <c r="J339" s="107"/>
      <c r="K339" s="97" t="str">
        <f ca="1">IF(J339="","Date",IF(J339&lt;&gt;"",IF(K339="Date",NOW(),K339),""))</f>
        <v>Date</v>
      </c>
      <c r="L339" s="84"/>
    </row>
    <row r="340" spans="1:12">
      <c r="A340" s="19">
        <v>918834142</v>
      </c>
      <c r="B340" s="96">
        <v>45042</v>
      </c>
      <c r="C340" s="19" t="str">
        <f>IF(ISBLANK(A340),"Name",IF(ISNA(VLOOKUP(A340,'Master List'!A:C,2,FALSE)), "Not Found", VLOOKUP(A340,'Master List'!A:C,2,FALSE)))</f>
        <v>Shuoyuan He</v>
      </c>
      <c r="D340" s="19" t="str">
        <f>IF(ISBLANK(A340), "Email",IF(ISNA(VLOOKUP(A340,'Master List'!A:C,3,FALSE)), "Not Found", VLOOKUP(A340,'Master List'!A:C,3,FALSE)))</f>
        <v>shhe@sfsu.edu</v>
      </c>
      <c r="E340" s="19" t="s">
        <v>51</v>
      </c>
      <c r="F340" s="4" t="str">
        <f>IF(OR(A340="",E340="","",A340="?",E340="?"),"duplicate?",IF(COUNTIFS($A:A,A340,E:E,E340)&gt;1,"yes","no"))</f>
        <v>no</v>
      </c>
      <c r="G340" s="92"/>
      <c r="H340" s="57" t="s">
        <v>21</v>
      </c>
      <c r="I340" s="19" t="s">
        <v>54</v>
      </c>
      <c r="J340" s="107"/>
      <c r="K340" s="97" t="str">
        <f ca="1">IF(J340="","Date",IF(J340&lt;&gt;"",IF(K340="Date",NOW(),K340),""))</f>
        <v>Date</v>
      </c>
      <c r="L340" s="84" t="s">
        <v>106</v>
      </c>
    </row>
    <row r="341" spans="1:12">
      <c r="A341" s="19">
        <v>904239211</v>
      </c>
      <c r="B341" s="96">
        <v>45043</v>
      </c>
      <c r="C341" s="19" t="str">
        <f>IF(ISBLANK(A341),"Name",IF(ISNA(VLOOKUP(A341,'Master List'!A:C,2,FALSE)), "Not Found", VLOOKUP(A341,'Master List'!A:C,2,FALSE)))</f>
        <v>Nancy Martin</v>
      </c>
      <c r="D341" s="19" t="str">
        <f>IF(ISBLANK(A341), "Email",IF(ISNA(VLOOKUP(A341,'Master List'!A:C,3,FALSE)), "Not Found", VLOOKUP(A341,'Master List'!A:C,3,FALSE)))</f>
        <v>nmarti10@mail.sfsu.edu</v>
      </c>
      <c r="E341" s="19" t="s">
        <v>19</v>
      </c>
      <c r="F341" s="4" t="str">
        <f>IF(OR(A341="",E341="","",A341="?",E341="?"),"duplicate?",IF(COUNTIFS($A:A,A341,E:E,E341)&gt;1,"yes","no"))</f>
        <v>no</v>
      </c>
      <c r="G341" s="92"/>
      <c r="H341" s="57" t="s">
        <v>21</v>
      </c>
      <c r="I341" s="19"/>
      <c r="J341" s="107"/>
      <c r="K341" s="97" t="str">
        <f ca="1">IF(J341="","Date",IF(J341&lt;&gt;"",IF(K341="Date",NOW(),K341),""))</f>
        <v>Date</v>
      </c>
      <c r="L341" s="84"/>
    </row>
    <row r="342" spans="1:12">
      <c r="A342" s="19">
        <v>900017994</v>
      </c>
      <c r="B342" s="96">
        <v>45050</v>
      </c>
      <c r="C342" s="19" t="str">
        <f>IF(ISBLANK(A342),"Name",IF(ISNA(VLOOKUP(A342,'Master List'!A:C,2,FALSE)), "Not Found", VLOOKUP(A342,'Master List'!A:C,2,FALSE)))</f>
        <v>Julie Paulson</v>
      </c>
      <c r="D342" s="19" t="str">
        <f>IF(ISBLANK(A342), "Email",IF(ISNA(VLOOKUP(A342,'Master List'!A:C,3,FALSE)), "Not Found", VLOOKUP(A342,'Master List'!A:C,3,FALSE)))</f>
        <v>jpaulson@sfsu.edu</v>
      </c>
      <c r="E342" s="19" t="s">
        <v>89</v>
      </c>
      <c r="F342" s="4" t="str">
        <f>IF(OR(A342="",E342="","",A342="?",E342="?"),"duplicate?",IF(COUNTIFS($A:A,A342,E:E,E342)&gt;1,"yes","no"))</f>
        <v>no</v>
      </c>
      <c r="G342" s="92"/>
      <c r="H342" s="57">
        <v>45050</v>
      </c>
      <c r="I342" s="19" t="s">
        <v>52</v>
      </c>
      <c r="J342" s="107"/>
      <c r="K342" s="97" t="str">
        <f ca="1">IF(J342="","Date",IF(J342&lt;&gt;"",IF(K342="Date",NOW(),K342),""))</f>
        <v>Date</v>
      </c>
      <c r="L342" s="84" t="s">
        <v>107</v>
      </c>
    </row>
    <row r="343" spans="1:12">
      <c r="A343" s="19">
        <v>904975115</v>
      </c>
      <c r="B343" s="96">
        <v>45051</v>
      </c>
      <c r="C343" s="19" t="str">
        <f>IF(ISBLANK(A343),"Name",IF(ISNA(VLOOKUP(A343,'Master List'!A:C,2,FALSE)), "Not Found", VLOOKUP(A343,'Master List'!A:C,2,FALSE)))</f>
        <v>Elizabeth Hallford</v>
      </c>
      <c r="D343" s="19" t="str">
        <f>IF(ISBLANK(A343), "Email",IF(ISNA(VLOOKUP(A343,'Master List'!A:C,3,FALSE)), "Not Found", VLOOKUP(A343,'Master List'!A:C,3,FALSE)))</f>
        <v>betsey8050@mac.com</v>
      </c>
      <c r="E343" s="19" t="s">
        <v>19</v>
      </c>
      <c r="F343" s="4" t="str">
        <f>IF(OR(A343="",E343="","",A343="?",E343="?"),"duplicate?",IF(COUNTIFS($A:A,A343,E:E,E343)&gt;1,"yes","no"))</f>
        <v>yes</v>
      </c>
      <c r="G343" s="92"/>
      <c r="H343" s="57">
        <v>45061</v>
      </c>
      <c r="I343" s="19" t="s">
        <v>69</v>
      </c>
      <c r="J343" s="107"/>
      <c r="K343" s="97" t="str">
        <f ca="1">IF(J343="","Date",IF(J343&lt;&gt;"",IF(K343="Date",NOW(),K343),""))</f>
        <v>Date</v>
      </c>
      <c r="L343" s="84" t="s">
        <v>108</v>
      </c>
    </row>
    <row r="344" spans="1:12">
      <c r="A344" s="19">
        <v>904975115</v>
      </c>
      <c r="B344" s="96">
        <v>45054</v>
      </c>
      <c r="C344" s="19" t="str">
        <f>IF(ISBLANK(A344),"Name",IF(ISNA(VLOOKUP(A344,'Master List'!A:C,2,FALSE)), "Not Found", VLOOKUP(A344,'Master List'!A:C,2,FALSE)))</f>
        <v>Elizabeth Hallford</v>
      </c>
      <c r="D344" s="19" t="str">
        <f>IF(ISBLANK(A344), "Email",IF(ISNA(VLOOKUP(A344,'Master List'!A:C,3,FALSE)), "Not Found", VLOOKUP(A344,'Master List'!A:C,3,FALSE)))</f>
        <v>betsey8050@mac.com</v>
      </c>
      <c r="E344" s="19" t="s">
        <v>19</v>
      </c>
      <c r="F344" s="4" t="str">
        <f>IF(OR(A344="",E344="","",A344="?",E344="?"),"duplicate?",IF(COUNTIFS($A:A,A344,E:E,E344)&gt;1,"yes","no"))</f>
        <v>yes</v>
      </c>
      <c r="G344" s="92"/>
      <c r="H344" s="57" t="s">
        <v>21</v>
      </c>
      <c r="I344" s="19" t="s">
        <v>66</v>
      </c>
      <c r="J344" s="107"/>
      <c r="K344" s="97" t="str">
        <f ca="1">IF(J344="","Date",IF(J344&lt;&gt;"",IF(K344="Date",NOW(),K344),""))</f>
        <v>Date</v>
      </c>
      <c r="L344" s="84" t="s">
        <v>109</v>
      </c>
    </row>
    <row r="345" spans="1:12">
      <c r="A345" s="19">
        <v>901790713</v>
      </c>
      <c r="B345" s="96">
        <v>45054</v>
      </c>
      <c r="C345" s="19" t="str">
        <f>IF(ISBLANK(A345),"Name",IF(ISNA(VLOOKUP(A345,'Master List'!A:C,2,FALSE)), "Not Found", VLOOKUP(A345,'Master List'!A:C,2,FALSE)))</f>
        <v>Brad Erickson</v>
      </c>
      <c r="D345" s="19" t="str">
        <f>IF(ISBLANK(A345), "Email",IF(ISNA(VLOOKUP(A345,'Master List'!A:C,3,FALSE)), "Not Found", VLOOKUP(A345,'Master List'!A:C,3,FALSE)))</f>
        <v>berickso@sfsu.edu</v>
      </c>
      <c r="E345" s="19" t="s">
        <v>19</v>
      </c>
      <c r="F345" s="4" t="str">
        <f>IF(OR(A345="",E345="","",A345="?",E345="?"),"duplicate?",IF(COUNTIFS($A:A,A345,E:E,E345)&gt;1,"yes","no"))</f>
        <v>no</v>
      </c>
      <c r="G345" s="92"/>
      <c r="H345" s="57" t="s">
        <v>21</v>
      </c>
      <c r="I345" s="19" t="s">
        <v>61</v>
      </c>
      <c r="J345" s="107"/>
      <c r="K345" s="97" t="str">
        <f ca="1">IF(J345="","Date",IF(J345&lt;&gt;"",IF(K345="Date",NOW(),K345),""))</f>
        <v>Date</v>
      </c>
      <c r="L345" s="84"/>
    </row>
    <row r="346" spans="1:12">
      <c r="A346" s="19">
        <v>917243813</v>
      </c>
      <c r="B346" s="96">
        <v>45054</v>
      </c>
      <c r="C346" s="19" t="str">
        <f>IF(ISBLANK(A346),"Name",IF(ISNA(VLOOKUP(A346,'Master List'!A:C,2,FALSE)), "Not Found", VLOOKUP(A346,'Master List'!A:C,2,FALSE)))</f>
        <v>Kimbrough Moore</v>
      </c>
      <c r="D346" s="19" t="str">
        <f>IF(ISBLANK(A346), "Email",IF(ISNA(VLOOKUP(A346,'Master List'!A:C,3,FALSE)), "Not Found", VLOOKUP(A346,'Master List'!A:C,3,FALSE)))</f>
        <v>amoore8@sfsu.edu</v>
      </c>
      <c r="E346" s="19" t="s">
        <v>19</v>
      </c>
      <c r="F346" s="4" t="str">
        <f>IF(OR(A346="",E346="","",A346="?",E346="?"),"duplicate?",IF(COUNTIFS($A:A,A346,E:E,E346)&gt;1,"yes","no"))</f>
        <v>yes</v>
      </c>
      <c r="G346" s="92"/>
      <c r="H346" s="57">
        <v>45072</v>
      </c>
      <c r="I346" s="19" t="s">
        <v>99</v>
      </c>
      <c r="J346" s="107"/>
      <c r="K346" s="97" t="str">
        <f ca="1">IF(J346="","Date",IF(J346&lt;&gt;"",IF(K346="Date",NOW(),K346),""))</f>
        <v>Date</v>
      </c>
      <c r="L346" s="84"/>
    </row>
    <row r="347" spans="1:12">
      <c r="A347" s="19">
        <v>917924870</v>
      </c>
      <c r="B347" s="96">
        <v>45055</v>
      </c>
      <c r="C347" s="19" t="str">
        <f>IF(ISBLANK(A347),"Name",IF(ISNA(VLOOKUP(A347,'Master List'!A:C,2,FALSE)), "Not Found", VLOOKUP(A347,'Master List'!A:C,2,FALSE)))</f>
        <v>Teresa Pratt</v>
      </c>
      <c r="D347" s="19" t="str">
        <f>IF(ISBLANK(A347), "Email",IF(ISNA(VLOOKUP(A347,'Master List'!A:C,3,FALSE)), "Not Found", VLOOKUP(A347,'Master List'!A:C,3,FALSE)))</f>
        <v>tpratt@sfsu.edu</v>
      </c>
      <c r="E347" s="19" t="s">
        <v>25</v>
      </c>
      <c r="F347" s="4" t="str">
        <f>IF(OR(A347="",E347="","",A347="?",E347="?"),"duplicate?",IF(COUNTIFS($A:A,A347,E:E,E347)&gt;1,"yes","no"))</f>
        <v>no</v>
      </c>
      <c r="G347" s="92"/>
      <c r="H347" s="57">
        <v>45062</v>
      </c>
      <c r="I347" s="19" t="s">
        <v>70</v>
      </c>
      <c r="J347" s="107"/>
      <c r="K347" s="97" t="str">
        <f ca="1">IF(J347="","Date",IF(J347&lt;&gt;"",IF(K347="Date",NOW(),K347),""))</f>
        <v>Date</v>
      </c>
      <c r="L347" s="84"/>
    </row>
    <row r="348" spans="1:12">
      <c r="A348" s="19">
        <v>900987456</v>
      </c>
      <c r="B348" s="96">
        <v>45055</v>
      </c>
      <c r="C348" s="19" t="str">
        <f>IF(ISBLANK(A348),"Name",IF(ISNA(VLOOKUP(A348,'Master List'!A:C,2,FALSE)), "Not Found", VLOOKUP(A348,'Master List'!A:C,2,FALSE)))</f>
        <v>Christopher Chekuri</v>
      </c>
      <c r="D348" s="19" t="str">
        <f>IF(ISBLANK(A348), "Email",IF(ISNA(VLOOKUP(A348,'Master List'!A:C,3,FALSE)), "Not Found", VLOOKUP(A348,'Master List'!A:C,3,FALSE)))</f>
        <v>cchekuri@sfsu.edu</v>
      </c>
      <c r="E348" s="19" t="s">
        <v>19</v>
      </c>
      <c r="F348" s="4" t="str">
        <f>IF(OR(A348="",E348="","",A348="?",E348="?"),"duplicate?",IF(COUNTIFS($A:A,A348,E:E,E348)&gt;1,"yes","no"))</f>
        <v>no</v>
      </c>
      <c r="G348" s="92"/>
      <c r="H348" s="57">
        <v>45076</v>
      </c>
      <c r="I348" s="19" t="s">
        <v>54</v>
      </c>
      <c r="J348" s="107"/>
      <c r="K348" s="97" t="str">
        <f ca="1">IF(J348="","Date",IF(J348&lt;&gt;"",IF(K348="Date",NOW(),K348),""))</f>
        <v>Date</v>
      </c>
      <c r="L348" s="84"/>
    </row>
    <row r="349" spans="1:12">
      <c r="A349" s="19">
        <v>913748685</v>
      </c>
      <c r="B349" s="96">
        <v>45055</v>
      </c>
      <c r="C349" s="19" t="str">
        <f>IF(ISBLANK(A349),"Name",IF(ISNA(VLOOKUP(A349,'Master List'!A:C,2,FALSE)), "Not Found", VLOOKUP(A349,'Master List'!A:C,2,FALSE)))</f>
        <v>Xiaorong Zhang</v>
      </c>
      <c r="D349" s="19" t="str">
        <f>IF(ISBLANK(A349), "Email",IF(ISNA(VLOOKUP(A349,'Master List'!A:C,3,FALSE)), "Not Found", VLOOKUP(A349,'Master List'!A:C,3,FALSE)))</f>
        <v>xrzhang@sfsu.edu</v>
      </c>
      <c r="E349" s="19" t="s">
        <v>25</v>
      </c>
      <c r="F349" s="4" t="str">
        <f>IF(OR(A349="",E349="","",A349="?",E349="?"),"duplicate?",IF(COUNTIFS($A:A,A349,E:E,E349)&gt;1,"yes","no"))</f>
        <v>no</v>
      </c>
      <c r="G349" s="92"/>
      <c r="H349" s="57">
        <v>45078</v>
      </c>
      <c r="I349" s="19" t="s">
        <v>55</v>
      </c>
      <c r="J349" s="107"/>
      <c r="K349" s="97" t="str">
        <f ca="1">IF(J349="","Date",IF(J349&lt;&gt;"",IF(K349="Date",NOW(),K349),""))</f>
        <v>Date</v>
      </c>
      <c r="L349" s="84"/>
    </row>
    <row r="350" spans="1:12">
      <c r="A350" s="19">
        <v>908778356</v>
      </c>
      <c r="B350" s="96">
        <v>45056</v>
      </c>
      <c r="C350" s="19" t="str">
        <f>IF(ISBLANK(A350),"Name",IF(ISNA(VLOOKUP(A350,'Master List'!A:C,2,FALSE)), "Not Found", VLOOKUP(A350,'Master List'!A:C,2,FALSE)))</f>
        <v>Allen Conkle</v>
      </c>
      <c r="D350" s="19" t="str">
        <f>IF(ISBLANK(A350), "Email",IF(ISNA(VLOOKUP(A350,'Master List'!A:C,3,FALSE)), "Not Found", VLOOKUP(A350,'Master List'!A:C,3,FALSE)))</f>
        <v>aconkle@sfsu.edu</v>
      </c>
      <c r="E350" s="19" t="s">
        <v>36</v>
      </c>
      <c r="F350" s="4" t="str">
        <f>IF(OR(A350="",E350="","",A350="?",E350="?"),"duplicate?",IF(COUNTIFS($A:A,A350,E:E,E350)&gt;1,"yes","no"))</f>
        <v>no</v>
      </c>
      <c r="G350" s="92"/>
      <c r="H350" s="57">
        <v>45057</v>
      </c>
      <c r="I350" s="19" t="s">
        <v>54</v>
      </c>
      <c r="J350" s="107"/>
      <c r="K350" s="97" t="str">
        <f ca="1">IF(J350="","Date",IF(J350&lt;&gt;"",IF(K350="Date",NOW(),K350),""))</f>
        <v>Date</v>
      </c>
      <c r="L350" s="84"/>
    </row>
    <row r="351" spans="1:12">
      <c r="A351" s="19">
        <v>908778356</v>
      </c>
      <c r="B351" s="96">
        <v>45056</v>
      </c>
      <c r="C351" s="19" t="str">
        <f>IF(ISBLANK(A351),"Name",IF(ISNA(VLOOKUP(A351,'Master List'!A:C,2,FALSE)), "Not Found", VLOOKUP(A351,'Master List'!A:C,2,FALSE)))</f>
        <v>Allen Conkle</v>
      </c>
      <c r="D351" s="19" t="str">
        <f>IF(ISBLANK(A351), "Email",IF(ISNA(VLOOKUP(A351,'Master List'!A:C,3,FALSE)), "Not Found", VLOOKUP(A351,'Master List'!A:C,3,FALSE)))</f>
        <v>aconkle@sfsu.edu</v>
      </c>
      <c r="E351" s="19" t="s">
        <v>58</v>
      </c>
      <c r="F351" s="4" t="str">
        <f>IF(OR(A351="",E351="","",A351="?",E351="?"),"duplicate?",IF(COUNTIFS($A:A,A351,E:E,E351)&gt;1,"yes","no"))</f>
        <v>no</v>
      </c>
      <c r="G351" s="92"/>
      <c r="H351" s="57">
        <v>45057</v>
      </c>
      <c r="I351" s="19" t="s">
        <v>54</v>
      </c>
      <c r="J351" s="107"/>
      <c r="K351" s="97" t="str">
        <f ca="1">IF(J351="","Date",IF(J351&lt;&gt;"",IF(K351="Date",NOW(),K351),""))</f>
        <v>Date</v>
      </c>
      <c r="L351" s="84"/>
    </row>
    <row r="352" spans="1:12">
      <c r="A352" s="19">
        <v>900013652</v>
      </c>
      <c r="B352" s="96">
        <v>45057</v>
      </c>
      <c r="C352" s="19" t="str">
        <f>IF(ISBLANK(A352),"Name",IF(ISNA(VLOOKUP(A352,'Master List'!A:C,2,FALSE)), "Not Found", VLOOKUP(A352,'Master List'!A:C,2,FALSE)))</f>
        <v>Anne Galjour</v>
      </c>
      <c r="D352" s="19" t="str">
        <f>IF(ISBLANK(A352), "Email",IF(ISNA(VLOOKUP(A352,'Master List'!A:C,3,FALSE)), "Not Found", VLOOKUP(A352,'Master List'!A:C,3,FALSE)))</f>
        <v>agaljour@sfsu.edu</v>
      </c>
      <c r="E352" s="19" t="s">
        <v>25</v>
      </c>
      <c r="F352" s="4" t="str">
        <f>IF(OR(A352="",E352="","",A352="?",E352="?"),"duplicate?",IF(COUNTIFS($A:A,A352,E:E,E352)&gt;1,"yes","no"))</f>
        <v>no</v>
      </c>
      <c r="G352" s="92"/>
      <c r="H352" s="57">
        <v>45063</v>
      </c>
      <c r="I352" s="19" t="s">
        <v>99</v>
      </c>
      <c r="J352" s="107"/>
      <c r="K352" s="97" t="str">
        <f ca="1">IF(J352="","Date",IF(J352&lt;&gt;"",IF(K352="Date",NOW(),K352),""))</f>
        <v>Date</v>
      </c>
      <c r="L352" s="84"/>
    </row>
    <row r="353" spans="1:12">
      <c r="A353" s="19">
        <v>918827291</v>
      </c>
      <c r="B353" s="96">
        <v>45061</v>
      </c>
      <c r="C353" s="19" t="str">
        <f>IF(ISBLANK(A353),"Name",IF(ISNA(VLOOKUP(A353,'Master List'!A:C,2,FALSE)), "Not Found", VLOOKUP(A353,'Master List'!A:C,2,FALSE)))</f>
        <v>Sara-Lee Jaffe</v>
      </c>
      <c r="D353" s="19" t="str">
        <f>IF(ISBLANK(A353), "Email",IF(ISNA(VLOOKUP(A353,'Master List'!A:C,3,FALSE)), "Not Found", VLOOKUP(A353,'Master List'!A:C,3,FALSE)))</f>
        <v>sarajaffe@sfsu.edu</v>
      </c>
      <c r="E353" s="19" t="s">
        <v>19</v>
      </c>
      <c r="F353" s="4" t="str">
        <f>IF(OR(A353="",E353="","",A353="?",E353="?"),"duplicate?",IF(COUNTIFS($A:A,A353,E:E,E353)&gt;1,"yes","no"))</f>
        <v>no</v>
      </c>
      <c r="G353" s="92"/>
      <c r="H353" s="57">
        <v>45072</v>
      </c>
      <c r="I353" s="19" t="s">
        <v>61</v>
      </c>
      <c r="J353" s="107"/>
      <c r="K353" s="97" t="str">
        <f ca="1">IF(J353="","Date",IF(J353&lt;&gt;"",IF(K353="Date",NOW(),K353),""))</f>
        <v>Date</v>
      </c>
      <c r="L353" s="84"/>
    </row>
    <row r="354" spans="1:12">
      <c r="A354" s="19">
        <v>912298795</v>
      </c>
      <c r="B354" s="96">
        <v>45062</v>
      </c>
      <c r="C354" s="19" t="str">
        <f>IF(ISBLANK(A354),"Name",IF(ISNA(VLOOKUP(A354,'Master List'!A:C,2,FALSE)), "Not Found", VLOOKUP(A354,'Master List'!A:C,2,FALSE)))</f>
        <v>Gil Perez</v>
      </c>
      <c r="D354" s="19" t="str">
        <f>IF(ISBLANK(A354), "Email",IF(ISNA(VLOOKUP(A354,'Master List'!A:C,3,FALSE)), "Not Found", VLOOKUP(A354,'Master List'!A:C,3,FALSE)))</f>
        <v>perezgil@sfsu.edu</v>
      </c>
      <c r="E354" s="19" t="s">
        <v>67</v>
      </c>
      <c r="F354" s="4" t="str">
        <f>IF(OR(A354="",E354="","",A354="?",E354="?"),"duplicate?",IF(COUNTIFS($A:A,A354,E:E,E354)&gt;1,"yes","no"))</f>
        <v>no</v>
      </c>
      <c r="G354" s="92"/>
      <c r="H354" s="57">
        <v>45070</v>
      </c>
      <c r="I354" s="19" t="s">
        <v>99</v>
      </c>
      <c r="J354" s="107"/>
      <c r="K354" s="97" t="str">
        <f ca="1">IF(J354="","Date",IF(J354&lt;&gt;"",IF(K354="Date",NOW(),K354),""))</f>
        <v>Date</v>
      </c>
      <c r="L354" s="84"/>
    </row>
    <row r="355" spans="1:12">
      <c r="A355" s="19">
        <v>918825172</v>
      </c>
      <c r="B355" s="96">
        <v>45063</v>
      </c>
      <c r="C355" s="19" t="str">
        <f>IF(ISBLANK(A355),"Name",IF(ISNA(VLOOKUP(A355,'Master List'!A:C,2,FALSE)), "Not Found", VLOOKUP(A355,'Master List'!A:C,2,FALSE)))</f>
        <v>Carina Gallo</v>
      </c>
      <c r="D355" s="19" t="str">
        <f>IF(ISBLANK(A355), "Email",IF(ISNA(VLOOKUP(A355,'Master List'!A:C,3,FALSE)), "Not Found", VLOOKUP(A355,'Master List'!A:C,3,FALSE)))</f>
        <v>cgallo@sfsu.edu</v>
      </c>
      <c r="E355" s="19" t="s">
        <v>19</v>
      </c>
      <c r="F355" s="4" t="str">
        <f>IF(OR(A355="",E355="","",A355="?",E355="?"),"duplicate?",IF(COUNTIFS($A:A,A355,E:E,E355)&gt;1,"yes","no"))</f>
        <v>yes</v>
      </c>
      <c r="G355" s="92"/>
      <c r="H355" s="57">
        <v>45063</v>
      </c>
      <c r="I355" s="19" t="s">
        <v>59</v>
      </c>
      <c r="J355" s="107"/>
      <c r="K355" s="97" t="str">
        <f ca="1">IF(J355="","Date",IF(J355&lt;&gt;"",IF(K355="Date",NOW(),K355),""))</f>
        <v>Date</v>
      </c>
      <c r="L355" s="84"/>
    </row>
    <row r="356" spans="1:12">
      <c r="A356" s="19">
        <v>904495610</v>
      </c>
      <c r="B356" s="96">
        <v>45063</v>
      </c>
      <c r="C356" s="19" t="str">
        <f>IF(ISBLANK(A356),"Name",IF(ISNA(VLOOKUP(A356,'Master List'!A:C,2,FALSE)), "Not Found", VLOOKUP(A356,'Master List'!A:C,2,FALSE)))</f>
        <v>Candace Low</v>
      </c>
      <c r="D356" s="19" t="str">
        <f>IF(ISBLANK(A356), "Email",IF(ISNA(VLOOKUP(A356,'Master List'!A:C,3,FALSE)), "Not Found", VLOOKUP(A356,'Master List'!A:C,3,FALSE)))</f>
        <v>clowsf@sfsu.edu</v>
      </c>
      <c r="E356" s="19" t="s">
        <v>19</v>
      </c>
      <c r="F356" s="4" t="str">
        <f>IF(OR(A356="",E356="","",A356="?",E356="?"),"duplicate?",IF(COUNTIFS($A:A,A356,E:E,E356)&gt;1,"yes","no"))</f>
        <v>no</v>
      </c>
      <c r="G356" s="92"/>
      <c r="H356" s="57">
        <v>45078</v>
      </c>
      <c r="I356" s="19"/>
      <c r="J356" s="107"/>
      <c r="K356" s="97" t="str">
        <f ca="1">IF(J356="","Date",IF(J356&lt;&gt;"",IF(K356="Date",NOW(),K356),""))</f>
        <v>Date</v>
      </c>
      <c r="L356" s="84"/>
    </row>
    <row r="357" spans="1:12">
      <c r="A357" s="19">
        <v>911079720</v>
      </c>
      <c r="B357" s="96">
        <v>45063</v>
      </c>
      <c r="C357" s="19" t="str">
        <f>IF(ISBLANK(A357),"Name",IF(ISNA(VLOOKUP(A357,'Master List'!A:C,2,FALSE)), "Not Found", VLOOKUP(A357,'Master List'!A:C,2,FALSE)))</f>
        <v>Joshua Baltodano</v>
      </c>
      <c r="D357" s="19" t="str">
        <f>IF(ISBLANK(A357), "Email",IF(ISNA(VLOOKUP(A357,'Master List'!A:C,3,FALSE)), "Not Found", VLOOKUP(A357,'Master List'!A:C,3,FALSE)))</f>
        <v>jbltodano@sfsu.edu</v>
      </c>
      <c r="E357" s="19" t="s">
        <v>30</v>
      </c>
      <c r="F357" s="4" t="str">
        <f>IF(OR(A357="",E357="","",A357="?",E357="?"),"duplicate?",IF(COUNTIFS($A:A,A357,E:E,E357)&gt;1,"yes","no"))</f>
        <v>no</v>
      </c>
      <c r="G357" s="92"/>
      <c r="H357" s="57">
        <v>45078</v>
      </c>
      <c r="I357" s="19" t="s">
        <v>55</v>
      </c>
      <c r="J357" s="107"/>
      <c r="K357" s="97" t="str">
        <f ca="1">IF(J357="","Date",IF(J357&lt;&gt;"",IF(K357="Date",NOW(),K357),""))</f>
        <v>Date</v>
      </c>
      <c r="L357" s="84" t="s">
        <v>110</v>
      </c>
    </row>
    <row r="358" spans="1:12">
      <c r="A358" s="19">
        <v>900037065</v>
      </c>
      <c r="B358" s="96">
        <v>45064</v>
      </c>
      <c r="C358" s="19" t="str">
        <f>IF(ISBLANK(A358),"Name",IF(ISNA(VLOOKUP(A358,'Master List'!A:C,2,FALSE)), "Not Found", VLOOKUP(A358,'Master List'!A:C,2,FALSE)))</f>
        <v>Lynne Hoang</v>
      </c>
      <c r="D358" s="19" t="str">
        <f>IF(ISBLANK(A358), "Email",IF(ISNA(VLOOKUP(A358,'Master List'!A:C,3,FALSE)), "Not Found", VLOOKUP(A358,'Master List'!A:C,3,FALSE)))</f>
        <v>lynnethi@sfsu.edu</v>
      </c>
      <c r="E358" s="19" t="s">
        <v>105</v>
      </c>
      <c r="F358" s="4" t="str">
        <f>IF(OR(A358="",E358="","",A358="?",E358="?"),"duplicate?",IF(COUNTIFS($A:A,A358,E:E,E358)&gt;1,"yes","no"))</f>
        <v>no</v>
      </c>
      <c r="G358" s="92"/>
      <c r="H358" s="57">
        <v>45065</v>
      </c>
      <c r="I358" s="19" t="s">
        <v>65</v>
      </c>
      <c r="J358" s="107"/>
      <c r="K358" s="97" t="str">
        <f ca="1">IF(J358="","Date",IF(J358&lt;&gt;"",IF(K358="Date",NOW(),K358),""))</f>
        <v>Date</v>
      </c>
      <c r="L358" s="84" t="s">
        <v>111</v>
      </c>
    </row>
    <row r="359" spans="1:12">
      <c r="A359" s="19">
        <v>910658039</v>
      </c>
      <c r="B359" s="96">
        <v>45082</v>
      </c>
      <c r="C359" s="19" t="str">
        <f>IF(ISBLANK(A359),"Name",IF(ISNA(VLOOKUP(A359,'Master List'!A:C,2,FALSE)), "Not Found", VLOOKUP(A359,'Master List'!A:C,2,FALSE)))</f>
        <v>Jeremy Domasian</v>
      </c>
      <c r="D359" s="19" t="str">
        <f>IF(ISBLANK(A359), "Email",IF(ISNA(VLOOKUP(A359,'Master List'!A:C,3,FALSE)), "Not Found", VLOOKUP(A359,'Master List'!A:C,3,FALSE)))</f>
        <v>jeremy@sfsu.edu</v>
      </c>
      <c r="E359" s="19" t="s">
        <v>51</v>
      </c>
      <c r="F359" s="4" t="str">
        <f>IF(OR(A359="",E359="","",A359="?",E359="?"),"duplicate?",IF(COUNTIFS($A:A,A359,E:E,E359)&gt;1,"yes","no"))</f>
        <v>no</v>
      </c>
      <c r="G359" s="92"/>
      <c r="H359" s="57">
        <v>45170</v>
      </c>
      <c r="I359" s="19" t="s">
        <v>71</v>
      </c>
      <c r="J359" s="107"/>
      <c r="K359" s="97" t="str">
        <f ca="1">IF(J359="","Date",IF(J359&lt;&gt;"",IF(K359="Date",NOW(),K359),""))</f>
        <v>Date</v>
      </c>
      <c r="L359" s="84"/>
    </row>
    <row r="360" spans="1:12">
      <c r="A360" s="19">
        <v>910658039</v>
      </c>
      <c r="B360" s="96">
        <v>45082</v>
      </c>
      <c r="C360" s="19" t="str">
        <f>IF(ISBLANK(A360),"Name",IF(ISNA(VLOOKUP(A360,'Master List'!A:C,2,FALSE)), "Not Found", VLOOKUP(A360,'Master List'!A:C,2,FALSE)))</f>
        <v>Jeremy Domasian</v>
      </c>
      <c r="D360" s="19" t="str">
        <f>IF(ISBLANK(A360), "Email",IF(ISNA(VLOOKUP(A360,'Master List'!A:C,3,FALSE)), "Not Found", VLOOKUP(A360,'Master List'!A:C,3,FALSE)))</f>
        <v>jeremy@sfsu.edu</v>
      </c>
      <c r="E360" s="19" t="s">
        <v>112</v>
      </c>
      <c r="F360" s="4" t="str">
        <f>IF(OR(A360="",E360="","",A360="?",E360="?"),"duplicate?",IF(COUNTIFS($A:A,A360,E:E,E360)&gt;1,"yes","no"))</f>
        <v>no</v>
      </c>
      <c r="G360" s="92"/>
      <c r="H360" s="57">
        <v>45170</v>
      </c>
      <c r="I360" s="19" t="s">
        <v>71</v>
      </c>
      <c r="J360" s="107"/>
      <c r="K360" s="97" t="str">
        <f ca="1">IF(J360="","Date",IF(J360&lt;&gt;"",IF(K360="Date",NOW(),K360),""))</f>
        <v>Date</v>
      </c>
      <c r="L360" s="84"/>
    </row>
    <row r="361" spans="1:12">
      <c r="A361" s="19">
        <v>900031306</v>
      </c>
      <c r="B361" s="96">
        <v>45083</v>
      </c>
      <c r="C361" s="19" t="str">
        <f>IF(ISBLANK(A361),"Name",IF(ISNA(VLOOKUP(A361,'Master List'!A:C,2,FALSE)), "Not Found", VLOOKUP(A361,'Master List'!A:C,2,FALSE)))</f>
        <v>Tina Easter</v>
      </c>
      <c r="D361" s="19" t="str">
        <f>IF(ISBLANK(A361), "Email",IF(ISNA(VLOOKUP(A361,'Master List'!A:C,3,FALSE)), "Not Found", VLOOKUP(A361,'Master List'!A:C,3,FALSE)))</f>
        <v>teaster@sfsu.edu</v>
      </c>
      <c r="E361" s="19" t="s">
        <v>30</v>
      </c>
      <c r="F361" s="4" t="str">
        <f>IF(OR(A361="",E361="","",A361="?",E361="?"),"duplicate?",IF(COUNTIFS($A:A,A361,E:E,E361)&gt;1,"yes","no"))</f>
        <v>no</v>
      </c>
      <c r="G361" s="92"/>
      <c r="H361" s="57" t="s">
        <v>21</v>
      </c>
      <c r="I361" s="19" t="s">
        <v>99</v>
      </c>
      <c r="J361" s="107"/>
      <c r="K361" s="97" t="str">
        <f ca="1">IF(J361="","Date",IF(J361&lt;&gt;"",IF(K361="Date",NOW(),K361),""))</f>
        <v>Date</v>
      </c>
      <c r="L361" s="84"/>
    </row>
    <row r="362" spans="1:12">
      <c r="A362" s="19">
        <v>921279525</v>
      </c>
      <c r="B362" s="96">
        <v>45089</v>
      </c>
      <c r="C362" s="19" t="str">
        <f>IF(ISBLANK(A362),"Name",IF(ISNA(VLOOKUP(A362,'Master List'!A:C,2,FALSE)), "Not Found", VLOOKUP(A362,'Master List'!A:C,2,FALSE)))</f>
        <v>Luis Poncio</v>
      </c>
      <c r="D362" s="19" t="str">
        <f>IF(ISBLANK(A362), "Email",IF(ISNA(VLOOKUP(A362,'Master List'!A:C,3,FALSE)), "Not Found", VLOOKUP(A362,'Master List'!A:C,3,FALSE)))</f>
        <v>lponcio@mail.sfsu.edu</v>
      </c>
      <c r="E362" s="19" t="s">
        <v>19</v>
      </c>
      <c r="F362" s="4" t="str">
        <f>IF(OR(A362="",E362="","",A362="?",E362="?"),"duplicate?",IF(COUNTIFS($A:A,A362,E:E,E362)&gt;1,"yes","no"))</f>
        <v>no</v>
      </c>
      <c r="G362" s="92"/>
      <c r="H362" s="57">
        <v>45089</v>
      </c>
      <c r="I362" s="19" t="s">
        <v>99</v>
      </c>
      <c r="J362" s="107"/>
      <c r="K362" s="97" t="str">
        <f ca="1">IF(J362="","Date",IF(J362&lt;&gt;"",IF(K362="Date",NOW(),K362),""))</f>
        <v>Date</v>
      </c>
      <c r="L362" s="84" t="s">
        <v>113</v>
      </c>
    </row>
    <row r="363" spans="1:12">
      <c r="A363" s="19">
        <v>922240615</v>
      </c>
      <c r="B363" s="96">
        <v>45092</v>
      </c>
      <c r="C363" s="19" t="str">
        <f>IF(ISBLANK(A363),"Name",IF(ISNA(VLOOKUP(A363,'Master List'!A:C,2,FALSE)), "Not Found", VLOOKUP(A363,'Master List'!A:C,2,FALSE)))</f>
        <v>Noah Litwer</v>
      </c>
      <c r="D363" s="19" t="str">
        <f>IF(ISBLANK(A363), "Email",IF(ISNA(VLOOKUP(A363,'Master List'!A:C,3,FALSE)), "Not Found", VLOOKUP(A363,'Master List'!A:C,3,FALSE)))</f>
        <v>nlitwer@sfsu.edu</v>
      </c>
      <c r="E363" s="19" t="s">
        <v>19</v>
      </c>
      <c r="F363" s="4" t="str">
        <f>IF(OR(A363="",E363="","",A363="?",E363="?"),"duplicate?",IF(COUNTIFS($A:A,A363,E:E,E363)&gt;1,"yes","no"))</f>
        <v>no</v>
      </c>
      <c r="G363" s="92"/>
      <c r="H363" s="57" t="s">
        <v>21</v>
      </c>
      <c r="I363" s="19" t="s">
        <v>54</v>
      </c>
      <c r="J363" s="107"/>
      <c r="K363" s="97" t="str">
        <f ca="1">IF(J363="","Date",IF(J363&lt;&gt;"",IF(K363="Date",NOW(),K363),""))</f>
        <v>Date</v>
      </c>
      <c r="L363" s="84" t="s">
        <v>114</v>
      </c>
    </row>
    <row r="364" spans="1:12">
      <c r="A364" s="19">
        <v>900016486</v>
      </c>
      <c r="B364" s="96">
        <v>45097</v>
      </c>
      <c r="C364" s="19" t="str">
        <f>IF(ISBLANK(A364),"Name",IF(ISNA(VLOOKUP(A364,'Master List'!A:C,2,FALSE)), "Not Found", VLOOKUP(A364,'Master List'!A:C,2,FALSE)))</f>
        <v>Todd Roehrman</v>
      </c>
      <c r="D364" s="19" t="str">
        <f>IF(ISBLANK(A364), "Email",IF(ISNA(VLOOKUP(A364,'Master List'!A:C,3,FALSE)), "Not Found", VLOOKUP(A364,'Master List'!A:C,3,FALSE)))</f>
        <v>roehrman@sfsu.edu</v>
      </c>
      <c r="E364" s="19" t="s">
        <v>67</v>
      </c>
      <c r="F364" s="4" t="str">
        <f>IF(OR(A364="",E364="","",A364="?",E364="?"),"duplicate?",IF(COUNTIFS($A:A,A364,E:E,E364)&gt;1,"yes","no"))</f>
        <v>no</v>
      </c>
      <c r="G364" s="92"/>
      <c r="H364" s="57" t="s">
        <v>21</v>
      </c>
      <c r="I364" s="19" t="s">
        <v>99</v>
      </c>
      <c r="J364" s="107"/>
      <c r="K364" s="97" t="str">
        <f ca="1">IF(J364="","Date",IF(J364&lt;&gt;"",IF(K364="Date",NOW(),K364),""))</f>
        <v>Date</v>
      </c>
      <c r="L364" s="84"/>
    </row>
    <row r="365" spans="1:12">
      <c r="A365" s="19">
        <v>900016486</v>
      </c>
      <c r="B365" s="96">
        <v>45097</v>
      </c>
      <c r="C365" s="19" t="str">
        <f>IF(ISBLANK(A365),"Name",IF(ISNA(VLOOKUP(A365,'Master List'!A:C,2,FALSE)), "Not Found", VLOOKUP(A365,'Master List'!A:C,2,FALSE)))</f>
        <v>Todd Roehrman</v>
      </c>
      <c r="D365" s="19" t="str">
        <f>IF(ISBLANK(A365), "Email",IF(ISNA(VLOOKUP(A365,'Master List'!A:C,3,FALSE)), "Not Found", VLOOKUP(A365,'Master List'!A:C,3,FALSE)))</f>
        <v>roehrman@sfsu.edu</v>
      </c>
      <c r="E365" s="19" t="s">
        <v>75</v>
      </c>
      <c r="F365" s="4" t="str">
        <f>IF(OR(A365="",E365="","",A365="?",E365="?"),"duplicate?",IF(COUNTIFS($A:A,A365,E:E,E365)&gt;1,"yes","no"))</f>
        <v>no</v>
      </c>
      <c r="G365" s="92"/>
      <c r="H365" s="57" t="s">
        <v>21</v>
      </c>
      <c r="I365" s="19" t="s">
        <v>99</v>
      </c>
      <c r="J365" s="107"/>
      <c r="K365" s="97" t="str">
        <f ca="1">IF(J365="","Date",IF(J365&lt;&gt;"",IF(K365="Date",NOW(),K365),""))</f>
        <v>Date</v>
      </c>
      <c r="L365" s="84"/>
    </row>
    <row r="366" spans="1:12">
      <c r="A366" s="19">
        <v>904498054</v>
      </c>
      <c r="B366" s="96">
        <v>45097</v>
      </c>
      <c r="C366" s="19" t="str">
        <f>IF(ISBLANK(A366),"Name",IF(ISNA(VLOOKUP(A366,'Master List'!A:C,2,FALSE)), "Not Found", VLOOKUP(A366,'Master List'!A:C,2,FALSE)))</f>
        <v>Heather Chow</v>
      </c>
      <c r="D366" s="19" t="str">
        <f>IF(ISBLANK(A366), "Email",IF(ISNA(VLOOKUP(A366,'Master List'!A:C,3,FALSE)), "Not Found", VLOOKUP(A366,'Master List'!A:C,3,FALSE)))</f>
        <v>heatherc@sfsu.edu</v>
      </c>
      <c r="E366" s="19" t="s">
        <v>33</v>
      </c>
      <c r="F366" s="4" t="str">
        <f>IF(OR(A366="",E366="","",A366="?",E366="?"),"duplicate?",IF(COUNTIFS($A:A,A366,E:E,E366)&gt;1,"yes","no"))</f>
        <v>no</v>
      </c>
      <c r="G366" s="92"/>
      <c r="H366" s="57" t="s">
        <v>21</v>
      </c>
      <c r="I366" s="19"/>
      <c r="J366" s="107"/>
      <c r="K366" s="97" t="str">
        <f ca="1">IF(J366="","Date",IF(J366&lt;&gt;"",IF(K366="Date",NOW(),K366),""))</f>
        <v>Date</v>
      </c>
      <c r="L366" s="84"/>
    </row>
    <row r="367" spans="1:12">
      <c r="A367" s="19">
        <v>904498054</v>
      </c>
      <c r="B367" s="96">
        <v>45097</v>
      </c>
      <c r="C367" s="19" t="str">
        <f>IF(ISBLANK(A367),"Name",IF(ISNA(VLOOKUP(A367,'Master List'!A:C,2,FALSE)), "Not Found", VLOOKUP(A367,'Master List'!A:C,2,FALSE)))</f>
        <v>Heather Chow</v>
      </c>
      <c r="D367" s="19" t="str">
        <f>IF(ISBLANK(A367), "Email",IF(ISNA(VLOOKUP(A367,'Master List'!A:C,3,FALSE)), "Not Found", VLOOKUP(A367,'Master List'!A:C,3,FALSE)))</f>
        <v>heatherc@sfsu.edu</v>
      </c>
      <c r="E367" s="19" t="s">
        <v>105</v>
      </c>
      <c r="F367" s="4" t="str">
        <f>IF(OR(A367="",E367="","",A367="?",E367="?"),"duplicate?",IF(COUNTIFS($A:A,A367,E:E,E367)&gt;1,"yes","no"))</f>
        <v>no</v>
      </c>
      <c r="G367" s="92"/>
      <c r="H367" s="57" t="s">
        <v>21</v>
      </c>
      <c r="I367" s="19"/>
      <c r="J367" s="107"/>
      <c r="K367" s="97" t="str">
        <f ca="1">IF(J367="","Date",IF(J367&lt;&gt;"",IF(K367="Date",NOW(),K367),""))</f>
        <v>Date</v>
      </c>
      <c r="L367" s="84"/>
    </row>
    <row r="368" spans="1:12">
      <c r="A368" s="19">
        <v>918853070</v>
      </c>
      <c r="B368" s="96">
        <v>45117</v>
      </c>
      <c r="C368" s="19" t="str">
        <f>IF(ISBLANK(A368),"Name",IF(ISNA(VLOOKUP(A368,'Master List'!A:C,2,FALSE)), "Not Found", VLOOKUP(A368,'Master List'!A:C,2,FALSE)))</f>
        <v>Thien Lam</v>
      </c>
      <c r="D368" s="19" t="str">
        <f>IF(ISBLANK(A368), "Email",IF(ISNA(VLOOKUP(A368,'Master List'!A:C,3,FALSE)), "Not Found", VLOOKUP(A368,'Master List'!A:C,3,FALSE)))</f>
        <v>ttlam@sfsu.edu</v>
      </c>
      <c r="E368" s="19" t="s">
        <v>36</v>
      </c>
      <c r="F368" s="4" t="str">
        <f>IF(OR(A368="",E368="","",A368="?",E368="?"),"duplicate?",IF(COUNTIFS($A:A,A368,E:E,E368)&gt;1,"yes","no"))</f>
        <v>no</v>
      </c>
      <c r="G368" s="92"/>
      <c r="H368" s="57">
        <v>45159</v>
      </c>
      <c r="I368" s="19" t="s">
        <v>55</v>
      </c>
      <c r="J368" s="107"/>
      <c r="K368" s="97" t="str">
        <f ca="1">IF(J368="","Date",IF(J368&lt;&gt;"",IF(K368="Date",NOW(),K368),""))</f>
        <v>Date</v>
      </c>
      <c r="L368" s="84" t="s">
        <v>115</v>
      </c>
    </row>
    <row r="369" spans="1:12">
      <c r="A369" s="19">
        <v>912033556</v>
      </c>
      <c r="B369" s="96">
        <v>45117</v>
      </c>
      <c r="C369" s="19" t="str">
        <f>IF(ISBLANK(A369),"Name",IF(ISNA(VLOOKUP(A369,'Master List'!A:C,2,FALSE)), "Not Found", VLOOKUP(A369,'Master List'!A:C,2,FALSE)))</f>
        <v>Clive Hayzelden</v>
      </c>
      <c r="D369" s="19" t="str">
        <f>IF(ISBLANK(A369), "Email",IF(ISNA(VLOOKUP(A369,'Master List'!A:C,3,FALSE)), "Not Found", VLOOKUP(A369,'Master List'!A:C,3,FALSE)))</f>
        <v>cliveh@sfsu.edu</v>
      </c>
      <c r="E369" s="19" t="s">
        <v>30</v>
      </c>
      <c r="F369" s="4" t="str">
        <f>IF(OR(A369="",E369="","",A369="?",E369="?"),"duplicate?",IF(COUNTIFS($A:A,A369,E:E,E369)&gt;1,"yes","no"))</f>
        <v>yes</v>
      </c>
      <c r="G369" s="92"/>
      <c r="H369" s="57" t="s">
        <v>21</v>
      </c>
      <c r="I369" s="19" t="s">
        <v>47</v>
      </c>
      <c r="J369" s="107"/>
      <c r="K369" s="97" t="str">
        <f ca="1">IF(J369="","Date",IF(J369&lt;&gt;"",IF(K369="Date",NOW(),K369),""))</f>
        <v>Date</v>
      </c>
      <c r="L369" s="84" t="s">
        <v>98</v>
      </c>
    </row>
    <row r="370" spans="1:12">
      <c r="A370" s="19">
        <v>917493608</v>
      </c>
      <c r="B370" s="96">
        <v>45124</v>
      </c>
      <c r="C370" s="19" t="str">
        <f>IF(ISBLANK(A370),"Name",IF(ISNA(VLOOKUP(A370,'Master List'!A:C,2,FALSE)), "Not Found", VLOOKUP(A370,'Master List'!A:C,2,FALSE)))</f>
        <v>Not Found</v>
      </c>
      <c r="D370" s="19" t="str">
        <f>IF(ISBLANK(A370), "Email",IF(ISNA(VLOOKUP(A370,'Master List'!A:C,3,FALSE)), "Not Found", VLOOKUP(A370,'Master List'!A:C,3,FALSE)))</f>
        <v>Not Found</v>
      </c>
      <c r="E370" s="19" t="s">
        <v>30</v>
      </c>
      <c r="F370" s="4" t="str">
        <f>IF(OR(A370="",E370="","",A370="?",E370="?"),"duplicate?",IF(COUNTIFS($A:A,A370,E:E,E370)&gt;1,"yes","no"))</f>
        <v>no</v>
      </c>
      <c r="G370" s="92"/>
      <c r="H370" s="57" t="s">
        <v>21</v>
      </c>
      <c r="I370" s="19" t="s">
        <v>77</v>
      </c>
      <c r="J370" s="107"/>
      <c r="K370" s="97" t="str">
        <f ca="1">IF(J370="","Date",IF(J370&lt;&gt;"",IF(K370="Date",NOW(),K370),""))</f>
        <v>Date</v>
      </c>
      <c r="L370" s="84"/>
    </row>
    <row r="371" spans="1:12">
      <c r="A371" s="19">
        <v>900023012</v>
      </c>
      <c r="B371" s="96">
        <v>45125</v>
      </c>
      <c r="C371" s="19" t="str">
        <f>IF(ISBLANK(A371),"Name",IF(ISNA(VLOOKUP(A371,'Master List'!A:C,2,FALSE)), "Not Found", VLOOKUP(A371,'Master List'!A:C,2,FALSE)))</f>
        <v>Andrea Olson</v>
      </c>
      <c r="D371" s="19" t="str">
        <f>IF(ISBLANK(A371), "Email",IF(ISNA(VLOOKUP(A371,'Master List'!A:C,3,FALSE)), "Not Found", VLOOKUP(A371,'Master List'!A:C,3,FALSE)))</f>
        <v>ayo@sfsu.edu</v>
      </c>
      <c r="E371" s="19" t="s">
        <v>30</v>
      </c>
      <c r="F371" s="4" t="str">
        <f>IF(OR(A371="",E371="","",A371="?",E371="?"),"duplicate?",IF(COUNTIFS($A:A,A371,E:E,E371)&gt;1,"yes","no"))</f>
        <v>no</v>
      </c>
      <c r="G371" s="92"/>
      <c r="H371" s="57" t="s">
        <v>21</v>
      </c>
      <c r="I371" s="19" t="s">
        <v>77</v>
      </c>
      <c r="J371" s="107"/>
      <c r="K371" s="97" t="str">
        <f ca="1">IF(J371="","Date",IF(J371&lt;&gt;"",IF(K371="Date",NOW(),K371),""))</f>
        <v>Date</v>
      </c>
      <c r="L371" s="84"/>
    </row>
    <row r="372" spans="1:12">
      <c r="A372" s="19">
        <v>918375164</v>
      </c>
      <c r="B372" s="96">
        <v>45125</v>
      </c>
      <c r="C372" s="19" t="str">
        <f>IF(ISBLANK(A372),"Name",IF(ISNA(VLOOKUP(A372,'Master List'!A:C,2,FALSE)), "Not Found", VLOOKUP(A372,'Master List'!A:C,2,FALSE)))</f>
        <v>Dee Bradford</v>
      </c>
      <c r="D372" s="19" t="str">
        <f>IF(ISBLANK(A372), "Email",IF(ISNA(VLOOKUP(A372,'Master List'!A:C,3,FALSE)), "Not Found", VLOOKUP(A372,'Master List'!A:C,3,FALSE)))</f>
        <v>dbradford@sfsu.edu</v>
      </c>
      <c r="E372" s="19" t="s">
        <v>30</v>
      </c>
      <c r="F372" s="4" t="str">
        <f>IF(OR(A372="",E372="","",A372="?",E372="?"),"duplicate?",IF(COUNTIFS($A:A,A372,E:E,E372)&gt;1,"yes","no"))</f>
        <v>no</v>
      </c>
      <c r="G372" s="92"/>
      <c r="H372" s="57" t="s">
        <v>21</v>
      </c>
      <c r="I372" s="19" t="s">
        <v>99</v>
      </c>
      <c r="J372" s="107"/>
      <c r="K372" s="97" t="str">
        <f ca="1">IF(J372="","Date",IF(J372&lt;&gt;"",IF(K372="Date",NOW(),K372),""))</f>
        <v>Date</v>
      </c>
      <c r="L372" s="84"/>
    </row>
    <row r="373" spans="1:12">
      <c r="A373" s="19">
        <v>917671331</v>
      </c>
      <c r="B373" s="96">
        <v>45126</v>
      </c>
      <c r="C373" s="19" t="str">
        <f>IF(ISBLANK(A373),"Name",IF(ISNA(VLOOKUP(A373,'Master List'!A:C,2,FALSE)), "Not Found", VLOOKUP(A373,'Master List'!A:C,2,FALSE)))</f>
        <v>Not Found</v>
      </c>
      <c r="D373" s="19" t="str">
        <f>IF(ISBLANK(A373), "Email",IF(ISNA(VLOOKUP(A373,'Master List'!A:C,3,FALSE)), "Not Found", VLOOKUP(A373,'Master List'!A:C,3,FALSE)))</f>
        <v>Not Found</v>
      </c>
      <c r="E373" s="19" t="s">
        <v>30</v>
      </c>
      <c r="F373" s="4" t="str">
        <f>IF(OR(A373="",E373="","",A373="?",E373="?"),"duplicate?",IF(COUNTIFS($A:A,A373,E:E,E373)&gt;1,"yes","no"))</f>
        <v>no</v>
      </c>
      <c r="G373" s="92"/>
      <c r="H373" s="57" t="s">
        <v>21</v>
      </c>
      <c r="I373" s="19" t="s">
        <v>77</v>
      </c>
      <c r="J373" s="107"/>
      <c r="K373" s="97" t="str">
        <f ca="1">IF(J373="","Date",IF(J373&lt;&gt;"",IF(K373="Date",NOW(),K373),""))</f>
        <v>Date</v>
      </c>
      <c r="L373" s="84"/>
    </row>
    <row r="374" spans="1:12">
      <c r="A374" s="19">
        <v>909314515</v>
      </c>
      <c r="B374" s="96">
        <v>45131</v>
      </c>
      <c r="C374" s="19" t="str">
        <f>IF(ISBLANK(A374),"Name",IF(ISNA(VLOOKUP(A374,'Master List'!A:C,2,FALSE)), "Not Found", VLOOKUP(A374,'Master List'!A:C,2,FALSE)))</f>
        <v>Jaye Evans</v>
      </c>
      <c r="D374" s="19" t="str">
        <f>IF(ISBLANK(A374), "Email",IF(ISNA(VLOOKUP(A374,'Master List'!A:C,3,FALSE)), "Not Found", VLOOKUP(A374,'Master List'!A:C,3,FALSE)))</f>
        <v>jayeevans@sfsu.edu</v>
      </c>
      <c r="E374" s="19" t="s">
        <v>30</v>
      </c>
      <c r="F374" s="4" t="str">
        <f>IF(OR(A374="",E374="","",A374="?",E374="?"),"duplicate?",IF(COUNTIFS($A:A,A374,E:E,E374)&gt;1,"yes","no"))</f>
        <v>no</v>
      </c>
      <c r="G374" s="92"/>
      <c r="H374" s="57" t="s">
        <v>21</v>
      </c>
      <c r="I374" s="19" t="s">
        <v>99</v>
      </c>
      <c r="J374" s="107"/>
      <c r="K374" s="97" t="str">
        <f ca="1">IF(J374="","Date",IF(J374&lt;&gt;"",IF(K374="Date",NOW(),K374),""))</f>
        <v>Date</v>
      </c>
      <c r="L374" s="84"/>
    </row>
    <row r="375" spans="1:12">
      <c r="A375" s="19">
        <v>909314515</v>
      </c>
      <c r="B375" s="96">
        <v>45131</v>
      </c>
      <c r="C375" s="19" t="str">
        <f>IF(ISBLANK(A375),"Name",IF(ISNA(VLOOKUP(A375,'Master List'!A:C,2,FALSE)), "Not Found", VLOOKUP(A375,'Master List'!A:C,2,FALSE)))</f>
        <v>Jaye Evans</v>
      </c>
      <c r="D375" s="19" t="str">
        <f>IF(ISBLANK(A375), "Email",IF(ISNA(VLOOKUP(A375,'Master List'!A:C,3,FALSE)), "Not Found", VLOOKUP(A375,'Master List'!A:C,3,FALSE)))</f>
        <v>jayeevans@sfsu.edu</v>
      </c>
      <c r="E375" s="19" t="s">
        <v>116</v>
      </c>
      <c r="F375" s="4" t="str">
        <f>IF(OR(A375="",E375="","",A375="?",E375="?"),"duplicate?",IF(COUNTIFS($A:A,A375,E:E,E375)&gt;1,"yes","no"))</f>
        <v>no</v>
      </c>
      <c r="G375" s="92"/>
      <c r="H375" s="57" t="s">
        <v>21</v>
      </c>
      <c r="I375" s="19" t="s">
        <v>99</v>
      </c>
      <c r="J375" s="107"/>
      <c r="K375" s="97" t="str">
        <f ca="1">IF(J375="","Date",IF(J375&lt;&gt;"",IF(K375="Date",NOW(),K375),""))</f>
        <v>Date</v>
      </c>
      <c r="L375" s="84"/>
    </row>
    <row r="376" spans="1:12">
      <c r="A376" s="19">
        <v>909314515</v>
      </c>
      <c r="B376" s="96">
        <v>45131</v>
      </c>
      <c r="C376" s="19" t="str">
        <f>IF(ISBLANK(A376),"Name",IF(ISNA(VLOOKUP(A376,'Master List'!A:C,2,FALSE)), "Not Found", VLOOKUP(A376,'Master List'!A:C,2,FALSE)))</f>
        <v>Jaye Evans</v>
      </c>
      <c r="D376" s="19" t="str">
        <f>IF(ISBLANK(A376), "Email",IF(ISNA(VLOOKUP(A376,'Master List'!A:C,3,FALSE)), "Not Found", VLOOKUP(A376,'Master List'!A:C,3,FALSE)))</f>
        <v>jayeevans@sfsu.edu</v>
      </c>
      <c r="E376" s="19" t="s">
        <v>96</v>
      </c>
      <c r="F376" s="4" t="str">
        <f>IF(OR(A376="",E376="","",A376="?",E376="?"),"duplicate?",IF(COUNTIFS($A:A,A376,E:E,E376)&gt;1,"yes","no"))</f>
        <v>no</v>
      </c>
      <c r="G376" s="92"/>
      <c r="H376" s="57" t="s">
        <v>21</v>
      </c>
      <c r="I376" s="19" t="s">
        <v>99</v>
      </c>
      <c r="J376" s="107"/>
      <c r="K376" s="97" t="str">
        <f ca="1">IF(J376="","Date",IF(J376&lt;&gt;"",IF(K376="Date",NOW(),K376),""))</f>
        <v>Date</v>
      </c>
      <c r="L376" s="84"/>
    </row>
    <row r="377" spans="1:12">
      <c r="A377" s="19">
        <v>923619525</v>
      </c>
      <c r="B377" s="96">
        <v>45132</v>
      </c>
      <c r="C377" s="19" t="str">
        <f>IF(ISBLANK(A377),"Name",IF(ISNA(VLOOKUP(A377,'Master List'!A:C,2,FALSE)), "Not Found", VLOOKUP(A377,'Master List'!A:C,2,FALSE)))</f>
        <v>Annalise Harlow</v>
      </c>
      <c r="D377" s="19" t="str">
        <f>IF(ISBLANK(A377), "Email",IF(ISNA(VLOOKUP(A377,'Master List'!A:C,3,FALSE)), "Not Found", VLOOKUP(A377,'Master List'!A:C,3,FALSE)))</f>
        <v>aharlow@sfsu.edu</v>
      </c>
      <c r="E377" s="19" t="s">
        <v>30</v>
      </c>
      <c r="F377" s="4" t="str">
        <f>IF(OR(A377="",E377="","",A377="?",E377="?"),"duplicate?",IF(COUNTIFS($A:A,A377,E:E,E377)&gt;1,"yes","no"))</f>
        <v>no</v>
      </c>
      <c r="G377" s="92"/>
      <c r="H377" s="57" t="s">
        <v>21</v>
      </c>
      <c r="I377" s="19" t="s">
        <v>55</v>
      </c>
      <c r="J377" s="107"/>
      <c r="K377" s="97" t="str">
        <f ca="1">IF(J377="","Date",IF(J377&lt;&gt;"",IF(K377="Date",NOW(),K377),""))</f>
        <v>Date</v>
      </c>
      <c r="L377" s="84"/>
    </row>
    <row r="378" spans="1:12">
      <c r="A378" s="19">
        <v>909198113</v>
      </c>
      <c r="B378" s="96">
        <v>45138</v>
      </c>
      <c r="C378" s="19" t="str">
        <f>IF(ISBLANK(A378),"Name",IF(ISNA(VLOOKUP(A378,'Master List'!A:C,2,FALSE)), "Not Found", VLOOKUP(A378,'Master List'!A:C,2,FALSE)))</f>
        <v>Dawn Fischer</v>
      </c>
      <c r="D378" s="19" t="str">
        <f>IF(ISBLANK(A378), "Email",IF(ISNA(VLOOKUP(A378,'Master List'!A:C,3,FALSE)), "Not Found", VLOOKUP(A378,'Master List'!A:C,3,FALSE)))</f>
        <v>def@sfsu.edu</v>
      </c>
      <c r="E378" s="19" t="s">
        <v>117</v>
      </c>
      <c r="F378" s="4" t="str">
        <f>IF(OR(A378="",E378="","",A378="?",E378="?"),"duplicate?",IF(COUNTIFS($A:A,A378,E:E,E378)&gt;1,"yes","no"))</f>
        <v>no</v>
      </c>
      <c r="G378" s="92"/>
      <c r="H378" s="57">
        <v>45145</v>
      </c>
      <c r="I378" s="19" t="s">
        <v>70</v>
      </c>
      <c r="J378" s="107"/>
      <c r="K378" s="97" t="str">
        <f ca="1">IF(J378="","Date",IF(J378&lt;&gt;"",IF(K378="Date",NOW(),K378),""))</f>
        <v>Date</v>
      </c>
      <c r="L378" s="84" t="s">
        <v>118</v>
      </c>
    </row>
    <row r="379" spans="1:12">
      <c r="A379" s="19">
        <v>918831256</v>
      </c>
      <c r="B379" s="96">
        <v>45140</v>
      </c>
      <c r="C379" s="19" t="str">
        <f>IF(ISBLANK(A379),"Name",IF(ISNA(VLOOKUP(A379,'Master List'!A:C,2,FALSE)), "Not Found", VLOOKUP(A379,'Master List'!A:C,2,FALSE)))</f>
        <v>Michelle Toney</v>
      </c>
      <c r="D379" s="19" t="str">
        <f>IF(ISBLANK(A379), "Email",IF(ISNA(VLOOKUP(A379,'Master List'!A:C,3,FALSE)), "Not Found", VLOOKUP(A379,'Master List'!A:C,3,FALSE)))</f>
        <v>mstoney@sfsu.edu</v>
      </c>
      <c r="E379" s="19" t="s">
        <v>30</v>
      </c>
      <c r="F379" s="4" t="str">
        <f>IF(OR(A379="",E379="","",A379="?",E379="?"),"duplicate?",IF(COUNTIFS($A:A,A379,E:E,E379)&gt;1,"yes","no"))</f>
        <v>no</v>
      </c>
      <c r="G379" s="92"/>
      <c r="H379" s="57" t="s">
        <v>21</v>
      </c>
      <c r="I379" s="19" t="s">
        <v>66</v>
      </c>
      <c r="J379" s="107"/>
      <c r="K379" s="97" t="str">
        <f ca="1">IF(J379="","Date",IF(J379&lt;&gt;"",IF(K379="Date",NOW(),K379),""))</f>
        <v>Date</v>
      </c>
      <c r="L379" s="84"/>
    </row>
    <row r="380" spans="1:12">
      <c r="A380" s="19">
        <v>900020724</v>
      </c>
      <c r="B380" s="96">
        <v>45145</v>
      </c>
      <c r="C380" s="19" t="str">
        <f>IF(ISBLANK(A380),"Name",IF(ISNA(VLOOKUP(A380,'Master List'!A:C,2,FALSE)), "Not Found", VLOOKUP(A380,'Master List'!A:C,2,FALSE)))</f>
        <v>Carmen Domingo</v>
      </c>
      <c r="D380" s="19" t="str">
        <f>IF(ISBLANK(A380), "Email",IF(ISNA(VLOOKUP(A380,'Master List'!A:C,3,FALSE)), "Not Found", VLOOKUP(A380,'Master List'!A:C,3,FALSE)))</f>
        <v>cdomingo@sfsu.edu</v>
      </c>
      <c r="E380" s="19" t="s">
        <v>30</v>
      </c>
      <c r="F380" s="4" t="str">
        <f>IF(OR(A380="",E380="","",A380="?",E380="?"),"duplicate?",IF(COUNTIFS($A:A,A380,E:E,E380)&gt;1,"yes","no"))</f>
        <v>no</v>
      </c>
      <c r="G380" s="92"/>
      <c r="H380" s="57">
        <v>45282</v>
      </c>
      <c r="I380" s="19" t="s">
        <v>55</v>
      </c>
      <c r="J380" s="107"/>
      <c r="K380" s="97" t="str">
        <f ca="1">IF(J380="","Date",IF(J380&lt;&gt;"",IF(K380="Date",NOW(),K380),""))</f>
        <v>Date</v>
      </c>
      <c r="L380" s="84"/>
    </row>
    <row r="381" spans="1:12">
      <c r="A381" s="19">
        <v>918842709</v>
      </c>
      <c r="B381" s="96">
        <v>45145</v>
      </c>
      <c r="C381" s="19" t="str">
        <f>IF(ISBLANK(A381),"Name",IF(ISNA(VLOOKUP(A381,'Master List'!A:C,2,FALSE)), "Not Found", VLOOKUP(A381,'Master List'!A:C,2,FALSE)))</f>
        <v>Crystal Edwards</v>
      </c>
      <c r="D381" s="19" t="str">
        <f>IF(ISBLANK(A381), "Email",IF(ISNA(VLOOKUP(A381,'Master List'!A:C,3,FALSE)), "Not Found", VLOOKUP(A381,'Master List'!A:C,3,FALSE)))</f>
        <v>cledwards@sfsu.edu</v>
      </c>
      <c r="E381" s="19" t="s">
        <v>27</v>
      </c>
      <c r="F381" s="4" t="str">
        <f>IF(OR(A381="",E381="","",A381="?",E381="?"),"duplicate?",IF(COUNTIFS($A:A,A381,E:E,E381)&gt;1,"yes","no"))</f>
        <v>no</v>
      </c>
      <c r="G381" s="92"/>
      <c r="H381" s="57">
        <v>414176</v>
      </c>
      <c r="I381" s="19" t="s">
        <v>70</v>
      </c>
      <c r="J381" s="107"/>
      <c r="K381" s="97" t="str">
        <f ca="1">IF(J381="","Date",IF(J381&lt;&gt;"",IF(K381="Date",NOW(),K381),""))</f>
        <v>Date</v>
      </c>
      <c r="L381" s="84"/>
    </row>
    <row r="382" spans="1:12">
      <c r="A382" s="19">
        <v>900033958</v>
      </c>
      <c r="B382" s="96">
        <v>45146</v>
      </c>
      <c r="C382" s="19" t="str">
        <f>IF(ISBLANK(A382),"Name",IF(ISNA(VLOOKUP(A382,'Master List'!A:C,2,FALSE)), "Not Found", VLOOKUP(A382,'Master List'!A:C,2,FALSE)))</f>
        <v>Roberto Vasquez</v>
      </c>
      <c r="D382" s="19" t="str">
        <f>IF(ISBLANK(A382), "Email",IF(ISNA(VLOOKUP(A382,'Master List'!A:C,3,FALSE)), "Not Found", VLOOKUP(A382,'Master List'!A:C,3,FALSE)))</f>
        <v>vasquez@sfsu.edu</v>
      </c>
      <c r="E382" s="19" t="s">
        <v>36</v>
      </c>
      <c r="F382" s="4" t="str">
        <f>IF(OR(A382="",E382="","",A382="?",E382="?"),"duplicate?",IF(COUNTIFS($A:A,A382,E:E,E382)&gt;1,"yes","no"))</f>
        <v>no</v>
      </c>
      <c r="G382" s="92"/>
      <c r="H382" s="57">
        <v>45281</v>
      </c>
      <c r="I382" s="19" t="s">
        <v>70</v>
      </c>
      <c r="J382" s="107"/>
      <c r="K382" s="97" t="str">
        <f ca="1">IF(J382="","Date",IF(J382&lt;&gt;"",IF(K382="Date",NOW(),K382),""))</f>
        <v>Date</v>
      </c>
      <c r="L382" s="84"/>
    </row>
    <row r="383" spans="1:12">
      <c r="A383" s="19">
        <v>900033958</v>
      </c>
      <c r="B383" s="96">
        <v>45146</v>
      </c>
      <c r="C383" s="19" t="str">
        <f>IF(ISBLANK(A383),"Name",IF(ISNA(VLOOKUP(A383,'Master List'!A:C,2,FALSE)), "Not Found", VLOOKUP(A383,'Master List'!A:C,2,FALSE)))</f>
        <v>Roberto Vasquez</v>
      </c>
      <c r="D383" s="19" t="str">
        <f>IF(ISBLANK(A383), "Email",IF(ISNA(VLOOKUP(A383,'Master List'!A:C,3,FALSE)), "Not Found", VLOOKUP(A383,'Master List'!A:C,3,FALSE)))</f>
        <v>vasquez@sfsu.edu</v>
      </c>
      <c r="E383" s="19" t="s">
        <v>27</v>
      </c>
      <c r="F383" s="4" t="str">
        <f>IF(OR(A383="",E383="","",A383="?",E383="?"),"duplicate?",IF(COUNTIFS($A:A,A383,E:E,E383)&gt;1,"yes","no"))</f>
        <v>no</v>
      </c>
      <c r="G383" s="92"/>
      <c r="H383" s="57">
        <v>45282</v>
      </c>
      <c r="I383" s="19" t="s">
        <v>70</v>
      </c>
      <c r="J383" s="107"/>
      <c r="K383" s="97" t="str">
        <f ca="1">IF(J383="","Date",IF(J383&lt;&gt;"",IF(K383="Date",NOW(),K383),""))</f>
        <v>Date</v>
      </c>
      <c r="L383" s="84"/>
    </row>
    <row r="384" spans="1:12">
      <c r="A384" s="19">
        <v>909906548</v>
      </c>
      <c r="B384" s="96">
        <v>45149</v>
      </c>
      <c r="C384" s="19" t="str">
        <f>IF(ISBLANK(A384),"Name",IF(ISNA(VLOOKUP(A384,'Master List'!A:C,2,FALSE)), "Not Found", VLOOKUP(A384,'Master List'!A:C,2,FALSE)))</f>
        <v>Kurt Daw</v>
      </c>
      <c r="D384" s="19" t="str">
        <f>IF(ISBLANK(A384), "Email",IF(ISNA(VLOOKUP(A384,'Master List'!A:C,3,FALSE)), "Not Found", VLOOKUP(A384,'Master List'!A:C,3,FALSE)))</f>
        <v>kurtdaw@sfsu.edu</v>
      </c>
      <c r="E384" s="19" t="s">
        <v>45</v>
      </c>
      <c r="F384" s="4" t="str">
        <f>IF(OR(A384="",E384="","",A384="?",E384="?"),"duplicate?",IF(COUNTIFS($A:A,A384,E:E,E384)&gt;1,"yes","no"))</f>
        <v>no</v>
      </c>
      <c r="G384" s="92"/>
      <c r="H384" s="57" t="s">
        <v>21</v>
      </c>
      <c r="I384" s="19" t="s">
        <v>99</v>
      </c>
      <c r="J384" s="107"/>
      <c r="K384" s="97" t="str">
        <f ca="1">IF(J384="","Date",IF(J384&lt;&gt;"",IF(K384="Date",NOW(),K384),""))</f>
        <v>Date</v>
      </c>
      <c r="L384" s="84"/>
    </row>
    <row r="385" spans="1:12">
      <c r="A385" s="19">
        <v>917241304</v>
      </c>
      <c r="B385" s="96">
        <v>45152</v>
      </c>
      <c r="C385" s="19" t="str">
        <f>IF(ISBLANK(A385),"Name",IF(ISNA(VLOOKUP(A385,'Master List'!A:C,2,FALSE)), "Not Found", VLOOKUP(A385,'Master List'!A:C,2,FALSE)))</f>
        <v>Dilara Yarbrough</v>
      </c>
      <c r="D385" s="19" t="str">
        <f>IF(ISBLANK(A385), "Email",IF(ISNA(VLOOKUP(A385,'Master List'!A:C,3,FALSE)), "Not Found", VLOOKUP(A385,'Master List'!A:C,3,FALSE)))</f>
        <v>dilara@sfsu.edu</v>
      </c>
      <c r="E385" s="19" t="s">
        <v>67</v>
      </c>
      <c r="F385" s="4" t="str">
        <f>IF(OR(A385="",E385="","",A385="?",E385="?"),"duplicate?",IF(COUNTIFS($A:A,A385,E:E,E385)&gt;1,"yes","no"))</f>
        <v>no</v>
      </c>
      <c r="G385" s="92"/>
      <c r="H385" s="57" t="s">
        <v>119</v>
      </c>
      <c r="I385" s="19" t="s">
        <v>99</v>
      </c>
      <c r="J385" s="107"/>
      <c r="K385" s="97" t="str">
        <f ca="1">IF(J385="","Date",IF(J385&lt;&gt;"",IF(K385="Date",NOW(),K385),""))</f>
        <v>Date</v>
      </c>
      <c r="L385" s="84"/>
    </row>
    <row r="386" spans="1:12">
      <c r="A386" s="19">
        <v>900028706</v>
      </c>
      <c r="B386" s="96">
        <v>45155</v>
      </c>
      <c r="C386" s="19" t="str">
        <f>IF(ISBLANK(A386),"Name",IF(ISNA(VLOOKUP(A386,'Master List'!A:C,2,FALSE)), "Not Found", VLOOKUP(A386,'Master List'!A:C,2,FALSE)))</f>
        <v>Diane Harris</v>
      </c>
      <c r="D386" s="19" t="str">
        <f>IF(ISBLANK(A386), "Email",IF(ISNA(VLOOKUP(A386,'Master List'!A:C,3,FALSE)), "Not Found", VLOOKUP(A386,'Master List'!A:C,3,FALSE)))</f>
        <v>dharris@sfsu.edu</v>
      </c>
      <c r="E386" s="19" t="s">
        <v>120</v>
      </c>
      <c r="F386" s="4" t="str">
        <f>IF(OR(A386="",E386="","",A386="?",E386="?"),"duplicate?",IF(COUNTIFS($A:A,A386,E:E,E386)&gt;1,"yes","no"))</f>
        <v>no</v>
      </c>
      <c r="G386" s="92"/>
      <c r="H386" s="57" t="s">
        <v>21</v>
      </c>
      <c r="I386" s="19" t="s">
        <v>69</v>
      </c>
      <c r="J386" s="107"/>
      <c r="K386" s="97" t="str">
        <f ca="1">IF(J386="","Date",IF(J386&lt;&gt;"",IF(K386="Date",NOW(),K386),""))</f>
        <v>Date</v>
      </c>
      <c r="L386" s="84"/>
    </row>
    <row r="387" spans="1:12">
      <c r="A387" s="19">
        <v>900018215</v>
      </c>
      <c r="B387" s="96">
        <v>45155</v>
      </c>
      <c r="C387" s="19" t="str">
        <f>IF(ISBLANK(A387),"Name",IF(ISNA(VLOOKUP(A387,'Master List'!A:C,2,FALSE)), "Not Found", VLOOKUP(A387,'Master List'!A:C,2,FALSE)))</f>
        <v>Vivian Chavez</v>
      </c>
      <c r="D387" s="19" t="str">
        <f>IF(ISBLANK(A387), "Email",IF(ISNA(VLOOKUP(A387,'Master List'!A:C,3,FALSE)), "Not Found", VLOOKUP(A387,'Master List'!A:C,3,FALSE)))</f>
        <v>vchavez@sfsu.edu</v>
      </c>
      <c r="E387" s="19" t="s">
        <v>120</v>
      </c>
      <c r="F387" s="4" t="str">
        <f>IF(OR(A387="",E387="","",A387="?",E387="?"),"duplicate?",IF(COUNTIFS($A:A,A387,E:E,E387)&gt;1,"yes","no"))</f>
        <v>no</v>
      </c>
      <c r="G387" s="92"/>
      <c r="H387" s="57" t="s">
        <v>21</v>
      </c>
      <c r="I387" s="19" t="s">
        <v>69</v>
      </c>
      <c r="J387" s="107"/>
      <c r="K387" s="97" t="str">
        <f ca="1">IF(J387="","Date",IF(J387&lt;&gt;"",IF(K387="Date",NOW(),K387),""))</f>
        <v>Date</v>
      </c>
      <c r="L387" s="84"/>
    </row>
    <row r="388" spans="1:12">
      <c r="A388" s="19">
        <v>918853577</v>
      </c>
      <c r="B388" s="96">
        <v>45156</v>
      </c>
      <c r="C388" s="19" t="str">
        <f>IF(ISBLANK(A388),"Name",IF(ISNA(VLOOKUP(A388,'Master List'!A:C,2,FALSE)), "Not Found", VLOOKUP(A388,'Master List'!A:C,2,FALSE)))</f>
        <v>Chrissy Lau</v>
      </c>
      <c r="D388" s="19" t="str">
        <f>IF(ISBLANK(A388), "Email",IF(ISNA(VLOOKUP(A388,'Master List'!A:C,3,FALSE)), "Not Found", VLOOKUP(A388,'Master List'!A:C,3,FALSE)))</f>
        <v>chrissylau@sfsu.edu</v>
      </c>
      <c r="E388" s="19" t="s">
        <v>121</v>
      </c>
      <c r="F388" s="4" t="str">
        <f>IF(OR(A388="",E388="","",A388="?",E388="?"),"duplicate?",IF(COUNTIFS($A:A,A388,E:E,E388)&gt;1,"yes","no"))</f>
        <v>no</v>
      </c>
      <c r="G388" s="92"/>
      <c r="H388" s="57">
        <v>45155</v>
      </c>
      <c r="I388" s="19" t="s">
        <v>66</v>
      </c>
      <c r="J388" s="107"/>
      <c r="K388" s="97" t="str">
        <f ca="1">IF(J388="","Date",IF(J388&lt;&gt;"",IF(K388="Date",NOW(),K388),""))</f>
        <v>Date</v>
      </c>
      <c r="L388" s="84"/>
    </row>
    <row r="389" spans="1:12">
      <c r="A389" s="19">
        <v>900023064</v>
      </c>
      <c r="B389" s="96">
        <v>45156</v>
      </c>
      <c r="C389" s="19" t="str">
        <f>IF(ISBLANK(A389),"Name",IF(ISNA(VLOOKUP(A389,'Master List'!A:C,2,FALSE)), "Not Found", VLOOKUP(A389,'Master List'!A:C,2,FALSE)))</f>
        <v>Karen Coopman</v>
      </c>
      <c r="D389" s="19" t="str">
        <f>IF(ISBLANK(A389), "Email",IF(ISNA(VLOOKUP(A389,'Master List'!A:C,3,FALSE)), "Not Found", VLOOKUP(A389,'Master List'!A:C,3,FALSE)))</f>
        <v>coopman@sfsu.edu</v>
      </c>
      <c r="E389" s="19" t="s">
        <v>31</v>
      </c>
      <c r="F389" s="4" t="str">
        <f>IF(OR(A389="",E389="","",A389="?",E389="?"),"duplicate?",IF(COUNTIFS($A:A,A389,E:E,E389)&gt;1,"yes","no"))</f>
        <v>no</v>
      </c>
      <c r="G389" s="92"/>
      <c r="H389" s="57">
        <v>45156</v>
      </c>
      <c r="I389" s="19" t="s">
        <v>66</v>
      </c>
      <c r="J389" s="107"/>
      <c r="K389" s="97" t="str">
        <f ca="1">IF(J389="","Date",IF(J389&lt;&gt;"",IF(K389="Date",NOW(),K389),""))</f>
        <v>Date</v>
      </c>
      <c r="L389" s="84" t="s">
        <v>122</v>
      </c>
    </row>
    <row r="390" spans="1:12">
      <c r="A390" s="19">
        <v>900023064</v>
      </c>
      <c r="B390" s="96">
        <v>45156</v>
      </c>
      <c r="C390" s="19" t="str">
        <f>IF(ISBLANK(A390),"Name",IF(ISNA(VLOOKUP(A390,'Master List'!A:C,2,FALSE)), "Not Found", VLOOKUP(A390,'Master List'!A:C,2,FALSE)))</f>
        <v>Karen Coopman</v>
      </c>
      <c r="D390" s="19" t="str">
        <f>IF(ISBLANK(A390), "Email",IF(ISNA(VLOOKUP(A390,'Master List'!A:C,3,FALSE)), "Not Found", VLOOKUP(A390,'Master List'!A:C,3,FALSE)))</f>
        <v>coopman@sfsu.edu</v>
      </c>
      <c r="E390" s="19" t="s">
        <v>123</v>
      </c>
      <c r="F390" s="4" t="str">
        <f>IF(OR(A390="",E390="","",A390="?",E390="?"),"duplicate?",IF(COUNTIFS($A:A,A390,E:E,E390)&gt;1,"yes","no"))</f>
        <v>no</v>
      </c>
      <c r="G390" s="92"/>
      <c r="H390" s="57">
        <v>45156</v>
      </c>
      <c r="I390" s="19" t="s">
        <v>66</v>
      </c>
      <c r="J390" s="107"/>
      <c r="K390" s="97" t="str">
        <f ca="1">IF(J390="","Date",IF(J390&lt;&gt;"",IF(K390="Date",NOW(),K390),""))</f>
        <v>Date</v>
      </c>
      <c r="L390" s="84"/>
    </row>
    <row r="391" spans="1:12">
      <c r="A391" s="19">
        <v>915848393</v>
      </c>
      <c r="B391" s="96">
        <v>45156</v>
      </c>
      <c r="C391" s="19" t="str">
        <f>IF(ISBLANK(A391),"Name",IF(ISNA(VLOOKUP(A391,'Master List'!A:C,2,FALSE)), "Not Found", VLOOKUP(A391,'Master List'!A:C,2,FALSE)))</f>
        <v>Jason Sison</v>
      </c>
      <c r="D391" s="19" t="str">
        <f>IF(ISBLANK(A391), "Email",IF(ISNA(VLOOKUP(A391,'Master List'!A:C,3,FALSE)), "Not Found", VLOOKUP(A391,'Master List'!A:C,3,FALSE)))</f>
        <v>jvictoriano@sfsu.edu</v>
      </c>
      <c r="E391" s="19" t="s">
        <v>25</v>
      </c>
      <c r="F391" s="4" t="str">
        <f>IF(OR(A391="",E391="","",A391="?",E391="?"),"duplicate?",IF(COUNTIFS($A:A,A391,E:E,E391)&gt;1,"yes","no"))</f>
        <v>no</v>
      </c>
      <c r="G391" s="92"/>
      <c r="H391" s="57" t="s">
        <v>124</v>
      </c>
      <c r="I391" s="19" t="s">
        <v>71</v>
      </c>
      <c r="J391" s="107"/>
      <c r="K391" s="97" t="str">
        <f ca="1">IF(J391="","Date",IF(J391&lt;&gt;"",IF(K391="Date",NOW(),K391),""))</f>
        <v>Date</v>
      </c>
      <c r="L391" s="84"/>
    </row>
    <row r="392" spans="1:12">
      <c r="A392" s="19">
        <v>917189525</v>
      </c>
      <c r="B392" s="96">
        <v>45156</v>
      </c>
      <c r="C392" s="19" t="str">
        <f>IF(ISBLANK(A392),"Name",IF(ISNA(VLOOKUP(A392,'Master List'!A:C,2,FALSE)), "Not Found", VLOOKUP(A392,'Master List'!A:C,2,FALSE)))</f>
        <v>Jung Eun Kim</v>
      </c>
      <c r="D392" s="19" t="str">
        <f>IF(ISBLANK(A392), "Email",IF(ISNA(VLOOKUP(A392,'Master List'!A:C,3,FALSE)), "Not Found", VLOOKUP(A392,'Master List'!A:C,3,FALSE)))</f>
        <v>jekim@sfsu.edu</v>
      </c>
      <c r="E392" s="19" t="s">
        <v>28</v>
      </c>
      <c r="F392" s="4" t="str">
        <f>IF(OR(A392="",E392="","",A392="?",E392="?"),"duplicate?",IF(COUNTIFS($A:A,A392,E:E,E392)&gt;1,"yes","no"))</f>
        <v>no</v>
      </c>
      <c r="G392" s="92"/>
      <c r="H392" s="57"/>
      <c r="I392" s="19" t="s">
        <v>99</v>
      </c>
      <c r="J392" s="107"/>
      <c r="K392" s="97" t="str">
        <f ca="1">IF(J392="","Date",IF(J392&lt;&gt;"",IF(K392="Date",NOW(),K392),""))</f>
        <v>Date</v>
      </c>
      <c r="L392" s="84"/>
    </row>
    <row r="393" spans="1:12">
      <c r="A393" s="19">
        <v>904159157</v>
      </c>
      <c r="B393" s="96">
        <v>45156</v>
      </c>
      <c r="C393" s="19" t="str">
        <f>IF(ISBLANK(A393),"Name",IF(ISNA(VLOOKUP(A393,'Master List'!A:C,2,FALSE)), "Not Found", VLOOKUP(A393,'Master List'!A:C,2,FALSE)))</f>
        <v>Tina Bartolome</v>
      </c>
      <c r="D393" s="19" t="str">
        <f>IF(ISBLANK(A393), "Email",IF(ISNA(VLOOKUP(A393,'Master List'!A:C,3,FALSE)), "Not Found", VLOOKUP(A393,'Master List'!A:C,3,FALSE)))</f>
        <v>kbartolome@sfsu.edu</v>
      </c>
      <c r="E393" s="19" t="s">
        <v>46</v>
      </c>
      <c r="F393" s="4" t="str">
        <f>IF(OR(A393="",E393="","",A393="?",E393="?"),"duplicate?",IF(COUNTIFS($A:A,A393,E:E,E393)&gt;1,"yes","no"))</f>
        <v>no</v>
      </c>
      <c r="G393" s="92"/>
      <c r="H393" s="57" t="s">
        <v>125</v>
      </c>
      <c r="I393" s="19" t="s">
        <v>99</v>
      </c>
      <c r="J393" s="107"/>
      <c r="K393" s="97" t="str">
        <f ca="1">IF(J393="","Date",IF(J393&lt;&gt;"",IF(K393="Date",NOW(),K393),""))</f>
        <v>Date</v>
      </c>
      <c r="L393" s="84"/>
    </row>
    <row r="394" spans="1:12">
      <c r="A394" s="19">
        <v>904159157</v>
      </c>
      <c r="B394" s="96">
        <v>45156</v>
      </c>
      <c r="C394" s="19" t="str">
        <f>IF(ISBLANK(A394),"Name",IF(ISNA(VLOOKUP(A394,'Master List'!A:C,2,FALSE)), "Not Found", VLOOKUP(A394,'Master List'!A:C,2,FALSE)))</f>
        <v>Tina Bartolome</v>
      </c>
      <c r="D394" s="19" t="str">
        <f>IF(ISBLANK(A394), "Email",IF(ISNA(VLOOKUP(A394,'Master List'!A:C,3,FALSE)), "Not Found", VLOOKUP(A394,'Master List'!A:C,3,FALSE)))</f>
        <v>kbartolome@sfsu.edu</v>
      </c>
      <c r="E394" s="19" t="s">
        <v>45</v>
      </c>
      <c r="F394" s="4" t="str">
        <f>IF(OR(A394="",E394="","",A394="?",E394="?"),"duplicate?",IF(COUNTIFS($A:A,A394,E:E,E394)&gt;1,"yes","no"))</f>
        <v>no</v>
      </c>
      <c r="G394" s="92"/>
      <c r="H394" s="57" t="s">
        <v>125</v>
      </c>
      <c r="I394" s="19" t="s">
        <v>99</v>
      </c>
      <c r="J394" s="107"/>
      <c r="K394" s="97" t="str">
        <f ca="1">IF(J394="","Date",IF(J394&lt;&gt;"",IF(K394="Date",NOW(),K394),""))</f>
        <v>Date</v>
      </c>
      <c r="L394" s="84"/>
    </row>
    <row r="395" spans="1:12">
      <c r="A395" s="19">
        <v>918852368</v>
      </c>
      <c r="B395" s="96">
        <v>45156</v>
      </c>
      <c r="C395" s="19" t="str">
        <f>IF(ISBLANK(A395),"Name",IF(ISNA(VLOOKUP(A395,'Master List'!A:C,2,FALSE)), "Not Found", VLOOKUP(A395,'Master List'!A:C,2,FALSE)))</f>
        <v>Ruvani Fonseka</v>
      </c>
      <c r="D395" s="19" t="str">
        <f>IF(ISBLANK(A395), "Email",IF(ISNA(VLOOKUP(A395,'Master List'!A:C,3,FALSE)), "Not Found", VLOOKUP(A395,'Master List'!A:C,3,FALSE)))</f>
        <v>rfonseka@sfsu.edu</v>
      </c>
      <c r="E395" s="19" t="s">
        <v>28</v>
      </c>
      <c r="F395" s="4" t="str">
        <f>IF(OR(A395="",E395="","",A395="?",E395="?"),"duplicate?",IF(COUNTIFS($A:A,A395,E:E,E395)&gt;1,"yes","no"))</f>
        <v>no</v>
      </c>
      <c r="G395" s="92"/>
      <c r="H395" s="57" t="s">
        <v>125</v>
      </c>
      <c r="I395" s="19" t="s">
        <v>99</v>
      </c>
      <c r="J395" s="107"/>
      <c r="K395" s="97" t="str">
        <f ca="1">IF(J395="","Date",IF(J395&lt;&gt;"",IF(K395="Date",NOW(),K395),""))</f>
        <v>Date</v>
      </c>
      <c r="L395" s="84"/>
    </row>
    <row r="396" spans="1:12">
      <c r="A396" s="19">
        <v>900043409</v>
      </c>
      <c r="B396" s="96">
        <v>45159</v>
      </c>
      <c r="C396" s="19" t="str">
        <f>IF(ISBLANK(A396),"Name",IF(ISNA(VLOOKUP(A396,'Master List'!A:C,2,FALSE)), "Not Found", VLOOKUP(A396,'Master List'!A:C,2,FALSE)))</f>
        <v>Lucia Volk</v>
      </c>
      <c r="D396" s="19" t="str">
        <f>IF(ISBLANK(A396), "Email",IF(ISNA(VLOOKUP(A396,'Master List'!A:C,3,FALSE)), "Not Found", VLOOKUP(A396,'Master List'!A:C,3,FALSE)))</f>
        <v>lvolk@sfsu.edu</v>
      </c>
      <c r="E396" s="19" t="s">
        <v>25</v>
      </c>
      <c r="F396" s="4" t="str">
        <f>IF(OR(A396="",E396="","",A396="?",E396="?"),"duplicate?",IF(COUNTIFS($A:A,A396,E:E,E396)&gt;1,"yes","no"))</f>
        <v>yes</v>
      </c>
      <c r="G396" s="92"/>
      <c r="H396" s="57" t="s">
        <v>124</v>
      </c>
      <c r="I396" s="19" t="s">
        <v>69</v>
      </c>
      <c r="J396" s="107"/>
      <c r="K396" s="97" t="str">
        <f ca="1">IF(J396="","Date",IF(J396&lt;&gt;"",IF(K396="Date",NOW(),K396),""))</f>
        <v>Date</v>
      </c>
      <c r="L396" s="84"/>
    </row>
    <row r="397" spans="1:12">
      <c r="A397" s="19">
        <v>900064846</v>
      </c>
      <c r="B397" s="96">
        <v>45159</v>
      </c>
      <c r="C397" s="19" t="str">
        <f>IF(ISBLANK(A397),"Name",IF(ISNA(VLOOKUP(A397,'Master List'!A:C,2,FALSE)), "Not Found", VLOOKUP(A397,'Master List'!A:C,2,FALSE)))</f>
        <v>David Gill</v>
      </c>
      <c r="D397" s="19" t="str">
        <f>IF(ISBLANK(A397), "Email",IF(ISNA(VLOOKUP(A397,'Master List'!A:C,3,FALSE)), "Not Found", VLOOKUP(A397,'Master List'!A:C,3,FALSE)))</f>
        <v>dcgill@sfsu.edu</v>
      </c>
      <c r="E397" s="19" t="s">
        <v>25</v>
      </c>
      <c r="F397" s="4" t="str">
        <f>IF(OR(A397="",E397="","",A397="?",E397="?"),"duplicate?",IF(COUNTIFS($A:A,A397,E:E,E397)&gt;1,"yes","no"))</f>
        <v>no</v>
      </c>
      <c r="G397" s="92"/>
      <c r="H397" s="57" t="s">
        <v>126</v>
      </c>
      <c r="I397" s="19" t="s">
        <v>70</v>
      </c>
      <c r="J397" s="107"/>
      <c r="K397" s="97" t="str">
        <f ca="1">IF(J397="","Date",IF(J397&lt;&gt;"",IF(K397="Date",NOW(),K397),""))</f>
        <v>Date</v>
      </c>
      <c r="L397" s="84"/>
    </row>
    <row r="398" spans="1:12">
      <c r="A398" s="19">
        <v>900044488</v>
      </c>
      <c r="B398" s="96">
        <v>45159</v>
      </c>
      <c r="C398" s="19" t="str">
        <f>IF(ISBLANK(A398),"Name",IF(ISNA(VLOOKUP(A398,'Master List'!A:C,2,FALSE)), "Not Found", VLOOKUP(A398,'Master List'!A:C,2,FALSE)))</f>
        <v>Christy Lao</v>
      </c>
      <c r="D398" s="19" t="str">
        <f>IF(ISBLANK(A398), "Email",IF(ISNA(VLOOKUP(A398,'Master List'!A:C,3,FALSE)), "Not Found", VLOOKUP(A398,'Master List'!A:C,3,FALSE)))</f>
        <v>clao@sfsu.edu</v>
      </c>
      <c r="E398" s="19" t="s">
        <v>19</v>
      </c>
      <c r="F398" s="4" t="str">
        <f>IF(OR(A398="",E398="","",A398="?",E398="?"),"duplicate?",IF(COUNTIFS($A:A,A398,E:E,E398)&gt;1,"yes","no"))</f>
        <v>no</v>
      </c>
      <c r="G398" s="92"/>
      <c r="H398" s="57" t="s">
        <v>127</v>
      </c>
      <c r="I398" s="19" t="s">
        <v>70</v>
      </c>
      <c r="J398" s="107"/>
      <c r="K398" s="97" t="str">
        <f ca="1">IF(J398="","Date",IF(J398&lt;&gt;"",IF(K398="Date",NOW(),K398),""))</f>
        <v>Date</v>
      </c>
      <c r="L398" s="84"/>
    </row>
    <row r="399" spans="1:12">
      <c r="A399" s="19">
        <v>918847818</v>
      </c>
      <c r="B399" s="96">
        <v>45160</v>
      </c>
      <c r="C399" s="19" t="str">
        <f>IF(ISBLANK(A399),"Name",IF(ISNA(VLOOKUP(A399,'Master List'!A:C,2,FALSE)), "Not Found", VLOOKUP(A399,'Master List'!A:C,2,FALSE)))</f>
        <v>Taleb, Ben Taleb</v>
      </c>
      <c r="D399" s="19" t="str">
        <f>IF(ISBLANK(A399), "Email",IF(ISNA(VLOOKUP(A399,'Master List'!A:C,3,FALSE)), "Not Found", VLOOKUP(A399,'Master List'!A:C,3,FALSE)))</f>
        <v>bbentaleb@sfsu.edu</v>
      </c>
      <c r="E399" s="19" t="s">
        <v>48</v>
      </c>
      <c r="F399" s="4" t="str">
        <f>IF(OR(A399="",E399="","",A399="?",E399="?"),"duplicate?",IF(COUNTIFS($A:A,A399,E:E,E399)&gt;1,"yes","no"))</f>
        <v>no</v>
      </c>
      <c r="G399" s="92"/>
      <c r="H399" s="57" t="s">
        <v>127</v>
      </c>
      <c r="I399" s="19" t="s">
        <v>77</v>
      </c>
      <c r="J399" s="107"/>
      <c r="K399" s="97" t="str">
        <f ca="1">IF(J399="","Date",IF(J399&lt;&gt;"",IF(K399="Date",NOW(),K399),""))</f>
        <v>Date</v>
      </c>
      <c r="L399" s="84"/>
    </row>
    <row r="400" spans="1:12">
      <c r="A400" s="19">
        <v>902036348</v>
      </c>
      <c r="B400" s="96">
        <v>45160</v>
      </c>
      <c r="C400" s="19" t="str">
        <f>IF(ISBLANK(A400),"Name",IF(ISNA(VLOOKUP(A400,'Master List'!A:C,2,FALSE)), "Not Found", VLOOKUP(A400,'Master List'!A:C,2,FALSE)))</f>
        <v>Adolfo Velasquez</v>
      </c>
      <c r="D400" s="19" t="str">
        <f>IF(ISBLANK(A400), "Email",IF(ISNA(VLOOKUP(A400,'Master List'!A:C,3,FALSE)), "Not Found", VLOOKUP(A400,'Master List'!A:C,3,FALSE)))</f>
        <v>adolfov@sfsu.edu</v>
      </c>
      <c r="E400" s="19" t="s">
        <v>12</v>
      </c>
      <c r="F400" s="4" t="str">
        <f>IF(OR(A400="",E400="","",A400="?",E400="?"),"duplicate?",IF(COUNTIFS($A:A,A400,E:E,E400)&gt;1,"yes","no"))</f>
        <v>no</v>
      </c>
      <c r="G400" s="92"/>
      <c r="H400" s="57" t="s">
        <v>127</v>
      </c>
      <c r="I400" s="19" t="s">
        <v>71</v>
      </c>
      <c r="J400" s="107"/>
      <c r="K400" s="97" t="str">
        <f ca="1">IF(J400="","Date",IF(J400&lt;&gt;"",IF(K400="Date",NOW(),K400),""))</f>
        <v>Date</v>
      </c>
      <c r="L400" s="84"/>
    </row>
    <row r="401" spans="1:12">
      <c r="A401" s="19">
        <v>918851029</v>
      </c>
      <c r="B401" s="96">
        <v>45160</v>
      </c>
      <c r="C401" s="19" t="str">
        <f>IF(ISBLANK(A401),"Name",IF(ISNA(VLOOKUP(A401,'Master List'!A:C,2,FALSE)), "Not Found", VLOOKUP(A401,'Master List'!A:C,2,FALSE)))</f>
        <v>Julia Parma</v>
      </c>
      <c r="D401" s="19" t="str">
        <f>IF(ISBLANK(A401), "Email",IF(ISNA(VLOOKUP(A401,'Master List'!A:C,3,FALSE)), "Not Found", VLOOKUP(A401,'Master List'!A:C,3,FALSE)))</f>
        <v>julianaparma@sfsu.edu</v>
      </c>
      <c r="E401" s="19" t="s">
        <v>30</v>
      </c>
      <c r="F401" s="4" t="str">
        <f>IF(OR(A401="",E401="","",A401="?",E401="?"),"duplicate?",IF(COUNTIFS($A:A,A401,E:E,E401)&gt;1,"yes","no"))</f>
        <v>no</v>
      </c>
      <c r="G401" s="92"/>
      <c r="H401" s="57" t="s">
        <v>127</v>
      </c>
      <c r="I401" s="19" t="s">
        <v>66</v>
      </c>
      <c r="J401" s="107"/>
      <c r="K401" s="97" t="str">
        <f ca="1">IF(J401="","Date",IF(J401&lt;&gt;"",IF(K401="Date",NOW(),K401),""))</f>
        <v>Date</v>
      </c>
      <c r="L401" s="84"/>
    </row>
    <row r="402" spans="1:12">
      <c r="A402" s="19">
        <v>916483521</v>
      </c>
      <c r="B402" s="96">
        <v>45161</v>
      </c>
      <c r="C402" s="19" t="str">
        <f>IF(ISBLANK(A402),"Name",IF(ISNA(VLOOKUP(A402,'Master List'!A:C,2,FALSE)), "Not Found", VLOOKUP(A402,'Master List'!A:C,2,FALSE)))</f>
        <v>Tomomi Kinukawa</v>
      </c>
      <c r="D402" s="19" t="str">
        <f>IF(ISBLANK(A402), "Email",IF(ISNA(VLOOKUP(A402,'Master List'!A:C,3,FALSE)), "Not Found", VLOOKUP(A402,'Master List'!A:C,3,FALSE)))</f>
        <v>tkinukaw@sfsu.edu</v>
      </c>
      <c r="E402" s="19" t="s">
        <v>128</v>
      </c>
      <c r="F402" s="4" t="str">
        <f>IF(OR(A402="",E402="","",A402="?",E402="?"),"duplicate?",IF(COUNTIFS($A:A,A402,E:E,E402)&gt;1,"yes","no"))</f>
        <v>no</v>
      </c>
      <c r="G402" s="92"/>
      <c r="H402" s="57" t="s">
        <v>127</v>
      </c>
      <c r="I402" s="19" t="s">
        <v>77</v>
      </c>
      <c r="J402" s="107"/>
      <c r="K402" s="97" t="str">
        <f ca="1">IF(J402="","Date",IF(J402&lt;&gt;"",IF(K402="Date",NOW(),K402),""))</f>
        <v>Date</v>
      </c>
      <c r="L402" s="84"/>
    </row>
    <row r="403" spans="1:12">
      <c r="A403" s="19">
        <v>916483521</v>
      </c>
      <c r="B403" s="96">
        <v>45161</v>
      </c>
      <c r="C403" s="19" t="str">
        <f>IF(ISBLANK(A403),"Name",IF(ISNA(VLOOKUP(A403,'Master List'!A:C,2,FALSE)), "Not Found", VLOOKUP(A403,'Master List'!A:C,2,FALSE)))</f>
        <v>Tomomi Kinukawa</v>
      </c>
      <c r="D403" s="19" t="str">
        <f>IF(ISBLANK(A403), "Email",IF(ISNA(VLOOKUP(A403,'Master List'!A:C,3,FALSE)), "Not Found", VLOOKUP(A403,'Master List'!A:C,3,FALSE)))</f>
        <v>tkinukaw@sfsu.edu</v>
      </c>
      <c r="E403" s="19" t="s">
        <v>129</v>
      </c>
      <c r="F403" s="4" t="str">
        <f>IF(OR(A403="",E403="","",A403="?",E403="?"),"duplicate?",IF(COUNTIFS($A:A,A403,E:E,E403)&gt;1,"yes","no"))</f>
        <v>no</v>
      </c>
      <c r="G403" s="92"/>
      <c r="H403" s="57" t="s">
        <v>127</v>
      </c>
      <c r="I403" s="19" t="s">
        <v>77</v>
      </c>
      <c r="J403" s="107"/>
      <c r="K403" s="97" t="str">
        <f ca="1">IF(J403="","Date",IF(J403&lt;&gt;"",IF(K403="Date",NOW(),K403),""))</f>
        <v>Date</v>
      </c>
      <c r="L403" s="84"/>
    </row>
    <row r="404" spans="1:12">
      <c r="A404" s="19">
        <v>916483521</v>
      </c>
      <c r="B404" s="96">
        <v>45161</v>
      </c>
      <c r="C404" s="19" t="str">
        <f>IF(ISBLANK(A404),"Name",IF(ISNA(VLOOKUP(A404,'Master List'!A:C,2,FALSE)), "Not Found", VLOOKUP(A404,'Master List'!A:C,2,FALSE)))</f>
        <v>Tomomi Kinukawa</v>
      </c>
      <c r="D404" s="19" t="str">
        <f>IF(ISBLANK(A404), "Email",IF(ISNA(VLOOKUP(A404,'Master List'!A:C,3,FALSE)), "Not Found", VLOOKUP(A404,'Master List'!A:C,3,FALSE)))</f>
        <v>tkinukaw@sfsu.edu</v>
      </c>
      <c r="E404" s="19" t="s">
        <v>28</v>
      </c>
      <c r="F404" s="4" t="str">
        <f>IF(OR(A404="",E404="","",A404="?",E404="?"),"duplicate?",IF(COUNTIFS($A:A,A404,E:E,E404)&gt;1,"yes","no"))</f>
        <v>no</v>
      </c>
      <c r="G404" s="92"/>
      <c r="H404" s="57" t="s">
        <v>127</v>
      </c>
      <c r="I404" s="19" t="s">
        <v>77</v>
      </c>
      <c r="J404" s="107"/>
      <c r="K404" s="97" t="str">
        <f ca="1">IF(J404="","Date",IF(J404&lt;&gt;"",IF(K404="Date",NOW(),K404),""))</f>
        <v>Date</v>
      </c>
      <c r="L404" s="84"/>
    </row>
    <row r="405" spans="1:12">
      <c r="A405" s="19">
        <v>918852979</v>
      </c>
      <c r="B405" s="96">
        <v>45161</v>
      </c>
      <c r="C405" s="19" t="str">
        <f>IF(ISBLANK(A405),"Name",IF(ISNA(VLOOKUP(A405,'Master List'!A:C,2,FALSE)), "Not Found", VLOOKUP(A405,'Master List'!A:C,2,FALSE)))</f>
        <v>Alyssa Kubota</v>
      </c>
      <c r="D405" s="19" t="str">
        <f>IF(ISBLANK(A405), "Email",IF(ISNA(VLOOKUP(A405,'Master List'!A:C,3,FALSE)), "Not Found", VLOOKUP(A405,'Master List'!A:C,3,FALSE)))</f>
        <v>akubota@sfsu.edu</v>
      </c>
      <c r="E405" s="19" t="s">
        <v>28</v>
      </c>
      <c r="F405" s="4" t="str">
        <f>IF(OR(A405="",E405="","",A405="?",E405="?"),"duplicate?",IF(COUNTIFS($A:A,A405,E:E,E405)&gt;1,"yes","no"))</f>
        <v>no</v>
      </c>
      <c r="G405" s="92"/>
      <c r="H405" s="57" t="s">
        <v>127</v>
      </c>
      <c r="I405" s="19" t="s">
        <v>54</v>
      </c>
      <c r="J405" s="107"/>
      <c r="K405" s="97" t="str">
        <f ca="1">IF(J405="","Date",IF(J405&lt;&gt;"",IF(K405="Date",NOW(),K405),""))</f>
        <v>Date</v>
      </c>
      <c r="L405" s="84"/>
    </row>
    <row r="406" spans="1:12">
      <c r="A406" s="19">
        <v>900049181</v>
      </c>
      <c r="B406" s="96">
        <v>45161</v>
      </c>
      <c r="C406" s="19" t="str">
        <f>IF(ISBLANK(A406),"Name",IF(ISNA(VLOOKUP(A406,'Master List'!A:C,2,FALSE)), "Not Found", VLOOKUP(A406,'Master List'!A:C,2,FALSE)))</f>
        <v>Rachele Kanigel</v>
      </c>
      <c r="D406" s="19" t="str">
        <f>IF(ISBLANK(A406), "Email",IF(ISNA(VLOOKUP(A406,'Master List'!A:C,3,FALSE)), "Not Found", VLOOKUP(A406,'Master List'!A:C,3,FALSE)))</f>
        <v>kanigel@sfsu.edu</v>
      </c>
      <c r="E406" s="19" t="s">
        <v>31</v>
      </c>
      <c r="F406" s="4" t="str">
        <f>IF(OR(A406="",E406="","",A406="?",E406="?"),"duplicate?",IF(COUNTIFS($A:A,A406,E:E,E406)&gt;1,"yes","no"))</f>
        <v>no</v>
      </c>
      <c r="G406" s="92"/>
      <c r="H406" s="57" t="s">
        <v>127</v>
      </c>
      <c r="I406" s="19" t="s">
        <v>55</v>
      </c>
      <c r="J406" s="107"/>
      <c r="K406" s="97" t="str">
        <f ca="1">IF(J406="","Date",IF(J406&lt;&gt;"",IF(K406="Date",NOW(),K406),""))</f>
        <v>Date</v>
      </c>
      <c r="L406" s="84"/>
    </row>
    <row r="407" spans="1:12">
      <c r="A407" s="19">
        <v>917190955</v>
      </c>
      <c r="B407" s="96">
        <v>45161</v>
      </c>
      <c r="C407" s="19" t="str">
        <f>IF(ISBLANK(A407),"Name",IF(ISNA(VLOOKUP(A407,'Master List'!A:C,2,FALSE)), "Not Found", VLOOKUP(A407,'Master List'!A:C,2,FALSE)))</f>
        <v>Elisa Maria Cornejo Molina</v>
      </c>
      <c r="D407" s="19" t="str">
        <f>IF(ISBLANK(A407), "Email",IF(ISNA(VLOOKUP(A407,'Master List'!A:C,3,FALSE)), "Not Found", VLOOKUP(A407,'Master List'!A:C,3,FALSE)))</f>
        <v xml:space="preserve"> ecornejomolina@sfsu.edu </v>
      </c>
      <c r="E407" s="19" t="s">
        <v>36</v>
      </c>
      <c r="F407" s="4" t="str">
        <f>IF(OR(A407="",E407="","",A407="?",E407="?"),"duplicate?",IF(COUNTIFS($A:A,A407,E:E,E407)&gt;1,"yes","no"))</f>
        <v>yes</v>
      </c>
      <c r="G407" s="92"/>
      <c r="H407" s="57" t="s">
        <v>21</v>
      </c>
      <c r="I407" s="19" t="s">
        <v>77</v>
      </c>
      <c r="J407" s="107"/>
      <c r="K407" s="97" t="str">
        <f ca="1">IF(J407="","Date",IF(J407&lt;&gt;"",IF(K407="Date",NOW(),K407),""))</f>
        <v>Date</v>
      </c>
      <c r="L407" s="84"/>
    </row>
    <row r="408" spans="1:12">
      <c r="A408" s="19">
        <v>917190955</v>
      </c>
      <c r="B408" s="96">
        <v>45161</v>
      </c>
      <c r="C408" s="19" t="str">
        <f>IF(ISBLANK(A408),"Name",IF(ISNA(VLOOKUP(A408,'Master List'!A:C,2,FALSE)), "Not Found", VLOOKUP(A408,'Master List'!A:C,2,FALSE)))</f>
        <v>Elisa Maria Cornejo Molina</v>
      </c>
      <c r="D408" s="19" t="str">
        <f>IF(ISBLANK(A408), "Email",IF(ISNA(VLOOKUP(A408,'Master List'!A:C,3,FALSE)), "Not Found", VLOOKUP(A408,'Master List'!A:C,3,FALSE)))</f>
        <v xml:space="preserve"> ecornejomolina@sfsu.edu </v>
      </c>
      <c r="E408" s="19" t="s">
        <v>30</v>
      </c>
      <c r="F408" s="4" t="str">
        <f>IF(OR(A408="",E408="","",A408="?",E408="?"),"duplicate?",IF(COUNTIFS($A:A,A408,E:E,E408)&gt;1,"yes","no"))</f>
        <v>no</v>
      </c>
      <c r="G408" s="92"/>
      <c r="H408" s="57" t="s">
        <v>21</v>
      </c>
      <c r="I408" s="19" t="s">
        <v>77</v>
      </c>
      <c r="J408" s="107"/>
      <c r="K408" s="97" t="str">
        <f ca="1">IF(J408="","Date",IF(J408&lt;&gt;"",IF(K408="Date",NOW(),K408),""))</f>
        <v>Date</v>
      </c>
      <c r="L408" s="84"/>
    </row>
    <row r="409" spans="1:12">
      <c r="A409" s="19">
        <v>917548286</v>
      </c>
      <c r="B409" s="96">
        <v>45161</v>
      </c>
      <c r="C409" s="19" t="str">
        <f>IF(ISBLANK(A409),"Name",IF(ISNA(VLOOKUP(A409,'Master List'!A:C,2,FALSE)), "Not Found", VLOOKUP(A409,'Master List'!A:C,2,FALSE)))</f>
        <v>Michael Martin</v>
      </c>
      <c r="D409" s="19" t="str">
        <f>IF(ISBLANK(A409), "Email",IF(ISNA(VLOOKUP(A409,'Master List'!A:C,3,FALSE)), "Not Found", VLOOKUP(A409,'Master List'!A:C,3,FALSE)))</f>
        <v>mmartin47@sfsu.edu</v>
      </c>
      <c r="E409" s="19" t="s">
        <v>67</v>
      </c>
      <c r="F409" s="4" t="str">
        <f>IF(OR(A409="",E409="","",A409="?",E409="?"),"duplicate?",IF(COUNTIFS($A:A,A409,E:E,E409)&gt;1,"yes","no"))</f>
        <v>no</v>
      </c>
      <c r="G409" s="92"/>
      <c r="H409" s="57" t="s">
        <v>127</v>
      </c>
      <c r="I409" s="19" t="s">
        <v>99</v>
      </c>
      <c r="J409" s="107"/>
      <c r="K409" s="97" t="str">
        <f ca="1">IF(J409="","Date",IF(J409&lt;&gt;"",IF(K409="Date",NOW(),K409),""))</f>
        <v>Date</v>
      </c>
      <c r="L409" s="84"/>
    </row>
    <row r="410" spans="1:12">
      <c r="A410" s="19">
        <v>918103178</v>
      </c>
      <c r="B410" s="96">
        <v>45162</v>
      </c>
      <c r="C410" s="19" t="str">
        <f>IF(ISBLANK(A410),"Name",IF(ISNA(VLOOKUP(A410,'Master List'!A:C,2,FALSE)), "Not Found", VLOOKUP(A410,'Master List'!A:C,2,FALSE)))</f>
        <v>Veronica Rabelo</v>
      </c>
      <c r="D410" s="19" t="str">
        <f>IF(ISBLANK(A410), "Email",IF(ISNA(VLOOKUP(A410,'Master List'!A:C,3,FALSE)), "Not Found", VLOOKUP(A410,'Master List'!A:C,3,FALSE)))</f>
        <v>rabelo@sfsu.edu</v>
      </c>
      <c r="E410" s="11" t="s">
        <v>92</v>
      </c>
      <c r="F410" s="4" t="str">
        <f>IF(OR(A410="",E410="","",A410="?",E410="?"),"duplicate?",IF(COUNTIFS($A:A,A410,E:E,E410)&gt;1,"yes","no"))</f>
        <v>no</v>
      </c>
      <c r="G410" s="92"/>
      <c r="H410" s="57">
        <v>45162</v>
      </c>
      <c r="I410" s="19" t="s">
        <v>61</v>
      </c>
      <c r="J410" s="107"/>
      <c r="K410" s="97" t="str">
        <f ca="1">IF(J410="","Date",IF(J410&lt;&gt;"",IF(K410="Date",NOW(),K410),""))</f>
        <v>Date</v>
      </c>
      <c r="L410" s="84" t="s">
        <v>130</v>
      </c>
    </row>
    <row r="411" spans="1:12">
      <c r="A411" s="19">
        <v>918834155</v>
      </c>
      <c r="B411" s="96">
        <v>45162</v>
      </c>
      <c r="C411" s="19" t="str">
        <f>IF(ISBLANK(A411),"Name",IF(ISNA(VLOOKUP(A411,'Master List'!A:C,2,FALSE)), "Not Found", VLOOKUP(A411,'Master List'!A:C,2,FALSE)))</f>
        <v>Henry Boateng</v>
      </c>
      <c r="D411" s="19" t="str">
        <f>IF(ISBLANK(A411), "Email",IF(ISNA(VLOOKUP(A411,'Master List'!A:C,3,FALSE)), "Not Found", VLOOKUP(A411,'Master List'!A:C,3,FALSE)))</f>
        <v>boateng@sfsu.edu</v>
      </c>
      <c r="E411" s="19" t="s">
        <v>67</v>
      </c>
      <c r="F411" s="4" t="str">
        <f>IF(OR(A411="",E411="","",A411="?",E411="?"),"duplicate?",IF(COUNTIFS($A:A,A411,E:E,E411)&gt;1,"yes","no"))</f>
        <v>no</v>
      </c>
      <c r="G411" s="92"/>
      <c r="H411" s="57" t="s">
        <v>127</v>
      </c>
      <c r="I411" s="19" t="s">
        <v>131</v>
      </c>
      <c r="J411" s="107"/>
      <c r="K411" s="97" t="str">
        <f ca="1">IF(J411="","Date",IF(J411&lt;&gt;"",IF(K411="Date",NOW(),K411),""))</f>
        <v>Date</v>
      </c>
      <c r="L411" s="84"/>
    </row>
    <row r="412" spans="1:12">
      <c r="A412" s="19">
        <v>901790713</v>
      </c>
      <c r="B412" s="96">
        <v>45162</v>
      </c>
      <c r="C412" s="19" t="str">
        <f>IF(ISBLANK(A412),"Name",IF(ISNA(VLOOKUP(A412,'Master List'!A:C,2,FALSE)), "Not Found", VLOOKUP(A412,'Master List'!A:C,2,FALSE)))</f>
        <v>Brad Erickson</v>
      </c>
      <c r="D412" s="19" t="str">
        <f>IF(ISBLANK(A412), "Email",IF(ISNA(VLOOKUP(A412,'Master List'!A:C,3,FALSE)), "Not Found", VLOOKUP(A412,'Master List'!A:C,3,FALSE)))</f>
        <v>berickso@sfsu.edu</v>
      </c>
      <c r="E412" s="19" t="s">
        <v>31</v>
      </c>
      <c r="F412" s="4" t="str">
        <f>IF(OR(A412="",E412="","",A412="?",E412="?"),"duplicate?",IF(COUNTIFS($A:A,A412,E:E,E412)&gt;1,"yes","no"))</f>
        <v>no</v>
      </c>
      <c r="G412" s="92"/>
      <c r="H412" s="57" t="s">
        <v>125</v>
      </c>
      <c r="I412" s="19" t="s">
        <v>132</v>
      </c>
      <c r="J412" s="107"/>
      <c r="K412" s="97" t="str">
        <f ca="1">IF(J412="","Date",IF(J412&lt;&gt;"",IF(K412="Date",NOW(),K412),""))</f>
        <v>Date</v>
      </c>
      <c r="L412" s="84"/>
    </row>
    <row r="413" spans="1:12">
      <c r="A413" s="19">
        <v>901596090</v>
      </c>
      <c r="B413" s="96">
        <v>45163</v>
      </c>
      <c r="C413" s="19" t="str">
        <f>IF(ISBLANK(A413),"Name",IF(ISNA(VLOOKUP(A413,'Master List'!A:C,2,FALSE)), "Not Found", VLOOKUP(A413,'Master List'!A:C,2,FALSE)))</f>
        <v>Savita Malik</v>
      </c>
      <c r="D413" s="19" t="str">
        <f>IF(ISBLANK(A413), "Email",IF(ISNA(VLOOKUP(A413,'Master List'!A:C,3,FALSE)), "Not Found", VLOOKUP(A413,'Master List'!A:C,3,FALSE)))</f>
        <v>smalik@sfsu.edu</v>
      </c>
      <c r="E413" s="19" t="s">
        <v>133</v>
      </c>
      <c r="F413" s="4" t="str">
        <f>IF(OR(A413="",E413="","",A413="?",E413="?"),"duplicate?",IF(COUNTIFS($A:A,A413,E:E,E413)&gt;1,"yes","no"))</f>
        <v>no</v>
      </c>
      <c r="G413" s="92"/>
      <c r="H413" s="57" t="s">
        <v>134</v>
      </c>
      <c r="I413" s="19" t="s">
        <v>70</v>
      </c>
      <c r="J413" s="107"/>
      <c r="K413" s="97" t="str">
        <f ca="1">IF(J413="","Date",IF(J413&lt;&gt;"",IF(K413="Date",NOW(),K413),""))</f>
        <v>Date</v>
      </c>
      <c r="L413" s="84"/>
    </row>
    <row r="414" spans="1:12">
      <c r="A414" s="19">
        <v>901596090</v>
      </c>
      <c r="B414" s="96">
        <v>45163</v>
      </c>
      <c r="C414" s="19" t="str">
        <f>IF(ISBLANK(A414),"Name",IF(ISNA(VLOOKUP(A414,'Master List'!A:C,2,FALSE)), "Not Found", VLOOKUP(A414,'Master List'!A:C,2,FALSE)))</f>
        <v>Savita Malik</v>
      </c>
      <c r="D414" s="19" t="str">
        <f>IF(ISBLANK(A414), "Email",IF(ISNA(VLOOKUP(A414,'Master List'!A:C,3,FALSE)), "Not Found", VLOOKUP(A414,'Master List'!A:C,3,FALSE)))</f>
        <v>smalik@sfsu.edu</v>
      </c>
      <c r="E414" s="19" t="s">
        <v>67</v>
      </c>
      <c r="F414" s="4" t="str">
        <f>IF(OR(A414="",E414="","",A414="?",E414="?"),"duplicate?",IF(COUNTIFS($A:A,A414,E:E,E414)&gt;1,"yes","no"))</f>
        <v>no</v>
      </c>
      <c r="G414" s="92"/>
      <c r="H414" s="57" t="s">
        <v>125</v>
      </c>
      <c r="I414" s="19" t="s">
        <v>99</v>
      </c>
      <c r="J414" s="107"/>
      <c r="K414" s="97" t="str">
        <f ca="1">IF(J414="","Date",IF(J414&lt;&gt;"",IF(K414="Date",NOW(),K414),""))</f>
        <v>Date</v>
      </c>
      <c r="L414" s="84"/>
    </row>
    <row r="415" spans="1:12">
      <c r="A415" s="19">
        <v>917261233</v>
      </c>
      <c r="B415" s="96">
        <v>45167</v>
      </c>
      <c r="C415" s="19" t="str">
        <f>IF(ISBLANK(A415),"Name",IF(ISNA(VLOOKUP(A415,'Master List'!A:C,2,FALSE)), "Not Found", VLOOKUP(A415,'Master List'!A:C,2,FALSE)))</f>
        <v>Sepideh Modrek</v>
      </c>
      <c r="D415" s="19" t="str">
        <f>IF(ISBLANK(A415), "Email",IF(ISNA(VLOOKUP(A415,'Master List'!A:C,3,FALSE)), "Not Found", VLOOKUP(A415,'Master List'!A:C,3,FALSE)))</f>
        <v>smodrek@sfsu.edu</v>
      </c>
      <c r="E415" s="19" t="s">
        <v>67</v>
      </c>
      <c r="F415" s="4" t="str">
        <f>IF(OR(A415="",E415="","",A415="?",E415="?"),"duplicate?",IF(COUNTIFS($A:A,A415,E:E,E415)&gt;1,"yes","no"))</f>
        <v>no</v>
      </c>
      <c r="G415" s="92"/>
      <c r="H415" s="57" t="s">
        <v>125</v>
      </c>
      <c r="I415" s="19" t="s">
        <v>55</v>
      </c>
      <c r="J415" s="107"/>
      <c r="K415" s="97" t="str">
        <f ca="1">IF(J415="","Date",IF(J415&lt;&gt;"",IF(K415="Date",NOW(),K415),""))</f>
        <v>Date</v>
      </c>
      <c r="L415" s="84"/>
    </row>
    <row r="416" spans="1:12">
      <c r="A416" s="19">
        <v>917158819</v>
      </c>
      <c r="B416" s="96">
        <v>45167</v>
      </c>
      <c r="C416" s="19" t="str">
        <f>IF(ISBLANK(A416),"Name",IF(ISNA(VLOOKUP(A416,'Master List'!A:C,2,FALSE)), "Not Found", VLOOKUP(A416,'Master List'!A:C,2,FALSE)))</f>
        <v>Carolina De Robertis</v>
      </c>
      <c r="D416" s="19" t="str">
        <f>IF(ISBLANK(A416), "Email",IF(ISNA(VLOOKUP(A416,'Master List'!A:C,3,FALSE)), "Not Found", VLOOKUP(A416,'Master List'!A:C,3,FALSE)))</f>
        <v>caro@sfsu.edu</v>
      </c>
      <c r="E416" s="19" t="s">
        <v>19</v>
      </c>
      <c r="F416" s="4" t="str">
        <f>IF(OR(A416="",E416="","",A416="?",E416="?"),"duplicate?",IF(COUNTIFS($A:A,A416,E:E,E416)&gt;1,"yes","no"))</f>
        <v>yes</v>
      </c>
      <c r="G416" s="92"/>
      <c r="H416" s="57" t="s">
        <v>125</v>
      </c>
      <c r="I416" s="19" t="s">
        <v>55</v>
      </c>
      <c r="J416" s="107"/>
      <c r="K416" s="97" t="str">
        <f ca="1">IF(J416="","Date",IF(J416&lt;&gt;"",IF(K416="Date",NOW(),K416),""))</f>
        <v>Date</v>
      </c>
      <c r="L416" s="84"/>
    </row>
    <row r="417" spans="1:12">
      <c r="A417" s="19">
        <v>900064157</v>
      </c>
      <c r="B417" s="96">
        <v>45167</v>
      </c>
      <c r="C417" s="19" t="str">
        <f>IF(ISBLANK(A417),"Name",IF(ISNA(VLOOKUP(A417,'Master List'!A:C,2,FALSE)), "Not Found", VLOOKUP(A417,'Master List'!A:C,2,FALSE)))</f>
        <v>Maya Chinchilla</v>
      </c>
      <c r="D417" s="19" t="str">
        <f>IF(ISBLANK(A417), "Email",IF(ISNA(VLOOKUP(A417,'Master List'!A:C,3,FALSE)), "Not Found", VLOOKUP(A417,'Master List'!A:C,3,FALSE)))</f>
        <v>maya@sfsu.edu</v>
      </c>
      <c r="E417" s="19" t="s">
        <v>28</v>
      </c>
      <c r="F417" s="4" t="str">
        <f>IF(OR(A417="",E417="","",A417="?",E417="?"),"duplicate?",IF(COUNTIFS($A:A,A417,E:E,E417)&gt;1,"yes","no"))</f>
        <v>no</v>
      </c>
      <c r="G417" s="92"/>
      <c r="H417" s="57" t="s">
        <v>125</v>
      </c>
      <c r="I417" s="19" t="s">
        <v>135</v>
      </c>
      <c r="J417" s="107"/>
      <c r="K417" s="97" t="str">
        <f ca="1">IF(J417="","Date",IF(J417&lt;&gt;"",IF(K417="Date",NOW(),K417),""))</f>
        <v>Date</v>
      </c>
      <c r="L417" s="84"/>
    </row>
    <row r="418" spans="1:12">
      <c r="A418" s="19">
        <v>902486122</v>
      </c>
      <c r="B418" s="96">
        <v>45167</v>
      </c>
      <c r="C418" s="19" t="str">
        <f>IF(ISBLANK(A418),"Name",IF(ISNA(VLOOKUP(A418,'Master List'!A:C,2,FALSE)), "Not Found", VLOOKUP(A418,'Master List'!A:C,2,FALSE)))</f>
        <v>Anjalee Beverly</v>
      </c>
      <c r="D418" s="19" t="str">
        <f>IF(ISBLANK(A418), "Email",IF(ISNA(VLOOKUP(A418,'Master List'!A:C,3,FALSE)), "Not Found", VLOOKUP(A418,'Master List'!A:C,3,FALSE)))</f>
        <v>abeverly@sfsu.edu</v>
      </c>
      <c r="E418" s="19" t="s">
        <v>25</v>
      </c>
      <c r="F418" s="4" t="str">
        <f>IF(OR(A418="",E418="","",A418="?",E418="?"),"duplicate?",IF(COUNTIFS($A:A,A418,E:E,E418)&gt;1,"yes","no"))</f>
        <v>no</v>
      </c>
      <c r="G418" s="92"/>
      <c r="H418" s="57" t="s">
        <v>125</v>
      </c>
      <c r="I418" s="19"/>
      <c r="J418" s="107"/>
      <c r="K418" s="97" t="str">
        <f ca="1">IF(J418="","Date",IF(J418&lt;&gt;"",IF(K418="Date",NOW(),K418),""))</f>
        <v>Date</v>
      </c>
      <c r="L418" s="84"/>
    </row>
    <row r="419" spans="1:12">
      <c r="A419" s="19">
        <v>917957136</v>
      </c>
      <c r="B419" s="96">
        <v>45168</v>
      </c>
      <c r="C419" s="19" t="str">
        <f>IF(ISBLANK(A419),"Name",IF(ISNA(VLOOKUP(A419,'Master List'!A:C,2,FALSE)), "Not Found", VLOOKUP(A419,'Master List'!A:C,2,FALSE)))</f>
        <v>Minling Zhang</v>
      </c>
      <c r="D419" s="19" t="str">
        <f>IF(ISBLANK(A419), "Email",IF(ISNA(VLOOKUP(A419,'Master List'!A:C,3,FALSE)), "Not Found", VLOOKUP(A419,'Master List'!A:C,3,FALSE)))</f>
        <v>mzhang8@sfsu.edu</v>
      </c>
      <c r="E419" s="19" t="s">
        <v>105</v>
      </c>
      <c r="F419" s="4" t="str">
        <f>IF(OR(A419="",E419="","",A419="?",E419="?"),"duplicate?",IF(COUNTIFS($A:A,A419,E:E,E419)&gt;1,"yes","no"))</f>
        <v>no</v>
      </c>
      <c r="G419" s="92"/>
      <c r="H419" s="57" t="s">
        <v>134</v>
      </c>
      <c r="I419" s="19" t="s">
        <v>55</v>
      </c>
      <c r="J419" s="107"/>
      <c r="K419" s="97" t="str">
        <f ca="1">IF(J419="","Date",IF(J419&lt;&gt;"",IF(K419="Date",NOW(),K419),""))</f>
        <v>Date</v>
      </c>
      <c r="L419" s="84"/>
    </row>
    <row r="420" spans="1:12">
      <c r="A420" s="19">
        <v>918852108</v>
      </c>
      <c r="B420" s="96">
        <v>45169</v>
      </c>
      <c r="C420" s="19" t="str">
        <f>IF(ISBLANK(A420),"Name",IF(ISNA(VLOOKUP(A420,'Master List'!A:C,2,FALSE)), "Not Found", VLOOKUP(A420,'Master List'!A:C,2,FALSE)))</f>
        <v>Emma Fine</v>
      </c>
      <c r="D420" s="19" t="str">
        <f>IF(ISBLANK(A420), "Email",IF(ISNA(VLOOKUP(A420,'Master List'!A:C,3,FALSE)), "Not Found", VLOOKUP(A420,'Master List'!A:C,3,FALSE)))</f>
        <v xml:space="preserve">efine@sfsu.edu </v>
      </c>
      <c r="E420" s="19" t="s">
        <v>20</v>
      </c>
      <c r="F420" s="4" t="str">
        <f>IF(OR(A420="",E420="","",A420="?",E420="?"),"duplicate?",IF(COUNTIFS($A:A,A420,E:E,E420)&gt;1,"yes","no"))</f>
        <v>no</v>
      </c>
      <c r="G420" s="92"/>
      <c r="H420" s="57" t="s">
        <v>136</v>
      </c>
      <c r="I420" s="19" t="s">
        <v>71</v>
      </c>
      <c r="J420" s="107"/>
      <c r="K420" s="97" t="str">
        <f ca="1">IF(J420="","Date",IF(J420&lt;&gt;"",IF(K420="Date",NOW(),K420),""))</f>
        <v>Date</v>
      </c>
      <c r="L420" s="84"/>
    </row>
    <row r="421" spans="1:12">
      <c r="A421" s="19">
        <v>920838890</v>
      </c>
      <c r="B421" s="96">
        <v>45169</v>
      </c>
      <c r="C421" s="19" t="str">
        <f>IF(ISBLANK(A421),"Name",IF(ISNA(VLOOKUP(A421,'Master List'!A:C,2,FALSE)), "Not Found", VLOOKUP(A421,'Master List'!A:C,2,FALSE)))</f>
        <v>Sean Sliger</v>
      </c>
      <c r="D421" s="19" t="str">
        <f>IF(ISBLANK(A421), "Email",IF(ISNA(VLOOKUP(A421,'Master List'!A:C,3,FALSE)), "Not Found", VLOOKUP(A421,'Master List'!A:C,3,FALSE)))</f>
        <v>ssliger@mail.sfsu.edu</v>
      </c>
      <c r="E421" s="19" t="s">
        <v>44</v>
      </c>
      <c r="F421" s="4" t="str">
        <f>IF(OR(A421="",E421="","",A421="?",E421="?"),"duplicate?",IF(COUNTIFS($A:A,A421,E:E,E421)&gt;1,"yes","no"))</f>
        <v>no</v>
      </c>
      <c r="G421" s="92"/>
      <c r="H421" s="57" t="s">
        <v>136</v>
      </c>
      <c r="I421" s="19" t="s">
        <v>66</v>
      </c>
      <c r="J421" s="107"/>
      <c r="K421" s="97" t="str">
        <f ca="1">IF(J421="","Date",IF(J421&lt;&gt;"",IF(K421="Date",NOW(),K421),""))</f>
        <v>Date</v>
      </c>
      <c r="L421" s="84"/>
    </row>
    <row r="422" spans="1:12">
      <c r="A422" s="19">
        <v>917461355</v>
      </c>
      <c r="B422" s="96">
        <v>45170</v>
      </c>
      <c r="C422" s="19" t="str">
        <f>IF(ISBLANK(A422),"Name",IF(ISNA(VLOOKUP(A422,'Master List'!A:C,2,FALSE)), "Not Found", VLOOKUP(A422,'Master List'!A:C,2,FALSE)))</f>
        <v>Alcides Fuentes</v>
      </c>
      <c r="D422" s="19" t="str">
        <f>IF(ISBLANK(A422), "Email",IF(ISNA(VLOOKUP(A422,'Master List'!A:C,3,FALSE)), "Not Found", VLOOKUP(A422,'Master List'!A:C,3,FALSE)))</f>
        <v>alcidesfuentes@sfsu.edu</v>
      </c>
      <c r="E422" s="19" t="s">
        <v>31</v>
      </c>
      <c r="F422" s="4" t="str">
        <f>IF(OR(A422="",E422="","",A422="?",E422="?"),"duplicate?",IF(COUNTIFS($A:A,A422,E:E,E422)&gt;1,"yes","no"))</f>
        <v>no</v>
      </c>
      <c r="G422" s="92"/>
      <c r="H422" s="57" t="s">
        <v>137</v>
      </c>
      <c r="I422" s="19" t="s">
        <v>99</v>
      </c>
      <c r="J422" s="107"/>
      <c r="K422" s="97" t="str">
        <f ca="1">IF(J422="","Date",IF(J422&lt;&gt;"",IF(K422="Date",NOW(),K422),""))</f>
        <v>Date</v>
      </c>
      <c r="L422" s="84"/>
    </row>
    <row r="423" spans="1:12">
      <c r="A423" s="19">
        <v>913786515</v>
      </c>
      <c r="B423" s="96">
        <v>45170</v>
      </c>
      <c r="C423" s="19" t="str">
        <f>IF(ISBLANK(A423),"Name",IF(ISNA(VLOOKUP(A423,'Master List'!A:C,2,FALSE)), "Not Found", VLOOKUP(A423,'Master List'!A:C,2,FALSE)))</f>
        <v>Richard Ortiz</v>
      </c>
      <c r="D423" s="19" t="str">
        <f>IF(ISBLANK(A423), "Email",IF(ISNA(VLOOKUP(A423,'Master List'!A:C,3,FALSE)), "Not Found", VLOOKUP(A423,'Master List'!A:C,3,FALSE)))</f>
        <v>gabe2ro@sfsu.edu</v>
      </c>
      <c r="E423" s="19" t="s">
        <v>138</v>
      </c>
      <c r="F423" s="4" t="str">
        <f>IF(OR(A423="",E423="","",A423="?",E423="?"),"duplicate?",IF(COUNTIFS($A:A,A423,E:E,E423)&gt;1,"yes","no"))</f>
        <v>no</v>
      </c>
      <c r="G423" s="92"/>
      <c r="H423" s="57" t="s">
        <v>21</v>
      </c>
      <c r="I423" s="19" t="s">
        <v>139</v>
      </c>
      <c r="J423" s="107"/>
      <c r="K423" s="97" t="str">
        <f ca="1">IF(J423="","Date",IF(J423&lt;&gt;"",IF(K423="Date",NOW(),K423),""))</f>
        <v>Date</v>
      </c>
      <c r="L423" s="84"/>
    </row>
    <row r="424" spans="1:12">
      <c r="A424" s="19">
        <v>900002446</v>
      </c>
      <c r="B424" s="96">
        <v>45174</v>
      </c>
      <c r="C424" s="19" t="str">
        <f>IF(ISBLANK(A424),"Name",IF(ISNA(VLOOKUP(A424,'Master List'!A:C,2,FALSE)), "Not Found", VLOOKUP(A424,'Master List'!A:C,2,FALSE)))</f>
        <v>Hamid Shahnasser</v>
      </c>
      <c r="D424" s="19" t="str">
        <f>IF(ISBLANK(A424), "Email",IF(ISNA(VLOOKUP(A424,'Master List'!A:C,3,FALSE)), "Not Found", VLOOKUP(A424,'Master List'!A:C,3,FALSE)))</f>
        <v>hamid@sfsu.edu</v>
      </c>
      <c r="E424" s="19" t="s">
        <v>20</v>
      </c>
      <c r="F424" s="4" t="str">
        <f>IF(OR(A424="",E424="","",A424="?",E424="?"),"duplicate?",IF(COUNTIFS($A:A,A424,E:E,E424)&gt;1,"yes","no"))</f>
        <v>no</v>
      </c>
      <c r="G424" s="92"/>
      <c r="H424" s="57">
        <v>45176</v>
      </c>
      <c r="I424" s="19" t="s">
        <v>71</v>
      </c>
      <c r="J424" s="107"/>
      <c r="K424" s="97" t="str">
        <f ca="1">IF(J424="","Date",IF(J424&lt;&gt;"",IF(K424="Date",NOW(),K424),""))</f>
        <v>Date</v>
      </c>
      <c r="L424" s="84"/>
    </row>
    <row r="425" spans="1:12">
      <c r="A425" s="19">
        <v>918844425</v>
      </c>
      <c r="B425" s="96">
        <v>45174</v>
      </c>
      <c r="C425" s="19" t="str">
        <f>IF(ISBLANK(A425),"Name",IF(ISNA(VLOOKUP(A425,'Master List'!A:C,2,FALSE)), "Not Found", VLOOKUP(A425,'Master List'!A:C,2,FALSE)))</f>
        <v>Andrew Luis</v>
      </c>
      <c r="D425" s="19" t="str">
        <f>IF(ISBLANK(A425), "Email",IF(ISNA(VLOOKUP(A425,'Master List'!A:C,3,FALSE)), "Not Found", VLOOKUP(A425,'Master List'!A:C,3,FALSE)))</f>
        <v>drewluis@sfsu.edu</v>
      </c>
      <c r="E425" s="19" t="s">
        <v>128</v>
      </c>
      <c r="F425" s="4" t="str">
        <f>IF(OR(A425="",E425="","",A425="?",E425="?"),"duplicate?",IF(COUNTIFS($A:A,A425,E:E,E425)&gt;1,"yes","no"))</f>
        <v>no</v>
      </c>
      <c r="G425" s="92"/>
      <c r="H425" s="57" t="s">
        <v>125</v>
      </c>
      <c r="I425" s="19" t="s">
        <v>132</v>
      </c>
      <c r="J425" s="107"/>
      <c r="K425" s="97" t="str">
        <f ca="1">IF(J425="","Date",IF(J425&lt;&gt;"",IF(K425="Date",NOW(),K425),""))</f>
        <v>Date</v>
      </c>
      <c r="L425" s="84"/>
    </row>
    <row r="426" spans="1:12">
      <c r="A426" s="19">
        <v>913477349</v>
      </c>
      <c r="B426" s="96">
        <v>45175</v>
      </c>
      <c r="C426" s="19" t="str">
        <f>IF(ISBLANK(A426),"Name",IF(ISNA(VLOOKUP(A426,'Master List'!A:C,2,FALSE)), "Not Found", VLOOKUP(A426,'Master List'!A:C,2,FALSE)))</f>
        <v>David Griffis</v>
      </c>
      <c r="D426" s="19" t="str">
        <f>IF(ISBLANK(A426), "Email",IF(ISNA(VLOOKUP(A426,'Master List'!A:C,3,FALSE)), "Not Found", VLOOKUP(A426,'Master List'!A:C,3,FALSE)))</f>
        <v>griffis@sfsu.edu</v>
      </c>
      <c r="E426" s="19" t="s">
        <v>140</v>
      </c>
      <c r="F426" s="4" t="str">
        <f>IF(OR(A426="",E426="","",A426="?",E426="?"),"duplicate?",IF(COUNTIFS($A:A,A426,E:E,E426)&gt;1,"yes","no"))</f>
        <v>no</v>
      </c>
      <c r="G426" s="92"/>
      <c r="H426" s="57" t="s">
        <v>134</v>
      </c>
      <c r="I426" s="19" t="s">
        <v>70</v>
      </c>
      <c r="J426" s="107"/>
      <c r="K426" s="97" t="str">
        <f ca="1">IF(J426="","Date",IF(J426&lt;&gt;"",IF(K426="Date",NOW(),K426),""))</f>
        <v>Date</v>
      </c>
      <c r="L426" s="84"/>
    </row>
    <row r="427" spans="1:12">
      <c r="A427" s="19">
        <v>918852966</v>
      </c>
      <c r="B427" s="96">
        <v>45175</v>
      </c>
      <c r="C427" s="19" t="str">
        <f>IF(ISBLANK(A427),"Name",IF(ISNA(VLOOKUP(A427,'Master List'!A:C,2,FALSE)), "Not Found", VLOOKUP(A427,'Master List'!A:C,2,FALSE)))</f>
        <v>Alanna Cooney</v>
      </c>
      <c r="D427" s="19" t="str">
        <f>IF(ISBLANK(A427), "Email",IF(ISNA(VLOOKUP(A427,'Master List'!A:C,3,FALSE)), "Not Found", VLOOKUP(A427,'Master List'!A:C,3,FALSE)))</f>
        <v>aycooney@sfsu.edu</v>
      </c>
      <c r="E427" s="19" t="s">
        <v>28</v>
      </c>
      <c r="F427" s="4" t="str">
        <f>IF(OR(A427="",E427="","",A427="?",E427="?"),"duplicate?",IF(COUNTIFS($A:A,A427,E:E,E427)&gt;1,"yes","no"))</f>
        <v>no</v>
      </c>
      <c r="G427" s="92"/>
      <c r="H427" s="57" t="s">
        <v>125</v>
      </c>
      <c r="I427" s="19" t="s">
        <v>99</v>
      </c>
      <c r="J427" s="107"/>
      <c r="K427" s="97" t="str">
        <f ca="1">IF(J427="","Date",IF(J427&lt;&gt;"",IF(K427="Date",NOW(),K427),""))</f>
        <v>Date</v>
      </c>
      <c r="L427" s="84"/>
    </row>
    <row r="428" spans="1:12">
      <c r="A428" s="19">
        <v>907606601</v>
      </c>
      <c r="B428" s="96">
        <v>45175</v>
      </c>
      <c r="C428" s="19" t="str">
        <f>IF(ISBLANK(A428),"Name",IF(ISNA(VLOOKUP(A428,'Master List'!A:C,2,FALSE)), "Not Found", VLOOKUP(A428,'Master List'!A:C,2,FALSE)))</f>
        <v>Elizabeth Detrich</v>
      </c>
      <c r="D428" s="19" t="str">
        <f>IF(ISBLANK(A428), "Email",IF(ISNA(VLOOKUP(A428,'Master List'!A:C,3,FALSE)), "Not Found", VLOOKUP(A428,'Master List'!A:C,3,FALSE)))</f>
        <v>edetrich@sfsu.edu</v>
      </c>
      <c r="E428" s="19" t="s">
        <v>33</v>
      </c>
      <c r="F428" s="4" t="str">
        <f>IF(OR(A428="",E428="","",A428="?",E428="?"),"duplicate?",IF(COUNTIFS($A:A,A428,E:E,E428)&gt;1,"yes","no"))</f>
        <v>no</v>
      </c>
      <c r="G428" s="92"/>
      <c r="H428" s="57" t="s">
        <v>141</v>
      </c>
      <c r="I428" s="19" t="s">
        <v>99</v>
      </c>
      <c r="J428" s="107"/>
      <c r="K428" s="97" t="str">
        <f ca="1">IF(J428="","Date",IF(J428&lt;&gt;"",IF(K428="Date",NOW(),K428),""))</f>
        <v>Date</v>
      </c>
      <c r="L428" s="84"/>
    </row>
    <row r="429" spans="1:12">
      <c r="A429" s="19">
        <v>907606601</v>
      </c>
      <c r="B429" s="96">
        <v>45175</v>
      </c>
      <c r="C429" s="19" t="str">
        <f>IF(ISBLANK(A429),"Name",IF(ISNA(VLOOKUP(A429,'Master List'!A:C,2,FALSE)), "Not Found", VLOOKUP(A429,'Master List'!A:C,2,FALSE)))</f>
        <v>Elizabeth Detrich</v>
      </c>
      <c r="D429" s="19" t="str">
        <f>IF(ISBLANK(A429), "Email",IF(ISNA(VLOOKUP(A429,'Master List'!A:C,3,FALSE)), "Not Found", VLOOKUP(A429,'Master List'!A:C,3,FALSE)))</f>
        <v>edetrich@sfsu.edu</v>
      </c>
      <c r="E429" s="19" t="s">
        <v>30</v>
      </c>
      <c r="F429" s="4" t="str">
        <f>IF(OR(A429="",E429="","",A429="?",E429="?"),"duplicate?",IF(COUNTIFS($A:A,A429,E:E,E429)&gt;1,"yes","no"))</f>
        <v>no</v>
      </c>
      <c r="G429" s="92"/>
      <c r="H429" s="57" t="s">
        <v>141</v>
      </c>
      <c r="I429" s="19" t="s">
        <v>99</v>
      </c>
      <c r="J429" s="107"/>
      <c r="K429" s="97" t="str">
        <f ca="1">IF(J429="","Date",IF(J429&lt;&gt;"",IF(K429="Date",NOW(),K429),""))</f>
        <v>Date</v>
      </c>
      <c r="L429" s="84"/>
    </row>
    <row r="430" spans="1:12">
      <c r="A430" s="19">
        <v>907441085</v>
      </c>
      <c r="B430" s="96">
        <v>45176</v>
      </c>
      <c r="C430" s="19" t="str">
        <f>IF(ISBLANK(A430),"Name",IF(ISNA(VLOOKUP(A430,'Master List'!A:C,2,FALSE)), "Not Found", VLOOKUP(A430,'Master List'!A:C,2,FALSE)))</f>
        <v>Cathy Rath</v>
      </c>
      <c r="D430" s="19" t="str">
        <f>IF(ISBLANK(A430), "Email",IF(ISNA(VLOOKUP(A430,'Master List'!A:C,3,FALSE)), "Not Found", VLOOKUP(A430,'Master List'!A:C,3,FALSE)))</f>
        <v>crath@sfsu.edu</v>
      </c>
      <c r="E430" s="19" t="s">
        <v>35</v>
      </c>
      <c r="F430" s="4" t="str">
        <f>IF(OR(A430="",E430="","",A430="?",E430="?"),"duplicate?",IF(COUNTIFS($A:A,A430,E:E,E430)&gt;1,"yes","no"))</f>
        <v>no</v>
      </c>
      <c r="G430" s="92"/>
      <c r="H430" s="57" t="s">
        <v>142</v>
      </c>
      <c r="I430" s="19" t="s">
        <v>70</v>
      </c>
      <c r="J430" s="107"/>
      <c r="K430" s="97" t="str">
        <f ca="1">IF(J430="","Date",IF(J430&lt;&gt;"",IF(K430="Date",NOW(),K430),""))</f>
        <v>Date</v>
      </c>
      <c r="L430" s="84"/>
    </row>
    <row r="431" spans="1:12">
      <c r="A431" s="19">
        <v>920120588</v>
      </c>
      <c r="B431" s="96">
        <v>45176</v>
      </c>
      <c r="C431" s="19" t="str">
        <f>IF(ISBLANK(A431),"Name",IF(ISNA(VLOOKUP(A431,'Master List'!A:C,2,FALSE)), "Not Found", VLOOKUP(A431,'Master List'!A:C,2,FALSE)))</f>
        <v>Cintya Chaves</v>
      </c>
      <c r="D431" s="19" t="str">
        <f>IF(ISBLANK(A431), "Email",IF(ISNA(VLOOKUP(A431,'Master List'!A:C,3,FALSE)), "Not Found", VLOOKUP(A431,'Master List'!A:C,3,FALSE)))</f>
        <v>cdias1@sfsu.edu</v>
      </c>
      <c r="E431" s="19" t="s">
        <v>25</v>
      </c>
      <c r="F431" s="4" t="str">
        <f>IF(OR(A431="",E431="","",A431="?",E431="?"),"duplicate?",IF(COUNTIFS($A:A,A431,E:E,E431)&gt;1,"yes","no"))</f>
        <v>no</v>
      </c>
      <c r="G431" s="92"/>
      <c r="H431" s="57" t="s">
        <v>134</v>
      </c>
      <c r="I431" s="19" t="s">
        <v>70</v>
      </c>
      <c r="J431" s="107"/>
      <c r="K431" s="97" t="str">
        <f ca="1">IF(J431="","Date",IF(J431&lt;&gt;"",IF(K431="Date",NOW(),K431),""))</f>
        <v>Date</v>
      </c>
      <c r="L431" s="84"/>
    </row>
    <row r="432" spans="1:12">
      <c r="A432" s="19">
        <v>917728791</v>
      </c>
      <c r="B432" s="96">
        <v>45177</v>
      </c>
      <c r="C432" s="19" t="str">
        <f>IF(ISBLANK(A432),"Name",IF(ISNA(VLOOKUP(A432,'Master List'!A:C,2,FALSE)), "Not Found", VLOOKUP(A432,'Master List'!A:C,2,FALSE)))</f>
        <v>Gian Carlo Baldonado</v>
      </c>
      <c r="D432" s="19" t="str">
        <f>IF(ISBLANK(A432), "Email",IF(ISNA(VLOOKUP(A432,'Master List'!A:C,3,FALSE)), "Not Found", VLOOKUP(A432,'Master List'!A:C,3,FALSE)))</f>
        <v>gbaldonado@sfsu.edu</v>
      </c>
      <c r="E432" s="19" t="s">
        <v>36</v>
      </c>
      <c r="F432" s="4" t="str">
        <f>IF(OR(A432="",E432="","",A432="?",E432="?"),"duplicate?",IF(COUNTIFS($A:A,A432,E:E,E432)&gt;1,"yes","no"))</f>
        <v>no</v>
      </c>
      <c r="G432" s="92"/>
      <c r="H432" s="57" t="s">
        <v>125</v>
      </c>
      <c r="I432" s="19" t="s">
        <v>131</v>
      </c>
      <c r="J432" s="107"/>
      <c r="K432" s="97" t="str">
        <f ca="1">IF(J432="","Date",IF(J432&lt;&gt;"",IF(K432="Date",NOW(),K432),""))</f>
        <v>Date</v>
      </c>
      <c r="L432" s="84"/>
    </row>
    <row r="433" spans="1:12">
      <c r="A433" s="19">
        <v>921406197</v>
      </c>
      <c r="B433" s="96">
        <v>45180</v>
      </c>
      <c r="C433" s="19" t="str">
        <f>IF(ISBLANK(A433),"Name",IF(ISNA(VLOOKUP(A433,'Master List'!A:C,2,FALSE)), "Not Found", VLOOKUP(A433,'Master List'!A:C,2,FALSE)))</f>
        <v>Christopher Pascua</v>
      </c>
      <c r="D433" s="19" t="str">
        <f>IF(ISBLANK(A433), "Email",IF(ISNA(VLOOKUP(A433,'Master List'!A:C,3,FALSE)), "Not Found", VLOOKUP(A433,'Master List'!A:C,3,FALSE)))</f>
        <v>cpascua@sfsu.edu</v>
      </c>
      <c r="E433" s="19" t="s">
        <v>143</v>
      </c>
      <c r="F433" s="4" t="str">
        <f>IF(OR(A433="",E433="","",A433="?",E433="?"),"duplicate?",IF(COUNTIFS($A:A,A433,E:E,E433)&gt;1,"yes","no"))</f>
        <v>no</v>
      </c>
      <c r="G433" s="92"/>
      <c r="H433" s="57">
        <v>45444</v>
      </c>
      <c r="I433" s="19" t="s">
        <v>70</v>
      </c>
      <c r="J433" s="107"/>
      <c r="K433" s="97" t="str">
        <f ca="1">IF(J433="","Date",IF(J433&lt;&gt;"",IF(K433="Date",NOW(),K433),""))</f>
        <v>Date</v>
      </c>
      <c r="L433" s="84" t="s">
        <v>144</v>
      </c>
    </row>
    <row r="434" spans="1:12">
      <c r="A434" s="19">
        <v>918853850</v>
      </c>
      <c r="B434" s="96">
        <v>45180</v>
      </c>
      <c r="C434" s="19" t="str">
        <f>IF(ISBLANK(A434),"Name",IF(ISNA(VLOOKUP(A434,'Master List'!A:C,2,FALSE)), "Not Found", VLOOKUP(A434,'Master List'!A:C,2,FALSE)))</f>
        <v>Mark Leinauer</v>
      </c>
      <c r="D434" s="19" t="str">
        <f>IF(ISBLANK(A434), "Email",IF(ISNA(VLOOKUP(A434,'Master List'!A:C,3,FALSE)), "Not Found", VLOOKUP(A434,'Master List'!A:C,3,FALSE)))</f>
        <v>markleinauer@sfsu.edu</v>
      </c>
      <c r="E434" s="19" t="s">
        <v>46</v>
      </c>
      <c r="F434" s="4" t="str">
        <f>IF(OR(A434="",E434="","",A434="?",E434="?"),"duplicate?",IF(COUNTIFS($A:A,A434,E:E,E434)&gt;1,"yes","no"))</f>
        <v>no</v>
      </c>
      <c r="G434" s="92"/>
      <c r="H434" s="57" t="s">
        <v>145</v>
      </c>
      <c r="I434" s="19" t="s">
        <v>60</v>
      </c>
      <c r="J434" s="107"/>
      <c r="K434" s="97" t="str">
        <f ca="1">IF(J434="","Date",IF(J434&lt;&gt;"",IF(K434="Date",NOW(),K434),""))</f>
        <v>Date</v>
      </c>
      <c r="L434" s="84"/>
    </row>
    <row r="435" spans="1:12">
      <c r="A435" s="19">
        <v>908333171</v>
      </c>
      <c r="B435" s="96">
        <v>45180</v>
      </c>
      <c r="C435" s="19" t="str">
        <f>IF(ISBLANK(A435),"Name",IF(ISNA(VLOOKUP(A435,'Master List'!A:C,2,FALSE)), "Not Found", VLOOKUP(A435,'Master List'!A:C,2,FALSE)))</f>
        <v>Kamal Ragbotra</v>
      </c>
      <c r="D435" s="19" t="str">
        <f>IF(ISBLANK(A435), "Email",IF(ISNA(VLOOKUP(A435,'Master List'!A:C,3,FALSE)), "Not Found", VLOOKUP(A435,'Master List'!A:C,3,FALSE)))</f>
        <v>kamragz@sfsu.edu</v>
      </c>
      <c r="E435" s="19" t="s">
        <v>146</v>
      </c>
      <c r="F435" s="4" t="str">
        <f>IF(OR(A435="",E435="","",A435="?",E435="?"),"duplicate?",IF(COUNTIFS($A:A,A435,E:E,E435)&gt;1,"yes","no"))</f>
        <v>no</v>
      </c>
      <c r="G435" s="92"/>
      <c r="H435" s="57" t="s">
        <v>147</v>
      </c>
      <c r="I435" s="19" t="s">
        <v>60</v>
      </c>
      <c r="J435" s="107"/>
      <c r="K435" s="97" t="str">
        <f ca="1">IF(J435="","Date",IF(J435&lt;&gt;"",IF(K435="Date",NOW(),K435),""))</f>
        <v>Date</v>
      </c>
      <c r="L435" s="84"/>
    </row>
    <row r="436" spans="1:12">
      <c r="A436" s="19">
        <v>900023064</v>
      </c>
      <c r="B436" s="96">
        <v>45180</v>
      </c>
      <c r="C436" s="19" t="str">
        <f>IF(ISBLANK(A436),"Name",IF(ISNA(VLOOKUP(A436,'Master List'!A:C,2,FALSE)), "Not Found", VLOOKUP(A436,'Master List'!A:C,2,FALSE)))</f>
        <v>Karen Coopman</v>
      </c>
      <c r="D436" s="19" t="str">
        <f>IF(ISBLANK(A436), "Email",IF(ISNA(VLOOKUP(A436,'Master List'!A:C,3,FALSE)), "Not Found", VLOOKUP(A436,'Master List'!A:C,3,FALSE)))</f>
        <v>coopman@sfsu.edu</v>
      </c>
      <c r="E436" s="19" t="s">
        <v>20</v>
      </c>
      <c r="F436" s="4" t="str">
        <f>IF(OR(A436="",E436="","",A436="?",E436="?"),"duplicate?",IF(COUNTIFS($A:A,A436,E:E,E436)&gt;1,"yes","no"))</f>
        <v>no</v>
      </c>
      <c r="G436" s="92"/>
      <c r="H436" s="57">
        <v>45180</v>
      </c>
      <c r="I436" s="19" t="s">
        <v>66</v>
      </c>
      <c r="J436" s="107"/>
      <c r="K436" s="97" t="str">
        <f ca="1">IF(J436="","Date",IF(J436&lt;&gt;"",IF(K436="Date",NOW(),K436),""))</f>
        <v>Date</v>
      </c>
      <c r="L436" s="84"/>
    </row>
    <row r="437" spans="1:12">
      <c r="A437" s="19">
        <v>903109316</v>
      </c>
      <c r="B437" s="96">
        <v>45182</v>
      </c>
      <c r="C437" s="19" t="str">
        <f>IF(ISBLANK(A437),"Name",IF(ISNA(VLOOKUP(A437,'Master List'!A:C,2,FALSE)), "Not Found", VLOOKUP(A437,'Master List'!A:C,2,FALSE)))</f>
        <v>Rebeca Moran</v>
      </c>
      <c r="D437" s="19" t="str">
        <f>IF(ISBLANK(A437), "Email",IF(ISNA(VLOOKUP(A437,'Master List'!A:C,3,FALSE)), "Not Found", VLOOKUP(A437,'Master List'!A:C,3,FALSE)))</f>
        <v>rmoran@sfsu.edu</v>
      </c>
      <c r="E437" s="19" t="s">
        <v>25</v>
      </c>
      <c r="F437" s="4" t="str">
        <f>IF(OR(A437="",E437="","",A437="?",E437="?"),"duplicate?",IF(COUNTIFS($A:A,A437,E:E,E437)&gt;1,"yes","no"))</f>
        <v>no</v>
      </c>
      <c r="G437" s="92"/>
      <c r="H437" s="57">
        <v>45180</v>
      </c>
      <c r="I437" s="19"/>
      <c r="J437" s="107"/>
      <c r="K437" s="97" t="str">
        <f ca="1">IF(J437="","Date",IF(J437&lt;&gt;"",IF(K437="Date",NOW(),K437),""))</f>
        <v>Date</v>
      </c>
      <c r="L437" s="84"/>
    </row>
    <row r="438" spans="1:12">
      <c r="A438" s="19">
        <v>918852823</v>
      </c>
      <c r="B438" s="96">
        <v>45182</v>
      </c>
      <c r="C438" s="19" t="str">
        <f>IF(ISBLANK(A438),"Name",IF(ISNA(VLOOKUP(A438,'Master List'!A:C,2,FALSE)), "Not Found", VLOOKUP(A438,'Master List'!A:C,2,FALSE)))</f>
        <v>Anisha Singh</v>
      </c>
      <c r="D438" s="19" t="str">
        <f>IF(ISBLANK(A438), "Email",IF(ISNA(VLOOKUP(A438,'Master List'!A:C,3,FALSE)), "Not Found", VLOOKUP(A438,'Master List'!A:C,3,FALSE)))</f>
        <v>asingh56@sfsu.edu</v>
      </c>
      <c r="E438" s="19" t="s">
        <v>76</v>
      </c>
      <c r="F438" s="4" t="str">
        <f>IF(OR(A438="",E438="","",A438="?",E438="?"),"duplicate?",IF(COUNTIFS($A:A,A438,E:E,E438)&gt;1,"yes","no"))</f>
        <v>no</v>
      </c>
      <c r="G438" s="92"/>
      <c r="H438" s="57" t="s">
        <v>137</v>
      </c>
      <c r="I438" s="19"/>
      <c r="J438" s="107"/>
      <c r="K438" s="97" t="str">
        <f ca="1">IF(J438="","Date",IF(J438&lt;&gt;"",IF(K438="Date",NOW(),K438),""))</f>
        <v>Date</v>
      </c>
      <c r="L438" s="84"/>
    </row>
    <row r="439" spans="1:12">
      <c r="A439" s="19">
        <v>912745657</v>
      </c>
      <c r="B439" s="96">
        <v>45191</v>
      </c>
      <c r="C439" s="19" t="str">
        <f>IF(ISBLANK(A439),"Name",IF(ISNA(VLOOKUP(A439,'Master List'!A:C,2,FALSE)), "Not Found", VLOOKUP(A439,'Master List'!A:C,2,FALSE)))</f>
        <v>Lorenzo Finau-Cruz</v>
      </c>
      <c r="D439" s="19" t="str">
        <f>IF(ISBLANK(A439), "Email",IF(ISNA(VLOOKUP(A439,'Master List'!A:C,3,FALSE)), "Not Found", VLOOKUP(A439,'Master List'!A:C,3,FALSE)))</f>
        <v>finaucr@sfsu.edu</v>
      </c>
      <c r="E439" s="19" t="s">
        <v>105</v>
      </c>
      <c r="F439" s="4" t="str">
        <f>IF(OR(A439="",E439="","",A439="?",E439="?"),"duplicate?",IF(COUNTIFS($A:A,A439,E:E,E439)&gt;1,"yes","no"))</f>
        <v>no</v>
      </c>
      <c r="G439" s="92"/>
      <c r="H439" s="57" t="s">
        <v>148</v>
      </c>
      <c r="I439" s="19" t="s">
        <v>131</v>
      </c>
      <c r="J439" s="107"/>
      <c r="K439" s="97" t="str">
        <f ca="1">IF(J439="","Date",IF(J439&lt;&gt;"",IF(K439="Date",NOW(),K439),""))</f>
        <v>Date</v>
      </c>
      <c r="L439" s="84"/>
    </row>
    <row r="440" spans="1:12">
      <c r="A440" s="19">
        <v>900520457</v>
      </c>
      <c r="B440" s="96">
        <v>45194</v>
      </c>
      <c r="C440" s="19" t="str">
        <f>IF(ISBLANK(A440),"Name",IF(ISNA(VLOOKUP(A440,'Master List'!A:C,2,FALSE)), "Not Found", VLOOKUP(A440,'Master List'!A:C,2,FALSE)))</f>
        <v>Richard Harvey</v>
      </c>
      <c r="D440" s="19" t="str">
        <f>IF(ISBLANK(A440), "Email",IF(ISNA(VLOOKUP(A440,'Master List'!A:C,3,FALSE)), "Not Found", VLOOKUP(A440,'Master List'!A:C,3,FALSE)))</f>
        <v>rharvey@sfsu.edu</v>
      </c>
      <c r="E440" s="19" t="s">
        <v>25</v>
      </c>
      <c r="F440" s="4" t="str">
        <f>IF(OR(A440="",E440="","",A440="?",E440="?"),"duplicate?",IF(COUNTIFS($A:A,A440,E:E,E440)&gt;1,"yes","no"))</f>
        <v>yes</v>
      </c>
      <c r="G440" s="92"/>
      <c r="H440" s="57">
        <v>45282</v>
      </c>
      <c r="I440" s="19" t="s">
        <v>70</v>
      </c>
      <c r="J440" s="107"/>
      <c r="K440" s="97" t="str">
        <f ca="1">IF(J440="","Date",IF(J440&lt;&gt;"",IF(K440="Date",NOW(),K440),""))</f>
        <v>Date</v>
      </c>
      <c r="L440" s="84"/>
    </row>
    <row r="441" spans="1:12">
      <c r="A441" s="19">
        <v>918845244</v>
      </c>
      <c r="B441" s="96">
        <v>45195</v>
      </c>
      <c r="C441" s="19" t="str">
        <f>IF(ISBLANK(A441),"Name",IF(ISNA(VLOOKUP(A441,'Master List'!A:C,2,FALSE)), "Not Found", VLOOKUP(A441,'Master List'!A:C,2,FALSE)))</f>
        <v>Jingmei Li</v>
      </c>
      <c r="D441" s="19" t="str">
        <f>IF(ISBLANK(A441), "Email",IF(ISNA(VLOOKUP(A441,'Master List'!A:C,3,FALSE)), "Not Found", VLOOKUP(A441,'Master List'!A:C,3,FALSE)))</f>
        <v>jingmeili@sfsu.edu</v>
      </c>
      <c r="E441" s="19" t="s">
        <v>67</v>
      </c>
      <c r="F441" s="4" t="str">
        <f>IF(OR(A441="",E441="","",A441="?",E441="?"),"duplicate?",IF(COUNTIFS($A:A,A441,E:E,E441)&gt;1,"yes","no"))</f>
        <v>no</v>
      </c>
      <c r="G441" s="92"/>
      <c r="H441" s="57" t="s">
        <v>149</v>
      </c>
      <c r="I441" s="19" t="s">
        <v>54</v>
      </c>
      <c r="J441" s="107"/>
      <c r="K441" s="97" t="str">
        <f ca="1">IF(J441="","Date",IF(J441&lt;&gt;"",IF(K441="Date",NOW(),K441),""))</f>
        <v>Date</v>
      </c>
      <c r="L441" s="84"/>
    </row>
    <row r="442" spans="1:12">
      <c r="A442" s="19">
        <v>900015056</v>
      </c>
      <c r="B442" s="96">
        <v>45195</v>
      </c>
      <c r="C442" s="19" t="str">
        <f>IF(ISBLANK(A442),"Name",IF(ISNA(VLOOKUP(A442,'Master List'!A:C,2,FALSE)), "Not Found", VLOOKUP(A442,'Master List'!A:C,2,FALSE)))</f>
        <v>Gustavo Calderon</v>
      </c>
      <c r="D442" s="19" t="str">
        <f>IF(ISBLANK(A442), "Email",IF(ISNA(VLOOKUP(A442,'Master List'!A:C,3,FALSE)), "Not Found", VLOOKUP(A442,'Master List'!A:C,3,FALSE)))</f>
        <v>gusto@sfsu.edu</v>
      </c>
      <c r="E442" s="19" t="s">
        <v>25</v>
      </c>
      <c r="F442" s="4" t="str">
        <f>IF(OR(A442="",E442="","",A442="?",E442="?"),"duplicate?",IF(COUNTIFS($A:A,A442,E:E,E442)&gt;1,"yes","no"))</f>
        <v>yes</v>
      </c>
      <c r="G442" s="92"/>
      <c r="H442" s="57" t="s">
        <v>149</v>
      </c>
      <c r="I442" s="19" t="s">
        <v>54</v>
      </c>
      <c r="J442" s="107"/>
      <c r="K442" s="97" t="str">
        <f ca="1">IF(J442="","Date",IF(J442&lt;&gt;"",IF(K442="Date",NOW(),K442),""))</f>
        <v>Date</v>
      </c>
      <c r="L442" s="84"/>
    </row>
    <row r="443" spans="1:12">
      <c r="A443" s="19">
        <v>900000951</v>
      </c>
      <c r="B443" s="96">
        <v>45197</v>
      </c>
      <c r="C443" s="19" t="str">
        <f>IF(ISBLANK(A443),"Name",IF(ISNA(VLOOKUP(A443,'Master List'!A:C,2,FALSE)), "Not Found", VLOOKUP(A443,'Master List'!A:C,2,FALSE)))</f>
        <v>Ricardo Gomes</v>
      </c>
      <c r="D443" s="19" t="str">
        <f>IF(ISBLANK(A443), "Email",IF(ISNA(VLOOKUP(A443,'Master List'!A:C,3,FALSE)), "Not Found", VLOOKUP(A443,'Master List'!A:C,3,FALSE)))</f>
        <v>ricgomes@sfsu.edu</v>
      </c>
      <c r="E443" s="19" t="s">
        <v>150</v>
      </c>
      <c r="F443" s="4" t="str">
        <f>IF(OR(A443="",E443="","",A443="?",E443="?"),"duplicate?",IF(COUNTIFS($A:A,A443,E:E,E443)&gt;1,"yes","no"))</f>
        <v>no</v>
      </c>
      <c r="G443" s="92"/>
      <c r="H443" s="57">
        <v>45286</v>
      </c>
      <c r="I443" s="19" t="s">
        <v>72</v>
      </c>
      <c r="J443" s="107"/>
      <c r="K443" s="97" t="str">
        <f ca="1">IF(J443="","Date",IF(J443&lt;&gt;"",IF(K443="Date",NOW(),K443),""))</f>
        <v>Date</v>
      </c>
      <c r="L443" s="84"/>
    </row>
    <row r="444" spans="1:12">
      <c r="A444" s="19">
        <v>900604385</v>
      </c>
      <c r="B444" s="96">
        <v>45197</v>
      </c>
      <c r="C444" s="19" t="str">
        <f>IF(ISBLANK(A444),"Name",IF(ISNA(VLOOKUP(A444,'Master List'!A:C,2,FALSE)), "Not Found", VLOOKUP(A444,'Master List'!A:C,2,FALSE)))</f>
        <v>Casondra Sobieralski</v>
      </c>
      <c r="D444" s="19" t="str">
        <f>IF(ISBLANK(A444), "Email",IF(ISNA(VLOOKUP(A444,'Master List'!A:C,3,FALSE)), "Not Found", VLOOKUP(A444,'Master List'!A:C,3,FALSE)))</f>
        <v>casondras@sfsu.edu</v>
      </c>
      <c r="E444" s="19" t="s">
        <v>20</v>
      </c>
      <c r="F444" s="4" t="str">
        <f>IF(OR(A444="",E444="","",A444="?",E444="?"),"duplicate?",IF(COUNTIFS($A:A,A444,E:E,E444)&gt;1,"yes","no"))</f>
        <v>no</v>
      </c>
      <c r="G444" s="92"/>
      <c r="H444" s="57">
        <v>45197</v>
      </c>
      <c r="I444" s="19" t="s">
        <v>61</v>
      </c>
      <c r="J444" s="107"/>
      <c r="K444" s="97" t="str">
        <f ca="1">IF(J444="","Date",IF(J444&lt;&gt;"",IF(K444="Date",NOW(),K444),""))</f>
        <v>Date</v>
      </c>
      <c r="L444" s="84"/>
    </row>
    <row r="445" spans="1:12">
      <c r="A445" s="19">
        <v>900014133</v>
      </c>
      <c r="B445" s="96">
        <v>45197</v>
      </c>
      <c r="C445" s="19" t="str">
        <f>IF(ISBLANK(A445),"Name",IF(ISNA(VLOOKUP(A445,'Master List'!A:C,2,FALSE)), "Not Found", VLOOKUP(A445,'Master List'!A:C,2,FALSE)))</f>
        <v>Rhonnie Washington</v>
      </c>
      <c r="D445" s="19" t="str">
        <f>IF(ISBLANK(A445), "Email",IF(ISNA(VLOOKUP(A445,'Master List'!A:C,3,FALSE)), "Not Found", VLOOKUP(A445,'Master List'!A:C,3,FALSE)))</f>
        <v>rhonnie@sfsu.edu</v>
      </c>
      <c r="E445" s="19" t="s">
        <v>151</v>
      </c>
      <c r="F445" s="4" t="str">
        <f>IF(OR(A445="",E445="","",A445="?",E445="?"),"duplicate?",IF(COUNTIFS($A:A,A445,E:E,E445)&gt;1,"yes","no"))</f>
        <v>no</v>
      </c>
      <c r="G445" s="92"/>
      <c r="H445" s="57">
        <v>45211</v>
      </c>
      <c r="I445" s="19" t="s">
        <v>55</v>
      </c>
      <c r="J445" s="107"/>
      <c r="K445" s="97" t="str">
        <f ca="1">IF(J445="","Date",IF(J445&lt;&gt;"",IF(K445="Date",NOW(),K445),""))</f>
        <v>Date</v>
      </c>
      <c r="L445" s="84"/>
    </row>
    <row r="446" spans="1:12">
      <c r="A446" s="19">
        <v>913759800</v>
      </c>
      <c r="B446" s="96">
        <v>45202</v>
      </c>
      <c r="C446" s="19" t="str">
        <f>IF(ISBLANK(A446),"Name",IF(ISNA(VLOOKUP(A446,'Master List'!A:C,2,FALSE)), "Not Found", VLOOKUP(A446,'Master List'!A:C,2,FALSE)))</f>
        <v>Peter DeHaas</v>
      </c>
      <c r="D446" s="19" t="str">
        <f>IF(ISBLANK(A446), "Email",IF(ISNA(VLOOKUP(A446,'Master List'!A:C,3,FALSE)), "Not Found", VLOOKUP(A446,'Master List'!A:C,3,FALSE)))</f>
        <v>pdehaas@sfsu.edu</v>
      </c>
      <c r="E446" s="19" t="s">
        <v>25</v>
      </c>
      <c r="F446" s="4" t="str">
        <f>IF(OR(A446="",E446="","",A446="?",E446="?"),"duplicate?",IF(COUNTIFS($A:A,A446,E:E,E446)&gt;1,"yes","no"))</f>
        <v>yes</v>
      </c>
      <c r="G446" s="92"/>
      <c r="H446" s="57">
        <v>45204</v>
      </c>
      <c r="I446" s="19" t="s">
        <v>69</v>
      </c>
      <c r="J446" s="107"/>
      <c r="K446" s="97" t="str">
        <f ca="1">IF(J446="","Date",IF(J446&lt;&gt;"",IF(K446="Date",NOW(),K446),""))</f>
        <v>Date</v>
      </c>
      <c r="L446" s="84"/>
    </row>
    <row r="447" spans="1:12">
      <c r="A447" s="19">
        <v>910658039</v>
      </c>
      <c r="B447" s="96">
        <v>45203</v>
      </c>
      <c r="C447" s="19" t="str">
        <f>IF(ISBLANK(A447),"Name",IF(ISNA(VLOOKUP(A447,'Master List'!A:C,2,FALSE)), "Not Found", VLOOKUP(A447,'Master List'!A:C,2,FALSE)))</f>
        <v>Jeremy Domasian</v>
      </c>
      <c r="D447" s="19" t="str">
        <f>IF(ISBLANK(A447), "Email",IF(ISNA(VLOOKUP(A447,'Master List'!A:C,3,FALSE)), "Not Found", VLOOKUP(A447,'Master List'!A:C,3,FALSE)))</f>
        <v>jeremy@sfsu.edu</v>
      </c>
      <c r="E447" s="19" t="s">
        <v>152</v>
      </c>
      <c r="F447" s="4" t="str">
        <f>IF(OR(A447="",E447="","",A447="?",E447="?"),"duplicate?",IF(COUNTIFS($A:A,A447,E:E,E447)&gt;1,"yes","no"))</f>
        <v>no</v>
      </c>
      <c r="G447" s="92"/>
      <c r="H447" s="57" t="s">
        <v>127</v>
      </c>
      <c r="I447" s="19" t="s">
        <v>99</v>
      </c>
      <c r="J447" s="107"/>
      <c r="K447" s="97" t="str">
        <f ca="1">IF(J447="","Date",IF(J447&lt;&gt;"",IF(K447="Date",NOW(),K447),""))</f>
        <v>Date</v>
      </c>
      <c r="L447" s="84"/>
    </row>
    <row r="448" spans="1:12">
      <c r="A448" s="19">
        <v>906100824</v>
      </c>
      <c r="B448" s="96">
        <v>45204</v>
      </c>
      <c r="C448" s="19" t="str">
        <f>IF(ISBLANK(A448),"Name",IF(ISNA(VLOOKUP(A448,'Master List'!A:C,2,FALSE)), "Not Found", VLOOKUP(A448,'Master List'!A:C,2,FALSE)))</f>
        <v>Christopher Fields</v>
      </c>
      <c r="D448" s="19" t="str">
        <f>IF(ISBLANK(A448), "Email",IF(ISNA(VLOOKUP(A448,'Master List'!A:C,3,FALSE)), "Not Found", VLOOKUP(A448,'Master List'!A:C,3,FALSE)))</f>
        <v>cfields5@sfsu.edu</v>
      </c>
      <c r="E448" s="19" t="s">
        <v>78</v>
      </c>
      <c r="F448" s="4" t="str">
        <f>IF(OR(A448="",E448="","",A448="?",E448="?"),"duplicate?",IF(COUNTIFS($A:A,A448,E:E,E448)&gt;1,"yes","no"))</f>
        <v>no</v>
      </c>
      <c r="G448" s="92"/>
      <c r="H448" s="57">
        <v>45204</v>
      </c>
      <c r="I448" s="19" t="s">
        <v>153</v>
      </c>
      <c r="J448" s="107"/>
      <c r="K448" s="97" t="str">
        <f ca="1">IF(J448="","Date",IF(J448&lt;&gt;"",IF(K448="Date",NOW(),K448),""))</f>
        <v>Date</v>
      </c>
      <c r="L448" s="84"/>
    </row>
    <row r="449" spans="1:12">
      <c r="A449" s="19">
        <v>918851029</v>
      </c>
      <c r="B449" s="96">
        <v>45205</v>
      </c>
      <c r="C449" s="19" t="str">
        <f>IF(ISBLANK(A449),"Name",IF(ISNA(VLOOKUP(A449,'Master List'!A:C,2,FALSE)), "Not Found", VLOOKUP(A449,'Master List'!A:C,2,FALSE)))</f>
        <v>Julia Parma</v>
      </c>
      <c r="D449" s="19" t="str">
        <f>IF(ISBLANK(A449), "Email",IF(ISNA(VLOOKUP(A449,'Master List'!A:C,3,FALSE)), "Not Found", VLOOKUP(A449,'Master List'!A:C,3,FALSE)))</f>
        <v>julianaparma@sfsu.edu</v>
      </c>
      <c r="E449" s="19" t="s">
        <v>78</v>
      </c>
      <c r="F449" s="4" t="str">
        <f>IF(OR(A449="",E449="","",A449="?",E449="?"),"duplicate?",IF(COUNTIFS($A:A,A449,E:E,E449)&gt;1,"yes","no"))</f>
        <v>no</v>
      </c>
      <c r="G449" s="92"/>
      <c r="H449" s="57" t="s">
        <v>127</v>
      </c>
      <c r="I449" s="19" t="s">
        <v>70</v>
      </c>
      <c r="J449" s="107"/>
      <c r="K449" s="97" t="str">
        <f ca="1">IF(J449="","Date",IF(J449&lt;&gt;"",IF(K449="Date",NOW(),K449),""))</f>
        <v>Date</v>
      </c>
      <c r="L449" s="84"/>
    </row>
    <row r="450" spans="1:12">
      <c r="A450" s="19">
        <v>917322125</v>
      </c>
      <c r="B450" s="96">
        <v>45209</v>
      </c>
      <c r="C450" s="19" t="str">
        <f>IF(ISBLANK(A450),"Name",IF(ISNA(VLOOKUP(A450,'Master List'!A:C,2,FALSE)), "Not Found", VLOOKUP(A450,'Master List'!A:C,2,FALSE)))</f>
        <v>Dani Poortinga</v>
      </c>
      <c r="D450" s="19" t="str">
        <f>IF(ISBLANK(A450), "Email",IF(ISNA(VLOOKUP(A450,'Master List'!A:C,3,FALSE)), "Not Found", VLOOKUP(A450,'Master List'!A:C,3,FALSE)))</f>
        <v>dpoortinga@sfsu.edu</v>
      </c>
      <c r="E450" s="19" t="s">
        <v>33</v>
      </c>
      <c r="F450" s="4" t="str">
        <f>IF(OR(A450="",E450="","",A450="?",E450="?"),"duplicate?",IF(COUNTIFS($A:A,A450,E:E,E450)&gt;1,"yes","no"))</f>
        <v>no</v>
      </c>
      <c r="G450" s="92"/>
      <c r="H450" s="57" t="s">
        <v>125</v>
      </c>
      <c r="I450" s="19" t="s">
        <v>55</v>
      </c>
      <c r="J450" s="107"/>
      <c r="K450" s="97" t="str">
        <f ca="1">IF(J450="","Date",IF(J450&lt;&gt;"",IF(K450="Date",NOW(),K450),""))</f>
        <v>Date</v>
      </c>
      <c r="L450" s="84"/>
    </row>
    <row r="451" spans="1:12">
      <c r="A451" s="19">
        <v>907441085</v>
      </c>
      <c r="B451" s="96">
        <v>45210</v>
      </c>
      <c r="C451" s="19" t="str">
        <f>IF(ISBLANK(A451),"Name",IF(ISNA(VLOOKUP(A451,'Master List'!A:C,2,FALSE)), "Not Found", VLOOKUP(A451,'Master List'!A:C,2,FALSE)))</f>
        <v>Cathy Rath</v>
      </c>
      <c r="D451" s="19" t="str">
        <f>IF(ISBLANK(A451), "Email",IF(ISNA(VLOOKUP(A451,'Master List'!A:C,3,FALSE)), "Not Found", VLOOKUP(A451,'Master List'!A:C,3,FALSE)))</f>
        <v>crath@sfsu.edu</v>
      </c>
      <c r="E451" s="19" t="s">
        <v>92</v>
      </c>
      <c r="F451" s="4" t="str">
        <f>IF(OR(A451="",E451="","",A451="?",E451="?"),"duplicate?",IF(COUNTIFS($A:A,A451,E:E,E451)&gt;1,"yes","no"))</f>
        <v>no</v>
      </c>
      <c r="G451" s="92"/>
      <c r="H451" s="57">
        <v>45215</v>
      </c>
      <c r="I451" s="19" t="s">
        <v>153</v>
      </c>
      <c r="J451" s="107"/>
      <c r="K451" s="97" t="str">
        <f ca="1">IF(J451="","Date",IF(J451&lt;&gt;"",IF(K451="Date",NOW(),K451),""))</f>
        <v>Date</v>
      </c>
      <c r="L451" s="84"/>
    </row>
    <row r="452" spans="1:12">
      <c r="A452" s="19">
        <v>911369841</v>
      </c>
      <c r="B452" s="96">
        <v>45211</v>
      </c>
      <c r="C452" s="19" t="str">
        <f>IF(ISBLANK(A452),"Name",IF(ISNA(VLOOKUP(A452,'Master List'!A:C,2,FALSE)), "Not Found", VLOOKUP(A452,'Master List'!A:C,2,FALSE)))</f>
        <v>Aiko Yoshino</v>
      </c>
      <c r="D452" s="19" t="str">
        <f>IF(ISBLANK(A452), "Email",IF(ISNA(VLOOKUP(A452,'Master List'!A:C,3,FALSE)), "Not Found", VLOOKUP(A452,'Master List'!A:C,3,FALSE)))</f>
        <v>ayoshino@sfsu.edu</v>
      </c>
      <c r="E452" s="19" t="s">
        <v>76</v>
      </c>
      <c r="F452" s="4" t="str">
        <f>IF(OR(A452="",E452="","",A452="?",E452="?"),"duplicate?",IF(COUNTIFS($A:A,A452,E:E,E452)&gt;1,"yes","no"))</f>
        <v>no</v>
      </c>
      <c r="G452" s="92"/>
      <c r="H452" s="57">
        <v>45211</v>
      </c>
      <c r="I452" s="19" t="s">
        <v>61</v>
      </c>
      <c r="J452" s="107"/>
      <c r="K452" s="97" t="str">
        <f ca="1">IF(J452="","Date",IF(J452&lt;&gt;"",IF(K452="Date",NOW(),K452),""))</f>
        <v>Date</v>
      </c>
      <c r="L452" s="84"/>
    </row>
    <row r="453" spans="1:12">
      <c r="A453" s="63">
        <v>918839368</v>
      </c>
      <c r="B453" s="96">
        <v>45211</v>
      </c>
      <c r="C453" s="19" t="str">
        <f>IF(ISBLANK(A453),"Name",IF(ISNA(VLOOKUP(A453,'Master List'!A:C,2,FALSE)), "Not Found", VLOOKUP(A453,'Master List'!A:C,2,FALSE)))</f>
        <v>Michael De Anda Muniz</v>
      </c>
      <c r="D453" s="19" t="str">
        <f>IF(ISBLANK(A453), "Email",IF(ISNA(VLOOKUP(A453,'Master List'!A:C,3,FALSE)), "Not Found", VLOOKUP(A453,'Master List'!A:C,3,FALSE)))</f>
        <v>mdeandamuniz@sfsu.edu</v>
      </c>
      <c r="E453" s="19" t="s">
        <v>31</v>
      </c>
      <c r="F453" s="4" t="str">
        <f>IF(OR(A453="",E453="","",A453="?",E453="?"),"duplicate?",IF(COUNTIFS($A:A,A453,E:E,E453)&gt;1,"yes","no"))</f>
        <v>no</v>
      </c>
      <c r="G453" s="92"/>
      <c r="H453" s="57" t="s">
        <v>21</v>
      </c>
      <c r="I453" s="19" t="s">
        <v>69</v>
      </c>
      <c r="J453" s="107"/>
      <c r="K453" s="97" t="str">
        <f ca="1">IF(J453="","Date",IF(J453&lt;&gt;"",IF(K453="Date",NOW(),K453),""))</f>
        <v>Date</v>
      </c>
      <c r="L453" s="84"/>
    </row>
    <row r="454" spans="1:12">
      <c r="A454" s="19">
        <v>900520457</v>
      </c>
      <c r="B454" s="96">
        <v>45211</v>
      </c>
      <c r="C454" s="19" t="str">
        <f>IF(ISBLANK(A454),"Name",IF(ISNA(VLOOKUP(A454,'Master List'!A:C,2,FALSE)), "Not Found", VLOOKUP(A454,'Master List'!A:C,2,FALSE)))</f>
        <v>Richard Harvey</v>
      </c>
      <c r="D454" s="19" t="str">
        <f>IF(ISBLANK(A454), "Email",IF(ISNA(VLOOKUP(A454,'Master List'!A:C,3,FALSE)), "Not Found", VLOOKUP(A454,'Master List'!A:C,3,FALSE)))</f>
        <v>rharvey@sfsu.edu</v>
      </c>
      <c r="E454" s="19" t="s">
        <v>23</v>
      </c>
      <c r="F454" s="4" t="str">
        <f>IF(OR(A454="",E454="","",A454="?",E454="?"),"duplicate?",IF(COUNTIFS($A:A,A454,E:E,E454)&gt;1,"yes","no"))</f>
        <v>no</v>
      </c>
      <c r="G454" s="92"/>
      <c r="H454" s="57">
        <v>45219</v>
      </c>
      <c r="I454" s="19" t="s">
        <v>69</v>
      </c>
      <c r="J454" s="107"/>
      <c r="K454" s="97" t="str">
        <f ca="1">IF(J454="","Date",IF(J454&lt;&gt;"",IF(K454="Date",NOW(),K454),""))</f>
        <v>Date</v>
      </c>
      <c r="L454" s="84"/>
    </row>
    <row r="455" spans="1:12">
      <c r="A455" s="19">
        <v>912033556</v>
      </c>
      <c r="B455" s="96">
        <v>45212</v>
      </c>
      <c r="C455" s="19" t="str">
        <f>IF(ISBLANK(A455),"Name",IF(ISNA(VLOOKUP(A455,'Master List'!A:C,2,FALSE)), "Not Found", VLOOKUP(A455,'Master List'!A:C,2,FALSE)))</f>
        <v>Clive Hayzelden</v>
      </c>
      <c r="D455" s="19" t="str">
        <f>IF(ISBLANK(A455), "Email",IF(ISNA(VLOOKUP(A455,'Master List'!A:C,3,FALSE)), "Not Found", VLOOKUP(A455,'Master List'!A:C,3,FALSE)))</f>
        <v>cliveh@sfsu.edu</v>
      </c>
      <c r="E455" s="19" t="s">
        <v>30</v>
      </c>
      <c r="F455" s="4" t="str">
        <f>IF(OR(A455="",E455="","",A455="?",E455="?"),"duplicate?",IF(COUNTIFS($A:A,A455,E:E,E455)&gt;1,"yes","no"))</f>
        <v>yes</v>
      </c>
      <c r="G455" s="92"/>
      <c r="H455" s="57">
        <v>45276</v>
      </c>
      <c r="I455" s="19" t="s">
        <v>131</v>
      </c>
      <c r="J455" s="107"/>
      <c r="K455" s="97" t="str">
        <f ca="1">IF(J455="","Date",IF(J455&lt;&gt;"",IF(K455="Date",NOW(),K455),""))</f>
        <v>Date</v>
      </c>
      <c r="L455" s="84"/>
    </row>
    <row r="456" spans="1:12">
      <c r="A456" s="19">
        <v>915442845</v>
      </c>
      <c r="B456" s="96">
        <v>45212</v>
      </c>
      <c r="C456" s="19" t="str">
        <f>IF(ISBLANK(A456),"Name",IF(ISNA(VLOOKUP(A456,'Master List'!A:C,2,FALSE)), "Not Found", VLOOKUP(A456,'Master List'!A:C,2,FALSE)))</f>
        <v>Shirley Tsang</v>
      </c>
      <c r="D456" s="19" t="str">
        <f>IF(ISBLANK(A456), "Email",IF(ISNA(VLOOKUP(A456,'Master List'!A:C,3,FALSE)), "Not Found", VLOOKUP(A456,'Master List'!A:C,3,FALSE)))</f>
        <v>stsang1@sfsu.edu</v>
      </c>
      <c r="E456" s="19" t="s">
        <v>19</v>
      </c>
      <c r="F456" s="4" t="str">
        <f>IF(OR(A456="",E456="","",A456="?",E456="?"),"duplicate?",IF(COUNTIFS($A:A,A456,E:E,E456)&gt;1,"yes","no"))</f>
        <v>no</v>
      </c>
      <c r="G456" s="92"/>
      <c r="H456" s="57" t="s">
        <v>137</v>
      </c>
      <c r="I456" s="19" t="s">
        <v>99</v>
      </c>
      <c r="J456" s="107"/>
      <c r="K456" s="97" t="str">
        <f ca="1">IF(J456="","Date",IF(J456&lt;&gt;"",IF(K456="Date",NOW(),K456),""))</f>
        <v>Date</v>
      </c>
      <c r="L456" s="84"/>
    </row>
    <row r="457" spans="1:12">
      <c r="A457" s="19">
        <v>900520457</v>
      </c>
      <c r="B457" s="96">
        <v>45215</v>
      </c>
      <c r="C457" s="19" t="str">
        <f>IF(ISBLANK(A457),"Name",IF(ISNA(VLOOKUP(A457,'Master List'!A:C,2,FALSE)), "Not Found", VLOOKUP(A457,'Master List'!A:C,2,FALSE)))</f>
        <v>Richard Harvey</v>
      </c>
      <c r="D457" s="19" t="str">
        <f>IF(ISBLANK(A457), "Email",IF(ISNA(VLOOKUP(A457,'Master List'!A:C,3,FALSE)), "Not Found", VLOOKUP(A457,'Master List'!A:C,3,FALSE)))</f>
        <v>rharvey@sfsu.edu</v>
      </c>
      <c r="E457" s="19" t="s">
        <v>25</v>
      </c>
      <c r="F457" s="4" t="str">
        <f>IF(OR(A457="",E457="","",A457="?",E457="?"),"duplicate?",IF(COUNTIFS($A:A,A457,E:E,E457)&gt;1,"yes","no"))</f>
        <v>yes</v>
      </c>
      <c r="G457" s="92"/>
      <c r="H457" s="57" t="s">
        <v>125</v>
      </c>
      <c r="I457" s="19" t="s">
        <v>70</v>
      </c>
      <c r="J457" s="107"/>
      <c r="K457" s="97" t="str">
        <f ca="1">IF(J457="","Date",IF(J457&lt;&gt;"",IF(K457="Date",NOW(),K457),""))</f>
        <v>Date</v>
      </c>
      <c r="L457" s="84" t="s">
        <v>154</v>
      </c>
    </row>
    <row r="458" spans="1:12">
      <c r="A458" s="19">
        <v>918839524</v>
      </c>
      <c r="B458" s="96">
        <v>45217</v>
      </c>
      <c r="C458" s="19" t="str">
        <f>IF(ISBLANK(A458),"Name",IF(ISNA(VLOOKUP(A458,'Master List'!A:C,2,FALSE)), "Not Found", VLOOKUP(A458,'Master List'!A:C,2,FALSE)))</f>
        <v>Tzec, Sosa Tzec</v>
      </c>
      <c r="D458" s="19" t="str">
        <f>IF(ISBLANK(A458), "Email",IF(ISNA(VLOOKUP(A458,'Master List'!A:C,3,FALSE)), "Not Found", VLOOKUP(A458,'Master List'!A:C,3,FALSE)))</f>
        <v>omarsosa@sfsu.edu</v>
      </c>
      <c r="E458" s="19" t="s">
        <v>48</v>
      </c>
      <c r="F458" s="4" t="str">
        <f>IF(OR(A458="",E458="","",A458="?",E458="?"),"duplicate?",IF(COUNTIFS($A:A,A458,E:E,E458)&gt;1,"yes","no"))</f>
        <v>no</v>
      </c>
      <c r="G458" s="92"/>
      <c r="H458" s="57" t="s">
        <v>125</v>
      </c>
      <c r="I458" s="19" t="s">
        <v>99</v>
      </c>
      <c r="J458" s="107"/>
      <c r="K458" s="97" t="str">
        <f ca="1">IF(J458="","Date",IF(J458&lt;&gt;"",IF(K458="Date",NOW(),K458),""))</f>
        <v>Date</v>
      </c>
      <c r="L458" s="84"/>
    </row>
    <row r="459" spans="1:12">
      <c r="A459" s="19">
        <v>905958448</v>
      </c>
      <c r="B459" s="96">
        <v>45224</v>
      </c>
      <c r="C459" s="19" t="str">
        <f>IF(ISBLANK(A459),"Name",IF(ISNA(VLOOKUP(A459,'Master List'!A:C,2,FALSE)), "Not Found", VLOOKUP(A459,'Master List'!A:C,2,FALSE)))</f>
        <v>Yoko Toriyabe</v>
      </c>
      <c r="D459" s="19" t="str">
        <f>IF(ISBLANK(A459), "Email",IF(ISNA(VLOOKUP(A459,'Master List'!A:C,3,FALSE)), "Not Found", VLOOKUP(A459,'Master List'!A:C,3,FALSE)))</f>
        <v>toriyabe@sfsu.edu</v>
      </c>
      <c r="E459" s="19" t="s">
        <v>67</v>
      </c>
      <c r="F459" s="4" t="str">
        <f>IF(OR(A459="",E459="","",A459="?",E459="?"),"duplicate?",IF(COUNTIFS($A:A,A459,E:E,E459)&gt;1,"yes","no"))</f>
        <v>yes</v>
      </c>
      <c r="G459" s="92"/>
      <c r="H459" s="57" t="s">
        <v>136</v>
      </c>
      <c r="I459" s="19" t="s">
        <v>155</v>
      </c>
      <c r="J459" s="107"/>
      <c r="K459" s="97" t="str">
        <f ca="1">IF(J459="","Date",IF(J459&lt;&gt;"",IF(K459="Date",NOW(),K459),""))</f>
        <v>Date</v>
      </c>
      <c r="L459" s="84"/>
    </row>
    <row r="460" spans="1:12">
      <c r="A460" s="19">
        <v>900039860</v>
      </c>
      <c r="B460" s="96">
        <v>45225</v>
      </c>
      <c r="C460" s="19" t="str">
        <f>IF(ISBLANK(A460),"Name",IF(ISNA(VLOOKUP(A460,'Master List'!A:C,2,FALSE)), "Not Found", VLOOKUP(A460,'Master List'!A:C,2,FALSE)))</f>
        <v>Gus Vouchilas</v>
      </c>
      <c r="D460" s="19" t="str">
        <f>IF(ISBLANK(A460), "Email",IF(ISNA(VLOOKUP(A460,'Master List'!A:C,3,FALSE)), "Not Found", VLOOKUP(A460,'Master List'!A:C,3,FALSE)))</f>
        <v>gusv@sfsu.edu</v>
      </c>
      <c r="E460" s="19" t="s">
        <v>156</v>
      </c>
      <c r="F460" s="4" t="str">
        <f>IF(OR(A460="",E460="","",A460="?",E460="?"),"duplicate?",IF(COUNTIFS($A:A,A460,E:E,E460)&gt;1,"yes","no"))</f>
        <v>no</v>
      </c>
      <c r="G460" s="92"/>
      <c r="H460" s="57">
        <v>45244</v>
      </c>
      <c r="I460" s="19" t="s">
        <v>66</v>
      </c>
      <c r="J460" s="107"/>
      <c r="K460" s="97" t="str">
        <f ca="1">IF(J460="","Date",IF(J460&lt;&gt;"",IF(K460="Date",NOW(),K460),""))</f>
        <v>Date</v>
      </c>
      <c r="L460" s="84" t="s">
        <v>157</v>
      </c>
    </row>
    <row r="461" spans="1:12">
      <c r="A461" s="19">
        <v>900021621</v>
      </c>
      <c r="B461" s="96">
        <v>45225</v>
      </c>
      <c r="C461" s="19" t="str">
        <f>IF(ISBLANK(A461),"Name",IF(ISNA(VLOOKUP(A461,'Master List'!A:C,2,FALSE)), "Not Found", VLOOKUP(A461,'Master List'!A:C,2,FALSE)))</f>
        <v>Cristina Ruotolo</v>
      </c>
      <c r="D461" s="19" t="str">
        <f>IF(ISBLANK(A461), "Email",IF(ISNA(VLOOKUP(A461,'Master List'!A:C,3,FALSE)), "Not Found", VLOOKUP(A461,'Master List'!A:C,3,FALSE)))</f>
        <v>ruotolo@sfsu.edu</v>
      </c>
      <c r="E461" s="19" t="s">
        <v>23</v>
      </c>
      <c r="F461" s="4" t="str">
        <f>IF(OR(A461="",E461="","",A461="?",E461="?"),"duplicate?",IF(COUNTIFS($A:A,A461,E:E,E461)&gt;1,"yes","no"))</f>
        <v>no</v>
      </c>
      <c r="G461" s="92"/>
      <c r="H461" s="57">
        <v>45276</v>
      </c>
      <c r="I461" s="19" t="s">
        <v>70</v>
      </c>
      <c r="J461" s="107"/>
      <c r="K461" s="97" t="str">
        <f ca="1">IF(J461="","Date",IF(J461&lt;&gt;"",IF(K461="Date",NOW(),K461),""))</f>
        <v>Date</v>
      </c>
      <c r="L461" s="84"/>
    </row>
    <row r="462" spans="1:12">
      <c r="A462" s="19">
        <v>916474135</v>
      </c>
      <c r="B462" s="96">
        <v>45225</v>
      </c>
      <c r="C462" s="19" t="str">
        <f>IF(ISBLANK(A462),"Name",IF(ISNA(VLOOKUP(A462,'Master List'!A:C,2,FALSE)), "Not Found", VLOOKUP(A462,'Master List'!A:C,2,FALSE)))</f>
        <v>Steve Choe</v>
      </c>
      <c r="D462" s="19" t="str">
        <f>IF(ISBLANK(A462), "Email",IF(ISNA(VLOOKUP(A462,'Master List'!A:C,3,FALSE)), "Not Found", VLOOKUP(A462,'Master List'!A:C,3,FALSE)))</f>
        <v>stevec3@sfsu.edu</v>
      </c>
      <c r="E462" s="19" t="s">
        <v>25</v>
      </c>
      <c r="F462" s="4" t="str">
        <f>IF(OR(A462="",E462="","",A462="?",E462="?"),"duplicate?",IF(COUNTIFS($A:A,A462,E:E,E462)&gt;1,"yes","no"))</f>
        <v>yes</v>
      </c>
      <c r="G462" s="92"/>
      <c r="H462" s="57" t="s">
        <v>158</v>
      </c>
      <c r="I462" s="19" t="s">
        <v>72</v>
      </c>
      <c r="J462" s="107"/>
      <c r="K462" s="97" t="str">
        <f ca="1">IF(J462="","Date",IF(J462&lt;&gt;"",IF(K462="Date",NOW(),K462),""))</f>
        <v>Date</v>
      </c>
      <c r="L462" s="84"/>
    </row>
    <row r="463" spans="1:12">
      <c r="A463" s="19">
        <v>900044488</v>
      </c>
      <c r="B463" s="96">
        <v>45229</v>
      </c>
      <c r="C463" s="19" t="str">
        <f>IF(ISBLANK(A463),"Name",IF(ISNA(VLOOKUP(A463,'Master List'!A:C,2,FALSE)), "Not Found", VLOOKUP(A463,'Master List'!A:C,2,FALSE)))</f>
        <v>Christy Lao</v>
      </c>
      <c r="D463" s="19" t="str">
        <f>IF(ISBLANK(A463), "Email",IF(ISNA(VLOOKUP(A463,'Master List'!A:C,3,FALSE)), "Not Found", VLOOKUP(A463,'Master List'!A:C,3,FALSE)))</f>
        <v>clao@sfsu.edu</v>
      </c>
      <c r="E463" s="19" t="s">
        <v>25</v>
      </c>
      <c r="F463" s="4" t="str">
        <f>IF(OR(A463="",E463="","",A463="?",E463="?"),"duplicate?",IF(COUNTIFS($A:A,A463,E:E,E463)&gt;1,"yes","no"))</f>
        <v>no</v>
      </c>
      <c r="G463" s="92"/>
      <c r="H463" s="57"/>
      <c r="I463" s="19" t="s">
        <v>153</v>
      </c>
      <c r="J463" s="107"/>
      <c r="K463" s="97" t="str">
        <f ca="1">IF(J463="","Date",IF(J463&lt;&gt;"",IF(K463="Date",NOW(),K463),""))</f>
        <v>Date</v>
      </c>
      <c r="L463" s="84"/>
    </row>
    <row r="464" spans="1:12">
      <c r="A464" s="19">
        <v>918846011</v>
      </c>
      <c r="B464" s="96">
        <v>45231</v>
      </c>
      <c r="C464" s="19" t="str">
        <f>IF(ISBLANK(A464),"Name",IF(ISNA(VLOOKUP(A464,'Master List'!A:C,2,FALSE)), "Not Found", VLOOKUP(A464,'Master List'!A:C,2,FALSE)))</f>
        <v>Soheyla Mohammadigorji</v>
      </c>
      <c r="D464" s="19" t="str">
        <f>IF(ISBLANK(A464), "Email",IF(ISNA(VLOOKUP(A464,'Master List'!A:C,3,FALSE)), "Not Found", VLOOKUP(A464,'Master List'!A:C,3,FALSE)))</f>
        <v>soheylagorji@sfsu.edu</v>
      </c>
      <c r="E464" s="19" t="s">
        <v>36</v>
      </c>
      <c r="F464" s="4" t="str">
        <f>IF(OR(A464="",E464="","",A464="?",E464="?"),"duplicate?",IF(COUNTIFS($A:A,A464,E:E,E464)&gt;1,"yes","no"))</f>
        <v>no</v>
      </c>
      <c r="G464" s="92"/>
      <c r="H464" s="57" t="s">
        <v>136</v>
      </c>
      <c r="I464" s="19" t="s">
        <v>54</v>
      </c>
      <c r="J464" s="107"/>
      <c r="K464" s="97" t="str">
        <f ca="1">IF(J464="","Date",IF(J464&lt;&gt;"",IF(K464="Date",NOW(),K464),""))</f>
        <v>Date</v>
      </c>
      <c r="L464" s="84" t="s">
        <v>159</v>
      </c>
    </row>
    <row r="465" spans="1:12">
      <c r="A465" s="19">
        <v>900040926</v>
      </c>
      <c r="B465" s="96">
        <v>45233</v>
      </c>
      <c r="C465" s="19" t="str">
        <f>IF(ISBLANK(A465),"Name",IF(ISNA(VLOOKUP(A465,'Master List'!A:C,2,FALSE)), "Not Found", VLOOKUP(A465,'Master List'!A:C,2,FALSE)))</f>
        <v>Wesley Ueunten</v>
      </c>
      <c r="D465" s="19" t="str">
        <f>IF(ISBLANK(A465), "Email",IF(ISNA(VLOOKUP(A465,'Master List'!A:C,3,FALSE)), "Not Found", VLOOKUP(A465,'Master List'!A:C,3,FALSE)))</f>
        <v>wesueu@sfsu.edu</v>
      </c>
      <c r="E465" s="19" t="s">
        <v>143</v>
      </c>
      <c r="F465" s="4" t="str">
        <f>IF(OR(A465="",E465="","",A465="?",E465="?"),"duplicate?",IF(COUNTIFS($A:A,A465,E:E,E465)&gt;1,"yes","no"))</f>
        <v>no</v>
      </c>
      <c r="G465" s="92"/>
      <c r="H465" s="57" t="s">
        <v>124</v>
      </c>
      <c r="I465" s="19" t="s">
        <v>72</v>
      </c>
      <c r="J465" s="107"/>
      <c r="K465" s="97" t="str">
        <f ca="1">IF(J465="","Date",IF(J465&lt;&gt;"",IF(K465="Date",NOW(),K465),""))</f>
        <v>Date</v>
      </c>
      <c r="L465" s="84" t="s">
        <v>160</v>
      </c>
    </row>
    <row r="466" spans="1:12">
      <c r="A466" s="19">
        <v>921406197</v>
      </c>
      <c r="B466" s="96">
        <v>45236</v>
      </c>
      <c r="C466" s="19" t="str">
        <f>IF(ISBLANK(A466),"Name",IF(ISNA(VLOOKUP(A466,'Master List'!A:C,2,FALSE)), "Not Found", VLOOKUP(A466,'Master List'!A:C,2,FALSE)))</f>
        <v>Christopher Pascua</v>
      </c>
      <c r="D466" s="19" t="str">
        <f>IF(ISBLANK(A466), "Email",IF(ISNA(VLOOKUP(A466,'Master List'!A:C,3,FALSE)), "Not Found", VLOOKUP(A466,'Master List'!A:C,3,FALSE)))</f>
        <v>cpascua@sfsu.edu</v>
      </c>
      <c r="E466" s="19" t="s">
        <v>48</v>
      </c>
      <c r="F466" s="4" t="str">
        <f>IF(OR(A466="",E466="","",A466="?",E466="?"),"duplicate?",IF(COUNTIFS($A:A,A466,E:E,E466)&gt;1,"yes","no"))</f>
        <v>no</v>
      </c>
      <c r="G466" s="92"/>
      <c r="H466" s="57" t="s">
        <v>124</v>
      </c>
      <c r="I466" s="19" t="s">
        <v>153</v>
      </c>
      <c r="J466" s="107"/>
      <c r="K466" s="97" t="str">
        <f ca="1">IF(J466="","Date",IF(J466&lt;&gt;"",IF(K466="Date",NOW(),K466),""))</f>
        <v>Date</v>
      </c>
      <c r="L466" s="84"/>
    </row>
    <row r="467" spans="1:12">
      <c r="A467" s="19">
        <v>913868272</v>
      </c>
      <c r="B467" s="96">
        <v>45245</v>
      </c>
      <c r="C467" s="19" t="str">
        <f>IF(ISBLANK(A467),"Name",IF(ISNA(VLOOKUP(A467,'Master List'!A:C,2,FALSE)), "Not Found", VLOOKUP(A467,'Master List'!A:C,2,FALSE)))</f>
        <v>Aiden Gleisberg</v>
      </c>
      <c r="D467" s="19" t="str">
        <f>IF(ISBLANK(A467), "Email",IF(ISNA(VLOOKUP(A467,'Master List'!A:C,3,FALSE)), "Not Found", VLOOKUP(A467,'Master List'!A:C,3,FALSE)))</f>
        <v>akgleis@sfsu.edu</v>
      </c>
      <c r="E467" s="19" t="s">
        <v>161</v>
      </c>
      <c r="F467" s="4" t="str">
        <f>IF(OR(A467="",E467="","",A467="?",E467="?"),"duplicate?",IF(COUNTIFS($A:A,A467,E:E,E467)&gt;1,"yes","no"))</f>
        <v>no</v>
      </c>
      <c r="G467" s="92"/>
      <c r="H467" s="57" t="s">
        <v>127</v>
      </c>
      <c r="I467" s="19" t="s">
        <v>39</v>
      </c>
      <c r="J467" s="107"/>
      <c r="K467" s="97" t="str">
        <f ca="1">IF(J467="","Date",IF(J467&lt;&gt;"",IF(K467="Date",NOW(),K467),""))</f>
        <v>Date</v>
      </c>
      <c r="L467" s="84"/>
    </row>
    <row r="468" spans="1:12">
      <c r="A468" s="19">
        <v>918847454</v>
      </c>
      <c r="B468" s="96">
        <v>45257</v>
      </c>
      <c r="C468" s="19" t="str">
        <f>IF(ISBLANK(A468),"Name",IF(ISNA(VLOOKUP(A468,'Master List'!A:C,2,FALSE)), "Not Found", VLOOKUP(A468,'Master List'!A:C,2,FALSE)))</f>
        <v>Tiffany Caesar</v>
      </c>
      <c r="D468" s="19" t="str">
        <f>IF(ISBLANK(A468), "Email",IF(ISNA(VLOOKUP(A468,'Master List'!A:C,3,FALSE)), "Not Found", VLOOKUP(A468,'Master List'!A:C,3,FALSE)))</f>
        <v>tiffanycaesar@sfsu.edu</v>
      </c>
      <c r="E468" s="19" t="s">
        <v>36</v>
      </c>
      <c r="F468" s="4" t="str">
        <f>IF(OR(A468="",E468="","",A468="?",E468="?"),"duplicate?",IF(COUNTIFS($A:A,A468,E:E,E468)&gt;1,"yes","no"))</f>
        <v>no</v>
      </c>
      <c r="G468" s="92"/>
      <c r="H468" s="57" t="s">
        <v>124</v>
      </c>
      <c r="I468" s="19" t="s">
        <v>70</v>
      </c>
      <c r="J468" s="107"/>
      <c r="K468" s="97" t="str">
        <f ca="1">IF(J468="","Date",IF(J468&lt;&gt;"",IF(K468="Date",NOW(),K468),""))</f>
        <v>Date</v>
      </c>
      <c r="L468" s="84"/>
    </row>
    <row r="469" spans="1:12">
      <c r="A469" s="19">
        <v>908494384</v>
      </c>
      <c r="B469" s="96">
        <v>45258</v>
      </c>
      <c r="C469" s="19" t="str">
        <f>IF(ISBLANK(A469),"Name",IF(ISNA(VLOOKUP(A469,'Master List'!A:C,2,FALSE)), "Not Found", VLOOKUP(A469,'Master List'!A:C,2,FALSE)))</f>
        <v>Kwok-Siong Teh</v>
      </c>
      <c r="D469" s="19" t="str">
        <f>IF(ISBLANK(A469), "Email",IF(ISNA(VLOOKUP(A469,'Master List'!A:C,3,FALSE)), "Not Found", VLOOKUP(A469,'Master List'!A:C,3,FALSE)))</f>
        <v>ksteh@sfsu.edu</v>
      </c>
      <c r="E469" s="19" t="s">
        <v>36</v>
      </c>
      <c r="F469" s="4" t="str">
        <f>IF(OR(A469="",E469="","",A469="?",E469="?"),"duplicate?",IF(COUNTIFS($A:A,A469,E:E,E469)&gt;1,"yes","no"))</f>
        <v>no</v>
      </c>
      <c r="G469" s="92"/>
      <c r="H469" s="57" t="s">
        <v>162</v>
      </c>
      <c r="I469" s="19" t="s">
        <v>99</v>
      </c>
      <c r="J469" s="107"/>
      <c r="K469" s="97" t="str">
        <f ca="1">IF(J469="","Date",IF(J469&lt;&gt;"",IF(K469="Date",NOW(),K469),""))</f>
        <v>Date</v>
      </c>
      <c r="L469" s="84"/>
    </row>
    <row r="470" spans="1:12">
      <c r="A470" s="11">
        <v>900045593</v>
      </c>
      <c r="B470" s="97">
        <f ca="1">IF(A470="","Date",IF(A470&lt;&gt;"",IF(B470="Date",NOW(),B470),""))</f>
        <v>45281.612736574076</v>
      </c>
      <c r="C470" s="19" t="str">
        <f>IF(ISBLANK(A470),"Name",IF(ISNA(VLOOKUP(A470,'Master List'!A:C,2,FALSE)), "Not Found", VLOOKUP(A470,'Master List'!A:C,2,FALSE)))</f>
        <v>Roger Woodward</v>
      </c>
      <c r="D470" s="19" t="str">
        <f>IF(ISBLANK(A470), "Email",IF(ISNA(VLOOKUP(A470,'Master List'!A:C,3,FALSE)), "Not Found", VLOOKUP(A470,'Master List'!A:C,3,FALSE)))</f>
        <v>woodward@sfsu.edu</v>
      </c>
      <c r="E470" s="11" t="s">
        <v>92</v>
      </c>
      <c r="F470" s="4" t="str">
        <f>IF(OR(A470="",E470="","",A470="?",E470="?"),"duplicate?",IF(COUNTIFS($A:A,A470,E:E,E470)&gt;1,"yes","no"))</f>
        <v>no</v>
      </c>
      <c r="H470" s="12">
        <v>45321</v>
      </c>
      <c r="I470" s="11" t="s">
        <v>66</v>
      </c>
      <c r="K470" s="97" t="str">
        <f ca="1">IF(J470="","Date",IF(J470&lt;&gt;"",IF(K470="Date",NOW(),K470),""))</f>
        <v>Date</v>
      </c>
      <c r="L470" s="86" t="s">
        <v>163</v>
      </c>
    </row>
    <row r="471" spans="1:12">
      <c r="A471" s="11">
        <v>910658039</v>
      </c>
      <c r="B471" s="97">
        <f ca="1">IF(A471="","Date",IF(A471&lt;&gt;"",IF(B471="Date",NOW(),B471),""))</f>
        <v>45294.707539236108</v>
      </c>
      <c r="C471" s="19" t="str">
        <f>IF(ISBLANK(A471),"Name",IF(ISNA(VLOOKUP(A471,'Master List'!A:C,2,FALSE)), "Not Found", VLOOKUP(A471,'Master List'!A:C,2,FALSE)))</f>
        <v>Jeremy Domasian</v>
      </c>
      <c r="D471" s="19" t="str">
        <f>IF(ISBLANK(A471), "Email",IF(ISNA(VLOOKUP(A471,'Master List'!A:C,3,FALSE)), "Not Found", VLOOKUP(A471,'Master List'!A:C,3,FALSE)))</f>
        <v>jeremy@sfsu.edu</v>
      </c>
      <c r="E471" s="11" t="s">
        <v>140</v>
      </c>
      <c r="F471" s="4" t="str">
        <f>IF(OR(A471="",E471="","",A471="?",E471="?"),"duplicate?",IF(COUNTIFS($A:A,A471,E:E,E471)&gt;1,"yes","no"))</f>
        <v>no</v>
      </c>
      <c r="H471" s="12" t="s">
        <v>125</v>
      </c>
      <c r="I471" s="11" t="s">
        <v>71</v>
      </c>
      <c r="K471" s="97" t="str">
        <f ca="1">IF(J471="","Date",IF(J471&lt;&gt;"",IF(K471="Date",NOW(),K471),""))</f>
        <v>Date</v>
      </c>
    </row>
    <row r="472" spans="1:12">
      <c r="A472" s="11">
        <v>917263443</v>
      </c>
      <c r="B472" s="97">
        <f ca="1">IF(A472="","Date",IF(A472&lt;&gt;"",IF(B472="Date",NOW(),B472),""))</f>
        <v>45299.818103587961</v>
      </c>
      <c r="C472" s="19" t="str">
        <f>IF(ISBLANK(A472),"Name",IF(ISNA(VLOOKUP(A472,'Master List'!A:C,2,FALSE)), "Not Found", VLOOKUP(A472,'Master List'!A:C,2,FALSE)))</f>
        <v>Nasser Shahrasbi</v>
      </c>
      <c r="D472" s="19" t="str">
        <f>IF(ISBLANK(A472), "Email",IF(ISNA(VLOOKUP(A472,'Master List'!A:C,3,FALSE)), "Not Found", VLOOKUP(A472,'Master List'!A:C,3,FALSE)))</f>
        <v>nassersh@sfsu.edu</v>
      </c>
      <c r="E472" s="11" t="s">
        <v>33</v>
      </c>
      <c r="F472" s="4" t="str">
        <f>IF(OR(A472="",E472="","",A472="?",E472="?"),"duplicate?",IF(COUNTIFS($A:A,A472,E:E,E472)&gt;1,"yes","no"))</f>
        <v>no</v>
      </c>
      <c r="H472" s="12" t="s">
        <v>21</v>
      </c>
      <c r="I472" s="11" t="s">
        <v>66</v>
      </c>
      <c r="K472" s="97" t="str">
        <f ca="1">IF(J472="","Date",IF(J472&lt;&gt;"",IF(K472="Date",NOW(),K472),""))</f>
        <v>Date</v>
      </c>
    </row>
    <row r="473" spans="1:12">
      <c r="A473" s="13">
        <v>917692404</v>
      </c>
      <c r="B473" s="97">
        <f ca="1">IF(A473="","Date",IF(A473&lt;&gt;"",IF(B473="Date",NOW(),B473),""))</f>
        <v>45316.651946064812</v>
      </c>
      <c r="C473" s="19" t="str">
        <f>IF(ISBLANK(A473),"Name",IF(ISNA(VLOOKUP(A473,'Master List'!A:C,2,FALSE)), "Not Found", VLOOKUP(A473,'Master List'!A:C,2,FALSE)))</f>
        <v>Bryan Lam</v>
      </c>
      <c r="D473" s="19" t="str">
        <f>IF(ISBLANK(A473), "Email",IF(ISNA(VLOOKUP(A473,'Master List'!A:C,3,FALSE)), "Not Found", VLOOKUP(A473,'Master List'!A:C,3,FALSE)))</f>
        <v>blam5@sfsu.edu</v>
      </c>
      <c r="E473" s="11" t="s">
        <v>46</v>
      </c>
      <c r="F473" s="4" t="str">
        <f>IF(OR(A473="",E473="","",A473="?",E473="?"),"duplicate?",IF(COUNTIFS($A:A,A473,E:E,E473)&gt;1,"yes","no"))</f>
        <v>no</v>
      </c>
      <c r="G473" s="93" t="s">
        <v>164</v>
      </c>
      <c r="H473" s="12" t="s">
        <v>141</v>
      </c>
      <c r="I473" s="11" t="s">
        <v>153</v>
      </c>
      <c r="K473" s="97" t="str">
        <f ca="1">IF(J473="","Date",IF(J473&lt;&gt;"",IF(K473="Date",NOW(),K473),""))</f>
        <v>Date</v>
      </c>
    </row>
    <row r="474" spans="1:12">
      <c r="A474" s="13">
        <v>917692404</v>
      </c>
      <c r="B474" s="97">
        <f ca="1">IF(A474="","Date",IF(A474&lt;&gt;"",IF(B474="Date",NOW(),B474),""))</f>
        <v>45316.652301620372</v>
      </c>
      <c r="C474" s="19" t="str">
        <f>IF(ISBLANK(A474),"Name",IF(ISNA(VLOOKUP(A474,'Master List'!A:C,2,FALSE)), "Not Found", VLOOKUP(A474,'Master List'!A:C,2,FALSE)))</f>
        <v>Bryan Lam</v>
      </c>
      <c r="D474" s="19" t="str">
        <f>IF(ISBLANK(A474), "Email",IF(ISNA(VLOOKUP(A474,'Master List'!A:C,3,FALSE)), "Not Found", VLOOKUP(A474,'Master List'!A:C,3,FALSE)))</f>
        <v>blam5@sfsu.edu</v>
      </c>
      <c r="E474" s="11" t="s">
        <v>78</v>
      </c>
      <c r="F474" s="4" t="str">
        <f>IF(OR(A474="",E474="","",A474="?",E474="?"),"duplicate?",IF(COUNTIFS($A:A,A474,E:E,E474)&gt;1,"yes","no"))</f>
        <v>no</v>
      </c>
      <c r="G474" s="93" t="s">
        <v>164</v>
      </c>
      <c r="H474" s="12" t="s">
        <v>165</v>
      </c>
      <c r="I474" s="11" t="s">
        <v>153</v>
      </c>
      <c r="K474" s="97" t="str">
        <f ca="1">IF(J474="","Date",IF(J474&lt;&gt;"",IF(K474="Date",NOW(),K474),""))</f>
        <v>Date</v>
      </c>
    </row>
    <row r="475" spans="1:12">
      <c r="A475" s="11">
        <v>903605500</v>
      </c>
      <c r="B475" s="97">
        <f ca="1">IF(A475="","Date",IF(A475&lt;&gt;"",IF(B475="Date",NOW(),B475),""))</f>
        <v>45320.50523865741</v>
      </c>
      <c r="C475" s="19" t="str">
        <f>IF(ISBLANK(A475),"Name",IF(ISNA(VLOOKUP(A475,'Master List'!A:C,2,FALSE)), "Not Found", VLOOKUP(A475,'Master List'!A:C,2,FALSE)))</f>
        <v>Cynthia Losinski</v>
      </c>
      <c r="D475" s="19" t="str">
        <f>IF(ISBLANK(A475), "Email",IF(ISNA(VLOOKUP(A475,'Master List'!A:C,3,FALSE)), "Not Found", VLOOKUP(A475,'Master List'!A:C,3,FALSE)))</f>
        <v>cynthial@sfsu.edu</v>
      </c>
      <c r="E475" s="11" t="s">
        <v>120</v>
      </c>
      <c r="F475" s="4" t="str">
        <f>IF(OR(A475="",E475="","",A475="?",E475="?"),"duplicate?",IF(COUNTIFS($A:A,A475,E:E,E475)&gt;1,"yes","no"))</f>
        <v>no</v>
      </c>
      <c r="H475" s="12" t="s">
        <v>166</v>
      </c>
      <c r="I475" s="11" t="s">
        <v>72</v>
      </c>
      <c r="K475" s="97" t="str">
        <f ca="1">IF(J475="","Date",IF(J475&lt;&gt;"",IF(K475="Date",NOW(),K475),""))</f>
        <v>Date</v>
      </c>
    </row>
    <row r="476" spans="1:12">
      <c r="A476" s="11">
        <v>900046841</v>
      </c>
      <c r="B476" s="97">
        <f ca="1">IF(A476="","Date",IF(A476&lt;&gt;"",IF(B476="Date",NOW(),B476),""))</f>
        <v>45321.412807638888</v>
      </c>
      <c r="C476" s="19" t="s">
        <v>167</v>
      </c>
      <c r="D476" s="19" t="s">
        <v>168</v>
      </c>
      <c r="E476" s="11" t="s">
        <v>169</v>
      </c>
      <c r="F476" s="4" t="str">
        <f>IF(OR(A476="",E476="","",A476="?",E476="?"),"duplicate?",IF(COUNTIFS($A:A,A476,E:E,E476)&gt;1,"yes","no"))</f>
        <v>no</v>
      </c>
      <c r="H476" s="12" t="s">
        <v>125</v>
      </c>
      <c r="I476" s="11" t="s">
        <v>77</v>
      </c>
      <c r="K476" s="97" t="str">
        <f ca="1">IF(J476="","Date",IF(J476&lt;&gt;"",IF(K476="Date",NOW(),K476),""))</f>
        <v>Date</v>
      </c>
    </row>
    <row r="477" spans="1:12">
      <c r="A477" s="11">
        <v>922682212</v>
      </c>
      <c r="B477" s="97">
        <f ca="1">IF(A477="","Date",IF(A477&lt;&gt;"",IF(B477="Date",NOW(),B477),""))</f>
        <v>45321.487754629627</v>
      </c>
      <c r="C477" s="19" t="str">
        <f>IF(ISBLANK(A477),"Name",IF(ISNA(VLOOKUP(A477,'Master List'!A:C,2,FALSE)), "Not Found", VLOOKUP(A477,'Master List'!A:C,2,FALSE)))</f>
        <v>Nicole Stibbard</v>
      </c>
      <c r="D477" s="19" t="str">
        <f>IF(ISBLANK(A477), "Email",IF(ISNA(VLOOKUP(A477,'Master List'!A:C,3,FALSE)), "Not Found", VLOOKUP(A477,'Master List'!A:C,3,FALSE)))</f>
        <v>nstibbard@sfsu.edu</v>
      </c>
      <c r="E477" s="11" t="s">
        <v>170</v>
      </c>
      <c r="F477" s="4" t="str">
        <f>IF(OR(A477="",E477="","",A477="?",E477="?"),"duplicate?",IF(COUNTIFS($A:A,A477,E:E,E477)&gt;1,"yes","no"))</f>
        <v>no</v>
      </c>
      <c r="H477" s="12" t="s">
        <v>127</v>
      </c>
      <c r="I477" s="11" t="s">
        <v>153</v>
      </c>
      <c r="K477" s="97" t="str">
        <f ca="1">IF(J477="","Date",IF(J477&lt;&gt;"",IF(K477="Date",NOW(),K477),""))</f>
        <v>Date</v>
      </c>
    </row>
    <row r="478" spans="1:12">
      <c r="A478" s="11">
        <v>920838890</v>
      </c>
      <c r="B478" s="97">
        <f ca="1">IF(A478="","Date",IF(A478&lt;&gt;"",IF(B478="Date",NOW(),B478),""))</f>
        <v>45321.596782523149</v>
      </c>
      <c r="C478" s="19" t="str">
        <f>IF(ISBLANK(A478),"Name",IF(ISNA(VLOOKUP(A478,'Master List'!A:C,2,FALSE)), "Not Found", VLOOKUP(A478,'Master List'!A:C,2,FALSE)))</f>
        <v>Sean Sliger</v>
      </c>
      <c r="D478" s="19" t="str">
        <f>IF(ISBLANK(A478), "Email",IF(ISNA(VLOOKUP(A478,'Master List'!A:C,3,FALSE)), "Not Found", VLOOKUP(A478,'Master List'!A:C,3,FALSE)))</f>
        <v>ssliger@mail.sfsu.edu</v>
      </c>
      <c r="E478" s="11" t="s">
        <v>25</v>
      </c>
      <c r="F478" s="4" t="s">
        <v>171</v>
      </c>
      <c r="H478" s="12" t="s">
        <v>125</v>
      </c>
      <c r="I478" s="11" t="s">
        <v>155</v>
      </c>
      <c r="K478" s="97" t="str">
        <f ca="1">IF(J478="","Date",IF(J478&lt;&gt;"",IF(K478="Date",NOW(),K478),""))</f>
        <v>Date</v>
      </c>
    </row>
    <row r="479" spans="1:12">
      <c r="A479" s="11">
        <v>900024273</v>
      </c>
      <c r="B479" s="97">
        <f ca="1">IF(A479="","Date",IF(A479&lt;&gt;"",IF(B479="Date",NOW(),B479),""))</f>
        <v>45321.603608796293</v>
      </c>
      <c r="C479" s="19" t="str">
        <f>IF(ISBLANK(A479),"Name",IF(ISNA(VLOOKUP(A479,'Master List'!A:C,2,FALSE)), "Not Found", VLOOKUP(A479,'Master List'!A:C,2,FALSE)))</f>
        <v>Peter Biella</v>
      </c>
      <c r="D479" s="19" t="str">
        <f>IF(ISBLANK(A479), "Email",IF(ISNA(VLOOKUP(A479,'Master List'!A:C,3,FALSE)), "Not Found", VLOOKUP(A479,'Master List'!A:C,3,FALSE)))</f>
        <v>biella@sfsu.edu</v>
      </c>
      <c r="E479" s="11" t="s">
        <v>170</v>
      </c>
      <c r="F479" s="4" t="str">
        <f>IF(OR(A479="",E479="","",A479="?",E479="?"),"duplicate?",IF(COUNTIFS($A:A,A479,E:E,E479)&gt;1,"yes","no"))</f>
        <v>no</v>
      </c>
      <c r="H479" s="12" t="s">
        <v>125</v>
      </c>
      <c r="I479" s="11" t="s">
        <v>155</v>
      </c>
      <c r="K479" s="97" t="str">
        <f ca="1">IF(J479="","Date",IF(J479&lt;&gt;"",IF(K479="Date",NOW(),K479),""))</f>
        <v>Date</v>
      </c>
    </row>
    <row r="480" spans="1:12">
      <c r="A480" s="11">
        <v>918855800</v>
      </c>
      <c r="B480" s="97">
        <f ca="1">IF(A480="","Date",IF(A480&lt;&gt;"",IF(B480="Date",NOW(),B480),""))</f>
        <v>45321.694031597224</v>
      </c>
      <c r="C480" s="19" t="str">
        <f>IF(ISBLANK(A480),"Name",IF(ISNA(VLOOKUP(A480,'Master List'!A:C,2,FALSE)), "Not Found", VLOOKUP(A480,'Master List'!A:C,2,FALSE)))</f>
        <v>Lauren Cohn-Frankel</v>
      </c>
      <c r="D480" s="19" t="str">
        <f>IF(ISBLANK(A480), "Email",IF(ISNA(VLOOKUP(A480,'Master List'!A:C,3,FALSE)), "Not Found", VLOOKUP(A480,'Master List'!A:C,3,FALSE)))</f>
        <v>laurencf@sfsu.edu</v>
      </c>
      <c r="E480" s="11" t="s">
        <v>172</v>
      </c>
      <c r="F480" s="4" t="str">
        <f>IF(OR(A480="",E480="","",A480="?",E480="?"),"duplicate?",IF(COUNTIFS($A:A,A480,E:E,E480)&gt;1,"yes","no"))</f>
        <v>no</v>
      </c>
      <c r="H480" s="12" t="s">
        <v>125</v>
      </c>
      <c r="I480" s="11" t="s">
        <v>155</v>
      </c>
      <c r="K480" s="97" t="str">
        <f ca="1">IF(J480="","Date",IF(J480&lt;&gt;"",IF(K480="Date",NOW(),K480),""))</f>
        <v>Date</v>
      </c>
      <c r="L480" s="86" t="s">
        <v>173</v>
      </c>
    </row>
    <row r="481" spans="1:12">
      <c r="A481" s="11">
        <v>918855800</v>
      </c>
      <c r="B481" s="97">
        <f ca="1">IF(A481="","Date",IF(A481&lt;&gt;"",IF(B481="Date",NOW(),B481),""))</f>
        <v>45321.696676851854</v>
      </c>
      <c r="C481" s="19" t="str">
        <f>IF(ISBLANK(A481),"Name",IF(ISNA(VLOOKUP(A481,'Master List'!A:C,2,FALSE)), "Not Found", VLOOKUP(A481,'Master List'!A:C,2,FALSE)))</f>
        <v>Lauren Cohn-Frankel</v>
      </c>
      <c r="D481" s="19" t="str">
        <f>IF(ISBLANK(A481), "Email",IF(ISNA(VLOOKUP(A481,'Master List'!A:C,3,FALSE)), "Not Found", VLOOKUP(A481,'Master List'!A:C,3,FALSE)))</f>
        <v>laurencf@sfsu.edu</v>
      </c>
      <c r="E481" s="11" t="s">
        <v>174</v>
      </c>
      <c r="F481" s="4" t="str">
        <f>IF(OR(A481="",E481="","",A481="?",E481="?"),"duplicate?",IF(COUNTIFS($A:A,A481,E:E,E481)&gt;1,"yes","no"))</f>
        <v>no</v>
      </c>
      <c r="H481" s="12" t="s">
        <v>125</v>
      </c>
      <c r="I481" s="11" t="s">
        <v>155</v>
      </c>
      <c r="K481" s="97" t="str">
        <f ca="1">IF(J481="","Date",IF(J481&lt;&gt;"",IF(K481="Date",NOW(),K481),""))</f>
        <v>Date</v>
      </c>
      <c r="L481" s="86" t="s">
        <v>173</v>
      </c>
    </row>
    <row r="482" spans="1:12">
      <c r="A482" s="11">
        <v>918855800</v>
      </c>
      <c r="B482" s="97">
        <f ca="1">IF(A482="","Date",IF(A482&lt;&gt;"",IF(B482="Date",NOW(),B482),""))</f>
        <v>45321.69703865741</v>
      </c>
      <c r="C482" s="19" t="str">
        <f>IF(ISBLANK(A482),"Name",IF(ISNA(VLOOKUP(A482,'Master List'!A:C,2,FALSE)), "Not Found", VLOOKUP(A482,'Master List'!A:C,2,FALSE)))</f>
        <v>Lauren Cohn-Frankel</v>
      </c>
      <c r="D482" s="19" t="str">
        <f>IF(ISBLANK(A482), "Email",IF(ISNA(VLOOKUP(A482,'Master List'!A:C,3,FALSE)), "Not Found", VLOOKUP(A482,'Master List'!A:C,3,FALSE)))</f>
        <v>laurencf@sfsu.edu</v>
      </c>
      <c r="E482" s="11" t="s">
        <v>143</v>
      </c>
      <c r="F482" s="4" t="str">
        <f>IF(OR(A482="",E482="","",A482="?",E482="?"),"duplicate?",IF(COUNTIFS($A:A,A482,E:E,E482)&gt;1,"yes","no"))</f>
        <v>no</v>
      </c>
      <c r="H482" s="12" t="s">
        <v>125</v>
      </c>
      <c r="I482" s="11" t="s">
        <v>155</v>
      </c>
      <c r="K482" s="97" t="str">
        <f ca="1">IF(J482="","Date",IF(J482&lt;&gt;"",IF(K482="Date",NOW(),K482),""))</f>
        <v>Date</v>
      </c>
      <c r="L482" s="86" t="s">
        <v>173</v>
      </c>
    </row>
    <row r="483" spans="1:12">
      <c r="A483" s="11">
        <v>918828279</v>
      </c>
      <c r="B483" s="97">
        <f ca="1">IF(A483="","Date",IF(A483&lt;&gt;"",IF(B483="Date",NOW(),B483),""))</f>
        <v>45322.3656962963</v>
      </c>
      <c r="C483" s="19" t="str">
        <f>IF(ISBLANK(A483),"Name",IF(ISNA(VLOOKUP(A483,'Master List'!A:C,2,FALSE)), "Not Found", VLOOKUP(A483,'Master List'!A:C,2,FALSE)))</f>
        <v>Young Soo Kim</v>
      </c>
      <c r="D483" s="19" t="str">
        <f>IF(ISBLANK(A483), "Email",IF(ISNA(VLOOKUP(A483,'Master List'!A:C,3,FALSE)), "Not Found", VLOOKUP(A483,'Master List'!A:C,3,FALSE)))</f>
        <v>youngkim@sfsu.edu</v>
      </c>
      <c r="E483" s="11" t="s">
        <v>175</v>
      </c>
      <c r="F483" s="4" t="str">
        <f>IF(OR(A483="",E483="","",A483="?",E483="?"),"duplicate?",IF(COUNTIFS($A:A,A483,E:E,E483)&gt;1,"yes","no"))</f>
        <v>no</v>
      </c>
      <c r="H483" s="12" t="s">
        <v>165</v>
      </c>
      <c r="I483" s="11" t="s">
        <v>153</v>
      </c>
      <c r="K483" s="97" t="str">
        <f ca="1">IF(J483="","Date",IF(J483&lt;&gt;"",IF(K483="Date",NOW(),K483),""))</f>
        <v>Date</v>
      </c>
    </row>
    <row r="484" spans="1:12">
      <c r="A484" s="11">
        <v>918828279</v>
      </c>
      <c r="B484" s="97">
        <f ca="1">IF(A484="","Date",IF(A484&lt;&gt;"",IF(B484="Date",NOW(),B484),""))</f>
        <v>45322.3656962963</v>
      </c>
      <c r="C484" s="19" t="str">
        <f>IF(ISBLANK(A484),"Name",IF(ISNA(VLOOKUP(A484,'Master List'!A:C,2,FALSE)), "Not Found", VLOOKUP(A484,'Master List'!A:C,2,FALSE)))</f>
        <v>Young Soo Kim</v>
      </c>
      <c r="D484" s="19" t="str">
        <f>IF(ISBLANK(A484), "Email",IF(ISNA(VLOOKUP(A484,'Master List'!A:C,3,FALSE)), "Not Found", VLOOKUP(A484,'Master List'!A:C,3,FALSE)))</f>
        <v>youngkim@sfsu.edu</v>
      </c>
      <c r="E484" s="11" t="s">
        <v>45</v>
      </c>
      <c r="F484" s="4" t="s">
        <v>171</v>
      </c>
      <c r="H484" s="12" t="s">
        <v>141</v>
      </c>
      <c r="I484" s="11" t="s">
        <v>153</v>
      </c>
      <c r="K484" s="97" t="str">
        <f ca="1">IF(J484="","Date",IF(J484&lt;&gt;"",IF(K484="Date",NOW(),K484),""))</f>
        <v>Date</v>
      </c>
    </row>
    <row r="485" spans="1:12">
      <c r="A485" s="11">
        <v>907444010</v>
      </c>
      <c r="B485" s="97">
        <f ca="1">IF(A485="","Date",IF(A485&lt;&gt;"",IF(B485="Date",NOW(),B485),""))</f>
        <v>45323.560055902781</v>
      </c>
      <c r="C485" s="19" t="str">
        <f>IF(ISBLANK(A485),"Name",IF(ISNA(VLOOKUP(A485,'Master List'!A:C,2,FALSE)), "Not Found", VLOOKUP(A485,'Master List'!A:C,2,FALSE)))</f>
        <v>Kristin Agius</v>
      </c>
      <c r="D485" s="19" t="str">
        <f>IF(ISBLANK(A485), "Email",IF(ISNA(VLOOKUP(A485,'Master List'!A:C,3,FALSE)), "Not Found", VLOOKUP(A485,'Master List'!A:C,3,FALSE)))</f>
        <v>kla@sfsu.edu</v>
      </c>
      <c r="E485" s="11" t="s">
        <v>25</v>
      </c>
      <c r="F485" s="4" t="str">
        <f>IF(OR(A485="",E485="","",A485="?",E485="?"),"duplicate?",IF(COUNTIFS($A:A,A485,E:E,E485)&gt;1,"yes","no"))</f>
        <v>no</v>
      </c>
      <c r="H485" s="12" t="s">
        <v>165</v>
      </c>
      <c r="I485" s="11" t="s">
        <v>153</v>
      </c>
      <c r="K485" s="97" t="str">
        <f ca="1">IF(J485="","Date",IF(J485&lt;&gt;"",IF(K485="Date",NOW(),K485),""))</f>
        <v>Date</v>
      </c>
    </row>
    <row r="486" spans="1:12">
      <c r="A486" s="11">
        <v>904898610</v>
      </c>
      <c r="B486" s="97">
        <f ca="1">IF(A486="","Date",IF(A486&lt;&gt;"",IF(B486="Date",NOW(),B486),""))</f>
        <v>45327.438287268516</v>
      </c>
      <c r="C486" s="19" t="str">
        <f>IF(ISBLANK(A486),"Name",IF(ISNA(VLOOKUP(A486,'Master List'!A:C,2,FALSE)), "Not Found", VLOOKUP(A486,'Master List'!A:C,2,FALSE)))</f>
        <v>Sarah Almaqousi</v>
      </c>
      <c r="D486" s="19" t="str">
        <f>IF(ISBLANK(A486), "Email",IF(ISNA(VLOOKUP(A486,'Master List'!A:C,3,FALSE)), "Not Found", VLOOKUP(A486,'Master List'!A:C,3,FALSE)))</f>
        <v xml:space="preserve"> sjones@sfsu.edu </v>
      </c>
      <c r="E486" s="11" t="s">
        <v>25</v>
      </c>
      <c r="F486" s="4" t="str">
        <f>IF(OR(A486="",E486="","",A486="?",E486="?"),"duplicate?",IF(COUNTIFS($A:A,A486,E:E,E486)&gt;1,"yes","no"))</f>
        <v>yes</v>
      </c>
      <c r="H486" s="12" t="s">
        <v>141</v>
      </c>
      <c r="I486" s="11" t="s">
        <v>66</v>
      </c>
      <c r="K486" s="97" t="str">
        <f ca="1">IF(J486="","Date",IF(J486&lt;&gt;"",IF(K486="Date",NOW(),K486),""))</f>
        <v>Date</v>
      </c>
    </row>
    <row r="487" spans="1:12">
      <c r="A487" s="11">
        <v>906304027</v>
      </c>
      <c r="B487" s="97">
        <f ca="1">IF(A487="","Date",IF(A487&lt;&gt;"",IF(B487="Date",NOW(),B487),""))</f>
        <v>45329.691944212966</v>
      </c>
      <c r="C487" s="19" t="str">
        <f>IF(ISBLANK(A487),"Name",IF(ISNA(VLOOKUP(A487,'Master List'!A:C,2,FALSE)), "Not Found", VLOOKUP(A487,'Master List'!A:C,2,FALSE)))</f>
        <v>Husamettin Erciyes</v>
      </c>
      <c r="D487" s="19" t="str">
        <f>IF(ISBLANK(A487), "Email",IF(ISNA(VLOOKUP(A487,'Master List'!A:C,3,FALSE)), "Not Found", VLOOKUP(A487,'Master List'!A:C,3,FALSE)))</f>
        <v>herciyes@sfsu.edu</v>
      </c>
      <c r="E487" s="11" t="s">
        <v>25</v>
      </c>
      <c r="F487" s="4" t="str">
        <f>IF(OR(A487="",E487="","",A487="?",E487="?"),"duplicate?",IF(COUNTIFS($A:A,A487,E:E,E487)&gt;1,"yes","no"))</f>
        <v>no</v>
      </c>
      <c r="H487" s="12" t="s">
        <v>141</v>
      </c>
      <c r="I487" s="11" t="s">
        <v>39</v>
      </c>
      <c r="K487" s="97" t="str">
        <f ca="1">IF(J487="","Date",IF(J487&lt;&gt;"",IF(K487="Date",NOW(),K487),""))</f>
        <v>Date</v>
      </c>
    </row>
    <row r="488" spans="1:12">
      <c r="A488" s="11">
        <v>908472141</v>
      </c>
      <c r="B488" s="97">
        <f ca="1">IF(A488="","Date",IF(A488&lt;&gt;"",IF(B488="Date",NOW(),B488),""))</f>
        <v>45330.599780787037</v>
      </c>
      <c r="C488" s="19" t="str">
        <f>IF(ISBLANK(A488),"Name",IF(ISNA(VLOOKUP(A488,'Master List'!A:C,2,FALSE)), "Not Found", VLOOKUP(A488,'Master List'!A:C,2,FALSE)))</f>
        <v>Isauro M. Escamilla Calan</v>
      </c>
      <c r="D488" s="19" t="str">
        <f>IF(ISBLANK(A488), "Email",IF(ISNA(VLOOKUP(A488,'Master List'!A:C,3,FALSE)), "Not Found", VLOOKUP(A488,'Master List'!A:C,3,FALSE)))</f>
        <v>imescami@sfsu.edu</v>
      </c>
      <c r="E488" s="11" t="s">
        <v>143</v>
      </c>
      <c r="F488" s="4" t="str">
        <f>IF(OR(A488="",E488="","",A488="?",E488="?"),"duplicate?",IF(COUNTIFS($A:A,A488,E:E,E488)&gt;1,"yes","no"))</f>
        <v>no</v>
      </c>
      <c r="H488" s="12">
        <v>45352</v>
      </c>
      <c r="I488" s="11" t="s">
        <v>72</v>
      </c>
      <c r="K488" s="97" t="str">
        <f ca="1">IF(J488="","Date",IF(J488&lt;&gt;"",IF(K488="Date",NOW(),K488),""))</f>
        <v>Date</v>
      </c>
    </row>
    <row r="489" spans="1:12">
      <c r="A489" s="11">
        <v>908472141</v>
      </c>
      <c r="B489" s="97">
        <f ca="1">IF(A489="","Date",IF(A489&lt;&gt;"",IF(B489="Date",NOW(),B489),""))</f>
        <v>45330.599821296295</v>
      </c>
      <c r="C489" s="19" t="str">
        <f>IF(ISBLANK(A489),"Name",IF(ISNA(VLOOKUP(A489,'Master List'!A:C,2,FALSE)), "Not Found", VLOOKUP(A489,'Master List'!A:C,2,FALSE)))</f>
        <v>Isauro M. Escamilla Calan</v>
      </c>
      <c r="D489" s="19" t="str">
        <f>IF(ISBLANK(A489), "Email",IF(ISNA(VLOOKUP(A489,'Master List'!A:C,3,FALSE)), "Not Found", VLOOKUP(A489,'Master List'!A:C,3,FALSE)))</f>
        <v>imescami@sfsu.edu</v>
      </c>
      <c r="E489" s="11" t="s">
        <v>36</v>
      </c>
      <c r="F489" s="4" t="str">
        <f>IF(OR(A489="",E489="","",A489="?",E489="?"),"duplicate?",IF(COUNTIFS($A:A,A489,E:E,E489)&gt;1,"yes","no"))</f>
        <v>no</v>
      </c>
      <c r="H489" s="12">
        <v>45353</v>
      </c>
      <c r="I489" s="11" t="s">
        <v>72</v>
      </c>
      <c r="K489" s="97" t="str">
        <f ca="1">IF(J489="","Date",IF(J489&lt;&gt;"",IF(K489="Date",NOW(),K489),""))</f>
        <v>Date</v>
      </c>
    </row>
    <row r="490" spans="1:12">
      <c r="A490" s="11">
        <v>900045099</v>
      </c>
      <c r="B490" s="97">
        <f ca="1">IF(A490="","Date",IF(A490&lt;&gt;"",IF(B490="Date",NOW(),B490),""))</f>
        <v>45335.465358796297</v>
      </c>
      <c r="C490" s="19" t="str">
        <f>IF(ISBLANK(A490),"Name",IF(ISNA(VLOOKUP(A490,'Master List'!A:C,2,FALSE)), "Not Found", VLOOKUP(A490,'Master List'!A:C,2,FALSE)))</f>
        <v>Toan Thai</v>
      </c>
      <c r="D490" s="19" t="str">
        <f>IF(ISBLANK(A490), "Email",IF(ISNA(VLOOKUP(A490,'Master List'!A:C,3,FALSE)), "Not Found", VLOOKUP(A490,'Master List'!A:C,3,FALSE)))</f>
        <v>toan@sfsu.edu</v>
      </c>
      <c r="E490" s="11" t="s">
        <v>33</v>
      </c>
      <c r="F490" s="4" t="str">
        <f>IF(OR(A490="",E490="","",A490="?",E490="?"),"duplicate?",IF(COUNTIFS($A:A,A490,E:E,E490)&gt;1,"yes","no"))</f>
        <v>no</v>
      </c>
      <c r="H490" s="12" t="s">
        <v>141</v>
      </c>
      <c r="I490" s="11" t="s">
        <v>176</v>
      </c>
      <c r="K490" s="97" t="str">
        <f ca="1">IF(J490="","Date",IF(J490&lt;&gt;"",IF(K490="Date",NOW(),K490),""))</f>
        <v>Date</v>
      </c>
    </row>
    <row r="491" spans="1:12">
      <c r="A491" s="11">
        <v>917167503</v>
      </c>
      <c r="B491" s="97">
        <f ca="1">IF(A491="","Date",IF(A491&lt;&gt;"",IF(B491="Date",NOW(),B491),""))</f>
        <v>45335.509637615738</v>
      </c>
      <c r="C491" s="19" t="str">
        <f>IF(ISBLANK(A491),"Name",IF(ISNA(VLOOKUP(A491,'Master List'!A:C,2,FALSE)), "Not Found", VLOOKUP(A491,'Master List'!A:C,2,FALSE)))</f>
        <v>Jaimy Mann</v>
      </c>
      <c r="D491" s="19" t="str">
        <f>IF(ISBLANK(A491), "Email",IF(ISNA(VLOOKUP(A491,'Master List'!A:C,3,FALSE)), "Not Found", VLOOKUP(A491,'Master List'!A:C,3,FALSE)))</f>
        <v>jaimy@sfsu.edu</v>
      </c>
      <c r="E491" s="11" t="s">
        <v>92</v>
      </c>
      <c r="F491" s="4" t="str">
        <f>IF(OR(A491="",E491="","",A491="?",E491="?"),"duplicate?",IF(COUNTIFS($A:A,A491,E:E,E491)&gt;1,"yes","no"))</f>
        <v>no</v>
      </c>
      <c r="H491" s="12" t="s">
        <v>177</v>
      </c>
      <c r="I491" s="11" t="s">
        <v>178</v>
      </c>
      <c r="K491" s="97" t="str">
        <f ca="1">IF(J491="","Date",IF(J491&lt;&gt;"",IF(K491="Date",NOW(),K491),""))</f>
        <v>Date</v>
      </c>
      <c r="L491" s="86" t="s">
        <v>179</v>
      </c>
    </row>
    <row r="492" spans="1:12">
      <c r="A492" s="11">
        <v>916543789</v>
      </c>
      <c r="B492" s="97">
        <f ca="1">IF(A492="","Date",IF(A492&lt;&gt;"",IF(B492="Date",NOW(),B492),""))</f>
        <v>45342.431978009263</v>
      </c>
      <c r="C492" s="19" t="str">
        <f>IF(ISBLANK(A492),"Name",IF(ISNA(VLOOKUP(A492,'Master List'!A:C,2,FALSE)), "Not Found", VLOOKUP(A492,'Master List'!A:C,2,FALSE)))</f>
        <v>Anastasia Smirnova</v>
      </c>
      <c r="D492" s="19" t="str">
        <f>IF(ISBLANK(A492), "Email",IF(ISNA(VLOOKUP(A492,'Master List'!A:C,3,FALSE)), "Not Found", VLOOKUP(A492,'Master List'!A:C,3,FALSE)))</f>
        <v>smirnov@sfsu.edu</v>
      </c>
      <c r="E492" s="11" t="s">
        <v>123</v>
      </c>
      <c r="F492" s="4" t="str">
        <f>IF(OR(A492="",E492="","",A492="?",E492="?"),"duplicate?",IF(COUNTIFS($A:A,A492,E:E,E492)&gt;1,"yes","no"))</f>
        <v>no</v>
      </c>
      <c r="H492" s="12" t="s">
        <v>180</v>
      </c>
      <c r="I492" s="11" t="s">
        <v>176</v>
      </c>
      <c r="K492" s="97" t="str">
        <f ca="1">IF(J492="","Date",IF(J492&lt;&gt;"",IF(K492="Date",NOW(),K492),""))</f>
        <v>Date</v>
      </c>
      <c r="L492" s="86" t="s">
        <v>181</v>
      </c>
    </row>
    <row r="493" spans="1:12">
      <c r="A493" s="11">
        <v>900004669</v>
      </c>
      <c r="B493" s="97">
        <f ca="1">IF(A493="","Date",IF(A493&lt;&gt;"",IF(B493="Date",NOW(),B493),""))</f>
        <v>45343.387095370374</v>
      </c>
      <c r="C493" s="19" t="str">
        <f>IF(ISBLANK(A493),"Name",IF(ISNA(VLOOKUP(A493,'Master List'!A:C,2,FALSE)), "Not Found", VLOOKUP(A493,'Master List'!A:C,2,FALSE)))</f>
        <v>Wai-Leung Kwok</v>
      </c>
      <c r="D493" s="19" t="str">
        <f>IF(ISBLANK(A493), "Email",IF(ISNA(VLOOKUP(A493,'Master List'!A:C,3,FALSE)), "Not Found", VLOOKUP(A493,'Master List'!A:C,3,FALSE)))</f>
        <v>wkwok@sfsu.edu</v>
      </c>
      <c r="E493" s="11" t="s">
        <v>175</v>
      </c>
      <c r="F493" s="4" t="str">
        <f>IF(OR(A493="",E493="","",A493="?",E493="?"),"duplicate?",IF(COUNTIFS($A:A,A493,E:E,E493)&gt;1,"yes","no"))</f>
        <v>no</v>
      </c>
      <c r="H493" s="12" t="s">
        <v>127</v>
      </c>
      <c r="I493" s="11" t="s">
        <v>153</v>
      </c>
      <c r="K493" s="97" t="str">
        <f ca="1">IF(J493="","Date",IF(J493&lt;&gt;"",IF(K493="Date",NOW(),K493),""))</f>
        <v>Date</v>
      </c>
    </row>
    <row r="494" spans="1:12">
      <c r="A494" s="11">
        <v>900025404</v>
      </c>
      <c r="B494" s="97">
        <f ca="1">IF(A494="","Date",IF(A494&lt;&gt;"",IF(B494="Date",NOW(),B494),""))</f>
        <v>45348.497928819444</v>
      </c>
      <c r="C494" s="19" t="str">
        <f>IF(ISBLANK(A494),"Name",IF(ISNA(VLOOKUP(A494,'Master List'!A:C,2,FALSE)), "Not Found", VLOOKUP(A494,'Master List'!A:C,2,FALSE)))</f>
        <v>Bruce Heiman</v>
      </c>
      <c r="D494" s="19" t="str">
        <f>IF(ISBLANK(A494), "Email",IF(ISNA(VLOOKUP(A494,'Master List'!A:C,3,FALSE)), "Not Found", VLOOKUP(A494,'Master List'!A:C,3,FALSE)))</f>
        <v>bheiman@sfsu.edu</v>
      </c>
      <c r="E494" s="11" t="s">
        <v>138</v>
      </c>
      <c r="F494" s="4" t="str">
        <f>IF(OR(A494="",E494="","",A494="?",E494="?"),"duplicate?",IF(COUNTIFS($A:A,A494,E:E,E494)&gt;1,"yes","no"))</f>
        <v>no</v>
      </c>
      <c r="H494" s="12" t="s">
        <v>125</v>
      </c>
      <c r="I494" s="11" t="s">
        <v>155</v>
      </c>
      <c r="K494" s="97" t="str">
        <f ca="1">IF(J494="","Date",IF(J494&lt;&gt;"",IF(K494="Date",NOW(),K494),""))</f>
        <v>Date</v>
      </c>
    </row>
    <row r="495" spans="1:12">
      <c r="A495" s="11">
        <v>900042291</v>
      </c>
      <c r="B495" s="97">
        <f ca="1">IF(A495="","Date",IF(A495&lt;&gt;"",IF(B495="Date",NOW(),B495),""))</f>
        <v>45355.56003310185</v>
      </c>
      <c r="C495" s="19" t="str">
        <f>IF(ISBLANK(A495),"Name",IF(ISNA(VLOOKUP(A495,'Master List'!A:C,2,FALSE)), "Not Found", VLOOKUP(A495,'Master List'!A:C,2,FALSE)))</f>
        <v>Seiko Kosaka</v>
      </c>
      <c r="D495" s="19" t="str">
        <f>IF(ISBLANK(A495), "Email",IF(ISNA(VLOOKUP(A495,'Master List'!A:C,3,FALSE)), "Not Found", VLOOKUP(A495,'Master List'!A:C,3,FALSE)))</f>
        <v>skosaka@sfsu.edu</v>
      </c>
      <c r="E495" s="11" t="s">
        <v>25</v>
      </c>
      <c r="F495" s="4" t="str">
        <f>IF(OR(A495="",E495="","",A495="?",E495="?"),"duplicate?",IF(COUNTIFS($A:A,A495,E:E,E495)&gt;1,"yes","no"))</f>
        <v>no</v>
      </c>
      <c r="H495" s="12" t="s">
        <v>141</v>
      </c>
      <c r="I495" s="11" t="s">
        <v>176</v>
      </c>
      <c r="K495" s="97" t="str">
        <f ca="1">IF(J495="","Date",IF(J495&lt;&gt;"",IF(K495="Date",NOW(),K495),""))</f>
        <v>Date</v>
      </c>
    </row>
    <row r="496" spans="1:12">
      <c r="A496" s="19">
        <v>900015056</v>
      </c>
      <c r="B496" s="97">
        <f ca="1">IF(A496="","Date",IF(A496&lt;&gt;"",IF(B496="Date",NOW(),B496),""))</f>
        <v>45356.482808680557</v>
      </c>
      <c r="C496" s="19" t="str">
        <f>IF(ISBLANK(A496),"Name",IF(ISNA(VLOOKUP(A496,'Master List'!A:C,2,FALSE)), "Not Found", VLOOKUP(A496,'Master List'!A:C,2,FALSE)))</f>
        <v>Gustavo Calderon</v>
      </c>
      <c r="D496" s="19" t="str">
        <f>IF(ISBLANK(A496), "Email",IF(ISNA(VLOOKUP(A496,'Master List'!A:C,3,FALSE)), "Not Found", VLOOKUP(A496,'Master List'!A:C,3,FALSE)))</f>
        <v>gusto@sfsu.edu</v>
      </c>
      <c r="E496" s="11" t="s">
        <v>25</v>
      </c>
      <c r="F496" s="4" t="str">
        <f>IF(OR(A496="",E496="","",A496="?",E496="?"),"duplicate?",IF(COUNTIFS($A:A,A496,E:E,E496)&gt;1,"yes","no"))</f>
        <v>yes</v>
      </c>
      <c r="H496" s="12" t="s">
        <v>141</v>
      </c>
      <c r="I496" s="11" t="s">
        <v>176</v>
      </c>
      <c r="K496" s="97" t="str">
        <f ca="1">IF(J496="","Date",IF(J496&lt;&gt;"",IF(K496="Date",NOW(),K496),""))</f>
        <v>Date</v>
      </c>
      <c r="L496" s="86" t="s">
        <v>182</v>
      </c>
    </row>
    <row r="497" spans="1:12">
      <c r="A497" s="11">
        <v>918116568</v>
      </c>
      <c r="B497" s="97">
        <f ca="1">IF(A497="","Date",IF(A497&lt;&gt;"",IF(B497="Date",NOW(),B497),""))</f>
        <v>45356.580145023145</v>
      </c>
      <c r="C497" s="19" t="str">
        <f>IF(ISBLANK(A497),"Name",IF(ISNA(VLOOKUP(A497,'Master List'!A:C,2,FALSE)), "Not Found", VLOOKUP(A497,'Master List'!A:C,2,FALSE)))</f>
        <v>Ryan Moore</v>
      </c>
      <c r="D497" s="19" t="str">
        <f>IF(ISBLANK(A497), "Email",IF(ISNA(VLOOKUP(A497,'Master List'!A:C,3,FALSE)), "Not Found", VLOOKUP(A497,'Master List'!A:C,3,FALSE)))</f>
        <v>rymaxmoore7370@sfsu.edu</v>
      </c>
      <c r="E497" s="11" t="s">
        <v>25</v>
      </c>
      <c r="F497" s="4" t="str">
        <f>IF(OR(A497="",E497="","",A497="?",E497="?"),"duplicate?",IF(COUNTIFS($A:A,A497,E:E,E497)&gt;1,"yes","no"))</f>
        <v>yes</v>
      </c>
      <c r="H497" s="12" t="s">
        <v>141</v>
      </c>
      <c r="I497" s="11" t="s">
        <v>72</v>
      </c>
      <c r="K497" s="97" t="str">
        <f ca="1">IF(J497="","Date",IF(J497&lt;&gt;"",IF(K497="Date",NOW(),K497),""))</f>
        <v>Date</v>
      </c>
    </row>
    <row r="498" spans="1:12">
      <c r="A498" s="11">
        <v>918853577</v>
      </c>
      <c r="B498" s="97">
        <f ca="1">IF(A498="","Date",IF(A498&lt;&gt;"",IF(B498="Date",NOW(),B498),""))</f>
        <v>45356.624031712963</v>
      </c>
      <c r="C498" s="19" t="str">
        <f>IF(ISBLANK(A498),"Name",IF(ISNA(VLOOKUP(A498,'Master List'!A:C,2,FALSE)), "Not Found", VLOOKUP(A498,'Master List'!A:C,2,FALSE)))</f>
        <v>Chrissy Lau</v>
      </c>
      <c r="D498" s="19" t="str">
        <f>IF(ISBLANK(A498), "Email",IF(ISNA(VLOOKUP(A498,'Master List'!A:C,3,FALSE)), "Not Found", VLOOKUP(A498,'Master List'!A:C,3,FALSE)))</f>
        <v>chrissylau@sfsu.edu</v>
      </c>
      <c r="E498" s="11" t="s">
        <v>183</v>
      </c>
      <c r="F498" s="4" t="str">
        <f>IF(OR(A498="",E498="","",A498="?",E498="?"),"duplicate?",IF(COUNTIFS($A:A,A498,E:E,E498)&gt;1,"yes","no"))</f>
        <v>yes</v>
      </c>
      <c r="H498" s="12">
        <v>45370</v>
      </c>
      <c r="I498" s="11" t="s">
        <v>72</v>
      </c>
      <c r="K498" s="97" t="str">
        <f ca="1">IF(J498="","Date",IF(J498&lt;&gt;"",IF(K498="Date",NOW(),K498),""))</f>
        <v>Date</v>
      </c>
    </row>
    <row r="499" spans="1:12">
      <c r="A499" s="11">
        <v>918853577</v>
      </c>
      <c r="B499" s="97">
        <f ca="1">IF(A499="","Date",IF(A499&lt;&gt;"",IF(B499="Date",NOW(),B499),""))</f>
        <v>45356.624031712963</v>
      </c>
      <c r="C499" s="19" t="str">
        <f>IF(ISBLANK(A499),"Name",IF(ISNA(VLOOKUP(A499,'Master List'!A:C,2,FALSE)), "Not Found", VLOOKUP(A499,'Master List'!A:C,2,FALSE)))</f>
        <v>Chrissy Lau</v>
      </c>
      <c r="D499" s="19" t="str">
        <f>IF(ISBLANK(A499), "Email",IF(ISNA(VLOOKUP(A499,'Master List'!A:C,3,FALSE)), "Not Found", VLOOKUP(A499,'Master List'!A:C,3,FALSE)))</f>
        <v>chrissylau@sfsu.edu</v>
      </c>
      <c r="E499" s="11" t="s">
        <v>183</v>
      </c>
      <c r="F499" s="4" t="str">
        <f>IF(OR(A499="",E499="","",A499="?",E499="?"),"duplicate?",IF(COUNTIFS($A:A,A499,E:E,E499)&gt;1,"yes","no"))</f>
        <v>yes</v>
      </c>
      <c r="H499" s="12">
        <v>45370</v>
      </c>
      <c r="I499" s="11" t="s">
        <v>72</v>
      </c>
      <c r="K499" s="97" t="str">
        <f ca="1">IF(J499="","Date",IF(J499&lt;&gt;"",IF(K499="Date",NOW(),K499),""))</f>
        <v>Date</v>
      </c>
    </row>
    <row r="500" spans="1:12">
      <c r="A500" s="11">
        <v>900052496</v>
      </c>
      <c r="B500" s="97">
        <f ca="1">IF(A500="","Date",IF(A500&lt;&gt;"",IF(B500="Date",NOW(),B500),""))</f>
        <v>45358.510337962965</v>
      </c>
      <c r="C500" s="19" t="str">
        <f>IF(ISBLANK(A500),"Name",IF(ISNA(VLOOKUP(A500,'Master List'!A:C,2,FALSE)), "Not Found", VLOOKUP(A500,'Master List'!A:C,2,FALSE)))</f>
        <v>Robert Strong</v>
      </c>
      <c r="D500" s="19" t="str">
        <f>IF(ISBLANK(A500), "Email",IF(ISNA(VLOOKUP(A500,'Master List'!A:C,3,FALSE)), "Not Found", VLOOKUP(A500,'Master List'!A:C,3,FALSE)))</f>
        <v>rstrong@sfsu.edu</v>
      </c>
      <c r="E500" s="11" t="s">
        <v>25</v>
      </c>
      <c r="F500" s="4" t="str">
        <f>IF(OR(A500="",E500="","",A500="?",E500="?"),"duplicate?",IF(COUNTIFS($A:A,A500,E:E,E500)&gt;1,"yes","no"))</f>
        <v>no</v>
      </c>
      <c r="H500" s="12">
        <v>45372</v>
      </c>
      <c r="I500" s="11" t="s">
        <v>61</v>
      </c>
      <c r="K500" s="97" t="str">
        <f ca="1">IF(J500="","Date",IF(J500&lt;&gt;"",IF(K500="Date",NOW(),K500),""))</f>
        <v>Date</v>
      </c>
    </row>
    <row r="501" spans="1:12">
      <c r="A501" s="11">
        <v>900052496</v>
      </c>
      <c r="B501" s="97">
        <f ca="1">IF(A501="","Date",IF(A501&lt;&gt;"",IF(B501="Date",NOW(),B501),""))</f>
        <v>45358.515253935184</v>
      </c>
      <c r="C501" s="19" t="str">
        <f>IF(ISBLANK(A501),"Name",IF(ISNA(VLOOKUP(A501,'Master List'!A:C,2,FALSE)), "Not Found", VLOOKUP(A501,'Master List'!A:C,2,FALSE)))</f>
        <v>Robert Strong</v>
      </c>
      <c r="D501" s="19" t="str">
        <f>IF(ISBLANK(A501), "Email",IF(ISNA(VLOOKUP(A501,'Master List'!A:C,3,FALSE)), "Not Found", VLOOKUP(A501,'Master List'!A:C,3,FALSE)))</f>
        <v>rstrong@sfsu.edu</v>
      </c>
      <c r="E501" s="11" t="s">
        <v>76</v>
      </c>
      <c r="F501" s="4" t="str">
        <f>IF(OR(A501="",E501="","",A501="?",E501="?"),"duplicate?",IF(COUNTIFS($A:A,A501,E:E,E501)&gt;1,"yes","no"))</f>
        <v>no</v>
      </c>
      <c r="H501" s="12" t="s">
        <v>127</v>
      </c>
      <c r="I501" s="11" t="s">
        <v>61</v>
      </c>
      <c r="K501" s="97" t="str">
        <f ca="1">IF(J501="","Date",IF(J501&lt;&gt;"",IF(K501="Date",NOW(),K501),""))</f>
        <v>Date</v>
      </c>
    </row>
    <row r="502" spans="1:12">
      <c r="A502" s="11">
        <v>900931179</v>
      </c>
      <c r="B502" s="97">
        <v>45359</v>
      </c>
      <c r="C502" s="19" t="s">
        <v>184</v>
      </c>
      <c r="D502" s="49" t="s">
        <v>185</v>
      </c>
      <c r="E502" s="11" t="s">
        <v>76</v>
      </c>
      <c r="F502" s="4"/>
      <c r="H502" s="12" t="s">
        <v>125</v>
      </c>
      <c r="I502" s="11" t="s">
        <v>155</v>
      </c>
    </row>
    <row r="503" spans="1:12">
      <c r="A503" s="11">
        <v>900000951</v>
      </c>
      <c r="B503" s="97">
        <f ca="1">IF(A503="","Date",IF(A503&lt;&gt;"",IF(B503="Date",NOW(),B503),""))</f>
        <v>45362.673361574074</v>
      </c>
      <c r="C503" s="19" t="str">
        <f>IF(ISBLANK(A503),"Name",IF(ISNA(VLOOKUP(A503,'Master List'!A:C,2,FALSE)), "Not Found", VLOOKUP(A503,'Master List'!A:C,2,FALSE)))</f>
        <v>Ricardo Gomes</v>
      </c>
      <c r="D503" s="19" t="str">
        <f>IF(ISBLANK(A503), "Email",IF(ISNA(VLOOKUP(A503,'Master List'!A:C,3,FALSE)), "Not Found", VLOOKUP(A503,'Master List'!A:C,3,FALSE)))</f>
        <v>ricgomes@sfsu.edu</v>
      </c>
      <c r="E503" s="11" t="s">
        <v>96</v>
      </c>
      <c r="F503" s="4" t="str">
        <f>IF(OR(A503="",E503="","",A503="?",E503="?"),"duplicate?",IF(COUNTIFS($A:A,A503,E:E,E503)&gt;1,"yes","no"))</f>
        <v>no</v>
      </c>
      <c r="H503" s="12" t="s">
        <v>186</v>
      </c>
      <c r="I503" s="11" t="s">
        <v>72</v>
      </c>
      <c r="K503" s="97" t="str">
        <f ca="1">IF(J503="","Date",IF(J503&lt;&gt;"",IF(K503="Date",NOW(),K503),""))</f>
        <v>Date</v>
      </c>
    </row>
    <row r="504" spans="1:12">
      <c r="A504" s="11">
        <v>900000951</v>
      </c>
      <c r="B504" s="97">
        <f ca="1">IF(A504="","Date",IF(A504&lt;&gt;"",IF(B504="Date",NOW(),B504),""))</f>
        <v>45362.673732407406</v>
      </c>
      <c r="C504" s="19" t="str">
        <f>IF(ISBLANK(A504),"Name",IF(ISNA(VLOOKUP(A504,'Master List'!A:C,2,FALSE)), "Not Found", VLOOKUP(A504,'Master List'!A:C,2,FALSE)))</f>
        <v>Ricardo Gomes</v>
      </c>
      <c r="D504" s="19" t="str">
        <f>IF(ISBLANK(A504), "Email",IF(ISNA(VLOOKUP(A504,'Master List'!A:C,3,FALSE)), "Not Found", VLOOKUP(A504,'Master List'!A:C,3,FALSE)))</f>
        <v>ricgomes@sfsu.edu</v>
      </c>
      <c r="E504" s="11" t="s">
        <v>116</v>
      </c>
      <c r="F504" s="4" t="str">
        <f>IF(OR(A504="",E504="","",A504="?",E504="?"),"duplicate?",IF(COUNTIFS($A:A,A504,E:E,E504)&gt;1,"yes","no"))</f>
        <v>no</v>
      </c>
      <c r="H504" s="12" t="s">
        <v>187</v>
      </c>
      <c r="I504" s="11" t="s">
        <v>72</v>
      </c>
      <c r="K504" s="97" t="str">
        <f ca="1">IF(J504="","Date",IF(J504&lt;&gt;"",IF(K504="Date",NOW(),K504),""))</f>
        <v>Date</v>
      </c>
    </row>
    <row r="505" spans="1:12">
      <c r="A505" s="11">
        <v>917931539</v>
      </c>
      <c r="B505" s="97">
        <f ca="1">IF(A505="","Date",IF(A505&lt;&gt;"",IF(B505="Date",NOW(),B505),""))</f>
        <v>45363.60275474537</v>
      </c>
      <c r="C505" s="19" t="str">
        <f>IF(ISBLANK(A505),"Name",IF(ISNA(VLOOKUP(A505,'Master List'!A:C,2,FALSE)), "Not Found", VLOOKUP(A505,'Master List'!A:C,2,FALSE)))</f>
        <v>Michelle Sinapuelas</v>
      </c>
      <c r="D505" s="19" t="str">
        <f>IF(ISBLANK(A505), "Email",IF(ISNA(VLOOKUP(A505,'Master List'!A:C,3,FALSE)), "Not Found", VLOOKUP(A505,'Master List'!A:C,3,FALSE)))</f>
        <v>msinapuelas@sfsu.edu</v>
      </c>
      <c r="E505" s="11" t="s">
        <v>123</v>
      </c>
      <c r="F505" s="4" t="str">
        <f>IF(OR(A505="",E505="","",A505="?",E505="?"),"duplicate?",IF(COUNTIFS($A:A,A505,E:E,E505)&gt;1,"yes","no"))</f>
        <v>no</v>
      </c>
      <c r="H505" s="12" t="s">
        <v>125</v>
      </c>
      <c r="I505" s="11" t="s">
        <v>155</v>
      </c>
      <c r="K505" s="97" t="str">
        <f ca="1">IF(J505="","Date",IF(J505&lt;&gt;"",IF(K505="Date",NOW(),K505),""))</f>
        <v>Date</v>
      </c>
    </row>
    <row r="506" spans="1:12">
      <c r="A506" s="11">
        <v>900029746</v>
      </c>
      <c r="B506" s="97">
        <f ca="1">IF(A506="","Date",IF(A506&lt;&gt;"",IF(B506="Date",NOW(),B506),""))</f>
        <v>45369.614524537035</v>
      </c>
      <c r="C506" s="19" t="str">
        <f>IF(ISBLANK(A506),"Name",IF(ISNA(VLOOKUP(A506,'Master List'!A:C,2,FALSE)), "Not Found", VLOOKUP(A506,'Master List'!A:C,2,FALSE)))</f>
        <v>Diana Rumjahn</v>
      </c>
      <c r="D506" s="19" t="str">
        <f>IF(ISBLANK(A506), "Email",IF(ISNA(VLOOKUP(A506,'Master List'!A:C,3,FALSE)), "Not Found", VLOOKUP(A506,'Master List'!A:C,3,FALSE)))</f>
        <v>drumjahn@sfsu.edu</v>
      </c>
      <c r="E506" s="11" t="s">
        <v>36</v>
      </c>
      <c r="F506" s="4" t="str">
        <f>IF(OR(A506="",E506="","",A506="?",E506="?"),"duplicate?",IF(COUNTIFS($A:A,A506,E:E,E506)&gt;1,"yes","no"))</f>
        <v>no</v>
      </c>
      <c r="H506" s="12" t="s">
        <v>141</v>
      </c>
      <c r="I506" s="11" t="s">
        <v>176</v>
      </c>
      <c r="K506" s="97" t="str">
        <f ca="1">IF(J506="","Date",IF(J506&lt;&gt;"",IF(K506="Date",NOW(),K506),""))</f>
        <v>Date</v>
      </c>
    </row>
    <row r="507" spans="1:12">
      <c r="A507" s="11">
        <v>917316327</v>
      </c>
      <c r="B507" s="97">
        <f ca="1">IF(A507="","Date",IF(A507&lt;&gt;"",IF(B507="Date",NOW(),B507),""))</f>
        <v>45370.384478009262</v>
      </c>
      <c r="C507" s="19" t="str">
        <f>IF(ISBLANK(A507),"Name",IF(ISNA(VLOOKUP(A507,'Master List'!A:C,2,FALSE)), "Not Found", VLOOKUP(A507,'Master List'!A:C,2,FALSE)))</f>
        <v>Cynthia Chu</v>
      </c>
      <c r="D507" s="19" t="str">
        <f>IF(ISBLANK(A507), "Email",IF(ISNA(VLOOKUP(A507,'Master List'!A:C,3,FALSE)), "Not Found", VLOOKUP(A507,'Master List'!A:C,3,FALSE)))</f>
        <v>cchu4@sfsu.edu</v>
      </c>
      <c r="E507" s="11" t="s">
        <v>188</v>
      </c>
      <c r="F507" s="4" t="str">
        <f>IF(OR(A507="",E507="","",A507="?",E507="?"),"duplicate?",IF(COUNTIFS($A:A,A507,E:E,E507)&gt;1,"yes","no"))</f>
        <v>no</v>
      </c>
      <c r="H507" s="12" t="s">
        <v>141</v>
      </c>
      <c r="I507" s="11" t="s">
        <v>61</v>
      </c>
      <c r="K507" s="97" t="str">
        <f ca="1">IF(J507="","Date",IF(J507&lt;&gt;"",IF(K507="Date",NOW(),K507),""))</f>
        <v>Date</v>
      </c>
    </row>
    <row r="508" spans="1:12">
      <c r="A508" s="11">
        <v>904261844</v>
      </c>
      <c r="B508" s="97">
        <f ca="1">IF(A508="","Date",IF(A508&lt;&gt;"",IF(B508="Date",NOW(),B508),""))</f>
        <v>45384.44793923611</v>
      </c>
      <c r="C508" s="19" t="str">
        <f>IF(ISBLANK(A508),"Name",IF(ISNA(VLOOKUP(A508,'Master List'!A:C,2,FALSE)), "Not Found", VLOOKUP(A508,'Master List'!A:C,2,FALSE)))</f>
        <v>Kristen Vargas</v>
      </c>
      <c r="D508" s="19" t="str">
        <f>IF(ISBLANK(A508), "Email",IF(ISNA(VLOOKUP(A508,'Master List'!A:C,3,FALSE)), "Not Found", VLOOKUP(A508,'Master List'!A:C,3,FALSE)))</f>
        <v>krisvargas@sfsu.edu</v>
      </c>
      <c r="E508" s="11" t="s">
        <v>174</v>
      </c>
      <c r="F508" s="4" t="str">
        <f>IF(OR(A508="",E508="","",A508="?",E508="?"),"duplicate?",IF(COUNTIFS($A:A,A508,E:E,E508)&gt;1,"yes","no"))</f>
        <v>no</v>
      </c>
      <c r="H508" s="12" t="s">
        <v>127</v>
      </c>
      <c r="I508" s="11" t="s">
        <v>189</v>
      </c>
      <c r="K508" s="97" t="str">
        <f ca="1">IF(J508="","Date",IF(J508&lt;&gt;"",IF(K508="Date",NOW(),K508),""))</f>
        <v>Date</v>
      </c>
    </row>
    <row r="509" spans="1:12">
      <c r="A509" s="11">
        <v>910342828</v>
      </c>
      <c r="B509" s="97">
        <f ca="1">IF(A509="","Date",IF(A509&lt;&gt;"",IF(B509="Date",NOW(),B509),""))</f>
        <v>45390.57789212963</v>
      </c>
      <c r="C509" s="19" t="str">
        <f>IF(ISBLANK(A509),"Name",IF(ISNA(VLOOKUP(A509,'Master List'!A:C,2,FALSE)), "Not Found", VLOOKUP(A509,'Master List'!A:C,2,FALSE)))</f>
        <v>Justin Wong</v>
      </c>
      <c r="D509" s="19" t="str">
        <f>IF(ISBLANK(A509), "Email",IF(ISNA(VLOOKUP(A509,'Master List'!A:C,3,FALSE)), "Not Found", VLOOKUP(A509,'Master List'!A:C,3,FALSE)))</f>
        <v>justinw707@sfsu.edu</v>
      </c>
      <c r="E509" s="11" t="s">
        <v>138</v>
      </c>
      <c r="F509" s="4" t="str">
        <f>IF(OR(A509="",E509="","",A509="?",E509="?"),"duplicate?",IF(COUNTIFS($A:A,A509,E:E,E509)&gt;1,"yes","no"))</f>
        <v>no</v>
      </c>
      <c r="H509" s="12" t="s">
        <v>124</v>
      </c>
      <c r="I509" s="11" t="s">
        <v>176</v>
      </c>
      <c r="K509" s="97" t="str">
        <f ca="1">IF(J509="","Date",IF(J509&lt;&gt;"",IF(K509="Date",NOW(),K509),""))</f>
        <v>Date</v>
      </c>
    </row>
    <row r="510" spans="1:12">
      <c r="A510" s="11">
        <v>912996037</v>
      </c>
      <c r="B510" s="97">
        <f ca="1">IF(A510="","Date",IF(A510&lt;&gt;"",IF(B510="Date",NOW(),B510),""))</f>
        <v>45393.543516203703</v>
      </c>
      <c r="C510" s="19" t="str">
        <f>IF(ISBLANK(A510),"Name",IF(ISNA(VLOOKUP(A510,'Master List'!A:C,2,FALSE)), "Not Found", VLOOKUP(A510,'Master List'!A:C,2,FALSE)))</f>
        <v>M. Joaquin</v>
      </c>
      <c r="D510" s="19" t="str">
        <f>IF(ISBLANK(A510), "Email",IF(ISNA(VLOOKUP(A510,'Master List'!A:C,3,FALSE)), "Not Found", VLOOKUP(A510,'Master List'!A:C,3,FALSE)))</f>
        <v xml:space="preserve">ejoaquin@sfsu.edu </v>
      </c>
      <c r="E510" s="11" t="s">
        <v>36</v>
      </c>
      <c r="F510" s="4" t="str">
        <f>IF(OR(A510="",E510="","",A510="?",E510="?"),"duplicate?",IF(COUNTIFS($A:A,A510,E:E,E510)&gt;1,"yes","no"))</f>
        <v>no</v>
      </c>
      <c r="H510" s="12" t="s">
        <v>141</v>
      </c>
      <c r="I510" s="11" t="s">
        <v>190</v>
      </c>
      <c r="K510" s="97" t="str">
        <f ca="1">IF(J510="","Date",IF(J510&lt;&gt;"",IF(K510="Date",NOW(),K510),""))</f>
        <v>Date</v>
      </c>
    </row>
    <row r="511" spans="1:12">
      <c r="A511" s="11">
        <v>900041368</v>
      </c>
      <c r="B511" s="97">
        <f ca="1">IF(A511="","Date",IF(A511&lt;&gt;"",IF(B511="Date",NOW(),B511),""))</f>
        <v>45400.594727430558</v>
      </c>
      <c r="C511" s="19" t="str">
        <f>IF(ISBLANK(A511),"Name",IF(ISNA(VLOOKUP(A511,'Master List'!A:C,2,FALSE)), "Not Found", VLOOKUP(A511,'Master List'!A:C,2,FALSE)))</f>
        <v>Phonita Yuen</v>
      </c>
      <c r="D511" s="19" t="str">
        <f>IF(ISBLANK(A511), "Email",IF(ISNA(VLOOKUP(A511,'Master List'!A:C,3,FALSE)), "Not Found", VLOOKUP(A511,'Master List'!A:C,3,FALSE)))</f>
        <v>phonitay@sfsu.edu</v>
      </c>
      <c r="E511" s="11" t="s">
        <v>175</v>
      </c>
      <c r="F511" s="4" t="str">
        <f>IF(OR(A511="",E511="","",A511="?",E511="?"),"duplicate?",IF(COUNTIFS($A:A,A511,E:E,E511)&gt;1,"yes","no"))</f>
        <v>no</v>
      </c>
      <c r="H511" s="12">
        <v>45414</v>
      </c>
      <c r="I511" s="11" t="s">
        <v>190</v>
      </c>
      <c r="K511" s="97" t="str">
        <f ca="1">IF(J511="","Date",IF(J511&lt;&gt;"",IF(K511="Date",NOW(),K511),""))</f>
        <v>Date</v>
      </c>
      <c r="L511" s="86" t="s">
        <v>191</v>
      </c>
    </row>
    <row r="512" spans="1:12">
      <c r="A512" s="11">
        <v>904261844</v>
      </c>
      <c r="B512" s="97">
        <f ca="1">IF(A512="","Date",IF(A512&lt;&gt;"",IF(B512="Date",NOW(),B512),""))</f>
        <v>45406.653918518517</v>
      </c>
      <c r="C512" s="19" t="str">
        <f>IF(ISBLANK(A512),"Name",IF(ISNA(VLOOKUP(A512,'Master List'!A:C,2,FALSE)), "Not Found", VLOOKUP(A512,'Master List'!A:C,2,FALSE)))</f>
        <v>Kristen Vargas</v>
      </c>
      <c r="D512" s="19" t="str">
        <f>IF(ISBLANK(A512), "Email",IF(ISNA(VLOOKUP(A512,'Master List'!A:C,3,FALSE)), "Not Found", VLOOKUP(A512,'Master List'!A:C,3,FALSE)))</f>
        <v>krisvargas@sfsu.edu</v>
      </c>
      <c r="E512" s="11" t="s">
        <v>23</v>
      </c>
      <c r="F512" s="4" t="str">
        <f>IF(OR(A512="",E512="","",A512="?",E512="?"),"duplicate?",IF(COUNTIFS($A:A,A512,E:E,E512)&gt;1,"yes","no"))</f>
        <v>no</v>
      </c>
      <c r="H512" s="12" t="s">
        <v>141</v>
      </c>
      <c r="I512" s="11" t="s">
        <v>153</v>
      </c>
      <c r="K512" s="97" t="str">
        <f ca="1">IF(J512="","Date",IF(J512&lt;&gt;"",IF(K512="Date",NOW(),K512),""))</f>
        <v>Date</v>
      </c>
    </row>
    <row r="513" spans="1:12">
      <c r="A513" s="19">
        <v>900002446</v>
      </c>
      <c r="B513" s="97">
        <f ca="1">IF(A513="","Date",IF(A513&lt;&gt;"",IF(B513="Date",NOW(),B513),""))</f>
        <v>45407.502924884262</v>
      </c>
      <c r="C513" s="19" t="str">
        <f>IF(ISBLANK(A513),"Name",IF(ISNA(VLOOKUP(A513,'Master List'!A:C,2,FALSE)), "Not Found", VLOOKUP(A513,'Master List'!A:C,2,FALSE)))</f>
        <v>Hamid Shahnasser</v>
      </c>
      <c r="D513" s="19" t="str">
        <f>IF(ISBLANK(A513), "Email",IF(ISNA(VLOOKUP(A513,'Master List'!A:C,3,FALSE)), "Not Found", VLOOKUP(A513,'Master List'!A:C,3,FALSE)))</f>
        <v>hamid@sfsu.edu</v>
      </c>
      <c r="E513" s="11" t="s">
        <v>92</v>
      </c>
      <c r="F513" s="4" t="str">
        <f>IF(OR(A513="",E513="","",A513="?",E513="?"),"duplicate?",IF(COUNTIFS($A:A,A513,E:E,E513)&gt;1,"yes","no"))</f>
        <v>no</v>
      </c>
      <c r="H513" s="12" t="s">
        <v>141</v>
      </c>
      <c r="I513" s="11" t="s">
        <v>178</v>
      </c>
      <c r="K513" s="97" t="str">
        <f ca="1">IF(J513="","Date",IF(J513&lt;&gt;"",IF(K513="Date",NOW(),K513),""))</f>
        <v>Date</v>
      </c>
    </row>
    <row r="514" spans="1:12">
      <c r="A514" s="11">
        <v>909802821</v>
      </c>
      <c r="B514" s="97">
        <f ca="1">IF(A514="","Date",IF(A514&lt;&gt;"",IF(B514="Date",NOW(),B514),""))</f>
        <v>45413.501212962961</v>
      </c>
      <c r="C514" s="19" t="str">
        <f>IF(ISBLANK(A514),"Name",IF(ISNA(VLOOKUP(A514,'Master List'!A:C,2,FALSE)), "Not Found", VLOOKUP(A514,'Master List'!A:C,2,FALSE)))</f>
        <v>Sharon Jones</v>
      </c>
      <c r="D514" s="19" t="str">
        <f>IF(ISBLANK(A514), "Email",IF(ISNA(VLOOKUP(A514,'Master List'!A:C,3,FALSE)), "Not Found", VLOOKUP(A514,'Master List'!A:C,3,FALSE)))</f>
        <v>saj@sfsu.edu</v>
      </c>
      <c r="E514" s="11" t="s">
        <v>35</v>
      </c>
      <c r="F514" s="4" t="str">
        <f>IF(OR(A514="",E514="","",A514="?",E514="?"),"duplicate?",IF(COUNTIFS($A:A,A514,E:E,E514)&gt;1,"yes","no"))</f>
        <v>no</v>
      </c>
      <c r="H514" s="12">
        <v>45420</v>
      </c>
      <c r="I514" s="11" t="s">
        <v>99</v>
      </c>
      <c r="K514" s="97" t="str">
        <f ca="1">IF(J514="","Date",IF(J514&lt;&gt;"",IF(K514="Date",NOW(),K514),""))</f>
        <v>Date</v>
      </c>
    </row>
    <row r="515" spans="1:12">
      <c r="A515" s="11">
        <v>918851029</v>
      </c>
      <c r="B515" s="97">
        <f ca="1">IF(A515="","Date",IF(A515&lt;&gt;"",IF(B515="Date",NOW(),B515),""))</f>
        <v>45415.546490162036</v>
      </c>
      <c r="C515" s="19" t="str">
        <f>IF(ISBLANK(A515),"Name",IF(ISNA(VLOOKUP(A515,'Master List'!A:C,2,FALSE)), "Not Found", VLOOKUP(A515,'Master List'!A:C,2,FALSE)))</f>
        <v>Julia Parma</v>
      </c>
      <c r="D515" s="19" t="str">
        <f>IF(ISBLANK(A515), "Email",IF(ISNA(VLOOKUP(A515,'Master List'!A:C,3,FALSE)), "Not Found", VLOOKUP(A515,'Master List'!A:C,3,FALSE)))</f>
        <v>julianaparma@sfsu.edu</v>
      </c>
      <c r="E515" s="11" t="s">
        <v>33</v>
      </c>
      <c r="F515" s="4" t="str">
        <f>IF(OR(A515="",E515="","",A515="?",E515="?"),"duplicate?",IF(COUNTIFS($A:A,A515,E:E,E515)&gt;1,"yes","no"))</f>
        <v>no</v>
      </c>
      <c r="H515" s="12" t="s">
        <v>192</v>
      </c>
      <c r="I515" s="11" t="s">
        <v>73</v>
      </c>
      <c r="K515" s="97" t="str">
        <f ca="1">IF(J515="","Date",IF(J515&lt;&gt;"",IF(K515="Date",NOW(),K515),""))</f>
        <v>Date</v>
      </c>
    </row>
    <row r="516" spans="1:12">
      <c r="A516" s="11">
        <v>918827655</v>
      </c>
      <c r="B516" s="97">
        <f ca="1">IF(A516="","Date",IF(A516&lt;&gt;"",IF(B516="Date",NOW(),B516),""))</f>
        <v>45421.508020370369</v>
      </c>
      <c r="C516" s="19" t="str">
        <f>IF(ISBLANK(A516),"Name",IF(ISNA(VLOOKUP(A516,'Master List'!A:C,2,FALSE)), "Not Found", VLOOKUP(A516,'Master List'!A:C,2,FALSE)))</f>
        <v xml:space="preserve">Paul Maeshall </v>
      </c>
      <c r="D516" s="19" t="str">
        <f>IF(ISBLANK(A516), "Email",IF(ISNA(VLOOKUP(A516,'Master List'!A:C,3,FALSE)), "Not Found", VLOOKUP(A516,'Master List'!A:C,3,FALSE)))</f>
        <v>Pianotechpaul@sfsu.edu</v>
      </c>
      <c r="E516" s="11" t="s">
        <v>36</v>
      </c>
      <c r="F516" s="4" t="str">
        <f>IF(OR(A516="",E516="","",A516="?",E516="?"),"duplicate?",IF(COUNTIFS($A:A,A516,E:E,E516)&gt;1,"yes","no"))</f>
        <v>no</v>
      </c>
      <c r="H516" s="12" t="s">
        <v>193</v>
      </c>
      <c r="I516" s="11" t="s">
        <v>178</v>
      </c>
      <c r="K516" s="97" t="str">
        <f ca="1">IF(J516="","Date",IF(J516&lt;&gt;"",IF(K516="Date",NOW(),K516),""))</f>
        <v>Date</v>
      </c>
    </row>
    <row r="517" spans="1:12">
      <c r="A517" s="11">
        <v>900035999</v>
      </c>
      <c r="B517" s="97">
        <f ca="1">IF(A517="","Date",IF(A517&lt;&gt;"",IF(B517="Date",NOW(),B517),""))</f>
        <v>45434.656856712965</v>
      </c>
      <c r="C517" s="19" t="str">
        <f>IF(ISBLANK(A517),"Name",IF(ISNA(VLOOKUP(A517,'Master List'!A:C,2,FALSE)), "Not Found", VLOOKUP(A517,'Master List'!A:C,2,FALSE)))</f>
        <v>Julia Miyaoka</v>
      </c>
      <c r="D517" s="19" t="str">
        <f>IF(ISBLANK(A517), "Email",IF(ISNA(VLOOKUP(A517,'Master List'!A:C,3,FALSE)), "Not Found", VLOOKUP(A517,'Master List'!A:C,3,FALSE)))</f>
        <v>jmiyaoka@sfsu.edu</v>
      </c>
      <c r="E517" s="11" t="s">
        <v>28</v>
      </c>
      <c r="F517" s="4" t="str">
        <f>IF(OR(A517="",E517="","",A517="?",E517="?"),"duplicate?",IF(COUNTIFS($A:A,A517,E:E,E517)&gt;1,"yes","no"))</f>
        <v>no</v>
      </c>
      <c r="K517" s="97" t="str">
        <f ca="1">IF(J517="","Date",IF(J517&lt;&gt;"",IF(K517="Date",NOW(),K517),""))</f>
        <v>Date</v>
      </c>
    </row>
    <row r="518" spans="1:12">
      <c r="A518" s="11">
        <v>918855696</v>
      </c>
      <c r="B518" s="97">
        <f ca="1">IF(A518="","Date",IF(A518&lt;&gt;"",IF(B518="Date",NOW(),B518),""))</f>
        <v>45463.402480439814</v>
      </c>
      <c r="C518" s="19" t="str">
        <f>IF(ISBLANK(A518),"Name",IF(ISNA(VLOOKUP(A518,'Master List'!A:C,2,FALSE)), "Not Found", VLOOKUP(A518,'Master List'!A:C,2,FALSE)))</f>
        <v>Breanna Hamm</v>
      </c>
      <c r="D518" s="19" t="str">
        <f>IF(ISBLANK(A518), "Email",IF(ISNA(VLOOKUP(A518,'Master List'!A:C,3,FALSE)), "Not Found", VLOOKUP(A518,'Master List'!A:C,3,FALSE)))</f>
        <v>bhamm@sfsu.edu</v>
      </c>
      <c r="E518" s="11" t="s">
        <v>174</v>
      </c>
      <c r="F518" s="4" t="str">
        <f>IF(OR(A518="",E518="","",A518="?",E518="?"),"duplicate?",IF(COUNTIFS($A:A,A518,E:E,E518)&gt;1,"yes","no"))</f>
        <v>no</v>
      </c>
      <c r="H518" s="12">
        <v>45463</v>
      </c>
      <c r="I518" s="11" t="s">
        <v>72</v>
      </c>
      <c r="K518" s="97" t="str">
        <f ca="1">IF(J518="","Date",IF(J518&lt;&gt;"",IF(K518="Date",NOW(),K518),""))</f>
        <v>Date</v>
      </c>
    </row>
    <row r="519" spans="1:12">
      <c r="A519" s="11">
        <v>918825757</v>
      </c>
      <c r="B519" s="97">
        <f ca="1">IF(A519="","Date",IF(A519&lt;&gt;"",IF(B519="Date",NOW(),B519),""))</f>
        <v>45463.64355497685</v>
      </c>
      <c r="C519" s="19" t="str">
        <f>IF(ISBLANK(A519),"Name",IF(ISNA(VLOOKUP(A519,'Master List'!A:C,2,FALSE)), "Not Found", VLOOKUP(A519,'Master List'!A:C,2,FALSE)))</f>
        <v>Leia Bagesteiro</v>
      </c>
      <c r="D519" s="19" t="str">
        <f>IF(ISBLANK(A519), "Email",IF(ISNA(VLOOKUP(A519,'Master List'!A:C,3,FALSE)), "Not Found", VLOOKUP(A519,'Master List'!A:C,3,FALSE)))</f>
        <v>lbb@sfsu.edu</v>
      </c>
      <c r="E519" s="11" t="s">
        <v>27</v>
      </c>
      <c r="F519" s="4" t="str">
        <f>IF(OR(A519="",E519="","",A519="?",E519="?"),"duplicate?",IF(COUNTIFS($A:A,A519,E:E,E519)&gt;1,"yes","no"))</f>
        <v>no</v>
      </c>
      <c r="I519" s="11" t="s">
        <v>131</v>
      </c>
      <c r="K519" s="97" t="str">
        <f ca="1">IF(J519="","Date",IF(J519&lt;&gt;"",IF(K519="Date",NOW(),K519),""))</f>
        <v>Date</v>
      </c>
    </row>
    <row r="520" spans="1:12">
      <c r="A520" s="11">
        <v>913756173</v>
      </c>
      <c r="B520" s="97">
        <f ca="1">IF(A520="","Date",IF(A520&lt;&gt;"",IF(B520="Date",NOW(),B520),""))</f>
        <v>45489.767149305553</v>
      </c>
      <c r="C520" s="19" t="str">
        <f>IF(ISBLANK(A520),"Name",IF(ISNA(VLOOKUP(A520,'Master List'!A:C,2,FALSE)), "Not Found", VLOOKUP(A520,'Master List'!A:C,2,FALSE)))</f>
        <v>David Casso</v>
      </c>
      <c r="D520" s="19" t="str">
        <f>IF(ISBLANK(A520), "Email",IF(ISNA(VLOOKUP(A520,'Master List'!A:C,3,FALSE)), "Not Found", VLOOKUP(A520,'Master List'!A:C,3,FALSE)))</f>
        <v>dcasso@sfsu.edu</v>
      </c>
      <c r="E520" s="11" t="s">
        <v>25</v>
      </c>
      <c r="F520" s="4" t="str">
        <f>IF(OR(A520="",E520="","",A520="?",E520="?"),"duplicate?",IF(COUNTIFS($A:A,A520,E:E,E520)&gt;1,"yes","no"))</f>
        <v>no</v>
      </c>
      <c r="H520" s="12">
        <v>45514</v>
      </c>
      <c r="I520" s="11" t="s">
        <v>155</v>
      </c>
      <c r="K520" s="97" t="str">
        <f ca="1">IF(J520="","Date",IF(J520&lt;&gt;"",IF(K520="Date",NOW(),K520),""))</f>
        <v>Date</v>
      </c>
    </row>
    <row r="521" spans="1:12">
      <c r="A521" s="11">
        <v>913410568</v>
      </c>
      <c r="B521" s="97">
        <f ca="1">IF(A521="","Date",IF(A521&lt;&gt;"",IF(B521="Date",NOW(),B521),""))</f>
        <v>45496.54350659722</v>
      </c>
      <c r="C521" s="19" t="str">
        <f>IF(ISBLANK(A521),"Name",IF(ISNA(VLOOKUP(A521,'Master List'!A:C,2,FALSE)), "Not Found", VLOOKUP(A521,'Master List'!A:C,2,FALSE)))</f>
        <v>Jaime Lopez</v>
      </c>
      <c r="D521" s="19" t="str">
        <f>IF(ISBLANK(A521), "Email",IF(ISNA(VLOOKUP(A521,'Master List'!A:C,3,FALSE)), "Not Found", VLOOKUP(A521,'Master List'!A:C,3,FALSE)))</f>
        <v>Jaimelopez@sfsu.edu</v>
      </c>
      <c r="F521" s="4" t="str">
        <f>IF(OR(A521="",E521="","",A521="?",E521="?"),"duplicate?",IF(COUNTIFS($A:A,A521,E:E,E521)&gt;1,"yes","no"))</f>
        <v>duplicate?</v>
      </c>
      <c r="G521" s="93" t="s">
        <v>194</v>
      </c>
      <c r="H521" s="12">
        <v>45499</v>
      </c>
      <c r="I521" s="11" t="s">
        <v>176</v>
      </c>
      <c r="K521" s="97" t="str">
        <f ca="1">IF(J521="","Date",IF(J521&lt;&gt;"",IF(K521="Date",NOW(),K521),""))</f>
        <v>Date</v>
      </c>
    </row>
    <row r="522" spans="1:12">
      <c r="A522" s="11">
        <v>900000249</v>
      </c>
      <c r="B522" s="97">
        <f ca="1">IF(A522="","Date",IF(A522&lt;&gt;"",IF(B522="Date",NOW(),B522),""))</f>
        <v>45503.635387268521</v>
      </c>
      <c r="C522" s="19" t="str">
        <f>IF(ISBLANK(A522),"Name",IF(ISNA(VLOOKUP(A522,'Master List'!A:C,2,FALSE)), "Not Found", VLOOKUP(A522,'Master List'!A:C,2,FALSE)))</f>
        <v>Tom Holton</v>
      </c>
      <c r="D522" s="19" t="str">
        <f>IF(ISBLANK(A522), "Email",IF(ISNA(VLOOKUP(A522,'Master List'!A:C,3,FALSE)), "Not Found", VLOOKUP(A522,'Master List'!A:C,3,FALSE)))</f>
        <v>tholton@sfsu.edu</v>
      </c>
      <c r="E522" s="11" t="s">
        <v>51</v>
      </c>
      <c r="F522" s="4" t="str">
        <f>IF(OR(A522="",E522="","",A522="?",E522="?"),"duplicate?",IF(COUNTIFS($A:A,A522,E:E,E522)&gt;1,"yes","no"))</f>
        <v>no</v>
      </c>
      <c r="H522" s="12" t="s">
        <v>195</v>
      </c>
      <c r="I522" s="11" t="s">
        <v>176</v>
      </c>
      <c r="J522" s="109" t="s">
        <v>196</v>
      </c>
      <c r="K522" s="97">
        <f ca="1">IF(J522="","Date",IF(J522&lt;&gt;"",IF(K522="Date",NOW(),K522),""))</f>
        <v>45798.573915277775</v>
      </c>
    </row>
    <row r="523" spans="1:12">
      <c r="A523" s="11">
        <v>918333057</v>
      </c>
      <c r="B523" s="97">
        <f ca="1">IF(A523="","Date",IF(A523&lt;&gt;"",IF(B523="Date",NOW(),B523),""))</f>
        <v>45506.457515046299</v>
      </c>
      <c r="C523" s="19" t="str">
        <f>IF(ISBLANK(A523),"Name",IF(ISNA(VLOOKUP(A523,'Master List'!A:C,2,FALSE)), "Not Found", VLOOKUP(A523,'Master List'!A:C,2,FALSE)))</f>
        <v>Meghan Catam</v>
      </c>
      <c r="D523" s="19" t="str">
        <f>IF(ISBLANK(A523), "Email",IF(ISNA(VLOOKUP(A523,'Master List'!A:C,3,FALSE)), "Not Found", VLOOKUP(A523,'Master List'!A:C,3,FALSE)))</f>
        <v>mcatam@mail.sfsu.edu</v>
      </c>
      <c r="E523" s="11" t="s">
        <v>95</v>
      </c>
      <c r="F523" s="4" t="str">
        <f>IF(OR(A523="",E523="","",A523="?",E523="?"),"duplicate?",IF(COUNTIFS($A:A,A523,E:E,E523)&gt;1,"yes","no"))</f>
        <v>no</v>
      </c>
      <c r="H523" s="12" t="s">
        <v>141</v>
      </c>
      <c r="I523" s="11" t="s">
        <v>178</v>
      </c>
      <c r="K523" s="97" t="str">
        <f ca="1">IF(J523="","Date",IF(J523&lt;&gt;"",IF(K523="Date",NOW(),K523),""))</f>
        <v>Date</v>
      </c>
    </row>
    <row r="524" spans="1:12">
      <c r="A524" s="11">
        <v>918830580</v>
      </c>
      <c r="B524" s="97">
        <f ca="1">IF(A524="","Date",IF(A524&lt;&gt;"",IF(B524="Date",NOW(),B524),""))</f>
        <v>45511.438569444443</v>
      </c>
      <c r="C524" s="19" t="str">
        <f>IF(ISBLANK(A524),"Name",IF(ISNA(VLOOKUP(A524,'Master List'!A:C,2,FALSE)), "Not Found", VLOOKUP(A524,'Master List'!A:C,2,FALSE)))</f>
        <v>Aaron Sullivan</v>
      </c>
      <c r="D524" s="19" t="str">
        <f>IF(ISBLANK(A524), "Email",IF(ISNA(VLOOKUP(A524,'Master List'!A:C,3,FALSE)), "Not Found", VLOOKUP(A524,'Master List'!A:C,3,FALSE)))</f>
        <v>absullivan@sfsu.edu</v>
      </c>
      <c r="E524" s="11" t="s">
        <v>27</v>
      </c>
      <c r="F524" s="4" t="str">
        <f>IF(OR(A524="",E524="","",A524="?",E524="?"),"duplicate?",IF(COUNTIFS($A:A,A524,E:E,E524)&gt;1,"yes","no"))</f>
        <v>no</v>
      </c>
      <c r="H524" s="12" t="s">
        <v>127</v>
      </c>
      <c r="I524" s="11" t="s">
        <v>176</v>
      </c>
      <c r="K524" s="97" t="str">
        <f ca="1">IF(J524="","Date",IF(J524&lt;&gt;"",IF(K524="Date",NOW(),K524),""))</f>
        <v>Date</v>
      </c>
      <c r="L524" s="86" t="s">
        <v>197</v>
      </c>
    </row>
    <row r="525" spans="1:12">
      <c r="A525" s="11">
        <v>918830580</v>
      </c>
      <c r="B525" s="97">
        <f ca="1">IF(A525="","Date",IF(A525&lt;&gt;"",IF(B525="Date",NOW(),B525),""))</f>
        <v>45511.440406597219</v>
      </c>
      <c r="C525" s="19" t="str">
        <f>IF(ISBLANK(A525),"Name",IF(ISNA(VLOOKUP(A525,'Master List'!A:C,2,FALSE)), "Not Found", VLOOKUP(A525,'Master List'!A:C,2,FALSE)))</f>
        <v>Aaron Sullivan</v>
      </c>
      <c r="D525" s="19" t="str">
        <f>IF(ISBLANK(A525), "Email",IF(ISNA(VLOOKUP(A525,'Master List'!A:C,3,FALSE)), "Not Found", VLOOKUP(A525,'Master List'!A:C,3,FALSE)))</f>
        <v>absullivan@sfsu.edu</v>
      </c>
      <c r="E525" s="11" t="s">
        <v>143</v>
      </c>
      <c r="F525" s="4" t="str">
        <f>IF(OR(A525="",E525="","",A525="?",E525="?"),"duplicate?",IF(COUNTIFS($A:A,A525,E:E,E525)&gt;1,"yes","no"))</f>
        <v>no</v>
      </c>
      <c r="H525" s="12" t="s">
        <v>127</v>
      </c>
      <c r="I525" s="11" t="s">
        <v>176</v>
      </c>
      <c r="K525" s="97" t="str">
        <f ca="1">IF(J525="","Date",IF(J525&lt;&gt;"",IF(K525="Date",NOW(),K525),""))</f>
        <v>Date</v>
      </c>
      <c r="L525" s="86" t="s">
        <v>197</v>
      </c>
    </row>
    <row r="526" spans="1:12">
      <c r="A526" s="11">
        <v>907986045</v>
      </c>
      <c r="B526" s="97">
        <f ca="1">IF(A526="","Date",IF(A526&lt;&gt;"",IF(B526="Date",NOW(),B526),""))</f>
        <v>45511.4571005787</v>
      </c>
      <c r="C526" s="19" t="str">
        <f>IF(ISBLANK(A526),"Name",IF(ISNA(VLOOKUP(A526,'Master List'!A:C,2,FALSE)), "Not Found", VLOOKUP(A526,'Master List'!A:C,2,FALSE)))</f>
        <v>Nina Shaver</v>
      </c>
      <c r="D526" s="19" t="str">
        <f>IF(ISBLANK(A526), "Email",IF(ISNA(VLOOKUP(A526,'Master List'!A:C,3,FALSE)), "Not Found", VLOOKUP(A526,'Master List'!A:C,3,FALSE)))</f>
        <v>ninashaver@sfsu.edu</v>
      </c>
      <c r="E526" s="11" t="s">
        <v>30</v>
      </c>
      <c r="F526" s="4" t="str">
        <f>IF(OR(A526="",E526="","",A526="?",E526="?"),"duplicate?",IF(COUNTIFS($A:A,A526,E:E,E526)&gt;1,"yes","no"))</f>
        <v>no</v>
      </c>
      <c r="H526" s="12" t="s">
        <v>193</v>
      </c>
      <c r="I526" s="11" t="s">
        <v>176</v>
      </c>
      <c r="K526" s="97" t="str">
        <f ca="1">IF(J526="","Date",IF(J526&lt;&gt;"",IF(K526="Date",NOW(),K526),""))</f>
        <v>Date</v>
      </c>
    </row>
    <row r="527" spans="1:12">
      <c r="A527" s="11">
        <v>917216539</v>
      </c>
      <c r="B527" s="97">
        <f ca="1">IF(A527="","Date",IF(A527&lt;&gt;"",IF(B527="Date",NOW(),B527),""))</f>
        <v>45518.412270486115</v>
      </c>
      <c r="C527" s="19" t="str">
        <f>IF(ISBLANK(A527),"Name",IF(ISNA(VLOOKUP(A527,'Master List'!A:C,2,FALSE)), "Not Found", VLOOKUP(A527,'Master List'!A:C,2,FALSE)))</f>
        <v>Amichai Lyons</v>
      </c>
      <c r="D527" s="19" t="str">
        <f>IF(ISBLANK(A527), "Email",IF(ISNA(VLOOKUP(A527,'Master List'!A:C,3,FALSE)), "Not Found", VLOOKUP(A527,'Master List'!A:C,3,FALSE)))</f>
        <v>alyons@sfsu.edu</v>
      </c>
      <c r="E527" s="11" t="s">
        <v>143</v>
      </c>
      <c r="F527" s="4" t="str">
        <f>IF(OR(A527="",E527="","",A527="?",E527="?"),"duplicate?",IF(COUNTIFS($A:A,A527,E:E,E527)&gt;1,"yes","no"))</f>
        <v>no</v>
      </c>
      <c r="H527" s="12">
        <v>45660</v>
      </c>
      <c r="I527" s="11" t="s">
        <v>66</v>
      </c>
      <c r="K527" s="97" t="str">
        <f ca="1">IF(J527="","Date",IF(J527&lt;&gt;"",IF(K527="Date",NOW(),K527),""))</f>
        <v>Date</v>
      </c>
    </row>
    <row r="528" spans="1:12">
      <c r="A528" s="11">
        <v>918856775</v>
      </c>
      <c r="B528" s="97">
        <f ca="1">IF(A528="","Date",IF(A528&lt;&gt;"",IF(B528="Date",NOW(),B528),""))</f>
        <v>45523.386360416669</v>
      </c>
      <c r="C528" s="19" t="str">
        <f>IF(ISBLANK(A528),"Name",IF(ISNA(VLOOKUP(A528,'Master List'!A:C,2,FALSE)), "Not Found", VLOOKUP(A528,'Master List'!A:C,2,FALSE)))</f>
        <v>Xuhui Chen</v>
      </c>
      <c r="D528" s="19" t="str">
        <f>IF(ISBLANK(A528), "Email",IF(ISNA(VLOOKUP(A528,'Master List'!A:C,3,FALSE)), "Not Found", VLOOKUP(A528,'Master List'!A:C,3,FALSE)))</f>
        <v>tracychen@sfsu.edu</v>
      </c>
      <c r="E528" s="11" t="s">
        <v>28</v>
      </c>
      <c r="F528" s="4" t="str">
        <f>IF(OR(A528="",E528="","",A528="?",E528="?"),"duplicate?",IF(COUNTIFS($A:A,A528,E:E,E528)&gt;1,"yes","no"))</f>
        <v>no</v>
      </c>
      <c r="G528" s="93" t="s">
        <v>198</v>
      </c>
      <c r="H528" s="12" t="s">
        <v>124</v>
      </c>
      <c r="I528" s="11" t="s">
        <v>72</v>
      </c>
      <c r="K528" s="97" t="str">
        <f ca="1">IF(J528="","Date",IF(J528&lt;&gt;"",IF(K528="Date",NOW(),K528),""))</f>
        <v>Date</v>
      </c>
    </row>
    <row r="529" spans="1:11">
      <c r="A529" s="11">
        <v>918856281</v>
      </c>
      <c r="B529" s="97">
        <f ca="1">IF(A529="","Date",IF(A529&lt;&gt;"",IF(B529="Date",NOW(),B529),""))</f>
        <v>45523.547971412037</v>
      </c>
      <c r="C529" s="19" t="str">
        <f>IF(ISBLANK(A529),"Name",IF(ISNA(VLOOKUP(A529,'Master List'!A:C,2,FALSE)), "Not Found", VLOOKUP(A529,'Master List'!A:C,2,FALSE)))</f>
        <v>Shiyu Yang</v>
      </c>
      <c r="D529" s="19" t="str">
        <f>IF(ISBLANK(A529), "Email",IF(ISNA(VLOOKUP(A529,'Master List'!A:C,3,FALSE)), "Not Found", VLOOKUP(A529,'Master List'!A:C,3,FALSE)))</f>
        <v>Shiyu.yang@sfsu.edu</v>
      </c>
      <c r="E529" s="11" t="s">
        <v>28</v>
      </c>
      <c r="F529" s="4" t="str">
        <f>IF(OR(A529="",E529="","",A529="?",E529="?"),"duplicate?",IF(COUNTIFS($A:A,A529,E:E,E529)&gt;1,"yes","no"))</f>
        <v>no</v>
      </c>
      <c r="G529" s="93" t="s">
        <v>199</v>
      </c>
      <c r="H529" s="12" t="s">
        <v>125</v>
      </c>
      <c r="I529" s="11" t="s">
        <v>72</v>
      </c>
      <c r="K529" s="97" t="str">
        <f ca="1">IF(J529="","Date",IF(J529&lt;&gt;"",IF(K529="Date",NOW(),K529),""))</f>
        <v>Date</v>
      </c>
    </row>
    <row r="530" spans="1:11">
      <c r="A530" s="11">
        <v>918668626</v>
      </c>
      <c r="B530" s="97">
        <f ca="1">IF(A530="","Date",IF(A530&lt;&gt;"",IF(B530="Date",NOW(),B530),""))</f>
        <v>45530.618832291664</v>
      </c>
      <c r="C530" s="19" t="str">
        <f>IF(ISBLANK(A530),"Name",IF(ISNA(VLOOKUP(A530,'Master List'!A:C,2,FALSE)), "Not Found", VLOOKUP(A530,'Master List'!A:C,2,FALSE)))</f>
        <v>Hasmig Tatiossian</v>
      </c>
      <c r="D530" s="19" t="str">
        <f>IF(ISBLANK(A530), "Email",IF(ISNA(VLOOKUP(A530,'Master List'!A:C,3,FALSE)), "Not Found", VLOOKUP(A530,'Master List'!A:C,3,FALSE)))</f>
        <v>htat@sfsu.edu</v>
      </c>
      <c r="E530" s="11" t="s">
        <v>36</v>
      </c>
      <c r="F530" s="4" t="str">
        <f>IF(OR(A530="",E530="","",A530="?",E530="?"),"duplicate?",IF(COUNTIFS($A:A,A530,E:E,E530)&gt;1,"yes","no"))</f>
        <v>no</v>
      </c>
      <c r="H530" s="12" t="s">
        <v>200</v>
      </c>
      <c r="I530" s="11" t="s">
        <v>72</v>
      </c>
      <c r="K530" s="97" t="str">
        <f ca="1">IF(J530="","Date",IF(J530&lt;&gt;"",IF(K530="Date",NOW(),K530),""))</f>
        <v>Date</v>
      </c>
    </row>
    <row r="531" spans="1:11">
      <c r="A531" s="11">
        <v>920838890</v>
      </c>
      <c r="B531" s="97">
        <f ca="1">IF(A531="","Date",IF(A531&lt;&gt;"",IF(B531="Date",NOW(),B531),""))</f>
        <v>45531.357548726854</v>
      </c>
      <c r="C531" s="19" t="str">
        <f>IF(ISBLANK(A531),"Name",IF(ISNA(VLOOKUP(A531,'Master List'!A:C,2,FALSE)), "Not Found", VLOOKUP(A531,'Master List'!A:C,2,FALSE)))</f>
        <v>Sean Sliger</v>
      </c>
      <c r="D531" s="19" t="str">
        <f>IF(ISBLANK(A531), "Email",IF(ISNA(VLOOKUP(A531,'Master List'!A:C,3,FALSE)), "Not Found", VLOOKUP(A531,'Master List'!A:C,3,FALSE)))</f>
        <v>ssliger@mail.sfsu.edu</v>
      </c>
      <c r="E531" s="11" t="s">
        <v>25</v>
      </c>
      <c r="F531" s="4" t="str">
        <f>IF(OR(A531="",E531="","",A531="?",E531="?"),"duplicate?",IF(COUNTIFS($A:A,A531,E:E,E531)&gt;1,"yes","no"))</f>
        <v>yes</v>
      </c>
      <c r="H531" s="12" t="s">
        <v>127</v>
      </c>
      <c r="I531" s="11" t="s">
        <v>77</v>
      </c>
      <c r="K531" s="97" t="str">
        <f ca="1">IF(J531="","Date",IF(J531&lt;&gt;"",IF(K531="Date",NOW(),K531),""))</f>
        <v>Date</v>
      </c>
    </row>
    <row r="532" spans="1:11">
      <c r="A532" s="11">
        <v>918858049</v>
      </c>
      <c r="B532" s="97">
        <f ca="1">IF(A532="","Date",IF(A532&lt;&gt;"",IF(B532="Date",NOW(),B532),""))</f>
        <v>45531.41440509259</v>
      </c>
      <c r="C532" s="19" t="str">
        <f>IF(ISBLANK(A532),"Name",IF(ISNA(VLOOKUP(A532,'Master List'!A:C,2,FALSE)), "Not Found", VLOOKUP(A532,'Master List'!A:C,2,FALSE)))</f>
        <v>Zainab Agha</v>
      </c>
      <c r="D532" s="19" t="str">
        <f>IF(ISBLANK(A532), "Email",IF(ISNA(VLOOKUP(A532,'Master List'!A:C,3,FALSE)), "Not Found", VLOOKUP(A532,'Master List'!A:C,3,FALSE)))</f>
        <v>zainabagha@sfsu.edu</v>
      </c>
      <c r="E532" s="11" t="s">
        <v>28</v>
      </c>
      <c r="F532" s="4" t="str">
        <f>IF(OR(A532="",E532="","",A532="?",E532="?"),"duplicate?",IF(COUNTIFS($A:A,A532,E:E,E532)&gt;1,"yes","no"))</f>
        <v>no</v>
      </c>
      <c r="H532" s="12" t="s">
        <v>127</v>
      </c>
      <c r="I532" s="11" t="s">
        <v>39</v>
      </c>
      <c r="K532" s="97" t="str">
        <f ca="1">IF(J532="","Date",IF(J532&lt;&gt;"",IF(K532="Date",NOW(),K532),""))</f>
        <v>Date</v>
      </c>
    </row>
    <row r="533" spans="1:11">
      <c r="A533" s="11">
        <v>901333659</v>
      </c>
      <c r="B533" s="97">
        <f ca="1">IF(A533="","Date",IF(A533&lt;&gt;"",IF(B533="Date",NOW(),B533),""))</f>
        <v>45531.457774537033</v>
      </c>
      <c r="C533" s="19" t="str">
        <f>IF(ISBLANK(A533),"Name",IF(ISNA(VLOOKUP(A533,'Master List'!A:C,2,FALSE)), "Not Found", VLOOKUP(A533,'Master List'!A:C,2,FALSE)))</f>
        <v>Jennifer Trainor</v>
      </c>
      <c r="D533" s="19" t="str">
        <f>IF(ISBLANK(A533), "Email",IF(ISNA(VLOOKUP(A533,'Master List'!A:C,3,FALSE)), "Not Found", VLOOKUP(A533,'Master List'!A:C,3,FALSE)))</f>
        <v>jtrainor@sfsu.edu</v>
      </c>
      <c r="E533" s="11" t="s">
        <v>46</v>
      </c>
      <c r="F533" s="4" t="str">
        <f>IF(OR(A533="",E533="","",A533="?",E533="?"),"duplicate?",IF(COUNTIFS($A:A,A533,E:E,E533)&gt;1,"yes","no"))</f>
        <v>no</v>
      </c>
      <c r="H533" s="12" t="s">
        <v>21</v>
      </c>
      <c r="I533" s="11" t="s">
        <v>66</v>
      </c>
      <c r="K533" s="97" t="str">
        <f ca="1">IF(J533="","Date",IF(J533&lt;&gt;"",IF(K533="Date",NOW(),K533),""))</f>
        <v>Date</v>
      </c>
    </row>
    <row r="534" spans="1:11">
      <c r="A534" s="11">
        <v>900001432</v>
      </c>
      <c r="B534" s="97">
        <f ca="1">IF(A534="","Date",IF(A534&lt;&gt;"",IF(B534="Date",NOW(),B534),""))</f>
        <v>45531.490151504629</v>
      </c>
      <c r="C534" s="19" t="str">
        <f>IF(ISBLANK(A534),"Name",IF(ISNA(VLOOKUP(A534,'Master List'!A:C,2,FALSE)), "Not Found", VLOOKUP(A534,'Master List'!A:C,2,FALSE)))</f>
        <v>Mohammad Azadpur</v>
      </c>
      <c r="D534" s="19" t="str">
        <f>IF(ISBLANK(A534), "Email",IF(ISNA(VLOOKUP(A534,'Master List'!A:C,3,FALSE)), "Not Found", VLOOKUP(A534,'Master List'!A:C,3,FALSE)))</f>
        <v>azad@sfsu.edu</v>
      </c>
      <c r="E534" s="11" t="s">
        <v>24</v>
      </c>
      <c r="F534" s="4" t="str">
        <f>IF(OR(A534="",E534="","",A534="?",E534="?"),"duplicate?",IF(COUNTIFS($A:A,A534,E:E,E534)&gt;1,"yes","no"))</f>
        <v>no</v>
      </c>
      <c r="H534" s="12" t="s">
        <v>137</v>
      </c>
      <c r="I534" s="11" t="s">
        <v>99</v>
      </c>
      <c r="K534" s="97" t="str">
        <f ca="1">IF(J534="","Date",IF(J534&lt;&gt;"",IF(K534="Date",NOW(),K534),""))</f>
        <v>Date</v>
      </c>
    </row>
    <row r="535" spans="1:11">
      <c r="A535" s="11">
        <v>916478074</v>
      </c>
      <c r="B535" s="97">
        <f ca="1">IF(A535="","Date",IF(A535&lt;&gt;"",IF(B535="Date",NOW(),B535),""))</f>
        <v>45531.494256365739</v>
      </c>
      <c r="C535" s="19" t="str">
        <f>IF(ISBLANK(A535),"Name",IF(ISNA(VLOOKUP(A535,'Master List'!A:C,2,FALSE)), "Not Found", VLOOKUP(A535,'Master List'!A:C,2,FALSE)))</f>
        <v>Bing Luo</v>
      </c>
      <c r="D535" s="19" t="str">
        <f>IF(ISBLANK(A535), "Email",IF(ISNA(VLOOKUP(A535,'Master List'!A:C,3,FALSE)), "Not Found", VLOOKUP(A535,'Master List'!A:C,3,FALSE)))</f>
        <v>bingluo@sfsu.edu</v>
      </c>
      <c r="E535" s="11" t="s">
        <v>76</v>
      </c>
      <c r="F535" s="4" t="str">
        <f>IF(OR(A535="",E535="","",A535="?",E535="?"),"duplicate?",IF(COUNTIFS($A:A,A535,E:E,E535)&gt;1,"yes","no"))</f>
        <v>no</v>
      </c>
      <c r="H535" s="12" t="s">
        <v>137</v>
      </c>
      <c r="I535" s="11" t="s">
        <v>66</v>
      </c>
      <c r="K535" s="97" t="str">
        <f ca="1">IF(J535="","Date",IF(J535&lt;&gt;"",IF(K535="Date",NOW(),K535),""))</f>
        <v>Date</v>
      </c>
    </row>
    <row r="536" spans="1:11">
      <c r="A536" s="11">
        <v>916478074</v>
      </c>
      <c r="B536" s="97">
        <f ca="1">IF(A536="","Date",IF(A536&lt;&gt;"",IF(B536="Date",NOW(),B536),""))</f>
        <v>45531.495795254632</v>
      </c>
      <c r="C536" s="19" t="str">
        <f>IF(ISBLANK(A536),"Name",IF(ISNA(VLOOKUP(A536,'Master List'!A:C,2,FALSE)), "Not Found", VLOOKUP(A536,'Master List'!A:C,2,FALSE)))</f>
        <v>Bing Luo</v>
      </c>
      <c r="D536" s="19" t="str">
        <f>IF(ISBLANK(A536), "Email",IF(ISNA(VLOOKUP(A536,'Master List'!A:C,3,FALSE)), "Not Found", VLOOKUP(A536,'Master List'!A:C,3,FALSE)))</f>
        <v>bingluo@sfsu.edu</v>
      </c>
      <c r="E536" s="11" t="s">
        <v>48</v>
      </c>
      <c r="F536" s="4" t="str">
        <f>IF(OR(A536="",E536="","",A536="?",E536="?"),"duplicate?",IF(COUNTIFS($A:A,A536,E:E,E536)&gt;1,"yes","no"))</f>
        <v>no</v>
      </c>
      <c r="H536" s="12" t="s">
        <v>137</v>
      </c>
      <c r="I536" s="11" t="s">
        <v>66</v>
      </c>
      <c r="K536" s="97" t="str">
        <f ca="1">IF(J536="","Date",IF(J536&lt;&gt;"",IF(K536="Date",NOW(),K536),""))</f>
        <v>Date</v>
      </c>
    </row>
    <row r="537" spans="1:11">
      <c r="A537" s="11">
        <v>904119858</v>
      </c>
      <c r="B537" s="97">
        <f ca="1">IF(A537="","Date",IF(A537&lt;&gt;"",IF(B537="Date",NOW(),B537),""))</f>
        <v>45531.701369560185</v>
      </c>
      <c r="C537" s="19" t="str">
        <f>IF(ISBLANK(A537),"Name",IF(ISNA(VLOOKUP(A537,'Master List'!A:C,2,FALSE)), "Not Found", VLOOKUP(A537,'Master List'!A:C,2,FALSE)))</f>
        <v>Arturo Arrieta</v>
      </c>
      <c r="D537" s="19" t="str">
        <f>IF(ISBLANK(A537), "Email",IF(ISNA(VLOOKUP(A537,'Master List'!A:C,3,FALSE)), "Not Found", VLOOKUP(A537,'Master List'!A:C,3,FALSE)))</f>
        <v>aarrieta@sfsu.edu</v>
      </c>
      <c r="E537" s="11" t="s">
        <v>76</v>
      </c>
      <c r="F537" s="4" t="str">
        <f>IF(OR(A537="",E537="","",A537="?",E537="?"),"duplicate?",IF(COUNTIFS($A:A,A537,E:E,E537)&gt;1,"yes","no"))</f>
        <v>no</v>
      </c>
      <c r="H537" s="12">
        <v>45545</v>
      </c>
      <c r="K537" s="97" t="str">
        <f ca="1">IF(J537="","Date",IF(J537&lt;&gt;"",IF(K537="Date",NOW(),K537),""))</f>
        <v>Date</v>
      </c>
    </row>
    <row r="538" spans="1:11">
      <c r="A538" s="11">
        <v>916473160</v>
      </c>
      <c r="B538" s="97">
        <f ca="1">IF(A538="","Date",IF(A538&lt;&gt;"",IF(B538="Date",NOW(),B538),""))</f>
        <v>45532.42481365741</v>
      </c>
      <c r="C538" s="19" t="str">
        <f>IF(ISBLANK(A538),"Name",IF(ISNA(VLOOKUP(A538,'Master List'!A:C,2,FALSE)), "Not Found", VLOOKUP(A538,'Master List'!A:C,2,FALSE)))</f>
        <v>Teresa Gray</v>
      </c>
      <c r="D538" s="19" t="str">
        <f>IF(ISBLANK(A538), "Email",IF(ISNA(VLOOKUP(A538,'Master List'!A:C,3,FALSE)), "Not Found", VLOOKUP(A538,'Master List'!A:C,3,FALSE)))</f>
        <v>teresag@sfsu.edu</v>
      </c>
      <c r="E538" s="11" t="s">
        <v>92</v>
      </c>
      <c r="F538" s="4" t="str">
        <f>IF(OR(A538="",E538="","",A538="?",E538="?"),"duplicate?",IF(COUNTIFS($A:A,A538,E:E,E538)&gt;1,"yes","no"))</f>
        <v>no</v>
      </c>
      <c r="H538" s="12" t="s">
        <v>141</v>
      </c>
      <c r="I538" s="11" t="s">
        <v>99</v>
      </c>
      <c r="K538" s="97" t="str">
        <f ca="1">IF(J538="","Date",IF(J538&lt;&gt;"",IF(K538="Date",NOW(),K538),""))</f>
        <v>Date</v>
      </c>
    </row>
    <row r="539" spans="1:11">
      <c r="A539" s="11">
        <v>918857945</v>
      </c>
      <c r="B539" s="97">
        <f ca="1">IF(A539="","Date",IF(A539&lt;&gt;"",IF(B539="Date",NOW(),B539),""))</f>
        <v>45532.487251851853</v>
      </c>
      <c r="C539" s="19" t="str">
        <f>IF(ISBLANK(A539),"Name",IF(ISNA(VLOOKUP(A539,'Master List'!A:C,2,FALSE)), "Not Found", VLOOKUP(A539,'Master List'!A:C,2,FALSE)))</f>
        <v>Kenya Meija</v>
      </c>
      <c r="D539" s="19" t="str">
        <f>IF(ISBLANK(A539), "Email",IF(ISNA(VLOOKUP(A539,'Master List'!A:C,3,FALSE)), "Not Found", VLOOKUP(A539,'Master List'!A:C,3,FALSE)))</f>
        <v>kzmejia@sfsu.edu</v>
      </c>
      <c r="E539" s="11" t="s">
        <v>28</v>
      </c>
      <c r="F539" s="4" t="str">
        <f>IF(OR(A539="",E539="","",A539="?",E539="?"),"duplicate?",IF(COUNTIFS($A:A,A539,E:E,E539)&gt;1,"yes","no"))</f>
        <v>no</v>
      </c>
      <c r="H539" s="12" t="s">
        <v>127</v>
      </c>
      <c r="I539" s="11" t="s">
        <v>99</v>
      </c>
      <c r="K539" s="97" t="str">
        <f ca="1">IF(J539="","Date",IF(J539&lt;&gt;"",IF(K539="Date",NOW(),K539),""))</f>
        <v>Date</v>
      </c>
    </row>
    <row r="540" spans="1:11">
      <c r="A540" s="11">
        <v>900026717</v>
      </c>
      <c r="B540" s="97">
        <f ca="1">IF(A540="","Date",IF(A540&lt;&gt;"",IF(B540="Date",NOW(),B540),""))</f>
        <v>45532.51875358796</v>
      </c>
      <c r="C540" s="19" t="str">
        <f>IF(ISBLANK(A540),"Name",IF(ISNA(VLOOKUP(A540,'Master List'!A:C,2,FALSE)), "Not Found", VLOOKUP(A540,'Master List'!A:C,2,FALSE)))</f>
        <v>Ali Kashani</v>
      </c>
      <c r="D540" s="19" t="str">
        <f>IF(ISBLANK(A540), "Email",IF(ISNA(VLOOKUP(A540,'Master List'!A:C,3,FALSE)), "Not Found", VLOOKUP(A540,'Master List'!A:C,3,FALSE)))</f>
        <v>kashani@sfsu.edu</v>
      </c>
      <c r="E540" s="11" t="s">
        <v>201</v>
      </c>
      <c r="F540" s="4" t="str">
        <f>IF(OR(A540="",E540="","",A540="?",E540="?"),"duplicate?",IF(COUNTIFS($A:A,A540,E:E,E540)&gt;1,"yes","no"))</f>
        <v>no</v>
      </c>
      <c r="H540" s="12" t="s">
        <v>21</v>
      </c>
      <c r="I540" s="11" t="s">
        <v>69</v>
      </c>
      <c r="K540" s="97" t="str">
        <f ca="1">IF(J540="","Date",IF(J540&lt;&gt;"",IF(K540="Date",NOW(),K540),""))</f>
        <v>Date</v>
      </c>
    </row>
    <row r="541" spans="1:11">
      <c r="A541" s="11">
        <v>900026717</v>
      </c>
      <c r="B541" s="97">
        <f ca="1">IF(A541="","Date",IF(A541&lt;&gt;"",IF(B541="Date",NOW(),B541),""))</f>
        <v>45532.609439004627</v>
      </c>
      <c r="C541" s="19" t="str">
        <f>IF(ISBLANK(A541),"Name",IF(ISNA(VLOOKUP(A541,'Master List'!A:C,2,FALSE)), "Not Found", VLOOKUP(A541,'Master List'!A:C,2,FALSE)))</f>
        <v>Ali Kashani</v>
      </c>
      <c r="D541" s="19" t="str">
        <f>IF(ISBLANK(A541), "Email",IF(ISNA(VLOOKUP(A541,'Master List'!A:C,3,FALSE)), "Not Found", VLOOKUP(A541,'Master List'!A:C,3,FALSE)))</f>
        <v>kashani@sfsu.edu</v>
      </c>
      <c r="E541" s="11" t="s">
        <v>33</v>
      </c>
      <c r="F541" s="4" t="str">
        <f>IF(OR(A541="",E541="","",A541="?",E541="?"),"duplicate?",IF(COUNTIFS($A:A,A541,E:E,E541)&gt;1,"yes","no"))</f>
        <v>no</v>
      </c>
      <c r="H541" s="12" t="s">
        <v>21</v>
      </c>
      <c r="I541" s="11" t="s">
        <v>99</v>
      </c>
      <c r="K541" s="97" t="str">
        <f ca="1">IF(J541="","Date",IF(J541&lt;&gt;"",IF(K541="Date",NOW(),K541),""))</f>
        <v>Date</v>
      </c>
    </row>
    <row r="542" spans="1:11">
      <c r="A542" s="11">
        <v>917242344</v>
      </c>
      <c r="B542" s="97">
        <f ca="1">IF(A542="","Date",IF(A542&lt;&gt;"",IF(B542="Date",NOW(),B542),""))</f>
        <v>45539.624968865741</v>
      </c>
      <c r="C542" s="19" t="str">
        <f>IF(ISBLANK(A542),"Name",IF(ISNA(VLOOKUP(A542,'Master List'!A:C,2,FALSE)), "Not Found", VLOOKUP(A542,'Master List'!A:C,2,FALSE)))</f>
        <v>Rachel Gross</v>
      </c>
      <c r="D542" s="19" t="str">
        <f>IF(ISBLANK(A542), "Email",IF(ISNA(VLOOKUP(A542,'Master List'!A:C,3,FALSE)), "Not Found", VLOOKUP(A542,'Master List'!A:C,3,FALSE)))</f>
        <v>rbgross@sfsu.edu</v>
      </c>
      <c r="E542" s="11" t="s">
        <v>28</v>
      </c>
      <c r="F542" s="4" t="str">
        <f>IF(OR(A542="",E542="","",A542="?",E542="?"),"duplicate?",IF(COUNTIFS($A:A,A542,E:E,E542)&gt;1,"yes","no"))</f>
        <v>no</v>
      </c>
      <c r="H542" s="12" t="s">
        <v>127</v>
      </c>
      <c r="I542" s="11" t="s">
        <v>66</v>
      </c>
      <c r="K542" s="97" t="str">
        <f ca="1">IF(J542="","Date",IF(J542&lt;&gt;"",IF(K542="Date",NOW(),K542),""))</f>
        <v>Date</v>
      </c>
    </row>
    <row r="543" spans="1:11">
      <c r="A543" s="11">
        <v>917230475</v>
      </c>
      <c r="B543" s="97">
        <f ca="1">IF(A543="","Date",IF(A543&lt;&gt;"",IF(B543="Date",NOW(),B543),""))</f>
        <v>45539.641871643522</v>
      </c>
      <c r="C543" s="19" t="str">
        <f>IF(ISBLANK(A543),"Name",IF(ISNA(VLOOKUP(A543,'Master List'!A:C,2,FALSE)), "Not Found", VLOOKUP(A543,'Master List'!A:C,2,FALSE)))</f>
        <v>Leticia Hernandez</v>
      </c>
      <c r="D543" s="19" t="str">
        <f>IF(ISBLANK(A543), "Email",IF(ISNA(VLOOKUP(A543,'Master List'!A:C,3,FALSE)), "Not Found", VLOOKUP(A543,'Master List'!A:C,3,FALSE)))</f>
        <v>joinleticia@gmail.com</v>
      </c>
      <c r="E543" s="11" t="s">
        <v>36</v>
      </c>
      <c r="F543" s="4" t="str">
        <f>IF(OR(A543="",E543="","",A543="?",E543="?"),"duplicate?",IF(COUNTIFS($A:A,A543,E:E,E543)&gt;1,"yes","no"))</f>
        <v>no</v>
      </c>
      <c r="H543" s="12">
        <v>45580</v>
      </c>
      <c r="I543" s="11" t="s">
        <v>99</v>
      </c>
      <c r="K543" s="97" t="str">
        <f ca="1">IF(J543="","Date",IF(J543&lt;&gt;"",IF(K543="Date",NOW(),K543),""))</f>
        <v>Date</v>
      </c>
    </row>
    <row r="544" spans="1:11">
      <c r="A544" s="11">
        <v>917230475</v>
      </c>
      <c r="B544" s="97">
        <f ca="1">IF(A544="","Date",IF(A544&lt;&gt;"",IF(B544="Date",NOW(),B544),""))</f>
        <v>45539.651757060186</v>
      </c>
      <c r="C544" s="19" t="str">
        <f>IF(ISBLANK(A544),"Name",IF(ISNA(VLOOKUP(A544,'Master List'!A:C,2,FALSE)), "Not Found", VLOOKUP(A544,'Master List'!A:C,2,FALSE)))</f>
        <v>Leticia Hernandez</v>
      </c>
      <c r="D544" s="19" t="str">
        <f>IF(ISBLANK(A544), "Email",IF(ISNA(VLOOKUP(A544,'Master List'!A:C,3,FALSE)), "Not Found", VLOOKUP(A544,'Master List'!A:C,3,FALSE)))</f>
        <v>joinleticia@gmail.com</v>
      </c>
      <c r="E544" s="11" t="s">
        <v>76</v>
      </c>
      <c r="F544" s="4" t="str">
        <f>IF(OR(A544="",E544="","",A544="?",E544="?"),"duplicate?",IF(COUNTIFS($A:A,A544,E:E,E544)&gt;1,"yes","no"))</f>
        <v>no</v>
      </c>
      <c r="H544" s="12">
        <v>45580</v>
      </c>
      <c r="I544" s="11" t="s">
        <v>99</v>
      </c>
      <c r="K544" s="97" t="str">
        <f ca="1">IF(J544="","Date",IF(J544&lt;&gt;"",IF(K544="Date",NOW(),K544),""))</f>
        <v>Date</v>
      </c>
    </row>
    <row r="545" spans="1:12">
      <c r="A545" s="11">
        <v>900023168</v>
      </c>
      <c r="B545" s="97">
        <f ca="1">IF(A545="","Date",IF(A545&lt;&gt;"",IF(B545="Date",NOW(),B545),""))</f>
        <v>45540.434415393516</v>
      </c>
      <c r="C545" s="19" t="str">
        <f>IF(ISBLANK(A545),"Name",IF(ISNA(VLOOKUP(A545,'Master List'!A:C,2,FALSE)), "Not Found", VLOOKUP(A545,'Master List'!A:C,2,FALSE)))</f>
        <v>Eva Sheppard Wolf</v>
      </c>
      <c r="D545" s="19" t="str">
        <f>IF(ISBLANK(A545), "Email",IF(ISNA(VLOOKUP(A545,'Master List'!A:C,3,FALSE)), "Not Found", VLOOKUP(A545,'Master List'!A:C,3,FALSE)))</f>
        <v>shepwolf@sfsu.edu</v>
      </c>
      <c r="E545" s="11" t="s">
        <v>112</v>
      </c>
      <c r="F545" s="4" t="str">
        <f>IF(OR(A545="",E545="","",A545="?",E545="?"),"duplicate?",IF(COUNTIFS($A:A,A545,E:E,E545)&gt;1,"yes","no"))</f>
        <v>no</v>
      </c>
      <c r="H545" s="12" t="s">
        <v>21</v>
      </c>
      <c r="I545" s="11" t="s">
        <v>176</v>
      </c>
      <c r="J545" s="109" t="s">
        <v>131</v>
      </c>
      <c r="K545" s="97">
        <f ca="1">IF(J545="","Date",IF(J545&lt;&gt;"",IF(K545="Date",NOW(),K545),""))</f>
        <v>45798.585814351849</v>
      </c>
    </row>
    <row r="546" spans="1:12">
      <c r="A546" s="11">
        <v>918855644</v>
      </c>
      <c r="B546" s="97">
        <f ca="1">IF(A546="","Date",IF(A546&lt;&gt;"",IF(B546="Date",NOW(),B546),""))</f>
        <v>45540.473369097221</v>
      </c>
      <c r="C546" s="19" t="str">
        <f>IF(ISBLANK(A546),"Name",IF(ISNA(VLOOKUP(A546,'Master List'!A:C,2,FALSE)), "Not Found", VLOOKUP(A546,'Master List'!A:C,2,FALSE)))</f>
        <v>Huy Le</v>
      </c>
      <c r="D546" s="19" t="str">
        <f>IF(ISBLANK(A546), "Email",IF(ISNA(VLOOKUP(A546,'Master List'!A:C,3,FALSE)), "Not Found", VLOOKUP(A546,'Master List'!A:C,3,FALSE)))</f>
        <v>huyle@sfsu.edu</v>
      </c>
      <c r="E546" s="11" t="s">
        <v>28</v>
      </c>
      <c r="F546" s="4" t="str">
        <f>IF(OR(A546="",E546="","",A546="?",E546="?"),"duplicate?",IF(COUNTIFS($A:A,A546,E:E,E546)&gt;1,"yes","no"))</f>
        <v>no</v>
      </c>
      <c r="H546" s="12" t="s">
        <v>127</v>
      </c>
      <c r="I546" s="11" t="s">
        <v>176</v>
      </c>
      <c r="K546" s="97" t="str">
        <f ca="1">IF(J546="","Date",IF(J546&lt;&gt;"",IF(K546="Date",NOW(),K546),""))</f>
        <v>Date</v>
      </c>
      <c r="L546" s="86" t="s">
        <v>202</v>
      </c>
    </row>
    <row r="547" spans="1:12">
      <c r="A547" s="11">
        <v>923977909</v>
      </c>
      <c r="B547" s="97">
        <f ca="1">IF(A547="","Date",IF(A547&lt;&gt;"",IF(B547="Date",NOW(),B547),""))</f>
        <v>45540.482703703703</v>
      </c>
      <c r="C547" s="19" t="str">
        <f>IF(ISBLANK(A547),"Name",IF(ISNA(VLOOKUP(A547,'Master List'!A:C,2,FALSE)), "Not Found", VLOOKUP(A547,'Master List'!A:C,2,FALSE)))</f>
        <v>Henok Tsegaye</v>
      </c>
      <c r="D547" s="19" t="str">
        <f>IF(ISBLANK(A547), "Email",IF(ISNA(VLOOKUP(A547,'Master List'!A:C,3,FALSE)), "Not Found", VLOOKUP(A547,'Master List'!A:C,3,FALSE)))</f>
        <v>htsegaye@sfsu.edu</v>
      </c>
      <c r="E547" s="11" t="s">
        <v>203</v>
      </c>
      <c r="F547" s="4" t="str">
        <f>IF(OR(A547="",E547="","",A547="?",E547="?"),"duplicate?",IF(COUNTIFS($A:A,A547,E:E,E547)&gt;1,"yes","no"))</f>
        <v>no</v>
      </c>
      <c r="H547" s="12">
        <v>45554</v>
      </c>
      <c r="I547" s="11" t="s">
        <v>99</v>
      </c>
      <c r="K547" s="97" t="str">
        <f ca="1">IF(J547="","Date",IF(J547&lt;&gt;"",IF(K547="Date",NOW(),K547),""))</f>
        <v>Date</v>
      </c>
      <c r="L547" s="86" t="s">
        <v>204</v>
      </c>
    </row>
    <row r="548" spans="1:12">
      <c r="A548" s="11">
        <v>900013184</v>
      </c>
      <c r="B548" s="97">
        <f ca="1">IF(A548="","Date",IF(A548&lt;&gt;"",IF(B548="Date",NOW(),B548),""))</f>
        <v>45540.578969097223</v>
      </c>
      <c r="C548" s="19" t="str">
        <f>IF(ISBLANK(A548),"Name",IF(ISNA(VLOOKUP(A548,'Master List'!A:C,2,FALSE)), "Not Found", VLOOKUP(A548,'Master List'!A:C,2,FALSE)))</f>
        <v>Subodh Bhat</v>
      </c>
      <c r="D548" s="19" t="str">
        <f>IF(ISBLANK(A548), "Email",IF(ISNA(VLOOKUP(A548,'Master List'!A:C,3,FALSE)), "Not Found", VLOOKUP(A548,'Master List'!A:C,3,FALSE)))</f>
        <v>sbhat@sfsu.edu</v>
      </c>
      <c r="E548" s="11" t="s">
        <v>46</v>
      </c>
      <c r="F548" s="4" t="str">
        <f>IF(OR(A548="",E548="","",A548="?",E548="?"),"duplicate?",IF(COUNTIFS($A:A,A548,E:E,E548)&gt;1,"yes","no"))</f>
        <v>no</v>
      </c>
      <c r="H548" s="12" t="s">
        <v>21</v>
      </c>
      <c r="I548" s="11" t="s">
        <v>176</v>
      </c>
      <c r="K548" s="97" t="str">
        <f ca="1">IF(J548="","Date",IF(J548&lt;&gt;"",IF(K548="Date",NOW(),K548),""))</f>
        <v>Date</v>
      </c>
    </row>
    <row r="549" spans="1:12">
      <c r="A549" s="11">
        <v>918851029</v>
      </c>
      <c r="B549" s="97">
        <f ca="1">IF(A549="","Date",IF(A549&lt;&gt;"",IF(B549="Date",NOW(),B549),""))</f>
        <v>45540.638754976855</v>
      </c>
      <c r="C549" s="19" t="str">
        <f>IF(ISBLANK(A549),"Name",IF(ISNA(VLOOKUP(A549,'Master List'!A:C,2,FALSE)), "Not Found", VLOOKUP(A549,'Master List'!A:C,2,FALSE)))</f>
        <v>Julia Parma</v>
      </c>
      <c r="D549" s="19" t="str">
        <f>IF(ISBLANK(A549), "Email",IF(ISNA(VLOOKUP(A549,'Master List'!A:C,3,FALSE)), "Not Found", VLOOKUP(A549,'Master List'!A:C,3,FALSE)))</f>
        <v>julianaparma@sfsu.edu</v>
      </c>
      <c r="E549" s="11" t="s">
        <v>46</v>
      </c>
      <c r="F549" s="4" t="str">
        <f>IF(OR(A549="",E549="","",A549="?",E549="?"),"duplicate?",IF(COUNTIFS($A:A,A549,E:E,E549)&gt;1,"yes","no"))</f>
        <v>no</v>
      </c>
      <c r="H549" s="12" t="s">
        <v>21</v>
      </c>
      <c r="I549" s="11" t="s">
        <v>196</v>
      </c>
      <c r="K549" s="97" t="str">
        <f ca="1">IF(J549="","Date",IF(J549&lt;&gt;"",IF(K549="Date",NOW(),K549),""))</f>
        <v>Date</v>
      </c>
    </row>
    <row r="550" spans="1:12">
      <c r="A550" s="11">
        <v>915463801</v>
      </c>
      <c r="B550" s="97">
        <f ca="1">IF(A550="","Date",IF(A550&lt;&gt;"",IF(B550="Date",NOW(),B550),""))</f>
        <v>45545.403153009262</v>
      </c>
      <c r="C550" s="19" t="str">
        <f>IF(ISBLANK(A550),"Name",IF(ISNA(VLOOKUP(A550,'Master List'!A:C,2,FALSE)), "Not Found", VLOOKUP(A550,'Master List'!A:C,2,FALSE)))</f>
        <v>Shelby Baizar</v>
      </c>
      <c r="D550" s="19" t="str">
        <f>IF(ISBLANK(A550), "Email",IF(ISNA(VLOOKUP(A550,'Master List'!A:C,3,FALSE)), "Not Found", VLOOKUP(A550,'Master List'!A:C,3,FALSE)))</f>
        <v>sbaizar@sfsu.edu</v>
      </c>
      <c r="E550" s="11" t="s">
        <v>105</v>
      </c>
      <c r="F550" s="4" t="str">
        <f>IF(OR(A550="",E550="","",A550="?",E550="?"),"duplicate?",IF(COUNTIFS($A:A,A550,E:E,E550)&gt;1,"yes","no"))</f>
        <v>no</v>
      </c>
      <c r="H550" s="12" t="s">
        <v>21</v>
      </c>
      <c r="I550" s="11" t="s">
        <v>176</v>
      </c>
      <c r="K550" s="97" t="str">
        <f ca="1">IF(J550="","Date",IF(J550&lt;&gt;"",IF(K550="Date",NOW(),K550),""))</f>
        <v>Date</v>
      </c>
      <c r="L550" s="86" t="s">
        <v>205</v>
      </c>
    </row>
    <row r="551" spans="1:12">
      <c r="A551" s="11">
        <v>907563337</v>
      </c>
      <c r="B551" s="97">
        <f ca="1">IF(A551="","Date",IF(A551&lt;&gt;"",IF(B551="Date",NOW(),B551),""))</f>
        <v>45546.629972569448</v>
      </c>
      <c r="C551" s="19" t="str">
        <f>IF(ISBLANK(A551),"Name",IF(ISNA(VLOOKUP(A551,'Master List'!A:C,2,FALSE)), "Not Found", VLOOKUP(A551,'Master List'!A:C,2,FALSE)))</f>
        <v>Neil Lindeman</v>
      </c>
      <c r="D551" s="19" t="str">
        <f>IF(ISBLANK(A551), "Email",IF(ISNA(VLOOKUP(A551,'Master List'!A:C,3,FALSE)), "Not Found", VLOOKUP(A551,'Master List'!A:C,3,FALSE)))</f>
        <v>lindeman@sfsu.edu</v>
      </c>
      <c r="E551" s="11" t="s">
        <v>76</v>
      </c>
      <c r="F551" s="4" t="str">
        <f>IF(OR(A551="",E551="","",A551="?",E551="?"),"duplicate?",IF(COUNTIFS($A:A,A551,E:E,E551)&gt;1,"yes","no"))</f>
        <v>no</v>
      </c>
      <c r="H551" s="12" t="s">
        <v>124</v>
      </c>
      <c r="I551" s="11" t="s">
        <v>99</v>
      </c>
      <c r="K551" s="97" t="str">
        <f ca="1">IF(J551="","Date",IF(J551&lt;&gt;"",IF(K551="Date",NOW(),K551),""))</f>
        <v>Date</v>
      </c>
    </row>
    <row r="552" spans="1:12">
      <c r="A552" s="11">
        <v>905185260</v>
      </c>
      <c r="B552" s="97">
        <f ca="1">IF(A552="","Date",IF(A552&lt;&gt;"",IF(B552="Date",NOW(),B552),""))</f>
        <v>45547.633110532406</v>
      </c>
      <c r="C552" s="19" t="str">
        <f>IF(ISBLANK(A552),"Name",IF(ISNA(VLOOKUP(A552,'Master List'!A:C,2,FALSE)), "Not Found", VLOOKUP(A552,'Master List'!A:C,2,FALSE)))</f>
        <v>Therese Doan</v>
      </c>
      <c r="D552" s="19" t="str">
        <f>IF(ISBLANK(A552), "Email",IF(ISNA(VLOOKUP(A552,'Master List'!A:C,3,FALSE)), "Not Found", VLOOKUP(A552,'Master List'!A:C,3,FALSE)))</f>
        <v>jungdoan@sfsu.edu</v>
      </c>
      <c r="E552" s="11" t="s">
        <v>28</v>
      </c>
      <c r="F552" s="4" t="str">
        <f>IF(OR(A552="",E552="","",A552="?",E552="?"),"duplicate?",IF(COUNTIFS($A:A,A552,E:E,E552)&gt;1,"yes","no"))</f>
        <v>no</v>
      </c>
      <c r="H552" s="12" t="s">
        <v>21</v>
      </c>
      <c r="I552" s="11" t="s">
        <v>176</v>
      </c>
      <c r="K552" s="97" t="str">
        <f ca="1">IF(J552="","Date",IF(J552&lt;&gt;"",IF(K552="Date",NOW(),K552),""))</f>
        <v>Date</v>
      </c>
    </row>
    <row r="553" spans="1:12">
      <c r="A553" s="11">
        <v>910658039</v>
      </c>
      <c r="B553" s="97">
        <f ca="1">IF(A553="","Date",IF(A553&lt;&gt;"",IF(B553="Date",NOW(),B553),""))</f>
        <v>45547.681429745367</v>
      </c>
      <c r="C553" s="19" t="str">
        <f>IF(ISBLANK(A553),"Name",IF(ISNA(VLOOKUP(A553,'Master List'!A:C,2,FALSE)), "Not Found", VLOOKUP(A553,'Master List'!A:C,2,FALSE)))</f>
        <v>Jeremy Domasian</v>
      </c>
      <c r="D553" s="19" t="str">
        <f>IF(ISBLANK(A553), "Email",IF(ISNA(VLOOKUP(A553,'Master List'!A:C,3,FALSE)), "Not Found", VLOOKUP(A553,'Master List'!A:C,3,FALSE)))</f>
        <v>jeremy@sfsu.edu</v>
      </c>
      <c r="E553" s="11" t="s">
        <v>48</v>
      </c>
      <c r="F553" s="4" t="str">
        <f>IF(OR(A553="",E553="","",A553="?",E553="?"),"duplicate?",IF(COUNTIFS($A:A,A553,E:E,E553)&gt;1,"yes","no"))</f>
        <v>no</v>
      </c>
      <c r="H553" s="12" t="s">
        <v>125</v>
      </c>
      <c r="I553" s="11" t="s">
        <v>71</v>
      </c>
      <c r="K553" s="97" t="str">
        <f ca="1">IF(J553="","Date",IF(J553&lt;&gt;"",IF(K553="Date",NOW(),K553),""))</f>
        <v>Date</v>
      </c>
    </row>
    <row r="554" spans="1:12">
      <c r="A554" s="11">
        <v>918848364</v>
      </c>
      <c r="B554" s="97">
        <f ca="1">IF(A554="","Date",IF(A554&lt;&gt;"",IF(B554="Date",NOW(),B554),""))</f>
        <v>45552.487152199072</v>
      </c>
      <c r="C554" s="19" t="str">
        <f>IF(ISBLANK(A554),"Name",IF(ISNA(VLOOKUP(A554,'Master List'!A:C,2,FALSE)), "Not Found", VLOOKUP(A554,'Master List'!A:C,2,FALSE)))</f>
        <v>Michael Enright</v>
      </c>
      <c r="D554" s="19" t="str">
        <f>IF(ISBLANK(A554), "Email",IF(ISNA(VLOOKUP(A554,'Master List'!A:C,3,FALSE)), "Not Found", VLOOKUP(A554,'Master List'!A:C,3,FALSE)))</f>
        <v>enrightm@sfsu.edu</v>
      </c>
      <c r="E554" s="11" t="s">
        <v>12</v>
      </c>
      <c r="F554" s="4" t="str">
        <f>IF(OR(A554="",E554="","",A554="?",E554="?"),"duplicate?",IF(COUNTIFS($A:A,A554,E:E,E554)&gt;1,"yes","no"))</f>
        <v>yes</v>
      </c>
      <c r="H554" s="12" t="s">
        <v>21</v>
      </c>
      <c r="I554" s="11" t="s">
        <v>176</v>
      </c>
      <c r="K554" s="97" t="str">
        <f ca="1">IF(J554="","Date",IF(J554&lt;&gt;"",IF(K554="Date",NOW(),K554),""))</f>
        <v>Date</v>
      </c>
    </row>
    <row r="555" spans="1:12">
      <c r="A555" s="11">
        <v>918848364</v>
      </c>
      <c r="B555" s="97">
        <f ca="1">IF(A555="","Date",IF(A555&lt;&gt;"",IF(B555="Date",NOW(),B555),""))</f>
        <v>45552.487702314815</v>
      </c>
      <c r="C555" s="19" t="str">
        <f>IF(ISBLANK(A555),"Name",IF(ISNA(VLOOKUP(A555,'Master List'!A:C,2,FALSE)), "Not Found", VLOOKUP(A555,'Master List'!A:C,2,FALSE)))</f>
        <v>Michael Enright</v>
      </c>
      <c r="D555" s="19" t="str">
        <f>IF(ISBLANK(A555), "Email",IF(ISNA(VLOOKUP(A555,'Master List'!A:C,3,FALSE)), "Not Found", VLOOKUP(A555,'Master List'!A:C,3,FALSE)))</f>
        <v>enrightm@sfsu.edu</v>
      </c>
      <c r="E555" s="11" t="s">
        <v>12</v>
      </c>
      <c r="F555" s="4" t="str">
        <f>IF(OR(A555="",E555="","",A555="?",E555="?"),"duplicate?",IF(COUNTIFS($A:A,A555,E:E,E555)&gt;1,"yes","no"))</f>
        <v>yes</v>
      </c>
      <c r="H555" s="57" t="s">
        <v>21</v>
      </c>
      <c r="I555" s="11" t="s">
        <v>176</v>
      </c>
      <c r="K555" s="97" t="str">
        <f ca="1">IF(J555="","Date",IF(J555&lt;&gt;"",IF(K555="Date",NOW(),K555),""))</f>
        <v>Date</v>
      </c>
    </row>
    <row r="556" spans="1:12">
      <c r="A556" s="11">
        <v>900002121</v>
      </c>
      <c r="B556" s="97">
        <f ca="1">IF(A556="","Date",IF(A556&lt;&gt;"",IF(B556="Date",NOW(),B556),""))</f>
        <v>45554.728439004626</v>
      </c>
      <c r="C556" s="19" t="str">
        <f>IF(ISBLANK(A556),"Name",IF(ISNA(VLOOKUP(A556,'Master List'!A:C,2,FALSE)), "Not Found", VLOOKUP(A556,'Master List'!A:C,2,FALSE)))</f>
        <v>George Leonard</v>
      </c>
      <c r="D556" s="19" t="str">
        <f>IF(ISBLANK(A556), "Email",IF(ISNA(VLOOKUP(A556,'Master List'!A:C,3,FALSE)), "Not Found", VLOOKUP(A556,'Master List'!A:C,3,FALSE)))</f>
        <v>gleonard@sfsu.edu</v>
      </c>
      <c r="E556" s="11" t="s">
        <v>28</v>
      </c>
      <c r="F556" s="4" t="str">
        <f>IF(OR(A556="",E556="","",A556="?",E556="?"),"duplicate?",IF(COUNTIFS($A:A,A556,E:E,E556)&gt;1,"yes","no"))</f>
        <v>no</v>
      </c>
      <c r="H556" s="12" t="s">
        <v>21</v>
      </c>
      <c r="I556" s="11" t="s">
        <v>72</v>
      </c>
      <c r="K556" s="97" t="str">
        <f ca="1">IF(J556="","Date",IF(J556&lt;&gt;"",IF(K556="Date",NOW(),K556),""))</f>
        <v>Date</v>
      </c>
    </row>
    <row r="557" spans="1:12">
      <c r="A557" s="11">
        <v>909901751</v>
      </c>
      <c r="B557" s="97">
        <f ca="1">IF(A557="","Date",IF(A557&lt;&gt;"",IF(B557="Date",NOW(),B557),""))</f>
        <v>45560.494198958331</v>
      </c>
      <c r="C557" s="19" t="str">
        <f>IF(ISBLANK(A557),"Name",IF(ISNA(VLOOKUP(A557,'Master List'!A:C,2,FALSE)), "Not Found", VLOOKUP(A557,'Master List'!A:C,2,FALSE)))</f>
        <v>Weining Man</v>
      </c>
      <c r="D557" s="19" t="str">
        <f>IF(ISBLANK(A557), "Email",IF(ISNA(VLOOKUP(A557,'Master List'!A:C,3,FALSE)), "Not Found", VLOOKUP(A557,'Master List'!A:C,3,FALSE)))</f>
        <v>weining@sfsu.edu</v>
      </c>
      <c r="E557" s="11" t="s">
        <v>152</v>
      </c>
      <c r="F557" s="4" t="str">
        <f>IF(OR(A557="",E557="","",A557="?",E557="?"),"duplicate?",IF(COUNTIFS($A:A,A557,E:E,E557)&gt;1,"yes","no"))</f>
        <v>no</v>
      </c>
      <c r="H557" s="12" t="s">
        <v>127</v>
      </c>
      <c r="I557" s="11" t="s">
        <v>61</v>
      </c>
      <c r="K557" s="97" t="str">
        <f ca="1">IF(J557="","Date",IF(J557&lt;&gt;"",IF(K557="Date",NOW(),K557),""))</f>
        <v>Date</v>
      </c>
    </row>
    <row r="558" spans="1:12">
      <c r="A558" s="11">
        <v>900033373</v>
      </c>
      <c r="B558" s="97">
        <f ca="1">IF(A558="","Date",IF(A558&lt;&gt;"",IF(B558="Date",NOW(),B558),""))</f>
        <v>45561.375195138891</v>
      </c>
      <c r="C558" s="19" t="str">
        <f>IF(ISBLANK(A558),"Name",IF(ISNA(VLOOKUP(A558,'Master List'!A:C,2,FALSE)), "Not Found", VLOOKUP(A558,'Master List'!A:C,2,FALSE)))</f>
        <v>Maika Watanabe</v>
      </c>
      <c r="D558" s="19" t="str">
        <f>IF(ISBLANK(A558), "Email",IF(ISNA(VLOOKUP(A558,'Master List'!A:C,3,FALSE)), "Not Found", VLOOKUP(A558,'Master List'!A:C,3,FALSE)))</f>
        <v>watanabe@sfsu.edu</v>
      </c>
      <c r="F558" s="4" t="str">
        <f>IF(OR(A558="",E558="","",A558="?",E558="?"),"duplicate?",IF(COUNTIFS($A:A,A558,E:E,E558)&gt;1,"yes","no"))</f>
        <v>duplicate?</v>
      </c>
      <c r="H558" s="12" t="s">
        <v>141</v>
      </c>
      <c r="I558" s="11" t="s">
        <v>196</v>
      </c>
      <c r="K558" s="97" t="str">
        <f ca="1">IF(J558="","Date",IF(J558&lt;&gt;"",IF(K558="Date",NOW(),K558),""))</f>
        <v>Date</v>
      </c>
      <c r="L558" s="86" t="s">
        <v>206</v>
      </c>
    </row>
    <row r="559" spans="1:12">
      <c r="A559" s="11">
        <v>905185260</v>
      </c>
      <c r="B559" s="97">
        <f ca="1">IF(A559="","Date",IF(A559&lt;&gt;"",IF(B559="Date",NOW(),B559),""))</f>
        <v>45561.625368518522</v>
      </c>
      <c r="C559" s="19" t="str">
        <f>IF(ISBLANK(A559),"Name",IF(ISNA(VLOOKUP(A559,'Master List'!A:C,2,FALSE)), "Not Found", VLOOKUP(A559,'Master List'!A:C,2,FALSE)))</f>
        <v>Therese Doan</v>
      </c>
      <c r="D559" s="19" t="str">
        <f>IF(ISBLANK(A559), "Email",IF(ISNA(VLOOKUP(A559,'Master List'!A:C,3,FALSE)), "Not Found", VLOOKUP(A559,'Master List'!A:C,3,FALSE)))</f>
        <v>jungdoan@sfsu.edu</v>
      </c>
      <c r="E559" s="11" t="s">
        <v>48</v>
      </c>
      <c r="F559" s="4" t="str">
        <f>IF(OR(A559="",E559="","",A559="?",E559="?"),"duplicate?",IF(COUNTIFS($A:A,A559,E:E,E559)&gt;1,"yes","no"))</f>
        <v>no</v>
      </c>
      <c r="H559" s="12" t="s">
        <v>141</v>
      </c>
      <c r="I559" s="11" t="s">
        <v>196</v>
      </c>
      <c r="K559" s="97" t="str">
        <f ca="1">IF(J559="","Date",IF(J559&lt;&gt;"",IF(K559="Date",NOW(),K559),""))</f>
        <v>Date</v>
      </c>
    </row>
    <row r="560" spans="1:12">
      <c r="A560" s="11">
        <v>900023142</v>
      </c>
      <c r="B560" s="97">
        <f ca="1">IF(A560="","Date",IF(A560&lt;&gt;"",IF(B560="Date",NOW(),B560),""))</f>
        <v>45562.402519444448</v>
      </c>
      <c r="C560" s="19" t="str">
        <f>IF(ISBLANK(A560),"Name",IF(ISNA(VLOOKUP(A560,'Master List'!A:C,2,FALSE)), "Not Found", VLOOKUP(A560,'Master List'!A:C,2,FALSE)))</f>
        <v>Grace Yoo</v>
      </c>
      <c r="D560" s="19" t="str">
        <f>IF(ISBLANK(A560), "Email",IF(ISNA(VLOOKUP(A560,'Master List'!A:C,3,FALSE)), "Not Found", VLOOKUP(A560,'Master List'!A:C,3,FALSE)))</f>
        <v>gracey@sfsu.edu</v>
      </c>
      <c r="E560" s="11" t="s">
        <v>58</v>
      </c>
      <c r="F560" s="4" t="str">
        <f>IF(OR(A560="",E560="","",A560="?",E560="?"),"duplicate?",IF(COUNTIFS($A:A,A560,E:E,E560)&gt;1,"yes","no"))</f>
        <v>no</v>
      </c>
      <c r="H560" s="12" t="s">
        <v>127</v>
      </c>
      <c r="I560" s="11" t="s">
        <v>131</v>
      </c>
      <c r="K560" s="97" t="str">
        <f ca="1">IF(J560="","Date",IF(J560&lt;&gt;"",IF(K560="Date",NOW(),K560),""))</f>
        <v>Date</v>
      </c>
    </row>
    <row r="561" spans="1:12">
      <c r="A561" s="11">
        <v>900040926</v>
      </c>
      <c r="B561" s="97">
        <f ca="1">IF(A561="","Date",IF(A561&lt;&gt;"",IF(B561="Date",NOW(),B561),""))</f>
        <v>45565.416625115744</v>
      </c>
      <c r="C561" s="19" t="str">
        <f>IF(ISBLANK(A561),"Name",IF(ISNA(VLOOKUP(A561,'Master List'!A:C,2,FALSE)), "Not Found", VLOOKUP(A561,'Master List'!A:C,2,FALSE)))</f>
        <v>Wesley Ueunten</v>
      </c>
      <c r="D561" s="19" t="str">
        <f>IF(ISBLANK(A561), "Email",IF(ISNA(VLOOKUP(A561,'Master List'!A:C,3,FALSE)), "Not Found", VLOOKUP(A561,'Master List'!A:C,3,FALSE)))</f>
        <v>wesueu@sfsu.edu</v>
      </c>
      <c r="E561" s="11" t="s">
        <v>188</v>
      </c>
      <c r="F561" s="4" t="str">
        <f>IF(OR(A561="",E561="","",A561="?",E561="?"),"duplicate?",IF(COUNTIFS($A:A,A561,E:E,E561)&gt;1,"yes","no"))</f>
        <v>no</v>
      </c>
      <c r="H561" s="12" t="s">
        <v>141</v>
      </c>
      <c r="I561" s="11" t="s">
        <v>61</v>
      </c>
      <c r="K561" s="97" t="str">
        <f ca="1">IF(J561="","Date",IF(J561&lt;&gt;"",IF(K561="Date",NOW(),K561),""))</f>
        <v>Date</v>
      </c>
    </row>
    <row r="562" spans="1:12">
      <c r="A562" s="11">
        <v>918851029</v>
      </c>
      <c r="B562" s="97">
        <f ca="1">IF(A562="","Date",IF(A562&lt;&gt;"",IF(B562="Date",NOW(),B562),""))</f>
        <v>45565.586915740743</v>
      </c>
      <c r="C562" s="19" t="str">
        <f>IF(ISBLANK(A562),"Name",IF(ISNA(VLOOKUP(A562,'Master List'!A:C,2,FALSE)), "Not Found", VLOOKUP(A562,'Master List'!A:C,2,FALSE)))</f>
        <v>Julia Parma</v>
      </c>
      <c r="D562" s="19" t="str">
        <f>IF(ISBLANK(A562), "Email",IF(ISNA(VLOOKUP(A562,'Master List'!A:C,3,FALSE)), "Not Found", VLOOKUP(A562,'Master List'!A:C,3,FALSE)))</f>
        <v>julianaparma@sfsu.edu</v>
      </c>
      <c r="E562" s="11" t="s">
        <v>201</v>
      </c>
      <c r="F562" s="4" t="str">
        <f>IF(OR(A562="",E562="","",A562="?",E562="?"),"duplicate?",IF(COUNTIFS($A:A,A562,E:E,E562)&gt;1,"yes","no"))</f>
        <v>no</v>
      </c>
      <c r="H562" s="12" t="s">
        <v>141</v>
      </c>
      <c r="I562" s="11" t="s">
        <v>61</v>
      </c>
      <c r="K562" s="97" t="str">
        <f ca="1">IF(J562="","Date",IF(J562&lt;&gt;"",IF(K562="Date",NOW(),K562),""))</f>
        <v>Date</v>
      </c>
      <c r="L562" s="86" t="s">
        <v>207</v>
      </c>
    </row>
    <row r="563" spans="1:12">
      <c r="A563" s="11">
        <v>918857815</v>
      </c>
      <c r="B563" s="97">
        <f ca="1">IF(A563="","Date",IF(A563&lt;&gt;"",IF(B563="Date",NOW(),B563),""))</f>
        <v>45566.536833333332</v>
      </c>
      <c r="C563" s="19" t="str">
        <f>IF(ISBLANK(A563),"Name",IF(ISNA(VLOOKUP(A563,'Master List'!A:C,2,FALSE)), "Not Found", VLOOKUP(A563,'Master List'!A:C,2,FALSE)))</f>
        <v>David Herrera</v>
      </c>
      <c r="D563" s="19" t="str">
        <f>IF(ISBLANK(A563), "Email",IF(ISNA(VLOOKUP(A563,'Master List'!A:C,3,FALSE)), "Not Found", VLOOKUP(A563,'Master List'!A:C,3,FALSE)))</f>
        <v>dherrera@sfsu.edu</v>
      </c>
      <c r="E563" s="11" t="s">
        <v>36</v>
      </c>
      <c r="F563" s="4" t="str">
        <f>IF(OR(A563="",E563="","",A563="?",E563="?"),"duplicate?",IF(COUNTIFS($A:A,A563,E:E,E563)&gt;1,"yes","no"))</f>
        <v>no</v>
      </c>
      <c r="H563" s="12" t="s">
        <v>141</v>
      </c>
      <c r="I563" s="11" t="s">
        <v>99</v>
      </c>
      <c r="K563" s="97" t="str">
        <f ca="1">IF(J563="","Date",IF(J563&lt;&gt;"",IF(K563="Date",NOW(),K563),""))</f>
        <v>Date</v>
      </c>
    </row>
    <row r="564" spans="1:12">
      <c r="A564" s="11">
        <v>918853577</v>
      </c>
      <c r="B564" s="97">
        <f ca="1">IF(A564="","Date",IF(A564&lt;&gt;"",IF(B564="Date",NOW(),B564),""))</f>
        <v>45566.647885879633</v>
      </c>
      <c r="C564" s="19" t="str">
        <f>IF(ISBLANK(A564),"Name",IF(ISNA(VLOOKUP(A564,'Master List'!A:C,2,FALSE)), "Not Found", VLOOKUP(A564,'Master List'!A:C,2,FALSE)))</f>
        <v>Chrissy Lau</v>
      </c>
      <c r="D564" s="19" t="str">
        <f>IF(ISBLANK(A564), "Email",IF(ISNA(VLOOKUP(A564,'Master List'!A:C,3,FALSE)), "Not Found", VLOOKUP(A564,'Master List'!A:C,3,FALSE)))</f>
        <v>chrissylau@sfsu.edu</v>
      </c>
      <c r="E564" s="11" t="s">
        <v>28</v>
      </c>
      <c r="F564" s="4" t="str">
        <f>IF(OR(A564="",E564="","",A564="?",E564="?"),"duplicate?",IF(COUNTIFS($A:A,A564,E:E,E564)&gt;1,"yes","no"))</f>
        <v>no</v>
      </c>
      <c r="H564" s="12" t="s">
        <v>127</v>
      </c>
      <c r="I564" s="11" t="s">
        <v>66</v>
      </c>
      <c r="K564" s="97" t="str">
        <f ca="1">IF(J564="","Date",IF(J564&lt;&gt;"",IF(K564="Date",NOW(),K564),""))</f>
        <v>Date</v>
      </c>
    </row>
    <row r="565" spans="1:12">
      <c r="A565" s="11">
        <v>918855254</v>
      </c>
      <c r="B565" s="97">
        <f ca="1">IF(A565="","Date",IF(A565&lt;&gt;"",IF(B565="Date",NOW(),B565),""))</f>
        <v>45572.597462962964</v>
      </c>
      <c r="C565" s="19" t="str">
        <f>IF(ISBLANK(A565),"Name",IF(ISNA(VLOOKUP(A565,'Master List'!A:C,2,FALSE)), "Not Found", VLOOKUP(A565,'Master List'!A:C,2,FALSE)))</f>
        <v>Andrew Deibert</v>
      </c>
      <c r="D565" s="19" t="str">
        <f>IF(ISBLANK(A565), "Email",IF(ISNA(VLOOKUP(A565,'Master List'!A:C,3,FALSE)), "Not Found", VLOOKUP(A565,'Master List'!A:C,3,FALSE)))</f>
        <v>adeibert@sfsu.edu</v>
      </c>
      <c r="E565" s="11" t="s">
        <v>64</v>
      </c>
      <c r="F565" s="4" t="str">
        <f>IF(OR(A565="",E565="","",A565="?",E565="?"),"duplicate?",IF(COUNTIFS($A:A,A565,E:E,E565)&gt;1,"yes","no"))</f>
        <v>no</v>
      </c>
      <c r="H565" s="12" t="s">
        <v>141</v>
      </c>
      <c r="I565" s="11" t="s">
        <v>61</v>
      </c>
      <c r="K565" s="97" t="str">
        <f ca="1">IF(J565="","Date",IF(J565&lt;&gt;"",IF(K565="Date",NOW(),K565),""))</f>
        <v>Date</v>
      </c>
    </row>
    <row r="566" spans="1:12">
      <c r="A566" s="11">
        <v>900023012</v>
      </c>
      <c r="B566" s="97">
        <f ca="1">IF(A566="","Date",IF(A566&lt;&gt;"",IF(B566="Date",NOW(),B566),""))</f>
        <v>45573.552092824073</v>
      </c>
      <c r="C566" s="19" t="str">
        <f>IF(ISBLANK(A566),"Name",IF(ISNA(VLOOKUP(A566,'Master List'!A:C,2,FALSE)), "Not Found", VLOOKUP(A566,'Master List'!A:C,2,FALSE)))</f>
        <v>Andrea Olson</v>
      </c>
      <c r="D566" s="19" t="str">
        <f>IF(ISBLANK(A566), "Email",IF(ISNA(VLOOKUP(A566,'Master List'!A:C,3,FALSE)), "Not Found", VLOOKUP(A566,'Master List'!A:C,3,FALSE)))</f>
        <v>ayo@sfsu.edu</v>
      </c>
      <c r="E566" s="11" t="s">
        <v>36</v>
      </c>
      <c r="F566" s="4" t="str">
        <f>IF(OR(A566="",E566="","",A566="?",E566="?"),"duplicate?",IF(COUNTIFS($A:A,A566,E:E,E566)&gt;1,"yes","no"))</f>
        <v>no</v>
      </c>
      <c r="H566" s="104" t="s">
        <v>141</v>
      </c>
      <c r="I566" s="11" t="s">
        <v>99</v>
      </c>
      <c r="K566" s="97" t="str">
        <f ca="1">IF(J566="","Date",IF(J566&lt;&gt;"",IF(K566="Date",NOW(),K566),""))</f>
        <v>Date</v>
      </c>
    </row>
    <row r="567" spans="1:12">
      <c r="A567" s="11">
        <v>908073626</v>
      </c>
      <c r="B567" s="97">
        <f ca="1">IF(A567="","Date",IF(A567&lt;&gt;"",IF(B567="Date",NOW(),B567),""))</f>
        <v>45573.756277777778</v>
      </c>
      <c r="C567" s="19" t="str">
        <f>IF(ISBLANK(A567),"Name",IF(ISNA(VLOOKUP(A567,'Master List'!A:C,2,FALSE)), "Not Found", VLOOKUP(A567,'Master List'!A:C,2,FALSE)))</f>
        <v>Nestor Castillo</v>
      </c>
      <c r="D567" s="19" t="str">
        <f>IF(ISBLANK(A567), "Email",IF(ISNA(VLOOKUP(A567,'Master List'!A:C,3,FALSE)), "Not Found", VLOOKUP(A567,'Master List'!A:C,3,FALSE)))</f>
        <v>nestorc@sfsu.edu</v>
      </c>
      <c r="E567" s="11" t="s">
        <v>151</v>
      </c>
      <c r="F567" s="4" t="str">
        <f>IF(OR(A567="",E567="","",A567="?",E567="?"),"duplicate?",IF(COUNTIFS($A:A,A567,E:E,E567)&gt;1,"yes","no"))</f>
        <v>no</v>
      </c>
      <c r="I567" s="11" t="s">
        <v>99</v>
      </c>
      <c r="K567" s="97" t="str">
        <f ca="1">IF(J567="","Date",IF(J567&lt;&gt;"",IF(K567="Date",NOW(),K567),""))</f>
        <v>Date</v>
      </c>
      <c r="L567" s="86" t="s">
        <v>208</v>
      </c>
    </row>
    <row r="568" spans="1:12">
      <c r="A568" s="11">
        <v>900032580</v>
      </c>
      <c r="B568" s="97">
        <f ca="1">IF(A568="","Date",IF(A568&lt;&gt;"",IF(B568="Date",NOW(),B568),""))</f>
        <v>45574.49894513889</v>
      </c>
      <c r="C568" s="19" t="str">
        <f>IF(ISBLANK(A568),"Name",IF(ISNA(VLOOKUP(A568,'Master List'!A:C,2,FALSE)), "Not Found", VLOOKUP(A568,'Master List'!A:C,2,FALSE)))</f>
        <v>Gabriela Segovia-McGahan</v>
      </c>
      <c r="D568" s="19" t="str">
        <f>IF(ISBLANK(A568), "Email",IF(ISNA(VLOOKUP(A568,'Master List'!A:C,3,FALSE)), "Not Found", VLOOKUP(A568,'Master List'!A:C,3,FALSE)))</f>
        <v>gsegovia@sfsu.edu</v>
      </c>
      <c r="E568" s="11" t="s">
        <v>78</v>
      </c>
      <c r="F568" s="4" t="str">
        <f>IF(OR(A568="",E568="","",A568="?",E568="?"),"duplicate?",IF(COUNTIFS($A:A,A568,E:E,E568)&gt;1,"yes","no"))</f>
        <v>no</v>
      </c>
      <c r="H568" s="12" t="s">
        <v>141</v>
      </c>
      <c r="I568" s="11" t="s">
        <v>61</v>
      </c>
      <c r="K568" s="97" t="str">
        <f ca="1">IF(J568="","Date",IF(J568&lt;&gt;"",IF(K568="Date",NOW(),K568),""))</f>
        <v>Date</v>
      </c>
    </row>
    <row r="569" spans="1:12">
      <c r="A569" s="11">
        <v>901727858</v>
      </c>
      <c r="B569" s="97">
        <f ca="1">IF(A569="","Date",IF(A569&lt;&gt;"",IF(B569="Date",NOW(),B569),""))</f>
        <v>45579.41493136574</v>
      </c>
      <c r="C569" s="19" t="str">
        <f>IF(ISBLANK(A569),"Name",IF(ISNA(VLOOKUP(A569,'Master List'!A:C,2,FALSE)), "Not Found", VLOOKUP(A569,'Master List'!A:C,2,FALSE)))</f>
        <v>Emma Sanchez</v>
      </c>
      <c r="D569" s="19" t="str">
        <f>IF(ISBLANK(A569), "Email",IF(ISNA(VLOOKUP(A569,'Master List'!A:C,3,FALSE)), "Not Found", VLOOKUP(A569,'Master List'!A:C,3,FALSE)))</f>
        <v>emmav@sfsu.edu</v>
      </c>
      <c r="E569" s="11" t="s">
        <v>36</v>
      </c>
      <c r="F569" s="4" t="str">
        <f>IF(OR(A569="",E569="","",A569="?",E569="?"),"duplicate?",IF(COUNTIFS($A:A,A569,E:E,E569)&gt;1,"yes","no"))</f>
        <v>no</v>
      </c>
      <c r="H569" s="12" t="s">
        <v>141</v>
      </c>
      <c r="I569" s="11" t="s">
        <v>61</v>
      </c>
      <c r="K569" s="97" t="str">
        <f ca="1">IF(J569="","Date",IF(J569&lt;&gt;"",IF(K569="Date",NOW(),K569),""))</f>
        <v>Date</v>
      </c>
      <c r="L569" s="86" t="s">
        <v>209</v>
      </c>
    </row>
    <row r="570" spans="1:12">
      <c r="A570" s="11">
        <v>904417987</v>
      </c>
      <c r="B570" s="97">
        <f ca="1">IF(A570="","Date",IF(A570&lt;&gt;"",IF(B570="Date",NOW(),B570),""))</f>
        <v>45579.615821412037</v>
      </c>
      <c r="C570" s="19" t="str">
        <f>IF(ISBLANK(A570),"Name",IF(ISNA(VLOOKUP(A570,'Master List'!A:C,2,FALSE)), "Not Found", VLOOKUP(A570,'Master List'!A:C,2,FALSE)))</f>
        <v>Carrie Hechtman</v>
      </c>
      <c r="D570" s="19" t="str">
        <f>IF(ISBLANK(A570), "Email",IF(ISNA(VLOOKUP(A570,'Master List'!A:C,3,FALSE)), "Not Found", VLOOKUP(A570,'Master List'!A:C,3,FALSE)))</f>
        <v>chechtman@sfsu.edu</v>
      </c>
      <c r="E570" s="11" t="s">
        <v>25</v>
      </c>
      <c r="F570" s="4" t="str">
        <f>IF(OR(A570="",E570="","",A570="?",E570="?"),"duplicate?",IF(COUNTIFS($A:A,A570,E:E,E570)&gt;1,"yes","no"))</f>
        <v>no</v>
      </c>
      <c r="H570" s="12" t="s">
        <v>141</v>
      </c>
      <c r="I570" s="11" t="s">
        <v>176</v>
      </c>
      <c r="K570" s="97" t="str">
        <f ca="1">IF(J570="","Date",IF(J570&lt;&gt;"",IF(K570="Date",NOW(),K570),""))</f>
        <v>Date</v>
      </c>
    </row>
    <row r="571" spans="1:12">
      <c r="A571" s="11">
        <v>900053679</v>
      </c>
      <c r="B571" s="97">
        <f ca="1">IF(A571="","Date",IF(A571&lt;&gt;"",IF(B571="Date",NOW(),B571),""))</f>
        <v>45580.55123449074</v>
      </c>
      <c r="C571" s="19" t="str">
        <f>IF(ISBLANK(A571),"Name",IF(ISNA(VLOOKUP(A571,'Master List'!A:C,2,FALSE)), "Not Found", VLOOKUP(A571,'Master List'!A:C,2,FALSE)))</f>
        <v>M Shirmohamadi</v>
      </c>
      <c r="D571" s="19" t="str">
        <f>IF(ISBLANK(A571), "Email",IF(ISNA(VLOOKUP(A571,'Master List'!A:C,3,FALSE)), "Not Found", VLOOKUP(A571,'Master List'!A:C,3,FALSE)))</f>
        <v>mshir@sfsu.edu</v>
      </c>
      <c r="E571" s="11" t="s">
        <v>25</v>
      </c>
      <c r="F571" s="4" t="str">
        <f>IF(OR(A571="",E571="","",A571="?",E571="?"),"duplicate?",IF(COUNTIFS($A:A,A571,E:E,E571)&gt;1,"yes","no"))</f>
        <v>no</v>
      </c>
      <c r="H571" s="12" t="s">
        <v>141</v>
      </c>
      <c r="I571" s="11" t="s">
        <v>190</v>
      </c>
      <c r="K571" s="97" t="str">
        <f ca="1">IF(J571="","Date",IF(J571&lt;&gt;"",IF(K571="Date",NOW(),K571),""))</f>
        <v>Date</v>
      </c>
    </row>
    <row r="572" spans="1:12">
      <c r="A572" s="11">
        <v>900004760</v>
      </c>
      <c r="B572" s="97">
        <f ca="1">IF(A572="","Date",IF(A572&lt;&gt;"",IF(B572="Date",NOW(),B572),""))</f>
        <v>45580.558544097221</v>
      </c>
      <c r="C572" s="19" t="str">
        <f>IF(ISBLANK(A572),"Name",IF(ISNA(VLOOKUP(A572,'Master List'!A:C,2,FALSE)), "Not Found", VLOOKUP(A572,'Master List'!A:C,2,FALSE)))</f>
        <v>Santhi Kavuri-Bauer</v>
      </c>
      <c r="D572" s="19" t="str">
        <f>IF(ISBLANK(A572), "Email",IF(ISNA(VLOOKUP(A572,'Master List'!A:C,3,FALSE)), "Not Found", VLOOKUP(A572,'Master List'!A:C,3,FALSE)))</f>
        <v>santhi@sfsu.edu</v>
      </c>
      <c r="E572" s="11" t="s">
        <v>36</v>
      </c>
      <c r="F572" s="4" t="str">
        <f>IF(OR(A572="",E572="","",A572="?",E572="?"),"duplicate?",IF(COUNTIFS($A:A,A572,E:E,E572)&gt;1,"yes","no"))</f>
        <v>no</v>
      </c>
      <c r="H572" s="12" t="s">
        <v>141</v>
      </c>
      <c r="I572" s="11" t="s">
        <v>190</v>
      </c>
      <c r="K572" s="97" t="str">
        <f ca="1">IF(J572="","Date",IF(J572&lt;&gt;"",IF(K572="Date",NOW(),K572),""))</f>
        <v>Date</v>
      </c>
      <c r="L572" s="87" t="s">
        <v>210</v>
      </c>
    </row>
    <row r="573" spans="1:12">
      <c r="A573" s="11">
        <v>918856372</v>
      </c>
      <c r="B573" s="97">
        <f ca="1">IF(A573="","Date",IF(A573&lt;&gt;"",IF(B573="Date",NOW(),B573),""))</f>
        <v>45581.717280555553</v>
      </c>
      <c r="C573" s="19" t="str">
        <f>IF(ISBLANK(A573),"Name",IF(ISNA(VLOOKUP(A573,'Master List'!A:C,2,FALSE)), "Not Found", VLOOKUP(A573,'Master List'!A:C,2,FALSE)))</f>
        <v>Ping Rochanavibhata</v>
      </c>
      <c r="D573" s="19" t="str">
        <f>IF(ISBLANK(A573), "Email",IF(ISNA(VLOOKUP(A573,'Master List'!A:C,3,FALSE)), "Not Found", VLOOKUP(A573,'Master List'!A:C,3,FALSE)))</f>
        <v>rochanavibhata@sfsu.edu</v>
      </c>
      <c r="E573" s="11" t="s">
        <v>140</v>
      </c>
      <c r="F573" s="4" t="str">
        <f>IF(OR(A573="",E573="","",A573="?",E573="?"),"duplicate?",IF(COUNTIFS($A:A,A573,E:E,E573)&gt;1,"yes","no"))</f>
        <v>no</v>
      </c>
      <c r="H573" s="12" t="s">
        <v>127</v>
      </c>
      <c r="I573" s="11" t="s">
        <v>99</v>
      </c>
      <c r="K573" s="97" t="str">
        <f ca="1">IF(J573="","Date",IF(J573&lt;&gt;"",IF(K573="Date",NOW(),K573),""))</f>
        <v>Date</v>
      </c>
    </row>
    <row r="574" spans="1:12">
      <c r="A574" s="11">
        <v>900043409</v>
      </c>
      <c r="B574" s="97">
        <f ca="1">IF(A574="","Date",IF(A574&lt;&gt;"",IF(B574="Date",NOW(),B574),""))</f>
        <v>45582.343616550927</v>
      </c>
      <c r="C574" s="19" t="str">
        <f>IF(ISBLANK(A574),"Name",IF(ISNA(VLOOKUP(A574,'Master List'!A:C,2,FALSE)), "Not Found", VLOOKUP(A574,'Master List'!A:C,2,FALSE)))</f>
        <v>Lucia Volk</v>
      </c>
      <c r="D574" s="19" t="str">
        <f>IF(ISBLANK(A574), "Email",IF(ISNA(VLOOKUP(A574,'Master List'!A:C,3,FALSE)), "Not Found", VLOOKUP(A574,'Master List'!A:C,3,FALSE)))</f>
        <v>lvolk@sfsu.edu</v>
      </c>
      <c r="E574" s="11" t="s">
        <v>25</v>
      </c>
      <c r="F574" s="4" t="str">
        <f>IF(OR(A574="",E574="","",A574="?",E574="?"),"duplicate?",IF(COUNTIFS($A:A,A574,E:E,E574)&gt;1,"yes","no"))</f>
        <v>yes</v>
      </c>
      <c r="H574" s="12" t="s">
        <v>127</v>
      </c>
      <c r="I574" s="11" t="s">
        <v>211</v>
      </c>
      <c r="K574" s="97" t="str">
        <f ca="1">IF(J574="","Date",IF(J574&lt;&gt;"",IF(K574="Date",NOW(),K574),""))</f>
        <v>Date</v>
      </c>
    </row>
    <row r="575" spans="1:12">
      <c r="A575" s="11">
        <v>909085598</v>
      </c>
      <c r="B575" s="97">
        <f ca="1">IF(A575="","Date",IF(A575&lt;&gt;"",IF(B575="Date",NOW(),B575),""))</f>
        <v>45583.659696759256</v>
      </c>
      <c r="C575" s="19" t="str">
        <f>IF(ISBLANK(A575),"Name",IF(ISNA(VLOOKUP(A575,'Master List'!A:C,2,FALSE)), "Not Found", VLOOKUP(A575,'Master List'!A:C,2,FALSE)))</f>
        <v>Steve Puig</v>
      </c>
      <c r="D575" s="19" t="str">
        <f>IF(ISBLANK(A575), "Email",IF(ISNA(VLOOKUP(A575,'Master List'!A:C,3,FALSE)), "Not Found", VLOOKUP(A575,'Master List'!A:C,3,FALSE)))</f>
        <v>spuig@sfsu.edu</v>
      </c>
      <c r="E575" s="11" t="s">
        <v>188</v>
      </c>
      <c r="F575" s="4" t="str">
        <f>IF(OR(A575="",E575="","",A575="?",E575="?"),"duplicate?",IF(COUNTIFS($A:A,A575,E:E,E575)&gt;1,"yes","no"))</f>
        <v>no</v>
      </c>
      <c r="H575" s="12" t="s">
        <v>127</v>
      </c>
      <c r="I575" s="11" t="s">
        <v>131</v>
      </c>
      <c r="K575" s="97" t="str">
        <f ca="1">IF(J575="","Date",IF(J575&lt;&gt;"",IF(K575="Date",NOW(),K575),""))</f>
        <v>Date</v>
      </c>
    </row>
    <row r="576" spans="1:12" ht="15.75" customHeight="1">
      <c r="A576" s="11">
        <v>909165340</v>
      </c>
      <c r="B576" s="97">
        <f ca="1">IF(A576="","Date",IF(A576&lt;&gt;"",IF(B576="Date",NOW(),B576),""))</f>
        <v>45587.527813657405</v>
      </c>
      <c r="C576" s="19" t="str">
        <f>IF(ISBLANK(A576),"Name",IF(ISNA(VLOOKUP(A576,'Master List'!A:C,2,FALSE)), "Not Found", VLOOKUP(A576,'Master List'!A:C,2,FALSE)))</f>
        <v>Denise Kleinrichert</v>
      </c>
      <c r="D576" s="19" t="str">
        <f>IF(ISBLANK(A576), "Email",IF(ISNA(VLOOKUP(A576,'Master List'!A:C,3,FALSE)), "Not Found", VLOOKUP(A576,'Master List'!A:C,3,FALSE)))</f>
        <v>dk@sfsu.edu</v>
      </c>
      <c r="E576" s="11" t="s">
        <v>92</v>
      </c>
      <c r="F576" s="4" t="str">
        <f>IF(OR(A576="",E576="","",A576="?",E576="?"),"duplicate?",IF(COUNTIFS($A:A,A576,E:E,E576)&gt;1,"yes","no"))</f>
        <v>no</v>
      </c>
      <c r="H576" s="12" t="s">
        <v>141</v>
      </c>
      <c r="I576" s="11" t="s">
        <v>66</v>
      </c>
      <c r="K576" s="97" t="str">
        <f ca="1">IF(J576="","Date",IF(J576&lt;&gt;"",IF(K576="Date",NOW(),K576),""))</f>
        <v>Date</v>
      </c>
    </row>
    <row r="577" spans="1:12">
      <c r="A577" s="11">
        <v>917180607</v>
      </c>
      <c r="B577" s="97">
        <f ca="1">IF(A577="","Date",IF(A577&lt;&gt;"",IF(B577="Date",NOW(),B577),""))</f>
        <v>45589.589394097224</v>
      </c>
      <c r="C577" s="19" t="str">
        <f>IF(ISBLANK(A577),"Name",IF(ISNA(VLOOKUP(A577,'Master List'!A:C,2,FALSE)), "Not Found", VLOOKUP(A577,'Master List'!A:C,2,FALSE)))</f>
        <v>Genievive del Mundo</v>
      </c>
      <c r="D577" s="19" t="str">
        <f>IF(ISBLANK(A577), "Email",IF(ISNA(VLOOKUP(A577,'Master List'!A:C,3,FALSE)), "Not Found", VLOOKUP(A577,'Master List'!A:C,3,FALSE)))</f>
        <v>gen@sfsu.edu</v>
      </c>
      <c r="E577" s="11" t="s">
        <v>123</v>
      </c>
      <c r="F577" s="4" t="str">
        <f>IF(OR(A577="",E577="","",A577="?",E577="?"),"duplicate?",IF(COUNTIFS($A:A,A577,E:E,E577)&gt;1,"yes","no"))</f>
        <v>no</v>
      </c>
      <c r="H577" s="12">
        <v>45587</v>
      </c>
      <c r="I577" s="11" t="s">
        <v>196</v>
      </c>
      <c r="K577" s="97" t="str">
        <f ca="1">IF(J577="","Date",IF(J577&lt;&gt;"",IF(K577="Date",NOW(),K577),""))</f>
        <v>Date</v>
      </c>
      <c r="L577" s="86" t="s">
        <v>212</v>
      </c>
    </row>
    <row r="578" spans="1:12">
      <c r="A578" s="11">
        <v>918855254</v>
      </c>
      <c r="B578" s="97">
        <f ca="1">IF(A578="","Date",IF(A578&lt;&gt;"",IF(B578="Date",NOW(),B578),""))</f>
        <v>45589.626507291665</v>
      </c>
      <c r="C578" s="19" t="str">
        <f>IF(ISBLANK(A578),"Name",IF(ISNA(VLOOKUP(A578,'Master List'!A:C,2,FALSE)), "Not Found", VLOOKUP(A578,'Master List'!A:C,2,FALSE)))</f>
        <v>Andrew Deibert</v>
      </c>
      <c r="D578" s="19" t="str">
        <f>IF(ISBLANK(A578), "Email",IF(ISNA(VLOOKUP(A578,'Master List'!A:C,3,FALSE)), "Not Found", VLOOKUP(A578,'Master List'!A:C,3,FALSE)))</f>
        <v>adeibert@sfsu.edu</v>
      </c>
      <c r="E578" s="11" t="s">
        <v>31</v>
      </c>
      <c r="F578" s="4" t="str">
        <f>IF(OR(A578="",E578="","",A578="?",E578="?"),"duplicate?",IF(COUNTIFS($A:A,A578,E:E,E578)&gt;1,"yes","no"))</f>
        <v>no</v>
      </c>
      <c r="H578" s="12" t="s">
        <v>141</v>
      </c>
      <c r="I578" s="11" t="s">
        <v>196</v>
      </c>
      <c r="K578" s="97" t="str">
        <f ca="1">IF(J578="","Date",IF(J578&lt;&gt;"",IF(K578="Date",NOW(),K578),""))</f>
        <v>Date</v>
      </c>
    </row>
    <row r="579" spans="1:12">
      <c r="A579" s="11">
        <v>918857178</v>
      </c>
      <c r="B579" s="97">
        <f ca="1">IF(A579="","Date",IF(A579&lt;&gt;"",IF(B579="Date",NOW(),B579),""))</f>
        <v>45600.367526851849</v>
      </c>
      <c r="C579" s="19" t="str">
        <f>IF(ISBLANK(A579),"Name",IF(ISNA(VLOOKUP(A579,'Master List'!A:C,2,FALSE)), "Not Found", VLOOKUP(A579,'Master List'!A:C,2,FALSE)))</f>
        <v>Sanika Doolani</v>
      </c>
      <c r="D579" s="19" t="str">
        <f>IF(ISBLANK(A579), "Email",IF(ISNA(VLOOKUP(A579,'Master List'!A:C,3,FALSE)), "Not Found", VLOOKUP(A579,'Master List'!A:C,3,FALSE)))</f>
        <v>sanikadoolani@sfsu.edu</v>
      </c>
      <c r="E579" s="11" t="s">
        <v>20</v>
      </c>
      <c r="F579" s="4" t="str">
        <f>IF(OR(A579="",E579="","",A579="?",E579="?"),"duplicate?",IF(COUNTIFS($A:A,A579,E:E,E579)&gt;1,"yes","no"))</f>
        <v>no</v>
      </c>
      <c r="H579" s="12" t="s">
        <v>134</v>
      </c>
      <c r="K579" s="97" t="str">
        <f ca="1">IF(J579="","Date",IF(J579&lt;&gt;"",IF(K579="Date",NOW(),K579),""))</f>
        <v>Date</v>
      </c>
    </row>
    <row r="580" spans="1:12">
      <c r="A580" s="11">
        <v>915848432</v>
      </c>
      <c r="B580" s="97">
        <f ca="1">IF(A580="","Date",IF(A580&lt;&gt;"",IF(B580="Date",NOW(),B580),""))</f>
        <v>45603.684235879628</v>
      </c>
      <c r="C580" s="19" t="str">
        <f>IF(ISBLANK(A580),"Name",IF(ISNA(VLOOKUP(A580,'Master List'!A:C,2,FALSE)), "Not Found", VLOOKUP(A580,'Master List'!A:C,2,FALSE)))</f>
        <v>Valerie Fernandez</v>
      </c>
      <c r="D580" s="19" t="str">
        <f>IF(ISBLANK(A580), "Email",IF(ISNA(VLOOKUP(A580,'Master List'!A:C,3,FALSE)), "Not Found", VLOOKUP(A580,'Master List'!A:C,3,FALSE)))</f>
        <v>vfernandez3@sfsu.edu</v>
      </c>
      <c r="E580" s="11" t="s">
        <v>38</v>
      </c>
      <c r="F580" s="4" t="str">
        <f>IF(OR(A580="",E580="","",A580="?",E580="?"),"duplicate?",IF(COUNTIFS($A:A,A580,E:E,E580)&gt;1,"yes","no"))</f>
        <v>yes</v>
      </c>
      <c r="G580" s="93" t="s">
        <v>213</v>
      </c>
      <c r="H580" s="12">
        <v>45678</v>
      </c>
      <c r="I580" s="11" t="s">
        <v>190</v>
      </c>
      <c r="K580" s="97" t="str">
        <f ca="1">IF(J580="","Date",IF(J580&lt;&gt;"",IF(K580="Date",NOW(),K580),""))</f>
        <v>Date</v>
      </c>
      <c r="L580" s="86" t="s">
        <v>214</v>
      </c>
    </row>
    <row r="581" spans="1:12">
      <c r="A581" s="11">
        <v>904898610</v>
      </c>
      <c r="B581" s="97">
        <f ca="1">IF(A581="","Date",IF(A581&lt;&gt;"",IF(B581="Date",NOW(),B581),""))</f>
        <v>45608.429343981479</v>
      </c>
      <c r="C581" s="19" t="str">
        <f>IF(ISBLANK(A581),"Name",IF(ISNA(VLOOKUP(A581,'Master List'!A:C,2,FALSE)), "Not Found", VLOOKUP(A581,'Master List'!A:C,2,FALSE)))</f>
        <v>Sarah Almaqousi</v>
      </c>
      <c r="D581" s="19" t="str">
        <f>IF(ISBLANK(A581), "Email",IF(ISNA(VLOOKUP(A581,'Master List'!A:C,3,FALSE)), "Not Found", VLOOKUP(A581,'Master List'!A:C,3,FALSE)))</f>
        <v xml:space="preserve"> sjones@sfsu.edu </v>
      </c>
      <c r="E581" s="11" t="s">
        <v>25</v>
      </c>
      <c r="F581" s="4" t="str">
        <f>IF(OR(A581="",E581="","",A581="?",E581="?"),"duplicate?",IF(COUNTIFS($A:A,A581,E:E,E581)&gt;1,"yes","no"))</f>
        <v>yes</v>
      </c>
      <c r="H581" s="12" t="s">
        <v>215</v>
      </c>
      <c r="I581" s="11" t="s">
        <v>176</v>
      </c>
      <c r="K581" s="97" t="str">
        <f ca="1">IF(J581="","Date",IF(J581&lt;&gt;"",IF(K581="Date",NOW(),K581),""))</f>
        <v>Date</v>
      </c>
      <c r="L581" s="86" t="s">
        <v>216</v>
      </c>
    </row>
    <row r="582" spans="1:12">
      <c r="A582" s="11">
        <v>909802821</v>
      </c>
      <c r="B582" s="97">
        <f ca="1">IF(A582="","Date",IF(A582&lt;&gt;"",IF(B582="Date",NOW(),B582),""))</f>
        <v>45614.482862268516</v>
      </c>
      <c r="C582" s="19" t="str">
        <f>IF(ISBLANK(A582),"Name",IF(ISNA(VLOOKUP(A582,'Master List'!A:C,2,FALSE)), "Not Found", VLOOKUP(A582,'Master List'!A:C,2,FALSE)))</f>
        <v>Sharon Jones</v>
      </c>
      <c r="D582" s="19" t="str">
        <f>IF(ISBLANK(A582), "Email",IF(ISNA(VLOOKUP(A582,'Master List'!A:C,3,FALSE)), "Not Found", VLOOKUP(A582,'Master List'!A:C,3,FALSE)))</f>
        <v>saj@sfsu.edu</v>
      </c>
      <c r="E582" s="11" t="s">
        <v>25</v>
      </c>
      <c r="F582" s="4" t="s">
        <v>217</v>
      </c>
      <c r="H582" s="12" t="s">
        <v>218</v>
      </c>
      <c r="I582" s="11" t="s">
        <v>61</v>
      </c>
      <c r="K582" s="97" t="str">
        <f ca="1">IF(J582="","Date",IF(J582&lt;&gt;"",IF(K582="Date",NOW(),K582),""))</f>
        <v>Date</v>
      </c>
    </row>
    <row r="583" spans="1:12">
      <c r="A583" s="11">
        <v>910589178</v>
      </c>
      <c r="B583" s="97">
        <f ca="1">IF(A583="","Date",IF(A583&lt;&gt;"",IF(B583="Date",NOW(),B583),""))</f>
        <v>45631.562310763889</v>
      </c>
      <c r="C583" s="19" t="str">
        <f>IF(ISBLANK(A583),"Name",IF(ISNA(VLOOKUP(A583,'Master List'!A:C,2,FALSE)), "Not Found", VLOOKUP(A583,'Master List'!A:C,2,FALSE)))</f>
        <v>Daniel Curtis-Cummins</v>
      </c>
      <c r="D583" s="19" t="str">
        <f>IF(ISBLANK(A583), "Email",IF(ISNA(VLOOKUP(A583,'Master List'!A:C,3,FALSE)), "Not Found", VLOOKUP(A583,'Master List'!A:C,3,FALSE)))</f>
        <v>dcc123@sfsu.edu</v>
      </c>
      <c r="E583" s="11" t="s">
        <v>219</v>
      </c>
      <c r="F583" s="4" t="str">
        <f>IF(OR(A583="",E583="","",A583="?",E583="?"),"duplicate?",IF(COUNTIFS($A:A,A583,E:E,E583)&gt;1,"yes","no"))</f>
        <v>no</v>
      </c>
      <c r="H583" s="12" t="s">
        <v>141</v>
      </c>
      <c r="I583" s="11" t="s">
        <v>196</v>
      </c>
      <c r="K583" s="97" t="str">
        <f ca="1">IF(J583="","Date",IF(J583&lt;&gt;"",IF(K583="Date",NOW(),K583),""))</f>
        <v>Date</v>
      </c>
    </row>
    <row r="584" spans="1:12">
      <c r="A584" s="11">
        <v>915848432</v>
      </c>
      <c r="B584" s="97">
        <f ca="1">IF(A584="","Date",IF(A584&lt;&gt;"",IF(B584="Date",NOW(),B584),""))</f>
        <v>45631.570874884259</v>
      </c>
      <c r="C584" s="19" t="str">
        <f>IF(ISBLANK(A584),"Name",IF(ISNA(VLOOKUP(A584,'Master List'!A:C,2,FALSE)), "Not Found", VLOOKUP(A584,'Master List'!A:C,2,FALSE)))</f>
        <v>Valerie Fernandez</v>
      </c>
      <c r="D584" s="19" t="str">
        <f>IF(ISBLANK(A584), "Email",IF(ISNA(VLOOKUP(A584,'Master List'!A:C,3,FALSE)), "Not Found", VLOOKUP(A584,'Master List'!A:C,3,FALSE)))</f>
        <v>vfernandez3@sfsu.edu</v>
      </c>
      <c r="E584" s="11" t="s">
        <v>38</v>
      </c>
      <c r="F584" s="4" t="str">
        <f>IF(OR(A584="",E584="","",A584="?",E584="?"),"duplicate?",IF(COUNTIFS($A:A,A584,E:E,E584)&gt;1,"yes","no"))</f>
        <v>yes</v>
      </c>
      <c r="G584" s="93" t="s">
        <v>220</v>
      </c>
      <c r="H584" s="12">
        <v>45678</v>
      </c>
      <c r="I584" s="11" t="s">
        <v>196</v>
      </c>
      <c r="K584" s="97" t="str">
        <f ca="1">IF(J584="","Date",IF(J584&lt;&gt;"",IF(K584="Date",NOW(),K584),""))</f>
        <v>Date</v>
      </c>
      <c r="L584" s="86" t="s">
        <v>214</v>
      </c>
    </row>
    <row r="585" spans="1:12">
      <c r="A585" s="11">
        <v>900016551</v>
      </c>
      <c r="B585" s="97">
        <f ca="1">IF(A585="","Date",IF(A585&lt;&gt;"",IF(B585="Date",NOW(),B585),""))</f>
        <v>45642.657589236114</v>
      </c>
      <c r="C585" s="19" t="str">
        <f>IF(ISBLANK(A585),"Name",IF(ISNA(VLOOKUP(A585,'Master List'!A:C,2,FALSE)), "Not Found", VLOOKUP(A585,'Master List'!A:C,2,FALSE)))</f>
        <v>Nicole Watts</v>
      </c>
      <c r="D585" s="19" t="str">
        <f>IF(ISBLANK(A585), "Email",IF(ISNA(VLOOKUP(A585,'Master List'!A:C,3,FALSE)), "Not Found", VLOOKUP(A585,'Master List'!A:C,3,FALSE)))</f>
        <v>nfwatts@sfsu.edu</v>
      </c>
      <c r="E585" s="11" t="s">
        <v>41</v>
      </c>
      <c r="F585" s="4" t="str">
        <f>IF(OR(A585="",E585="","",A585="?",E585="?"),"duplicate?",IF(COUNTIFS($A:A,A585,E:E,E585)&gt;1,"yes","no"))</f>
        <v>no</v>
      </c>
      <c r="H585" s="12" t="s">
        <v>141</v>
      </c>
      <c r="I585" s="11" t="s">
        <v>176</v>
      </c>
      <c r="K585" s="97" t="str">
        <f ca="1">IF(J585="","Date",IF(J585&lt;&gt;"",IF(K585="Date",NOW(),K585),""))</f>
        <v>Date</v>
      </c>
    </row>
    <row r="586" spans="1:12">
      <c r="A586" s="11">
        <v>900016551</v>
      </c>
      <c r="B586" s="97">
        <f ca="1">IF(A586="","Date",IF(A586&lt;&gt;"",IF(B586="Date",NOW(),B586),""))</f>
        <v>45642.660094212966</v>
      </c>
      <c r="C586" s="19" t="str">
        <f>IF(ISBLANK(A586),"Name",IF(ISNA(VLOOKUP(A586,'Master List'!A:C,2,FALSE)), "Not Found", VLOOKUP(A586,'Master List'!A:C,2,FALSE)))</f>
        <v>Nicole Watts</v>
      </c>
      <c r="D586" s="19" t="str">
        <f>IF(ISBLANK(A586), "Email",IF(ISNA(VLOOKUP(A586,'Master List'!A:C,3,FALSE)), "Not Found", VLOOKUP(A586,'Master List'!A:C,3,FALSE)))</f>
        <v>nfwatts@sfsu.edu</v>
      </c>
      <c r="E586" s="11" t="s">
        <v>221</v>
      </c>
      <c r="F586" s="4" t="str">
        <f>IF(OR(A586="",E586="","",A586="?",E586="?"),"duplicate?",IF(COUNTIFS($A:A,A586,E:E,E586)&gt;1,"yes","no"))</f>
        <v>no</v>
      </c>
      <c r="H586" s="12" t="s">
        <v>141</v>
      </c>
      <c r="I586" s="11" t="s">
        <v>176</v>
      </c>
      <c r="K586" s="97" t="str">
        <f ca="1">IF(J586="","Date",IF(J586&lt;&gt;"",IF(K586="Date",NOW(),K586),""))</f>
        <v>Date</v>
      </c>
    </row>
    <row r="587" spans="1:12">
      <c r="A587" s="11">
        <v>910603959</v>
      </c>
      <c r="B587" s="97">
        <f ca="1">IF(A587="","Date",IF(A587&lt;&gt;"",IF(B587="Date",NOW(),B587),""))</f>
        <v>45646.671764004626</v>
      </c>
      <c r="C587" s="19" t="str">
        <f>IF(ISBLANK(A587),"Name",IF(ISNA(VLOOKUP(A587,'Master List'!A:C,2,FALSE)), "Not Found", VLOOKUP(A587,'Master List'!A:C,2,FALSE)))</f>
        <v>Daniela Balkanska</v>
      </c>
      <c r="D587" s="19" t="str">
        <f>IF(ISBLANK(A587), "Email",IF(ISNA(VLOOKUP(A587,'Master List'!A:C,3,FALSE)), "Not Found", VLOOKUP(A587,'Master List'!A:C,3,FALSE)))</f>
        <v>dbalkans@sfsu.edu</v>
      </c>
      <c r="E587" s="11" t="s">
        <v>112</v>
      </c>
      <c r="F587" s="4" t="str">
        <f>IF(OR(A587="",E587="","",A587="?",E587="?"),"duplicate?",IF(COUNTIFS($A:A,A587,E:E,E587)&gt;1,"yes","no"))</f>
        <v>no</v>
      </c>
      <c r="H587" s="12">
        <v>45807</v>
      </c>
      <c r="I587" s="11" t="s">
        <v>66</v>
      </c>
      <c r="K587" s="97" t="str">
        <f ca="1">IF(J587="","Date",IF(J587&lt;&gt;"",IF(K587="Date",NOW(),K587),""))</f>
        <v>Date</v>
      </c>
    </row>
    <row r="588" spans="1:12">
      <c r="A588" s="11">
        <v>910603959</v>
      </c>
      <c r="B588" s="97">
        <f ca="1">IF(A588="","Date",IF(A588&lt;&gt;"",IF(B588="Date",NOW(),B588),""))</f>
        <v>45646.671945833332</v>
      </c>
      <c r="C588" s="19" t="str">
        <f>IF(ISBLANK(A588),"Name",IF(ISNA(VLOOKUP(A588,'Master List'!A:C,2,FALSE)), "Not Found", VLOOKUP(A588,'Master List'!A:C,2,FALSE)))</f>
        <v>Daniela Balkanska</v>
      </c>
      <c r="D588" s="19" t="str">
        <f>IF(ISBLANK(A588), "Email",IF(ISNA(VLOOKUP(A588,'Master List'!A:C,3,FALSE)), "Not Found", VLOOKUP(A588,'Master List'!A:C,3,FALSE)))</f>
        <v>dbalkans@sfsu.edu</v>
      </c>
      <c r="E588" s="11" t="s">
        <v>30</v>
      </c>
      <c r="F588" s="4" t="str">
        <f>IF(OR(A588="",E588="","",A588="?",E588="?"),"duplicate?",IF(COUNTIFS($A:A,A588,E:E,E588)&gt;1,"yes","no"))</f>
        <v>no</v>
      </c>
      <c r="H588" s="12">
        <v>45807</v>
      </c>
      <c r="I588" s="11" t="s">
        <v>66</v>
      </c>
      <c r="K588" s="97" t="str">
        <f ca="1">IF(J588="","Date",IF(J588&lt;&gt;"",IF(K588="Date",NOW(),K588),""))</f>
        <v>Date</v>
      </c>
    </row>
    <row r="589" spans="1:12">
      <c r="A589" s="11">
        <v>910603959</v>
      </c>
      <c r="B589" s="97">
        <f ca="1">IF(A589="","Date",IF(A589&lt;&gt;"",IF(B589="Date",NOW(),B589),""))</f>
        <v>45646.671997916666</v>
      </c>
      <c r="C589" s="19" t="str">
        <f>IF(ISBLANK(A589),"Name",IF(ISNA(VLOOKUP(A589,'Master List'!A:C,2,FALSE)), "Not Found", VLOOKUP(A589,'Master List'!A:C,2,FALSE)))</f>
        <v>Daniela Balkanska</v>
      </c>
      <c r="D589" s="19" t="str">
        <f>IF(ISBLANK(A589), "Email",IF(ISNA(VLOOKUP(A589,'Master List'!A:C,3,FALSE)), "Not Found", VLOOKUP(A589,'Master List'!A:C,3,FALSE)))</f>
        <v>dbalkans@sfsu.edu</v>
      </c>
      <c r="E589" s="11" t="s">
        <v>76</v>
      </c>
      <c r="F589" s="4" t="str">
        <f>IF(OR(A589="",E589="","",A589="?",E589="?"),"duplicate?",IF(COUNTIFS($A:A,A589,E:E,E589)&gt;1,"yes","no"))</f>
        <v>no</v>
      </c>
      <c r="H589" s="12">
        <v>45807</v>
      </c>
      <c r="I589" s="11" t="s">
        <v>66</v>
      </c>
      <c r="K589" s="97" t="str">
        <f ca="1">IF(J589="","Date",IF(J589&lt;&gt;"",IF(K589="Date",NOW(),K589),""))</f>
        <v>Date</v>
      </c>
    </row>
    <row r="590" spans="1:12">
      <c r="A590" s="11">
        <v>918850574</v>
      </c>
      <c r="B590" s="97">
        <f ca="1">IF(A590="","Date",IF(A590&lt;&gt;"",IF(B590="Date",NOW(),B590),""))</f>
        <v>45679.588748842594</v>
      </c>
      <c r="C590" s="19" t="str">
        <f>IF(ISBLANK(A590),"Name",IF(ISNA(VLOOKUP(A590,'Master List'!A:C,2,FALSE)), "Not Found", VLOOKUP(A590,'Master List'!A:C,2,FALSE)))</f>
        <v>Lilian Gathua</v>
      </c>
      <c r="D590" s="19" t="str">
        <f>IF(ISBLANK(A590), "Email",IF(ISNA(VLOOKUP(A590,'Master List'!A:C,3,FALSE)), "Not Found", VLOOKUP(A590,'Master List'!A:C,3,FALSE)))</f>
        <v>liliangathua@sfsu.edu</v>
      </c>
      <c r="E590" s="11" t="s">
        <v>78</v>
      </c>
      <c r="F590" s="4" t="str">
        <f>IF(OR(A590="",E590="","",A590="?",E590="?"),"duplicate?",IF(COUNTIFS($A:A,A590,E:E,E590)&gt;1,"yes","no"))</f>
        <v>no</v>
      </c>
      <c r="H590" s="12" t="s">
        <v>177</v>
      </c>
      <c r="I590" s="11" t="s">
        <v>155</v>
      </c>
      <c r="K590" s="97" t="str">
        <f ca="1">IF(J590="","Date",IF(J590&lt;&gt;"",IF(K590="Date",NOW(),K590),""))</f>
        <v>Date</v>
      </c>
    </row>
    <row r="591" spans="1:12">
      <c r="A591" s="11">
        <v>909169370</v>
      </c>
      <c r="B591" s="97">
        <f ca="1">IF(A591="","Date",IF(A591&lt;&gt;"",IF(B591="Date",NOW(),B591),""))</f>
        <v>45681.589093865739</v>
      </c>
      <c r="C591" s="19" t="str">
        <f>IF(ISBLANK(A591),"Name",IF(ISNA(VLOOKUP(A591,'Master List'!A:C,2,FALSE)), "Not Found", VLOOKUP(A591,'Master List'!A:C,2,FALSE)))</f>
        <v>Veronika Papyrina</v>
      </c>
      <c r="D591" s="19" t="str">
        <f>IF(ISBLANK(A591), "Email",IF(ISNA(VLOOKUP(A591,'Master List'!A:C,3,FALSE)), "Not Found", VLOOKUP(A591,'Master List'!A:C,3,FALSE)))</f>
        <v>papyrina@sfsu.edu</v>
      </c>
      <c r="E591" s="11" t="s">
        <v>174</v>
      </c>
      <c r="F591" s="4" t="str">
        <f>IF(OR(A591="",E591="","",A591="?",E591="?"),"duplicate?",IF(COUNTIFS($A:A,A591,E:E,E591)&gt;1,"yes","no"))</f>
        <v>no</v>
      </c>
      <c r="H591" s="12">
        <v>45808</v>
      </c>
      <c r="I591" s="11" t="s">
        <v>155</v>
      </c>
      <c r="K591" s="97" t="str">
        <f ca="1">IF(J591="","Date",IF(J591&lt;&gt;"",IF(K591="Date",NOW(),K591),""))</f>
        <v>Date</v>
      </c>
    </row>
    <row r="592" spans="1:12">
      <c r="A592" s="11">
        <v>900031202</v>
      </c>
      <c r="B592" s="97">
        <f ca="1">IF(A592="","Date",IF(A592&lt;&gt;"",IF(B592="Date",NOW(),B592),""))</f>
        <v>45684.483095601849</v>
      </c>
      <c r="C592" s="19" t="str">
        <f>IF(ISBLANK(A592),"Name",IF(ISNA(VLOOKUP(A592,'Master List'!A:C,2,FALSE)), "Not Found", VLOOKUP(A592,'Master List'!A:C,2,FALSE)))</f>
        <v>Natalia Tkachov</v>
      </c>
      <c r="D592" s="19" t="str">
        <f>IF(ISBLANK(A592), "Email",IF(ISNA(VLOOKUP(A592,'Master List'!A:C,3,FALSE)), "Not Found", VLOOKUP(A592,'Master List'!A:C,3,FALSE)))</f>
        <v>ntkachov@sfsu.edu</v>
      </c>
      <c r="E592" s="11" t="s">
        <v>92</v>
      </c>
      <c r="F592" s="4" t="str">
        <f>IF(OR(A592="",E592="","",A592="?",E592="?"),"duplicate?",IF(COUNTIFS($A:A,A592,E:E,E592)&gt;1,"yes","no"))</f>
        <v>no</v>
      </c>
      <c r="H592" s="12" t="s">
        <v>222</v>
      </c>
      <c r="I592" s="11" t="s">
        <v>61</v>
      </c>
      <c r="K592" s="97" t="str">
        <f ca="1">IF(J592="","Date",IF(J592&lt;&gt;"",IF(K592="Date",NOW(),K592),""))</f>
        <v>Date</v>
      </c>
    </row>
    <row r="593" spans="1:12">
      <c r="A593" s="11">
        <v>910626670</v>
      </c>
      <c r="B593" s="97">
        <f ca="1">IF(A593="","Date",IF(A593&lt;&gt;"",IF(B593="Date",NOW(),B593),""))</f>
        <v>45687.579623611113</v>
      </c>
      <c r="C593" s="19" t="str">
        <f>IF(ISBLANK(A593),"Name",IF(ISNA(VLOOKUP(A593,'Master List'!A:C,2,FALSE)), "Not Found", VLOOKUP(A593,'Master List'!A:C,2,FALSE)))</f>
        <v>Jason McDaniel</v>
      </c>
      <c r="D593" s="19" t="str">
        <f>IF(ISBLANK(A593), "Email",IF(ISNA(VLOOKUP(A593,'Master List'!A:C,3,FALSE)), "Not Found", VLOOKUP(A593,'Master List'!A:C,3,FALSE)))</f>
        <v>mcdaniel@sfsu.edu</v>
      </c>
      <c r="E593" s="11" t="s">
        <v>28</v>
      </c>
      <c r="F593" s="4" t="str">
        <f>IF(OR(A593="",E593="","",A593="?",E593="?"),"duplicate?",IF(COUNTIFS($A:A,A593,E:E,E593)&gt;1,"yes","no"))</f>
        <v>no</v>
      </c>
      <c r="G593" s="93" t="s">
        <v>223</v>
      </c>
      <c r="H593" s="12" t="s">
        <v>21</v>
      </c>
      <c r="I593" s="11" t="s">
        <v>66</v>
      </c>
      <c r="K593" s="97" t="str">
        <f ca="1">IF(J593="","Date",IF(J593&lt;&gt;"",IF(K593="Date",NOW(),K593),""))</f>
        <v>Date</v>
      </c>
      <c r="L593" s="86" t="s">
        <v>224</v>
      </c>
    </row>
    <row r="594" spans="1:12">
      <c r="A594" s="11">
        <v>904239211</v>
      </c>
      <c r="B594" s="97">
        <f ca="1">IF(A594="","Date",IF(A594&lt;&gt;"",IF(B594="Date",NOW(),B594),""))</f>
        <v>45692.60779548611</v>
      </c>
      <c r="C594" s="19" t="str">
        <f>IF(ISBLANK(A594),"Name",IF(ISNA(VLOOKUP(A594,'Master List'!A:C,2,FALSE)), "Not Found", VLOOKUP(A594,'Master List'!A:C,2,FALSE)))</f>
        <v>Nancy Martin</v>
      </c>
      <c r="D594" s="19" t="str">
        <f>IF(ISBLANK(A594), "Email",IF(ISNA(VLOOKUP(A594,'Master List'!A:C,3,FALSE)), "Not Found", VLOOKUP(A594,'Master List'!A:C,3,FALSE)))</f>
        <v>nmarti10@mail.sfsu.edu</v>
      </c>
      <c r="E594" s="11" t="s">
        <v>225</v>
      </c>
      <c r="F594" s="4" t="str">
        <f>IF(OR(A594="",E594="","",A594="?",E594="?"),"duplicate?",IF(COUNTIFS($A:A,A594,E:E,E594)&gt;1,"yes","no"))</f>
        <v>no</v>
      </c>
      <c r="G594" s="93">
        <v>1</v>
      </c>
      <c r="H594" s="12" t="s">
        <v>124</v>
      </c>
      <c r="I594" s="11" t="s">
        <v>99</v>
      </c>
      <c r="K594" s="97" t="str">
        <f ca="1">IF(J594="","Date",IF(J594&lt;&gt;"",IF(K594="Date",NOW(),K594),""))</f>
        <v>Date</v>
      </c>
      <c r="L594" s="86" t="s">
        <v>226</v>
      </c>
    </row>
    <row r="595" spans="1:12">
      <c r="A595" s="11">
        <v>904239211</v>
      </c>
      <c r="B595" s="97">
        <f ca="1">IF(A595="","Date",IF(A595&lt;&gt;"",IF(B595="Date",NOW(),B595),""))</f>
        <v>45692.608430439817</v>
      </c>
      <c r="C595" s="19" t="str">
        <f>IF(ISBLANK(A595),"Name",IF(ISNA(VLOOKUP(A595,'Master List'!A:C,2,FALSE)), "Not Found", VLOOKUP(A595,'Master List'!A:C,2,FALSE)))</f>
        <v>Nancy Martin</v>
      </c>
      <c r="D595" s="19" t="str">
        <f>IF(ISBLANK(A595), "Email",IF(ISNA(VLOOKUP(A595,'Master List'!A:C,3,FALSE)), "Not Found", VLOOKUP(A595,'Master List'!A:C,3,FALSE)))</f>
        <v>nmarti10@mail.sfsu.edu</v>
      </c>
      <c r="E595" s="11" t="s">
        <v>227</v>
      </c>
      <c r="F595" s="4" t="str">
        <f>IF(OR(A595="",E595="","",A595="?",E595="?"),"duplicate?",IF(COUNTIFS($A:A,A595,E:E,E595)&gt;1,"yes","no"))</f>
        <v>no</v>
      </c>
      <c r="G595" s="93" t="s">
        <v>15</v>
      </c>
      <c r="H595" s="12" t="s">
        <v>124</v>
      </c>
      <c r="I595" s="11" t="s">
        <v>99</v>
      </c>
      <c r="K595" s="97" t="str">
        <f ca="1">IF(J595="","Date",IF(J595&lt;&gt;"",IF(K595="Date",NOW(),K595),""))</f>
        <v>Date</v>
      </c>
    </row>
    <row r="596" spans="1:12">
      <c r="A596" s="11">
        <v>900002446</v>
      </c>
      <c r="B596" s="97">
        <f ca="1">IF(A596="","Date",IF(A596&lt;&gt;"",IF(B596="Date",NOW(),B596),""))</f>
        <v>45693.432147222222</v>
      </c>
      <c r="C596" s="19" t="str">
        <f>IF(ISBLANK(A596),"Name",IF(ISNA(VLOOKUP(A596,'Master List'!A:C,2,FALSE)), "Not Found", VLOOKUP(A596,'Master List'!A:C,2,FALSE)))</f>
        <v>Hamid Shahnasser</v>
      </c>
      <c r="D596" s="19" t="str">
        <f>IF(ISBLANK(A596), "Email",IF(ISNA(VLOOKUP(A596,'Master List'!A:C,3,FALSE)), "Not Found", VLOOKUP(A596,'Master List'!A:C,3,FALSE)))</f>
        <v>hamid@sfsu.edu</v>
      </c>
      <c r="E596" s="11" t="s">
        <v>175</v>
      </c>
      <c r="F596" s="4" t="str">
        <f>IF(OR(A596="",E596="","",A596="?",E596="?"),"duplicate?",IF(COUNTIFS($A:A,A596,E:E,E596)&gt;1,"yes","no"))</f>
        <v>no</v>
      </c>
      <c r="G596" s="93" t="s">
        <v>15</v>
      </c>
      <c r="H596" s="12" t="s">
        <v>165</v>
      </c>
      <c r="I596" s="11" t="s">
        <v>176</v>
      </c>
      <c r="K596" s="97" t="str">
        <f ca="1">IF(J596="","Date",IF(J596&lt;&gt;"",IF(K596="Date",NOW(),K596),""))</f>
        <v>Date</v>
      </c>
    </row>
    <row r="597" spans="1:12">
      <c r="A597" s="11">
        <v>916478035</v>
      </c>
      <c r="B597" s="97">
        <f ca="1">IF(A597="","Date",IF(A597&lt;&gt;"",IF(B597="Date",NOW(),B597),""))</f>
        <v>45693.448267361113</v>
      </c>
      <c r="C597" s="19" t="str">
        <f>IF(ISBLANK(A597),"Name",IF(ISNA(VLOOKUP(A597,'Master List'!A:C,2,FALSE)), "Not Found", VLOOKUP(A597,'Master List'!A:C,2,FALSE)))</f>
        <v>Min Chen</v>
      </c>
      <c r="D597" s="19" t="str">
        <f>IF(ISBLANK(A597), "Email",IF(ISNA(VLOOKUP(A597,'Master List'!A:C,3,FALSE)), "Not Found", VLOOKUP(A597,'Master List'!A:C,3,FALSE)))</f>
        <v>mchen11@sfsu.edu</v>
      </c>
      <c r="E597" s="11" t="s">
        <v>28</v>
      </c>
      <c r="F597" s="4" t="str">
        <f>IF(OR(A597="",E597="","",A597="?",E597="?"),"duplicate?",IF(COUNTIFS($A:A,A597,E:E,E597)&gt;1,"yes","no"))</f>
        <v>no</v>
      </c>
      <c r="G597" s="93" t="s">
        <v>228</v>
      </c>
      <c r="H597" s="12" t="s">
        <v>127</v>
      </c>
      <c r="I597" s="11" t="s">
        <v>66</v>
      </c>
      <c r="K597" s="97" t="str">
        <f ca="1">IF(J597="","Date",IF(J597&lt;&gt;"",IF(K597="Date",NOW(),K597),""))</f>
        <v>Date</v>
      </c>
    </row>
    <row r="598" spans="1:12">
      <c r="A598" s="11">
        <v>918855254</v>
      </c>
      <c r="B598" s="97">
        <f ca="1">IF(A598="","Date",IF(A598&lt;&gt;"",IF(B598="Date",NOW(),B598),""))</f>
        <v>45693.51023900463</v>
      </c>
      <c r="C598" s="19" t="str">
        <f>IF(ISBLANK(A598),"Name",IF(ISNA(VLOOKUP(A598,'Master List'!A:C,2,FALSE)), "Not Found", VLOOKUP(A598,'Master List'!A:C,2,FALSE)))</f>
        <v>Andrew Deibert</v>
      </c>
      <c r="D598" s="19" t="str">
        <f>IF(ISBLANK(A598), "Email",IF(ISNA(VLOOKUP(A598,'Master List'!A:C,3,FALSE)), "Not Found", VLOOKUP(A598,'Master List'!A:C,3,FALSE)))</f>
        <v>adeibert@sfsu.edu</v>
      </c>
      <c r="E598" s="11" t="s">
        <v>201</v>
      </c>
      <c r="F598" s="4" t="str">
        <f>IF(OR(A598="",E598="","",A598="?",E598="?"),"duplicate?",IF(COUNTIFS($A:A,A598,E:E,E598)&gt;1,"yes","no"))</f>
        <v>no</v>
      </c>
      <c r="H598" s="12" t="s">
        <v>137</v>
      </c>
      <c r="I598" s="11" t="s">
        <v>99</v>
      </c>
      <c r="K598" s="97" t="str">
        <f ca="1">IF(J598="","Date",IF(J598&lt;&gt;"",IF(K598="Date",NOW(),K598),""))</f>
        <v>Date</v>
      </c>
    </row>
    <row r="599" spans="1:12">
      <c r="A599" s="11">
        <v>910658039</v>
      </c>
      <c r="B599" s="97">
        <f ca="1">IF(A599="","Date",IF(A599&lt;&gt;"",IF(B599="Date",NOW(),B599),""))</f>
        <v>45698.725590509261</v>
      </c>
      <c r="C599" s="19" t="str">
        <f>IF(ISBLANK(A599),"Name",IF(ISNA(VLOOKUP(A599,'Master List'!A:C,2,FALSE)), "Not Found", VLOOKUP(A599,'Master List'!A:C,2,FALSE)))</f>
        <v>Jeremy Domasian</v>
      </c>
      <c r="D599" s="19" t="str">
        <f>IF(ISBLANK(A599), "Email",IF(ISNA(VLOOKUP(A599,'Master List'!A:C,3,FALSE)), "Not Found", VLOOKUP(A599,'Master List'!A:C,3,FALSE)))</f>
        <v>jeremy@sfsu.edu</v>
      </c>
      <c r="E599" s="11" t="s">
        <v>23</v>
      </c>
      <c r="F599" s="4" t="str">
        <f>IF(OR(A599="",E599="","",A599="?",E599="?"),"duplicate?",IF(COUNTIFS($A:A,A599,E:E,E599)&gt;1,"yes","no"))</f>
        <v>no</v>
      </c>
      <c r="H599" s="12" t="s">
        <v>229</v>
      </c>
      <c r="I599" s="11" t="s">
        <v>153</v>
      </c>
      <c r="K599" s="97" t="str">
        <f ca="1">IF(J599="","Date",IF(J599&lt;&gt;"",IF(K599="Date",NOW(),K599),""))</f>
        <v>Date</v>
      </c>
    </row>
    <row r="600" spans="1:12">
      <c r="A600" s="11">
        <v>913759800</v>
      </c>
      <c r="B600" s="97">
        <f ca="1">IF(A600="","Date",IF(A600&lt;&gt;"",IF(B600="Date",NOW(),B600),""))</f>
        <v>45707.562452893515</v>
      </c>
      <c r="C600" s="19" t="str">
        <f>IF(ISBLANK(A600),"Name",IF(ISNA(VLOOKUP(A600,'Master List'!A:C,2,FALSE)), "Not Found", VLOOKUP(A600,'Master List'!A:C,2,FALSE)))</f>
        <v>Peter DeHaas</v>
      </c>
      <c r="D600" s="19" t="str">
        <f>IF(ISBLANK(A600), "Email",IF(ISNA(VLOOKUP(A600,'Master List'!A:C,3,FALSE)), "Not Found", VLOOKUP(A600,'Master List'!A:C,3,FALSE)))</f>
        <v>pdehaas@sfsu.edu</v>
      </c>
      <c r="E600" s="11" t="s">
        <v>92</v>
      </c>
      <c r="F600" s="4" t="str">
        <f>IF(OR(A600="",E600="","",A600="?",E600="?"),"duplicate?",IF(COUNTIFS($A:A,A600,E:E,E600)&gt;1,"yes","no"))</f>
        <v>no</v>
      </c>
      <c r="H600" s="12" t="s">
        <v>21</v>
      </c>
      <c r="I600" s="11" t="s">
        <v>66</v>
      </c>
      <c r="K600" s="97" t="str">
        <f ca="1">IF(J600="","Date",IF(J600&lt;&gt;"",IF(K600="Date",NOW(),K600),""))</f>
        <v>Date</v>
      </c>
    </row>
    <row r="601" spans="1:12">
      <c r="A601" s="11">
        <v>917259257</v>
      </c>
      <c r="B601" s="97">
        <f ca="1">IF(A601="","Date",IF(A601&lt;&gt;"",IF(B601="Date",NOW(),B601),""))</f>
        <v>45707.777128472226</v>
      </c>
      <c r="C601" s="19" t="str">
        <f>IF(ISBLANK(A601),"Name",IF(ISNA(VLOOKUP(A601,'Master List'!A:C,2,FALSE)), "Not Found", VLOOKUP(A601,'Master List'!A:C,2,FALSE)))</f>
        <v>Shih Chu Chou</v>
      </c>
      <c r="D601" s="19" t="str">
        <f>IF(ISBLANK(A601), "Email",IF(ISNA(VLOOKUP(A601,'Master List'!A:C,3,FALSE)), "Not Found", VLOOKUP(A601,'Master List'!A:C,3,FALSE)))</f>
        <v>scchou@sfsu.edu</v>
      </c>
      <c r="E601" s="11" t="s">
        <v>27</v>
      </c>
      <c r="F601" s="4" t="str">
        <f>IF(OR(A601="",E601="","",A601="?",E601="?"),"duplicate?",IF(COUNTIFS($A:A,A601,E:E,E601)&gt;1,"yes","no"))</f>
        <v>no</v>
      </c>
      <c r="H601" s="12" t="s">
        <v>230</v>
      </c>
      <c r="I601" s="11" t="s">
        <v>153</v>
      </c>
      <c r="K601" s="97" t="str">
        <f ca="1">IF(J601="","Date",IF(J601&lt;&gt;"",IF(K601="Date",NOW(),K601),""))</f>
        <v>Date</v>
      </c>
    </row>
    <row r="602" spans="1:12">
      <c r="A602" s="11" t="s">
        <v>231</v>
      </c>
      <c r="B602" s="97">
        <f ca="1">IF(A602="","Date",IF(A602&lt;&gt;"",IF(B602="Date",NOW(),B602),""))</f>
        <v>45713.421579050926</v>
      </c>
      <c r="C602" s="19" t="str">
        <f>IF(ISBLANK(A602),"Name",IF(ISNA(VLOOKUP(A602,'Master List'!A:C,2,FALSE)), "Not Found", VLOOKUP(A602,'Master List'!A:C,2,FALSE)))</f>
        <v>Not Found</v>
      </c>
      <c r="D602" s="19" t="str">
        <f>IF(ISBLANK(A602), "Email",IF(ISNA(VLOOKUP(A602,'Master List'!A:C,3,FALSE)), "Not Found", VLOOKUP(A602,'Master List'!A:C,3,FALSE)))</f>
        <v>Not Found</v>
      </c>
      <c r="E602" s="11" t="s">
        <v>36</v>
      </c>
      <c r="F602" s="4" t="str">
        <f>IF(OR(A602="",E602="","",A602="?",E602="?"),"duplicate?",IF(COUNTIFS($A:A,A602,E:E,E602)&gt;1,"yes","no"))</f>
        <v>yes</v>
      </c>
      <c r="K602" s="97" t="str">
        <f ca="1">IF(J602="","Date",IF(J602&lt;&gt;"",IF(K602="Date",NOW(),K602),""))</f>
        <v>Date</v>
      </c>
      <c r="L602" s="86" t="s">
        <v>232</v>
      </c>
    </row>
    <row r="603" spans="1:12">
      <c r="A603" s="11" t="s">
        <v>231</v>
      </c>
      <c r="B603" s="97">
        <f ca="1">IF(A603="","Date",IF(A603&lt;&gt;"",IF(B603="Date",NOW(),B603),""))</f>
        <v>45713.421812152781</v>
      </c>
      <c r="C603" s="19" t="str">
        <f>IF(ISBLANK(A603),"Name",IF(ISNA(VLOOKUP(A603,'Master List'!A:C,2,FALSE)), "Not Found", VLOOKUP(A603,'Master List'!A:C,2,FALSE)))</f>
        <v>Not Found</v>
      </c>
      <c r="D603" s="19" t="str">
        <f>IF(ISBLANK(A603), "Email",IF(ISNA(VLOOKUP(A603,'Master List'!A:C,3,FALSE)), "Not Found", VLOOKUP(A603,'Master List'!A:C,3,FALSE)))</f>
        <v>Not Found</v>
      </c>
      <c r="E603" s="11" t="s">
        <v>36</v>
      </c>
      <c r="F603" s="4" t="str">
        <f>IF(OR(A603="",E603="","",A603="?",E603="?"),"duplicate?",IF(COUNTIFS($A:A,A603,E:E,E603)&gt;1,"yes","no"))</f>
        <v>yes</v>
      </c>
      <c r="K603" s="97" t="str">
        <f ca="1">IF(J603="","Date",IF(J603&lt;&gt;"",IF(K603="Date",NOW(),K603),""))</f>
        <v>Date</v>
      </c>
      <c r="L603" s="86" t="s">
        <v>232</v>
      </c>
    </row>
    <row r="604" spans="1:12">
      <c r="A604" s="11">
        <v>918852433</v>
      </c>
      <c r="B604" s="97">
        <f ca="1">IF(A604="","Date",IF(A604&lt;&gt;"",IF(B604="Date",NOW(),B604),""))</f>
        <v>45713.584634027779</v>
      </c>
      <c r="C604" s="19" t="str">
        <f>IF(ISBLANK(A604),"Name",IF(ISNA(VLOOKUP(A604,'Master List'!A:C,2,FALSE)), "Not Found", VLOOKUP(A604,'Master List'!A:C,2,FALSE)))</f>
        <v>Yeram Cheong</v>
      </c>
      <c r="D604" s="19" t="str">
        <f>IF(ISBLANK(A604), "Email",IF(ISNA(VLOOKUP(A604,'Master List'!A:C,3,FALSE)), "Not Found", VLOOKUP(A604,'Master List'!A:C,3,FALSE)))</f>
        <v>yeramcheong@sfsu.edu</v>
      </c>
      <c r="E604" s="11" t="s">
        <v>78</v>
      </c>
      <c r="F604" s="4" t="str">
        <f>IF(OR(A604="",E604="","",A604="?",E604="?"),"duplicate?",IF(COUNTIFS($A:A,A604,E:E,E604)&gt;1,"yes","no"))</f>
        <v>no</v>
      </c>
      <c r="G604" s="93" t="s">
        <v>15</v>
      </c>
      <c r="H604" s="12" t="s">
        <v>21</v>
      </c>
      <c r="I604" s="11" t="s">
        <v>66</v>
      </c>
      <c r="K604" s="97" t="str">
        <f ca="1">IF(J604="","Date",IF(J604&lt;&gt;"",IF(K604="Date",NOW(),K604),""))</f>
        <v>Date</v>
      </c>
    </row>
    <row r="605" spans="1:12">
      <c r="A605" s="11">
        <v>918116568</v>
      </c>
      <c r="B605" s="97">
        <f ca="1">IF(A605="","Date",IF(A605&lt;&gt;"",IF(B605="Date",NOW(),B605),""))</f>
        <v>45713.590459606479</v>
      </c>
      <c r="C605" s="19" t="str">
        <f>IF(ISBLANK(A605),"Name",IF(ISNA(VLOOKUP(A605,'Master List'!A:C,2,FALSE)), "Not Found", VLOOKUP(A605,'Master List'!A:C,2,FALSE)))</f>
        <v>Ryan Moore</v>
      </c>
      <c r="D605" s="19" t="str">
        <f>IF(ISBLANK(A605), "Email",IF(ISNA(VLOOKUP(A605,'Master List'!A:C,3,FALSE)), "Not Found", VLOOKUP(A605,'Master List'!A:C,3,FALSE)))</f>
        <v>rymaxmoore7370@sfsu.edu</v>
      </c>
      <c r="E605" s="11" t="s">
        <v>25</v>
      </c>
      <c r="F605" s="4" t="str">
        <f>IF(OR(A605="",E605="","",A605="?",E605="?"),"duplicate?",IF(COUNTIFS($A:A,A605,E:E,E605)&gt;1,"yes","no"))</f>
        <v>yes</v>
      </c>
      <c r="G605" s="93" t="s">
        <v>15</v>
      </c>
      <c r="I605" s="11" t="s">
        <v>196</v>
      </c>
      <c r="K605" s="97" t="str">
        <f ca="1">IF(J605="","Date",IF(J605&lt;&gt;"",IF(K605="Date",NOW(),K605),""))</f>
        <v>Date</v>
      </c>
      <c r="L605" s="86" t="s">
        <v>233</v>
      </c>
    </row>
    <row r="606" spans="1:12">
      <c r="A606" s="11">
        <v>918857945</v>
      </c>
      <c r="B606" s="97">
        <f ca="1">IF(A606="","Date",IF(A606&lt;&gt;"",IF(B606="Date",NOW(),B606),""))</f>
        <v>45716.581876851851</v>
      </c>
      <c r="C606" s="19" t="str">
        <f>IF(ISBLANK(A606),"Name",IF(ISNA(VLOOKUP(A606,'Master List'!A:C,2,FALSE)), "Not Found", VLOOKUP(A606,'Master List'!A:C,2,FALSE)))</f>
        <v>Kenya Meija</v>
      </c>
      <c r="D606" s="19" t="str">
        <f>IF(ISBLANK(A606), "Email",IF(ISNA(VLOOKUP(A606,'Master List'!A:C,3,FALSE)), "Not Found", VLOOKUP(A606,'Master List'!A:C,3,FALSE)))</f>
        <v>kzmejia@sfsu.edu</v>
      </c>
      <c r="E606" s="11" t="s">
        <v>138</v>
      </c>
      <c r="F606" s="4" t="str">
        <f>IF(OR(A606="",E606="","",A606="?",E606="?"),"duplicate?",IF(COUNTIFS($A:A,A606,E:E,E606)&gt;1,"yes","no"))</f>
        <v>no</v>
      </c>
      <c r="H606" s="12" t="s">
        <v>234</v>
      </c>
      <c r="I606" s="11" t="s">
        <v>131</v>
      </c>
      <c r="K606" s="97" t="str">
        <f ca="1">IF(J606="","Date",IF(J606&lt;&gt;"",IF(K606="Date",NOW(),K606),""))</f>
        <v>Date</v>
      </c>
    </row>
    <row r="607" spans="1:12">
      <c r="A607" s="11">
        <v>920964444</v>
      </c>
      <c r="B607" s="97">
        <f ca="1">IF(A607="","Date",IF(A607&lt;&gt;"",IF(B607="Date",NOW(),B607),""))</f>
        <v>45716.605523032405</v>
      </c>
      <c r="C607" s="19" t="str">
        <f>IF(ISBLANK(A607),"Name",IF(ISNA(VLOOKUP(A607,'Master List'!A:C,2,FALSE)), "Not Found", VLOOKUP(A607,'Master List'!A:C,2,FALSE)))</f>
        <v>Athan Cheung</v>
      </c>
      <c r="D607" s="19" t="str">
        <f>IF(ISBLANK(A607), "Email",IF(ISNA(VLOOKUP(A607,'Master List'!A:C,3,FALSE)), "Not Found", VLOOKUP(A607,'Master List'!A:C,3,FALSE)))</f>
        <v>acheung4@mail.sfsu.edu</v>
      </c>
      <c r="E607" s="11" t="s">
        <v>112</v>
      </c>
      <c r="F607" s="4" t="str">
        <f>IF(OR(A607="",E607="","",A607="?",E607="?"),"duplicate?",IF(COUNTIFS($A:A,A607,E:E,E607)&gt;1,"yes","no"))</f>
        <v>no</v>
      </c>
      <c r="H607" s="12" t="s">
        <v>124</v>
      </c>
      <c r="I607" s="11" t="s">
        <v>131</v>
      </c>
      <c r="K607" s="97" t="str">
        <f ca="1">IF(J607="","Date",IF(J607&lt;&gt;"",IF(K607="Date",NOW(),K607),""))</f>
        <v>Date</v>
      </c>
    </row>
    <row r="608" spans="1:12">
      <c r="A608" s="11">
        <v>918841084</v>
      </c>
      <c r="B608" s="97">
        <f ca="1">IF(A608="","Date",IF(A608&lt;&gt;"",IF(B608="Date",NOW(),B608),""))</f>
        <v>45720.451952777781</v>
      </c>
      <c r="C608" s="19" t="str">
        <f>IF(ISBLANK(A608),"Name",IF(ISNA(VLOOKUP(A608,'Master List'!A:C,2,FALSE)), "Not Found", VLOOKUP(A608,'Master List'!A:C,2,FALSE)))</f>
        <v>E. Wes Bethel</v>
      </c>
      <c r="D608" s="19" t="str">
        <f>IF(ISBLANK(A608), "Email",IF(ISNA(VLOOKUP(A608,'Master List'!A:C,3,FALSE)), "Not Found", VLOOKUP(A608,'Master List'!A:C,3,FALSE)))</f>
        <v>ewbethel@sfsu.edu</v>
      </c>
      <c r="E608" s="11" t="s">
        <v>174</v>
      </c>
      <c r="F608" s="4" t="str">
        <f>IF(OR(A608="",E608="","",A608="?",E608="?"),"duplicate?",IF(COUNTIFS($A:A,A608,E:E,E608)&gt;1,"yes","no"))</f>
        <v>no</v>
      </c>
      <c r="G608" s="93" t="s">
        <v>235</v>
      </c>
      <c r="H608" s="12" t="s">
        <v>21</v>
      </c>
      <c r="I608" s="11" t="s">
        <v>178</v>
      </c>
      <c r="K608" s="97" t="str">
        <f ca="1">IF(J608="","Date",IF(J608&lt;&gt;"",IF(K608="Date",NOW(),K608),""))</f>
        <v>Date</v>
      </c>
    </row>
    <row r="609" spans="1:12">
      <c r="A609" s="11">
        <v>910600371</v>
      </c>
      <c r="B609" s="97">
        <f ca="1">IF(A609="","Date",IF(A609&lt;&gt;"",IF(B609="Date",NOW(),B609),""))</f>
        <v>45720.664459490741</v>
      </c>
      <c r="C609" s="19" t="str">
        <f>IF(ISBLANK(A609),"Name",IF(ISNA(VLOOKUP(A609,'Master List'!A:C,2,FALSE)), "Not Found", VLOOKUP(A609,'Master List'!A:C,2,FALSE)))</f>
        <v>Charles Postel</v>
      </c>
      <c r="D609" s="19" t="str">
        <f>IF(ISBLANK(A609), "Email",IF(ISNA(VLOOKUP(A609,'Master List'!A:C,3,FALSE)), "Not Found", VLOOKUP(A609,'Master List'!A:C,3,FALSE)))</f>
        <v>postel@sfsu.edu</v>
      </c>
      <c r="E609" s="11" t="s">
        <v>76</v>
      </c>
      <c r="F609" s="4" t="str">
        <f>IF(OR(A609="",E609="","",A609="?",E609="?"),"duplicate?",IF(COUNTIFS($A:A,A609,E:E,E609)&gt;1,"yes","no"))</f>
        <v>no</v>
      </c>
      <c r="H609" s="12" t="s">
        <v>236</v>
      </c>
      <c r="I609" s="11" t="s">
        <v>153</v>
      </c>
      <c r="K609" s="97" t="str">
        <f ca="1">IF(J609="","Date",IF(J609&lt;&gt;"",IF(K609="Date",NOW(),K609),""))</f>
        <v>Date</v>
      </c>
    </row>
    <row r="610" spans="1:12">
      <c r="A610" s="11">
        <v>910600371</v>
      </c>
      <c r="B610" s="97">
        <f ca="1">IF(A610="","Date",IF(A610&lt;&gt;"",IF(B610="Date",NOW(),B610),""))</f>
        <v>45720.664459490741</v>
      </c>
      <c r="C610" s="19" t="str">
        <f>IF(ISBLANK(A610),"Name",IF(ISNA(VLOOKUP(A610,'Master List'!A:C,2,FALSE)), "Not Found", VLOOKUP(A610,'Master List'!A:C,2,FALSE)))</f>
        <v>Charles Postel</v>
      </c>
      <c r="D610" s="19" t="str">
        <f>IF(ISBLANK(A610), "Email",IF(ISNA(VLOOKUP(A610,'Master List'!A:C,3,FALSE)), "Not Found", VLOOKUP(A610,'Master List'!A:C,3,FALSE)))</f>
        <v>postel@sfsu.edu</v>
      </c>
      <c r="E610" s="11" t="s">
        <v>58</v>
      </c>
      <c r="F610" s="4" t="str">
        <f>IF(OR(A610="",E610="","",A610="?",E610="?"),"duplicate?",IF(COUNTIFS($A:A,A610,E:E,E610)&gt;1,"yes","no"))</f>
        <v>no</v>
      </c>
      <c r="H610" s="12" t="s">
        <v>236</v>
      </c>
      <c r="I610" s="11" t="s">
        <v>153</v>
      </c>
      <c r="K610" s="97" t="str">
        <f ca="1">IF(J610="","Date",IF(J610&lt;&gt;"",IF(K610="Date",NOW(),K610),""))</f>
        <v>Date</v>
      </c>
    </row>
    <row r="611" spans="1:12">
      <c r="A611" s="11">
        <v>918839498</v>
      </c>
      <c r="B611" s="97">
        <f ca="1">IF(A611="","Date",IF(A611&lt;&gt;"",IF(B611="Date",NOW(),B611),""))</f>
        <v>45722.425079513887</v>
      </c>
      <c r="C611" s="19" t="str">
        <f>IF(ISBLANK(A611),"Name",IF(ISNA(VLOOKUP(A611,'Master List'!A:C,2,FALSE)), "Not Found", VLOOKUP(A611,'Master List'!A:C,2,FALSE)))</f>
        <v>Amanda Roberti</v>
      </c>
      <c r="D611" s="19" t="str">
        <f>IF(ISBLANK(A611), "Email",IF(ISNA(VLOOKUP(A611,'Master List'!A:C,3,FALSE)), "Not Found", VLOOKUP(A611,'Master List'!A:C,3,FALSE)))</f>
        <v>aroberti@sfsu.edu</v>
      </c>
      <c r="E611" s="11" t="s">
        <v>31</v>
      </c>
      <c r="F611" s="4" t="str">
        <f>IF(OR(A611="",E611="","",A611="?",E611="?"),"duplicate?",IF(COUNTIFS($A:A,A611,E:E,E611)&gt;1,"yes","no"))</f>
        <v>no</v>
      </c>
      <c r="H611" s="12" t="s">
        <v>21</v>
      </c>
      <c r="I611" s="11" t="s">
        <v>176</v>
      </c>
      <c r="K611" s="97" t="str">
        <f ca="1">IF(J611="","Date",IF(J611&lt;&gt;"",IF(K611="Date",NOW(),K611),""))</f>
        <v>Date</v>
      </c>
    </row>
    <row r="612" spans="1:12">
      <c r="A612" s="11">
        <v>918850834</v>
      </c>
      <c r="B612" s="97">
        <f ca="1">IF(A612="","Date",IF(A612&lt;&gt;"",IF(B612="Date",NOW(),B612),""))</f>
        <v>45727.590318981478</v>
      </c>
      <c r="C612" s="19" t="str">
        <f>IF(ISBLANK(A612),"Name",IF(ISNA(VLOOKUP(A612,'Master List'!A:C,2,FALSE)), "Not Found", VLOOKUP(A612,'Master List'!A:C,2,FALSE)))</f>
        <v>Alice Brye-Vela</v>
      </c>
      <c r="D612" s="19" t="str">
        <f>IF(ISBLANK(A612), "Email",IF(ISNA(VLOOKUP(A612,'Master List'!A:C,3,FALSE)), "Not Found", VLOOKUP(A612,'Master List'!A:C,3,FALSE)))</f>
        <v>ybryevela@sfsu.edu</v>
      </c>
      <c r="E612" s="11" t="s">
        <v>20</v>
      </c>
      <c r="F612" s="4" t="str">
        <f>IF(OR(A612="",E612="","",A612="?",E612="?"),"duplicate?",IF(COUNTIFS($A:A,A612,E:E,E612)&gt;1,"yes","no"))</f>
        <v>no</v>
      </c>
      <c r="H612" s="12" t="s">
        <v>218</v>
      </c>
      <c r="I612" s="11" t="s">
        <v>99</v>
      </c>
      <c r="K612" s="97" t="str">
        <f ca="1">IF(J612="","Date",IF(J612&lt;&gt;"",IF(K612="Date",NOW(),K612),""))</f>
        <v>Date</v>
      </c>
    </row>
    <row r="613" spans="1:12">
      <c r="A613" s="11">
        <v>917242188</v>
      </c>
      <c r="B613" s="97">
        <f ca="1">IF(A613="","Date",IF(A613&lt;&gt;"",IF(B613="Date",NOW(),B613),""))</f>
        <v>45729.479069328707</v>
      </c>
      <c r="C613" s="19" t="str">
        <f>IF(ISBLANK(A613),"Name",IF(ISNA(VLOOKUP(A613,'Master List'!A:C,2,FALSE)), "Not Found", VLOOKUP(A613,'Master List'!A:C,2,FALSE)))</f>
        <v>Xue Han</v>
      </c>
      <c r="D613" s="19" t="str">
        <f>IF(ISBLANK(A613), "Email",IF(ISNA(VLOOKUP(A613,'Master List'!A:C,3,FALSE)), "Not Found", VLOOKUP(A613,'Master List'!A:C,3,FALSE)))</f>
        <v>hanx@sfsu.edu</v>
      </c>
      <c r="E613" s="11" t="s">
        <v>19</v>
      </c>
      <c r="F613" s="4" t="str">
        <f>IF(OR(A613="",E613="","",A613="?",E613="?"),"duplicate?",IF(COUNTIFS($A:A,A613,E:E,E613)&gt;1,"yes","no"))</f>
        <v>no</v>
      </c>
      <c r="H613" s="12" t="s">
        <v>237</v>
      </c>
      <c r="I613" s="11" t="s">
        <v>99</v>
      </c>
      <c r="K613" s="97" t="str">
        <f ca="1">IF(J613="","Date",IF(J613&lt;&gt;"",IF(K613="Date",NOW(),K613),""))</f>
        <v>Date</v>
      </c>
    </row>
    <row r="614" spans="1:12">
      <c r="A614" s="11">
        <v>909942597</v>
      </c>
      <c r="B614" s="97">
        <f ca="1">IF(A614="","Date",IF(A614&lt;&gt;"",IF(B614="Date",NOW(),B614),""))</f>
        <v>45730.700864236111</v>
      </c>
      <c r="C614" s="19" t="str">
        <f>IF(ISBLANK(A614),"Name",IF(ISNA(VLOOKUP(A614,'Master List'!A:C,2,FALSE)), "Not Found", VLOOKUP(A614,'Master List'!A:C,2,FALSE)))</f>
        <v>Julian Hoxter</v>
      </c>
      <c r="D614" s="19" t="str">
        <f>IF(ISBLANK(A614), "Email",IF(ISNA(VLOOKUP(A614,'Master List'!A:C,3,FALSE)), "Not Found", VLOOKUP(A614,'Master List'!A:C,3,FALSE)))</f>
        <v>hoxter@sfsu.edu</v>
      </c>
      <c r="E614" s="11" t="s">
        <v>129</v>
      </c>
      <c r="F614" s="4" t="str">
        <f>IF(OR(A614="",E614="","",A614="?",E614="?"),"duplicate?",IF(COUNTIFS($A:A,A614,E:E,E614)&gt;1,"yes","no"))</f>
        <v>no</v>
      </c>
      <c r="H614" s="12">
        <v>45733</v>
      </c>
      <c r="I614" s="11" t="s">
        <v>99</v>
      </c>
      <c r="K614" s="97" t="str">
        <f ca="1">IF(J614="","Date",IF(J614&lt;&gt;"",IF(K614="Date",NOW(),K614),""))</f>
        <v>Date</v>
      </c>
    </row>
    <row r="615" spans="1:12">
      <c r="A615" s="11">
        <v>900058281</v>
      </c>
      <c r="B615" s="97">
        <f ca="1">IF(A615="","Date",IF(A615&lt;&gt;"",IF(B615="Date",NOW(),B615),""))</f>
        <v>45741.362906018519</v>
      </c>
      <c r="C615" s="19" t="str">
        <f>IF(ISBLANK(A615),"Name",IF(ISNA(VLOOKUP(A615,'Master List'!A:C,2,FALSE)), "Not Found", VLOOKUP(A615,'Master List'!A:C,2,FALSE)))</f>
        <v>Kevin Conner</v>
      </c>
      <c r="D615" s="19" t="str">
        <f>IF(ISBLANK(A615), "Email",IF(ISNA(VLOOKUP(A615,'Master List'!A:C,3,FALSE)), "Not Found", VLOOKUP(A615,'Master List'!A:C,3,FALSE)))</f>
        <v>kevin@sfsu.edu</v>
      </c>
      <c r="E615" s="11" t="s">
        <v>45</v>
      </c>
      <c r="F615" s="4" t="str">
        <f>IF(OR(A615="",E615="","",A615="?",E615="?"),"duplicate?",IF(COUNTIFS($A:A,A615,E:E,E615)&gt;1,"yes","no"))</f>
        <v>no</v>
      </c>
      <c r="G615" s="93" t="s">
        <v>15</v>
      </c>
      <c r="H615" s="12" t="s">
        <v>21</v>
      </c>
      <c r="I615" s="11" t="s">
        <v>66</v>
      </c>
      <c r="K615" s="97" t="str">
        <f ca="1">IF(J615="","Date",IF(J615&lt;&gt;"",IF(K615="Date",NOW(),K615),""))</f>
        <v>Date</v>
      </c>
      <c r="L615" s="86" t="s">
        <v>238</v>
      </c>
    </row>
    <row r="616" spans="1:12">
      <c r="A616" s="11">
        <v>900013899</v>
      </c>
      <c r="B616" s="97">
        <f ca="1">IF(A616="","Date",IF(A616&lt;&gt;"",IF(B616="Date",NOW(),B616),""))</f>
        <v>45743.361064351855</v>
      </c>
      <c r="C616" s="19" t="str">
        <f>IF(ISBLANK(A616),"Name",IF(ISNA(VLOOKUP(A616,'Master List'!A:C,2,FALSE)), "Not Found", VLOOKUP(A616,'Master List'!A:C,2,FALSE)))</f>
        <v>Victoria Narkewicz</v>
      </c>
      <c r="D616" s="19" t="str">
        <f>IF(ISBLANK(A616), "Email",IF(ISNA(VLOOKUP(A616,'Master List'!A:C,3,FALSE)), "Not Found", VLOOKUP(A616,'Master List'!A:C,3,FALSE)))</f>
        <v>toria@sfsu.edu</v>
      </c>
      <c r="E616" s="11" t="s">
        <v>239</v>
      </c>
      <c r="F616" s="4" t="str">
        <f>IF(OR(A616="",E616="","",A616="?",E616="?"),"duplicate?",IF(COUNTIFS($A:A,A616,E:E,E616)&gt;1,"yes","no"))</f>
        <v>no</v>
      </c>
      <c r="G616" s="93" t="s">
        <v>240</v>
      </c>
      <c r="H616" s="12">
        <v>45748</v>
      </c>
      <c r="I616" s="11" t="s">
        <v>241</v>
      </c>
      <c r="K616" s="97" t="str">
        <f ca="1">IF(J616="","Date",IF(J616&lt;&gt;"",IF(K616="Date",NOW(),K616),""))</f>
        <v>Date</v>
      </c>
      <c r="L616" s="86" t="s">
        <v>242</v>
      </c>
    </row>
    <row r="617" spans="1:12">
      <c r="A617" s="11">
        <v>900009687</v>
      </c>
      <c r="B617" s="97">
        <f ca="1">IF(A617="","Date",IF(A617&lt;&gt;"",IF(B617="Date",NOW(),B617),""))</f>
        <v>45748.845079050923</v>
      </c>
      <c r="C617" s="19" t="str">
        <f>IF(ISBLANK(A617),"Name",IF(ISNA(VLOOKUP(A617,'Master List'!A:C,2,FALSE)), "Not Found", VLOOKUP(A617,'Master List'!A:C,2,FALSE)))</f>
        <v>Gilda Bloom</v>
      </c>
      <c r="D617" s="19" t="str">
        <f>IF(ISBLANK(A617), "Email",IF(ISNA(VLOOKUP(A617,'Master List'!A:C,3,FALSE)), "Not Found", VLOOKUP(A617,'Master List'!A:C,3,FALSE)))</f>
        <v>gmbloom@sfsu.edu</v>
      </c>
      <c r="E617" s="11" t="s">
        <v>25</v>
      </c>
      <c r="F617" s="4" t="str">
        <f>IF(OR(A617="",E617="","",A617="?",E617="?"),"duplicate?",IF(COUNTIFS($A:A,A617,E:E,E617)&gt;1,"yes","no"))</f>
        <v>no</v>
      </c>
      <c r="G617" s="93" t="s">
        <v>243</v>
      </c>
      <c r="H617" s="12" t="s">
        <v>127</v>
      </c>
      <c r="I617" s="11" t="s">
        <v>99</v>
      </c>
      <c r="K617" s="97" t="str">
        <f ca="1">IF(J617="","Date",IF(J617&lt;&gt;"",IF(K617="Date",NOW(),K617),""))</f>
        <v>Date</v>
      </c>
    </row>
    <row r="618" spans="1:12">
      <c r="A618" s="11">
        <v>918859804</v>
      </c>
      <c r="B618" s="97">
        <f ca="1">IF(A618="","Date",IF(A618&lt;&gt;"",IF(B618="Date",NOW(),B618),""))</f>
        <v>45748.923634259256</v>
      </c>
      <c r="C618" s="19" t="str">
        <f>IF(ISBLANK(A618),"Name",IF(ISNA(VLOOKUP(A618,'Master List'!A:C,2,FALSE)), "Not Found", VLOOKUP(A618,'Master List'!A:C,2,FALSE)))</f>
        <v>Kate White</v>
      </c>
      <c r="D618" s="19" t="str">
        <f>IF(ISBLANK(A618), "Email",IF(ISNA(VLOOKUP(A618,'Master List'!A:C,3,FALSE)), "Not Found", VLOOKUP(A618,'Master List'!A:C,3,FALSE)))</f>
        <v>katewhite@sfsu.edu</v>
      </c>
      <c r="E618" s="11" t="s">
        <v>175</v>
      </c>
      <c r="F618" s="4" t="str">
        <f>IF(OR(A618="",E618="","",A618="?",E618="?"),"duplicate?",IF(COUNTIFS($A:A,A618,E:E,E618)&gt;1,"yes","no"))</f>
        <v>no</v>
      </c>
      <c r="G618" s="93" t="s">
        <v>243</v>
      </c>
      <c r="H618" s="12" t="s">
        <v>141</v>
      </c>
      <c r="I618" s="11" t="s">
        <v>99</v>
      </c>
      <c r="K618" s="97" t="str">
        <f ca="1">IF(J618="","Date",IF(J618&lt;&gt;"",IF(K618="Date",NOW(),K618),""))</f>
        <v>Date</v>
      </c>
    </row>
    <row r="619" spans="1:12">
      <c r="A619" s="11">
        <v>900027042</v>
      </c>
      <c r="B619" s="97">
        <f ca="1">IF(A619="","Date",IF(A619&lt;&gt;"",IF(B619="Date",NOW(),B619),""))</f>
        <v>45749.58862303241</v>
      </c>
      <c r="C619" s="19" t="str">
        <f>IF(ISBLANK(A619),"Name",IF(ISNA(VLOOKUP(A619,'Master List'!A:C,2,FALSE)), "Not Found", VLOOKUP(A619,'Master List'!A:C,2,FALSE)))</f>
        <v>Erik Rosegard</v>
      </c>
      <c r="D619" s="19" t="str">
        <f>IF(ISBLANK(A619), "Email",IF(ISNA(VLOOKUP(A619,'Master List'!A:C,3,FALSE)), "Not Found", VLOOKUP(A619,'Master List'!A:C,3,FALSE)))</f>
        <v>rosegard@sfsu.edu</v>
      </c>
      <c r="E619" s="11" t="s">
        <v>36</v>
      </c>
      <c r="F619" s="4" t="str">
        <f>IF(OR(A619="",E619="","",A619="?",E619="?"),"duplicate?",IF(COUNTIFS($A:A,A619,E:E,E619)&gt;1,"yes","no"))</f>
        <v>no</v>
      </c>
      <c r="G619" s="93" t="s">
        <v>243</v>
      </c>
      <c r="H619" s="12" t="s">
        <v>244</v>
      </c>
      <c r="I619" s="11" t="s">
        <v>72</v>
      </c>
      <c r="K619" s="97" t="str">
        <f ca="1">IF(J619="","Date",IF(J619&lt;&gt;"",IF(K619="Date",NOW(),K619),""))</f>
        <v>Date</v>
      </c>
    </row>
    <row r="620" spans="1:12">
      <c r="A620" s="11">
        <v>918830580</v>
      </c>
      <c r="B620" s="97">
        <f ca="1">IF(A620="","Date",IF(A620&lt;&gt;"",IF(B620="Date",NOW(),B620),""))</f>
        <v>45749.591020370368</v>
      </c>
      <c r="C620" s="19" t="str">
        <f>IF(ISBLANK(A620),"Name",IF(ISNA(VLOOKUP(A620,'Master List'!A:C,2,FALSE)), "Not Found", VLOOKUP(A620,'Master List'!A:C,2,FALSE)))</f>
        <v>Aaron Sullivan</v>
      </c>
      <c r="D620" s="19" t="str">
        <f>IF(ISBLANK(A620), "Email",IF(ISNA(VLOOKUP(A620,'Master List'!A:C,3,FALSE)), "Not Found", VLOOKUP(A620,'Master List'!A:C,3,FALSE)))</f>
        <v>absullivan@sfsu.edu</v>
      </c>
      <c r="E620" s="11" t="s">
        <v>245</v>
      </c>
      <c r="F620" s="4" t="str">
        <f>IF(OR(A620="",E620="","",A620="?",E620="?"),"duplicate?",IF(COUNTIFS($A:A,A620,E:E,E620)&gt;1,"yes","no"))</f>
        <v>no</v>
      </c>
      <c r="G620" s="93" t="s">
        <v>246</v>
      </c>
      <c r="H620" s="12" t="s">
        <v>247</v>
      </c>
      <c r="I620" s="11" t="s">
        <v>73</v>
      </c>
      <c r="J620" s="109" t="s">
        <v>131</v>
      </c>
      <c r="K620" s="97">
        <f ca="1">IF(J620="","Date",IF(J620&lt;&gt;"",IF(K620="Date",NOW(),K620),""))</f>
        <v>45798.484763425928</v>
      </c>
    </row>
    <row r="621" spans="1:12">
      <c r="A621" s="11">
        <v>907519657</v>
      </c>
      <c r="B621" s="97">
        <f ca="1">IF(A621="","Date",IF(A621&lt;&gt;"",IF(B621="Date",NOW(),B621),""))</f>
        <v>45756.490189236109</v>
      </c>
      <c r="C621" s="19" t="str">
        <f>IF(ISBLANK(A621),"Name",IF(ISNA(VLOOKUP(A621,'Master List'!A:C,2,FALSE)), "Not Found", VLOOKUP(A621,'Master List'!A:C,2,FALSE)))</f>
        <v xml:space="preserve"> Eusebio Lozano</v>
      </c>
      <c r="D621" s="19" t="str">
        <f>IF(ISBLANK(A621), "Email",IF(ISNA(VLOOKUP(A621,'Master List'!A:C,3,FALSE)), "Not Found", VLOOKUP(A621,'Master List'!A:C,3,FALSE)))</f>
        <v>eusebiolozano@sfsu.edu</v>
      </c>
      <c r="E621" s="11" t="s">
        <v>57</v>
      </c>
      <c r="F621" s="4" t="str">
        <f>IF(OR(A621="",E621="","",A621="?",E621="?"),"duplicate?",IF(COUNTIFS($A:A,A621,E:E,E621)&gt;1,"yes","no"))</f>
        <v>no</v>
      </c>
      <c r="G621" s="93" t="s">
        <v>248</v>
      </c>
      <c r="H621" s="12" t="s">
        <v>165</v>
      </c>
      <c r="I621" s="11" t="s">
        <v>176</v>
      </c>
      <c r="K621" s="97" t="str">
        <f ca="1">IF(J621="","Date",IF(J621&lt;&gt;"",IF(K621="Date",NOW(),K621),""))</f>
        <v>Date</v>
      </c>
      <c r="L621" s="86" t="s">
        <v>249</v>
      </c>
    </row>
    <row r="622" spans="1:12">
      <c r="A622" s="11">
        <v>913847407</v>
      </c>
      <c r="B622" s="97">
        <f ca="1">IF(A622="","Date",IF(A622&lt;&gt;"",IF(B622="Date",NOW(),B622),""))</f>
        <v>45762.706880555554</v>
      </c>
      <c r="C622" s="19" t="str">
        <f>IF(ISBLANK(A622),"Name",IF(ISNA(VLOOKUP(A622,'Master List'!A:C,2,FALSE)), "Not Found", VLOOKUP(A622,'Master List'!A:C,2,FALSE)))</f>
        <v>Scott Siegel</v>
      </c>
      <c r="D622" s="19" t="str">
        <f>IF(ISBLANK(A622), "Email",IF(ISNA(VLOOKUP(A622,'Master List'!A:C,3,FALSE)), "Not Found", VLOOKUP(A622,'Master List'!A:C,3,FALSE)))</f>
        <v>snsiegel@sfsu.edu</v>
      </c>
      <c r="E622" s="11" t="s">
        <v>67</v>
      </c>
      <c r="F622" s="4" t="str">
        <f>IF(OR(A622="",E622="","",A622="?",E622="?"),"duplicate?",IF(COUNTIFS($A:A,A622,E:E,E622)&gt;1,"yes","no"))</f>
        <v>no</v>
      </c>
      <c r="G622" s="93" t="s">
        <v>15</v>
      </c>
      <c r="H622" s="12" t="s">
        <v>250</v>
      </c>
      <c r="I622" s="11" t="s">
        <v>196</v>
      </c>
      <c r="K622" s="97" t="str">
        <f ca="1">IF(J622="","Date",IF(J622&lt;&gt;"",IF(K622="Date",NOW(),K622),""))</f>
        <v>Date</v>
      </c>
    </row>
    <row r="623" spans="1:12">
      <c r="A623" s="11">
        <v>913759800</v>
      </c>
      <c r="B623" s="97">
        <f ca="1">IF(A623="","Date",IF(A623&lt;&gt;"",IF(B623="Date",NOW(),B623),""))</f>
        <v>45768.456024768515</v>
      </c>
      <c r="C623" s="19" t="str">
        <f>IF(ISBLANK(A623),"Name",IF(ISNA(VLOOKUP(A623,'Master List'!A:C,2,FALSE)), "Not Found", VLOOKUP(A623,'Master List'!A:C,2,FALSE)))</f>
        <v>Peter DeHaas</v>
      </c>
      <c r="D623" s="19" t="str">
        <f>IF(ISBLANK(A623), "Email",IF(ISNA(VLOOKUP(A623,'Master List'!A:C,3,FALSE)), "Not Found", VLOOKUP(A623,'Master List'!A:C,3,FALSE)))</f>
        <v>pdehaas@sfsu.edu</v>
      </c>
      <c r="E623" s="11" t="s">
        <v>151</v>
      </c>
      <c r="F623" s="4" t="str">
        <f>IF(OR(A623="",E623="","",A623="?",E623="?"),"duplicate?",IF(COUNTIFS($A:A,A623,E:E,E623)&gt;1,"yes","no"))</f>
        <v>no</v>
      </c>
      <c r="G623" s="93">
        <v>70182</v>
      </c>
      <c r="H623" s="12">
        <v>45782</v>
      </c>
      <c r="I623" s="11" t="s">
        <v>176</v>
      </c>
      <c r="J623" s="109" t="s">
        <v>196</v>
      </c>
      <c r="K623" s="97">
        <f ca="1">IF(J623="","Date",IF(J623&lt;&gt;"",IF(K623="Date",NOW(),K623),""))</f>
        <v>45798.625370254631</v>
      </c>
      <c r="L623" s="86" t="s">
        <v>251</v>
      </c>
    </row>
    <row r="624" spans="1:12">
      <c r="A624" s="11">
        <v>900022947</v>
      </c>
      <c r="B624" s="97">
        <f ca="1">IF(A624="","Date",IF(A624&lt;&gt;"",IF(B624="Date",NOW(),B624),""))</f>
        <v>45769.464224305557</v>
      </c>
      <c r="C624" s="19" t="str">
        <f>IF(ISBLANK(A624),"Name",IF(ISNA(VLOOKUP(A624,'Master List'!A:C,2,FALSE)), "Not Found", VLOOKUP(A624,'Master List'!A:C,2,FALSE)))</f>
        <v>Janet Remolona</v>
      </c>
      <c r="D624" s="19" t="str">
        <f>IF(ISBLANK(A624), "Email",IF(ISNA(VLOOKUP(A624,'Master List'!A:C,3,FALSE)), "Not Found", VLOOKUP(A624,'Master List'!A:C,3,FALSE)))</f>
        <v>jlremolo@sfsu.edu</v>
      </c>
      <c r="E624" s="11" t="s">
        <v>140</v>
      </c>
      <c r="F624" s="4" t="str">
        <f>IF(OR(A624="",E624="","",A624="?",E624="?"),"duplicate?",IF(COUNTIFS($A:A,A624,E:E,E624)&gt;1,"yes","no"))</f>
        <v>no</v>
      </c>
      <c r="G624" s="93" t="s">
        <v>252</v>
      </c>
      <c r="H624" s="12">
        <v>45783</v>
      </c>
      <c r="I624" s="11" t="s">
        <v>176</v>
      </c>
      <c r="K624" s="97" t="str">
        <f ca="1">IF(J624="","Date",IF(J624&lt;&gt;"",IF(K624="Date",NOW(),K624),""))</f>
        <v>Date</v>
      </c>
    </row>
    <row r="625" spans="1:12">
      <c r="A625" s="11">
        <v>924291677</v>
      </c>
      <c r="B625" s="97">
        <f ca="1">IF(A625="","Date",IF(A625&lt;&gt;"",IF(B625="Date",NOW(),B625),""))</f>
        <v>45772.407710995372</v>
      </c>
      <c r="C625" s="19" t="str">
        <f>IF(ISBLANK(A625),"Name",IF(ISNA(VLOOKUP(A625,'Master List'!A:C,2,FALSE)), "Not Found", VLOOKUP(A625,'Master List'!A:C,2,FALSE)))</f>
        <v>Sean Nguyen</v>
      </c>
      <c r="D625" s="19" t="str">
        <f>IF(ISBLANK(A625), "Email",IF(ISNA(VLOOKUP(A625,'Master List'!A:C,3,FALSE)), "Not Found", VLOOKUP(A625,'Master List'!A:C,3,FALSE)))</f>
        <v>snguyen47@sfsu.edu</v>
      </c>
      <c r="E625" s="11" t="s">
        <v>227</v>
      </c>
      <c r="F625" s="4" t="str">
        <f>IF(OR(A625="",E625="","",A625="?",E625="?"),"duplicate?",IF(COUNTIFS($A:A,A625,E:E,E625)&gt;1,"yes","no"))</f>
        <v>no</v>
      </c>
      <c r="G625" s="93" t="s">
        <v>15</v>
      </c>
      <c r="H625" s="12" t="s">
        <v>253</v>
      </c>
      <c r="I625" s="11" t="s">
        <v>131</v>
      </c>
      <c r="K625" s="97" t="str">
        <f ca="1">IF(J625="","Date",IF(J625&lt;&gt;"",IF(K625="Date",NOW(),K625),""))</f>
        <v>Date</v>
      </c>
    </row>
    <row r="626" spans="1:12">
      <c r="A626" s="11">
        <v>924291677</v>
      </c>
      <c r="B626" s="97">
        <f ca="1">IF(A626="","Date",IF(A626&lt;&gt;"",IF(B626="Date",NOW(),B626),""))</f>
        <v>45772.407922800929</v>
      </c>
      <c r="C626" s="19" t="str">
        <f>IF(ISBLANK(A626),"Name",IF(ISNA(VLOOKUP(A626,'Master List'!A:C,2,FALSE)), "Not Found", VLOOKUP(A626,'Master List'!A:C,2,FALSE)))</f>
        <v>Sean Nguyen</v>
      </c>
      <c r="D626" s="19" t="str">
        <f>IF(ISBLANK(A626), "Email",IF(ISNA(VLOOKUP(A626,'Master List'!A:C,3,FALSE)), "Not Found", VLOOKUP(A626,'Master List'!A:C,3,FALSE)))</f>
        <v>snguyen47@sfsu.edu</v>
      </c>
      <c r="E626" s="11" t="s">
        <v>225</v>
      </c>
      <c r="F626" s="4" t="str">
        <f>IF(OR(A626="",E626="","",A626="?",E626="?"),"duplicate?",IF(COUNTIFS($A:A,A626,E:E,E626)&gt;1,"yes","no"))</f>
        <v>no</v>
      </c>
      <c r="G626" s="93" t="s">
        <v>15</v>
      </c>
      <c r="H626" s="12" t="s">
        <v>253</v>
      </c>
      <c r="I626" s="11" t="s">
        <v>131</v>
      </c>
      <c r="K626" s="97" t="str">
        <f ca="1">IF(J626="","Date",IF(J626&lt;&gt;"",IF(K626="Date",NOW(),K626),""))</f>
        <v>Date</v>
      </c>
    </row>
    <row r="627" spans="1:12">
      <c r="A627" s="11">
        <v>900006957</v>
      </c>
      <c r="B627" s="97">
        <f ca="1">IF(A627="","Date",IF(A627&lt;&gt;"",IF(B627="Date",NOW(),B627),""))</f>
        <v>45778.602539814812</v>
      </c>
      <c r="C627" s="19" t="str">
        <f>IF(ISBLANK(A627),"Name",IF(ISNA(VLOOKUP(A627,'Master List'!A:C,2,FALSE)), "Not Found", VLOOKUP(A627,'Master List'!A:C,2,FALSE)))</f>
        <v>Shidong Li</v>
      </c>
      <c r="D627" s="19" t="str">
        <f>IF(ISBLANK(A627), "Email",IF(ISNA(VLOOKUP(A627,'Master List'!A:C,3,FALSE)), "Not Found", VLOOKUP(A627,'Master List'!A:C,3,FALSE)))</f>
        <v>shidong@sfsu.edu</v>
      </c>
      <c r="E627" s="11" t="s">
        <v>12</v>
      </c>
      <c r="F627" s="4" t="str">
        <f>IF(OR(A627="",E627="","",A627="?",E627="?"),"duplicate?",IF(COUNTIFS($A:A,A627,E:E,E627)&gt;1,"yes","no"))</f>
        <v>no</v>
      </c>
      <c r="H627" s="12" t="s">
        <v>177</v>
      </c>
      <c r="I627" s="11" t="s">
        <v>131</v>
      </c>
      <c r="K627" s="97" t="str">
        <f ca="1">IF(J627="","Date",IF(J627&lt;&gt;"",IF(K627="Date",NOW(),K627),""))</f>
        <v>Date</v>
      </c>
    </row>
    <row r="628" spans="1:12">
      <c r="A628" s="11">
        <v>918848273</v>
      </c>
      <c r="B628" s="97">
        <f ca="1">IF(A628="","Date",IF(A628&lt;&gt;"",IF(B628="Date",NOW(),B628),""))</f>
        <v>45783.763401851851</v>
      </c>
      <c r="C628" s="19" t="str">
        <f>IF(ISBLANK(A628),"Name",IF(ISNA(VLOOKUP(A628,'Master List'!A:C,2,FALSE)), "Not Found", VLOOKUP(A628,'Master List'!A:C,2,FALSE)))</f>
        <v>Shuyi Liu</v>
      </c>
      <c r="D628" s="19" t="str">
        <f>IF(ISBLANK(A628), "Email",IF(ISNA(VLOOKUP(A628,'Master List'!A:C,3,FALSE)), "Not Found", VLOOKUP(A628,'Master List'!A:C,3,FALSE)))</f>
        <v>shuyil@sfsu.edu</v>
      </c>
      <c r="E628" s="11" t="s">
        <v>36</v>
      </c>
      <c r="F628" s="4" t="str">
        <f>IF(OR(A628="",E628="","",A628="?",E628="?"),"duplicate?",IF(COUNTIFS($A:A,A628,E:E,E628)&gt;1,"yes","no"))</f>
        <v>no</v>
      </c>
      <c r="H628" s="12" t="s">
        <v>127</v>
      </c>
      <c r="I628" s="11" t="s">
        <v>196</v>
      </c>
      <c r="K628" s="97" t="str">
        <f ca="1">IF(J628="","Date",IF(J628&lt;&gt;"",IF(K628="Date",NOW(),K628),""))</f>
        <v>Date</v>
      </c>
    </row>
    <row r="629" spans="1:12">
      <c r="A629" s="11">
        <v>918848273</v>
      </c>
      <c r="B629" s="97">
        <f ca="1">IF(A629="","Date",IF(A629&lt;&gt;"",IF(B629="Date",NOW(),B629),""))</f>
        <v>45783.763446759258</v>
      </c>
      <c r="C629" s="19" t="str">
        <f>IF(ISBLANK(A629),"Name",IF(ISNA(VLOOKUP(A629,'Master List'!A:C,2,FALSE)), "Not Found", VLOOKUP(A629,'Master List'!A:C,2,FALSE)))</f>
        <v>Shuyi Liu</v>
      </c>
      <c r="D629" s="19" t="str">
        <f>IF(ISBLANK(A629), "Email",IF(ISNA(VLOOKUP(A629,'Master List'!A:C,3,FALSE)), "Not Found", VLOOKUP(A629,'Master List'!A:C,3,FALSE)))</f>
        <v>shuyil@sfsu.edu</v>
      </c>
      <c r="E629" s="11" t="s">
        <v>19</v>
      </c>
      <c r="F629" s="4" t="str">
        <f>IF(OR(A629="",E629="","",A629="?",E629="?"),"duplicate?",IF(COUNTIFS($A:A,A629,E:E,E629)&gt;1,"yes","no"))</f>
        <v>yes</v>
      </c>
      <c r="H629" s="12" t="s">
        <v>127</v>
      </c>
      <c r="I629" s="11" t="s">
        <v>196</v>
      </c>
      <c r="K629" s="97" t="str">
        <f ca="1">IF(J629="","Date",IF(J629&lt;&gt;"",IF(K629="Date",NOW(),K629),""))</f>
        <v>Date</v>
      </c>
    </row>
    <row r="630" spans="1:12">
      <c r="A630" s="11">
        <v>918065868</v>
      </c>
      <c r="B630" s="97">
        <f ca="1">IF(A630="","Date",IF(A630&lt;&gt;"",IF(B630="Date",NOW(),B630),""))</f>
        <v>45785.411263657406</v>
      </c>
      <c r="C630" s="19" t="str">
        <f>IF(ISBLANK(A630),"Name",IF(ISNA(VLOOKUP(A630,'Master List'!A:C,2,FALSE)), "Not Found", VLOOKUP(A630,'Master List'!A:C,2,FALSE)))</f>
        <v>Sara Baguskas</v>
      </c>
      <c r="D630" s="19" t="str">
        <f>IF(ISBLANK(A630), "Email",IF(ISNA(VLOOKUP(A630,'Master List'!A:C,3,FALSE)), "Not Found", VLOOKUP(A630,'Master List'!A:C,3,FALSE)))</f>
        <v>baguskas@sfsu.edu</v>
      </c>
      <c r="E630" s="11" t="s">
        <v>48</v>
      </c>
      <c r="F630" s="4" t="str">
        <f>IF(OR(A630="",E630="","",A630="?",E630="?"),"duplicate?",IF(COUNTIFS($A:A,A630,E:E,E630)&gt;1,"yes","no"))</f>
        <v>no</v>
      </c>
      <c r="H630" s="12" t="s">
        <v>218</v>
      </c>
      <c r="I630" s="11" t="s">
        <v>254</v>
      </c>
      <c r="K630" s="97" t="str">
        <f ca="1">IF(J630="","Date",IF(J630&lt;&gt;"",IF(K630="Date",NOW(),K630),""))</f>
        <v>Date</v>
      </c>
    </row>
    <row r="631" spans="1:12">
      <c r="A631" s="11">
        <v>917419326</v>
      </c>
      <c r="B631" s="97">
        <f ca="1">IF(A631="","Date",IF(A631&lt;&gt;"",IF(B631="Date",NOW(),B631),""))</f>
        <v>45786.679604513891</v>
      </c>
      <c r="C631" s="19" t="str">
        <f>IF(ISBLANK(A631),"Name",IF(ISNA(VLOOKUP(A631,'Master List'!A:C,2,FALSE)), "Not Found", VLOOKUP(A631,'Master List'!A:C,2,FALSE)))</f>
        <v>Joshua Park</v>
      </c>
      <c r="D631" s="19" t="str">
        <f>IF(ISBLANK(A631), "Email",IF(ISNA(VLOOKUP(A631,'Master List'!A:C,3,FALSE)), "Not Found", VLOOKUP(A631,'Master List'!A:C,3,FALSE)))</f>
        <v>jpark34@sfsu.edu</v>
      </c>
      <c r="E631" s="11" t="s">
        <v>42</v>
      </c>
      <c r="F631" s="4" t="str">
        <f>IF(OR(A631="",E631="","",A631="?",E631="?"),"duplicate?",IF(COUNTIFS($A:A,A631,E:E,E631)&gt;1,"yes","no"))</f>
        <v>no</v>
      </c>
      <c r="G631" s="93" t="s">
        <v>15</v>
      </c>
      <c r="H631" s="12">
        <v>45803</v>
      </c>
      <c r="I631" s="11" t="s">
        <v>66</v>
      </c>
      <c r="K631" s="97" t="str">
        <f ca="1">IF(J631="","Date",IF(J631&lt;&gt;"",IF(K631="Date",NOW(),K631),""))</f>
        <v>Date</v>
      </c>
    </row>
    <row r="632" spans="1:12">
      <c r="A632" s="11">
        <v>913867531</v>
      </c>
      <c r="B632" s="97">
        <f ca="1">IF(A632="","Date",IF(A632&lt;&gt;"",IF(B632="Date",NOW(),B632),""))</f>
        <v>45792.675560995369</v>
      </c>
      <c r="C632" s="19" t="str">
        <f>IF(ISBLANK(A632),"Name",IF(ISNA(VLOOKUP(A632,'Master List'!A:C,2,FALSE)), "Not Found", VLOOKUP(A632,'Master List'!A:C,2,FALSE)))</f>
        <v>Misty Kuhn</v>
      </c>
      <c r="D632" s="19" t="str">
        <f>IF(ISBLANK(A632), "Email",IF(ISNA(VLOOKUP(A632,'Master List'!A:C,3,FALSE)), "Not Found", VLOOKUP(A632,'Master List'!A:C,3,FALSE)))</f>
        <v>mkuhn@sfsu.edu</v>
      </c>
      <c r="E632" s="11" t="s">
        <v>28</v>
      </c>
      <c r="F632" s="4" t="str">
        <f>IF(OR(A632="",E632="","",A632="?",E632="?"),"duplicate?",IF(COUNTIFS($A:A,A632,E:E,E632)&gt;1,"yes","no"))</f>
        <v>no</v>
      </c>
      <c r="H632" s="12">
        <v>45792</v>
      </c>
      <c r="I632" s="11" t="s">
        <v>66</v>
      </c>
      <c r="J632" s="109" t="s">
        <v>66</v>
      </c>
      <c r="K632" s="97">
        <f ca="1">IF(J632="","Date",IF(J632&lt;&gt;"",IF(K632="Date",NOW(),K632),""))</f>
        <v>45798.396866782408</v>
      </c>
      <c r="L632" s="86" t="s">
        <v>255</v>
      </c>
    </row>
    <row r="633" spans="1:12">
      <c r="A633" s="11">
        <v>900046165</v>
      </c>
      <c r="B633" s="97">
        <f ca="1">IF(A633="","Date",IF(A633&lt;&gt;"",IF(B633="Date",NOW(),B633),""))</f>
        <v>45796.745040972222</v>
      </c>
      <c r="C633" s="19" t="str">
        <f>IF(ISBLANK(A633),"Name",IF(ISNA(VLOOKUP(A633,'Master List'!A:C,2,FALSE)), "Not Found", VLOOKUP(A633,'Master List'!A:C,2,FALSE)))</f>
        <v>Laura Moorhead</v>
      </c>
      <c r="D633" s="19" t="str">
        <f>IF(ISBLANK(A633), "Email",IF(ISNA(VLOOKUP(A633,'Master List'!A:C,3,FALSE)), "Not Found", VLOOKUP(A633,'Master List'!A:C,3,FALSE)))</f>
        <v>lauralm@sfsu.edu</v>
      </c>
      <c r="E633" s="11" t="s">
        <v>239</v>
      </c>
      <c r="F633" s="4" t="str">
        <f>IF(OR(A633="",E633="","",A633="?",E633="?"),"duplicate?",IF(COUNTIFS($A:A,A633,E:E,E633)&gt;1,"yes","no"))</f>
        <v>no</v>
      </c>
      <c r="G633" s="93" t="s">
        <v>256</v>
      </c>
      <c r="H633" s="12" t="s">
        <v>250</v>
      </c>
      <c r="I633" s="11" t="s">
        <v>196</v>
      </c>
      <c r="J633" s="109" t="s">
        <v>66</v>
      </c>
      <c r="K633" s="97">
        <f ca="1">IF(J633="","Date",IF(J633&lt;&gt;"",IF(K633="Date",NOW(),K633),""))</f>
        <v>45797.558641898147</v>
      </c>
      <c r="L633" s="86" t="s">
        <v>257</v>
      </c>
    </row>
    <row r="634" spans="1:12">
      <c r="A634" s="11">
        <v>918848936</v>
      </c>
      <c r="B634" s="97">
        <f ca="1">IF(A634="","Date",IF(A634&lt;&gt;"",IF(B634="Date",NOW(),B634),""))</f>
        <v>45797.377088657406</v>
      </c>
      <c r="C634" s="19" t="str">
        <f>IF(ISBLANK(A634),"Name",IF(ISNA(VLOOKUP(A634,'Master List'!A:C,2,FALSE)), "Not Found", VLOOKUP(A634,'Master List'!A:C,2,FALSE)))</f>
        <v>Minyoung Lee</v>
      </c>
      <c r="D634" s="19" t="str">
        <f>IF(ISBLANK(A634), "Email",IF(ISNA(VLOOKUP(A634,'Master List'!A:C,3,FALSE)), "Not Found", VLOOKUP(A634,'Master List'!A:C,3,FALSE)))</f>
        <v>minyounglee@sfsu.edu</v>
      </c>
      <c r="E634" s="11" t="s">
        <v>239</v>
      </c>
      <c r="F634" s="4" t="str">
        <f>IF(OR(A634="",E634="","",A634="?",E634="?"),"duplicate?",IF(COUNTIFS($A:A,A634,E:E,E634)&gt;1,"yes","no"))</f>
        <v>no</v>
      </c>
      <c r="G634" s="93" t="s">
        <v>258</v>
      </c>
      <c r="H634" s="12" t="s">
        <v>218</v>
      </c>
      <c r="I634" s="11" t="s">
        <v>178</v>
      </c>
      <c r="J634" s="109" t="s">
        <v>131</v>
      </c>
      <c r="K634" s="97">
        <f ca="1">IF(J634="","Date",IF(J634&lt;&gt;"",IF(K634="Date",NOW(),K634),""))</f>
        <v>45799.361452199075</v>
      </c>
    </row>
    <row r="635" spans="1:12">
      <c r="A635" s="11">
        <v>913784201</v>
      </c>
      <c r="B635" s="97">
        <f ca="1">IF(A635="","Date",IF(A635&lt;&gt;"",IF(B635="Date",NOW(),B635),""))</f>
        <v>45797.553196990739</v>
      </c>
      <c r="C635" s="19" t="str">
        <f>IF(ISBLANK(A635),"Name",IF(ISNA(VLOOKUP(A635,'Master List'!A:C,2,FALSE)), "Not Found", VLOOKUP(A635,'Master List'!A:C,2,FALSE)))</f>
        <v>Marcela Garcia-Castanon</v>
      </c>
      <c r="D635" s="19" t="str">
        <f>IF(ISBLANK(A635), "Email",IF(ISNA(VLOOKUP(A635,'Master List'!A:C,3,FALSE)), "Not Found", VLOOKUP(A635,'Master List'!A:C,3,FALSE)))</f>
        <v>mgcs@sfsu.edu</v>
      </c>
      <c r="E635" s="11" t="s">
        <v>227</v>
      </c>
      <c r="F635" s="4" t="str">
        <f>IF(OR(A635="",E635="","",A635="?",E635="?"),"duplicate?",IF(COUNTIFS($A:A,A635,E:E,E635)&gt;1,"yes","no"))</f>
        <v>no</v>
      </c>
      <c r="G635" s="93" t="s">
        <v>259</v>
      </c>
      <c r="H635" s="12">
        <v>45800</v>
      </c>
      <c r="I635" s="11" t="s">
        <v>196</v>
      </c>
      <c r="J635" s="109" t="s">
        <v>99</v>
      </c>
      <c r="K635" s="97">
        <f ca="1">IF(J635="","Date",IF(J635&lt;&gt;"",IF(K635="Date",NOW(),K635),""))</f>
        <v>45799.700345138888</v>
      </c>
      <c r="L635" s="86" t="s">
        <v>260</v>
      </c>
    </row>
    <row r="636" spans="1:12">
      <c r="A636" s="11">
        <v>911369841</v>
      </c>
      <c r="B636" s="97">
        <f ca="1">IF(A636="","Date",IF(A636&lt;&gt;"",IF(B636="Date",NOW(),B636),""))</f>
        <v>45797.555296759259</v>
      </c>
      <c r="C636" s="19" t="str">
        <f>IF(ISBLANK(A636),"Name",IF(ISNA(VLOOKUP(A636,'Master List'!A:C,2,FALSE)), "Not Found", VLOOKUP(A636,'Master List'!A:C,2,FALSE)))</f>
        <v>Aiko Yoshino</v>
      </c>
      <c r="D636" s="19" t="str">
        <f>IF(ISBLANK(A636), "Email",IF(ISNA(VLOOKUP(A636,'Master List'!A:C,3,FALSE)), "Not Found", VLOOKUP(A636,'Master List'!A:C,3,FALSE)))</f>
        <v>ayoshino@sfsu.edu</v>
      </c>
      <c r="E636" s="11" t="s">
        <v>261</v>
      </c>
      <c r="F636" s="4" t="str">
        <f>IF(OR(A636="",E636="","",A636="?",E636="?"),"duplicate?",IF(COUNTIFS($A:A,A636,E:E,E636)&gt;1,"yes","no"))</f>
        <v>no</v>
      </c>
      <c r="G636" s="93" t="s">
        <v>262</v>
      </c>
      <c r="H636" s="12">
        <v>45803</v>
      </c>
      <c r="I636" s="11" t="s">
        <v>196</v>
      </c>
      <c r="K636" s="97" t="str">
        <f ca="1">IF(J636="","Date",IF(J636&lt;&gt;"",IF(K636="Date",NOW(),K636),""))</f>
        <v>Date</v>
      </c>
    </row>
    <row r="637" spans="1:12">
      <c r="A637" s="110">
        <v>911369841</v>
      </c>
      <c r="B637" s="97">
        <f ca="1">IF(A637="","Date",IF(A637&lt;&gt;"",IF(B637="Date",NOW(),B637),""))</f>
        <v>45797.55566539352</v>
      </c>
      <c r="C637" s="19" t="str">
        <f>IF(ISBLANK(A637),"Name",IF(ISNA(VLOOKUP(A637,'Master List'!A:C,2,FALSE)), "Not Found", VLOOKUP(A637,'Master List'!A:C,2,FALSE)))</f>
        <v>Aiko Yoshino</v>
      </c>
      <c r="D637" s="19" t="str">
        <f>IF(ISBLANK(A637), "Email",IF(ISNA(VLOOKUP(A637,'Master List'!A:C,3,FALSE)), "Not Found", VLOOKUP(A637,'Master List'!A:C,3,FALSE)))</f>
        <v>ayoshino@sfsu.edu</v>
      </c>
      <c r="E637" s="11" t="s">
        <v>263</v>
      </c>
      <c r="F637" s="4" t="str">
        <f>IF(OR(A637="",E637="","",A637="?",E637="?"),"duplicate?",IF(COUNTIFS($A:A,A637,E:E,E637)&gt;1,"yes","no"))</f>
        <v>no</v>
      </c>
      <c r="G637" s="93" t="s">
        <v>264</v>
      </c>
      <c r="H637" s="12">
        <v>45803</v>
      </c>
      <c r="I637" s="11" t="s">
        <v>196</v>
      </c>
      <c r="K637" s="97" t="str">
        <f ca="1">IF(J637="","Date",IF(J637&lt;&gt;"",IF(K637="Date",NOW(),K637),""))</f>
        <v>Date</v>
      </c>
      <c r="L637" s="86" t="s">
        <v>265</v>
      </c>
    </row>
    <row r="638" spans="1:12">
      <c r="A638" s="110">
        <v>911369841</v>
      </c>
      <c r="B638" s="97">
        <f ca="1">IF(A638="","Date",IF(A638&lt;&gt;"",IF(B638="Date",NOW(),B638),""))</f>
        <v>45797.556134722225</v>
      </c>
      <c r="C638" s="19" t="str">
        <f>IF(ISBLANK(A638),"Name",IF(ISNA(VLOOKUP(A638,'Master List'!A:C,2,FALSE)), "Not Found", VLOOKUP(A638,'Master List'!A:C,2,FALSE)))</f>
        <v>Aiko Yoshino</v>
      </c>
      <c r="D638" s="19" t="str">
        <f>IF(ISBLANK(A638), "Email",IF(ISNA(VLOOKUP(A638,'Master List'!A:C,3,FALSE)), "Not Found", VLOOKUP(A638,'Master List'!A:C,3,FALSE)))</f>
        <v>ayoshino@sfsu.edu</v>
      </c>
      <c r="E638" s="11" t="s">
        <v>58</v>
      </c>
      <c r="F638" s="4" t="str">
        <f>IF(OR(A638="",E638="","",A638="?",E638="?"),"duplicate?",IF(COUNTIFS($A:A,A638,E:E,E638)&gt;1,"yes","no"))</f>
        <v>no</v>
      </c>
      <c r="G638" s="93" t="s">
        <v>266</v>
      </c>
      <c r="H638" s="12">
        <v>45803</v>
      </c>
      <c r="I638" s="11" t="s">
        <v>196</v>
      </c>
      <c r="K638" s="97" t="str">
        <f ca="1">IF(J638="","Date",IF(J638&lt;&gt;"",IF(K638="Date",NOW(),K638),""))</f>
        <v>Date</v>
      </c>
    </row>
    <row r="639" spans="1:12">
      <c r="A639" s="11">
        <v>916958554</v>
      </c>
      <c r="B639" s="97">
        <f ca="1">IF(A639="","Date",IF(A639&lt;&gt;"",IF(B639="Date",NOW(),B639),""))</f>
        <v>45798.369986689817</v>
      </c>
      <c r="C639" s="19" t="str">
        <f>IF(ISBLANK(A639),"Name",IF(ISNA(VLOOKUP(A639,'Master List'!A:C,2,FALSE)), "Not Found", VLOOKUP(A639,'Master List'!A:C,2,FALSE)))</f>
        <v>Christopher Conroy</v>
      </c>
      <c r="D639" s="19" t="str">
        <f>IF(ISBLANK(A639), "Email",IF(ISNA(VLOOKUP(A639,'Master List'!A:C,3,FALSE)), "Not Found", VLOOKUP(A639,'Master List'!A:C,3,FALSE)))</f>
        <v>chconroy@sfsu.edu</v>
      </c>
      <c r="E639" s="11" t="s">
        <v>261</v>
      </c>
      <c r="F639" s="4" t="str">
        <f>IF(OR(A639="",E639="","",A639="?",E639="?"),"duplicate?",IF(COUNTIFS($A:A,A639,E:E,E639)&gt;1,"yes","no"))</f>
        <v>no</v>
      </c>
      <c r="G639" s="93" t="s">
        <v>267</v>
      </c>
      <c r="H639" s="12">
        <v>45800</v>
      </c>
      <c r="I639" s="11" t="s">
        <v>131</v>
      </c>
      <c r="K639" s="97" t="str">
        <f ca="1">IF(J639="","Date",IF(J639&lt;&gt;"",IF(K639="Date",NOW(),K639),""))</f>
        <v>Date</v>
      </c>
    </row>
    <row r="640" spans="1:12">
      <c r="A640" s="11">
        <v>900024195</v>
      </c>
      <c r="B640" s="97">
        <f ca="1">IF(A640="","Date",IF(A640&lt;&gt;"",IF(B640="Date",NOW(),B640),""))</f>
        <v>45798.378344675926</v>
      </c>
      <c r="C640" s="19" t="str">
        <f>IF(ISBLANK(A640),"Name",IF(ISNA(VLOOKUP(A640,'Master List'!A:C,2,FALSE)), "Not Found", VLOOKUP(A640,'Master List'!A:C,2,FALSE)))</f>
        <v>Allyson Tintiangco</v>
      </c>
      <c r="D640" s="19" t="str">
        <f>IF(ISBLANK(A640), "Email",IF(ISNA(VLOOKUP(A640,'Master List'!A:C,3,FALSE)), "Not Found", VLOOKUP(A640,'Master List'!A:C,3,FALSE)))</f>
        <v>aticu@sfsu.edu</v>
      </c>
      <c r="E640" s="11" t="s">
        <v>261</v>
      </c>
      <c r="F640" s="4" t="str">
        <f>IF(OR(A640="",E640="","",A640="?",E640="?"),"duplicate?",IF(COUNTIFS($A:A,A640,E:E,E640)&gt;1,"yes","no"))</f>
        <v>no</v>
      </c>
      <c r="G640" s="93" t="s">
        <v>268</v>
      </c>
      <c r="H640" s="12">
        <v>45870</v>
      </c>
      <c r="I640" s="11" t="s">
        <v>131</v>
      </c>
      <c r="K640" s="97" t="str">
        <f ca="1">IF(J640="","Date",IF(J640&lt;&gt;"",IF(K640="Date",NOW(),K640),""))</f>
        <v>Date</v>
      </c>
    </row>
    <row r="641" spans="1:11">
      <c r="A641" s="11">
        <v>900024195</v>
      </c>
      <c r="B641" s="97">
        <f ca="1">IF(A641="","Date",IF(A641&lt;&gt;"",IF(B641="Date",NOW(),B641),""))</f>
        <v>45798.381660185187</v>
      </c>
      <c r="C641" s="19" t="str">
        <f>IF(ISBLANK(A641),"Name",IF(ISNA(VLOOKUP(A641,'Master List'!A:C,2,FALSE)), "Not Found", VLOOKUP(A641,'Master List'!A:C,2,FALSE)))</f>
        <v>Allyson Tintiangco</v>
      </c>
      <c r="D641" s="19" t="str">
        <f>IF(ISBLANK(A641), "Email",IF(ISNA(VLOOKUP(A641,'Master List'!A:C,3,FALSE)), "Not Found", VLOOKUP(A641,'Master List'!A:C,3,FALSE)))</f>
        <v>aticu@sfsu.edu</v>
      </c>
      <c r="E641" s="11" t="s">
        <v>58</v>
      </c>
      <c r="F641" s="4" t="str">
        <f>IF(OR(A641="",E641="","",A641="?",E641="?"),"duplicate?",IF(COUNTIFS($A:A,A641,E:E,E641)&gt;1,"yes","no"))</f>
        <v>yes</v>
      </c>
      <c r="H641" s="12">
        <v>45870</v>
      </c>
      <c r="I641" s="11" t="s">
        <v>131</v>
      </c>
      <c r="K641" s="97" t="str">
        <f ca="1">IF(J641="","Date",IF(J641&lt;&gt;"",IF(K641="Date",NOW(),K641),""))</f>
        <v>Date</v>
      </c>
    </row>
    <row r="642" spans="1:11">
      <c r="A642" s="11">
        <v>900024195</v>
      </c>
      <c r="B642" s="97">
        <f ca="1">IF(A642="","Date",IF(A642&lt;&gt;"",IF(B642="Date",NOW(),B642),""))</f>
        <v>45798.381859490742</v>
      </c>
      <c r="C642" s="19" t="str">
        <f>IF(ISBLANK(A642),"Name",IF(ISNA(VLOOKUP(A642,'Master List'!A:C,2,FALSE)), "Not Found", VLOOKUP(A642,'Master List'!A:C,2,FALSE)))</f>
        <v>Allyson Tintiangco</v>
      </c>
      <c r="D642" s="19" t="str">
        <f>IF(ISBLANK(A642), "Email",IF(ISNA(VLOOKUP(A642,'Master List'!A:C,3,FALSE)), "Not Found", VLOOKUP(A642,'Master List'!A:C,3,FALSE)))</f>
        <v>aticu@sfsu.edu</v>
      </c>
      <c r="E642" s="11" t="s">
        <v>58</v>
      </c>
      <c r="F642" s="4" t="str">
        <f>IF(OR(A642="",E642="","",A642="?",E642="?"),"duplicate?",IF(COUNTIFS($A:A,A642,E:E,E642)&gt;1,"yes","no"))</f>
        <v>yes</v>
      </c>
      <c r="H642" s="12">
        <v>45870</v>
      </c>
      <c r="I642" s="11" t="s">
        <v>131</v>
      </c>
      <c r="K642" s="97" t="str">
        <f ca="1">IF(J642="","Date",IF(J642&lt;&gt;"",IF(K642="Date",NOW(),K642),""))</f>
        <v>Date</v>
      </c>
    </row>
    <row r="643" spans="1:11">
      <c r="A643" s="11">
        <v>900024195</v>
      </c>
      <c r="B643" s="97">
        <f ca="1">IF(A643="","Date",IF(A643&lt;&gt;"",IF(B643="Date",NOW(),B643),""))</f>
        <v>45798.381932523145</v>
      </c>
      <c r="C643" s="19" t="str">
        <f>IF(ISBLANK(A643),"Name",IF(ISNA(VLOOKUP(A643,'Master List'!A:C,2,FALSE)), "Not Found", VLOOKUP(A643,'Master List'!A:C,2,FALSE)))</f>
        <v>Allyson Tintiangco</v>
      </c>
      <c r="D643" s="19" t="str">
        <f>IF(ISBLANK(A643), "Email",IF(ISNA(VLOOKUP(A643,'Master List'!A:C,3,FALSE)), "Not Found", VLOOKUP(A643,'Master List'!A:C,3,FALSE)))</f>
        <v>aticu@sfsu.edu</v>
      </c>
      <c r="E643" s="11" t="s">
        <v>269</v>
      </c>
      <c r="F643" s="4" t="str">
        <f>IF(OR(A643="",E643="","",A643="?",E643="?"),"duplicate?",IF(COUNTIFS($A:A,A643,E:E,E643)&gt;1,"yes","no"))</f>
        <v>no</v>
      </c>
      <c r="G643" s="93" t="s">
        <v>270</v>
      </c>
      <c r="H643" s="12">
        <v>45870</v>
      </c>
      <c r="I643" s="11" t="s">
        <v>131</v>
      </c>
      <c r="K643" s="97" t="str">
        <f ca="1">IF(J643="","Date",IF(J643&lt;&gt;"",IF(K643="Date",NOW(),K643),""))</f>
        <v>Date</v>
      </c>
    </row>
    <row r="644" spans="1:11">
      <c r="A644" s="11">
        <v>900024195</v>
      </c>
      <c r="B644" s="97">
        <f ca="1">IF(A644="","Date",IF(A644&lt;&gt;"",IF(B644="Date",NOW(),B644),""))</f>
        <v>45798.382591550922</v>
      </c>
      <c r="C644" s="19" t="str">
        <f>IF(ISBLANK(A644),"Name",IF(ISNA(VLOOKUP(A644,'Master List'!A:C,2,FALSE)), "Not Found", VLOOKUP(A644,'Master List'!A:C,2,FALSE)))</f>
        <v>Allyson Tintiangco</v>
      </c>
      <c r="D644" s="19" t="str">
        <f>IF(ISBLANK(A644), "Email",IF(ISNA(VLOOKUP(A644,'Master List'!A:C,3,FALSE)), "Not Found", VLOOKUP(A644,'Master List'!A:C,3,FALSE)))</f>
        <v>aticu@sfsu.edu</v>
      </c>
      <c r="E644" s="11" t="s">
        <v>271</v>
      </c>
      <c r="F644" s="4" t="str">
        <f>IF(OR(A644="",E644="","",A644="?",E644="?"),"duplicate?",IF(COUNTIFS($A:A,A644,E:E,E644)&gt;1,"yes","no"))</f>
        <v>no</v>
      </c>
      <c r="G644" s="93" t="s">
        <v>272</v>
      </c>
      <c r="H644" s="12">
        <v>45870</v>
      </c>
      <c r="I644" s="11" t="s">
        <v>131</v>
      </c>
      <c r="K644" s="97" t="str">
        <f ca="1">IF(J644="","Date",IF(J644&lt;&gt;"",IF(K644="Date",NOW(),K644),""))</f>
        <v>Date</v>
      </c>
    </row>
    <row r="645" spans="1:11">
      <c r="A645" s="11">
        <v>903838798</v>
      </c>
      <c r="B645" s="97">
        <f ca="1">IF(A645="","Date",IF(A645&lt;&gt;"",IF(B645="Date",NOW(),B645),""))</f>
        <v>45798.409998148149</v>
      </c>
      <c r="C645" s="19" t="str">
        <f>IF(ISBLANK(A645),"Name",IF(ISNA(VLOOKUP(A645,'Master List'!A:C,2,FALSE)), "Not Found", VLOOKUP(A645,'Master List'!A:C,2,FALSE)))</f>
        <v>Kimberly Tsui</v>
      </c>
      <c r="D645" s="19" t="str">
        <f>IF(ISBLANK(A645), "Email",IF(ISNA(VLOOKUP(A645,'Master List'!A:C,3,FALSE)), "Not Found", VLOOKUP(A645,'Master List'!A:C,3,FALSE)))</f>
        <v>kimmiet@sfsu.edu</v>
      </c>
      <c r="E645" s="11" t="s">
        <v>28</v>
      </c>
      <c r="F645" s="4" t="str">
        <f>IF(OR(A645="",E645="","",A645="?",E645="?"),"duplicate?",IF(COUNTIFS($A:A,A645,E:E,E645)&gt;1,"yes","no"))</f>
        <v>no</v>
      </c>
      <c r="G645" s="93" t="s">
        <v>273</v>
      </c>
      <c r="H645" s="12">
        <v>45804</v>
      </c>
      <c r="I645" s="11" t="s">
        <v>131</v>
      </c>
      <c r="K645" s="97" t="str">
        <f ca="1">IF(J645="","Date",IF(J645&lt;&gt;"",IF(K645="Date",NOW(),K645),""))</f>
        <v>Date</v>
      </c>
    </row>
    <row r="646" spans="1:11">
      <c r="A646" s="11">
        <v>917216539</v>
      </c>
      <c r="B646" s="97">
        <f ca="1">IF(A646="","Date",IF(A646&lt;&gt;"",IF(B646="Date",NOW(),B646),""))</f>
        <v>45798.484735763886</v>
      </c>
      <c r="C646" s="19" t="str">
        <f>IF(ISBLANK(A646),"Name",IF(ISNA(VLOOKUP(A646,'Master List'!A:C,2,FALSE)), "Not Found", VLOOKUP(A646,'Master List'!A:C,2,FALSE)))</f>
        <v>Amichai Lyons</v>
      </c>
      <c r="D646" s="19" t="str">
        <f>IF(ISBLANK(A646), "Email",IF(ISNA(VLOOKUP(A646,'Master List'!A:C,3,FALSE)), "Not Found", VLOOKUP(A646,'Master List'!A:C,3,FALSE)))</f>
        <v>alyons@sfsu.edu</v>
      </c>
      <c r="E646" s="11" t="s">
        <v>239</v>
      </c>
      <c r="F646" s="4" t="str">
        <f>IF(OR(A646="",E646="","",A646="?",E646="?"),"duplicate?",IF(COUNTIFS($A:A,A646,E:E,E646)&gt;1,"yes","no"))</f>
        <v>no</v>
      </c>
      <c r="G646" s="93" t="s">
        <v>274</v>
      </c>
      <c r="H646" s="12">
        <v>45799</v>
      </c>
      <c r="I646" s="11" t="s">
        <v>196</v>
      </c>
      <c r="K646" s="97" t="str">
        <f ca="1">IF(J646="","Date",IF(J646&lt;&gt;"",IF(K646="Date",NOW(),K646),""))</f>
        <v>Date</v>
      </c>
    </row>
    <row r="647" spans="1:11">
      <c r="A647" s="19">
        <v>900599042</v>
      </c>
      <c r="B647" s="97">
        <f ca="1">IF(A647="","Date",IF(A647&lt;&gt;"",IF(B647="Date",NOW(),B647),""))</f>
        <v>45799.395348148151</v>
      </c>
      <c r="C647" s="19" t="str">
        <f>IF(ISBLANK(A647),"Name",IF(ISNA(VLOOKUP(A647,'Master List'!A:C,2,FALSE)), "Not Found", VLOOKUP(A647,'Master List'!A:C,2,FALSE)))</f>
        <v>Laura Garcia-Moreno</v>
      </c>
      <c r="D647" s="19" t="str">
        <f>IF(ISBLANK(A647), "Email",IF(ISNA(VLOOKUP(A647,'Master List'!A:C,3,FALSE)), "Not Found", VLOOKUP(A647,'Master List'!A:C,3,FALSE)))</f>
        <v>lgmoreno@sfsu.edu</v>
      </c>
      <c r="E647" s="11" t="s">
        <v>78</v>
      </c>
      <c r="F647" s="4" t="str">
        <f>IF(OR(A647="",E647="","",A647="?",E647="?"),"duplicate?",IF(COUNTIFS($A:A,A647,E:E,E647)&gt;1,"yes","no"))</f>
        <v>no</v>
      </c>
      <c r="J647" s="109" t="s">
        <v>131</v>
      </c>
      <c r="K647" s="97">
        <f ca="1">IF(J647="","Date",IF(J647&lt;&gt;"",IF(K647="Date",NOW(),K647),""))</f>
        <v>45799.395431018522</v>
      </c>
    </row>
    <row r="648" spans="1:11">
      <c r="B648" s="97" t="str">
        <f ca="1">IF(A648="","Date",IF(A648&lt;&gt;"",IF(B648="Date",NOW(),B648),""))</f>
        <v>Date</v>
      </c>
      <c r="C648" s="19" t="str">
        <f>IF(ISBLANK(A648),"Name",IF(ISNA(VLOOKUP(A648,'Master List'!A:C,2,FALSE)), "Not Found", VLOOKUP(A648,'Master List'!A:C,2,FALSE)))</f>
        <v>Name</v>
      </c>
      <c r="D648" s="19" t="str">
        <f>IF(ISBLANK(A648), "Email",IF(ISNA(VLOOKUP(A648,'Master List'!A:C,3,FALSE)), "Not Found", VLOOKUP(A648,'Master List'!A:C,3,FALSE)))</f>
        <v>Email</v>
      </c>
      <c r="F648" s="4" t="str">
        <f>IF(OR(A648="",E648="","",A648="?",E648="?"),"duplicate?",IF(COUNTIFS($A:A,A648,E:E,E648)&gt;1,"yes","no"))</f>
        <v>duplicate?</v>
      </c>
      <c r="K648" s="97" t="str">
        <f ca="1">IF(J648="","Date",IF(J648&lt;&gt;"",IF(K648="Date",NOW(),K648),""))</f>
        <v>Date</v>
      </c>
    </row>
    <row r="649" spans="1:11">
      <c r="B649" s="97" t="str">
        <f ca="1">IF(A649="","Date",IF(A649&lt;&gt;"",IF(B649="Date",NOW(),B649),""))</f>
        <v>Date</v>
      </c>
      <c r="C649" s="19" t="str">
        <f>IF(ISBLANK(A649),"Name",IF(ISNA(VLOOKUP(A649,'Master List'!A:C,2,FALSE)), "Not Found", VLOOKUP(A649,'Master List'!A:C,2,FALSE)))</f>
        <v>Name</v>
      </c>
      <c r="D649" s="19" t="str">
        <f>IF(ISBLANK(A649), "Email",IF(ISNA(VLOOKUP(A649,'Master List'!A:C,3,FALSE)), "Not Found", VLOOKUP(A649,'Master List'!A:C,3,FALSE)))</f>
        <v>Email</v>
      </c>
      <c r="F649" s="4" t="str">
        <f>IF(OR(A649="",E649="","",A649="?",E649="?"),"duplicate?",IF(COUNTIFS($A:A,A649,E:E,E649)&gt;1,"yes","no"))</f>
        <v>duplicate?</v>
      </c>
      <c r="K649" s="97" t="str">
        <f ca="1">IF(J649="","Date",IF(J649&lt;&gt;"",IF(K649="Date",NOW(),K649),""))</f>
        <v>Date</v>
      </c>
    </row>
    <row r="650" spans="1:11">
      <c r="B650" s="97" t="str">
        <f ca="1">IF(A650="","Date",IF(A650&lt;&gt;"",IF(B650="Date",NOW(),B650),""))</f>
        <v>Date</v>
      </c>
      <c r="C650" s="19" t="str">
        <f>IF(ISBLANK(A650),"Name",IF(ISNA(VLOOKUP(A650,'Master List'!A:C,2,FALSE)), "Not Found", VLOOKUP(A650,'Master List'!A:C,2,FALSE)))</f>
        <v>Name</v>
      </c>
      <c r="D650" s="19" t="str">
        <f>IF(ISBLANK(A650), "Email",IF(ISNA(VLOOKUP(A650,'Master List'!A:C,3,FALSE)), "Not Found", VLOOKUP(A650,'Master List'!A:C,3,FALSE)))</f>
        <v>Email</v>
      </c>
      <c r="F650" s="4" t="str">
        <f>IF(OR(A650="",E650="","",A650="?",E650="?"),"duplicate?",IF(COUNTIFS($A:A,A650,E:E,E650)&gt;1,"yes","no"))</f>
        <v>duplicate?</v>
      </c>
      <c r="K650" s="97" t="str">
        <f ca="1">IF(J650="","Date",IF(J650&lt;&gt;"",IF(K650="Date",NOW(),K650),""))</f>
        <v>Date</v>
      </c>
    </row>
    <row r="651" spans="1:11">
      <c r="B651" s="97" t="str">
        <f ca="1">IF(A651="","Date",IF(A651&lt;&gt;"",IF(B651="Date",NOW(),B651),""))</f>
        <v>Date</v>
      </c>
      <c r="C651" s="19" t="str">
        <f>IF(ISBLANK(A651),"Name",IF(ISNA(VLOOKUP(A651,'Master List'!A:C,2,FALSE)), "Not Found", VLOOKUP(A651,'Master List'!A:C,2,FALSE)))</f>
        <v>Name</v>
      </c>
      <c r="D651" s="19" t="str">
        <f>IF(ISBLANK(A651), "Email",IF(ISNA(VLOOKUP(A651,'Master List'!A:C,3,FALSE)), "Not Found", VLOOKUP(A651,'Master List'!A:C,3,FALSE)))</f>
        <v>Email</v>
      </c>
      <c r="F651" s="4" t="str">
        <f>IF(OR(A651="",E651="","",A651="?",E651="?"),"duplicate?",IF(COUNTIFS($A:A,A651,E:E,E651)&gt;1,"yes","no"))</f>
        <v>duplicate?</v>
      </c>
      <c r="K651" s="97" t="str">
        <f ca="1">IF(J651="","Date",IF(J651&lt;&gt;"",IF(K651="Date",NOW(),K651),""))</f>
        <v>Date</v>
      </c>
    </row>
    <row r="652" spans="1:11">
      <c r="B652" s="97" t="str">
        <f ca="1">IF(A652="","Date",IF(A652&lt;&gt;"",IF(B652="Date",NOW(),B652),""))</f>
        <v>Date</v>
      </c>
      <c r="C652" s="19" t="str">
        <f>IF(ISBLANK(A652),"Name",IF(ISNA(VLOOKUP(A652,'Master List'!A:C,2,FALSE)), "Not Found", VLOOKUP(A652,'Master List'!A:C,2,FALSE)))</f>
        <v>Name</v>
      </c>
      <c r="D652" s="19" t="str">
        <f>IF(ISBLANK(A652), "Email",IF(ISNA(VLOOKUP(A652,'Master List'!A:C,3,FALSE)), "Not Found", VLOOKUP(A652,'Master List'!A:C,3,FALSE)))</f>
        <v>Email</v>
      </c>
      <c r="F652" s="4" t="str">
        <f>IF(OR(A652="",E652="","",A652="?",E652="?"),"duplicate?",IF(COUNTIFS($A:A,A652,E:E,E652)&gt;1,"yes","no"))</f>
        <v>duplicate?</v>
      </c>
      <c r="K652" s="97" t="str">
        <f ca="1">IF(J652="","Date",IF(J652&lt;&gt;"",IF(K652="Date",NOW(),K652),""))</f>
        <v>Date</v>
      </c>
    </row>
    <row r="653" spans="1:11">
      <c r="B653" s="97" t="str">
        <f ca="1">IF(A653="","Date",IF(A653&lt;&gt;"",IF(B653="Date",NOW(),B653),""))</f>
        <v>Date</v>
      </c>
      <c r="C653" s="19" t="str">
        <f>IF(ISBLANK(A653),"Name",IF(ISNA(VLOOKUP(A653,'Master List'!A:C,2,FALSE)), "Not Found", VLOOKUP(A653,'Master List'!A:C,2,FALSE)))</f>
        <v>Name</v>
      </c>
      <c r="D653" s="19" t="str">
        <f>IF(ISBLANK(A653), "Email",IF(ISNA(VLOOKUP(A653,'Master List'!A:C,3,FALSE)), "Not Found", VLOOKUP(A653,'Master List'!A:C,3,FALSE)))</f>
        <v>Email</v>
      </c>
      <c r="F653" s="4" t="str">
        <f>IF(OR(A653="",E653="","",A653="?",E653="?"),"duplicate?",IF(COUNTIFS($A:A,A653,E:E,E653)&gt;1,"yes","no"))</f>
        <v>duplicate?</v>
      </c>
      <c r="K653" s="97" t="str">
        <f ca="1">IF(J653="","Date",IF(J653&lt;&gt;"",IF(K653="Date",NOW(),K653),""))</f>
        <v>Date</v>
      </c>
    </row>
    <row r="654" spans="1:11">
      <c r="B654" s="97" t="str">
        <f ca="1">IF(A654="","Date",IF(A654&lt;&gt;"",IF(B654="Date",NOW(),B654),""))</f>
        <v>Date</v>
      </c>
      <c r="C654" s="19" t="str">
        <f>IF(ISBLANK(A654),"Name",IF(ISNA(VLOOKUP(A654,'Master List'!A:C,2,FALSE)), "Not Found", VLOOKUP(A654,'Master List'!A:C,2,FALSE)))</f>
        <v>Name</v>
      </c>
      <c r="D654" s="19" t="str">
        <f>IF(ISBLANK(A654), "Email",IF(ISNA(VLOOKUP(A654,'Master List'!A:C,3,FALSE)), "Not Found", VLOOKUP(A654,'Master List'!A:C,3,FALSE)))</f>
        <v>Email</v>
      </c>
      <c r="F654" s="4" t="str">
        <f>IF(OR(A654="",E654="","",A654="?",E654="?"),"duplicate?",IF(COUNTIFS($A:A,A654,E:E,E654)&gt;1,"yes","no"))</f>
        <v>duplicate?</v>
      </c>
      <c r="K654" s="97" t="str">
        <f ca="1">IF(J654="","Date",IF(J654&lt;&gt;"",IF(K654="Date",NOW(),K654),""))</f>
        <v>Date</v>
      </c>
    </row>
    <row r="655" spans="1:11">
      <c r="B655" s="97" t="str">
        <f ca="1">IF(A655="","Date",IF(A655&lt;&gt;"",IF(B655="Date",NOW(),B655),""))</f>
        <v>Date</v>
      </c>
      <c r="C655" s="19" t="str">
        <f>IF(ISBLANK(A655),"Name",IF(ISNA(VLOOKUP(A655,'Master List'!A:C,2,FALSE)), "Not Found", VLOOKUP(A655,'Master List'!A:C,2,FALSE)))</f>
        <v>Name</v>
      </c>
      <c r="D655" s="19" t="str">
        <f>IF(ISBLANK(A655), "Email",IF(ISNA(VLOOKUP(A655,'Master List'!A:C,3,FALSE)), "Not Found", VLOOKUP(A655,'Master List'!A:C,3,FALSE)))</f>
        <v>Email</v>
      </c>
      <c r="F655" s="4" t="str">
        <f>IF(OR(A655="",E655="","",A655="?",E655="?"),"duplicate?",IF(COUNTIFS($A:A,A655,E:E,E655)&gt;1,"yes","no"))</f>
        <v>duplicate?</v>
      </c>
      <c r="K655" s="97" t="str">
        <f ca="1">IF(J655="","Date",IF(J655&lt;&gt;"",IF(K655="Date",NOW(),K655),""))</f>
        <v>Date</v>
      </c>
    </row>
    <row r="656" spans="1:11">
      <c r="B656" s="97" t="str">
        <f ca="1">IF(A656="","Date",IF(A656&lt;&gt;"",IF(B656="Date",NOW(),B656),""))</f>
        <v>Date</v>
      </c>
      <c r="C656" s="19" t="str">
        <f>IF(ISBLANK(A656),"Name",IF(ISNA(VLOOKUP(A656,'Master List'!A:C,2,FALSE)), "Not Found", VLOOKUP(A656,'Master List'!A:C,2,FALSE)))</f>
        <v>Name</v>
      </c>
      <c r="D656" s="19" t="str">
        <f>IF(ISBLANK(A656), "Email",IF(ISNA(VLOOKUP(A656,'Master List'!A:C,3,FALSE)), "Not Found", VLOOKUP(A656,'Master List'!A:C,3,FALSE)))</f>
        <v>Email</v>
      </c>
      <c r="F656" s="4" t="str">
        <f>IF(OR(A656="",E656="","",A656="?",E656="?"),"duplicate?",IF(COUNTIFS($A:A,A656,E:E,E656)&gt;1,"yes","no"))</f>
        <v>duplicate?</v>
      </c>
      <c r="K656" s="97" t="str">
        <f ca="1">IF(J656="","Date",IF(J656&lt;&gt;"",IF(K656="Date",NOW(),K656),""))</f>
        <v>Date</v>
      </c>
    </row>
    <row r="657" spans="2:11">
      <c r="B657" s="97" t="str">
        <f ca="1">IF(A657="","Date",IF(A657&lt;&gt;"",IF(B657="Date",NOW(),B657),""))</f>
        <v>Date</v>
      </c>
      <c r="C657" s="19" t="str">
        <f>IF(ISBLANK(A657),"Name",IF(ISNA(VLOOKUP(A657,'Master List'!A:C,2,FALSE)), "Not Found", VLOOKUP(A657,'Master List'!A:C,2,FALSE)))</f>
        <v>Name</v>
      </c>
      <c r="D657" s="19" t="str">
        <f>IF(ISBLANK(A657), "Email",IF(ISNA(VLOOKUP(A657,'Master List'!A:C,3,FALSE)), "Not Found", VLOOKUP(A657,'Master List'!A:C,3,FALSE)))</f>
        <v>Email</v>
      </c>
      <c r="F657" s="4" t="str">
        <f>IF(OR(A657="",E657="","",A657="?",E657="?"),"duplicate?",IF(COUNTIFS($A:A,A657,E:E,E657)&gt;1,"yes","no"))</f>
        <v>duplicate?</v>
      </c>
      <c r="K657" s="97" t="str">
        <f ca="1">IF(J657="","Date",IF(J657&lt;&gt;"",IF(K657="Date",NOW(),K657),""))</f>
        <v>Date</v>
      </c>
    </row>
    <row r="658" spans="2:11">
      <c r="B658" s="97" t="str">
        <f ca="1">IF(A658="","Date",IF(A658&lt;&gt;"",IF(B658="Date",NOW(),B658),""))</f>
        <v>Date</v>
      </c>
      <c r="C658" s="19" t="str">
        <f>IF(ISBLANK(A658),"Name",IF(ISNA(VLOOKUP(A658,'Master List'!A:C,2,FALSE)), "Not Found", VLOOKUP(A658,'Master List'!A:C,2,FALSE)))</f>
        <v>Name</v>
      </c>
      <c r="D658" s="19" t="str">
        <f>IF(ISBLANK(A658), "Email",IF(ISNA(VLOOKUP(A658,'Master List'!A:C,3,FALSE)), "Not Found", VLOOKUP(A658,'Master List'!A:C,3,FALSE)))</f>
        <v>Email</v>
      </c>
      <c r="F658" s="4" t="str">
        <f>IF(OR(A658="",E658="","",A658="?",E658="?"),"duplicate?",IF(COUNTIFS($A:A,A658,E:E,E658)&gt;1,"yes","no"))</f>
        <v>duplicate?</v>
      </c>
      <c r="K658" s="97" t="str">
        <f ca="1">IF(J658="","Date",IF(J658&lt;&gt;"",IF(K658="Date",NOW(),K658),""))</f>
        <v>Date</v>
      </c>
    </row>
    <row r="659" spans="2:11">
      <c r="B659" s="97" t="str">
        <f ca="1">IF(A659="","Date",IF(A659&lt;&gt;"",IF(B659="Date",NOW(),B659),""))</f>
        <v>Date</v>
      </c>
      <c r="C659" s="19" t="str">
        <f>IF(ISBLANK(A659),"Name",IF(ISNA(VLOOKUP(A659,'Master List'!A:C,2,FALSE)), "Not Found", VLOOKUP(A659,'Master List'!A:C,2,FALSE)))</f>
        <v>Name</v>
      </c>
      <c r="D659" s="19" t="str">
        <f>IF(ISBLANK(A659), "Email",IF(ISNA(VLOOKUP(A659,'Master List'!A:C,3,FALSE)), "Not Found", VLOOKUP(A659,'Master List'!A:C,3,FALSE)))</f>
        <v>Email</v>
      </c>
      <c r="F659" s="4" t="str">
        <f>IF(OR(A659="",E659="","",A659="?",E659="?"),"duplicate?",IF(COUNTIFS($A:A,A659,E:E,E659)&gt;1,"yes","no"))</f>
        <v>duplicate?</v>
      </c>
      <c r="K659" s="97" t="str">
        <f ca="1">IF(J659="","Date",IF(J659&lt;&gt;"",IF(K659="Date",NOW(),K659),""))</f>
        <v>Date</v>
      </c>
    </row>
    <row r="660" spans="2:11">
      <c r="B660" s="97" t="str">
        <f ca="1">IF(A660="","Date",IF(A660&lt;&gt;"",IF(B660="Date",NOW(),B660),""))</f>
        <v>Date</v>
      </c>
      <c r="C660" s="19" t="str">
        <f>IF(ISBLANK(A660),"Name",IF(ISNA(VLOOKUP(A660,'Master List'!A:C,2,FALSE)), "Not Found", VLOOKUP(A660,'Master List'!A:C,2,FALSE)))</f>
        <v>Name</v>
      </c>
      <c r="D660" s="19" t="str">
        <f>IF(ISBLANK(A660), "Email",IF(ISNA(VLOOKUP(A660,'Master List'!A:C,3,FALSE)), "Not Found", VLOOKUP(A660,'Master List'!A:C,3,FALSE)))</f>
        <v>Email</v>
      </c>
      <c r="F660" s="4" t="str">
        <f>IF(OR(A660="",E660="","",A660="?",E660="?"),"duplicate?",IF(COUNTIFS($A:A,A660,E:E,E660)&gt;1,"yes","no"))</f>
        <v>duplicate?</v>
      </c>
      <c r="K660" s="97" t="str">
        <f ca="1">IF(J660="","Date",IF(J660&lt;&gt;"",IF(K660="Date",NOW(),K660),""))</f>
        <v>Date</v>
      </c>
    </row>
    <row r="661" spans="2:11">
      <c r="B661" s="97" t="str">
        <f ca="1">IF(A661="","Date",IF(A661&lt;&gt;"",IF(B661="Date",NOW(),B661),""))</f>
        <v>Date</v>
      </c>
      <c r="C661" s="19" t="str">
        <f>IF(ISBLANK(A661),"Name",IF(ISNA(VLOOKUP(A661,'Master List'!A:C,2,FALSE)), "Not Found", VLOOKUP(A661,'Master List'!A:C,2,FALSE)))</f>
        <v>Name</v>
      </c>
      <c r="D661" s="19" t="str">
        <f>IF(ISBLANK(A661), "Email",IF(ISNA(VLOOKUP(A661,'Master List'!A:C,3,FALSE)), "Not Found", VLOOKUP(A661,'Master List'!A:C,3,FALSE)))</f>
        <v>Email</v>
      </c>
      <c r="F661" s="4" t="str">
        <f>IF(OR(A661="",E661="","",A661="?",E661="?"),"duplicate?",IF(COUNTIFS($A:A,A661,E:E,E661)&gt;1,"yes","no"))</f>
        <v>duplicate?</v>
      </c>
      <c r="K661" s="97" t="str">
        <f ca="1">IF(J661="","Date",IF(J661&lt;&gt;"",IF(K661="Date",NOW(),K661),""))</f>
        <v>Date</v>
      </c>
    </row>
    <row r="662" spans="2:11">
      <c r="B662" s="97" t="str">
        <f ca="1">IF(A662="","Date",IF(A662&lt;&gt;"",IF(B662="Date",NOW(),B662),""))</f>
        <v>Date</v>
      </c>
      <c r="C662" s="19" t="str">
        <f>IF(ISBLANK(A662),"Name",IF(ISNA(VLOOKUP(A662,'Master List'!A:C,2,FALSE)), "Not Found", VLOOKUP(A662,'Master List'!A:C,2,FALSE)))</f>
        <v>Name</v>
      </c>
      <c r="D662" s="19" t="str">
        <f>IF(ISBLANK(A662), "Email",IF(ISNA(VLOOKUP(A662,'Master List'!A:C,3,FALSE)), "Not Found", VLOOKUP(A662,'Master List'!A:C,3,FALSE)))</f>
        <v>Email</v>
      </c>
      <c r="F662" s="4" t="str">
        <f>IF(OR(A662="",E662="","",A662="?",E662="?"),"duplicate?",IF(COUNTIFS($A:A,A662,E:E,E662)&gt;1,"yes","no"))</f>
        <v>duplicate?</v>
      </c>
      <c r="K662" s="97" t="str">
        <f ca="1">IF(J662="","Date",IF(J662&lt;&gt;"",IF(K662="Date",NOW(),K662),""))</f>
        <v>Date</v>
      </c>
    </row>
    <row r="663" spans="2:11">
      <c r="B663" s="97" t="str">
        <f ca="1">IF(A663="","Date",IF(A663&lt;&gt;"",IF(B663="Date",NOW(),B663),""))</f>
        <v>Date</v>
      </c>
      <c r="C663" s="19" t="str">
        <f>IF(ISBLANK(A663),"Name",IF(ISNA(VLOOKUP(A663,'Master List'!A:C,2,FALSE)), "Not Found", VLOOKUP(A663,'Master List'!A:C,2,FALSE)))</f>
        <v>Name</v>
      </c>
      <c r="D663" s="19" t="str">
        <f>IF(ISBLANK(A663), "Email",IF(ISNA(VLOOKUP(A663,'Master List'!A:C,3,FALSE)), "Not Found", VLOOKUP(A663,'Master List'!A:C,3,FALSE)))</f>
        <v>Email</v>
      </c>
      <c r="F663" s="4" t="str">
        <f>IF(OR(A663="",E663="","",A663="?",E663="?"),"duplicate?",IF(COUNTIFS($A:A,A663,E:E,E663)&gt;1,"yes","no"))</f>
        <v>duplicate?</v>
      </c>
      <c r="K663" s="97" t="str">
        <f ca="1">IF(J663="","Date",IF(J663&lt;&gt;"",IF(K663="Date",NOW(),K663),""))</f>
        <v>Date</v>
      </c>
    </row>
    <row r="664" spans="2:11">
      <c r="B664" s="97" t="str">
        <f ca="1">IF(A664="","Date",IF(A664&lt;&gt;"",IF(B664="Date",NOW(),B664),""))</f>
        <v>Date</v>
      </c>
      <c r="C664" s="19" t="str">
        <f>IF(ISBLANK(A664),"Name",IF(ISNA(VLOOKUP(A664,'Master List'!A:C,2,FALSE)), "Not Found", VLOOKUP(A664,'Master List'!A:C,2,FALSE)))</f>
        <v>Name</v>
      </c>
      <c r="D664" s="19" t="str">
        <f>IF(ISBLANK(A664), "Email",IF(ISNA(VLOOKUP(A664,'Master List'!A:C,3,FALSE)), "Not Found", VLOOKUP(A664,'Master List'!A:C,3,FALSE)))</f>
        <v>Email</v>
      </c>
      <c r="F664" s="4" t="str">
        <f>IF(OR(A664="",E664="","",A664="?",E664="?"),"duplicate?",IF(COUNTIFS($A:A,A664,E:E,E664)&gt;1,"yes","no"))</f>
        <v>duplicate?</v>
      </c>
      <c r="K664" s="97" t="str">
        <f ca="1">IF(J664="","Date",IF(J664&lt;&gt;"",IF(K664="Date",NOW(),K664),""))</f>
        <v>Date</v>
      </c>
    </row>
    <row r="665" spans="2:11">
      <c r="B665" s="97" t="str">
        <f ca="1">IF(A665="","Date",IF(A665&lt;&gt;"",IF(B665="Date",NOW(),B665),""))</f>
        <v>Date</v>
      </c>
      <c r="C665" s="19" t="str">
        <f>IF(ISBLANK(A665),"Name",IF(ISNA(VLOOKUP(A665,'Master List'!A:C,2,FALSE)), "Not Found", VLOOKUP(A665,'Master List'!A:C,2,FALSE)))</f>
        <v>Name</v>
      </c>
      <c r="D665" s="19" t="str">
        <f>IF(ISBLANK(A665), "Email",IF(ISNA(VLOOKUP(A665,'Master List'!A:C,3,FALSE)), "Not Found", VLOOKUP(A665,'Master List'!A:C,3,FALSE)))</f>
        <v>Email</v>
      </c>
      <c r="F665" s="4" t="str">
        <f>IF(OR(A665="",E665="","",A665="?",E665="?"),"duplicate?",IF(COUNTIFS($A:A,A665,E:E,E665)&gt;1,"yes","no"))</f>
        <v>duplicate?</v>
      </c>
      <c r="K665" s="97" t="str">
        <f ca="1">IF(J665="","Date",IF(J665&lt;&gt;"",IF(K665="Date",NOW(),K665),""))</f>
        <v>Date</v>
      </c>
    </row>
    <row r="666" spans="2:11">
      <c r="B666" s="97" t="str">
        <f ca="1">IF(A666="","Date",IF(A666&lt;&gt;"",IF(B666="Date",NOW(),B666),""))</f>
        <v>Date</v>
      </c>
      <c r="C666" s="19" t="str">
        <f>IF(ISBLANK(A666),"Name",IF(ISNA(VLOOKUP(A666,'Master List'!A:C,2,FALSE)), "Not Found", VLOOKUP(A666,'Master List'!A:C,2,FALSE)))</f>
        <v>Name</v>
      </c>
      <c r="D666" s="19" t="str">
        <f>IF(ISBLANK(A666), "Email",IF(ISNA(VLOOKUP(A666,'Master List'!A:C,3,FALSE)), "Not Found", VLOOKUP(A666,'Master List'!A:C,3,FALSE)))</f>
        <v>Email</v>
      </c>
      <c r="F666" s="4" t="str">
        <f>IF(OR(A666="",E666="","",A666="?",E666="?"),"duplicate?",IF(COUNTIFS($A:A,A666,E:E,E666)&gt;1,"yes","no"))</f>
        <v>duplicate?</v>
      </c>
      <c r="K666" s="97" t="str">
        <f ca="1">IF(J666="","Date",IF(J666&lt;&gt;"",IF(K666="Date",NOW(),K666),""))</f>
        <v>Date</v>
      </c>
    </row>
    <row r="667" spans="2:11">
      <c r="B667" s="97" t="str">
        <f ca="1">IF(A667="","Date",IF(A667&lt;&gt;"",IF(B667="Date",NOW(),B667),""))</f>
        <v>Date</v>
      </c>
      <c r="C667" s="19" t="str">
        <f>IF(ISBLANK(A667),"Name",IF(ISNA(VLOOKUP(A667,'Master List'!A:C,2,FALSE)), "Not Found", VLOOKUP(A667,'Master List'!A:C,2,FALSE)))</f>
        <v>Name</v>
      </c>
      <c r="D667" s="19" t="str">
        <f>IF(ISBLANK(A667), "Email",IF(ISNA(VLOOKUP(A667,'Master List'!A:C,3,FALSE)), "Not Found", VLOOKUP(A667,'Master List'!A:C,3,FALSE)))</f>
        <v>Email</v>
      </c>
      <c r="F667" s="4" t="str">
        <f>IF(OR(A667="",E667="","",A667="?",E667="?"),"duplicate?",IF(COUNTIFS($A:A,A667,E:E,E667)&gt;1,"yes","no"))</f>
        <v>duplicate?</v>
      </c>
      <c r="K667" s="97" t="str">
        <f ca="1">IF(J667="","Date",IF(J667&lt;&gt;"",IF(K667="Date",NOW(),K667),""))</f>
        <v>Date</v>
      </c>
    </row>
    <row r="668" spans="2:11">
      <c r="B668" s="97" t="str">
        <f ca="1">IF(A668="","Date",IF(A668&lt;&gt;"",IF(B668="Date",NOW(),B668),""))</f>
        <v>Date</v>
      </c>
      <c r="C668" s="19" t="str">
        <f>IF(ISBLANK(A668),"Name",IF(ISNA(VLOOKUP(A668,'Master List'!A:C,2,FALSE)), "Not Found", VLOOKUP(A668,'Master List'!A:C,2,FALSE)))</f>
        <v>Name</v>
      </c>
      <c r="D668" s="19" t="str">
        <f>IF(ISBLANK(A668), "Email",IF(ISNA(VLOOKUP(A668,'Master List'!A:C,3,FALSE)), "Not Found", VLOOKUP(A668,'Master List'!A:C,3,FALSE)))</f>
        <v>Email</v>
      </c>
      <c r="F668" s="4" t="str">
        <f>IF(OR(A668="",E668="","",A668="?",E668="?"),"duplicate?",IF(COUNTIFS($A:A,A668,E:E,E668)&gt;1,"yes","no"))</f>
        <v>duplicate?</v>
      </c>
      <c r="K668" s="97" t="str">
        <f ca="1">IF(J668="","Date",IF(J668&lt;&gt;"",IF(K668="Date",NOW(),K668),""))</f>
        <v>Date</v>
      </c>
    </row>
    <row r="669" spans="2:11">
      <c r="B669" s="97" t="str">
        <f ca="1">IF(A669="","Date",IF(A669&lt;&gt;"",IF(B669="Date",NOW(),B669),""))</f>
        <v>Date</v>
      </c>
      <c r="C669" s="19" t="str">
        <f>IF(ISBLANK(A669),"Name",IF(ISNA(VLOOKUP(A669,'Master List'!A:C,2,FALSE)), "Not Found", VLOOKUP(A669,'Master List'!A:C,2,FALSE)))</f>
        <v>Name</v>
      </c>
      <c r="D669" s="19" t="str">
        <f>IF(ISBLANK(A669), "Email",IF(ISNA(VLOOKUP(A669,'Master List'!A:C,3,FALSE)), "Not Found", VLOOKUP(A669,'Master List'!A:C,3,FALSE)))</f>
        <v>Email</v>
      </c>
      <c r="F669" s="4" t="str">
        <f>IF(OR(A669="",E669="","",A669="?",E669="?"),"duplicate?",IF(COUNTIFS($A:A,A669,E:E,E669)&gt;1,"yes","no"))</f>
        <v>duplicate?</v>
      </c>
      <c r="K669" s="97" t="str">
        <f ca="1">IF(J669="","Date",IF(J669&lt;&gt;"",IF(K669="Date",NOW(),K669),""))</f>
        <v>Date</v>
      </c>
    </row>
    <row r="670" spans="2:11">
      <c r="B670" s="97" t="str">
        <f ca="1">IF(A670="","Date",IF(A670&lt;&gt;"",IF(B670="Date",NOW(),B670),""))</f>
        <v>Date</v>
      </c>
      <c r="C670" s="19" t="str">
        <f>IF(ISBLANK(A670),"Name",IF(ISNA(VLOOKUP(A670,'Master List'!A:C,2,FALSE)), "Not Found", VLOOKUP(A670,'Master List'!A:C,2,FALSE)))</f>
        <v>Name</v>
      </c>
      <c r="D670" s="19" t="str">
        <f>IF(ISBLANK(A670), "Email",IF(ISNA(VLOOKUP(A670,'Master List'!A:C,3,FALSE)), "Not Found", VLOOKUP(A670,'Master List'!A:C,3,FALSE)))</f>
        <v>Email</v>
      </c>
      <c r="F670" s="4" t="str">
        <f>IF(OR(A670="",E670="","",A670="?",E670="?"),"duplicate?",IF(COUNTIFS($A:A,A670,E:E,E670)&gt;1,"yes","no"))</f>
        <v>duplicate?</v>
      </c>
      <c r="K670" s="97" t="str">
        <f ca="1">IF(J670="","Date",IF(J670&lt;&gt;"",IF(K670="Date",NOW(),K670),""))</f>
        <v>Date</v>
      </c>
    </row>
    <row r="671" spans="2:11">
      <c r="B671" s="97" t="str">
        <f ca="1">IF(A671="","Date",IF(A671&lt;&gt;"",IF(B671="Date",NOW(),B671),""))</f>
        <v>Date</v>
      </c>
      <c r="C671" s="19" t="str">
        <f>IF(ISBLANK(A671),"Name",IF(ISNA(VLOOKUP(A671,'Master List'!A:C,2,FALSE)), "Not Found", VLOOKUP(A671,'Master List'!A:C,2,FALSE)))</f>
        <v>Name</v>
      </c>
      <c r="D671" s="19" t="str">
        <f>IF(ISBLANK(A671), "Email",IF(ISNA(VLOOKUP(A671,'Master List'!A:C,3,FALSE)), "Not Found", VLOOKUP(A671,'Master List'!A:C,3,FALSE)))</f>
        <v>Email</v>
      </c>
      <c r="F671" s="4" t="str">
        <f>IF(OR(A671="",E671="","",A671="?",E671="?"),"duplicate?",IF(COUNTIFS($A:A,A671,E:E,E671)&gt;1,"yes","no"))</f>
        <v>duplicate?</v>
      </c>
      <c r="K671" s="97" t="str">
        <f ca="1">IF(J671="","Date",IF(J671&lt;&gt;"",IF(K671="Date",NOW(),K671),""))</f>
        <v>Date</v>
      </c>
    </row>
    <row r="672" spans="2:11">
      <c r="B672" s="97" t="str">
        <f ca="1">IF(A672="","Date",IF(A672&lt;&gt;"",IF(B672="Date",NOW(),B672),""))</f>
        <v>Date</v>
      </c>
      <c r="C672" s="19" t="str">
        <f>IF(ISBLANK(A672),"Name",IF(ISNA(VLOOKUP(A672,'Master List'!A:C,2,FALSE)), "Not Found", VLOOKUP(A672,'Master List'!A:C,2,FALSE)))</f>
        <v>Name</v>
      </c>
      <c r="D672" s="19" t="str">
        <f>IF(ISBLANK(A672), "Email",IF(ISNA(VLOOKUP(A672,'Master List'!A:C,3,FALSE)), "Not Found", VLOOKUP(A672,'Master List'!A:C,3,FALSE)))</f>
        <v>Email</v>
      </c>
      <c r="F672" s="4" t="str">
        <f>IF(OR(A672="",E672="","",A672="?",E672="?"),"duplicate?",IF(COUNTIFS($A:A,A672,E:E,E672)&gt;1,"yes","no"))</f>
        <v>duplicate?</v>
      </c>
      <c r="K672" s="97" t="str">
        <f ca="1">IF(J672="","Date",IF(J672&lt;&gt;"",IF(K672="Date",NOW(),K672),""))</f>
        <v>Date</v>
      </c>
    </row>
    <row r="673" spans="2:11">
      <c r="B673" s="97" t="str">
        <f ca="1">IF(A673="","Date",IF(A673&lt;&gt;"",IF(B673="Date",NOW(),B673),""))</f>
        <v>Date</v>
      </c>
      <c r="C673" s="19" t="str">
        <f>IF(ISBLANK(A673),"Name",IF(ISNA(VLOOKUP(A673,'Master List'!A:C,2,FALSE)), "Not Found", VLOOKUP(A673,'Master List'!A:C,2,FALSE)))</f>
        <v>Name</v>
      </c>
      <c r="D673" s="19" t="str">
        <f>IF(ISBLANK(A673), "Email",IF(ISNA(VLOOKUP(A673,'Master List'!A:C,3,FALSE)), "Not Found", VLOOKUP(A673,'Master List'!A:C,3,FALSE)))</f>
        <v>Email</v>
      </c>
      <c r="F673" s="4" t="str">
        <f>IF(OR(A673="",E673="","",A673="?",E673="?"),"duplicate?",IF(COUNTIFS($A:A,A673,E:E,E673)&gt;1,"yes","no"))</f>
        <v>duplicate?</v>
      </c>
      <c r="K673" s="97" t="str">
        <f ca="1">IF(J673="","Date",IF(J673&lt;&gt;"",IF(K673="Date",NOW(),K673),""))</f>
        <v>Date</v>
      </c>
    </row>
    <row r="674" spans="2:11">
      <c r="B674" s="97" t="str">
        <f ca="1">IF(A674="","Date",IF(A674&lt;&gt;"",IF(B674="Date",NOW(),B674),""))</f>
        <v>Date</v>
      </c>
      <c r="C674" s="19" t="str">
        <f>IF(ISBLANK(A674),"Name",IF(ISNA(VLOOKUP(A674,'Master List'!A:C,2,FALSE)), "Not Found", VLOOKUP(A674,'Master List'!A:C,2,FALSE)))</f>
        <v>Name</v>
      </c>
      <c r="D674" s="19" t="str">
        <f>IF(ISBLANK(A674), "Email",IF(ISNA(VLOOKUP(A674,'Master List'!A:C,3,FALSE)), "Not Found", VLOOKUP(A674,'Master List'!A:C,3,FALSE)))</f>
        <v>Email</v>
      </c>
      <c r="F674" s="4" t="str">
        <f>IF(OR(A674="",E674="","",A674="?",E674="?"),"duplicate?",IF(COUNTIFS($A:A,A674,E:E,E674)&gt;1,"yes","no"))</f>
        <v>duplicate?</v>
      </c>
      <c r="K674" s="97" t="str">
        <f ca="1">IF(J674="","Date",IF(J674&lt;&gt;"",IF(K674="Date",NOW(),K674),""))</f>
        <v>Date</v>
      </c>
    </row>
    <row r="675" spans="2:11">
      <c r="B675" s="97" t="str">
        <f ca="1">IF(A675="","Date",IF(A675&lt;&gt;"",IF(B675="Date",NOW(),B675),""))</f>
        <v>Date</v>
      </c>
      <c r="C675" s="19" t="str">
        <f>IF(ISBLANK(A675),"Name",IF(ISNA(VLOOKUP(A675,'Master List'!A:C,2,FALSE)), "Not Found", VLOOKUP(A675,'Master List'!A:C,2,FALSE)))</f>
        <v>Name</v>
      </c>
      <c r="D675" s="19" t="str">
        <f>IF(ISBLANK(A675), "Email",IF(ISNA(VLOOKUP(A675,'Master List'!A:C,3,FALSE)), "Not Found", VLOOKUP(A675,'Master List'!A:C,3,FALSE)))</f>
        <v>Email</v>
      </c>
      <c r="F675" s="4" t="str">
        <f>IF(OR(A675="",E675="","",A675="?",E675="?"),"duplicate?",IF(COUNTIFS($A:A,A675,E:E,E675)&gt;1,"yes","no"))</f>
        <v>duplicate?</v>
      </c>
      <c r="K675" s="97" t="str">
        <f ca="1">IF(J675="","Date",IF(J675&lt;&gt;"",IF(K675="Date",NOW(),K675),""))</f>
        <v>Date</v>
      </c>
    </row>
    <row r="676" spans="2:11">
      <c r="B676" s="97" t="str">
        <f ca="1">IF(A676="","Date",IF(A676&lt;&gt;"",IF(B676="Date",NOW(),B676),""))</f>
        <v>Date</v>
      </c>
      <c r="C676" s="19" t="str">
        <f>IF(ISBLANK(A676),"Name",IF(ISNA(VLOOKUP(A676,'Master List'!A:C,2,FALSE)), "Not Found", VLOOKUP(A676,'Master List'!A:C,2,FALSE)))</f>
        <v>Name</v>
      </c>
      <c r="D676" s="19" t="str">
        <f>IF(ISBLANK(A676), "Email",IF(ISNA(VLOOKUP(A676,'Master List'!A:C,3,FALSE)), "Not Found", VLOOKUP(A676,'Master List'!A:C,3,FALSE)))</f>
        <v>Email</v>
      </c>
      <c r="F676" s="4" t="str">
        <f>IF(OR(A676="",E676="","",A676="?",E676="?"),"duplicate?",IF(COUNTIFS($A:A,A676,E:E,E676)&gt;1,"yes","no"))</f>
        <v>duplicate?</v>
      </c>
      <c r="K676" s="97" t="str">
        <f ca="1">IF(J676="","Date",IF(J676&lt;&gt;"",IF(K676="Date",NOW(),K676),""))</f>
        <v>Date</v>
      </c>
    </row>
    <row r="677" spans="2:11">
      <c r="B677" s="97" t="str">
        <f ca="1">IF(A677="","Date",IF(A677&lt;&gt;"",IF(B677="Date",NOW(),B677),""))</f>
        <v>Date</v>
      </c>
      <c r="C677" s="19" t="str">
        <f>IF(ISBLANK(A677),"Name",IF(ISNA(VLOOKUP(A677,'Master List'!A:C,2,FALSE)), "Not Found", VLOOKUP(A677,'Master List'!A:C,2,FALSE)))</f>
        <v>Name</v>
      </c>
      <c r="D677" s="19" t="str">
        <f>IF(ISBLANK(A677), "Email",IF(ISNA(VLOOKUP(A677,'Master List'!A:C,3,FALSE)), "Not Found", VLOOKUP(A677,'Master List'!A:C,3,FALSE)))</f>
        <v>Email</v>
      </c>
      <c r="F677" s="4" t="str">
        <f>IF(OR(A677="",E677="","",A677="?",E677="?"),"duplicate?",IF(COUNTIFS($A:A,A677,E:E,E677)&gt;1,"yes","no"))</f>
        <v>duplicate?</v>
      </c>
      <c r="K677" s="97" t="str">
        <f ca="1">IF(J677="","Date",IF(J677&lt;&gt;"",IF(K677="Date",NOW(),K677),""))</f>
        <v>Date</v>
      </c>
    </row>
    <row r="678" spans="2:11">
      <c r="B678" s="97" t="str">
        <f ca="1">IF(A678="","Date",IF(A678&lt;&gt;"",IF(B678="Date",NOW(),B678),""))</f>
        <v>Date</v>
      </c>
      <c r="C678" s="19" t="str">
        <f>IF(ISBLANK(A678),"Name",IF(ISNA(VLOOKUP(A678,'Master List'!A:C,2,FALSE)), "Not Found", VLOOKUP(A678,'Master List'!A:C,2,FALSE)))</f>
        <v>Name</v>
      </c>
      <c r="D678" s="19" t="str">
        <f>IF(ISBLANK(A678), "Email",IF(ISNA(VLOOKUP(A678,'Master List'!A:C,3,FALSE)), "Not Found", VLOOKUP(A678,'Master List'!A:C,3,FALSE)))</f>
        <v>Email</v>
      </c>
      <c r="F678" s="4" t="str">
        <f>IF(OR(A678="",E678="","",A678="?",E678="?"),"duplicate?",IF(COUNTIFS($A:A,A678,E:E,E678)&gt;1,"yes","no"))</f>
        <v>duplicate?</v>
      </c>
      <c r="K678" s="97" t="str">
        <f ca="1">IF(J678="","Date",IF(J678&lt;&gt;"",IF(K678="Date",NOW(),K678),""))</f>
        <v>Date</v>
      </c>
    </row>
    <row r="679" spans="2:11">
      <c r="B679" s="97" t="str">
        <f ca="1">IF(A679="","Date",IF(A679&lt;&gt;"",IF(B679="Date",NOW(),B679),""))</f>
        <v>Date</v>
      </c>
      <c r="C679" s="19" t="str">
        <f>IF(ISBLANK(A679),"Name",IF(ISNA(VLOOKUP(A679,'Master List'!A:C,2,FALSE)), "Not Found", VLOOKUP(A679,'Master List'!A:C,2,FALSE)))</f>
        <v>Name</v>
      </c>
      <c r="D679" s="19" t="str">
        <f>IF(ISBLANK(A679), "Email",IF(ISNA(VLOOKUP(A679,'Master List'!A:C,3,FALSE)), "Not Found", VLOOKUP(A679,'Master List'!A:C,3,FALSE)))</f>
        <v>Email</v>
      </c>
      <c r="F679" s="4" t="str">
        <f>IF(OR(A679="",E679="","",A679="?",E679="?"),"duplicate?",IF(COUNTIFS($A:A,A679,E:E,E679)&gt;1,"yes","no"))</f>
        <v>duplicate?</v>
      </c>
      <c r="K679" s="97" t="str">
        <f ca="1">IF(J679="","Date",IF(J679&lt;&gt;"",IF(K679="Date",NOW(),K679),""))</f>
        <v>Date</v>
      </c>
    </row>
    <row r="680" spans="2:11">
      <c r="B680" s="97" t="str">
        <f ca="1">IF(A680="","Date",IF(A680&lt;&gt;"",IF(B680="Date",NOW(),B680),""))</f>
        <v>Date</v>
      </c>
      <c r="C680" s="19" t="str">
        <f>IF(ISBLANK(A680),"Name",IF(ISNA(VLOOKUP(A680,'Master List'!A:C,2,FALSE)), "Not Found", VLOOKUP(A680,'Master List'!A:C,2,FALSE)))</f>
        <v>Name</v>
      </c>
      <c r="D680" s="19" t="str">
        <f>IF(ISBLANK(A680), "Email",IF(ISNA(VLOOKUP(A680,'Master List'!A:C,3,FALSE)), "Not Found", VLOOKUP(A680,'Master List'!A:C,3,FALSE)))</f>
        <v>Email</v>
      </c>
      <c r="F680" s="4" t="str">
        <f>IF(OR(A680="",E680="","",A680="?",E680="?"),"duplicate?",IF(COUNTIFS($A:A,A680,E:E,E680)&gt;1,"yes","no"))</f>
        <v>duplicate?</v>
      </c>
      <c r="K680" s="97" t="str">
        <f ca="1">IF(J680="","Date",IF(J680&lt;&gt;"",IF(K680="Date",NOW(),K680),""))</f>
        <v>Date</v>
      </c>
    </row>
    <row r="681" spans="2:11">
      <c r="B681" s="97" t="str">
        <f ca="1">IF(A681="","Date",IF(A681&lt;&gt;"",IF(B681="Date",NOW(),B681),""))</f>
        <v>Date</v>
      </c>
      <c r="C681" s="19" t="str">
        <f>IF(ISBLANK(A681),"Name",IF(ISNA(VLOOKUP(A681,'Master List'!A:C,2,FALSE)), "Not Found", VLOOKUP(A681,'Master List'!A:C,2,FALSE)))</f>
        <v>Name</v>
      </c>
      <c r="D681" s="19" t="str">
        <f>IF(ISBLANK(A681), "Email",IF(ISNA(VLOOKUP(A681,'Master List'!A:C,3,FALSE)), "Not Found", VLOOKUP(A681,'Master List'!A:C,3,FALSE)))</f>
        <v>Email</v>
      </c>
      <c r="F681" s="4" t="str">
        <f>IF(OR(A681="",E681="","",A681="?",E681="?"),"duplicate?",IF(COUNTIFS($A:A,A681,E:E,E681)&gt;1,"yes","no"))</f>
        <v>duplicate?</v>
      </c>
      <c r="K681" s="97" t="str">
        <f ca="1">IF(J681="","Date",IF(J681&lt;&gt;"",IF(K681="Date",NOW(),K681),""))</f>
        <v>Date</v>
      </c>
    </row>
    <row r="682" spans="2:11">
      <c r="B682" s="97" t="str">
        <f ca="1">IF(A682="","Date",IF(A682&lt;&gt;"",IF(B682="Date",NOW(),B682),""))</f>
        <v>Date</v>
      </c>
      <c r="C682" s="19" t="str">
        <f>IF(ISBLANK(A682),"Name",IF(ISNA(VLOOKUP(A682,'Master List'!A:C,2,FALSE)), "Not Found", VLOOKUP(A682,'Master List'!A:C,2,FALSE)))</f>
        <v>Name</v>
      </c>
      <c r="D682" s="19" t="str">
        <f>IF(ISBLANK(A682), "Email",IF(ISNA(VLOOKUP(A682,'Master List'!A:C,3,FALSE)), "Not Found", VLOOKUP(A682,'Master List'!A:C,3,FALSE)))</f>
        <v>Email</v>
      </c>
      <c r="F682" s="4" t="str">
        <f>IF(OR(A682="",E682="","",A682="?",E682="?"),"duplicate?",IF(COUNTIFS($A:A,A682,E:E,E682)&gt;1,"yes","no"))</f>
        <v>duplicate?</v>
      </c>
      <c r="K682" s="97" t="str">
        <f ca="1">IF(J682="","Date",IF(J682&lt;&gt;"",IF(K682="Date",NOW(),K682),""))</f>
        <v>Date</v>
      </c>
    </row>
    <row r="683" spans="2:11">
      <c r="B683" s="97" t="str">
        <f ca="1">IF(A683="","Date",IF(A683&lt;&gt;"",IF(B683="Date",NOW(),B683),""))</f>
        <v>Date</v>
      </c>
      <c r="C683" s="19" t="str">
        <f>IF(ISBLANK(A683),"Name",IF(ISNA(VLOOKUP(A683,'Master List'!A:C,2,FALSE)), "Not Found", VLOOKUP(A683,'Master List'!A:C,2,FALSE)))</f>
        <v>Name</v>
      </c>
      <c r="D683" s="19" t="str">
        <f>IF(ISBLANK(A683), "Email",IF(ISNA(VLOOKUP(A683,'Master List'!A:C,3,FALSE)), "Not Found", VLOOKUP(A683,'Master List'!A:C,3,FALSE)))</f>
        <v>Email</v>
      </c>
      <c r="F683" s="4" t="str">
        <f>IF(OR(A683="",E683="","",A683="?",E683="?"),"duplicate?",IF(COUNTIFS($A:A,A683,E:E,E683)&gt;1,"yes","no"))</f>
        <v>duplicate?</v>
      </c>
      <c r="K683" s="97" t="str">
        <f ca="1">IF(J683="","Date",IF(J683&lt;&gt;"",IF(K683="Date",NOW(),K683),""))</f>
        <v>Date</v>
      </c>
    </row>
    <row r="684" spans="2:11">
      <c r="B684" s="97" t="str">
        <f ca="1">IF(A684="","Date",IF(A684&lt;&gt;"",IF(B684="Date",NOW(),B684),""))</f>
        <v>Date</v>
      </c>
      <c r="C684" s="19" t="str">
        <f>IF(ISBLANK(A684),"Name",IF(ISNA(VLOOKUP(A684,'Master List'!A:C,2,FALSE)), "Not Found", VLOOKUP(A684,'Master List'!A:C,2,FALSE)))</f>
        <v>Name</v>
      </c>
      <c r="D684" s="19" t="str">
        <f>IF(ISBLANK(A684), "Email",IF(ISNA(VLOOKUP(A684,'Master List'!A:C,3,FALSE)), "Not Found", VLOOKUP(A684,'Master List'!A:C,3,FALSE)))</f>
        <v>Email</v>
      </c>
      <c r="F684" s="4" t="str">
        <f>IF(OR(A684="",E684="","",A684="?",E684="?"),"duplicate?",IF(COUNTIFS($A:A,A684,E:E,E684)&gt;1,"yes","no"))</f>
        <v>duplicate?</v>
      </c>
      <c r="K684" s="97" t="str">
        <f ca="1">IF(J684="","Date",IF(J684&lt;&gt;"",IF(K684="Date",NOW(),K684),""))</f>
        <v>Date</v>
      </c>
    </row>
    <row r="685" spans="2:11">
      <c r="B685" s="97" t="str">
        <f ca="1">IF(A685="","Date",IF(A685&lt;&gt;"",IF(B685="Date",NOW(),B685),""))</f>
        <v>Date</v>
      </c>
      <c r="C685" s="19" t="str">
        <f>IF(ISBLANK(A685),"Name",IF(ISNA(VLOOKUP(A685,'Master List'!A:C,2,FALSE)), "Not Found", VLOOKUP(A685,'Master List'!A:C,2,FALSE)))</f>
        <v>Name</v>
      </c>
      <c r="D685" s="19" t="str">
        <f>IF(ISBLANK(A685), "Email",IF(ISNA(VLOOKUP(A685,'Master List'!A:C,3,FALSE)), "Not Found", VLOOKUP(A685,'Master List'!A:C,3,FALSE)))</f>
        <v>Email</v>
      </c>
      <c r="F685" s="4" t="str">
        <f>IF(OR(A685="",E685="","",A685="?",E685="?"),"duplicate?",IF(COUNTIFS($A:A,A685,E:E,E685)&gt;1,"yes","no"))</f>
        <v>duplicate?</v>
      </c>
      <c r="K685" s="97" t="str">
        <f ca="1">IF(J685="","Date",IF(J685&lt;&gt;"",IF(K685="Date",NOW(),K685),""))</f>
        <v>Date</v>
      </c>
    </row>
    <row r="686" spans="2:11">
      <c r="B686" s="97" t="str">
        <f ca="1">IF(A686="","Date",IF(A686&lt;&gt;"",IF(B686="Date",NOW(),B686),""))</f>
        <v>Date</v>
      </c>
      <c r="C686" s="19" t="str">
        <f>IF(ISBLANK(A686),"Name",IF(ISNA(VLOOKUP(A686,'Master List'!A:C,2,FALSE)), "Not Found", VLOOKUP(A686,'Master List'!A:C,2,FALSE)))</f>
        <v>Name</v>
      </c>
      <c r="D686" s="19" t="str">
        <f>IF(ISBLANK(A686), "Email",IF(ISNA(VLOOKUP(A686,'Master List'!A:C,3,FALSE)), "Not Found", VLOOKUP(A686,'Master List'!A:C,3,FALSE)))</f>
        <v>Email</v>
      </c>
      <c r="F686" s="4" t="str">
        <f>IF(OR(A686="",E686="","",A686="?",E686="?"),"duplicate?",IF(COUNTIFS($A:A,A686,E:E,E686)&gt;1,"yes","no"))</f>
        <v>duplicate?</v>
      </c>
      <c r="K686" s="97" t="str">
        <f ca="1">IF(J686="","Date",IF(J686&lt;&gt;"",IF(K686="Date",NOW(),K686),""))</f>
        <v>Date</v>
      </c>
    </row>
    <row r="687" spans="2:11">
      <c r="B687" s="97" t="str">
        <f ca="1">IF(A687="","Date",IF(A687&lt;&gt;"",IF(B687="Date",NOW(),B687),""))</f>
        <v>Date</v>
      </c>
      <c r="C687" s="19" t="str">
        <f>IF(ISBLANK(A687),"Name",IF(ISNA(VLOOKUP(A687,'Master List'!A:C,2,FALSE)), "Not Found", VLOOKUP(A687,'Master List'!A:C,2,FALSE)))</f>
        <v>Name</v>
      </c>
      <c r="D687" s="19" t="str">
        <f>IF(ISBLANK(A687), "Email",IF(ISNA(VLOOKUP(A687,'Master List'!A:C,3,FALSE)), "Not Found", VLOOKUP(A687,'Master List'!A:C,3,FALSE)))</f>
        <v>Email</v>
      </c>
      <c r="F687" s="4" t="str">
        <f>IF(OR(A687="",E687="","",A687="?",E687="?"),"duplicate?",IF(COUNTIFS($A:A,A687,E:E,E687)&gt;1,"yes","no"))</f>
        <v>duplicate?</v>
      </c>
      <c r="K687" s="97" t="str">
        <f ca="1">IF(J687="","Date",IF(J687&lt;&gt;"",IF(K687="Date",NOW(),K687),""))</f>
        <v>Date</v>
      </c>
    </row>
    <row r="688" spans="2:11">
      <c r="B688" s="97" t="str">
        <f ca="1">IF(A688="","Date",IF(A688&lt;&gt;"",IF(B688="Date",NOW(),B688),""))</f>
        <v>Date</v>
      </c>
      <c r="C688" s="19" t="str">
        <f>IF(ISBLANK(A688),"Name",IF(ISNA(VLOOKUP(A688,'Master List'!A:C,2,FALSE)), "Not Found", VLOOKUP(A688,'Master List'!A:C,2,FALSE)))</f>
        <v>Name</v>
      </c>
      <c r="D688" s="19" t="str">
        <f>IF(ISBLANK(A688), "Email",IF(ISNA(VLOOKUP(A688,'Master List'!A:C,3,FALSE)), "Not Found", VLOOKUP(A688,'Master List'!A:C,3,FALSE)))</f>
        <v>Email</v>
      </c>
      <c r="F688" s="4" t="str">
        <f>IF(OR(A688="",E688="","",A688="?",E688="?"),"duplicate?",IF(COUNTIFS($A:A,A688,E:E,E688)&gt;1,"yes","no"))</f>
        <v>duplicate?</v>
      </c>
      <c r="K688" s="97" t="str">
        <f ca="1">IF(J688="","Date",IF(J688&lt;&gt;"",IF(K688="Date",NOW(),K688),""))</f>
        <v>Date</v>
      </c>
    </row>
    <row r="689" spans="2:11">
      <c r="B689" s="97" t="str">
        <f ca="1">IF(A689="","Date",IF(A689&lt;&gt;"",IF(B689="Date",NOW(),B689),""))</f>
        <v>Date</v>
      </c>
      <c r="C689" s="19" t="str">
        <f>IF(ISBLANK(A689),"Name",IF(ISNA(VLOOKUP(A689,'Master List'!A:C,2,FALSE)), "Not Found", VLOOKUP(A689,'Master List'!A:C,2,FALSE)))</f>
        <v>Name</v>
      </c>
      <c r="D689" s="19" t="str">
        <f>IF(ISBLANK(A689), "Email",IF(ISNA(VLOOKUP(A689,'Master List'!A:C,3,FALSE)), "Not Found", VLOOKUP(A689,'Master List'!A:C,3,FALSE)))</f>
        <v>Email</v>
      </c>
      <c r="F689" s="4" t="str">
        <f>IF(OR(A689="",E689="","",A689="?",E689="?"),"duplicate?",IF(COUNTIFS($A:A,A689,E:E,E689)&gt;1,"yes","no"))</f>
        <v>duplicate?</v>
      </c>
      <c r="K689" s="97" t="str">
        <f ca="1">IF(J689="","Date",IF(J689&lt;&gt;"",IF(K689="Date",NOW(),K689),""))</f>
        <v>Date</v>
      </c>
    </row>
    <row r="690" spans="2:11">
      <c r="B690" s="97" t="str">
        <f ca="1">IF(A690="","Date",IF(A690&lt;&gt;"",IF(B690="Date",NOW(),B690),""))</f>
        <v>Date</v>
      </c>
      <c r="C690" s="19" t="str">
        <f>IF(ISBLANK(A690),"Name",IF(ISNA(VLOOKUP(A690,'Master List'!A:C,2,FALSE)), "Not Found", VLOOKUP(A690,'Master List'!A:C,2,FALSE)))</f>
        <v>Name</v>
      </c>
      <c r="D690" s="19" t="str">
        <f>IF(ISBLANK(A690), "Email",IF(ISNA(VLOOKUP(A690,'Master List'!A:C,3,FALSE)), "Not Found", VLOOKUP(A690,'Master List'!A:C,3,FALSE)))</f>
        <v>Email</v>
      </c>
      <c r="F690" s="4" t="str">
        <f>IF(OR(A690="",E690="","",A690="?",E690="?"),"duplicate?",IF(COUNTIFS($A:A,A690,E:E,E690)&gt;1,"yes","no"))</f>
        <v>duplicate?</v>
      </c>
      <c r="K690" s="97" t="str">
        <f ca="1">IF(J690="","Date",IF(J690&lt;&gt;"",IF(K690="Date",NOW(),K690),""))</f>
        <v>Date</v>
      </c>
    </row>
    <row r="691" spans="2:11">
      <c r="B691" s="97" t="str">
        <f ca="1">IF(A691="","Date",IF(A691&lt;&gt;"",IF(B691="Date",NOW(),B691),""))</f>
        <v>Date</v>
      </c>
      <c r="C691" s="19" t="str">
        <f>IF(ISBLANK(A691),"Name",IF(ISNA(VLOOKUP(A691,'Master List'!A:C,2,FALSE)), "Not Found", VLOOKUP(A691,'Master List'!A:C,2,FALSE)))</f>
        <v>Name</v>
      </c>
      <c r="D691" s="19" t="str">
        <f>IF(ISBLANK(A691), "Email",IF(ISNA(VLOOKUP(A691,'Master List'!A:C,3,FALSE)), "Not Found", VLOOKUP(A691,'Master List'!A:C,3,FALSE)))</f>
        <v>Email</v>
      </c>
      <c r="F691" s="4" t="str">
        <f>IF(OR(A691="",E691="","",A691="?",E691="?"),"duplicate?",IF(COUNTIFS($A:A,A691,E:E,E691)&gt;1,"yes","no"))</f>
        <v>duplicate?</v>
      </c>
      <c r="K691" s="97" t="str">
        <f ca="1">IF(J691="","Date",IF(J691&lt;&gt;"",IF(K691="Date",NOW(),K691),""))</f>
        <v>Date</v>
      </c>
    </row>
    <row r="692" spans="2:11">
      <c r="B692" s="97" t="str">
        <f ca="1">IF(A692="","Date",IF(A692&lt;&gt;"",IF(B692="Date",NOW(),B692),""))</f>
        <v>Date</v>
      </c>
      <c r="C692" s="19" t="str">
        <f>IF(ISBLANK(A692),"Name",IF(ISNA(VLOOKUP(A692,'Master List'!A:C,2,FALSE)), "Not Found", VLOOKUP(A692,'Master List'!A:C,2,FALSE)))</f>
        <v>Name</v>
      </c>
      <c r="D692" s="19" t="str">
        <f>IF(ISBLANK(A692), "Email",IF(ISNA(VLOOKUP(A692,'Master List'!A:C,3,FALSE)), "Not Found", VLOOKUP(A692,'Master List'!A:C,3,FALSE)))</f>
        <v>Email</v>
      </c>
      <c r="F692" s="4" t="str">
        <f>IF(OR(A692="",E692="","",A692="?",E692="?"),"duplicate?",IF(COUNTIFS($A:A,A692,E:E,E692)&gt;1,"yes","no"))</f>
        <v>duplicate?</v>
      </c>
      <c r="K692" s="97" t="str">
        <f ca="1">IF(J692="","Date",IF(J692&lt;&gt;"",IF(K692="Date",NOW(),K692),""))</f>
        <v>Date</v>
      </c>
    </row>
    <row r="693" spans="2:11">
      <c r="B693" s="97" t="str">
        <f ca="1">IF(A693="","Date",IF(A693&lt;&gt;"",IF(B693="Date",NOW(),B693),""))</f>
        <v>Date</v>
      </c>
      <c r="C693" s="19" t="str">
        <f>IF(ISBLANK(A693),"Name",IF(ISNA(VLOOKUP(A693,'Master List'!A:C,2,FALSE)), "Not Found", VLOOKUP(A693,'Master List'!A:C,2,FALSE)))</f>
        <v>Name</v>
      </c>
      <c r="D693" s="19" t="str">
        <f>IF(ISBLANK(A693), "Email",IF(ISNA(VLOOKUP(A693,'Master List'!A:C,3,FALSE)), "Not Found", VLOOKUP(A693,'Master List'!A:C,3,FALSE)))</f>
        <v>Email</v>
      </c>
      <c r="F693" s="4" t="str">
        <f>IF(OR(A693="",E693="","",A693="?",E693="?"),"duplicate?",IF(COUNTIFS($A:A,A693,E:E,E693)&gt;1,"yes","no"))</f>
        <v>duplicate?</v>
      </c>
      <c r="K693" s="97" t="str">
        <f ca="1">IF(J693="","Date",IF(J693&lt;&gt;"",IF(K693="Date",NOW(),K693),""))</f>
        <v>Date</v>
      </c>
    </row>
    <row r="694" spans="2:11">
      <c r="B694" s="97" t="str">
        <f ca="1">IF(A694="","Date",IF(A694&lt;&gt;"",IF(B694="Date",NOW(),B694),""))</f>
        <v>Date</v>
      </c>
      <c r="C694" s="19" t="str">
        <f>IF(ISBLANK(A694),"Name",IF(ISNA(VLOOKUP(A694,'Master List'!A:C,2,FALSE)), "Not Found", VLOOKUP(A694,'Master List'!A:C,2,FALSE)))</f>
        <v>Name</v>
      </c>
      <c r="D694" s="19" t="str">
        <f>IF(ISBLANK(A694), "Email",IF(ISNA(VLOOKUP(A694,'Master List'!A:C,3,FALSE)), "Not Found", VLOOKUP(A694,'Master List'!A:C,3,FALSE)))</f>
        <v>Email</v>
      </c>
      <c r="F694" s="4" t="str">
        <f>IF(OR(A694="",E694="","",A694="?",E694="?"),"duplicate?",IF(COUNTIFS($A:A,A694,E:E,E694)&gt;1,"yes","no"))</f>
        <v>duplicate?</v>
      </c>
      <c r="K694" s="97" t="str">
        <f ca="1">IF(J694="","Date",IF(J694&lt;&gt;"",IF(K694="Date",NOW(),K694),""))</f>
        <v>Date</v>
      </c>
    </row>
    <row r="695" spans="2:11">
      <c r="B695" s="97" t="str">
        <f ca="1">IF(A695="","Date",IF(A695&lt;&gt;"",IF(B695="Date",NOW(),B695),""))</f>
        <v>Date</v>
      </c>
      <c r="C695" s="19" t="str">
        <f>IF(ISBLANK(A695),"Name",IF(ISNA(VLOOKUP(A695,'Master List'!A:C,2,FALSE)), "Not Found", VLOOKUP(A695,'Master List'!A:C,2,FALSE)))</f>
        <v>Name</v>
      </c>
      <c r="D695" s="19" t="str">
        <f>IF(ISBLANK(A695), "Email",IF(ISNA(VLOOKUP(A695,'Master List'!A:C,3,FALSE)), "Not Found", VLOOKUP(A695,'Master List'!A:C,3,FALSE)))</f>
        <v>Email</v>
      </c>
      <c r="F695" s="4" t="str">
        <f>IF(OR(A695="",E695="","",A695="?",E695="?"),"duplicate?",IF(COUNTIFS($A:A,A695,E:E,E695)&gt;1,"yes","no"))</f>
        <v>duplicate?</v>
      </c>
      <c r="K695" s="97" t="str">
        <f ca="1">IF(J695="","Date",IF(J695&lt;&gt;"",IF(K695="Date",NOW(),K695),""))</f>
        <v>Date</v>
      </c>
    </row>
    <row r="696" spans="2:11">
      <c r="B696" s="97" t="str">
        <f ca="1">IF(A696="","Date",IF(A696&lt;&gt;"",IF(B696="Date",NOW(),B696),""))</f>
        <v>Date</v>
      </c>
      <c r="C696" s="19" t="str">
        <f>IF(ISBLANK(A696),"Name",IF(ISNA(VLOOKUP(A696,'Master List'!A:C,2,FALSE)), "Not Found", VLOOKUP(A696,'Master List'!A:C,2,FALSE)))</f>
        <v>Name</v>
      </c>
      <c r="D696" s="19" t="str">
        <f>IF(ISBLANK(A696), "Email",IF(ISNA(VLOOKUP(A696,'Master List'!A:C,3,FALSE)), "Not Found", VLOOKUP(A696,'Master List'!A:C,3,FALSE)))</f>
        <v>Email</v>
      </c>
      <c r="F696" s="4" t="str">
        <f>IF(OR(A696="",E696="","",A696="?",E696="?"),"duplicate?",IF(COUNTIFS($A:A,A696,E:E,E696)&gt;1,"yes","no"))</f>
        <v>duplicate?</v>
      </c>
      <c r="K696" s="97" t="str">
        <f ca="1">IF(J696="","Date",IF(J696&lt;&gt;"",IF(K696="Date",NOW(),K696),""))</f>
        <v>Date</v>
      </c>
    </row>
    <row r="697" spans="2:11">
      <c r="B697" s="97" t="str">
        <f ca="1">IF(A697="","Date",IF(A697&lt;&gt;"",IF(B697="Date",NOW(),B697),""))</f>
        <v>Date</v>
      </c>
      <c r="C697" s="19" t="str">
        <f>IF(ISBLANK(A697),"Name",IF(ISNA(VLOOKUP(A697,'Master List'!A:C,2,FALSE)), "Not Found", VLOOKUP(A697,'Master List'!A:C,2,FALSE)))</f>
        <v>Name</v>
      </c>
      <c r="D697" s="19" t="str">
        <f>IF(ISBLANK(A697), "Email",IF(ISNA(VLOOKUP(A697,'Master List'!A:C,3,FALSE)), "Not Found", VLOOKUP(A697,'Master List'!A:C,3,FALSE)))</f>
        <v>Email</v>
      </c>
      <c r="F697" s="4" t="str">
        <f>IF(OR(A697="",E697="","",A697="?",E697="?"),"duplicate?",IF(COUNTIFS($A:A,A697,E:E,E697)&gt;1,"yes","no"))</f>
        <v>duplicate?</v>
      </c>
      <c r="K697" s="97" t="str">
        <f ca="1">IF(J697="","Date",IF(J697&lt;&gt;"",IF(K697="Date",NOW(),K697),""))</f>
        <v>Date</v>
      </c>
    </row>
    <row r="698" spans="2:11">
      <c r="B698" s="97" t="str">
        <f ca="1">IF(A698="","Date",IF(A698&lt;&gt;"",IF(B698="Date",NOW(),B698),""))</f>
        <v>Date</v>
      </c>
      <c r="C698" s="19" t="str">
        <f>IF(ISBLANK(A698),"Name",IF(ISNA(VLOOKUP(A698,'Master List'!A:C,2,FALSE)), "Not Found", VLOOKUP(A698,'Master List'!A:C,2,FALSE)))</f>
        <v>Name</v>
      </c>
      <c r="D698" s="19" t="str">
        <f>IF(ISBLANK(A698), "Email",IF(ISNA(VLOOKUP(A698,'Master List'!A:C,3,FALSE)), "Not Found", VLOOKUP(A698,'Master List'!A:C,3,FALSE)))</f>
        <v>Email</v>
      </c>
      <c r="F698" s="4" t="str">
        <f>IF(OR(A698="",E698="","",A698="?",E698="?"),"duplicate?",IF(COUNTIFS($A:A,A698,E:E,E698)&gt;1,"yes","no"))</f>
        <v>duplicate?</v>
      </c>
      <c r="K698" s="97" t="str">
        <f ca="1">IF(J698="","Date",IF(J698&lt;&gt;"",IF(K698="Date",NOW(),K698),""))</f>
        <v>Date</v>
      </c>
    </row>
    <row r="699" spans="2:11">
      <c r="B699" s="97" t="str">
        <f ca="1">IF(A699="","Date",IF(A699&lt;&gt;"",IF(B699="Date",NOW(),B699),""))</f>
        <v>Date</v>
      </c>
      <c r="C699" s="19" t="str">
        <f>IF(ISBLANK(A699),"Name",IF(ISNA(VLOOKUP(A699,'Master List'!A:C,2,FALSE)), "Not Found", VLOOKUP(A699,'Master List'!A:C,2,FALSE)))</f>
        <v>Name</v>
      </c>
      <c r="D699" s="19" t="str">
        <f>IF(ISBLANK(A699), "Email",IF(ISNA(VLOOKUP(A699,'Master List'!A:C,3,FALSE)), "Not Found", VLOOKUP(A699,'Master List'!A:C,3,FALSE)))</f>
        <v>Email</v>
      </c>
      <c r="F699" s="4" t="str">
        <f>IF(OR(A699="",E699="","",A699="?",E699="?"),"duplicate?",IF(COUNTIFS($A:A,A699,E:E,E699)&gt;1,"yes","no"))</f>
        <v>duplicate?</v>
      </c>
      <c r="K699" s="97" t="str">
        <f ca="1">IF(J699="","Date",IF(J699&lt;&gt;"",IF(K699="Date",NOW(),K699),""))</f>
        <v>Date</v>
      </c>
    </row>
    <row r="700" spans="2:11">
      <c r="B700" s="97" t="str">
        <f ca="1">IF(A700="","Date",IF(A700&lt;&gt;"",IF(B700="Date",NOW(),B700),""))</f>
        <v>Date</v>
      </c>
      <c r="C700" s="19" t="str">
        <f>IF(ISBLANK(A700),"Name",IF(ISNA(VLOOKUP(A700,'Master List'!A:C,2,FALSE)), "Not Found", VLOOKUP(A700,'Master List'!A:C,2,FALSE)))</f>
        <v>Name</v>
      </c>
      <c r="D700" s="19" t="str">
        <f>IF(ISBLANK(A700), "Email",IF(ISNA(VLOOKUP(A700,'Master List'!A:C,3,FALSE)), "Not Found", VLOOKUP(A700,'Master List'!A:C,3,FALSE)))</f>
        <v>Email</v>
      </c>
      <c r="F700" s="4" t="str">
        <f>IF(OR(A700="",E700="","",A700="?",E700="?"),"duplicate?",IF(COUNTIFS($A:A,A700,E:E,E700)&gt;1,"yes","no"))</f>
        <v>duplicate?</v>
      </c>
      <c r="K700" s="97" t="str">
        <f ca="1">IF(J700="","Date",IF(J700&lt;&gt;"",IF(K700="Date",NOW(),K700),""))</f>
        <v>Date</v>
      </c>
    </row>
    <row r="701" spans="2:11">
      <c r="B701" s="97" t="str">
        <f ca="1">IF(A701="","Date",IF(A701&lt;&gt;"",IF(B701="Date",NOW(),B701),""))</f>
        <v>Date</v>
      </c>
      <c r="C701" s="19" t="str">
        <f>IF(ISBLANK(A701),"Name",IF(ISNA(VLOOKUP(A701,'Master List'!A:C,2,FALSE)), "Not Found", VLOOKUP(A701,'Master List'!A:C,2,FALSE)))</f>
        <v>Name</v>
      </c>
      <c r="D701" s="19" t="str">
        <f>IF(ISBLANK(A701), "Email",IF(ISNA(VLOOKUP(A701,'Master List'!A:C,3,FALSE)), "Not Found", VLOOKUP(A701,'Master List'!A:C,3,FALSE)))</f>
        <v>Email</v>
      </c>
      <c r="F701" s="4" t="str">
        <f>IF(OR(A701="",E701="","",A701="?",E701="?"),"duplicate?",IF(COUNTIFS($A:A,A701,E:E,E701)&gt;1,"yes","no"))</f>
        <v>duplicate?</v>
      </c>
      <c r="K701" s="97" t="str">
        <f ca="1">IF(J701="","Date",IF(J701&lt;&gt;"",IF(K701="Date",NOW(),K701),""))</f>
        <v>Date</v>
      </c>
    </row>
    <row r="702" spans="2:11">
      <c r="B702" s="97" t="str">
        <f ca="1">IF(A702="","Date",IF(A702&lt;&gt;"",IF(B702="Date",NOW(),B702),""))</f>
        <v>Date</v>
      </c>
      <c r="C702" s="19" t="str">
        <f>IF(ISBLANK(A702),"Name",IF(ISNA(VLOOKUP(A702,'Master List'!A:C,2,FALSE)), "Not Found", VLOOKUP(A702,'Master List'!A:C,2,FALSE)))</f>
        <v>Name</v>
      </c>
      <c r="D702" s="19" t="str">
        <f>IF(ISBLANK(A702), "Email",IF(ISNA(VLOOKUP(A702,'Master List'!A:C,3,FALSE)), "Not Found", VLOOKUP(A702,'Master List'!A:C,3,FALSE)))</f>
        <v>Email</v>
      </c>
      <c r="F702" s="4" t="str">
        <f>IF(OR(A702="",E702="","",A702="?",E702="?"),"duplicate?",IF(COUNTIFS($A:A,A702,E:E,E702)&gt;1,"yes","no"))</f>
        <v>duplicate?</v>
      </c>
      <c r="K702" s="97" t="str">
        <f ca="1">IF(J702="","Date",IF(J702&lt;&gt;"",IF(K702="Date",NOW(),K702),""))</f>
        <v>Date</v>
      </c>
    </row>
    <row r="703" spans="2:11">
      <c r="B703" s="97" t="str">
        <f ca="1">IF(A703="","Date",IF(A703&lt;&gt;"",IF(B703="Date",NOW(),B703),""))</f>
        <v>Date</v>
      </c>
      <c r="C703" s="19" t="str">
        <f>IF(ISBLANK(A703),"Name",IF(ISNA(VLOOKUP(A703,'Master List'!A:C,2,FALSE)), "Not Found", VLOOKUP(A703,'Master List'!A:C,2,FALSE)))</f>
        <v>Name</v>
      </c>
      <c r="D703" s="19" t="str">
        <f>IF(ISBLANK(A703), "Email",IF(ISNA(VLOOKUP(A703,'Master List'!A:C,3,FALSE)), "Not Found", VLOOKUP(A703,'Master List'!A:C,3,FALSE)))</f>
        <v>Email</v>
      </c>
      <c r="F703" s="4" t="str">
        <f>IF(OR(A703="",E703="","",A703="?",E703="?"),"duplicate?",IF(COUNTIFS($A:A,A703,E:E,E703)&gt;1,"yes","no"))</f>
        <v>duplicate?</v>
      </c>
      <c r="K703" s="97" t="str">
        <f ca="1">IF(J703="","Date",IF(J703&lt;&gt;"",IF(K703="Date",NOW(),K703),""))</f>
        <v>Date</v>
      </c>
    </row>
    <row r="704" spans="2:11">
      <c r="B704" s="97" t="str">
        <f ca="1">IF(A704="","Date",IF(A704&lt;&gt;"",IF(B704="Date",NOW(),B704),""))</f>
        <v>Date</v>
      </c>
      <c r="C704" s="19" t="str">
        <f>IF(ISBLANK(A704),"Name",IF(ISNA(VLOOKUP(A704,'Master List'!A:C,2,FALSE)), "Not Found", VLOOKUP(A704,'Master List'!A:C,2,FALSE)))</f>
        <v>Name</v>
      </c>
      <c r="D704" s="19" t="str">
        <f>IF(ISBLANK(A704), "Email",IF(ISNA(VLOOKUP(A704,'Master List'!A:C,3,FALSE)), "Not Found", VLOOKUP(A704,'Master List'!A:C,3,FALSE)))</f>
        <v>Email</v>
      </c>
      <c r="F704" s="4" t="str">
        <f>IF(OR(A704="",E704="","",A704="?",E704="?"),"duplicate?",IF(COUNTIFS($A:A,A704,E:E,E704)&gt;1,"yes","no"))</f>
        <v>duplicate?</v>
      </c>
      <c r="K704" s="97" t="str">
        <f ca="1">IF(J704="","Date",IF(J704&lt;&gt;"",IF(K704="Date",NOW(),K704),""))</f>
        <v>Date</v>
      </c>
    </row>
    <row r="705" spans="2:11">
      <c r="B705" s="97" t="str">
        <f ca="1">IF(A705="","Date",IF(A705&lt;&gt;"",IF(B705="Date",NOW(),B705),""))</f>
        <v>Date</v>
      </c>
      <c r="C705" s="19" t="str">
        <f>IF(ISBLANK(A705),"Name",IF(ISNA(VLOOKUP(A705,'Master List'!A:C,2,FALSE)), "Not Found", VLOOKUP(A705,'Master List'!A:C,2,FALSE)))</f>
        <v>Name</v>
      </c>
      <c r="D705" s="19" t="str">
        <f>IF(ISBLANK(A705), "Email",IF(ISNA(VLOOKUP(A705,'Master List'!A:C,3,FALSE)), "Not Found", VLOOKUP(A705,'Master List'!A:C,3,FALSE)))</f>
        <v>Email</v>
      </c>
      <c r="F705" s="4" t="str">
        <f>IF(OR(A705="",E705="","",A705="?",E705="?"),"duplicate?",IF(COUNTIFS($A:A,A705,E:E,E705)&gt;1,"yes","no"))</f>
        <v>duplicate?</v>
      </c>
      <c r="K705" s="97" t="str">
        <f ca="1">IF(J705="","Date",IF(J705&lt;&gt;"",IF(K705="Date",NOW(),K705),""))</f>
        <v>Date</v>
      </c>
    </row>
    <row r="706" spans="2:11">
      <c r="B706" s="97" t="str">
        <f ca="1">IF(A706="","Date",IF(A706&lt;&gt;"",IF(B706="Date",NOW(),B706),""))</f>
        <v>Date</v>
      </c>
      <c r="C706" s="19" t="str">
        <f>IF(ISBLANK(A706),"Name",IF(ISNA(VLOOKUP(A706,'Master List'!A:C,2,FALSE)), "Not Found", VLOOKUP(A706,'Master List'!A:C,2,FALSE)))</f>
        <v>Name</v>
      </c>
      <c r="D706" s="19" t="str">
        <f>IF(ISBLANK(A706), "Email",IF(ISNA(VLOOKUP(A706,'Master List'!A:C,3,FALSE)), "Not Found", VLOOKUP(A706,'Master List'!A:C,3,FALSE)))</f>
        <v>Email</v>
      </c>
      <c r="F706" s="4" t="str">
        <f>IF(OR(A706="",E706="","",A706="?",E706="?"),"duplicate?",IF(COUNTIFS($A:A,A706,E:E,E706)&gt;1,"yes","no"))</f>
        <v>duplicate?</v>
      </c>
      <c r="K706" s="97" t="str">
        <f ca="1">IF(J706="","Date",IF(J706&lt;&gt;"",IF(K706="Date",NOW(),K706),""))</f>
        <v>Date</v>
      </c>
    </row>
    <row r="707" spans="2:11">
      <c r="B707" s="97" t="str">
        <f ca="1">IF(A707="","Date",IF(A707&lt;&gt;"",IF(B707="Date",NOW(),B707),""))</f>
        <v>Date</v>
      </c>
      <c r="C707" s="19" t="str">
        <f>IF(ISBLANK(A707),"Name",IF(ISNA(VLOOKUP(A707,'Master List'!A:C,2,FALSE)), "Not Found", VLOOKUP(A707,'Master List'!A:C,2,FALSE)))</f>
        <v>Name</v>
      </c>
      <c r="D707" s="19" t="str">
        <f>IF(ISBLANK(A707), "Email",IF(ISNA(VLOOKUP(A707,'Master List'!A:C,3,FALSE)), "Not Found", VLOOKUP(A707,'Master List'!A:C,3,FALSE)))</f>
        <v>Email</v>
      </c>
      <c r="F707" s="4" t="str">
        <f>IF(OR(A707="",E707="","",A707="?",E707="?"),"duplicate?",IF(COUNTIFS($A:A,A707,E:E,E707)&gt;1,"yes","no"))</f>
        <v>duplicate?</v>
      </c>
      <c r="K707" s="97" t="str">
        <f ca="1">IF(J707="","Date",IF(J707&lt;&gt;"",IF(K707="Date",NOW(),K707),""))</f>
        <v>Date</v>
      </c>
    </row>
    <row r="708" spans="2:11">
      <c r="B708" s="97" t="str">
        <f ca="1">IF(A708="","Date",IF(A708&lt;&gt;"",IF(B708="Date",NOW(),B708),""))</f>
        <v>Date</v>
      </c>
      <c r="C708" s="19" t="str">
        <f>IF(ISBLANK(A708),"Name",IF(ISNA(VLOOKUP(A708,'Master List'!A:C,2,FALSE)), "Not Found", VLOOKUP(A708,'Master List'!A:C,2,FALSE)))</f>
        <v>Name</v>
      </c>
      <c r="D708" s="19" t="str">
        <f>IF(ISBLANK(A708), "Email",IF(ISNA(VLOOKUP(A708,'Master List'!A:C,3,FALSE)), "Not Found", VLOOKUP(A708,'Master List'!A:C,3,FALSE)))</f>
        <v>Email</v>
      </c>
      <c r="F708" s="4" t="str">
        <f>IF(OR(A708="",E708="","",A708="?",E708="?"),"duplicate?",IF(COUNTIFS($A:A,A708,E:E,E708)&gt;1,"yes","no"))</f>
        <v>duplicate?</v>
      </c>
      <c r="K708" s="97" t="str">
        <f ca="1">IF(J708="","Date",IF(J708&lt;&gt;"",IF(K708="Date",NOW(),K708),""))</f>
        <v>Date</v>
      </c>
    </row>
    <row r="709" spans="2:11">
      <c r="B709" s="97" t="str">
        <f ca="1">IF(A709="","Date",IF(A709&lt;&gt;"",IF(B709="Date",NOW(),B709),""))</f>
        <v>Date</v>
      </c>
      <c r="C709" s="19" t="str">
        <f>IF(ISBLANK(A709),"Name",IF(ISNA(VLOOKUP(A709,'Master List'!A:C,2,FALSE)), "Not Found", VLOOKUP(A709,'Master List'!A:C,2,FALSE)))</f>
        <v>Name</v>
      </c>
      <c r="D709" s="19" t="str">
        <f>IF(ISBLANK(A709), "Email",IF(ISNA(VLOOKUP(A709,'Master List'!A:C,3,FALSE)), "Not Found", VLOOKUP(A709,'Master List'!A:C,3,FALSE)))</f>
        <v>Email</v>
      </c>
      <c r="F709" s="4" t="str">
        <f>IF(OR(A709="",E709="","",A709="?",E709="?"),"duplicate?",IF(COUNTIFS($A:A,A709,E:E,E709)&gt;1,"yes","no"))</f>
        <v>duplicate?</v>
      </c>
      <c r="K709" s="97" t="str">
        <f ca="1">IF(J709="","Date",IF(J709&lt;&gt;"",IF(K709="Date",NOW(),K709),""))</f>
        <v>Date</v>
      </c>
    </row>
    <row r="710" spans="2:11">
      <c r="B710" s="97" t="str">
        <f ca="1">IF(A710="","Date",IF(A710&lt;&gt;"",IF(B710="Date",NOW(),B710),""))</f>
        <v>Date</v>
      </c>
      <c r="C710" s="19" t="str">
        <f>IF(ISBLANK(A710),"Name",IF(ISNA(VLOOKUP(A710,'Master List'!A:C,2,FALSE)), "Not Found", VLOOKUP(A710,'Master List'!A:C,2,FALSE)))</f>
        <v>Name</v>
      </c>
      <c r="D710" s="19" t="str">
        <f>IF(ISBLANK(A710), "Email",IF(ISNA(VLOOKUP(A710,'Master List'!A:C,3,FALSE)), "Not Found", VLOOKUP(A710,'Master List'!A:C,3,FALSE)))</f>
        <v>Email</v>
      </c>
      <c r="F710" s="4" t="str">
        <f>IF(OR(A710="",E710="","",A710="?",E710="?"),"duplicate?",IF(COUNTIFS($A:A,A710,E:E,E710)&gt;1,"yes","no"))</f>
        <v>duplicate?</v>
      </c>
      <c r="K710" s="97" t="str">
        <f ca="1">IF(J710="","Date",IF(J710&lt;&gt;"",IF(K710="Date",NOW(),K710),""))</f>
        <v>Date</v>
      </c>
    </row>
    <row r="711" spans="2:11">
      <c r="B711" s="97" t="str">
        <f ca="1">IF(A711="","Date",IF(A711&lt;&gt;"",IF(B711="Date",NOW(),B711),""))</f>
        <v>Date</v>
      </c>
      <c r="C711" s="19" t="str">
        <f>IF(ISBLANK(A711),"Name",IF(ISNA(VLOOKUP(A711,'Master List'!A:C,2,FALSE)), "Not Found", VLOOKUP(A711,'Master List'!A:C,2,FALSE)))</f>
        <v>Name</v>
      </c>
      <c r="D711" s="19" t="str">
        <f>IF(ISBLANK(A711), "Email",IF(ISNA(VLOOKUP(A711,'Master List'!A:C,3,FALSE)), "Not Found", VLOOKUP(A711,'Master List'!A:C,3,FALSE)))</f>
        <v>Email</v>
      </c>
      <c r="F711" s="4" t="str">
        <f>IF(OR(A711="",E711="","",A711="?",E711="?"),"duplicate?",IF(COUNTIFS($A:A,A711,E:E,E711)&gt;1,"yes","no"))</f>
        <v>duplicate?</v>
      </c>
      <c r="K711" s="97" t="str">
        <f ca="1">IF(J711="","Date",IF(J711&lt;&gt;"",IF(K711="Date",NOW(),K711),""))</f>
        <v>Date</v>
      </c>
    </row>
    <row r="712" spans="2:11">
      <c r="B712" s="97" t="str">
        <f ca="1">IF(A712="","Date",IF(A712&lt;&gt;"",IF(B712="Date",NOW(),B712),""))</f>
        <v>Date</v>
      </c>
      <c r="C712" s="19" t="str">
        <f>IF(ISBLANK(A712),"Name",IF(ISNA(VLOOKUP(A712,'Master List'!A:C,2,FALSE)), "Not Found", VLOOKUP(A712,'Master List'!A:C,2,FALSE)))</f>
        <v>Name</v>
      </c>
      <c r="D712" s="19" t="str">
        <f>IF(ISBLANK(A712), "Email",IF(ISNA(VLOOKUP(A712,'Master List'!A:C,3,FALSE)), "Not Found", VLOOKUP(A712,'Master List'!A:C,3,FALSE)))</f>
        <v>Email</v>
      </c>
      <c r="F712" s="4" t="str">
        <f>IF(OR(A712="",E712="","",A712="?",E712="?"),"duplicate?",IF(COUNTIFS($A:A,A712,E:E,E712)&gt;1,"yes","no"))</f>
        <v>duplicate?</v>
      </c>
      <c r="K712" s="97" t="str">
        <f ca="1">IF(J712="","Date",IF(J712&lt;&gt;"",IF(K712="Date",NOW(),K712),""))</f>
        <v>Date</v>
      </c>
    </row>
    <row r="713" spans="2:11">
      <c r="B713" s="97" t="str">
        <f ca="1">IF(A713="","Date",IF(A713&lt;&gt;"",IF(B713="Date",NOW(),B713),""))</f>
        <v>Date</v>
      </c>
      <c r="C713" s="19" t="str">
        <f>IF(ISBLANK(A713),"Name",IF(ISNA(VLOOKUP(A713,'Master List'!A:C,2,FALSE)), "Not Found", VLOOKUP(A713,'Master List'!A:C,2,FALSE)))</f>
        <v>Name</v>
      </c>
      <c r="D713" s="19" t="str">
        <f>IF(ISBLANK(A713), "Email",IF(ISNA(VLOOKUP(A713,'Master List'!A:C,3,FALSE)), "Not Found", VLOOKUP(A713,'Master List'!A:C,3,FALSE)))</f>
        <v>Email</v>
      </c>
      <c r="F713" s="4" t="str">
        <f>IF(OR(A713="",E713="","",A713="?",E713="?"),"duplicate?",IF(COUNTIFS($A:A,A713,E:E,E713)&gt;1,"yes","no"))</f>
        <v>duplicate?</v>
      </c>
      <c r="K713" s="97" t="str">
        <f ca="1">IF(J713="","Date",IF(J713&lt;&gt;"",IF(K713="Date",NOW(),K713),""))</f>
        <v>Date</v>
      </c>
    </row>
    <row r="714" spans="2:11">
      <c r="B714" s="97" t="str">
        <f ca="1">IF(A714="","Date",IF(A714&lt;&gt;"",IF(B714="Date",NOW(),B714),""))</f>
        <v>Date</v>
      </c>
      <c r="C714" s="19" t="str">
        <f>IF(ISBLANK(A714),"Name",IF(ISNA(VLOOKUP(A714,'Master List'!A:C,2,FALSE)), "Not Found", VLOOKUP(A714,'Master List'!A:C,2,FALSE)))</f>
        <v>Name</v>
      </c>
      <c r="D714" s="19" t="str">
        <f>IF(ISBLANK(A714), "Email",IF(ISNA(VLOOKUP(A714,'Master List'!A:C,3,FALSE)), "Not Found", VLOOKUP(A714,'Master List'!A:C,3,FALSE)))</f>
        <v>Email</v>
      </c>
      <c r="F714" s="4" t="str">
        <f>IF(OR(A714="",E714="","",A714="?",E714="?"),"duplicate?",IF(COUNTIFS($A:A,A714,E:E,E714)&gt;1,"yes","no"))</f>
        <v>duplicate?</v>
      </c>
      <c r="K714" s="97" t="str">
        <f ca="1">IF(J714="","Date",IF(J714&lt;&gt;"",IF(K714="Date",NOW(),K714),""))</f>
        <v>Date</v>
      </c>
    </row>
    <row r="715" spans="2:11">
      <c r="B715" s="97" t="str">
        <f ca="1">IF(A715="","Date",IF(A715&lt;&gt;"",IF(B715="Date",NOW(),B715),""))</f>
        <v>Date</v>
      </c>
      <c r="C715" s="19" t="str">
        <f>IF(ISBLANK(A715),"Name",IF(ISNA(VLOOKUP(A715,'Master List'!A:C,2,FALSE)), "Not Found", VLOOKUP(A715,'Master List'!A:C,2,FALSE)))</f>
        <v>Name</v>
      </c>
      <c r="D715" s="19" t="str">
        <f>IF(ISBLANK(A715), "Email",IF(ISNA(VLOOKUP(A715,'Master List'!A:C,3,FALSE)), "Not Found", VLOOKUP(A715,'Master List'!A:C,3,FALSE)))</f>
        <v>Email</v>
      </c>
      <c r="F715" s="4" t="str">
        <f>IF(OR(A715="",E715="","",A715="?",E715="?"),"duplicate?",IF(COUNTIFS($A:A,A715,E:E,E715)&gt;1,"yes","no"))</f>
        <v>duplicate?</v>
      </c>
      <c r="K715" s="97" t="str">
        <f ca="1">IF(J715="","Date",IF(J715&lt;&gt;"",IF(K715="Date",NOW(),K715),""))</f>
        <v>Date</v>
      </c>
    </row>
    <row r="716" spans="2:11">
      <c r="B716" s="97" t="str">
        <f ca="1">IF(A716="","Date",IF(A716&lt;&gt;"",IF(B716="Date",NOW(),B716),""))</f>
        <v>Date</v>
      </c>
      <c r="C716" s="19" t="str">
        <f>IF(ISBLANK(A716),"Name",IF(ISNA(VLOOKUP(A716,'Master List'!A:C,2,FALSE)), "Not Found", VLOOKUP(A716,'Master List'!A:C,2,FALSE)))</f>
        <v>Name</v>
      </c>
      <c r="D716" s="19" t="str">
        <f>IF(ISBLANK(A716), "Email",IF(ISNA(VLOOKUP(A716,'Master List'!A:C,3,FALSE)), "Not Found", VLOOKUP(A716,'Master List'!A:C,3,FALSE)))</f>
        <v>Email</v>
      </c>
      <c r="F716" s="4" t="str">
        <f>IF(OR(A716="",E716="","",A716="?",E716="?"),"duplicate?",IF(COUNTIFS($A:A,A716,E:E,E716)&gt;1,"yes","no"))</f>
        <v>duplicate?</v>
      </c>
      <c r="K716" s="97" t="str">
        <f ca="1">IF(J716="","Date",IF(J716&lt;&gt;"",IF(K716="Date",NOW(),K716),""))</f>
        <v>Date</v>
      </c>
    </row>
    <row r="717" spans="2:11">
      <c r="B717" s="97" t="str">
        <f ca="1">IF(A717="","Date",IF(A717&lt;&gt;"",IF(B717="Date",NOW(),B717),""))</f>
        <v>Date</v>
      </c>
      <c r="C717" s="19" t="str">
        <f>IF(ISBLANK(A717),"Name",IF(ISNA(VLOOKUP(A717,'Master List'!A:C,2,FALSE)), "Not Found", VLOOKUP(A717,'Master List'!A:C,2,FALSE)))</f>
        <v>Name</v>
      </c>
      <c r="D717" s="19" t="str">
        <f>IF(ISBLANK(A717), "Email",IF(ISNA(VLOOKUP(A717,'Master List'!A:C,3,FALSE)), "Not Found", VLOOKUP(A717,'Master List'!A:C,3,FALSE)))</f>
        <v>Email</v>
      </c>
      <c r="F717" s="4" t="str">
        <f>IF(OR(A717="",E717="","",A717="?",E717="?"),"duplicate?",IF(COUNTIFS($A:A,A717,E:E,E717)&gt;1,"yes","no"))</f>
        <v>duplicate?</v>
      </c>
      <c r="K717" s="97" t="str">
        <f ca="1">IF(J717="","Date",IF(J717&lt;&gt;"",IF(K717="Date",NOW(),K717),""))</f>
        <v>Date</v>
      </c>
    </row>
    <row r="718" spans="2:11">
      <c r="B718" s="97" t="str">
        <f ca="1">IF(A718="","Date",IF(A718&lt;&gt;"",IF(B718="Date",NOW(),B718),""))</f>
        <v>Date</v>
      </c>
      <c r="C718" s="19" t="str">
        <f>IF(ISBLANK(A718),"Name",IF(ISNA(VLOOKUP(A718,'Master List'!A:C,2,FALSE)), "Not Found", VLOOKUP(A718,'Master List'!A:C,2,FALSE)))</f>
        <v>Name</v>
      </c>
      <c r="D718" s="19" t="str">
        <f>IF(ISBLANK(A718), "Email",IF(ISNA(VLOOKUP(A718,'Master List'!A:C,3,FALSE)), "Not Found", VLOOKUP(A718,'Master List'!A:C,3,FALSE)))</f>
        <v>Email</v>
      </c>
      <c r="F718" s="4" t="str">
        <f>IF(OR(A718="",E718="","",A718="?",E718="?"),"duplicate?",IF(COUNTIFS($A:A,A718,E:E,E718)&gt;1,"yes","no"))</f>
        <v>duplicate?</v>
      </c>
      <c r="K718" s="97" t="str">
        <f ca="1">IF(J718="","Date",IF(J718&lt;&gt;"",IF(K718="Date",NOW(),K718),""))</f>
        <v>Date</v>
      </c>
    </row>
    <row r="719" spans="2:11">
      <c r="B719" s="97" t="str">
        <f ca="1">IF(A719="","Date",IF(A719&lt;&gt;"",IF(B719="Date",NOW(),B719),""))</f>
        <v>Date</v>
      </c>
      <c r="C719" s="19" t="str">
        <f>IF(ISBLANK(A719),"Name",IF(ISNA(VLOOKUP(A719,'Master List'!A:C,2,FALSE)), "Not Found", VLOOKUP(A719,'Master List'!A:C,2,FALSE)))</f>
        <v>Name</v>
      </c>
      <c r="D719" s="19" t="str">
        <f>IF(ISBLANK(A719), "Email",IF(ISNA(VLOOKUP(A719,'Master List'!A:C,3,FALSE)), "Not Found", VLOOKUP(A719,'Master List'!A:C,3,FALSE)))</f>
        <v>Email</v>
      </c>
      <c r="F719" s="4" t="str">
        <f>IF(OR(A719="",E719="","",A719="?",E719="?"),"duplicate?",IF(COUNTIFS($A:A,A719,E:E,E719)&gt;1,"yes","no"))</f>
        <v>duplicate?</v>
      </c>
      <c r="K719" s="97" t="str">
        <f ca="1">IF(J719="","Date",IF(J719&lt;&gt;"",IF(K719="Date",NOW(),K719),""))</f>
        <v>Date</v>
      </c>
    </row>
    <row r="720" spans="2:11">
      <c r="B720" s="97" t="str">
        <f ca="1">IF(A720="","Date",IF(A720&lt;&gt;"",IF(B720="Date",NOW(),B720),""))</f>
        <v>Date</v>
      </c>
      <c r="C720" s="19" t="str">
        <f>IF(ISBLANK(A720),"Name",IF(ISNA(VLOOKUP(A720,'Master List'!A:C,2,FALSE)), "Not Found", VLOOKUP(A720,'Master List'!A:C,2,FALSE)))</f>
        <v>Name</v>
      </c>
      <c r="D720" s="19" t="str">
        <f>IF(ISBLANK(A720), "Email",IF(ISNA(VLOOKUP(A720,'Master List'!A:C,3,FALSE)), "Not Found", VLOOKUP(A720,'Master List'!A:C,3,FALSE)))</f>
        <v>Email</v>
      </c>
      <c r="F720" s="4" t="str">
        <f>IF(OR(A720="",E720="","",A720="?",E720="?"),"duplicate?",IF(COUNTIFS($A:A,A720,E:E,E720)&gt;1,"yes","no"))</f>
        <v>duplicate?</v>
      </c>
      <c r="K720" s="97" t="str">
        <f ca="1">IF(J720="","Date",IF(J720&lt;&gt;"",IF(K720="Date",NOW(),K720),""))</f>
        <v>Date</v>
      </c>
    </row>
    <row r="721" spans="2:11">
      <c r="B721" s="97" t="str">
        <f ca="1">IF(A721="","Date",IF(A721&lt;&gt;"",IF(B721="Date",NOW(),B721),""))</f>
        <v>Date</v>
      </c>
      <c r="C721" s="19" t="str">
        <f>IF(ISBLANK(A721),"Name",IF(ISNA(VLOOKUP(A721,'Master List'!A:C,2,FALSE)), "Not Found", VLOOKUP(A721,'Master List'!A:C,2,FALSE)))</f>
        <v>Name</v>
      </c>
      <c r="D721" s="19" t="str">
        <f>IF(ISBLANK(A721), "Email",IF(ISNA(VLOOKUP(A721,'Master List'!A:C,3,FALSE)), "Not Found", VLOOKUP(A721,'Master List'!A:C,3,FALSE)))</f>
        <v>Email</v>
      </c>
      <c r="F721" s="4" t="str">
        <f>IF(OR(A721="",E721="","",A721="?",E721="?"),"duplicate?",IF(COUNTIFS($A:A,A721,E:E,E721)&gt;1,"yes","no"))</f>
        <v>duplicate?</v>
      </c>
      <c r="K721" s="97" t="str">
        <f ca="1">IF(J721="","Date",IF(J721&lt;&gt;"",IF(K721="Date",NOW(),K721),""))</f>
        <v>Date</v>
      </c>
    </row>
    <row r="722" spans="2:11">
      <c r="B722" s="97" t="str">
        <f ca="1">IF(A722="","Date",IF(A722&lt;&gt;"",IF(B722="Date",NOW(),B722),""))</f>
        <v>Date</v>
      </c>
      <c r="C722" s="19" t="str">
        <f>IF(ISBLANK(A722),"Name",IF(ISNA(VLOOKUP(A722,'Master List'!A:C,2,FALSE)), "Not Found", VLOOKUP(A722,'Master List'!A:C,2,FALSE)))</f>
        <v>Name</v>
      </c>
      <c r="D722" s="19" t="str">
        <f>IF(ISBLANK(A722), "Email",IF(ISNA(VLOOKUP(A722,'Master List'!A:C,3,FALSE)), "Not Found", VLOOKUP(A722,'Master List'!A:C,3,FALSE)))</f>
        <v>Email</v>
      </c>
      <c r="F722" s="4" t="str">
        <f>IF(OR(A722="",E722="","",A722="?",E722="?"),"duplicate?",IF(COUNTIFS($A:A,A722,E:E,E722)&gt;1,"yes","no"))</f>
        <v>duplicate?</v>
      </c>
      <c r="K722" s="97" t="str">
        <f ca="1">IF(J722="","Date",IF(J722&lt;&gt;"",IF(K722="Date",NOW(),K722),""))</f>
        <v>Date</v>
      </c>
    </row>
    <row r="723" spans="2:11">
      <c r="B723" s="97" t="str">
        <f ca="1">IF(A723="","Date",IF(A723&lt;&gt;"",IF(B723="Date",NOW(),B723),""))</f>
        <v>Date</v>
      </c>
      <c r="C723" s="19" t="str">
        <f>IF(ISBLANK(A723),"Name",IF(ISNA(VLOOKUP(A723,'Master List'!A:C,2,FALSE)), "Not Found", VLOOKUP(A723,'Master List'!A:C,2,FALSE)))</f>
        <v>Name</v>
      </c>
      <c r="D723" s="19" t="str">
        <f>IF(ISBLANK(A723), "Email",IF(ISNA(VLOOKUP(A723,'Master List'!A:C,3,FALSE)), "Not Found", VLOOKUP(A723,'Master List'!A:C,3,FALSE)))</f>
        <v>Email</v>
      </c>
      <c r="F723" s="4" t="str">
        <f>IF(OR(A723="",E723="","",A723="?",E723="?"),"duplicate?",IF(COUNTIFS($A:A,A723,E:E,E723)&gt;1,"yes","no"))</f>
        <v>duplicate?</v>
      </c>
      <c r="K723" s="97" t="str">
        <f ca="1">IF(J723="","Date",IF(J723&lt;&gt;"",IF(K723="Date",NOW(),K723),""))</f>
        <v>Date</v>
      </c>
    </row>
    <row r="724" spans="2:11">
      <c r="B724" s="97" t="str">
        <f ca="1">IF(A724="","Date",IF(A724&lt;&gt;"",IF(B724="Date",NOW(),B724),""))</f>
        <v>Date</v>
      </c>
      <c r="C724" s="19" t="str">
        <f>IF(ISBLANK(A724),"Name",IF(ISNA(VLOOKUP(A724,'Master List'!A:C,2,FALSE)), "Not Found", VLOOKUP(A724,'Master List'!A:C,2,FALSE)))</f>
        <v>Name</v>
      </c>
      <c r="D724" s="19" t="str">
        <f>IF(ISBLANK(A724), "Email",IF(ISNA(VLOOKUP(A724,'Master List'!A:C,3,FALSE)), "Not Found", VLOOKUP(A724,'Master List'!A:C,3,FALSE)))</f>
        <v>Email</v>
      </c>
      <c r="F724" s="4" t="str">
        <f>IF(OR(A724="",E724="","",A724="?",E724="?"),"duplicate?",IF(COUNTIFS($A:A,A724,E:E,E724)&gt;1,"yes","no"))</f>
        <v>duplicate?</v>
      </c>
      <c r="K724" s="97" t="str">
        <f ca="1">IF(J724="","Date",IF(J724&lt;&gt;"",IF(K724="Date",NOW(),K724),""))</f>
        <v>Date</v>
      </c>
    </row>
    <row r="725" spans="2:11">
      <c r="B725" s="97" t="str">
        <f ca="1">IF(A725="","Date",IF(A725&lt;&gt;"",IF(B725="Date",NOW(),B725),""))</f>
        <v>Date</v>
      </c>
      <c r="C725" s="19" t="str">
        <f>IF(ISBLANK(A725),"Name",IF(ISNA(VLOOKUP(A725,'Master List'!A:C,2,FALSE)), "Not Found", VLOOKUP(A725,'Master List'!A:C,2,FALSE)))</f>
        <v>Name</v>
      </c>
      <c r="D725" s="19" t="str">
        <f>IF(ISBLANK(A725), "Email",IF(ISNA(VLOOKUP(A725,'Master List'!A:C,3,FALSE)), "Not Found", VLOOKUP(A725,'Master List'!A:C,3,FALSE)))</f>
        <v>Email</v>
      </c>
      <c r="F725" s="4" t="str">
        <f>IF(OR(A725="",E725="","",A725="?",E725="?"),"duplicate?",IF(COUNTIFS($A:A,A725,E:E,E725)&gt;1,"yes","no"))</f>
        <v>duplicate?</v>
      </c>
      <c r="K725" s="97" t="str">
        <f ca="1">IF(J725="","Date",IF(J725&lt;&gt;"",IF(K725="Date",NOW(),K725),""))</f>
        <v>Date</v>
      </c>
    </row>
    <row r="726" spans="2:11">
      <c r="B726" s="97" t="str">
        <f ca="1">IF(A726="","Date",IF(A726&lt;&gt;"",IF(B726="Date",NOW(),B726),""))</f>
        <v>Date</v>
      </c>
      <c r="C726" s="19" t="str">
        <f>IF(ISBLANK(A726),"Name",IF(ISNA(VLOOKUP(A726,'Master List'!A:C,2,FALSE)), "Not Found", VLOOKUP(A726,'Master List'!A:C,2,FALSE)))</f>
        <v>Name</v>
      </c>
      <c r="D726" s="19" t="str">
        <f>IF(ISBLANK(A726), "Email",IF(ISNA(VLOOKUP(A726,'Master List'!A:C,3,FALSE)), "Not Found", VLOOKUP(A726,'Master List'!A:C,3,FALSE)))</f>
        <v>Email</v>
      </c>
      <c r="F726" s="4" t="str">
        <f>IF(OR(A726="",E726="","",A726="?",E726="?"),"duplicate?",IF(COUNTIFS($A:A,A726,E:E,E726)&gt;1,"yes","no"))</f>
        <v>duplicate?</v>
      </c>
      <c r="K726" s="97" t="str">
        <f ca="1">IF(J726="","Date",IF(J726&lt;&gt;"",IF(K726="Date",NOW(),K726),""))</f>
        <v>Date</v>
      </c>
    </row>
    <row r="727" spans="2:11">
      <c r="B727" s="97" t="str">
        <f ca="1">IF(A727="","Date",IF(A727&lt;&gt;"",IF(B727="Date",NOW(),B727),""))</f>
        <v>Date</v>
      </c>
      <c r="C727" s="19" t="str">
        <f>IF(ISBLANK(A727),"Name",IF(ISNA(VLOOKUP(A727,'Master List'!A:C,2,FALSE)), "Not Found", VLOOKUP(A727,'Master List'!A:C,2,FALSE)))</f>
        <v>Name</v>
      </c>
      <c r="D727" s="19" t="str">
        <f>IF(ISBLANK(A727), "Email",IF(ISNA(VLOOKUP(A727,'Master List'!A:C,3,FALSE)), "Not Found", VLOOKUP(A727,'Master List'!A:C,3,FALSE)))</f>
        <v>Email</v>
      </c>
      <c r="F727" s="4" t="str">
        <f>IF(OR(A727="",E727="","",A727="?",E727="?"),"duplicate?",IF(COUNTIFS($A:A,A727,E:E,E727)&gt;1,"yes","no"))</f>
        <v>duplicate?</v>
      </c>
      <c r="K727" s="97" t="str">
        <f ca="1">IF(J727="","Date",IF(J727&lt;&gt;"",IF(K727="Date",NOW(),K727),""))</f>
        <v>Date</v>
      </c>
    </row>
    <row r="728" spans="2:11">
      <c r="B728" s="97" t="str">
        <f ca="1">IF(A728="","Date",IF(A728&lt;&gt;"",IF(B728="Date",NOW(),B728),""))</f>
        <v>Date</v>
      </c>
      <c r="C728" s="19" t="str">
        <f>IF(ISBLANK(A728),"Name",IF(ISNA(VLOOKUP(A728,'Master List'!A:C,2,FALSE)), "Not Found", VLOOKUP(A728,'Master List'!A:C,2,FALSE)))</f>
        <v>Name</v>
      </c>
      <c r="D728" s="19" t="str">
        <f>IF(ISBLANK(A728), "Email",IF(ISNA(VLOOKUP(A728,'Master List'!A:C,3,FALSE)), "Not Found", VLOOKUP(A728,'Master List'!A:C,3,FALSE)))</f>
        <v>Email</v>
      </c>
      <c r="F728" s="4" t="str">
        <f>IF(OR(A728="",E728="","",A728="?",E728="?"),"duplicate?",IF(COUNTIFS($A:A,A728,E:E,E728)&gt;1,"yes","no"))</f>
        <v>duplicate?</v>
      </c>
      <c r="K728" s="97" t="str">
        <f ca="1">IF(J728="","Date",IF(J728&lt;&gt;"",IF(K728="Date",NOW(),K728),""))</f>
        <v>Date</v>
      </c>
    </row>
    <row r="729" spans="2:11">
      <c r="B729" s="97" t="str">
        <f ca="1">IF(A729="","Date",IF(A729&lt;&gt;"",IF(B729="Date",NOW(),B729),""))</f>
        <v>Date</v>
      </c>
      <c r="C729" s="19" t="str">
        <f>IF(ISBLANK(A729),"Name",IF(ISNA(VLOOKUP(A729,'Master List'!A:C,2,FALSE)), "Not Found", VLOOKUP(A729,'Master List'!A:C,2,FALSE)))</f>
        <v>Name</v>
      </c>
      <c r="D729" s="19" t="str">
        <f>IF(ISBLANK(A729), "Email",IF(ISNA(VLOOKUP(A729,'Master List'!A:C,3,FALSE)), "Not Found", VLOOKUP(A729,'Master List'!A:C,3,FALSE)))</f>
        <v>Email</v>
      </c>
      <c r="F729" s="4" t="str">
        <f>IF(OR(A729="",E729="","",A729="?",E729="?"),"duplicate?",IF(COUNTIFS($A:A,A729,E:E,E729)&gt;1,"yes","no"))</f>
        <v>duplicate?</v>
      </c>
      <c r="K729" s="97" t="str">
        <f ca="1">IF(J729="","Date",IF(J729&lt;&gt;"",IF(K729="Date",NOW(),K729),""))</f>
        <v>Date</v>
      </c>
    </row>
    <row r="730" spans="2:11">
      <c r="B730" s="97" t="str">
        <f ca="1">IF(A730="","Date",IF(A730&lt;&gt;"",IF(B730="Date",NOW(),B730),""))</f>
        <v>Date</v>
      </c>
      <c r="C730" s="19" t="str">
        <f>IF(ISBLANK(A730),"Name",IF(ISNA(VLOOKUP(A730,'Master List'!A:C,2,FALSE)), "Not Found", VLOOKUP(A730,'Master List'!A:C,2,FALSE)))</f>
        <v>Name</v>
      </c>
      <c r="D730" s="19" t="str">
        <f>IF(ISBLANK(A730), "Email",IF(ISNA(VLOOKUP(A730,'Master List'!A:C,3,FALSE)), "Not Found", VLOOKUP(A730,'Master List'!A:C,3,FALSE)))</f>
        <v>Email</v>
      </c>
      <c r="F730" s="4" t="str">
        <f>IF(OR(A730="",E730="","",A730="?",E730="?"),"duplicate?",IF(COUNTIFS($A:A,A730,E:E,E730)&gt;1,"yes","no"))</f>
        <v>duplicate?</v>
      </c>
      <c r="K730" s="97" t="str">
        <f ca="1">IF(J730="","Date",IF(J730&lt;&gt;"",IF(K730="Date",NOW(),K730),""))</f>
        <v>Date</v>
      </c>
    </row>
    <row r="731" spans="2:11">
      <c r="B731" s="97" t="str">
        <f ca="1">IF(A731="","Date",IF(A731&lt;&gt;"",IF(B731="Date",NOW(),B731),""))</f>
        <v>Date</v>
      </c>
      <c r="C731" s="19" t="str">
        <f>IF(ISBLANK(A731),"Name",IF(ISNA(VLOOKUP(A731,'Master List'!A:C,2,FALSE)), "Not Found", VLOOKUP(A731,'Master List'!A:C,2,FALSE)))</f>
        <v>Name</v>
      </c>
      <c r="D731" s="19" t="str">
        <f>IF(ISBLANK(A731), "Email",IF(ISNA(VLOOKUP(A731,'Master List'!A:C,3,FALSE)), "Not Found", VLOOKUP(A731,'Master List'!A:C,3,FALSE)))</f>
        <v>Email</v>
      </c>
      <c r="F731" s="4" t="str">
        <f>IF(OR(A731="",E731="","",A731="?",E731="?"),"duplicate?",IF(COUNTIFS($A:A,A731,E:E,E731)&gt;1,"yes","no"))</f>
        <v>duplicate?</v>
      </c>
      <c r="K731" s="97" t="str">
        <f ca="1">IF(J731="","Date",IF(J731&lt;&gt;"",IF(K731="Date",NOW(),K731),""))</f>
        <v>Date</v>
      </c>
    </row>
    <row r="732" spans="2:11">
      <c r="B732" s="97" t="str">
        <f ca="1">IF(A732="","Date",IF(A732&lt;&gt;"",IF(B732="Date",NOW(),B732),""))</f>
        <v>Date</v>
      </c>
      <c r="C732" s="19" t="str">
        <f>IF(ISBLANK(A732),"Name",IF(ISNA(VLOOKUP(A732,'Master List'!A:C,2,FALSE)), "Not Found", VLOOKUP(A732,'Master List'!A:C,2,FALSE)))</f>
        <v>Name</v>
      </c>
      <c r="D732" s="19" t="str">
        <f>IF(ISBLANK(A732), "Email",IF(ISNA(VLOOKUP(A732,'Master List'!A:C,3,FALSE)), "Not Found", VLOOKUP(A732,'Master List'!A:C,3,FALSE)))</f>
        <v>Email</v>
      </c>
      <c r="F732" s="4" t="str">
        <f>IF(OR(A732="",E732="","",A732="?",E732="?"),"duplicate?",IF(COUNTIFS($A:A,A732,E:E,E732)&gt;1,"yes","no"))</f>
        <v>duplicate?</v>
      </c>
      <c r="K732" s="97" t="str">
        <f ca="1">IF(J732="","Date",IF(J732&lt;&gt;"",IF(K732="Date",NOW(),K732),""))</f>
        <v>Date</v>
      </c>
    </row>
    <row r="733" spans="2:11">
      <c r="B733" s="97" t="str">
        <f ca="1">IF(A733="","Date",IF(A733&lt;&gt;"",IF(B733="Date",NOW(),B733),""))</f>
        <v>Date</v>
      </c>
      <c r="C733" s="19" t="str">
        <f>IF(ISBLANK(A733),"Name",IF(ISNA(VLOOKUP(A733,'Master List'!A:C,2,FALSE)), "Not Found", VLOOKUP(A733,'Master List'!A:C,2,FALSE)))</f>
        <v>Name</v>
      </c>
      <c r="D733" s="19" t="str">
        <f>IF(ISBLANK(A733), "Email",IF(ISNA(VLOOKUP(A733,'Master List'!A:C,3,FALSE)), "Not Found", VLOOKUP(A733,'Master List'!A:C,3,FALSE)))</f>
        <v>Email</v>
      </c>
      <c r="F733" s="4" t="str">
        <f>IF(OR(A733="",E733="","",A733="?",E733="?"),"duplicate?",IF(COUNTIFS($A:A,A733,E:E,E733)&gt;1,"yes","no"))</f>
        <v>duplicate?</v>
      </c>
      <c r="K733" s="97" t="str">
        <f ca="1">IF(J733="","Date",IF(J733&lt;&gt;"",IF(K733="Date",NOW(),K733),""))</f>
        <v>Date</v>
      </c>
    </row>
    <row r="734" spans="2:11">
      <c r="B734" s="97" t="str">
        <f ca="1">IF(A734="","Date",IF(A734&lt;&gt;"",IF(B734="Date",NOW(),B734),""))</f>
        <v>Date</v>
      </c>
      <c r="C734" s="19" t="str">
        <f>IF(ISBLANK(A734),"Name",IF(ISNA(VLOOKUP(A734,'Master List'!A:C,2,FALSE)), "Not Found", VLOOKUP(A734,'Master List'!A:C,2,FALSE)))</f>
        <v>Name</v>
      </c>
      <c r="D734" s="19" t="str">
        <f>IF(ISBLANK(A734), "Email",IF(ISNA(VLOOKUP(A734,'Master List'!A:C,3,FALSE)), "Not Found", VLOOKUP(A734,'Master List'!A:C,3,FALSE)))</f>
        <v>Email</v>
      </c>
      <c r="F734" s="4" t="str">
        <f>IF(OR(A734="",E734="","",A734="?",E734="?"),"duplicate?",IF(COUNTIFS($A:A,A734,E:E,E734)&gt;1,"yes","no"))</f>
        <v>duplicate?</v>
      </c>
      <c r="K734" s="97" t="str">
        <f ca="1">IF(J734="","Date",IF(J734&lt;&gt;"",IF(K734="Date",NOW(),K734),""))</f>
        <v>Date</v>
      </c>
    </row>
    <row r="735" spans="2:11">
      <c r="B735" s="97" t="str">
        <f ca="1">IF(A735="","Date",IF(A735&lt;&gt;"",IF(B735="Date",NOW(),B735),""))</f>
        <v>Date</v>
      </c>
      <c r="C735" s="19" t="str">
        <f>IF(ISBLANK(A735),"Name",IF(ISNA(VLOOKUP(A735,'Master List'!A:C,2,FALSE)), "Not Found", VLOOKUP(A735,'Master List'!A:C,2,FALSE)))</f>
        <v>Name</v>
      </c>
      <c r="D735" s="19" t="str">
        <f>IF(ISBLANK(A735), "Email",IF(ISNA(VLOOKUP(A735,'Master List'!A:C,3,FALSE)), "Not Found", VLOOKUP(A735,'Master List'!A:C,3,FALSE)))</f>
        <v>Email</v>
      </c>
      <c r="F735" s="4" t="str">
        <f>IF(OR(A735="",E735="","",A735="?",E735="?"),"duplicate?",IF(COUNTIFS($A:A,A735,E:E,E735)&gt;1,"yes","no"))</f>
        <v>duplicate?</v>
      </c>
      <c r="K735" s="97" t="str">
        <f ca="1">IF(J735="","Date",IF(J735&lt;&gt;"",IF(K735="Date",NOW(),K735),""))</f>
        <v>Date</v>
      </c>
    </row>
    <row r="736" spans="2:11">
      <c r="B736" s="97" t="str">
        <f ca="1">IF(A736="","Date",IF(A736&lt;&gt;"",IF(B736="Date",NOW(),B736),""))</f>
        <v>Date</v>
      </c>
      <c r="C736" s="19" t="str">
        <f>IF(ISBLANK(A736),"Name",IF(ISNA(VLOOKUP(A736,'Master List'!A:C,2,FALSE)), "Not Found", VLOOKUP(A736,'Master List'!A:C,2,FALSE)))</f>
        <v>Name</v>
      </c>
      <c r="D736" s="19" t="str">
        <f>IF(ISBLANK(A736), "Email",IF(ISNA(VLOOKUP(A736,'Master List'!A:C,3,FALSE)), "Not Found", VLOOKUP(A736,'Master List'!A:C,3,FALSE)))</f>
        <v>Email</v>
      </c>
      <c r="F736" s="4" t="str">
        <f>IF(OR(A736="",E736="","",A736="?",E736="?"),"duplicate?",IF(COUNTIFS($A:A,A736,E:E,E736)&gt;1,"yes","no"))</f>
        <v>duplicate?</v>
      </c>
      <c r="K736" s="97" t="str">
        <f ca="1">IF(J736="","Date",IF(J736&lt;&gt;"",IF(K736="Date",NOW(),K736),""))</f>
        <v>Date</v>
      </c>
    </row>
    <row r="737" spans="2:11">
      <c r="B737" s="97" t="str">
        <f ca="1">IF(A737="","Date",IF(A737&lt;&gt;"",IF(B737="Date",NOW(),B737),""))</f>
        <v>Date</v>
      </c>
      <c r="C737" s="19" t="str">
        <f>IF(ISBLANK(A737),"Name",IF(ISNA(VLOOKUP(A737,'Master List'!A:C,2,FALSE)), "Not Found", VLOOKUP(A737,'Master List'!A:C,2,FALSE)))</f>
        <v>Name</v>
      </c>
      <c r="D737" s="19" t="str">
        <f>IF(ISBLANK(A737), "Email",IF(ISNA(VLOOKUP(A737,'Master List'!A:C,3,FALSE)), "Not Found", VLOOKUP(A737,'Master List'!A:C,3,FALSE)))</f>
        <v>Email</v>
      </c>
      <c r="F737" s="4" t="str">
        <f>IF(OR(A737="",E737="","",A737="?",E737="?"),"duplicate?",IF(COUNTIFS($A:A,A737,E:E,E737)&gt;1,"yes","no"))</f>
        <v>duplicate?</v>
      </c>
      <c r="K737" s="97" t="str">
        <f ca="1">IF(J737="","Date",IF(J737&lt;&gt;"",IF(K737="Date",NOW(),K737),""))</f>
        <v>Date</v>
      </c>
    </row>
    <row r="738" spans="2:11">
      <c r="B738" s="97" t="str">
        <f ca="1">IF(A738="","Date",IF(A738&lt;&gt;"",IF(B738="Date",NOW(),B738),""))</f>
        <v>Date</v>
      </c>
      <c r="C738" s="19" t="str">
        <f>IF(ISBLANK(A738),"Name",IF(ISNA(VLOOKUP(A738,'Master List'!A:C,2,FALSE)), "Not Found", VLOOKUP(A738,'Master List'!A:C,2,FALSE)))</f>
        <v>Name</v>
      </c>
      <c r="D738" s="19" t="str">
        <f>IF(ISBLANK(A738), "Email",IF(ISNA(VLOOKUP(A738,'Master List'!A:C,3,FALSE)), "Not Found", VLOOKUP(A738,'Master List'!A:C,3,FALSE)))</f>
        <v>Email</v>
      </c>
      <c r="F738" s="4" t="str">
        <f>IF(OR(A738="",E738="","",A738="?",E738="?"),"duplicate?",IF(COUNTIFS($A:A,A738,E:E,E738)&gt;1,"yes","no"))</f>
        <v>duplicate?</v>
      </c>
      <c r="K738" s="97" t="str">
        <f ca="1">IF(J738="","Date",IF(J738&lt;&gt;"",IF(K738="Date",NOW(),K738),""))</f>
        <v>Date</v>
      </c>
    </row>
    <row r="739" spans="2:11">
      <c r="B739" s="97" t="str">
        <f ca="1">IF(A739="","Date",IF(A739&lt;&gt;"",IF(B739="Date",NOW(),B739),""))</f>
        <v>Date</v>
      </c>
      <c r="C739" s="19" t="str">
        <f>IF(ISBLANK(A739),"Name",IF(ISNA(VLOOKUP(A739,'Master List'!A:C,2,FALSE)), "Not Found", VLOOKUP(A739,'Master List'!A:C,2,FALSE)))</f>
        <v>Name</v>
      </c>
      <c r="D739" s="19" t="str">
        <f>IF(ISBLANK(A739), "Email",IF(ISNA(VLOOKUP(A739,'Master List'!A:C,3,FALSE)), "Not Found", VLOOKUP(A739,'Master List'!A:C,3,FALSE)))</f>
        <v>Email</v>
      </c>
      <c r="F739" s="4" t="str">
        <f>IF(OR(A739="",E739="","",A739="?",E739="?"),"duplicate?",IF(COUNTIFS($A:A,A739,E:E,E739)&gt;1,"yes","no"))</f>
        <v>duplicate?</v>
      </c>
      <c r="K739" s="97" t="str">
        <f ca="1">IF(J739="","Date",IF(J739&lt;&gt;"",IF(K739="Date",NOW(),K739),""))</f>
        <v>Date</v>
      </c>
    </row>
    <row r="740" spans="2:11">
      <c r="B740" s="97" t="str">
        <f ca="1">IF(A740="","Date",IF(A740&lt;&gt;"",IF(B740="Date",NOW(),B740),""))</f>
        <v>Date</v>
      </c>
      <c r="C740" s="19" t="str">
        <f>IF(ISBLANK(A740),"Name",IF(ISNA(VLOOKUP(A740,'Master List'!A:C,2,FALSE)), "Not Found", VLOOKUP(A740,'Master List'!A:C,2,FALSE)))</f>
        <v>Name</v>
      </c>
      <c r="D740" s="19" t="str">
        <f>IF(ISBLANK(A740), "Email",IF(ISNA(VLOOKUP(A740,'Master List'!A:C,3,FALSE)), "Not Found", VLOOKUP(A740,'Master List'!A:C,3,FALSE)))</f>
        <v>Email</v>
      </c>
      <c r="F740" s="4" t="str">
        <f>IF(OR(A740="",E740="","",A740="?",E740="?"),"duplicate?",IF(COUNTIFS($A:A,A740,E:E,E740)&gt;1,"yes","no"))</f>
        <v>duplicate?</v>
      </c>
      <c r="K740" s="97" t="str">
        <f ca="1">IF(J740="","Date",IF(J740&lt;&gt;"",IF(K740="Date",NOW(),K740),""))</f>
        <v>Date</v>
      </c>
    </row>
    <row r="741" spans="2:11">
      <c r="B741" s="97" t="str">
        <f ca="1">IF(A741="","Date",IF(A741&lt;&gt;"",IF(B741="Date",NOW(),B741),""))</f>
        <v>Date</v>
      </c>
      <c r="C741" s="19" t="str">
        <f>IF(ISBLANK(A741),"Name",IF(ISNA(VLOOKUP(A741,'Master List'!A:C,2,FALSE)), "Not Found", VLOOKUP(A741,'Master List'!A:C,2,FALSE)))</f>
        <v>Name</v>
      </c>
      <c r="D741" s="19" t="str">
        <f>IF(ISBLANK(A741), "Email",IF(ISNA(VLOOKUP(A741,'Master List'!A:C,3,FALSE)), "Not Found", VLOOKUP(A741,'Master List'!A:C,3,FALSE)))</f>
        <v>Email</v>
      </c>
      <c r="F741" s="4" t="str">
        <f>IF(OR(A741="",E741="","",A741="?",E741="?"),"duplicate?",IF(COUNTIFS($A:A,A741,E:E,E741)&gt;1,"yes","no"))</f>
        <v>duplicate?</v>
      </c>
      <c r="K741" s="97" t="str">
        <f ca="1">IF(J741="","Date",IF(J741&lt;&gt;"",IF(K741="Date",NOW(),K741),""))</f>
        <v>Date</v>
      </c>
    </row>
    <row r="742" spans="2:11">
      <c r="B742" s="97" t="str">
        <f ca="1">IF(A742="","Date",IF(A742&lt;&gt;"",IF(B742="Date",NOW(),B742),""))</f>
        <v>Date</v>
      </c>
      <c r="C742" s="19" t="str">
        <f>IF(ISBLANK(A742),"Name",IF(ISNA(VLOOKUP(A742,'Master List'!A:C,2,FALSE)), "Not Found", VLOOKUP(A742,'Master List'!A:C,2,FALSE)))</f>
        <v>Name</v>
      </c>
      <c r="D742" s="19" t="str">
        <f>IF(ISBLANK(A742), "Email",IF(ISNA(VLOOKUP(A742,'Master List'!A:C,3,FALSE)), "Not Found", VLOOKUP(A742,'Master List'!A:C,3,FALSE)))</f>
        <v>Email</v>
      </c>
      <c r="F742" s="4" t="str">
        <f>IF(OR(A742="",E742="","",A742="?",E742="?"),"duplicate?",IF(COUNTIFS($A:A,A742,E:E,E742)&gt;1,"yes","no"))</f>
        <v>duplicate?</v>
      </c>
      <c r="K742" s="97" t="str">
        <f ca="1">IF(J742="","Date",IF(J742&lt;&gt;"",IF(K742="Date",NOW(),K742),""))</f>
        <v>Date</v>
      </c>
    </row>
    <row r="743" spans="2:11">
      <c r="B743" s="97" t="str">
        <f ca="1">IF(A743="","Date",IF(A743&lt;&gt;"",IF(B743="Date",NOW(),B743),""))</f>
        <v>Date</v>
      </c>
      <c r="C743" s="19" t="str">
        <f>IF(ISBLANK(A743),"Name",IF(ISNA(VLOOKUP(A743,'Master List'!A:C,2,FALSE)), "Not Found", VLOOKUP(A743,'Master List'!A:C,2,FALSE)))</f>
        <v>Name</v>
      </c>
      <c r="D743" s="19" t="str">
        <f>IF(ISBLANK(A743), "Email",IF(ISNA(VLOOKUP(A743,'Master List'!A:C,3,FALSE)), "Not Found", VLOOKUP(A743,'Master List'!A:C,3,FALSE)))</f>
        <v>Email</v>
      </c>
      <c r="F743" s="4" t="str">
        <f>IF(OR(A743="",E743="","",A743="?",E743="?"),"duplicate?",IF(COUNTIFS($A:A,A743,E:E,E743)&gt;1,"yes","no"))</f>
        <v>duplicate?</v>
      </c>
      <c r="K743" s="97" t="str">
        <f ca="1">IF(J743="","Date",IF(J743&lt;&gt;"",IF(K743="Date",NOW(),K743),""))</f>
        <v>Date</v>
      </c>
    </row>
    <row r="744" spans="2:11">
      <c r="B744" s="97" t="str">
        <f ca="1">IF(A744="","Date",IF(A744&lt;&gt;"",IF(B744="Date",NOW(),B744),""))</f>
        <v>Date</v>
      </c>
      <c r="C744" s="19" t="str">
        <f>IF(ISBLANK(A744),"Name",IF(ISNA(VLOOKUP(A744,'Master List'!A:C,2,FALSE)), "Not Found", VLOOKUP(A744,'Master List'!A:C,2,FALSE)))</f>
        <v>Name</v>
      </c>
      <c r="D744" s="19" t="str">
        <f>IF(ISBLANK(A744), "Email",IF(ISNA(VLOOKUP(A744,'Master List'!A:C,3,FALSE)), "Not Found", VLOOKUP(A744,'Master List'!A:C,3,FALSE)))</f>
        <v>Email</v>
      </c>
      <c r="F744" s="4" t="str">
        <f>IF(OR(A744="",E744="","",A744="?",E744="?"),"duplicate?",IF(COUNTIFS($A:A,A744,E:E,E744)&gt;1,"yes","no"))</f>
        <v>duplicate?</v>
      </c>
      <c r="K744" s="97" t="str">
        <f ca="1">IF(J744="","Date",IF(J744&lt;&gt;"",IF(K744="Date",NOW(),K744),""))</f>
        <v>Date</v>
      </c>
    </row>
    <row r="745" spans="2:11">
      <c r="B745" s="97" t="str">
        <f ca="1">IF(A745="","Date",IF(A745&lt;&gt;"",IF(B745="Date",NOW(),B745),""))</f>
        <v>Date</v>
      </c>
      <c r="C745" s="19" t="str">
        <f>IF(ISBLANK(A745),"Name",IF(ISNA(VLOOKUP(A745,'Master List'!A:C,2,FALSE)), "Not Found", VLOOKUP(A745,'Master List'!A:C,2,FALSE)))</f>
        <v>Name</v>
      </c>
      <c r="D745" s="19" t="str">
        <f>IF(ISBLANK(A745), "Email",IF(ISNA(VLOOKUP(A745,'Master List'!A:C,3,FALSE)), "Not Found", VLOOKUP(A745,'Master List'!A:C,3,FALSE)))</f>
        <v>Email</v>
      </c>
      <c r="F745" s="4" t="str">
        <f>IF(OR(A745="",E745="","",A745="?",E745="?"),"duplicate?",IF(COUNTIFS($A:A,A745,E:E,E745)&gt;1,"yes","no"))</f>
        <v>duplicate?</v>
      </c>
      <c r="K745" s="97" t="str">
        <f ca="1">IF(J745="","Date",IF(J745&lt;&gt;"",IF(K745="Date",NOW(),K745),""))</f>
        <v>Date</v>
      </c>
    </row>
    <row r="746" spans="2:11">
      <c r="B746" s="97" t="str">
        <f ca="1">IF(A746="","Date",IF(A746&lt;&gt;"",IF(B746="Date",NOW(),B746),""))</f>
        <v>Date</v>
      </c>
      <c r="C746" s="19" t="str">
        <f>IF(ISBLANK(A746),"Name",IF(ISNA(VLOOKUP(A746,'Master List'!A:C,2,FALSE)), "Not Found", VLOOKUP(A746,'Master List'!A:C,2,FALSE)))</f>
        <v>Name</v>
      </c>
      <c r="D746" s="19" t="str">
        <f>IF(ISBLANK(A746), "Email",IF(ISNA(VLOOKUP(A746,'Master List'!A:C,3,FALSE)), "Not Found", VLOOKUP(A746,'Master List'!A:C,3,FALSE)))</f>
        <v>Email</v>
      </c>
      <c r="F746" s="4" t="str">
        <f>IF(OR(A746="",E746="","",A746="?",E746="?"),"duplicate?",IF(COUNTIFS($A:A,A746,E:E,E746)&gt;1,"yes","no"))</f>
        <v>duplicate?</v>
      </c>
      <c r="K746" s="97" t="str">
        <f ca="1">IF(J746="","Date",IF(J746&lt;&gt;"",IF(K746="Date",NOW(),K746),""))</f>
        <v>Date</v>
      </c>
    </row>
    <row r="747" spans="2:11">
      <c r="B747" s="97" t="str">
        <f ca="1">IF(A747="","Date",IF(A747&lt;&gt;"",IF(B747="Date",NOW(),B747),""))</f>
        <v>Date</v>
      </c>
      <c r="C747" s="19" t="str">
        <f>IF(ISBLANK(A747),"Name",IF(ISNA(VLOOKUP(A747,'Master List'!A:C,2,FALSE)), "Not Found", VLOOKUP(A747,'Master List'!A:C,2,FALSE)))</f>
        <v>Name</v>
      </c>
      <c r="D747" s="19" t="str">
        <f>IF(ISBLANK(A747), "Email",IF(ISNA(VLOOKUP(A747,'Master List'!A:C,3,FALSE)), "Not Found", VLOOKUP(A747,'Master List'!A:C,3,FALSE)))</f>
        <v>Email</v>
      </c>
      <c r="F747" s="4" t="str">
        <f>IF(OR(A747="",E747="","",A747="?",E747="?"),"duplicate?",IF(COUNTIFS($A:A,A747,E:E,E747)&gt;1,"yes","no"))</f>
        <v>duplicate?</v>
      </c>
      <c r="K747" s="97" t="str">
        <f ca="1">IF(J747="","Date",IF(J747&lt;&gt;"",IF(K747="Date",NOW(),K747),""))</f>
        <v>Date</v>
      </c>
    </row>
    <row r="748" spans="2:11">
      <c r="B748" s="97" t="str">
        <f ca="1">IF(A748="","Date",IF(A748&lt;&gt;"",IF(B748="Date",NOW(),B748),""))</f>
        <v>Date</v>
      </c>
      <c r="C748" s="19" t="str">
        <f>IF(ISBLANK(A748),"Name",IF(ISNA(VLOOKUP(A748,'Master List'!A:C,2,FALSE)), "Not Found", VLOOKUP(A748,'Master List'!A:C,2,FALSE)))</f>
        <v>Name</v>
      </c>
      <c r="D748" s="19" t="str">
        <f>IF(ISBLANK(A748), "Email",IF(ISNA(VLOOKUP(A748,'Master List'!A:C,3,FALSE)), "Not Found", VLOOKUP(A748,'Master List'!A:C,3,FALSE)))</f>
        <v>Email</v>
      </c>
      <c r="F748" s="4" t="str">
        <f>IF(OR(A748="",E748="","",A748="?",E748="?"),"duplicate?",IF(COUNTIFS($A:A,A748,E:E,E748)&gt;1,"yes","no"))</f>
        <v>duplicate?</v>
      </c>
      <c r="K748" s="97" t="str">
        <f ca="1">IF(J748="","Date",IF(J748&lt;&gt;"",IF(K748="Date",NOW(),K748),""))</f>
        <v>Date</v>
      </c>
    </row>
    <row r="749" spans="2:11">
      <c r="B749" s="97" t="str">
        <f ca="1">IF(A749="","Date",IF(A749&lt;&gt;"",IF(B749="Date",NOW(),B749),""))</f>
        <v>Date</v>
      </c>
      <c r="C749" s="19" t="str">
        <f>IF(ISBLANK(A749),"Name",IF(ISNA(VLOOKUP(A749,'Master List'!A:C,2,FALSE)), "Not Found", VLOOKUP(A749,'Master List'!A:C,2,FALSE)))</f>
        <v>Name</v>
      </c>
      <c r="D749" s="19" t="str">
        <f>IF(ISBLANK(A749), "Email",IF(ISNA(VLOOKUP(A749,'Master List'!A:C,3,FALSE)), "Not Found", VLOOKUP(A749,'Master List'!A:C,3,FALSE)))</f>
        <v>Email</v>
      </c>
      <c r="F749" s="4" t="str">
        <f>IF(OR(A749="",E749="","",A749="?",E749="?"),"duplicate?",IF(COUNTIFS($A:A,A749,E:E,E749)&gt;1,"yes","no"))</f>
        <v>duplicate?</v>
      </c>
      <c r="K749" s="97" t="str">
        <f ca="1">IF(J749="","Date",IF(J749&lt;&gt;"",IF(K749="Date",NOW(),K749),""))</f>
        <v>Date</v>
      </c>
    </row>
    <row r="750" spans="2:11">
      <c r="B750" s="97" t="str">
        <f ca="1">IF(A750="","Date",IF(A750&lt;&gt;"",IF(B750="Date",NOW(),B750),""))</f>
        <v>Date</v>
      </c>
      <c r="C750" s="19" t="str">
        <f>IF(ISBLANK(A750),"Name",IF(ISNA(VLOOKUP(A750,'Master List'!A:C,2,FALSE)), "Not Found", VLOOKUP(A750,'Master List'!A:C,2,FALSE)))</f>
        <v>Name</v>
      </c>
      <c r="D750" s="19" t="str">
        <f>IF(ISBLANK(A750), "Email",IF(ISNA(VLOOKUP(A750,'Master List'!A:C,3,FALSE)), "Not Found", VLOOKUP(A750,'Master List'!A:C,3,FALSE)))</f>
        <v>Email</v>
      </c>
      <c r="F750" s="4" t="str">
        <f>IF(OR(A750="",E750="","",A750="?",E750="?"),"duplicate?",IF(COUNTIFS($A:A,A750,E:E,E750)&gt;1,"yes","no"))</f>
        <v>duplicate?</v>
      </c>
      <c r="K750" s="97" t="str">
        <f ca="1">IF(J750="","Date",IF(J750&lt;&gt;"",IF(K750="Date",NOW(),K750),""))</f>
        <v>Date</v>
      </c>
    </row>
    <row r="751" spans="2:11">
      <c r="B751" s="97" t="str">
        <f ca="1">IF(A751="","Date",IF(A751&lt;&gt;"",IF(B751="Date",NOW(),B751),""))</f>
        <v>Date</v>
      </c>
      <c r="C751" s="19" t="str">
        <f>IF(ISBLANK(A751),"Name",IF(ISNA(VLOOKUP(A751,'Master List'!A:C,2,FALSE)), "Not Found", VLOOKUP(A751,'Master List'!A:C,2,FALSE)))</f>
        <v>Name</v>
      </c>
      <c r="D751" s="19" t="str">
        <f>IF(ISBLANK(A751), "Email",IF(ISNA(VLOOKUP(A751,'Master List'!A:C,3,FALSE)), "Not Found", VLOOKUP(A751,'Master List'!A:C,3,FALSE)))</f>
        <v>Email</v>
      </c>
      <c r="F751" s="4" t="str">
        <f>IF(OR(A751="",E751="","",A751="?",E751="?"),"duplicate?",IF(COUNTIFS($A:A,A751,E:E,E751)&gt;1,"yes","no"))</f>
        <v>duplicate?</v>
      </c>
      <c r="K751" s="97" t="str">
        <f ca="1">IF(J751="","Date",IF(J751&lt;&gt;"",IF(K751="Date",NOW(),K751),""))</f>
        <v>Date</v>
      </c>
    </row>
    <row r="752" spans="2:11">
      <c r="B752" s="97" t="str">
        <f ca="1">IF(A752="","Date",IF(A752&lt;&gt;"",IF(B752="Date",NOW(),B752),""))</f>
        <v>Date</v>
      </c>
      <c r="C752" s="19" t="str">
        <f>IF(ISBLANK(A752),"Name",IF(ISNA(VLOOKUP(A752,'Master List'!A:C,2,FALSE)), "Not Found", VLOOKUP(A752,'Master List'!A:C,2,FALSE)))</f>
        <v>Name</v>
      </c>
      <c r="D752" s="19" t="str">
        <f>IF(ISBLANK(A752), "Email",IF(ISNA(VLOOKUP(A752,'Master List'!A:C,3,FALSE)), "Not Found", VLOOKUP(A752,'Master List'!A:C,3,FALSE)))</f>
        <v>Email</v>
      </c>
      <c r="F752" s="4" t="str">
        <f>IF(OR(A752="",E752="","",A752="?",E752="?"),"duplicate?",IF(COUNTIFS($A:A,A752,E:E,E752)&gt;1,"yes","no"))</f>
        <v>duplicate?</v>
      </c>
      <c r="K752" s="97" t="str">
        <f ca="1">IF(J752="","Date",IF(J752&lt;&gt;"",IF(K752="Date",NOW(),K752),""))</f>
        <v>Date</v>
      </c>
    </row>
    <row r="753" spans="2:11">
      <c r="B753" s="97" t="str">
        <f ca="1">IF(A753="","Date",IF(A753&lt;&gt;"",IF(B753="Date",NOW(),B753),""))</f>
        <v>Date</v>
      </c>
      <c r="C753" s="19" t="str">
        <f>IF(ISBLANK(A753),"Name",IF(ISNA(VLOOKUP(A753,'Master List'!A:C,2,FALSE)), "Not Found", VLOOKUP(A753,'Master List'!A:C,2,FALSE)))</f>
        <v>Name</v>
      </c>
      <c r="D753" s="19" t="str">
        <f>IF(ISBLANK(A753), "Email",IF(ISNA(VLOOKUP(A753,'Master List'!A:C,3,FALSE)), "Not Found", VLOOKUP(A753,'Master List'!A:C,3,FALSE)))</f>
        <v>Email</v>
      </c>
      <c r="F753" s="4" t="str">
        <f>IF(OR(A753="",E753="","",A753="?",E753="?"),"duplicate?",IF(COUNTIFS($A:A,A753,E:E,E753)&gt;1,"yes","no"))</f>
        <v>duplicate?</v>
      </c>
      <c r="K753" s="97" t="str">
        <f ca="1">IF(J753="","Date",IF(J753&lt;&gt;"",IF(K753="Date",NOW(),K753),""))</f>
        <v>Date</v>
      </c>
    </row>
    <row r="754" spans="2:11">
      <c r="B754" s="97" t="str">
        <f ca="1">IF(A754="","Date",IF(A754&lt;&gt;"",IF(B754="Date",NOW(),B754),""))</f>
        <v>Date</v>
      </c>
      <c r="C754" s="19" t="str">
        <f>IF(ISBLANK(A754),"Name",IF(ISNA(VLOOKUP(A754,'Master List'!A:C,2,FALSE)), "Not Found", VLOOKUP(A754,'Master List'!A:C,2,FALSE)))</f>
        <v>Name</v>
      </c>
      <c r="D754" s="19" t="str">
        <f>IF(ISBLANK(A754), "Email",IF(ISNA(VLOOKUP(A754,'Master List'!A:C,3,FALSE)), "Not Found", VLOOKUP(A754,'Master List'!A:C,3,FALSE)))</f>
        <v>Email</v>
      </c>
      <c r="F754" s="4" t="str">
        <f>IF(OR(A754="",E754="","",A754="?",E754="?"),"duplicate?",IF(COUNTIFS($A:A,A754,E:E,E754)&gt;1,"yes","no"))</f>
        <v>duplicate?</v>
      </c>
      <c r="K754" s="97" t="str">
        <f ca="1">IF(J754="","Date",IF(J754&lt;&gt;"",IF(K754="Date",NOW(),K754),""))</f>
        <v>Date</v>
      </c>
    </row>
    <row r="755" spans="2:11">
      <c r="B755" s="97" t="str">
        <f ca="1">IF(A755="","Date",IF(A755&lt;&gt;"",IF(B755="Date",NOW(),B755),""))</f>
        <v>Date</v>
      </c>
      <c r="C755" s="19" t="str">
        <f>IF(ISBLANK(A755),"Name",IF(ISNA(VLOOKUP(A755,'Master List'!A:C,2,FALSE)), "Not Found", VLOOKUP(A755,'Master List'!A:C,2,FALSE)))</f>
        <v>Name</v>
      </c>
      <c r="D755" s="19" t="str">
        <f>IF(ISBLANK(A755), "Email",IF(ISNA(VLOOKUP(A755,'Master List'!A:C,3,FALSE)), "Not Found", VLOOKUP(A755,'Master List'!A:C,3,FALSE)))</f>
        <v>Email</v>
      </c>
      <c r="F755" s="4" t="str">
        <f>IF(OR(A755="",E755="","",A755="?",E755="?"),"duplicate?",IF(COUNTIFS($A:A,A755,E:E,E755)&gt;1,"yes","no"))</f>
        <v>duplicate?</v>
      </c>
      <c r="K755" s="97" t="str">
        <f ca="1">IF(J755="","Date",IF(J755&lt;&gt;"",IF(K755="Date",NOW(),K755),""))</f>
        <v>Date</v>
      </c>
    </row>
    <row r="756" spans="2:11">
      <c r="B756" s="97" t="str">
        <f ca="1">IF(A756="","Date",IF(A756&lt;&gt;"",IF(B756="Date",NOW(),B756),""))</f>
        <v>Date</v>
      </c>
      <c r="C756" s="19" t="str">
        <f>IF(ISBLANK(A756),"Name",IF(ISNA(VLOOKUP(A756,'Master List'!A:C,2,FALSE)), "Not Found", VLOOKUP(A756,'Master List'!A:C,2,FALSE)))</f>
        <v>Name</v>
      </c>
      <c r="D756" s="19" t="str">
        <f>IF(ISBLANK(A756), "Email",IF(ISNA(VLOOKUP(A756,'Master List'!A:C,3,FALSE)), "Not Found", VLOOKUP(A756,'Master List'!A:C,3,FALSE)))</f>
        <v>Email</v>
      </c>
      <c r="F756" s="4" t="str">
        <f>IF(OR(A756="",E756="","",A756="?",E756="?"),"duplicate?",IF(COUNTIFS($A:A,A756,E:E,E756)&gt;1,"yes","no"))</f>
        <v>duplicate?</v>
      </c>
      <c r="K756" s="97" t="str">
        <f ca="1">IF(J756="","Date",IF(J756&lt;&gt;"",IF(K756="Date",NOW(),K756),""))</f>
        <v>Date</v>
      </c>
    </row>
    <row r="757" spans="2:11">
      <c r="B757" s="97" t="str">
        <f ca="1">IF(A757="","Date",IF(A757&lt;&gt;"",IF(B757="Date",NOW(),B757),""))</f>
        <v>Date</v>
      </c>
      <c r="C757" s="19" t="str">
        <f>IF(ISBLANK(A757),"Name",IF(ISNA(VLOOKUP(A757,'Master List'!A:C,2,FALSE)), "Not Found", VLOOKUP(A757,'Master List'!A:C,2,FALSE)))</f>
        <v>Name</v>
      </c>
      <c r="D757" s="19" t="str">
        <f>IF(ISBLANK(A757), "Email",IF(ISNA(VLOOKUP(A757,'Master List'!A:C,3,FALSE)), "Not Found", VLOOKUP(A757,'Master List'!A:C,3,FALSE)))</f>
        <v>Email</v>
      </c>
      <c r="F757" s="4" t="str">
        <f>IF(OR(A757="",E757="","",A757="?",E757="?"),"duplicate?",IF(COUNTIFS($A:A,A757,E:E,E757)&gt;1,"yes","no"))</f>
        <v>duplicate?</v>
      </c>
      <c r="K757" s="97" t="str">
        <f ca="1">IF(J757="","Date",IF(J757&lt;&gt;"",IF(K757="Date",NOW(),K757),""))</f>
        <v>Date</v>
      </c>
    </row>
    <row r="758" spans="2:11">
      <c r="B758" s="97" t="str">
        <f ca="1">IF(A758="","Date",IF(A758&lt;&gt;"",IF(B758="Date",NOW(),B758),""))</f>
        <v>Date</v>
      </c>
      <c r="C758" s="19" t="str">
        <f>IF(ISBLANK(A758),"Name",IF(ISNA(VLOOKUP(A758,'Master List'!A:C,2,FALSE)), "Not Found", VLOOKUP(A758,'Master List'!A:C,2,FALSE)))</f>
        <v>Name</v>
      </c>
      <c r="D758" s="19" t="str">
        <f>IF(ISBLANK(A758), "Email",IF(ISNA(VLOOKUP(A758,'Master List'!A:C,3,FALSE)), "Not Found", VLOOKUP(A758,'Master List'!A:C,3,FALSE)))</f>
        <v>Email</v>
      </c>
      <c r="F758" s="4" t="str">
        <f>IF(OR(A758="",E758="","",A758="?",E758="?"),"duplicate?",IF(COUNTIFS($A:A,A758,E:E,E758)&gt;1,"yes","no"))</f>
        <v>duplicate?</v>
      </c>
      <c r="K758" s="97" t="str">
        <f ca="1">IF(J758="","Date",IF(J758&lt;&gt;"",IF(K758="Date",NOW(),K758),""))</f>
        <v>Date</v>
      </c>
    </row>
    <row r="759" spans="2:11">
      <c r="B759" s="97" t="str">
        <f ca="1">IF(A759="","Date",IF(A759&lt;&gt;"",IF(B759="Date",NOW(),B759),""))</f>
        <v>Date</v>
      </c>
      <c r="C759" s="19" t="str">
        <f>IF(ISBLANK(A759),"Name",IF(ISNA(VLOOKUP(A759,'Master List'!A:C,2,FALSE)), "Not Found", VLOOKUP(A759,'Master List'!A:C,2,FALSE)))</f>
        <v>Name</v>
      </c>
      <c r="D759" s="19" t="str">
        <f>IF(ISBLANK(A759), "Email",IF(ISNA(VLOOKUP(A759,'Master List'!A:C,3,FALSE)), "Not Found", VLOOKUP(A759,'Master List'!A:C,3,FALSE)))</f>
        <v>Email</v>
      </c>
      <c r="F759" s="4" t="str">
        <f>IF(OR(A759="",E759="","",A759="?",E759="?"),"duplicate?",IF(COUNTIFS($A:A,A759,E:E,E759)&gt;1,"yes","no"))</f>
        <v>duplicate?</v>
      </c>
      <c r="K759" s="97" t="str">
        <f ca="1">IF(J759="","Date",IF(J759&lt;&gt;"",IF(K759="Date",NOW(),K759),""))</f>
        <v>Date</v>
      </c>
    </row>
    <row r="760" spans="2:11">
      <c r="B760" s="97" t="str">
        <f ca="1">IF(A760="","Date",IF(A760&lt;&gt;"",IF(B760="Date",NOW(),B760),""))</f>
        <v>Date</v>
      </c>
      <c r="C760" s="19" t="str">
        <f>IF(ISBLANK(A760),"Name",IF(ISNA(VLOOKUP(A760,'Master List'!A:C,2,FALSE)), "Not Found", VLOOKUP(A760,'Master List'!A:C,2,FALSE)))</f>
        <v>Name</v>
      </c>
      <c r="D760" s="19" t="str">
        <f>IF(ISBLANK(A760), "Email",IF(ISNA(VLOOKUP(A760,'Master List'!A:C,3,FALSE)), "Not Found", VLOOKUP(A760,'Master List'!A:C,3,FALSE)))</f>
        <v>Email</v>
      </c>
      <c r="F760" s="4" t="str">
        <f>IF(OR(A760="",E760="","",A760="?",E760="?"),"duplicate?",IF(COUNTIFS($A:A,A760,E:E,E760)&gt;1,"yes","no"))</f>
        <v>duplicate?</v>
      </c>
      <c r="K760" s="97" t="str">
        <f ca="1">IF(J760="","Date",IF(J760&lt;&gt;"",IF(K760="Date",NOW(),K760),""))</f>
        <v>Date</v>
      </c>
    </row>
    <row r="761" spans="2:11">
      <c r="B761" s="97" t="str">
        <f ca="1">IF(A761="","Date",IF(A761&lt;&gt;"",IF(B761="Date",NOW(),B761),""))</f>
        <v>Date</v>
      </c>
      <c r="C761" s="19" t="str">
        <f>IF(ISBLANK(A761),"Name",IF(ISNA(VLOOKUP(A761,'Master List'!A:C,2,FALSE)), "Not Found", VLOOKUP(A761,'Master List'!A:C,2,FALSE)))</f>
        <v>Name</v>
      </c>
      <c r="D761" s="19" t="str">
        <f>IF(ISBLANK(A761), "Email",IF(ISNA(VLOOKUP(A761,'Master List'!A:C,3,FALSE)), "Not Found", VLOOKUP(A761,'Master List'!A:C,3,FALSE)))</f>
        <v>Email</v>
      </c>
      <c r="F761" s="4" t="str">
        <f>IF(OR(A761="",E761="","",A761="?",E761="?"),"duplicate?",IF(COUNTIFS($A:A,A761,E:E,E761)&gt;1,"yes","no"))</f>
        <v>duplicate?</v>
      </c>
      <c r="K761" s="97" t="str">
        <f ca="1">IF(J761="","Date",IF(J761&lt;&gt;"",IF(K761="Date",NOW(),K761),""))</f>
        <v>Date</v>
      </c>
    </row>
    <row r="762" spans="2:11">
      <c r="B762" s="97" t="str">
        <f ca="1">IF(A762="","Date",IF(A762&lt;&gt;"",IF(B762="Date",NOW(),B762),""))</f>
        <v>Date</v>
      </c>
      <c r="C762" s="19" t="str">
        <f>IF(ISBLANK(A762),"Name",IF(ISNA(VLOOKUP(A762,'Master List'!A:C,2,FALSE)), "Not Found", VLOOKUP(A762,'Master List'!A:C,2,FALSE)))</f>
        <v>Name</v>
      </c>
      <c r="D762" s="19" t="str">
        <f>IF(ISBLANK(A762), "Email",IF(ISNA(VLOOKUP(A762,'Master List'!A:C,3,FALSE)), "Not Found", VLOOKUP(A762,'Master List'!A:C,3,FALSE)))</f>
        <v>Email</v>
      </c>
      <c r="F762" s="4" t="str">
        <f>IF(OR(A762="",E762="","",A762="?",E762="?"),"duplicate?",IF(COUNTIFS($A:A,A762,E:E,E762)&gt;1,"yes","no"))</f>
        <v>duplicate?</v>
      </c>
      <c r="K762" s="97" t="str">
        <f ca="1">IF(J762="","Date",IF(J762&lt;&gt;"",IF(K762="Date",NOW(),K762),""))</f>
        <v>Date</v>
      </c>
    </row>
    <row r="763" spans="2:11">
      <c r="B763" s="97" t="str">
        <f ca="1">IF(A763="","Date",IF(A763&lt;&gt;"",IF(B763="Date",NOW(),B763),""))</f>
        <v>Date</v>
      </c>
      <c r="C763" s="19" t="str">
        <f>IF(ISBLANK(A763),"Name",IF(ISNA(VLOOKUP(A763,'Master List'!A:C,2,FALSE)), "Not Found", VLOOKUP(A763,'Master List'!A:C,2,FALSE)))</f>
        <v>Name</v>
      </c>
      <c r="D763" s="19" t="str">
        <f>IF(ISBLANK(A763), "Email",IF(ISNA(VLOOKUP(A763,'Master List'!A:C,3,FALSE)), "Not Found", VLOOKUP(A763,'Master List'!A:C,3,FALSE)))</f>
        <v>Email</v>
      </c>
      <c r="F763" s="4" t="str">
        <f>IF(OR(A763="",E763="","",A763="?",E763="?"),"duplicate?",IF(COUNTIFS($A:A,A763,E:E,E763)&gt;1,"yes","no"))</f>
        <v>duplicate?</v>
      </c>
      <c r="K763" s="97" t="str">
        <f ca="1">IF(J763="","Date",IF(J763&lt;&gt;"",IF(K763="Date",NOW(),K763),""))</f>
        <v>Date</v>
      </c>
    </row>
    <row r="764" spans="2:11">
      <c r="B764" s="97" t="str">
        <f ca="1">IF(A764="","Date",IF(A764&lt;&gt;"",IF(B764="Date",NOW(),B764),""))</f>
        <v>Date</v>
      </c>
      <c r="C764" s="19" t="str">
        <f>IF(ISBLANK(A764),"Name",IF(ISNA(VLOOKUP(A764,'Master List'!A:C,2,FALSE)), "Not Found", VLOOKUP(A764,'Master List'!A:C,2,FALSE)))</f>
        <v>Name</v>
      </c>
      <c r="D764" s="19" t="str">
        <f>IF(ISBLANK(A764), "Email",IF(ISNA(VLOOKUP(A764,'Master List'!A:C,3,FALSE)), "Not Found", VLOOKUP(A764,'Master List'!A:C,3,FALSE)))</f>
        <v>Email</v>
      </c>
      <c r="F764" s="4" t="str">
        <f>IF(OR(A764="",E764="","",A764="?",E764="?"),"duplicate?",IF(COUNTIFS($A:A,A764,E:E,E764)&gt;1,"yes","no"))</f>
        <v>duplicate?</v>
      </c>
      <c r="K764" s="97" t="str">
        <f ca="1">IF(J764="","Date",IF(J764&lt;&gt;"",IF(K764="Date",NOW(),K764),""))</f>
        <v>Date</v>
      </c>
    </row>
    <row r="765" spans="2:11">
      <c r="B765" s="97" t="str">
        <f ca="1">IF(A765="","Date",IF(A765&lt;&gt;"",IF(B765="Date",NOW(),B765),""))</f>
        <v>Date</v>
      </c>
      <c r="C765" s="19" t="str">
        <f>IF(ISBLANK(A765),"Name",IF(ISNA(VLOOKUP(A765,'Master List'!A:C,2,FALSE)), "Not Found", VLOOKUP(A765,'Master List'!A:C,2,FALSE)))</f>
        <v>Name</v>
      </c>
      <c r="D765" s="19" t="str">
        <f>IF(ISBLANK(A765), "Email",IF(ISNA(VLOOKUP(A765,'Master List'!A:C,3,FALSE)), "Not Found", VLOOKUP(A765,'Master List'!A:C,3,FALSE)))</f>
        <v>Email</v>
      </c>
      <c r="F765" s="4" t="str">
        <f>IF(OR(A765="",E765="","",A765="?",E765="?"),"duplicate?",IF(COUNTIFS($A:A,A765,E:E,E765)&gt;1,"yes","no"))</f>
        <v>duplicate?</v>
      </c>
      <c r="K765" s="97" t="str">
        <f ca="1">IF(J765="","Date",IF(J765&lt;&gt;"",IF(K765="Date",NOW(),K765),""))</f>
        <v>Date</v>
      </c>
    </row>
    <row r="766" spans="2:11">
      <c r="B766" s="97" t="str">
        <f ca="1">IF(A766="","Date",IF(A766&lt;&gt;"",IF(B766="Date",NOW(),B766),""))</f>
        <v>Date</v>
      </c>
      <c r="C766" s="19" t="str">
        <f>IF(ISBLANK(A766),"Name",IF(ISNA(VLOOKUP(A766,'Master List'!A:C,2,FALSE)), "Not Found", VLOOKUP(A766,'Master List'!A:C,2,FALSE)))</f>
        <v>Name</v>
      </c>
      <c r="D766" s="19" t="str">
        <f>IF(ISBLANK(A766), "Email",IF(ISNA(VLOOKUP(A766,'Master List'!A:C,3,FALSE)), "Not Found", VLOOKUP(A766,'Master List'!A:C,3,FALSE)))</f>
        <v>Email</v>
      </c>
      <c r="F766" s="4" t="str">
        <f>IF(OR(A766="",E766="","",A766="?",E766="?"),"duplicate?",IF(COUNTIFS($A:A,A766,E:E,E766)&gt;1,"yes","no"))</f>
        <v>duplicate?</v>
      </c>
      <c r="K766" s="97" t="str">
        <f ca="1">IF(J766="","Date",IF(J766&lt;&gt;"",IF(K766="Date",NOW(),K766),""))</f>
        <v>Date</v>
      </c>
    </row>
    <row r="767" spans="2:11">
      <c r="B767" s="97" t="str">
        <f ca="1">IF(A767="","Date",IF(A767&lt;&gt;"",IF(B767="Date",NOW(),B767),""))</f>
        <v>Date</v>
      </c>
      <c r="C767" s="19" t="str">
        <f>IF(ISBLANK(A767),"Name",IF(ISNA(VLOOKUP(A767,'Master List'!A:C,2,FALSE)), "Not Found", VLOOKUP(A767,'Master List'!A:C,2,FALSE)))</f>
        <v>Name</v>
      </c>
      <c r="D767" s="19" t="str">
        <f>IF(ISBLANK(A767), "Email",IF(ISNA(VLOOKUP(A767,'Master List'!A:C,3,FALSE)), "Not Found", VLOOKUP(A767,'Master List'!A:C,3,FALSE)))</f>
        <v>Email</v>
      </c>
      <c r="F767" s="4" t="str">
        <f>IF(OR(A767="",E767="","",A767="?",E767="?"),"duplicate?",IF(COUNTIFS($A:A,A767,E:E,E767)&gt;1,"yes","no"))</f>
        <v>duplicate?</v>
      </c>
      <c r="K767" s="97" t="str">
        <f ca="1">IF(J767="","Date",IF(J767&lt;&gt;"",IF(K767="Date",NOW(),K767),""))</f>
        <v>Date</v>
      </c>
    </row>
    <row r="768" spans="2:11">
      <c r="B768" s="97" t="str">
        <f ca="1">IF(A768="","Date",IF(A768&lt;&gt;"",IF(B768="Date",NOW(),B768),""))</f>
        <v>Date</v>
      </c>
      <c r="C768" s="19" t="str">
        <f>IF(ISBLANK(A768),"Name",IF(ISNA(VLOOKUP(A768,'Master List'!A:C,2,FALSE)), "Not Found", VLOOKUP(A768,'Master List'!A:C,2,FALSE)))</f>
        <v>Name</v>
      </c>
      <c r="D768" s="19" t="str">
        <f>IF(ISBLANK(A768), "Email",IF(ISNA(VLOOKUP(A768,'Master List'!A:C,3,FALSE)), "Not Found", VLOOKUP(A768,'Master List'!A:C,3,FALSE)))</f>
        <v>Email</v>
      </c>
      <c r="F768" s="4" t="str">
        <f>IF(OR(A768="",E768="","",A768="?",E768="?"),"duplicate?",IF(COUNTIFS($A:A,A768,E:E,E768)&gt;1,"yes","no"))</f>
        <v>duplicate?</v>
      </c>
      <c r="K768" s="97" t="str">
        <f ca="1">IF(J768="","Date",IF(J768&lt;&gt;"",IF(K768="Date",NOW(),K768),""))</f>
        <v>Date</v>
      </c>
    </row>
    <row r="769" spans="2:11">
      <c r="B769" s="97" t="str">
        <f ca="1">IF(A769="","Date",IF(A769&lt;&gt;"",IF(B769="Date",NOW(),B769),""))</f>
        <v>Date</v>
      </c>
      <c r="C769" s="19" t="str">
        <f>IF(ISBLANK(A769),"Name",IF(ISNA(VLOOKUP(A769,'Master List'!A:C,2,FALSE)), "Not Found", VLOOKUP(A769,'Master List'!A:C,2,FALSE)))</f>
        <v>Name</v>
      </c>
      <c r="D769" s="19" t="str">
        <f>IF(ISBLANK(A769), "Email",IF(ISNA(VLOOKUP(A769,'Master List'!A:C,3,FALSE)), "Not Found", VLOOKUP(A769,'Master List'!A:C,3,FALSE)))</f>
        <v>Email</v>
      </c>
      <c r="F769" s="4" t="str">
        <f>IF(OR(A769="",E769="","",A769="?",E769="?"),"duplicate?",IF(COUNTIFS($A:A,A769,E:E,E769)&gt;1,"yes","no"))</f>
        <v>duplicate?</v>
      </c>
      <c r="K769" s="97" t="str">
        <f ca="1">IF(J769="","Date",IF(J769&lt;&gt;"",IF(K769="Date",NOW(),K769),""))</f>
        <v>Date</v>
      </c>
    </row>
    <row r="770" spans="2:11">
      <c r="B770" s="97" t="str">
        <f ca="1">IF(A770="","Date",IF(A770&lt;&gt;"",IF(B770="Date",NOW(),B770),""))</f>
        <v>Date</v>
      </c>
      <c r="C770" s="19" t="str">
        <f>IF(ISBLANK(A770),"Name",IF(ISNA(VLOOKUP(A770,'Master List'!A:C,2,FALSE)), "Not Found", VLOOKUP(A770,'Master List'!A:C,2,FALSE)))</f>
        <v>Name</v>
      </c>
      <c r="D770" s="19" t="str">
        <f>IF(ISBLANK(A770), "Email",IF(ISNA(VLOOKUP(A770,'Master List'!A:C,3,FALSE)), "Not Found", VLOOKUP(A770,'Master List'!A:C,3,FALSE)))</f>
        <v>Email</v>
      </c>
      <c r="F770" s="4" t="str">
        <f>IF(OR(A770="",E770="","",A770="?",E770="?"),"duplicate?",IF(COUNTIFS($A:A,A770,E:E,E770)&gt;1,"yes","no"))</f>
        <v>duplicate?</v>
      </c>
      <c r="K770" s="97" t="str">
        <f ca="1">IF(J770="","Date",IF(J770&lt;&gt;"",IF(K770="Date",NOW(),K770),""))</f>
        <v>Date</v>
      </c>
    </row>
    <row r="771" spans="2:11">
      <c r="B771" s="97" t="str">
        <f ca="1">IF(A771="","Date",IF(A771&lt;&gt;"",IF(B771="Date",NOW(),B771),""))</f>
        <v>Date</v>
      </c>
      <c r="C771" s="19" t="str">
        <f>IF(ISBLANK(A771),"Name",IF(ISNA(VLOOKUP(A771,'Master List'!A:C,2,FALSE)), "Not Found", VLOOKUP(A771,'Master List'!A:C,2,FALSE)))</f>
        <v>Name</v>
      </c>
      <c r="D771" s="19" t="str">
        <f>IF(ISBLANK(A771), "Email",IF(ISNA(VLOOKUP(A771,'Master List'!A:C,3,FALSE)), "Not Found", VLOOKUP(A771,'Master List'!A:C,3,FALSE)))</f>
        <v>Email</v>
      </c>
      <c r="F771" s="4" t="str">
        <f>IF(OR(A771="",E771="","",A771="?",E771="?"),"duplicate?",IF(COUNTIFS($A:A,A771,E:E,E771)&gt;1,"yes","no"))</f>
        <v>duplicate?</v>
      </c>
      <c r="K771" s="97" t="str">
        <f ca="1">IF(J771="","Date",IF(J771&lt;&gt;"",IF(K771="Date",NOW(),K771),""))</f>
        <v>Date</v>
      </c>
    </row>
    <row r="772" spans="2:11">
      <c r="B772" s="97" t="str">
        <f ca="1">IF(A772="","Date",IF(A772&lt;&gt;"",IF(B772="Date",NOW(),B772),""))</f>
        <v>Date</v>
      </c>
      <c r="C772" s="19" t="str">
        <f>IF(ISBLANK(A772),"Name",IF(ISNA(VLOOKUP(A772,'Master List'!A:C,2,FALSE)), "Not Found", VLOOKUP(A772,'Master List'!A:C,2,FALSE)))</f>
        <v>Name</v>
      </c>
      <c r="D772" s="19" t="str">
        <f>IF(ISBLANK(A772), "Email",IF(ISNA(VLOOKUP(A772,'Master List'!A:C,3,FALSE)), "Not Found", VLOOKUP(A772,'Master List'!A:C,3,FALSE)))</f>
        <v>Email</v>
      </c>
      <c r="F772" s="4" t="str">
        <f>IF(OR(A772="",E772="","",A772="?",E772="?"),"duplicate?",IF(COUNTIFS($A:A,A772,E:E,E772)&gt;1,"yes","no"))</f>
        <v>duplicate?</v>
      </c>
      <c r="K772" s="97" t="str">
        <f ca="1">IF(J772="","Date",IF(J772&lt;&gt;"",IF(K772="Date",NOW(),K772),""))</f>
        <v>Date</v>
      </c>
    </row>
    <row r="773" spans="2:11">
      <c r="B773" s="97" t="str">
        <f ca="1">IF(A773="","Date",IF(A773&lt;&gt;"",IF(B773="Date",NOW(),B773),""))</f>
        <v>Date</v>
      </c>
      <c r="C773" s="19" t="str">
        <f>IF(ISBLANK(A773),"Name",IF(ISNA(VLOOKUP(A773,'Master List'!A:C,2,FALSE)), "Not Found", VLOOKUP(A773,'Master List'!A:C,2,FALSE)))</f>
        <v>Name</v>
      </c>
      <c r="D773" s="19" t="str">
        <f>IF(ISBLANK(A773), "Email",IF(ISNA(VLOOKUP(A773,'Master List'!A:C,3,FALSE)), "Not Found", VLOOKUP(A773,'Master List'!A:C,3,FALSE)))</f>
        <v>Email</v>
      </c>
      <c r="F773" s="4" t="str">
        <f>IF(OR(A773="",E773="","",A773="?",E773="?"),"duplicate?",IF(COUNTIFS($A:A,A773,E:E,E773)&gt;1,"yes","no"))</f>
        <v>duplicate?</v>
      </c>
      <c r="K773" s="97" t="str">
        <f ca="1">IF(J773="","Date",IF(J773&lt;&gt;"",IF(K773="Date",NOW(),K773),""))</f>
        <v>Date</v>
      </c>
    </row>
    <row r="774" spans="2:11">
      <c r="B774" s="97" t="str">
        <f ca="1">IF(A774="","Date",IF(A774&lt;&gt;"",IF(B774="Date",NOW(),B774),""))</f>
        <v>Date</v>
      </c>
      <c r="C774" s="19" t="str">
        <f>IF(ISBLANK(A774),"Name",IF(ISNA(VLOOKUP(A774,'Master List'!A:C,2,FALSE)), "Not Found", VLOOKUP(A774,'Master List'!A:C,2,FALSE)))</f>
        <v>Name</v>
      </c>
      <c r="D774" s="19" t="str">
        <f>IF(ISBLANK(A774), "Email",IF(ISNA(VLOOKUP(A774,'Master List'!A:C,3,FALSE)), "Not Found", VLOOKUP(A774,'Master List'!A:C,3,FALSE)))</f>
        <v>Email</v>
      </c>
      <c r="F774" s="4" t="str">
        <f>IF(OR(A774="",E774="","",A774="?",E774="?"),"duplicate?",IF(COUNTIFS($A:A,A774,E:E,E774)&gt;1,"yes","no"))</f>
        <v>duplicate?</v>
      </c>
      <c r="K774" s="97" t="str">
        <f ca="1">IF(J774="","Date",IF(J774&lt;&gt;"",IF(K774="Date",NOW(),K774),""))</f>
        <v>Date</v>
      </c>
    </row>
    <row r="775" spans="2:11">
      <c r="B775" s="97" t="str">
        <f ca="1">IF(A775="","Date",IF(A775&lt;&gt;"",IF(B775="Date",NOW(),B775),""))</f>
        <v>Date</v>
      </c>
      <c r="C775" s="19" t="str">
        <f>IF(ISBLANK(A775),"Name",IF(ISNA(VLOOKUP(A775,'Master List'!A:C,2,FALSE)), "Not Found", VLOOKUP(A775,'Master List'!A:C,2,FALSE)))</f>
        <v>Name</v>
      </c>
      <c r="D775" s="19" t="str">
        <f>IF(ISBLANK(A775), "Email",IF(ISNA(VLOOKUP(A775,'Master List'!A:C,3,FALSE)), "Not Found", VLOOKUP(A775,'Master List'!A:C,3,FALSE)))</f>
        <v>Email</v>
      </c>
      <c r="F775" s="4" t="str">
        <f>IF(OR(A775="",E775="","",A775="?",E775="?"),"duplicate?",IF(COUNTIFS($A:A,A775,E:E,E775)&gt;1,"yes","no"))</f>
        <v>duplicate?</v>
      </c>
      <c r="K775" s="97" t="str">
        <f ca="1">IF(J775="","Date",IF(J775&lt;&gt;"",IF(K775="Date",NOW(),K775),""))</f>
        <v>Date</v>
      </c>
    </row>
    <row r="776" spans="2:11">
      <c r="B776" s="97" t="str">
        <f ca="1">IF(A776="","Date",IF(A776&lt;&gt;"",IF(B776="Date",NOW(),B776),""))</f>
        <v>Date</v>
      </c>
      <c r="C776" s="19" t="str">
        <f>IF(ISBLANK(A776),"Name",IF(ISNA(VLOOKUP(A776,'Master List'!A:C,2,FALSE)), "Not Found", VLOOKUP(A776,'Master List'!A:C,2,FALSE)))</f>
        <v>Name</v>
      </c>
      <c r="D776" s="19" t="str">
        <f>IF(ISBLANK(A776), "Email",IF(ISNA(VLOOKUP(A776,'Master List'!A:C,3,FALSE)), "Not Found", VLOOKUP(A776,'Master List'!A:C,3,FALSE)))</f>
        <v>Email</v>
      </c>
      <c r="F776" s="4" t="str">
        <f>IF(OR(A776="",E776="","",A776="?",E776="?"),"duplicate?",IF(COUNTIFS($A:A,A776,E:E,E776)&gt;1,"yes","no"))</f>
        <v>duplicate?</v>
      </c>
      <c r="K776" s="97" t="str">
        <f ca="1">IF(J776="","Date",IF(J776&lt;&gt;"",IF(K776="Date",NOW(),K776),""))</f>
        <v>Date</v>
      </c>
    </row>
    <row r="777" spans="2:11">
      <c r="B777" s="97" t="str">
        <f ca="1">IF(A777="","Date",IF(A777&lt;&gt;"",IF(B777="Date",NOW(),B777),""))</f>
        <v>Date</v>
      </c>
      <c r="C777" s="19" t="str">
        <f>IF(ISBLANK(A777),"Name",IF(ISNA(VLOOKUP(A777,'Master List'!A:C,2,FALSE)), "Not Found", VLOOKUP(A777,'Master List'!A:C,2,FALSE)))</f>
        <v>Name</v>
      </c>
      <c r="D777" s="19" t="str">
        <f>IF(ISBLANK(A777), "Email",IF(ISNA(VLOOKUP(A777,'Master List'!A:C,3,FALSE)), "Not Found", VLOOKUP(A777,'Master List'!A:C,3,FALSE)))</f>
        <v>Email</v>
      </c>
      <c r="F777" s="4" t="str">
        <f>IF(OR(A777="",E777="","",A777="?",E777="?"),"duplicate?",IF(COUNTIFS($A:A,A777,E:E,E777)&gt;1,"yes","no"))</f>
        <v>duplicate?</v>
      </c>
      <c r="K777" s="97" t="str">
        <f ca="1">IF(J777="","Date",IF(J777&lt;&gt;"",IF(K777="Date",NOW(),K777),""))</f>
        <v>Date</v>
      </c>
    </row>
    <row r="778" spans="2:11">
      <c r="B778" s="97" t="str">
        <f ca="1">IF(A778="","Date",IF(A778&lt;&gt;"",IF(B778="Date",NOW(),B778),""))</f>
        <v>Date</v>
      </c>
      <c r="C778" s="19" t="str">
        <f>IF(ISBLANK(A778),"Name",IF(ISNA(VLOOKUP(A778,'Master List'!A:C,2,FALSE)), "Not Found", VLOOKUP(A778,'Master List'!A:C,2,FALSE)))</f>
        <v>Name</v>
      </c>
      <c r="D778" s="19" t="str">
        <f>IF(ISBLANK(A778), "Email",IF(ISNA(VLOOKUP(A778,'Master List'!A:C,3,FALSE)), "Not Found", VLOOKUP(A778,'Master List'!A:C,3,FALSE)))</f>
        <v>Email</v>
      </c>
      <c r="F778" s="4" t="str">
        <f>IF(OR(A778="",E778="","",A778="?",E778="?"),"duplicate?",IF(COUNTIFS($A:A,A778,E:E,E778)&gt;1,"yes","no"))</f>
        <v>duplicate?</v>
      </c>
      <c r="K778" s="97" t="str">
        <f ca="1">IF(J778="","Date",IF(J778&lt;&gt;"",IF(K778="Date",NOW(),K778),""))</f>
        <v>Date</v>
      </c>
    </row>
    <row r="779" spans="2:11">
      <c r="B779" s="97" t="str">
        <f ca="1">IF(A779="","Date",IF(A779&lt;&gt;"",IF(B779="Date",NOW(),B779),""))</f>
        <v>Date</v>
      </c>
      <c r="C779" s="19" t="str">
        <f>IF(ISBLANK(A779),"Name",IF(ISNA(VLOOKUP(A779,'Master List'!A:C,2,FALSE)), "Not Found", VLOOKUP(A779,'Master List'!A:C,2,FALSE)))</f>
        <v>Name</v>
      </c>
      <c r="D779" s="19" t="str">
        <f>IF(ISBLANK(A779), "Email",IF(ISNA(VLOOKUP(A779,'Master List'!A:C,3,FALSE)), "Not Found", VLOOKUP(A779,'Master List'!A:C,3,FALSE)))</f>
        <v>Email</v>
      </c>
      <c r="F779" s="4" t="str">
        <f>IF(OR(A779="",E779="","",A779="?",E779="?"),"duplicate?",IF(COUNTIFS($A:A,A779,E:E,E779)&gt;1,"yes","no"))</f>
        <v>duplicate?</v>
      </c>
      <c r="K779" s="97" t="str">
        <f ca="1">IF(J779="","Date",IF(J779&lt;&gt;"",IF(K779="Date",NOW(),K779),""))</f>
        <v>Date</v>
      </c>
    </row>
    <row r="780" spans="2:11">
      <c r="B780" s="97" t="str">
        <f ca="1">IF(A780="","Date",IF(A780&lt;&gt;"",IF(B780="Date",NOW(),B780),""))</f>
        <v>Date</v>
      </c>
      <c r="C780" s="19" t="str">
        <f>IF(ISBLANK(A780),"Name",IF(ISNA(VLOOKUP(A780,'Master List'!A:C,2,FALSE)), "Not Found", VLOOKUP(A780,'Master List'!A:C,2,FALSE)))</f>
        <v>Name</v>
      </c>
      <c r="D780" s="19" t="str">
        <f>IF(ISBLANK(A780), "Email",IF(ISNA(VLOOKUP(A780,'Master List'!A:C,3,FALSE)), "Not Found", VLOOKUP(A780,'Master List'!A:C,3,FALSE)))</f>
        <v>Email</v>
      </c>
      <c r="F780" s="4" t="str">
        <f>IF(OR(A780="",E780="","",A780="?",E780="?"),"duplicate?",IF(COUNTIFS($A:A,A780,E:E,E780)&gt;1,"yes","no"))</f>
        <v>duplicate?</v>
      </c>
      <c r="K780" s="97" t="str">
        <f ca="1">IF(J780="","Date",IF(J780&lt;&gt;"",IF(K780="Date",NOW(),K780),""))</f>
        <v>Date</v>
      </c>
    </row>
    <row r="781" spans="2:11">
      <c r="B781" s="97" t="str">
        <f ca="1">IF(A781="","Date",IF(A781&lt;&gt;"",IF(B781="Date",NOW(),B781),""))</f>
        <v>Date</v>
      </c>
      <c r="C781" s="19" t="str">
        <f>IF(ISBLANK(A781),"Name",IF(ISNA(VLOOKUP(A781,'Master List'!A:C,2,FALSE)), "Not Found", VLOOKUP(A781,'Master List'!A:C,2,FALSE)))</f>
        <v>Name</v>
      </c>
      <c r="D781" s="19" t="str">
        <f>IF(ISBLANK(A781), "Email",IF(ISNA(VLOOKUP(A781,'Master List'!A:C,3,FALSE)), "Not Found", VLOOKUP(A781,'Master List'!A:C,3,FALSE)))</f>
        <v>Email</v>
      </c>
      <c r="F781" s="4" t="str">
        <f>IF(OR(A781="",E781="","",A781="?",E781="?"),"duplicate?",IF(COUNTIFS($A:A,A781,E:E,E781)&gt;1,"yes","no"))</f>
        <v>duplicate?</v>
      </c>
      <c r="K781" s="97" t="str">
        <f ca="1">IF(J781="","Date",IF(J781&lt;&gt;"",IF(K781="Date",NOW(),K781),""))</f>
        <v>Date</v>
      </c>
    </row>
    <row r="782" spans="2:11">
      <c r="B782" s="97" t="str">
        <f ca="1">IF(A782="","Date",IF(A782&lt;&gt;"",IF(B782="Date",NOW(),B782),""))</f>
        <v>Date</v>
      </c>
      <c r="C782" s="19" t="str">
        <f>IF(ISBLANK(A782),"Name",IF(ISNA(VLOOKUP(A782,'Master List'!A:C,2,FALSE)), "Not Found", VLOOKUP(A782,'Master List'!A:C,2,FALSE)))</f>
        <v>Name</v>
      </c>
      <c r="D782" s="19" t="str">
        <f>IF(ISBLANK(A782), "Email",IF(ISNA(VLOOKUP(A782,'Master List'!A:C,3,FALSE)), "Not Found", VLOOKUP(A782,'Master List'!A:C,3,FALSE)))</f>
        <v>Email</v>
      </c>
      <c r="F782" s="4" t="str">
        <f>IF(OR(A782="",E782="","",A782="?",E782="?"),"duplicate?",IF(COUNTIFS($A:A,A782,E:E,E782)&gt;1,"yes","no"))</f>
        <v>duplicate?</v>
      </c>
      <c r="K782" s="97" t="str">
        <f ca="1">IF(J782="","Date",IF(J782&lt;&gt;"",IF(K782="Date",NOW(),K782),""))</f>
        <v>Date</v>
      </c>
    </row>
    <row r="783" spans="2:11">
      <c r="B783" s="97" t="str">
        <f ca="1">IF(A783="","Date",IF(A783&lt;&gt;"",IF(B783="Date",NOW(),B783),""))</f>
        <v>Date</v>
      </c>
      <c r="C783" s="19" t="str">
        <f>IF(ISBLANK(A783),"Name",IF(ISNA(VLOOKUP(A783,'Master List'!A:C,2,FALSE)), "Not Found", VLOOKUP(A783,'Master List'!A:C,2,FALSE)))</f>
        <v>Name</v>
      </c>
      <c r="D783" s="19" t="str">
        <f>IF(ISBLANK(A783), "Email",IF(ISNA(VLOOKUP(A783,'Master List'!A:C,3,FALSE)), "Not Found", VLOOKUP(A783,'Master List'!A:C,3,FALSE)))</f>
        <v>Email</v>
      </c>
      <c r="F783" s="4" t="str">
        <f>IF(OR(A783="",E783="","",A783="?",E783="?"),"duplicate?",IF(COUNTIFS($A:A,A783,E:E,E783)&gt;1,"yes","no"))</f>
        <v>duplicate?</v>
      </c>
      <c r="K783" s="97" t="str">
        <f ca="1">IF(J783="","Date",IF(J783&lt;&gt;"",IF(K783="Date",NOW(),K783),""))</f>
        <v>Date</v>
      </c>
    </row>
    <row r="784" spans="2:11">
      <c r="B784" s="97" t="str">
        <f ca="1">IF(A784="","Date",IF(A784&lt;&gt;"",IF(B784="Date",NOW(),B784),""))</f>
        <v>Date</v>
      </c>
      <c r="C784" s="19" t="str">
        <f>IF(ISBLANK(A784),"Name",IF(ISNA(VLOOKUP(A784,'Master List'!A:C,2,FALSE)), "Not Found", VLOOKUP(A784,'Master List'!A:C,2,FALSE)))</f>
        <v>Name</v>
      </c>
      <c r="D784" s="19" t="str">
        <f>IF(ISBLANK(A784), "Email",IF(ISNA(VLOOKUP(A784,'Master List'!A:C,3,FALSE)), "Not Found", VLOOKUP(A784,'Master List'!A:C,3,FALSE)))</f>
        <v>Email</v>
      </c>
      <c r="F784" s="4" t="str">
        <f>IF(OR(A784="",E784="","",A784="?",E784="?"),"duplicate?",IF(COUNTIFS($A:A,A784,E:E,E784)&gt;1,"yes","no"))</f>
        <v>duplicate?</v>
      </c>
      <c r="K784" s="97" t="str">
        <f ca="1">IF(J784="","Date",IF(J784&lt;&gt;"",IF(K784="Date",NOW(),K784),""))</f>
        <v>Date</v>
      </c>
    </row>
    <row r="785" spans="2:11">
      <c r="B785" s="97" t="str">
        <f ca="1">IF(A785="","Date",IF(A785&lt;&gt;"",IF(B785="Date",NOW(),B785),""))</f>
        <v>Date</v>
      </c>
      <c r="C785" s="19" t="str">
        <f>IF(ISBLANK(A785),"Name",IF(ISNA(VLOOKUP(A785,'Master List'!A:C,2,FALSE)), "Not Found", VLOOKUP(A785,'Master List'!A:C,2,FALSE)))</f>
        <v>Name</v>
      </c>
      <c r="D785" s="19" t="str">
        <f>IF(ISBLANK(A785), "Email",IF(ISNA(VLOOKUP(A785,'Master List'!A:C,3,FALSE)), "Not Found", VLOOKUP(A785,'Master List'!A:C,3,FALSE)))</f>
        <v>Email</v>
      </c>
      <c r="F785" s="4" t="str">
        <f>IF(OR(A785="",E785="","",A785="?",E785="?"),"duplicate?",IF(COUNTIFS($A:A,A785,E:E,E785)&gt;1,"yes","no"))</f>
        <v>duplicate?</v>
      </c>
      <c r="K785" s="97" t="str">
        <f ca="1">IF(J785="","Date",IF(J785&lt;&gt;"",IF(K785="Date",NOW(),K785),""))</f>
        <v>Date</v>
      </c>
    </row>
    <row r="786" spans="2:11">
      <c r="B786" s="97" t="str">
        <f ca="1">IF(A786="","Date",IF(A786&lt;&gt;"",IF(B786="Date",NOW(),B786),""))</f>
        <v>Date</v>
      </c>
      <c r="C786" s="19" t="str">
        <f>IF(ISBLANK(A786),"Name",IF(ISNA(VLOOKUP(A786,'Master List'!A:C,2,FALSE)), "Not Found", VLOOKUP(A786,'Master List'!A:C,2,FALSE)))</f>
        <v>Name</v>
      </c>
      <c r="D786" s="19" t="str">
        <f>IF(ISBLANK(A786), "Email",IF(ISNA(VLOOKUP(A786,'Master List'!A:C,3,FALSE)), "Not Found", VLOOKUP(A786,'Master List'!A:C,3,FALSE)))</f>
        <v>Email</v>
      </c>
      <c r="F786" s="4" t="str">
        <f>IF(OR(A786="",E786="","",A786="?",E786="?"),"duplicate?",IF(COUNTIFS($A:A,A786,E:E,E786)&gt;1,"yes","no"))</f>
        <v>duplicate?</v>
      </c>
      <c r="K786" s="97" t="str">
        <f ca="1">IF(J786="","Date",IF(J786&lt;&gt;"",IF(K786="Date",NOW(),K786),""))</f>
        <v>Date</v>
      </c>
    </row>
    <row r="787" spans="2:11">
      <c r="B787" s="97" t="str">
        <f ca="1">IF(A787="","Date",IF(A787&lt;&gt;"",IF(B787="Date",NOW(),B787),""))</f>
        <v>Date</v>
      </c>
      <c r="C787" s="19" t="str">
        <f>IF(ISBLANK(A787),"Name",IF(ISNA(VLOOKUP(A787,'Master List'!A:C,2,FALSE)), "Not Found", VLOOKUP(A787,'Master List'!A:C,2,FALSE)))</f>
        <v>Name</v>
      </c>
      <c r="D787" s="19" t="str">
        <f>IF(ISBLANK(A787), "Email",IF(ISNA(VLOOKUP(A787,'Master List'!A:C,3,FALSE)), "Not Found", VLOOKUP(A787,'Master List'!A:C,3,FALSE)))</f>
        <v>Email</v>
      </c>
      <c r="F787" s="4" t="str">
        <f>IF(OR(A787="",E787="","",A787="?",E787="?"),"duplicate?",IF(COUNTIFS($A:A,A787,E:E,E787)&gt;1,"yes","no"))</f>
        <v>duplicate?</v>
      </c>
      <c r="K787" s="97" t="str">
        <f ca="1">IF(J787="","Date",IF(J787&lt;&gt;"",IF(K787="Date",NOW(),K787),""))</f>
        <v>Date</v>
      </c>
    </row>
    <row r="788" spans="2:11">
      <c r="B788" s="97" t="str">
        <f ca="1">IF(A788="","Date",IF(A788&lt;&gt;"",IF(B788="Date",NOW(),B788),""))</f>
        <v>Date</v>
      </c>
      <c r="C788" s="19" t="str">
        <f>IF(ISBLANK(A788),"Name",IF(ISNA(VLOOKUP(A788,'Master List'!A:C,2,FALSE)), "Not Found", VLOOKUP(A788,'Master List'!A:C,2,FALSE)))</f>
        <v>Name</v>
      </c>
      <c r="D788" s="19" t="str">
        <f>IF(ISBLANK(A788), "Email",IF(ISNA(VLOOKUP(A788,'Master List'!A:C,3,FALSE)), "Not Found", VLOOKUP(A788,'Master List'!A:C,3,FALSE)))</f>
        <v>Email</v>
      </c>
      <c r="F788" s="4" t="str">
        <f>IF(OR(A788="",E788="","",A788="?",E788="?"),"duplicate?",IF(COUNTIFS($A:A,A788,E:E,E788)&gt;1,"yes","no"))</f>
        <v>duplicate?</v>
      </c>
      <c r="K788" s="97" t="str">
        <f ca="1">IF(J788="","Date",IF(J788&lt;&gt;"",IF(K788="Date",NOW(),K788),""))</f>
        <v>Date</v>
      </c>
    </row>
    <row r="789" spans="2:11">
      <c r="B789" s="97" t="str">
        <f ca="1">IF(A789="","Date",IF(A789&lt;&gt;"",IF(B789="Date",NOW(),B789),""))</f>
        <v>Date</v>
      </c>
      <c r="C789" s="19" t="str">
        <f>IF(ISBLANK(A789),"Name",IF(ISNA(VLOOKUP(A789,'Master List'!A:C,2,FALSE)), "Not Found", VLOOKUP(A789,'Master List'!A:C,2,FALSE)))</f>
        <v>Name</v>
      </c>
      <c r="D789" s="19" t="str">
        <f>IF(ISBLANK(A789), "Email",IF(ISNA(VLOOKUP(A789,'Master List'!A:C,3,FALSE)), "Not Found", VLOOKUP(A789,'Master List'!A:C,3,FALSE)))</f>
        <v>Email</v>
      </c>
      <c r="F789" s="4" t="str">
        <f>IF(OR(A789="",E789="","",A789="?",E789="?"),"duplicate?",IF(COUNTIFS($A:A,A789,E:E,E789)&gt;1,"yes","no"))</f>
        <v>duplicate?</v>
      </c>
      <c r="K789" s="97" t="str">
        <f ca="1">IF(J789="","Date",IF(J789&lt;&gt;"",IF(K789="Date",NOW(),K789),""))</f>
        <v>Date</v>
      </c>
    </row>
    <row r="790" spans="2:11">
      <c r="B790" s="97" t="str">
        <f ca="1">IF(A790="","Date",IF(A790&lt;&gt;"",IF(B790="Date",NOW(),B790),""))</f>
        <v>Date</v>
      </c>
      <c r="C790" s="19" t="str">
        <f>IF(ISBLANK(A790),"Name",IF(ISNA(VLOOKUP(A790,'Master List'!A:C,2,FALSE)), "Not Found", VLOOKUP(A790,'Master List'!A:C,2,FALSE)))</f>
        <v>Name</v>
      </c>
      <c r="D790" s="19" t="str">
        <f>IF(ISBLANK(A790), "Email",IF(ISNA(VLOOKUP(A790,'Master List'!A:C,3,FALSE)), "Not Found", VLOOKUP(A790,'Master List'!A:C,3,FALSE)))</f>
        <v>Email</v>
      </c>
      <c r="F790" s="4" t="str">
        <f>IF(OR(A790="",E790="","",A790="?",E790="?"),"duplicate?",IF(COUNTIFS($A:A,A790,E:E,E790)&gt;1,"yes","no"))</f>
        <v>duplicate?</v>
      </c>
      <c r="K790" s="97" t="str">
        <f ca="1">IF(J790="","Date",IF(J790&lt;&gt;"",IF(K790="Date",NOW(),K790),""))</f>
        <v>Date</v>
      </c>
    </row>
    <row r="791" spans="2:11">
      <c r="B791" s="97" t="str">
        <f ca="1">IF(A791="","Date",IF(A791&lt;&gt;"",IF(B791="Date",NOW(),B791),""))</f>
        <v>Date</v>
      </c>
      <c r="C791" s="19" t="str">
        <f>IF(ISBLANK(A791),"Name",IF(ISNA(VLOOKUP(A791,'Master List'!A:C,2,FALSE)), "Not Found", VLOOKUP(A791,'Master List'!A:C,2,FALSE)))</f>
        <v>Name</v>
      </c>
      <c r="D791" s="19" t="str">
        <f>IF(ISBLANK(A791), "Email",IF(ISNA(VLOOKUP(A791,'Master List'!A:C,3,FALSE)), "Not Found", VLOOKUP(A791,'Master List'!A:C,3,FALSE)))</f>
        <v>Email</v>
      </c>
      <c r="F791" s="4" t="str">
        <f>IF(OR(A791="",E791="","",A791="?",E791="?"),"duplicate?",IF(COUNTIFS($A:A,A791,E:E,E791)&gt;1,"yes","no"))</f>
        <v>duplicate?</v>
      </c>
      <c r="K791" s="97" t="str">
        <f ca="1">IF(J791="","Date",IF(J791&lt;&gt;"",IF(K791="Date",NOW(),K791),""))</f>
        <v>Date</v>
      </c>
    </row>
    <row r="792" spans="2:11">
      <c r="B792" s="97" t="str">
        <f ca="1">IF(A792="","Date",IF(A792&lt;&gt;"",IF(B792="Date",NOW(),B792),""))</f>
        <v>Date</v>
      </c>
      <c r="C792" s="19" t="str">
        <f>IF(ISBLANK(A792),"Name",IF(ISNA(VLOOKUP(A792,'Master List'!A:C,2,FALSE)), "Not Found", VLOOKUP(A792,'Master List'!A:C,2,FALSE)))</f>
        <v>Name</v>
      </c>
      <c r="D792" s="19" t="str">
        <f>IF(ISBLANK(A792), "Email",IF(ISNA(VLOOKUP(A792,'Master List'!A:C,3,FALSE)), "Not Found", VLOOKUP(A792,'Master List'!A:C,3,FALSE)))</f>
        <v>Email</v>
      </c>
      <c r="F792" s="4" t="str">
        <f>IF(OR(A792="",E792="","",A792="?",E792="?"),"duplicate?",IF(COUNTIFS($A:A,A792,E:E,E792)&gt;1,"yes","no"))</f>
        <v>duplicate?</v>
      </c>
      <c r="K792" s="97" t="str">
        <f ca="1">IF(J792="","Date",IF(J792&lt;&gt;"",IF(K792="Date",NOW(),K792),""))</f>
        <v>Date</v>
      </c>
    </row>
    <row r="793" spans="2:11">
      <c r="B793" s="97" t="str">
        <f ca="1">IF(A793="","Date",IF(A793&lt;&gt;"",IF(B793="Date",NOW(),B793),""))</f>
        <v>Date</v>
      </c>
      <c r="C793" s="19" t="str">
        <f>IF(ISBLANK(A793),"Name",IF(ISNA(VLOOKUP(A793,'Master List'!A:C,2,FALSE)), "Not Found", VLOOKUP(A793,'Master List'!A:C,2,FALSE)))</f>
        <v>Name</v>
      </c>
      <c r="D793" s="19" t="str">
        <f>IF(ISBLANK(A793), "Email",IF(ISNA(VLOOKUP(A793,'Master List'!A:C,3,FALSE)), "Not Found", VLOOKUP(A793,'Master List'!A:C,3,FALSE)))</f>
        <v>Email</v>
      </c>
      <c r="F793" s="4" t="str">
        <f>IF(OR(A793="",E793="","",A793="?",E793="?"),"duplicate?",IF(COUNTIFS($A:A,A793,E:E,E793)&gt;1,"yes","no"))</f>
        <v>duplicate?</v>
      </c>
      <c r="K793" s="97" t="str">
        <f ca="1">IF(J793="","Date",IF(J793&lt;&gt;"",IF(K793="Date",NOW(),K793),""))</f>
        <v>Date</v>
      </c>
    </row>
    <row r="794" spans="2:11">
      <c r="B794" s="97" t="str">
        <f ca="1">IF(A794="","Date",IF(A794&lt;&gt;"",IF(B794="Date",NOW(),B794),""))</f>
        <v>Date</v>
      </c>
      <c r="C794" s="19" t="str">
        <f>IF(ISBLANK(A794),"Name",IF(ISNA(VLOOKUP(A794,'Master List'!A:C,2,FALSE)), "Not Found", VLOOKUP(A794,'Master List'!A:C,2,FALSE)))</f>
        <v>Name</v>
      </c>
      <c r="D794" s="19" t="str">
        <f>IF(ISBLANK(A794), "Email",IF(ISNA(VLOOKUP(A794,'Master List'!A:C,3,FALSE)), "Not Found", VLOOKUP(A794,'Master List'!A:C,3,FALSE)))</f>
        <v>Email</v>
      </c>
      <c r="F794" s="4" t="str">
        <f>IF(OR(A794="",E794="","",A794="?",E794="?"),"duplicate?",IF(COUNTIFS($A:A,A794,E:E,E794)&gt;1,"yes","no"))</f>
        <v>duplicate?</v>
      </c>
      <c r="K794" s="97" t="str">
        <f ca="1">IF(J794="","Date",IF(J794&lt;&gt;"",IF(K794="Date",NOW(),K794),""))</f>
        <v>Date</v>
      </c>
    </row>
    <row r="795" spans="2:11">
      <c r="B795" s="97" t="str">
        <f ca="1">IF(A795="","Date",IF(A795&lt;&gt;"",IF(B795="Date",NOW(),B795),""))</f>
        <v>Date</v>
      </c>
      <c r="C795" s="19" t="str">
        <f>IF(ISBLANK(A795),"Name",IF(ISNA(VLOOKUP(A795,'Master List'!A:C,2,FALSE)), "Not Found", VLOOKUP(A795,'Master List'!A:C,2,FALSE)))</f>
        <v>Name</v>
      </c>
      <c r="D795" s="19" t="str">
        <f>IF(ISBLANK(A795), "Email",IF(ISNA(VLOOKUP(A795,'Master List'!A:C,3,FALSE)), "Not Found", VLOOKUP(A795,'Master List'!A:C,3,FALSE)))</f>
        <v>Email</v>
      </c>
      <c r="F795" s="4" t="str">
        <f>IF(OR(A795="",E795="","",A795="?",E795="?"),"duplicate?",IF(COUNTIFS($A:A,A795,E:E,E795)&gt;1,"yes","no"))</f>
        <v>duplicate?</v>
      </c>
      <c r="K795" s="97" t="str">
        <f ca="1">IF(J795="","Date",IF(J795&lt;&gt;"",IF(K795="Date",NOW(),K795),""))</f>
        <v>Date</v>
      </c>
    </row>
    <row r="796" spans="2:11">
      <c r="B796" s="97" t="str">
        <f ca="1">IF(A796="","Date",IF(A796&lt;&gt;"",IF(B796="Date",NOW(),B796),""))</f>
        <v>Date</v>
      </c>
      <c r="C796" s="19" t="str">
        <f>IF(ISBLANK(A796),"Name",IF(ISNA(VLOOKUP(A796,'Master List'!A:C,2,FALSE)), "Not Found", VLOOKUP(A796,'Master List'!A:C,2,FALSE)))</f>
        <v>Name</v>
      </c>
      <c r="D796" s="19" t="str">
        <f>IF(ISBLANK(A796), "Email",IF(ISNA(VLOOKUP(A796,'Master List'!A:C,3,FALSE)), "Not Found", VLOOKUP(A796,'Master List'!A:C,3,FALSE)))</f>
        <v>Email</v>
      </c>
      <c r="F796" s="4" t="str">
        <f>IF(OR(A796="",E796="","",A796="?",E796="?"),"duplicate?",IF(COUNTIFS($A:A,A796,E:E,E796)&gt;1,"yes","no"))</f>
        <v>duplicate?</v>
      </c>
      <c r="K796" s="97" t="str">
        <f ca="1">IF(J796="","Date",IF(J796&lt;&gt;"",IF(K796="Date",NOW(),K796),""))</f>
        <v>Date</v>
      </c>
    </row>
    <row r="797" spans="2:11">
      <c r="B797" s="97" t="str">
        <f ca="1">IF(A797="","Date",IF(A797&lt;&gt;"",IF(B797="Date",NOW(),B797),""))</f>
        <v>Date</v>
      </c>
      <c r="C797" s="19" t="str">
        <f>IF(ISBLANK(A797),"Name",IF(ISNA(VLOOKUP(A797,'Master List'!A:C,2,FALSE)), "Not Found", VLOOKUP(A797,'Master List'!A:C,2,FALSE)))</f>
        <v>Name</v>
      </c>
      <c r="D797" s="19" t="str">
        <f>IF(ISBLANK(A797), "Email",IF(ISNA(VLOOKUP(A797,'Master List'!A:C,3,FALSE)), "Not Found", VLOOKUP(A797,'Master List'!A:C,3,FALSE)))</f>
        <v>Email</v>
      </c>
      <c r="F797" s="4" t="str">
        <f>IF(OR(A797="",E797="","",A797="?",E797="?"),"duplicate?",IF(COUNTIFS($A:A,A797,E:E,E797)&gt;1,"yes","no"))</f>
        <v>duplicate?</v>
      </c>
      <c r="K797" s="97" t="str">
        <f ca="1">IF(J797="","Date",IF(J797&lt;&gt;"",IF(K797="Date",NOW(),K797),""))</f>
        <v>Date</v>
      </c>
    </row>
    <row r="798" spans="2:11">
      <c r="B798" s="97" t="str">
        <f ca="1">IF(A798="","Date",IF(A798&lt;&gt;"",IF(B798="Date",NOW(),B798),""))</f>
        <v>Date</v>
      </c>
      <c r="C798" s="19" t="str">
        <f>IF(ISBLANK(A798),"Name",IF(ISNA(VLOOKUP(A798,'Master List'!A:C,2,FALSE)), "Not Found", VLOOKUP(A798,'Master List'!A:C,2,FALSE)))</f>
        <v>Name</v>
      </c>
      <c r="D798" s="19" t="str">
        <f>IF(ISBLANK(A798), "Email",IF(ISNA(VLOOKUP(A798,'Master List'!A:C,3,FALSE)), "Not Found", VLOOKUP(A798,'Master List'!A:C,3,FALSE)))</f>
        <v>Email</v>
      </c>
      <c r="F798" s="4" t="str">
        <f>IF(OR(A798="",E798="","",A798="?",E798="?"),"duplicate?",IF(COUNTIFS($A:A,A798,E:E,E798)&gt;1,"yes","no"))</f>
        <v>duplicate?</v>
      </c>
      <c r="K798" s="97" t="str">
        <f ca="1">IF(J798="","Date",IF(J798&lt;&gt;"",IF(K798="Date",NOW(),K798),""))</f>
        <v>Date</v>
      </c>
    </row>
    <row r="799" spans="2:11">
      <c r="B799" s="97" t="str">
        <f ca="1">IF(A799="","Date",IF(A799&lt;&gt;"",IF(B799="Date",NOW(),B799),""))</f>
        <v>Date</v>
      </c>
      <c r="C799" s="19" t="str">
        <f>IF(ISBLANK(A799),"Name",IF(ISNA(VLOOKUP(A799,'Master List'!A:C,2,FALSE)), "Not Found", VLOOKUP(A799,'Master List'!A:C,2,FALSE)))</f>
        <v>Name</v>
      </c>
      <c r="D799" s="19" t="str">
        <f>IF(ISBLANK(A799), "Email",IF(ISNA(VLOOKUP(A799,'Master List'!A:C,3,FALSE)), "Not Found", VLOOKUP(A799,'Master List'!A:C,3,FALSE)))</f>
        <v>Email</v>
      </c>
      <c r="F799" s="4" t="str">
        <f>IF(OR(A799="",E799="","",A799="?",E799="?"),"duplicate?",IF(COUNTIFS($A:A,A799,E:E,E799)&gt;1,"yes","no"))</f>
        <v>duplicate?</v>
      </c>
      <c r="K799" s="97" t="str">
        <f ca="1">IF(J799="","Date",IF(J799&lt;&gt;"",IF(K799="Date",NOW(),K799),""))</f>
        <v>Date</v>
      </c>
    </row>
    <row r="800" spans="2:11">
      <c r="B800" s="97" t="str">
        <f ca="1">IF(A800="","Date",IF(A800&lt;&gt;"",IF(B800="Date",NOW(),B800),""))</f>
        <v>Date</v>
      </c>
      <c r="C800" s="19" t="str">
        <f>IF(ISBLANK(A800),"Name",IF(ISNA(VLOOKUP(A800,'Master List'!A:C,2,FALSE)), "Not Found", VLOOKUP(A800,'Master List'!A:C,2,FALSE)))</f>
        <v>Name</v>
      </c>
      <c r="D800" s="19" t="str">
        <f>IF(ISBLANK(A800), "Email",IF(ISNA(VLOOKUP(A800,'Master List'!A:C,3,FALSE)), "Not Found", VLOOKUP(A800,'Master List'!A:C,3,FALSE)))</f>
        <v>Email</v>
      </c>
      <c r="F800" s="4" t="str">
        <f>IF(OR(A800="",E800="","",A800="?",E800="?"),"duplicate?",IF(COUNTIFS($A:A,A800,E:E,E800)&gt;1,"yes","no"))</f>
        <v>duplicate?</v>
      </c>
      <c r="K800" s="97" t="str">
        <f ca="1">IF(J800="","Date",IF(J800&lt;&gt;"",IF(K800="Date",NOW(),K800),""))</f>
        <v>Date</v>
      </c>
    </row>
    <row r="801" spans="2:11">
      <c r="B801" s="97" t="str">
        <f ca="1">IF(A801="","Date",IF(A801&lt;&gt;"",IF(B801="Date",NOW(),B801),""))</f>
        <v>Date</v>
      </c>
      <c r="C801" s="19" t="str">
        <f>IF(ISBLANK(A801),"Name",IF(ISNA(VLOOKUP(A801,'Master List'!A:C,2,FALSE)), "Not Found", VLOOKUP(A801,'Master List'!A:C,2,FALSE)))</f>
        <v>Name</v>
      </c>
      <c r="D801" s="19" t="str">
        <f>IF(ISBLANK(A801), "Email",IF(ISNA(VLOOKUP(A801,'Master List'!A:C,3,FALSE)), "Not Found", VLOOKUP(A801,'Master List'!A:C,3,FALSE)))</f>
        <v>Email</v>
      </c>
      <c r="F801" s="4" t="str">
        <f>IF(OR(A801="",E801="","",A801="?",E801="?"),"duplicate?",IF(COUNTIFS($A:A,A801,E:E,E801)&gt;1,"yes","no"))</f>
        <v>duplicate?</v>
      </c>
      <c r="K801" s="97" t="str">
        <f ca="1">IF(J801="","Date",IF(J801&lt;&gt;"",IF(K801="Date",NOW(),K801),""))</f>
        <v>Date</v>
      </c>
    </row>
    <row r="802" spans="2:11">
      <c r="B802" s="97" t="str">
        <f ca="1">IF(A802="","Date",IF(A802&lt;&gt;"",IF(B802="Date",NOW(),B802),""))</f>
        <v>Date</v>
      </c>
      <c r="C802" s="19" t="str">
        <f>IF(ISBLANK(A802),"Name",IF(ISNA(VLOOKUP(A802,'Master List'!A:C,2,FALSE)), "Not Found", VLOOKUP(A802,'Master List'!A:C,2,FALSE)))</f>
        <v>Name</v>
      </c>
      <c r="D802" s="19" t="str">
        <f>IF(ISBLANK(A802), "Email",IF(ISNA(VLOOKUP(A802,'Master List'!A:C,3,FALSE)), "Not Found", VLOOKUP(A802,'Master List'!A:C,3,FALSE)))</f>
        <v>Email</v>
      </c>
      <c r="F802" s="4" t="str">
        <f>IF(OR(A802="",E802="","",A802="?",E802="?"),"duplicate?",IF(COUNTIFS($A:A,A802,E:E,E802)&gt;1,"yes","no"))</f>
        <v>duplicate?</v>
      </c>
      <c r="K802" s="97" t="str">
        <f ca="1">IF(J802="","Date",IF(J802&lt;&gt;"",IF(K802="Date",NOW(),K802),""))</f>
        <v>Date</v>
      </c>
    </row>
    <row r="803" spans="2:11">
      <c r="B803" s="97" t="str">
        <f ca="1">IF(A803="","Date",IF(A803&lt;&gt;"",IF(B803="Date",NOW(),B803),""))</f>
        <v>Date</v>
      </c>
      <c r="C803" s="19" t="str">
        <f>IF(ISBLANK(A803),"Name",IF(ISNA(VLOOKUP(A803,'Master List'!A:C,2,FALSE)), "Not Found", VLOOKUP(A803,'Master List'!A:C,2,FALSE)))</f>
        <v>Name</v>
      </c>
      <c r="D803" s="19" t="str">
        <f>IF(ISBLANK(A803), "Email",IF(ISNA(VLOOKUP(A803,'Master List'!A:C,3,FALSE)), "Not Found", VLOOKUP(A803,'Master List'!A:C,3,FALSE)))</f>
        <v>Email</v>
      </c>
      <c r="F803" s="4" t="str">
        <f>IF(OR(A803="",E803="","",A803="?",E803="?"),"duplicate?",IF(COUNTIFS($A:A,A803,E:E,E803)&gt;1,"yes","no"))</f>
        <v>duplicate?</v>
      </c>
      <c r="K803" s="97" t="str">
        <f ca="1">IF(J803="","Date",IF(J803&lt;&gt;"",IF(K803="Date",NOW(),K803),""))</f>
        <v>Date</v>
      </c>
    </row>
    <row r="804" spans="2:11">
      <c r="B804" s="97" t="str">
        <f ca="1">IF(A804="","Date",IF(A804&lt;&gt;"",IF(B804="Date",NOW(),B804),""))</f>
        <v>Date</v>
      </c>
      <c r="C804" s="19" t="str">
        <f>IF(ISBLANK(A804),"Name",IF(ISNA(VLOOKUP(A804,'Master List'!A:C,2,FALSE)), "Not Found", VLOOKUP(A804,'Master List'!A:C,2,FALSE)))</f>
        <v>Name</v>
      </c>
      <c r="D804" s="19" t="str">
        <f>IF(ISBLANK(A804), "Email",IF(ISNA(VLOOKUP(A804,'Master List'!A:C,3,FALSE)), "Not Found", VLOOKUP(A804,'Master List'!A:C,3,FALSE)))</f>
        <v>Email</v>
      </c>
      <c r="F804" s="4" t="str">
        <f>IF(OR(A804="",E804="","",A804="?",E804="?"),"duplicate?",IF(COUNTIFS($A:A,A804,E:E,E804)&gt;1,"yes","no"))</f>
        <v>duplicate?</v>
      </c>
      <c r="K804" s="97" t="str">
        <f ca="1">IF(J804="","Date",IF(J804&lt;&gt;"",IF(K804="Date",NOW(),K804),""))</f>
        <v>Date</v>
      </c>
    </row>
    <row r="805" spans="2:11">
      <c r="B805" s="97" t="str">
        <f ca="1">IF(A805="","Date",IF(A805&lt;&gt;"",IF(B805="Date",NOW(),B805),""))</f>
        <v>Date</v>
      </c>
      <c r="C805" s="19" t="str">
        <f>IF(ISBLANK(A805),"Name",IF(ISNA(VLOOKUP(A805,'Master List'!A:C,2,FALSE)), "Not Found", VLOOKUP(A805,'Master List'!A:C,2,FALSE)))</f>
        <v>Name</v>
      </c>
      <c r="D805" s="19" t="str">
        <f>IF(ISBLANK(A805), "Email",IF(ISNA(VLOOKUP(A805,'Master List'!A:C,3,FALSE)), "Not Found", VLOOKUP(A805,'Master List'!A:C,3,FALSE)))</f>
        <v>Email</v>
      </c>
      <c r="F805" s="4" t="str">
        <f>IF(OR(A805="",E805="","",A805="?",E805="?"),"duplicate?",IF(COUNTIFS($A:A,A805,E:E,E805)&gt;1,"yes","no"))</f>
        <v>duplicate?</v>
      </c>
      <c r="K805" s="97" t="str">
        <f ca="1">IF(J805="","Date",IF(J805&lt;&gt;"",IF(K805="Date",NOW(),K805),""))</f>
        <v>Date</v>
      </c>
    </row>
    <row r="806" spans="2:11">
      <c r="B806" s="97" t="str">
        <f ca="1">IF(A806="","Date",IF(A806&lt;&gt;"",IF(B806="Date",NOW(),B806),""))</f>
        <v>Date</v>
      </c>
      <c r="C806" s="19" t="str">
        <f>IF(ISBLANK(A806),"Name",IF(ISNA(VLOOKUP(A806,'Master List'!A:C,2,FALSE)), "Not Found", VLOOKUP(A806,'Master List'!A:C,2,FALSE)))</f>
        <v>Name</v>
      </c>
      <c r="D806" s="19" t="str">
        <f>IF(ISBLANK(A806), "Email",IF(ISNA(VLOOKUP(A806,'Master List'!A:C,3,FALSE)), "Not Found", VLOOKUP(A806,'Master List'!A:C,3,FALSE)))</f>
        <v>Email</v>
      </c>
      <c r="F806" s="4" t="str">
        <f>IF(OR(A806="",E806="","",A806="?",E806="?"),"duplicate?",IF(COUNTIFS($A:A,A806,E:E,E806)&gt;1,"yes","no"))</f>
        <v>duplicate?</v>
      </c>
      <c r="K806" s="97" t="str">
        <f ca="1">IF(J806="","Date",IF(J806&lt;&gt;"",IF(K806="Date",NOW(),K806),""))</f>
        <v>Date</v>
      </c>
    </row>
    <row r="807" spans="2:11">
      <c r="B807" s="97" t="str">
        <f ca="1">IF(A807="","Date",IF(A807&lt;&gt;"",IF(B807="Date",NOW(),B807),""))</f>
        <v>Date</v>
      </c>
      <c r="C807" s="19" t="str">
        <f>IF(ISBLANK(A807),"Name",IF(ISNA(VLOOKUP(A807,'Master List'!A:C,2,FALSE)), "Not Found", VLOOKUP(A807,'Master List'!A:C,2,FALSE)))</f>
        <v>Name</v>
      </c>
      <c r="D807" s="19" t="str">
        <f>IF(ISBLANK(A807), "Email",IF(ISNA(VLOOKUP(A807,'Master List'!A:C,3,FALSE)), "Not Found", VLOOKUP(A807,'Master List'!A:C,3,FALSE)))</f>
        <v>Email</v>
      </c>
      <c r="F807" s="4" t="str">
        <f>IF(OR(A807="",E807="","",A807="?",E807="?"),"duplicate?",IF(COUNTIFS($A:A,A807,E:E,E807)&gt;1,"yes","no"))</f>
        <v>duplicate?</v>
      </c>
      <c r="K807" s="97" t="str">
        <f ca="1">IF(J807="","Date",IF(J807&lt;&gt;"",IF(K807="Date",NOW(),K807),""))</f>
        <v>Date</v>
      </c>
    </row>
    <row r="808" spans="2:11">
      <c r="B808" s="97" t="str">
        <f ca="1">IF(A808="","Date",IF(A808&lt;&gt;"",IF(B808="Date",NOW(),B808),""))</f>
        <v>Date</v>
      </c>
      <c r="C808" s="19" t="str">
        <f>IF(ISBLANK(A808),"Name",IF(ISNA(VLOOKUP(A808,'Master List'!A:C,2,FALSE)), "Not Found", VLOOKUP(A808,'Master List'!A:C,2,FALSE)))</f>
        <v>Name</v>
      </c>
      <c r="D808" s="19" t="str">
        <f>IF(ISBLANK(A808), "Email",IF(ISNA(VLOOKUP(A808,'Master List'!A:C,3,FALSE)), "Not Found", VLOOKUP(A808,'Master List'!A:C,3,FALSE)))</f>
        <v>Email</v>
      </c>
      <c r="F808" s="4" t="str">
        <f>IF(OR(A808="",E808="","",A808="?",E808="?"),"duplicate?",IF(COUNTIFS($A:A,A808,E:E,E808)&gt;1,"yes","no"))</f>
        <v>duplicate?</v>
      </c>
      <c r="K808" s="97" t="str">
        <f ca="1">IF(J808="","Date",IF(J808&lt;&gt;"",IF(K808="Date",NOW(),K808),""))</f>
        <v>Date</v>
      </c>
    </row>
    <row r="809" spans="2:11">
      <c r="B809" s="97" t="str">
        <f ca="1">IF(A809="","Date",IF(A809&lt;&gt;"",IF(B809="Date",NOW(),B809),""))</f>
        <v>Date</v>
      </c>
      <c r="C809" s="19" t="str">
        <f>IF(ISBLANK(A809),"Name",IF(ISNA(VLOOKUP(A809,'Master List'!A:C,2,FALSE)), "Not Found", VLOOKUP(A809,'Master List'!A:C,2,FALSE)))</f>
        <v>Name</v>
      </c>
      <c r="D809" s="19" t="str">
        <f>IF(ISBLANK(A809), "Email",IF(ISNA(VLOOKUP(A809,'Master List'!A:C,3,FALSE)), "Not Found", VLOOKUP(A809,'Master List'!A:C,3,FALSE)))</f>
        <v>Email</v>
      </c>
      <c r="F809" s="4" t="str">
        <f>IF(OR(A809="",E809="","",A809="?",E809="?"),"duplicate?",IF(COUNTIFS($A:A,A809,E:E,E809)&gt;1,"yes","no"))</f>
        <v>duplicate?</v>
      </c>
      <c r="K809" s="97" t="str">
        <f ca="1">IF(J809="","Date",IF(J809&lt;&gt;"",IF(K809="Date",NOW(),K809),""))</f>
        <v>Date</v>
      </c>
    </row>
    <row r="810" spans="2:11">
      <c r="B810" s="97" t="str">
        <f ca="1">IF(A810="","Date",IF(A810&lt;&gt;"",IF(B810="Date",NOW(),B810),""))</f>
        <v>Date</v>
      </c>
      <c r="C810" s="19" t="str">
        <f>IF(ISBLANK(A810),"Name",IF(ISNA(VLOOKUP(A810,'Master List'!A:C,2,FALSE)), "Not Found", VLOOKUP(A810,'Master List'!A:C,2,FALSE)))</f>
        <v>Name</v>
      </c>
      <c r="D810" s="19" t="str">
        <f>IF(ISBLANK(A810), "Email",IF(ISNA(VLOOKUP(A810,'Master List'!A:C,3,FALSE)), "Not Found", VLOOKUP(A810,'Master List'!A:C,3,FALSE)))</f>
        <v>Email</v>
      </c>
      <c r="F810" s="4" t="str">
        <f>IF(OR(A810="",E810="","",A810="?",E810="?"),"duplicate?",IF(COUNTIFS($A:A,A810,E:E,E810)&gt;1,"yes","no"))</f>
        <v>duplicate?</v>
      </c>
      <c r="K810" s="97" t="str">
        <f ca="1">IF(J810="","Date",IF(J810&lt;&gt;"",IF(K810="Date",NOW(),K810),""))</f>
        <v>Date</v>
      </c>
    </row>
    <row r="811" spans="2:11">
      <c r="B811" s="97" t="str">
        <f ca="1">IF(A811="","Date",IF(A811&lt;&gt;"",IF(B811="Date",NOW(),B811),""))</f>
        <v>Date</v>
      </c>
      <c r="C811" s="19" t="str">
        <f>IF(ISBLANK(A811),"Name",IF(ISNA(VLOOKUP(A811,'Master List'!A:C,2,FALSE)), "Not Found", VLOOKUP(A811,'Master List'!A:C,2,FALSE)))</f>
        <v>Name</v>
      </c>
      <c r="D811" s="19" t="str">
        <f>IF(ISBLANK(A811), "Email",IF(ISNA(VLOOKUP(A811,'Master List'!A:C,3,FALSE)), "Not Found", VLOOKUP(A811,'Master List'!A:C,3,FALSE)))</f>
        <v>Email</v>
      </c>
      <c r="F811" s="4" t="str">
        <f>IF(OR(A811="",E811="","",A811="?",E811="?"),"duplicate?",IF(COUNTIFS($A:A,A811,E:E,E811)&gt;1,"yes","no"))</f>
        <v>duplicate?</v>
      </c>
      <c r="K811" s="97" t="str">
        <f ca="1">IF(J811="","Date",IF(J811&lt;&gt;"",IF(K811="Date",NOW(),K811),""))</f>
        <v>Date</v>
      </c>
    </row>
    <row r="812" spans="2:11">
      <c r="B812" s="97" t="str">
        <f ca="1">IF(A812="","Date",IF(A812&lt;&gt;"",IF(B812="Date",NOW(),B812),""))</f>
        <v>Date</v>
      </c>
      <c r="C812" s="19" t="str">
        <f>IF(ISBLANK(A812),"Name",IF(ISNA(VLOOKUP(A812,'Master List'!A:C,2,FALSE)), "Not Found", VLOOKUP(A812,'Master List'!A:C,2,FALSE)))</f>
        <v>Name</v>
      </c>
      <c r="D812" s="19" t="str">
        <f>IF(ISBLANK(A812), "Email",IF(ISNA(VLOOKUP(A812,'Master List'!A:C,3,FALSE)), "Not Found", VLOOKUP(A812,'Master List'!A:C,3,FALSE)))</f>
        <v>Email</v>
      </c>
      <c r="F812" s="4" t="str">
        <f>IF(OR(A812="",E812="","",A812="?",E812="?"),"duplicate?",IF(COUNTIFS($A:A,A812,E:E,E812)&gt;1,"yes","no"))</f>
        <v>duplicate?</v>
      </c>
      <c r="K812" s="97" t="str">
        <f ca="1">IF(J812="","Date",IF(J812&lt;&gt;"",IF(K812="Date",NOW(),K812),""))</f>
        <v>Date</v>
      </c>
    </row>
    <row r="813" spans="2:11">
      <c r="B813" s="97" t="str">
        <f ca="1">IF(A813="","Date",IF(A813&lt;&gt;"",IF(B813="Date",NOW(),B813),""))</f>
        <v>Date</v>
      </c>
      <c r="C813" s="19" t="str">
        <f>IF(ISBLANK(A813),"Name",IF(ISNA(VLOOKUP(A813,'Master List'!A:C,2,FALSE)), "Not Found", VLOOKUP(A813,'Master List'!A:C,2,FALSE)))</f>
        <v>Name</v>
      </c>
      <c r="D813" s="19" t="str">
        <f>IF(ISBLANK(A813), "Email",IF(ISNA(VLOOKUP(A813,'Master List'!A:C,3,FALSE)), "Not Found", VLOOKUP(A813,'Master List'!A:C,3,FALSE)))</f>
        <v>Email</v>
      </c>
      <c r="F813" s="4" t="str">
        <f>IF(OR(A813="",E813="","",A813="?",E813="?"),"duplicate?",IF(COUNTIFS($A:A,A813,E:E,E813)&gt;1,"yes","no"))</f>
        <v>duplicate?</v>
      </c>
      <c r="K813" s="97" t="str">
        <f ca="1">IF(J813="","Date",IF(J813&lt;&gt;"",IF(K813="Date",NOW(),K813),""))</f>
        <v>Date</v>
      </c>
    </row>
    <row r="814" spans="2:11">
      <c r="B814" s="97" t="str">
        <f ca="1">IF(A814="","Date",IF(A814&lt;&gt;"",IF(B814="Date",NOW(),B814),""))</f>
        <v>Date</v>
      </c>
      <c r="C814" s="19" t="str">
        <f>IF(ISBLANK(A814),"Name",IF(ISNA(VLOOKUP(A814,'Master List'!A:C,2,FALSE)), "Not Found", VLOOKUP(A814,'Master List'!A:C,2,FALSE)))</f>
        <v>Name</v>
      </c>
      <c r="D814" s="19" t="str">
        <f>IF(ISBLANK(A814), "Email",IF(ISNA(VLOOKUP(A814,'Master List'!A:C,3,FALSE)), "Not Found", VLOOKUP(A814,'Master List'!A:C,3,FALSE)))</f>
        <v>Email</v>
      </c>
      <c r="F814" s="4" t="str">
        <f>IF(OR(A814="",E814="","",A814="?",E814="?"),"duplicate?",IF(COUNTIFS($A:A,A814,E:E,E814)&gt;1,"yes","no"))</f>
        <v>duplicate?</v>
      </c>
      <c r="K814" s="97" t="str">
        <f ca="1">IF(J814="","Date",IF(J814&lt;&gt;"",IF(K814="Date",NOW(),K814),""))</f>
        <v>Date</v>
      </c>
    </row>
    <row r="815" spans="2:11">
      <c r="B815" s="97" t="str">
        <f ca="1">IF(A815="","Date",IF(A815&lt;&gt;"",IF(B815="Date",NOW(),B815),""))</f>
        <v>Date</v>
      </c>
      <c r="C815" s="19" t="str">
        <f>IF(ISBLANK(A815),"Name",IF(ISNA(VLOOKUP(A815,'Master List'!A:C,2,FALSE)), "Not Found", VLOOKUP(A815,'Master List'!A:C,2,FALSE)))</f>
        <v>Name</v>
      </c>
      <c r="D815" s="19" t="str">
        <f>IF(ISBLANK(A815), "Email",IF(ISNA(VLOOKUP(A815,'Master List'!A:C,3,FALSE)), "Not Found", VLOOKUP(A815,'Master List'!A:C,3,FALSE)))</f>
        <v>Email</v>
      </c>
      <c r="F815" s="4" t="str">
        <f>IF(OR(A815="",E815="","",A815="?",E815="?"),"duplicate?",IF(COUNTIFS($A:A,A815,E:E,E815)&gt;1,"yes","no"))</f>
        <v>duplicate?</v>
      </c>
      <c r="K815" s="97" t="str">
        <f ca="1">IF(J815="","Date",IF(J815&lt;&gt;"",IF(K815="Date",NOW(),K815),""))</f>
        <v>Date</v>
      </c>
    </row>
    <row r="816" spans="2:11">
      <c r="B816" s="97" t="str">
        <f ca="1">IF(A816="","Date",IF(A816&lt;&gt;"",IF(B816="Date",NOW(),B816),""))</f>
        <v>Date</v>
      </c>
      <c r="C816" s="19" t="str">
        <f>IF(ISBLANK(A816),"Name",IF(ISNA(VLOOKUP(A816,'Master List'!A:C,2,FALSE)), "Not Found", VLOOKUP(A816,'Master List'!A:C,2,FALSE)))</f>
        <v>Name</v>
      </c>
      <c r="D816" s="19" t="str">
        <f>IF(ISBLANK(A816), "Email",IF(ISNA(VLOOKUP(A816,'Master List'!A:C,3,FALSE)), "Not Found", VLOOKUP(A816,'Master List'!A:C,3,FALSE)))</f>
        <v>Email</v>
      </c>
      <c r="F816" s="4" t="str">
        <f>IF(OR(A816="",E816="","",A816="?",E816="?"),"duplicate?",IF(COUNTIFS($A:A,A816,E:E,E816)&gt;1,"yes","no"))</f>
        <v>duplicate?</v>
      </c>
      <c r="K816" s="97" t="str">
        <f ca="1">IF(J816="","Date",IF(J816&lt;&gt;"",IF(K816="Date",NOW(),K816),""))</f>
        <v>Date</v>
      </c>
    </row>
    <row r="817" spans="2:11">
      <c r="B817" s="97" t="str">
        <f ca="1">IF(A817="","Date",IF(A817&lt;&gt;"",IF(B817="Date",NOW(),B817),""))</f>
        <v>Date</v>
      </c>
      <c r="C817" s="19" t="str">
        <f>IF(ISBLANK(A817),"Name",IF(ISNA(VLOOKUP(A817,'Master List'!A:C,2,FALSE)), "Not Found", VLOOKUP(A817,'Master List'!A:C,2,FALSE)))</f>
        <v>Name</v>
      </c>
      <c r="D817" s="19" t="str">
        <f>IF(ISBLANK(A817), "Email",IF(ISNA(VLOOKUP(A817,'Master List'!A:C,3,FALSE)), "Not Found", VLOOKUP(A817,'Master List'!A:C,3,FALSE)))</f>
        <v>Email</v>
      </c>
      <c r="F817" s="4" t="str">
        <f>IF(OR(A817="",E817="","",A817="?",E817="?"),"duplicate?",IF(COUNTIFS($A:A,A817,E:E,E817)&gt;1,"yes","no"))</f>
        <v>duplicate?</v>
      </c>
      <c r="K817" s="97" t="str">
        <f ca="1">IF(J817="","Date",IF(J817&lt;&gt;"",IF(K817="Date",NOW(),K817),""))</f>
        <v>Date</v>
      </c>
    </row>
    <row r="818" spans="2:11">
      <c r="B818" s="97" t="str">
        <f ca="1">IF(A818="","Date",IF(A818&lt;&gt;"",IF(B818="Date",NOW(),B818),""))</f>
        <v>Date</v>
      </c>
      <c r="C818" s="19" t="str">
        <f>IF(ISBLANK(A818),"Name",IF(ISNA(VLOOKUP(A818,'Master List'!A:C,2,FALSE)), "Not Found", VLOOKUP(A818,'Master List'!A:C,2,FALSE)))</f>
        <v>Name</v>
      </c>
      <c r="D818" s="19" t="str">
        <f>IF(ISBLANK(A818), "Email",IF(ISNA(VLOOKUP(A818,'Master List'!A:C,3,FALSE)), "Not Found", VLOOKUP(A818,'Master List'!A:C,3,FALSE)))</f>
        <v>Email</v>
      </c>
      <c r="F818" s="4" t="str">
        <f>IF(OR(A818="",E818="","",A818="?",E818="?"),"duplicate?",IF(COUNTIFS($A:A,A818,E:E,E818)&gt;1,"yes","no"))</f>
        <v>duplicate?</v>
      </c>
      <c r="K818" s="97" t="str">
        <f ca="1">IF(J818="","Date",IF(J818&lt;&gt;"",IF(K818="Date",NOW(),K818),""))</f>
        <v>Date</v>
      </c>
    </row>
    <row r="819" spans="2:11">
      <c r="B819" s="97" t="str">
        <f ca="1">IF(A819="","Date",IF(A819&lt;&gt;"",IF(B819="Date",NOW(),B819),""))</f>
        <v>Date</v>
      </c>
      <c r="C819" s="19" t="str">
        <f>IF(ISBLANK(A819),"Name",IF(ISNA(VLOOKUP(A819,'Master List'!A:C,2,FALSE)), "Not Found", VLOOKUP(A819,'Master List'!A:C,2,FALSE)))</f>
        <v>Name</v>
      </c>
      <c r="D819" s="19" t="str">
        <f>IF(ISBLANK(A819), "Email",IF(ISNA(VLOOKUP(A819,'Master List'!A:C,3,FALSE)), "Not Found", VLOOKUP(A819,'Master List'!A:C,3,FALSE)))</f>
        <v>Email</v>
      </c>
      <c r="F819" s="4" t="str">
        <f>IF(OR(A819="",E819="","",A819="?",E819="?"),"duplicate?",IF(COUNTIFS($A:A,A819,E:E,E819)&gt;1,"yes","no"))</f>
        <v>duplicate?</v>
      </c>
      <c r="K819" s="97" t="str">
        <f ca="1">IF(J819="","Date",IF(J819&lt;&gt;"",IF(K819="Date",NOW(),K819),""))</f>
        <v>Date</v>
      </c>
    </row>
    <row r="820" spans="2:11">
      <c r="B820" s="97" t="str">
        <f ca="1">IF(A820="","Date",IF(A820&lt;&gt;"",IF(B820="Date",NOW(),B820),""))</f>
        <v>Date</v>
      </c>
      <c r="C820" s="19" t="str">
        <f>IF(ISBLANK(A820),"Name",IF(ISNA(VLOOKUP(A820,'Master List'!A:C,2,FALSE)), "Not Found", VLOOKUP(A820,'Master List'!A:C,2,FALSE)))</f>
        <v>Name</v>
      </c>
      <c r="D820" s="19" t="str">
        <f>IF(ISBLANK(A820), "Email",IF(ISNA(VLOOKUP(A820,'Master List'!A:C,3,FALSE)), "Not Found", VLOOKUP(A820,'Master List'!A:C,3,FALSE)))</f>
        <v>Email</v>
      </c>
      <c r="F820" s="4" t="str">
        <f>IF(OR(A820="",E820="","",A820="?",E820="?"),"duplicate?",IF(COUNTIFS($A:A,A820,E:E,E820)&gt;1,"yes","no"))</f>
        <v>duplicate?</v>
      </c>
      <c r="K820" s="97" t="str">
        <f ca="1">IF(J820="","Date",IF(J820&lt;&gt;"",IF(K820="Date",NOW(),K820),""))</f>
        <v>Date</v>
      </c>
    </row>
    <row r="821" spans="2:11">
      <c r="B821" s="97" t="str">
        <f ca="1">IF(A821="","Date",IF(A821&lt;&gt;"",IF(B821="Date",NOW(),B821),""))</f>
        <v>Date</v>
      </c>
      <c r="C821" s="19" t="str">
        <f>IF(ISBLANK(A821),"Name",IF(ISNA(VLOOKUP(A821,'Master List'!A:C,2,FALSE)), "Not Found", VLOOKUP(A821,'Master List'!A:C,2,FALSE)))</f>
        <v>Name</v>
      </c>
      <c r="D821" s="19" t="str">
        <f>IF(ISBLANK(A821), "Email",IF(ISNA(VLOOKUP(A821,'Master List'!A:C,3,FALSE)), "Not Found", VLOOKUP(A821,'Master List'!A:C,3,FALSE)))</f>
        <v>Email</v>
      </c>
      <c r="F821" s="4" t="str">
        <f>IF(OR(A821="",E821="","",A821="?",E821="?"),"duplicate?",IF(COUNTIFS($A:A,A821,E:E,E821)&gt;1,"yes","no"))</f>
        <v>duplicate?</v>
      </c>
      <c r="K821" s="97" t="str">
        <f ca="1">IF(J821="","Date",IF(J821&lt;&gt;"",IF(K821="Date",NOW(),K821),""))</f>
        <v>Date</v>
      </c>
    </row>
    <row r="822" spans="2:11">
      <c r="B822" s="97" t="str">
        <f ca="1">IF(A822="","Date",IF(A822&lt;&gt;"",IF(B822="Date",NOW(),B822),""))</f>
        <v>Date</v>
      </c>
      <c r="C822" s="19" t="str">
        <f>IF(ISBLANK(A822),"Name",IF(ISNA(VLOOKUP(A822,'Master List'!A:C,2,FALSE)), "Not Found", VLOOKUP(A822,'Master List'!A:C,2,FALSE)))</f>
        <v>Name</v>
      </c>
      <c r="D822" s="19" t="str">
        <f>IF(ISBLANK(A822), "Email",IF(ISNA(VLOOKUP(A822,'Master List'!A:C,3,FALSE)), "Not Found", VLOOKUP(A822,'Master List'!A:C,3,FALSE)))</f>
        <v>Email</v>
      </c>
      <c r="F822" s="4" t="str">
        <f>IF(OR(A822="",E822="","",A822="?",E822="?"),"duplicate?",IF(COUNTIFS($A:A,A822,E:E,E822)&gt;1,"yes","no"))</f>
        <v>duplicate?</v>
      </c>
      <c r="K822" s="97" t="str">
        <f ca="1">IF(J822="","Date",IF(J822&lt;&gt;"",IF(K822="Date",NOW(),K822),""))</f>
        <v>Date</v>
      </c>
    </row>
    <row r="823" spans="2:11">
      <c r="B823" s="97" t="str">
        <f ca="1">IF(A823="","Date",IF(A823&lt;&gt;"",IF(B823="Date",NOW(),B823),""))</f>
        <v>Date</v>
      </c>
      <c r="C823" s="19" t="str">
        <f>IF(ISBLANK(A823),"Name",IF(ISNA(VLOOKUP(A823,'Master List'!A:C,2,FALSE)), "Not Found", VLOOKUP(A823,'Master List'!A:C,2,FALSE)))</f>
        <v>Name</v>
      </c>
      <c r="D823" s="19" t="str">
        <f>IF(ISBLANK(A823), "Email",IF(ISNA(VLOOKUP(A823,'Master List'!A:C,3,FALSE)), "Not Found", VLOOKUP(A823,'Master List'!A:C,3,FALSE)))</f>
        <v>Email</v>
      </c>
      <c r="F823" s="4" t="str">
        <f>IF(OR(A823="",E823="","",A823="?",E823="?"),"duplicate?",IF(COUNTIFS($A:A,A823,E:E,E823)&gt;1,"yes","no"))</f>
        <v>duplicate?</v>
      </c>
      <c r="K823" s="97" t="str">
        <f ca="1">IF(J823="","Date",IF(J823&lt;&gt;"",IF(K823="Date",NOW(),K823),""))</f>
        <v>Date</v>
      </c>
    </row>
    <row r="824" spans="2:11">
      <c r="B824" s="97" t="str">
        <f ca="1">IF(A824="","Date",IF(A824&lt;&gt;"",IF(B824="Date",NOW(),B824),""))</f>
        <v>Date</v>
      </c>
      <c r="C824" s="19" t="str">
        <f>IF(ISBLANK(A824),"Name",IF(ISNA(VLOOKUP(A824,'Master List'!A:C,2,FALSE)), "Not Found", VLOOKUP(A824,'Master List'!A:C,2,FALSE)))</f>
        <v>Name</v>
      </c>
      <c r="D824" s="19" t="str">
        <f>IF(ISBLANK(A824), "Email",IF(ISNA(VLOOKUP(A824,'Master List'!A:C,3,FALSE)), "Not Found", VLOOKUP(A824,'Master List'!A:C,3,FALSE)))</f>
        <v>Email</v>
      </c>
      <c r="F824" s="4" t="str">
        <f>IF(OR(A824="",E824="","",A824="?",E824="?"),"duplicate?",IF(COUNTIFS($A:A,A824,E:E,E824)&gt;1,"yes","no"))</f>
        <v>duplicate?</v>
      </c>
      <c r="K824" s="97" t="str">
        <f ca="1">IF(J824="","Date",IF(J824&lt;&gt;"",IF(K824="Date",NOW(),K824),""))</f>
        <v>Date</v>
      </c>
    </row>
    <row r="825" spans="2:11">
      <c r="B825" s="97" t="str">
        <f ca="1">IF(A825="","Date",IF(A825&lt;&gt;"",IF(B825="Date",NOW(),B825),""))</f>
        <v>Date</v>
      </c>
      <c r="C825" s="19" t="str">
        <f>IF(ISBLANK(A825),"Name",IF(ISNA(VLOOKUP(A825,'Master List'!A:C,2,FALSE)), "Not Found", VLOOKUP(A825,'Master List'!A:C,2,FALSE)))</f>
        <v>Name</v>
      </c>
      <c r="D825" s="19" t="str">
        <f>IF(ISBLANK(A825), "Email",IF(ISNA(VLOOKUP(A825,'Master List'!A:C,3,FALSE)), "Not Found", VLOOKUP(A825,'Master List'!A:C,3,FALSE)))</f>
        <v>Email</v>
      </c>
      <c r="F825" s="4" t="str">
        <f>IF(OR(A825="",E825="","",A825="?",E825="?"),"duplicate?",IF(COUNTIFS($A:A,A825,E:E,E825)&gt;1,"yes","no"))</f>
        <v>duplicate?</v>
      </c>
      <c r="K825" s="97" t="str">
        <f ca="1">IF(J825="","Date",IF(J825&lt;&gt;"",IF(K825="Date",NOW(),K825),""))</f>
        <v>Date</v>
      </c>
    </row>
    <row r="826" spans="2:11">
      <c r="B826" s="97" t="str">
        <f ca="1">IF(A826="","Date",IF(A826&lt;&gt;"",IF(B826="Date",NOW(),B826),""))</f>
        <v>Date</v>
      </c>
      <c r="C826" s="19" t="str">
        <f>IF(ISBLANK(A826),"Name",IF(ISNA(VLOOKUP(A826,'Master List'!A:C,2,FALSE)), "Not Found", VLOOKUP(A826,'Master List'!A:C,2,FALSE)))</f>
        <v>Name</v>
      </c>
      <c r="D826" s="19" t="str">
        <f>IF(ISBLANK(A826), "Email",IF(ISNA(VLOOKUP(A826,'Master List'!A:C,3,FALSE)), "Not Found", VLOOKUP(A826,'Master List'!A:C,3,FALSE)))</f>
        <v>Email</v>
      </c>
      <c r="F826" s="4" t="str">
        <f>IF(OR(A826="",E826="","",A826="?",E826="?"),"duplicate?",IF(COUNTIFS($A:A,A826,E:E,E826)&gt;1,"yes","no"))</f>
        <v>duplicate?</v>
      </c>
      <c r="K826" s="97" t="str">
        <f ca="1">IF(J826="","Date",IF(J826&lt;&gt;"",IF(K826="Date",NOW(),K826),""))</f>
        <v>Date</v>
      </c>
    </row>
    <row r="827" spans="2:11">
      <c r="B827" s="97" t="str">
        <f ca="1">IF(A827="","Date",IF(A827&lt;&gt;"",IF(B827="Date",NOW(),B827),""))</f>
        <v>Date</v>
      </c>
      <c r="C827" s="19" t="str">
        <f>IF(ISBLANK(A827),"Name",IF(ISNA(VLOOKUP(A827,'Master List'!A:C,2,FALSE)), "Not Found", VLOOKUP(A827,'Master List'!A:C,2,FALSE)))</f>
        <v>Name</v>
      </c>
      <c r="D827" s="19" t="str">
        <f>IF(ISBLANK(A827), "Email",IF(ISNA(VLOOKUP(A827,'Master List'!A:C,3,FALSE)), "Not Found", VLOOKUP(A827,'Master List'!A:C,3,FALSE)))</f>
        <v>Email</v>
      </c>
      <c r="F827" s="4" t="str">
        <f>IF(OR(A827="",E827="","",A827="?",E827="?"),"duplicate?",IF(COUNTIFS($A:A,A827,E:E,E827)&gt;1,"yes","no"))</f>
        <v>duplicate?</v>
      </c>
      <c r="K827" s="97" t="str">
        <f ca="1">IF(J827="","Date",IF(J827&lt;&gt;"",IF(K827="Date",NOW(),K827),""))</f>
        <v>Date</v>
      </c>
    </row>
    <row r="828" spans="2:11">
      <c r="B828" s="97" t="str">
        <f ca="1">IF(A828="","Date",IF(A828&lt;&gt;"",IF(B828="Date",NOW(),B828),""))</f>
        <v>Date</v>
      </c>
      <c r="C828" s="19" t="str">
        <f>IF(ISBLANK(A828),"Name",IF(ISNA(VLOOKUP(A828,'Master List'!A:C,2,FALSE)), "Not Found", VLOOKUP(A828,'Master List'!A:C,2,FALSE)))</f>
        <v>Name</v>
      </c>
      <c r="D828" s="19" t="str">
        <f>IF(ISBLANK(A828), "Email",IF(ISNA(VLOOKUP(A828,'Master List'!A:C,3,FALSE)), "Not Found", VLOOKUP(A828,'Master List'!A:C,3,FALSE)))</f>
        <v>Email</v>
      </c>
      <c r="F828" s="4" t="str">
        <f>IF(OR(A828="",E828="","",A828="?",E828="?"),"duplicate?",IF(COUNTIFS($A:A,A828,E:E,E828)&gt;1,"yes","no"))</f>
        <v>duplicate?</v>
      </c>
      <c r="K828" s="97" t="str">
        <f ca="1">IF(J828="","Date",IF(J828&lt;&gt;"",IF(K828="Date",NOW(),K828),""))</f>
        <v>Date</v>
      </c>
    </row>
    <row r="829" spans="2:11">
      <c r="B829" s="97" t="str">
        <f ca="1">IF(A829="","Date",IF(A829&lt;&gt;"",IF(B829="Date",NOW(),B829),""))</f>
        <v>Date</v>
      </c>
      <c r="C829" s="19" t="str">
        <f>IF(ISBLANK(A829),"Name",IF(ISNA(VLOOKUP(A829,'Master List'!A:C,2,FALSE)), "Not Found", VLOOKUP(A829,'Master List'!A:C,2,FALSE)))</f>
        <v>Name</v>
      </c>
      <c r="D829" s="19" t="str">
        <f>IF(ISBLANK(A829), "Email",IF(ISNA(VLOOKUP(A829,'Master List'!A:C,3,FALSE)), "Not Found", VLOOKUP(A829,'Master List'!A:C,3,FALSE)))</f>
        <v>Email</v>
      </c>
      <c r="F829" s="4" t="str">
        <f>IF(OR(A829="",E829="","",A829="?",E829="?"),"duplicate?",IF(COUNTIFS($A:A,A829,E:E,E829)&gt;1,"yes","no"))</f>
        <v>duplicate?</v>
      </c>
      <c r="K829" s="97" t="str">
        <f ca="1">IF(J829="","Date",IF(J829&lt;&gt;"",IF(K829="Date",NOW(),K829),""))</f>
        <v>Date</v>
      </c>
    </row>
    <row r="830" spans="2:11">
      <c r="B830" s="97" t="str">
        <f ca="1">IF(A830="","Date",IF(A830&lt;&gt;"",IF(B830="Date",NOW(),B830),""))</f>
        <v>Date</v>
      </c>
      <c r="C830" s="19" t="str">
        <f>IF(ISBLANK(A830),"Name",IF(ISNA(VLOOKUP(A830,'Master List'!A:C,2,FALSE)), "Not Found", VLOOKUP(A830,'Master List'!A:C,2,FALSE)))</f>
        <v>Name</v>
      </c>
      <c r="D830" s="19" t="str">
        <f>IF(ISBLANK(A830), "Email",IF(ISNA(VLOOKUP(A830,'Master List'!A:C,3,FALSE)), "Not Found", VLOOKUP(A830,'Master List'!A:C,3,FALSE)))</f>
        <v>Email</v>
      </c>
      <c r="F830" s="4" t="str">
        <f>IF(OR(A830="",E830="","",A830="?",E830="?"),"duplicate?",IF(COUNTIFS($A:A,A830,E:E,E830)&gt;1,"yes","no"))</f>
        <v>duplicate?</v>
      </c>
      <c r="K830" s="97" t="str">
        <f ca="1">IF(J830="","Date",IF(J830&lt;&gt;"",IF(K830="Date",NOW(),K830),""))</f>
        <v>Date</v>
      </c>
    </row>
    <row r="831" spans="2:11">
      <c r="B831" s="97" t="str">
        <f ca="1">IF(A831="","Date",IF(A831&lt;&gt;"",IF(B831="Date",NOW(),B831),""))</f>
        <v>Date</v>
      </c>
      <c r="C831" s="19" t="str">
        <f>IF(ISBLANK(A831),"Name",IF(ISNA(VLOOKUP(A831,'Master List'!A:C,2,FALSE)), "Not Found", VLOOKUP(A831,'Master List'!A:C,2,FALSE)))</f>
        <v>Name</v>
      </c>
      <c r="D831" s="19" t="str">
        <f>IF(ISBLANK(A831), "Email",IF(ISNA(VLOOKUP(A831,'Master List'!A:C,3,FALSE)), "Not Found", VLOOKUP(A831,'Master List'!A:C,3,FALSE)))</f>
        <v>Email</v>
      </c>
      <c r="F831" s="4" t="str">
        <f>IF(OR(A831="",E831="","",A831="?",E831="?"),"duplicate?",IF(COUNTIFS($A:A,A831,E:E,E831)&gt;1,"yes","no"))</f>
        <v>duplicate?</v>
      </c>
      <c r="K831" s="97" t="str">
        <f ca="1">IF(J831="","Date",IF(J831&lt;&gt;"",IF(K831="Date",NOW(),K831),""))</f>
        <v>Date</v>
      </c>
    </row>
    <row r="832" spans="2:11">
      <c r="B832" s="97" t="str">
        <f ca="1">IF(A832="","Date",IF(A832&lt;&gt;"",IF(B832="Date",NOW(),B832),""))</f>
        <v>Date</v>
      </c>
      <c r="C832" s="19" t="str">
        <f>IF(ISBLANK(A832),"Name",IF(ISNA(VLOOKUP(A832,'Master List'!A:C,2,FALSE)), "Not Found", VLOOKUP(A832,'Master List'!A:C,2,FALSE)))</f>
        <v>Name</v>
      </c>
      <c r="D832" s="19" t="str">
        <f>IF(ISBLANK(A832), "Email",IF(ISNA(VLOOKUP(A832,'Master List'!A:C,3,FALSE)), "Not Found", VLOOKUP(A832,'Master List'!A:C,3,FALSE)))</f>
        <v>Email</v>
      </c>
      <c r="F832" s="4" t="str">
        <f>IF(OR(A832="",E832="","",A832="?",E832="?"),"duplicate?",IF(COUNTIFS($A:A,A832,E:E,E832)&gt;1,"yes","no"))</f>
        <v>duplicate?</v>
      </c>
      <c r="K832" s="97" t="str">
        <f ca="1">IF(J832="","Date",IF(J832&lt;&gt;"",IF(K832="Date",NOW(),K832),""))</f>
        <v>Date</v>
      </c>
    </row>
    <row r="833" spans="2:11">
      <c r="B833" s="97" t="str">
        <f ca="1">IF(A833="","Date",IF(A833&lt;&gt;"",IF(B833="Date",NOW(),B833),""))</f>
        <v>Date</v>
      </c>
      <c r="C833" s="19" t="str">
        <f>IF(ISBLANK(A833),"Name",IF(ISNA(VLOOKUP(A833,'Master List'!A:C,2,FALSE)), "Not Found", VLOOKUP(A833,'Master List'!A:C,2,FALSE)))</f>
        <v>Name</v>
      </c>
      <c r="D833" s="19" t="str">
        <f>IF(ISBLANK(A833), "Email",IF(ISNA(VLOOKUP(A833,'Master List'!A:C,3,FALSE)), "Not Found", VLOOKUP(A833,'Master List'!A:C,3,FALSE)))</f>
        <v>Email</v>
      </c>
      <c r="F833" s="4" t="str">
        <f>IF(OR(A833="",E833="","",A833="?",E833="?"),"duplicate?",IF(COUNTIFS($A:A,A833,E:E,E833)&gt;1,"yes","no"))</f>
        <v>duplicate?</v>
      </c>
      <c r="K833" s="97" t="str">
        <f ca="1">IF(J833="","Date",IF(J833&lt;&gt;"",IF(K833="Date",NOW(),K833),""))</f>
        <v>Date</v>
      </c>
    </row>
    <row r="834" spans="2:11">
      <c r="B834" s="97" t="str">
        <f ca="1">IF(A834="","Date",IF(A834&lt;&gt;"",IF(B834="Date",NOW(),B834),""))</f>
        <v>Date</v>
      </c>
      <c r="C834" s="19" t="str">
        <f>IF(ISBLANK(A834),"Name",IF(ISNA(VLOOKUP(A834,'Master List'!A:C,2,FALSE)), "Not Found", VLOOKUP(A834,'Master List'!A:C,2,FALSE)))</f>
        <v>Name</v>
      </c>
      <c r="D834" s="19" t="str">
        <f>IF(ISBLANK(A834), "Email",IF(ISNA(VLOOKUP(A834,'Master List'!A:C,3,FALSE)), "Not Found", VLOOKUP(A834,'Master List'!A:C,3,FALSE)))</f>
        <v>Email</v>
      </c>
      <c r="F834" s="4" t="str">
        <f>IF(OR(A834="",E834="","",A834="?",E834="?"),"duplicate?",IF(COUNTIFS($A:A,A834,E:E,E834)&gt;1,"yes","no"))</f>
        <v>duplicate?</v>
      </c>
      <c r="K834" s="97" t="str">
        <f ca="1">IF(J834="","Date",IF(J834&lt;&gt;"",IF(K834="Date",NOW(),K834),""))</f>
        <v>Date</v>
      </c>
    </row>
    <row r="835" spans="2:11">
      <c r="B835" s="97" t="str">
        <f ca="1">IF(A835="","Date",IF(A835&lt;&gt;"",IF(B835="Date",NOW(),B835),""))</f>
        <v>Date</v>
      </c>
      <c r="C835" s="19" t="str">
        <f>IF(ISBLANK(A835),"Name",IF(ISNA(VLOOKUP(A835,'Master List'!A:C,2,FALSE)), "Not Found", VLOOKUP(A835,'Master List'!A:C,2,FALSE)))</f>
        <v>Name</v>
      </c>
      <c r="D835" s="19" t="str">
        <f>IF(ISBLANK(A835), "Email",IF(ISNA(VLOOKUP(A835,'Master List'!A:C,3,FALSE)), "Not Found", VLOOKUP(A835,'Master List'!A:C,3,FALSE)))</f>
        <v>Email</v>
      </c>
      <c r="F835" s="4" t="str">
        <f>IF(OR(A835="",E835="","",A835="?",E835="?"),"duplicate?",IF(COUNTIFS($A:A,A835,E:E,E835)&gt;1,"yes","no"))</f>
        <v>duplicate?</v>
      </c>
      <c r="K835" s="97" t="str">
        <f ca="1">IF(J835="","Date",IF(J835&lt;&gt;"",IF(K835="Date",NOW(),K835),""))</f>
        <v>Date</v>
      </c>
    </row>
    <row r="836" spans="2:11">
      <c r="B836" s="97" t="str">
        <f ca="1">IF(A836="","Date",IF(A836&lt;&gt;"",IF(B836="Date",NOW(),B836),""))</f>
        <v>Date</v>
      </c>
      <c r="C836" s="19" t="str">
        <f>IF(ISBLANK(A836),"Name",IF(ISNA(VLOOKUP(A836,'Master List'!A:C,2,FALSE)), "Not Found", VLOOKUP(A836,'Master List'!A:C,2,FALSE)))</f>
        <v>Name</v>
      </c>
      <c r="D836" s="19" t="str">
        <f>IF(ISBLANK(A836), "Email",IF(ISNA(VLOOKUP(A836,'Master List'!A:C,3,FALSE)), "Not Found", VLOOKUP(A836,'Master List'!A:C,3,FALSE)))</f>
        <v>Email</v>
      </c>
      <c r="F836" s="4" t="str">
        <f>IF(OR(A836="",E836="","",A836="?",E836="?"),"duplicate?",IF(COUNTIFS($A:A,A836,E:E,E836)&gt;1,"yes","no"))</f>
        <v>duplicate?</v>
      </c>
      <c r="K836" s="97" t="str">
        <f ca="1">IF(J836="","Date",IF(J836&lt;&gt;"",IF(K836="Date",NOW(),K836),""))</f>
        <v>Date</v>
      </c>
    </row>
    <row r="837" spans="2:11">
      <c r="B837" s="97" t="str">
        <f ca="1">IF(A837="","Date",IF(A837&lt;&gt;"",IF(B837="Date",NOW(),B837),""))</f>
        <v>Date</v>
      </c>
      <c r="C837" s="19" t="str">
        <f>IF(ISBLANK(A837),"Name",IF(ISNA(VLOOKUP(A837,'Master List'!A:C,2,FALSE)), "Not Found", VLOOKUP(A837,'Master List'!A:C,2,FALSE)))</f>
        <v>Name</v>
      </c>
      <c r="D837" s="19" t="str">
        <f>IF(ISBLANK(A837), "Email",IF(ISNA(VLOOKUP(A837,'Master List'!A:C,3,FALSE)), "Not Found", VLOOKUP(A837,'Master List'!A:C,3,FALSE)))</f>
        <v>Email</v>
      </c>
      <c r="F837" s="4" t="str">
        <f>IF(OR(A837="",E837="","",A837="?",E837="?"),"duplicate?",IF(COUNTIFS($A:A,A837,E:E,E837)&gt;1,"yes","no"))</f>
        <v>duplicate?</v>
      </c>
      <c r="K837" s="97" t="str">
        <f ca="1">IF(J837="","Date",IF(J837&lt;&gt;"",IF(K837="Date",NOW(),K837),""))</f>
        <v>Date</v>
      </c>
    </row>
    <row r="838" spans="2:11">
      <c r="B838" s="97" t="str">
        <f ca="1">IF(A838="","Date",IF(A838&lt;&gt;"",IF(B838="Date",NOW(),B838),""))</f>
        <v>Date</v>
      </c>
      <c r="C838" s="19" t="str">
        <f>IF(ISBLANK(A838),"Name",IF(ISNA(VLOOKUP(A838,'Master List'!A:C,2,FALSE)), "Not Found", VLOOKUP(A838,'Master List'!A:C,2,FALSE)))</f>
        <v>Name</v>
      </c>
      <c r="D838" s="19" t="str">
        <f>IF(ISBLANK(A838), "Email",IF(ISNA(VLOOKUP(A838,'Master List'!A:C,3,FALSE)), "Not Found", VLOOKUP(A838,'Master List'!A:C,3,FALSE)))</f>
        <v>Email</v>
      </c>
      <c r="F838" s="4" t="str">
        <f>IF(OR(A838="",E838="","",A838="?",E838="?"),"duplicate?",IF(COUNTIFS($A:A,A838,E:E,E838)&gt;1,"yes","no"))</f>
        <v>duplicate?</v>
      </c>
      <c r="K838" s="97" t="str">
        <f ca="1">IF(J838="","Date",IF(J838&lt;&gt;"",IF(K838="Date",NOW(),K838),""))</f>
        <v>Date</v>
      </c>
    </row>
    <row r="839" spans="2:11">
      <c r="B839" s="97" t="str">
        <f ca="1">IF(A839="","Date",IF(A839&lt;&gt;"",IF(B839="Date",NOW(),B839),""))</f>
        <v>Date</v>
      </c>
      <c r="C839" s="19" t="str">
        <f>IF(ISBLANK(A839),"Name",IF(ISNA(VLOOKUP(A839,'Master List'!A:C,2,FALSE)), "Not Found", VLOOKUP(A839,'Master List'!A:C,2,FALSE)))</f>
        <v>Name</v>
      </c>
      <c r="D839" s="19" t="str">
        <f>IF(ISBLANK(A839), "Email",IF(ISNA(VLOOKUP(A839,'Master List'!A:C,3,FALSE)), "Not Found", VLOOKUP(A839,'Master List'!A:C,3,FALSE)))</f>
        <v>Email</v>
      </c>
      <c r="F839" s="4" t="str">
        <f>IF(OR(A839="",E839="","",A839="?",E839="?"),"duplicate?",IF(COUNTIFS($A:A,A839,E:E,E839)&gt;1,"yes","no"))</f>
        <v>duplicate?</v>
      </c>
      <c r="K839" s="97" t="str">
        <f ca="1">IF(J839="","Date",IF(J839&lt;&gt;"",IF(K839="Date",NOW(),K839),""))</f>
        <v>Date</v>
      </c>
    </row>
    <row r="840" spans="2:11">
      <c r="B840" s="97" t="str">
        <f ca="1">IF(A840="","Date",IF(A840&lt;&gt;"",IF(B840="Date",NOW(),B840),""))</f>
        <v>Date</v>
      </c>
      <c r="C840" s="19" t="str">
        <f>IF(ISBLANK(A840),"Name",IF(ISNA(VLOOKUP(A840,'Master List'!A:C,2,FALSE)), "Not Found", VLOOKUP(A840,'Master List'!A:C,2,FALSE)))</f>
        <v>Name</v>
      </c>
      <c r="D840" s="19" t="str">
        <f>IF(ISBLANK(A840), "Email",IF(ISNA(VLOOKUP(A840,'Master List'!A:C,3,FALSE)), "Not Found", VLOOKUP(A840,'Master List'!A:C,3,FALSE)))</f>
        <v>Email</v>
      </c>
      <c r="F840" s="4" t="str">
        <f>IF(OR(A840="",E840="","",A840="?",E840="?"),"duplicate?",IF(COUNTIFS($A:A,A840,E:E,E840)&gt;1,"yes","no"))</f>
        <v>duplicate?</v>
      </c>
      <c r="K840" s="97" t="str">
        <f ca="1">IF(J840="","Date",IF(J840&lt;&gt;"",IF(K840="Date",NOW(),K840),""))</f>
        <v>Date</v>
      </c>
    </row>
    <row r="841" spans="2:11">
      <c r="B841" s="97" t="str">
        <f ca="1">IF(A841="","Date",IF(A841&lt;&gt;"",IF(B841="Date",NOW(),B841),""))</f>
        <v>Date</v>
      </c>
      <c r="C841" s="19" t="str">
        <f>IF(ISBLANK(A841),"Name",IF(ISNA(VLOOKUP(A841,'Master List'!A:C,2,FALSE)), "Not Found", VLOOKUP(A841,'Master List'!A:C,2,FALSE)))</f>
        <v>Name</v>
      </c>
      <c r="D841" s="19" t="str">
        <f>IF(ISBLANK(A841), "Email",IF(ISNA(VLOOKUP(A841,'Master List'!A:C,3,FALSE)), "Not Found", VLOOKUP(A841,'Master List'!A:C,3,FALSE)))</f>
        <v>Email</v>
      </c>
      <c r="F841" s="4" t="str">
        <f>IF(OR(A841="",E841="","",A841="?",E841="?"),"duplicate?",IF(COUNTIFS($A:A,A841,E:E,E841)&gt;1,"yes","no"))</f>
        <v>duplicate?</v>
      </c>
      <c r="K841" s="97" t="str">
        <f ca="1">IF(J841="","Date",IF(J841&lt;&gt;"",IF(K841="Date",NOW(),K841),""))</f>
        <v>Date</v>
      </c>
    </row>
    <row r="842" spans="2:11">
      <c r="B842" s="97" t="str">
        <f ca="1">IF(A842="","Date",IF(A842&lt;&gt;"",IF(B842="Date",NOW(),B842),""))</f>
        <v>Date</v>
      </c>
      <c r="C842" s="19" t="str">
        <f>IF(ISBLANK(A842),"Name",IF(ISNA(VLOOKUP(A842,'Master List'!A:C,2,FALSE)), "Not Found", VLOOKUP(A842,'Master List'!A:C,2,FALSE)))</f>
        <v>Name</v>
      </c>
      <c r="D842" s="19" t="str">
        <f>IF(ISBLANK(A842), "Email",IF(ISNA(VLOOKUP(A842,'Master List'!A:C,3,FALSE)), "Not Found", VLOOKUP(A842,'Master List'!A:C,3,FALSE)))</f>
        <v>Email</v>
      </c>
      <c r="F842" s="4" t="str">
        <f>IF(OR(A842="",E842="","",A842="?",E842="?"),"duplicate?",IF(COUNTIFS($A:A,A842,E:E,E842)&gt;1,"yes","no"))</f>
        <v>duplicate?</v>
      </c>
      <c r="K842" s="97" t="str">
        <f ca="1">IF(J842="","Date",IF(J842&lt;&gt;"",IF(K842="Date",NOW(),K842),""))</f>
        <v>Date</v>
      </c>
    </row>
    <row r="843" spans="2:11">
      <c r="B843" s="97" t="str">
        <f ca="1">IF(A843="","Date",IF(A843&lt;&gt;"",IF(B843="Date",NOW(),B843),""))</f>
        <v>Date</v>
      </c>
      <c r="C843" s="19" t="str">
        <f>IF(ISBLANK(A843),"Name",IF(ISNA(VLOOKUP(A843,'Master List'!A:C,2,FALSE)), "Not Found", VLOOKUP(A843,'Master List'!A:C,2,FALSE)))</f>
        <v>Name</v>
      </c>
      <c r="D843" s="19" t="str">
        <f>IF(ISBLANK(A843), "Email",IF(ISNA(VLOOKUP(A843,'Master List'!A:C,3,FALSE)), "Not Found", VLOOKUP(A843,'Master List'!A:C,3,FALSE)))</f>
        <v>Email</v>
      </c>
      <c r="F843" s="4" t="str">
        <f>IF(OR(A843="",E843="","",A843="?",E843="?"),"duplicate?",IF(COUNTIFS($A:A,A843,E:E,E843)&gt;1,"yes","no"))</f>
        <v>duplicate?</v>
      </c>
      <c r="K843" s="97" t="str">
        <f ca="1">IF(J843="","Date",IF(J843&lt;&gt;"",IF(K843="Date",NOW(),K843),""))</f>
        <v>Date</v>
      </c>
    </row>
    <row r="844" spans="2:11">
      <c r="B844" s="97" t="str">
        <f ca="1">IF(A844="","Date",IF(A844&lt;&gt;"",IF(B844="Date",NOW(),B844),""))</f>
        <v>Date</v>
      </c>
      <c r="C844" s="19" t="str">
        <f>IF(ISBLANK(A844),"Name",IF(ISNA(VLOOKUP(A844,'Master List'!A:C,2,FALSE)), "Not Found", VLOOKUP(A844,'Master List'!A:C,2,FALSE)))</f>
        <v>Name</v>
      </c>
      <c r="D844" s="19" t="str">
        <f>IF(ISBLANK(A844), "Email",IF(ISNA(VLOOKUP(A844,'Master List'!A:C,3,FALSE)), "Not Found", VLOOKUP(A844,'Master List'!A:C,3,FALSE)))</f>
        <v>Email</v>
      </c>
      <c r="F844" s="4" t="str">
        <f>IF(OR(A844="",E844="","",A844="?",E844="?"),"duplicate?",IF(COUNTIFS($A:A,A844,E:E,E844)&gt;1,"yes","no"))</f>
        <v>duplicate?</v>
      </c>
      <c r="K844" s="97" t="str">
        <f ca="1">IF(J844="","Date",IF(J844&lt;&gt;"",IF(K844="Date",NOW(),K844),""))</f>
        <v>Date</v>
      </c>
    </row>
    <row r="845" spans="2:11">
      <c r="B845" s="97" t="str">
        <f ca="1">IF(A845="","Date",IF(A845&lt;&gt;"",IF(B845="Date",NOW(),B845),""))</f>
        <v>Date</v>
      </c>
      <c r="C845" s="19" t="str">
        <f>IF(ISBLANK(A845),"Name",IF(ISNA(VLOOKUP(A845,'Master List'!A:C,2,FALSE)), "Not Found", VLOOKUP(A845,'Master List'!A:C,2,FALSE)))</f>
        <v>Name</v>
      </c>
      <c r="D845" s="19" t="str">
        <f>IF(ISBLANK(A845), "Email",IF(ISNA(VLOOKUP(A845,'Master List'!A:C,3,FALSE)), "Not Found", VLOOKUP(A845,'Master List'!A:C,3,FALSE)))</f>
        <v>Email</v>
      </c>
      <c r="F845" s="4" t="str">
        <f>IF(OR(A845="",E845="","",A845="?",E845="?"),"duplicate?",IF(COUNTIFS($A:A,A845,E:E,E845)&gt;1,"yes","no"))</f>
        <v>duplicate?</v>
      </c>
      <c r="K845" s="97" t="str">
        <f ca="1">IF(J845="","Date",IF(J845&lt;&gt;"",IF(K845="Date",NOW(),K845),""))</f>
        <v>Date</v>
      </c>
    </row>
    <row r="846" spans="2:11">
      <c r="B846" s="97" t="str">
        <f ca="1">IF(A846="","Date",IF(A846&lt;&gt;"",IF(B846="Date",NOW(),B846),""))</f>
        <v>Date</v>
      </c>
      <c r="C846" s="19" t="str">
        <f>IF(ISBLANK(A846),"Name",IF(ISNA(VLOOKUP(A846,'Master List'!A:C,2,FALSE)), "Not Found", VLOOKUP(A846,'Master List'!A:C,2,FALSE)))</f>
        <v>Name</v>
      </c>
      <c r="D846" s="19" t="str">
        <f>IF(ISBLANK(A846), "Email",IF(ISNA(VLOOKUP(A846,'Master List'!A:C,3,FALSE)), "Not Found", VLOOKUP(A846,'Master List'!A:C,3,FALSE)))</f>
        <v>Email</v>
      </c>
      <c r="F846" s="4" t="str">
        <f>IF(OR(A846="",E846="","",A846="?",E846="?"),"duplicate?",IF(COUNTIFS($A:A,A846,E:E,E846)&gt;1,"yes","no"))</f>
        <v>duplicate?</v>
      </c>
      <c r="K846" s="97" t="str">
        <f ca="1">IF(J846="","Date",IF(J846&lt;&gt;"",IF(K846="Date",NOW(),K846),""))</f>
        <v>Date</v>
      </c>
    </row>
    <row r="847" spans="2:11">
      <c r="B847" s="97" t="str">
        <f ca="1">IF(A847="","Date",IF(A847&lt;&gt;"",IF(B847="Date",NOW(),B847),""))</f>
        <v>Date</v>
      </c>
      <c r="C847" s="19" t="str">
        <f>IF(ISBLANK(A847),"Name",IF(ISNA(VLOOKUP(A847,'Master List'!A:C,2,FALSE)), "Not Found", VLOOKUP(A847,'Master List'!A:C,2,FALSE)))</f>
        <v>Name</v>
      </c>
      <c r="D847" s="19" t="str">
        <f>IF(ISBLANK(A847), "Email",IF(ISNA(VLOOKUP(A847,'Master List'!A:C,3,FALSE)), "Not Found", VLOOKUP(A847,'Master List'!A:C,3,FALSE)))</f>
        <v>Email</v>
      </c>
      <c r="F847" s="4" t="str">
        <f>IF(OR(A847="",E847="","",A847="?",E847="?"),"duplicate?",IF(COUNTIFS($A:A,A847,E:E,E847)&gt;1,"yes","no"))</f>
        <v>duplicate?</v>
      </c>
      <c r="K847" s="97" t="str">
        <f ca="1">IF(J847="","Date",IF(J847&lt;&gt;"",IF(K847="Date",NOW(),K847),""))</f>
        <v>Date</v>
      </c>
    </row>
    <row r="848" spans="2:11">
      <c r="B848" s="97" t="str">
        <f ca="1">IF(A848="","Date",IF(A848&lt;&gt;"",IF(B848="Date",NOW(),B848),""))</f>
        <v>Date</v>
      </c>
      <c r="C848" s="19" t="str">
        <f>IF(ISBLANK(A848),"Name",IF(ISNA(VLOOKUP(A848,'Master List'!A:C,2,FALSE)), "Not Found", VLOOKUP(A848,'Master List'!A:C,2,FALSE)))</f>
        <v>Name</v>
      </c>
      <c r="D848" s="19" t="str">
        <f>IF(ISBLANK(A848), "Email",IF(ISNA(VLOOKUP(A848,'Master List'!A:C,3,FALSE)), "Not Found", VLOOKUP(A848,'Master List'!A:C,3,FALSE)))</f>
        <v>Email</v>
      </c>
      <c r="F848" s="4" t="str">
        <f>IF(OR(A848="",E848="","",A848="?",E848="?"),"duplicate?",IF(COUNTIFS($A:A,A848,E:E,E848)&gt;1,"yes","no"))</f>
        <v>duplicate?</v>
      </c>
      <c r="K848" s="97" t="str">
        <f ca="1">IF(J848="","Date",IF(J848&lt;&gt;"",IF(K848="Date",NOW(),K848),""))</f>
        <v>Date</v>
      </c>
    </row>
    <row r="849" spans="2:11">
      <c r="B849" s="97" t="str">
        <f ca="1">IF(A849="","Date",IF(A849&lt;&gt;"",IF(B849="Date",NOW(),B849),""))</f>
        <v>Date</v>
      </c>
      <c r="C849" s="19" t="str">
        <f>IF(ISBLANK(A849),"Name",IF(ISNA(VLOOKUP(A849,'Master List'!A:C,2,FALSE)), "Not Found", VLOOKUP(A849,'Master List'!A:C,2,FALSE)))</f>
        <v>Name</v>
      </c>
      <c r="D849" s="19" t="str">
        <f>IF(ISBLANK(A849), "Email",IF(ISNA(VLOOKUP(A849,'Master List'!A:C,3,FALSE)), "Not Found", VLOOKUP(A849,'Master List'!A:C,3,FALSE)))</f>
        <v>Email</v>
      </c>
      <c r="F849" s="4" t="str">
        <f>IF(OR(A849="",E849="","",A849="?",E849="?"),"duplicate?",IF(COUNTIFS($A:A,A849,E:E,E849)&gt;1,"yes","no"))</f>
        <v>duplicate?</v>
      </c>
      <c r="K849" s="97" t="str">
        <f ca="1">IF(J849="","Date",IF(J849&lt;&gt;"",IF(K849="Date",NOW(),K849),""))</f>
        <v>Date</v>
      </c>
    </row>
    <row r="850" spans="2:11">
      <c r="B850" s="97" t="str">
        <f ca="1">IF(A850="","Date",IF(A850&lt;&gt;"",IF(B850="Date",NOW(),B850),""))</f>
        <v>Date</v>
      </c>
      <c r="C850" s="19" t="str">
        <f>IF(ISBLANK(A850),"Name",IF(ISNA(VLOOKUP(A850,'Master List'!A:C,2,FALSE)), "Not Found", VLOOKUP(A850,'Master List'!A:C,2,FALSE)))</f>
        <v>Name</v>
      </c>
      <c r="D850" s="19" t="str">
        <f>IF(ISBLANK(A850), "Email",IF(ISNA(VLOOKUP(A850,'Master List'!A:C,3,FALSE)), "Not Found", VLOOKUP(A850,'Master List'!A:C,3,FALSE)))</f>
        <v>Email</v>
      </c>
      <c r="F850" s="4" t="str">
        <f>IF(OR(A850="",E850="","",A850="?",E850="?"),"duplicate?",IF(COUNTIFS($A:A,A850,E:E,E850)&gt;1,"yes","no"))</f>
        <v>duplicate?</v>
      </c>
      <c r="K850" s="97" t="str">
        <f ca="1">IF(J850="","Date",IF(J850&lt;&gt;"",IF(K850="Date",NOW(),K850),""))</f>
        <v>Date</v>
      </c>
    </row>
    <row r="851" spans="2:11">
      <c r="B851" s="97" t="str">
        <f ca="1">IF(A851="","Date",IF(A851&lt;&gt;"",IF(B851="Date",NOW(),B851),""))</f>
        <v>Date</v>
      </c>
      <c r="C851" s="19" t="str">
        <f>IF(ISBLANK(A851),"Name",IF(ISNA(VLOOKUP(A851,'Master List'!A:C,2,FALSE)), "Not Found", VLOOKUP(A851,'Master List'!A:C,2,FALSE)))</f>
        <v>Name</v>
      </c>
      <c r="D851" s="19" t="str">
        <f>IF(ISBLANK(A851), "Email",IF(ISNA(VLOOKUP(A851,'Master List'!A:C,3,FALSE)), "Not Found", VLOOKUP(A851,'Master List'!A:C,3,FALSE)))</f>
        <v>Email</v>
      </c>
      <c r="F851" s="4" t="str">
        <f>IF(OR(A851="",E851="","",A851="?",E851="?"),"duplicate?",IF(COUNTIFS($A:A,A851,E:E,E851)&gt;1,"yes","no"))</f>
        <v>duplicate?</v>
      </c>
      <c r="K851" s="97" t="str">
        <f ca="1">IF(J851="","Date",IF(J851&lt;&gt;"",IF(K851="Date",NOW(),K851),""))</f>
        <v>Date</v>
      </c>
    </row>
    <row r="852" spans="2:11">
      <c r="B852" s="97" t="str">
        <f ca="1">IF(A852="","Date",IF(A852&lt;&gt;"",IF(B852="Date",NOW(),B852),""))</f>
        <v>Date</v>
      </c>
      <c r="C852" s="19" t="str">
        <f>IF(ISBLANK(A852),"Name",IF(ISNA(VLOOKUP(A852,'Master List'!A:C,2,FALSE)), "Not Found", VLOOKUP(A852,'Master List'!A:C,2,FALSE)))</f>
        <v>Name</v>
      </c>
      <c r="D852" s="19" t="str">
        <f>IF(ISBLANK(A852), "Email",IF(ISNA(VLOOKUP(A852,'Master List'!A:C,3,FALSE)), "Not Found", VLOOKUP(A852,'Master List'!A:C,3,FALSE)))</f>
        <v>Email</v>
      </c>
      <c r="F852" s="4" t="str">
        <f>IF(OR(A852="",E852="","",A852="?",E852="?"),"duplicate?",IF(COUNTIFS($A:A,A852,E:E,E852)&gt;1,"yes","no"))</f>
        <v>duplicate?</v>
      </c>
      <c r="K852" s="97" t="str">
        <f ca="1">IF(J852="","Date",IF(J852&lt;&gt;"",IF(K852="Date",NOW(),K852),""))</f>
        <v>Date</v>
      </c>
    </row>
    <row r="853" spans="2:11">
      <c r="B853" s="97" t="str">
        <f ca="1">IF(A853="","Date",IF(A853&lt;&gt;"",IF(B853="Date",NOW(),B853),""))</f>
        <v>Date</v>
      </c>
      <c r="C853" s="19" t="str">
        <f>IF(ISBLANK(A853),"Name",IF(ISNA(VLOOKUP(A853,'Master List'!A:C,2,FALSE)), "Not Found", VLOOKUP(A853,'Master List'!A:C,2,FALSE)))</f>
        <v>Name</v>
      </c>
      <c r="D853" s="19" t="str">
        <f>IF(ISBLANK(A853), "Email",IF(ISNA(VLOOKUP(A853,'Master List'!A:C,3,FALSE)), "Not Found", VLOOKUP(A853,'Master List'!A:C,3,FALSE)))</f>
        <v>Email</v>
      </c>
      <c r="F853" s="4" t="str">
        <f>IF(OR(A853="",E853="","",A853="?",E853="?"),"duplicate?",IF(COUNTIFS($A:A,A853,E:E,E853)&gt;1,"yes","no"))</f>
        <v>duplicate?</v>
      </c>
      <c r="K853" s="97" t="str">
        <f ca="1">IF(J853="","Date",IF(J853&lt;&gt;"",IF(K853="Date",NOW(),K853),""))</f>
        <v>Date</v>
      </c>
    </row>
    <row r="854" spans="2:11">
      <c r="B854" s="97" t="str">
        <f ca="1">IF(A854="","Date",IF(A854&lt;&gt;"",IF(B854="Date",NOW(),B854),""))</f>
        <v>Date</v>
      </c>
      <c r="C854" s="19" t="str">
        <f>IF(ISBLANK(A854),"Name",IF(ISNA(VLOOKUP(A854,'Master List'!A:C,2,FALSE)), "Not Found", VLOOKUP(A854,'Master List'!A:C,2,FALSE)))</f>
        <v>Name</v>
      </c>
      <c r="D854" s="19" t="str">
        <f>IF(ISBLANK(A854), "Email",IF(ISNA(VLOOKUP(A854,'Master List'!A:C,3,FALSE)), "Not Found", VLOOKUP(A854,'Master List'!A:C,3,FALSE)))</f>
        <v>Email</v>
      </c>
      <c r="F854" s="4" t="str">
        <f>IF(OR(A854="",E854="","",A854="?",E854="?"),"duplicate?",IF(COUNTIFS($A:A,A854,E:E,E854)&gt;1,"yes","no"))</f>
        <v>duplicate?</v>
      </c>
      <c r="K854" s="97" t="str">
        <f ca="1">IF(J854="","Date",IF(J854&lt;&gt;"",IF(K854="Date",NOW(),K854),""))</f>
        <v>Date</v>
      </c>
    </row>
    <row r="855" spans="2:11">
      <c r="B855" s="97" t="str">
        <f ca="1">IF(A855="","Date",IF(A855&lt;&gt;"",IF(B855="Date",NOW(),B855),""))</f>
        <v>Date</v>
      </c>
      <c r="C855" s="19" t="str">
        <f>IF(ISBLANK(A855),"Name",IF(ISNA(VLOOKUP(A855,'Master List'!A:C,2,FALSE)), "Not Found", VLOOKUP(A855,'Master List'!A:C,2,FALSE)))</f>
        <v>Name</v>
      </c>
      <c r="D855" s="19" t="str">
        <f>IF(ISBLANK(A855), "Email",IF(ISNA(VLOOKUP(A855,'Master List'!A:C,3,FALSE)), "Not Found", VLOOKUP(A855,'Master List'!A:C,3,FALSE)))</f>
        <v>Email</v>
      </c>
      <c r="F855" s="4" t="str">
        <f>IF(OR(A855="",E855="","",A855="?",E855="?"),"duplicate?",IF(COUNTIFS($A:A,A855,E:E,E855)&gt;1,"yes","no"))</f>
        <v>duplicate?</v>
      </c>
      <c r="K855" s="97" t="str">
        <f ca="1">IF(J855="","Date",IF(J855&lt;&gt;"",IF(K855="Date",NOW(),K855),""))</f>
        <v>Date</v>
      </c>
    </row>
    <row r="856" spans="2:11">
      <c r="B856" s="97" t="str">
        <f ca="1">IF(A856="","Date",IF(A856&lt;&gt;"",IF(B856="Date",NOW(),B856),""))</f>
        <v>Date</v>
      </c>
      <c r="C856" s="19" t="str">
        <f>IF(ISBLANK(A856),"Name",IF(ISNA(VLOOKUP(A856,'Master List'!A:C,2,FALSE)), "Not Found", VLOOKUP(A856,'Master List'!A:C,2,FALSE)))</f>
        <v>Name</v>
      </c>
      <c r="D856" s="19" t="str">
        <f>IF(ISBLANK(A856), "Email",IF(ISNA(VLOOKUP(A856,'Master List'!A:C,3,FALSE)), "Not Found", VLOOKUP(A856,'Master List'!A:C,3,FALSE)))</f>
        <v>Email</v>
      </c>
      <c r="F856" s="4" t="str">
        <f>IF(OR(A856="",E856="","",A856="?",E856="?"),"duplicate?",IF(COUNTIFS($A:A,A856,E:E,E856)&gt;1,"yes","no"))</f>
        <v>duplicate?</v>
      </c>
      <c r="K856" s="97" t="str">
        <f ca="1">IF(J856="","Date",IF(J856&lt;&gt;"",IF(K856="Date",NOW(),K856),""))</f>
        <v>Date</v>
      </c>
    </row>
    <row r="857" spans="2:11">
      <c r="B857" s="97" t="str">
        <f ca="1">IF(A857="","Date",IF(A857&lt;&gt;"",IF(B857="Date",NOW(),B857),""))</f>
        <v>Date</v>
      </c>
      <c r="C857" s="19" t="str">
        <f>IF(ISBLANK(A857),"Name",IF(ISNA(VLOOKUP(A857,'Master List'!A:C,2,FALSE)), "Not Found", VLOOKUP(A857,'Master List'!A:C,2,FALSE)))</f>
        <v>Name</v>
      </c>
      <c r="D857" s="19" t="str">
        <f>IF(ISBLANK(A857), "Email",IF(ISNA(VLOOKUP(A857,'Master List'!A:C,3,FALSE)), "Not Found", VLOOKUP(A857,'Master List'!A:C,3,FALSE)))</f>
        <v>Email</v>
      </c>
      <c r="F857" s="4" t="str">
        <f>IF(OR(A857="",E857="","",A857="?",E857="?"),"duplicate?",IF(COUNTIFS($A:A,A857,E:E,E857)&gt;1,"yes","no"))</f>
        <v>duplicate?</v>
      </c>
      <c r="K857" s="97" t="str">
        <f ca="1">IF(J857="","Date",IF(J857&lt;&gt;"",IF(K857="Date",NOW(),K857),""))</f>
        <v>Date</v>
      </c>
    </row>
    <row r="858" spans="2:11">
      <c r="B858" s="97" t="str">
        <f ca="1">IF(A858="","Date",IF(A858&lt;&gt;"",IF(B858="Date",NOW(),B858),""))</f>
        <v>Date</v>
      </c>
      <c r="C858" s="19" t="str">
        <f>IF(ISBLANK(A858),"Name",IF(ISNA(VLOOKUP(A858,'Master List'!A:C,2,FALSE)), "Not Found", VLOOKUP(A858,'Master List'!A:C,2,FALSE)))</f>
        <v>Name</v>
      </c>
      <c r="D858" s="19" t="str">
        <f>IF(ISBLANK(A858), "Email",IF(ISNA(VLOOKUP(A858,'Master List'!A:C,3,FALSE)), "Not Found", VLOOKUP(A858,'Master List'!A:C,3,FALSE)))</f>
        <v>Email</v>
      </c>
      <c r="F858" s="4" t="str">
        <f>IF(OR(A858="",E858="","",A858="?",E858="?"),"duplicate?",IF(COUNTIFS($A:A,A858,E:E,E858)&gt;1,"yes","no"))</f>
        <v>duplicate?</v>
      </c>
      <c r="K858" s="97" t="str">
        <f ca="1">IF(J858="","Date",IF(J858&lt;&gt;"",IF(K858="Date",NOW(),K858),""))</f>
        <v>Date</v>
      </c>
    </row>
    <row r="859" spans="2:11">
      <c r="B859" s="97" t="str">
        <f ca="1">IF(A859="","Date",IF(A859&lt;&gt;"",IF(B859="Date",NOW(),B859),""))</f>
        <v>Date</v>
      </c>
      <c r="C859" s="19" t="str">
        <f>IF(ISBLANK(A859),"Name",IF(ISNA(VLOOKUP(A859,'Master List'!A:C,2,FALSE)), "Not Found", VLOOKUP(A859,'Master List'!A:C,2,FALSE)))</f>
        <v>Name</v>
      </c>
      <c r="D859" s="19" t="str">
        <f>IF(ISBLANK(A859), "Email",IF(ISNA(VLOOKUP(A859,'Master List'!A:C,3,FALSE)), "Not Found", VLOOKUP(A859,'Master List'!A:C,3,FALSE)))</f>
        <v>Email</v>
      </c>
      <c r="F859" s="4" t="str">
        <f>IF(OR(A859="",E859="","",A859="?",E859="?"),"duplicate?",IF(COUNTIFS($A:A,A859,E:E,E859)&gt;1,"yes","no"))</f>
        <v>duplicate?</v>
      </c>
      <c r="K859" s="97" t="str">
        <f ca="1">IF(J859="","Date",IF(J859&lt;&gt;"",IF(K859="Date",NOW(),K859),""))</f>
        <v>Date</v>
      </c>
    </row>
    <row r="860" spans="2:11">
      <c r="B860" s="97" t="str">
        <f ca="1">IF(A860="","Date",IF(A860&lt;&gt;"",IF(B860="Date",NOW(),B860),""))</f>
        <v>Date</v>
      </c>
      <c r="C860" s="19" t="str">
        <f>IF(ISBLANK(A860),"Name",IF(ISNA(VLOOKUP(A860,'Master List'!A:C,2,FALSE)), "Not Found", VLOOKUP(A860,'Master List'!A:C,2,FALSE)))</f>
        <v>Name</v>
      </c>
      <c r="D860" s="19" t="str">
        <f>IF(ISBLANK(A860), "Email",IF(ISNA(VLOOKUP(A860,'Master List'!A:C,3,FALSE)), "Not Found", VLOOKUP(A860,'Master List'!A:C,3,FALSE)))</f>
        <v>Email</v>
      </c>
      <c r="F860" s="4" t="str">
        <f>IF(OR(A860="",E860="","",A860="?",E860="?"),"duplicate?",IF(COUNTIFS($A:A,A860,E:E,E860)&gt;1,"yes","no"))</f>
        <v>duplicate?</v>
      </c>
      <c r="K860" s="97" t="str">
        <f ca="1">IF(J860="","Date",IF(J860&lt;&gt;"",IF(K860="Date",NOW(),K860),""))</f>
        <v>Date</v>
      </c>
    </row>
    <row r="861" spans="2:11">
      <c r="B861" s="97" t="str">
        <f ca="1">IF(A861="","Date",IF(A861&lt;&gt;"",IF(B861="Date",NOW(),B861),""))</f>
        <v>Date</v>
      </c>
      <c r="C861" s="19" t="str">
        <f>IF(ISBLANK(A861),"Name",IF(ISNA(VLOOKUP(A861,'Master List'!A:C,2,FALSE)), "Not Found", VLOOKUP(A861,'Master List'!A:C,2,FALSE)))</f>
        <v>Name</v>
      </c>
      <c r="D861" s="19" t="str">
        <f>IF(ISBLANK(A861), "Email",IF(ISNA(VLOOKUP(A861,'Master List'!A:C,3,FALSE)), "Not Found", VLOOKUP(A861,'Master List'!A:C,3,FALSE)))</f>
        <v>Email</v>
      </c>
      <c r="F861" s="4" t="str">
        <f>IF(OR(A861="",E861="","",A861="?",E861="?"),"duplicate?",IF(COUNTIFS($A:A,A861,E:E,E861)&gt;1,"yes","no"))</f>
        <v>duplicate?</v>
      </c>
      <c r="K861" s="97" t="str">
        <f ca="1">IF(J861="","Date",IF(J861&lt;&gt;"",IF(K861="Date",NOW(),K861),""))</f>
        <v>Date</v>
      </c>
    </row>
    <row r="862" spans="2:11">
      <c r="B862" s="97" t="str">
        <f ca="1">IF(A862="","Date",IF(A862&lt;&gt;"",IF(B862="Date",NOW(),B862),""))</f>
        <v>Date</v>
      </c>
      <c r="C862" s="19" t="str">
        <f>IF(ISBLANK(A862),"Name",IF(ISNA(VLOOKUP(A862,'Master List'!A:C,2,FALSE)), "Not Found", VLOOKUP(A862,'Master List'!A:C,2,FALSE)))</f>
        <v>Name</v>
      </c>
      <c r="D862" s="19" t="str">
        <f>IF(ISBLANK(A862), "Email",IF(ISNA(VLOOKUP(A862,'Master List'!A:C,3,FALSE)), "Not Found", VLOOKUP(A862,'Master List'!A:C,3,FALSE)))</f>
        <v>Email</v>
      </c>
      <c r="F862" s="4" t="str">
        <f>IF(OR(A862="",E862="","",A862="?",E862="?"),"duplicate?",IF(COUNTIFS($A:A,A862,E:E,E862)&gt;1,"yes","no"))</f>
        <v>duplicate?</v>
      </c>
      <c r="K862" s="97" t="str">
        <f ca="1">IF(J862="","Date",IF(J862&lt;&gt;"",IF(K862="Date",NOW(),K862),""))</f>
        <v>Date</v>
      </c>
    </row>
    <row r="863" spans="2:11">
      <c r="B863" s="97" t="str">
        <f ca="1">IF(A863="","Date",IF(A863&lt;&gt;"",IF(B863="Date",NOW(),B863),""))</f>
        <v>Date</v>
      </c>
      <c r="C863" s="19" t="str">
        <f>IF(ISBLANK(A863),"Name",IF(ISNA(VLOOKUP(A863,'Master List'!A:C,2,FALSE)), "Not Found", VLOOKUP(A863,'Master List'!A:C,2,FALSE)))</f>
        <v>Name</v>
      </c>
      <c r="D863" s="19" t="str">
        <f>IF(ISBLANK(A863), "Email",IF(ISNA(VLOOKUP(A863,'Master List'!A:C,3,FALSE)), "Not Found", VLOOKUP(A863,'Master List'!A:C,3,FALSE)))</f>
        <v>Email</v>
      </c>
      <c r="F863" s="4" t="str">
        <f>IF(OR(A863="",E863="","",A863="?",E863="?"),"duplicate?",IF(COUNTIFS($A:A,A863,E:E,E863)&gt;1,"yes","no"))</f>
        <v>duplicate?</v>
      </c>
      <c r="K863" s="97" t="str">
        <f ca="1">IF(J863="","Date",IF(J863&lt;&gt;"",IF(K863="Date",NOW(),K863),""))</f>
        <v>Date</v>
      </c>
    </row>
    <row r="864" spans="2:11">
      <c r="B864" s="97" t="str">
        <f ca="1">IF(A864="","Date",IF(A864&lt;&gt;"",IF(B864="Date",NOW(),B864),""))</f>
        <v>Date</v>
      </c>
      <c r="C864" s="19" t="str">
        <f>IF(ISBLANK(A864),"Name",IF(ISNA(VLOOKUP(A864,'Master List'!A:C,2,FALSE)), "Not Found", VLOOKUP(A864,'Master List'!A:C,2,FALSE)))</f>
        <v>Name</v>
      </c>
      <c r="D864" s="19" t="str">
        <f>IF(ISBLANK(A864), "Email",IF(ISNA(VLOOKUP(A864,'Master List'!A:C,3,FALSE)), "Not Found", VLOOKUP(A864,'Master List'!A:C,3,FALSE)))</f>
        <v>Email</v>
      </c>
      <c r="F864" s="4" t="str">
        <f>IF(OR(A864="",E864="","",A864="?",E864="?"),"duplicate?",IF(COUNTIFS($A:A,A864,E:E,E864)&gt;1,"yes","no"))</f>
        <v>duplicate?</v>
      </c>
      <c r="K864" s="97" t="str">
        <f ca="1">IF(J864="","Date",IF(J864&lt;&gt;"",IF(K864="Date",NOW(),K864),""))</f>
        <v>Date</v>
      </c>
    </row>
    <row r="865" spans="2:11">
      <c r="B865" s="97" t="str">
        <f ca="1">IF(A865="","Date",IF(A865&lt;&gt;"",IF(B865="Date",NOW(),B865),""))</f>
        <v>Date</v>
      </c>
      <c r="C865" s="19" t="str">
        <f>IF(ISBLANK(A865),"Name",IF(ISNA(VLOOKUP(A865,'Master List'!A:C,2,FALSE)), "Not Found", VLOOKUP(A865,'Master List'!A:C,2,FALSE)))</f>
        <v>Name</v>
      </c>
      <c r="D865" s="19" t="str">
        <f>IF(ISBLANK(A865), "Email",IF(ISNA(VLOOKUP(A865,'Master List'!A:C,3,FALSE)), "Not Found", VLOOKUP(A865,'Master List'!A:C,3,FALSE)))</f>
        <v>Email</v>
      </c>
      <c r="F865" s="4" t="str">
        <f>IF(OR(A865="",E865="","",A865="?",E865="?"),"duplicate?",IF(COUNTIFS($A:A,A865,E:E,E865)&gt;1,"yes","no"))</f>
        <v>duplicate?</v>
      </c>
      <c r="K865" s="97" t="str">
        <f ca="1">IF(J865="","Date",IF(J865&lt;&gt;"",IF(K865="Date",NOW(),K865),""))</f>
        <v>Date</v>
      </c>
    </row>
    <row r="866" spans="2:11">
      <c r="B866" s="97" t="str">
        <f ca="1">IF(A866="","Date",IF(A866&lt;&gt;"",IF(B866="Date",NOW(),B866),""))</f>
        <v>Date</v>
      </c>
      <c r="C866" s="19" t="str">
        <f>IF(ISBLANK(A866),"Name",IF(ISNA(VLOOKUP(A866,'Master List'!A:C,2,FALSE)), "Not Found", VLOOKUP(A866,'Master List'!A:C,2,FALSE)))</f>
        <v>Name</v>
      </c>
      <c r="D866" s="19" t="str">
        <f>IF(ISBLANK(A866), "Email",IF(ISNA(VLOOKUP(A866,'Master List'!A:C,3,FALSE)), "Not Found", VLOOKUP(A866,'Master List'!A:C,3,FALSE)))</f>
        <v>Email</v>
      </c>
      <c r="F866" s="4" t="str">
        <f>IF(OR(A866="",E866="","",A866="?",E866="?"),"duplicate?",IF(COUNTIFS($A:A,A866,E:E,E866)&gt;1,"yes","no"))</f>
        <v>duplicate?</v>
      </c>
      <c r="K866" s="97" t="str">
        <f ca="1">IF(J866="","Date",IF(J866&lt;&gt;"",IF(K866="Date",NOW(),K866),""))</f>
        <v>Date</v>
      </c>
    </row>
    <row r="867" spans="2:11">
      <c r="B867" s="97" t="str">
        <f ca="1">IF(A867="","Date",IF(A867&lt;&gt;"",IF(B867="Date",NOW(),B867),""))</f>
        <v>Date</v>
      </c>
      <c r="C867" s="19" t="str">
        <f>IF(ISBLANK(A867),"Name",IF(ISNA(VLOOKUP(A867,'Master List'!A:C,2,FALSE)), "Not Found", VLOOKUP(A867,'Master List'!A:C,2,FALSE)))</f>
        <v>Name</v>
      </c>
      <c r="D867" s="19" t="str">
        <f>IF(ISBLANK(A867), "Email",IF(ISNA(VLOOKUP(A867,'Master List'!A:C,3,FALSE)), "Not Found", VLOOKUP(A867,'Master List'!A:C,3,FALSE)))</f>
        <v>Email</v>
      </c>
      <c r="F867" s="4" t="str">
        <f>IF(OR(A867="",E867="","",A867="?",E867="?"),"duplicate?",IF(COUNTIFS($A:A,A867,E:E,E867)&gt;1,"yes","no"))</f>
        <v>duplicate?</v>
      </c>
      <c r="K867" s="97" t="str">
        <f ca="1">IF(J867="","Date",IF(J867&lt;&gt;"",IF(K867="Date",NOW(),K867),""))</f>
        <v>Date</v>
      </c>
    </row>
    <row r="868" spans="2:11">
      <c r="B868" s="97" t="str">
        <f ca="1">IF(A868="","Date",IF(A868&lt;&gt;"",IF(B868="Date",NOW(),B868),""))</f>
        <v>Date</v>
      </c>
      <c r="C868" s="19" t="str">
        <f>IF(ISBLANK(A868),"Name",IF(ISNA(VLOOKUP(A868,'Master List'!A:C,2,FALSE)), "Not Found", VLOOKUP(A868,'Master List'!A:C,2,FALSE)))</f>
        <v>Name</v>
      </c>
      <c r="D868" s="19" t="str">
        <f>IF(ISBLANK(A868), "Email",IF(ISNA(VLOOKUP(A868,'Master List'!A:C,3,FALSE)), "Not Found", VLOOKUP(A868,'Master List'!A:C,3,FALSE)))</f>
        <v>Email</v>
      </c>
      <c r="F868" s="4" t="str">
        <f>IF(OR(A868="",E868="","",A868="?",E868="?"),"duplicate?",IF(COUNTIFS($A:A,A868,E:E,E868)&gt;1,"yes","no"))</f>
        <v>duplicate?</v>
      </c>
      <c r="K868" s="97" t="str">
        <f ca="1">IF(J868="","Date",IF(J868&lt;&gt;"",IF(K868="Date",NOW(),K868),""))</f>
        <v>Date</v>
      </c>
    </row>
    <row r="869" spans="2:11">
      <c r="B869" s="97" t="str">
        <f ca="1">IF(A869="","Date",IF(A869&lt;&gt;"",IF(B869="Date",NOW(),B869),""))</f>
        <v>Date</v>
      </c>
      <c r="C869" s="19" t="str">
        <f>IF(ISBLANK(A869),"Name",IF(ISNA(VLOOKUP(A869,'Master List'!A:C,2,FALSE)), "Not Found", VLOOKUP(A869,'Master List'!A:C,2,FALSE)))</f>
        <v>Name</v>
      </c>
      <c r="D869" s="19" t="str">
        <f>IF(ISBLANK(A869), "Email",IF(ISNA(VLOOKUP(A869,'Master List'!A:C,3,FALSE)), "Not Found", VLOOKUP(A869,'Master List'!A:C,3,FALSE)))</f>
        <v>Email</v>
      </c>
      <c r="F869" s="4" t="str">
        <f>IF(OR(A869="",E869="","",A869="?",E869="?"),"duplicate?",IF(COUNTIFS($A:A,A869,E:E,E869)&gt;1,"yes","no"))</f>
        <v>duplicate?</v>
      </c>
      <c r="K869" s="97" t="str">
        <f ca="1">IF(J869="","Date",IF(J869&lt;&gt;"",IF(K869="Date",NOW(),K869),""))</f>
        <v>Date</v>
      </c>
    </row>
    <row r="870" spans="2:11">
      <c r="B870" s="97" t="str">
        <f ca="1">IF(A870="","Date",IF(A870&lt;&gt;"",IF(B870="Date",NOW(),B870),""))</f>
        <v>Date</v>
      </c>
      <c r="C870" s="19" t="str">
        <f>IF(ISBLANK(A870),"Name",IF(ISNA(VLOOKUP(A870,'Master List'!A:C,2,FALSE)), "Not Found", VLOOKUP(A870,'Master List'!A:C,2,FALSE)))</f>
        <v>Name</v>
      </c>
      <c r="D870" s="19" t="str">
        <f>IF(ISBLANK(A870), "Email",IF(ISNA(VLOOKUP(A870,'Master List'!A:C,3,FALSE)), "Not Found", VLOOKUP(A870,'Master List'!A:C,3,FALSE)))</f>
        <v>Email</v>
      </c>
      <c r="F870" s="4" t="str">
        <f>IF(OR(A870="",E870="","",A870="?",E870="?"),"duplicate?",IF(COUNTIFS($A:A,A870,E:E,E870)&gt;1,"yes","no"))</f>
        <v>duplicate?</v>
      </c>
      <c r="K870" s="97" t="str">
        <f ca="1">IF(J870="","Date",IF(J870&lt;&gt;"",IF(K870="Date",NOW(),K870),""))</f>
        <v>Date</v>
      </c>
    </row>
    <row r="871" spans="2:11">
      <c r="B871" s="97" t="str">
        <f ca="1">IF(A871="","Date",IF(A871&lt;&gt;"",IF(B871="Date",NOW(),B871),""))</f>
        <v>Date</v>
      </c>
      <c r="C871" s="19" t="str">
        <f>IF(ISBLANK(A871),"Name",IF(ISNA(VLOOKUP(A871,'Master List'!A:C,2,FALSE)), "Not Found", VLOOKUP(A871,'Master List'!A:C,2,FALSE)))</f>
        <v>Name</v>
      </c>
      <c r="D871" s="19" t="str">
        <f>IF(ISBLANK(A871), "Email",IF(ISNA(VLOOKUP(A871,'Master List'!A:C,3,FALSE)), "Not Found", VLOOKUP(A871,'Master List'!A:C,3,FALSE)))</f>
        <v>Email</v>
      </c>
      <c r="F871" s="4" t="str">
        <f>IF(OR(A871="",E871="","",A871="?",E871="?"),"duplicate?",IF(COUNTIFS($A:A,A871,E:E,E871)&gt;1,"yes","no"))</f>
        <v>duplicate?</v>
      </c>
      <c r="K871" s="97" t="str">
        <f ca="1">IF(J871="","Date",IF(J871&lt;&gt;"",IF(K871="Date",NOW(),K871),""))</f>
        <v>Date</v>
      </c>
    </row>
    <row r="872" spans="2:11">
      <c r="B872" s="97" t="str">
        <f ca="1">IF(A872="","Date",IF(A872&lt;&gt;"",IF(B872="Date",NOW(),B872),""))</f>
        <v>Date</v>
      </c>
      <c r="C872" s="19" t="str">
        <f>IF(ISBLANK(A872),"Name",IF(ISNA(VLOOKUP(A872,'Master List'!A:C,2,FALSE)), "Not Found", VLOOKUP(A872,'Master List'!A:C,2,FALSE)))</f>
        <v>Name</v>
      </c>
      <c r="D872" s="19" t="str">
        <f>IF(ISBLANK(A872), "Email",IF(ISNA(VLOOKUP(A872,'Master List'!A:C,3,FALSE)), "Not Found", VLOOKUP(A872,'Master List'!A:C,3,FALSE)))</f>
        <v>Email</v>
      </c>
      <c r="F872" s="4" t="str">
        <f>IF(OR(A872="",E872="","",A872="?",E872="?"),"duplicate?",IF(COUNTIFS($A:A,A872,E:E,E872)&gt;1,"yes","no"))</f>
        <v>duplicate?</v>
      </c>
      <c r="K872" s="97" t="str">
        <f ca="1">IF(J872="","Date",IF(J872&lt;&gt;"",IF(K872="Date",NOW(),K872),""))</f>
        <v>Date</v>
      </c>
    </row>
    <row r="873" spans="2:11">
      <c r="B873" s="97" t="str">
        <f ca="1">IF(A873="","Date",IF(A873&lt;&gt;"",IF(B873="Date",NOW(),B873),""))</f>
        <v>Date</v>
      </c>
      <c r="C873" s="19" t="str">
        <f>IF(ISBLANK(A873),"Name",IF(ISNA(VLOOKUP(A873,'Master List'!A:C,2,FALSE)), "Not Found", VLOOKUP(A873,'Master List'!A:C,2,FALSE)))</f>
        <v>Name</v>
      </c>
      <c r="D873" s="19" t="str">
        <f>IF(ISBLANK(A873), "Email",IF(ISNA(VLOOKUP(A873,'Master List'!A:C,3,FALSE)), "Not Found", VLOOKUP(A873,'Master List'!A:C,3,FALSE)))</f>
        <v>Email</v>
      </c>
      <c r="F873" s="4" t="str">
        <f>IF(OR(A873="",E873="","",A873="?",E873="?"),"duplicate?",IF(COUNTIFS($A:A,A873,E:E,E873)&gt;1,"yes","no"))</f>
        <v>duplicate?</v>
      </c>
      <c r="K873" s="97" t="str">
        <f ca="1">IF(J873="","Date",IF(J873&lt;&gt;"",IF(K873="Date",NOW(),K873),""))</f>
        <v>Date</v>
      </c>
    </row>
    <row r="874" spans="2:11">
      <c r="B874" s="97" t="str">
        <f ca="1">IF(A874="","Date",IF(A874&lt;&gt;"",IF(B874="Date",NOW(),B874),""))</f>
        <v>Date</v>
      </c>
      <c r="C874" s="19" t="str">
        <f>IF(ISBLANK(A874),"Name",IF(ISNA(VLOOKUP(A874,'Master List'!A:C,2,FALSE)), "Not Found", VLOOKUP(A874,'Master List'!A:C,2,FALSE)))</f>
        <v>Name</v>
      </c>
      <c r="D874" s="19" t="str">
        <f>IF(ISBLANK(A874), "Email",IF(ISNA(VLOOKUP(A874,'Master List'!A:C,3,FALSE)), "Not Found", VLOOKUP(A874,'Master List'!A:C,3,FALSE)))</f>
        <v>Email</v>
      </c>
      <c r="F874" s="4" t="str">
        <f>IF(OR(A874="",E874="","",A874="?",E874="?"),"duplicate?",IF(COUNTIFS($A:A,A874,E:E,E874)&gt;1,"yes","no"))</f>
        <v>duplicate?</v>
      </c>
      <c r="K874" s="97" t="str">
        <f ca="1">IF(J874="","Date",IF(J874&lt;&gt;"",IF(K874="Date",NOW(),K874),""))</f>
        <v>Date</v>
      </c>
    </row>
    <row r="875" spans="2:11">
      <c r="B875" s="97" t="str">
        <f ca="1">IF(A875="","Date",IF(A875&lt;&gt;"",IF(B875="Date",NOW(),B875),""))</f>
        <v>Date</v>
      </c>
      <c r="C875" s="19" t="str">
        <f>IF(ISBLANK(A875),"Name",IF(ISNA(VLOOKUP(A875,'Master List'!A:C,2,FALSE)), "Not Found", VLOOKUP(A875,'Master List'!A:C,2,FALSE)))</f>
        <v>Name</v>
      </c>
      <c r="D875" s="19" t="str">
        <f>IF(ISBLANK(A875), "Email",IF(ISNA(VLOOKUP(A875,'Master List'!A:C,3,FALSE)), "Not Found", VLOOKUP(A875,'Master List'!A:C,3,FALSE)))</f>
        <v>Email</v>
      </c>
      <c r="F875" s="4" t="str">
        <f>IF(OR(A875="",E875="","",A875="?",E875="?"),"duplicate?",IF(COUNTIFS($A:A,A875,E:E,E875)&gt;1,"yes","no"))</f>
        <v>duplicate?</v>
      </c>
      <c r="K875" s="97" t="str">
        <f ca="1">IF(J875="","Date",IF(J875&lt;&gt;"",IF(K875="Date",NOW(),K875),""))</f>
        <v>Date</v>
      </c>
    </row>
    <row r="876" spans="2:11">
      <c r="B876" s="97" t="str">
        <f ca="1">IF(A876="","Date",IF(A876&lt;&gt;"",IF(B876="Date",NOW(),B876),""))</f>
        <v>Date</v>
      </c>
      <c r="C876" s="19" t="str">
        <f>IF(ISBLANK(A876),"Name",IF(ISNA(VLOOKUP(A876,'Master List'!A:C,2,FALSE)), "Not Found", VLOOKUP(A876,'Master List'!A:C,2,FALSE)))</f>
        <v>Name</v>
      </c>
      <c r="D876" s="19" t="str">
        <f>IF(ISBLANK(A876), "Email",IF(ISNA(VLOOKUP(A876,'Master List'!A:C,3,FALSE)), "Not Found", VLOOKUP(A876,'Master List'!A:C,3,FALSE)))</f>
        <v>Email</v>
      </c>
      <c r="F876" s="4" t="str">
        <f>IF(OR(A876="",E876="","",A876="?",E876="?"),"duplicate?",IF(COUNTIFS($A:A,A876,E:E,E876)&gt;1,"yes","no"))</f>
        <v>duplicate?</v>
      </c>
      <c r="K876" s="97" t="str">
        <f ca="1">IF(J876="","Date",IF(J876&lt;&gt;"",IF(K876="Date",NOW(),K876),""))</f>
        <v>Date</v>
      </c>
    </row>
    <row r="877" spans="2:11">
      <c r="B877" s="97" t="str">
        <f ca="1">IF(A877="","Date",IF(A877&lt;&gt;"",IF(B877="Date",NOW(),B877),""))</f>
        <v>Date</v>
      </c>
      <c r="C877" s="19" t="str">
        <f>IF(ISBLANK(A877),"Name",IF(ISNA(VLOOKUP(A877,'Master List'!A:C,2,FALSE)), "Not Found", VLOOKUP(A877,'Master List'!A:C,2,FALSE)))</f>
        <v>Name</v>
      </c>
      <c r="D877" s="19" t="str">
        <f>IF(ISBLANK(A877), "Email",IF(ISNA(VLOOKUP(A877,'Master List'!A:C,3,FALSE)), "Not Found", VLOOKUP(A877,'Master List'!A:C,3,FALSE)))</f>
        <v>Email</v>
      </c>
      <c r="F877" s="4" t="str">
        <f>IF(OR(A877="",E877="","",A877="?",E877="?"),"duplicate?",IF(COUNTIFS($A:A,A877,E:E,E877)&gt;1,"yes","no"))</f>
        <v>duplicate?</v>
      </c>
      <c r="K877" s="97" t="str">
        <f ca="1">IF(J877="","Date",IF(J877&lt;&gt;"",IF(K877="Date",NOW(),K877),""))</f>
        <v>Date</v>
      </c>
    </row>
    <row r="878" spans="2:11">
      <c r="B878" s="97" t="str">
        <f ca="1">IF(A878="","Date",IF(A878&lt;&gt;"",IF(B878="Date",NOW(),B878),""))</f>
        <v>Date</v>
      </c>
      <c r="C878" s="19" t="str">
        <f>IF(ISBLANK(A878),"Name",IF(ISNA(VLOOKUP(A878,'Master List'!A:C,2,FALSE)), "Not Found", VLOOKUP(A878,'Master List'!A:C,2,FALSE)))</f>
        <v>Name</v>
      </c>
      <c r="D878" s="19" t="str">
        <f>IF(ISBLANK(A878), "Email",IF(ISNA(VLOOKUP(A878,'Master List'!A:C,3,FALSE)), "Not Found", VLOOKUP(A878,'Master List'!A:C,3,FALSE)))</f>
        <v>Email</v>
      </c>
      <c r="F878" s="4" t="str">
        <f>IF(OR(A878="",E878="","",A878="?",E878="?"),"duplicate?",IF(COUNTIFS($A:A,A878,E:E,E878)&gt;1,"yes","no"))</f>
        <v>duplicate?</v>
      </c>
      <c r="K878" s="97" t="str">
        <f ca="1">IF(J878="","Date",IF(J878&lt;&gt;"",IF(K878="Date",NOW(),K878),""))</f>
        <v>Date</v>
      </c>
    </row>
    <row r="879" spans="2:11">
      <c r="B879" s="97" t="str">
        <f ca="1">IF(A879="","Date",IF(A879&lt;&gt;"",IF(B879="Date",NOW(),B879),""))</f>
        <v>Date</v>
      </c>
      <c r="C879" s="19" t="str">
        <f>IF(ISBLANK(A879),"Name",IF(ISNA(VLOOKUP(A879,'Master List'!A:C,2,FALSE)), "Not Found", VLOOKUP(A879,'Master List'!A:C,2,FALSE)))</f>
        <v>Name</v>
      </c>
      <c r="D879" s="19" t="str">
        <f>IF(ISBLANK(A879), "Email",IF(ISNA(VLOOKUP(A879,'Master List'!A:C,3,FALSE)), "Not Found", VLOOKUP(A879,'Master List'!A:C,3,FALSE)))</f>
        <v>Email</v>
      </c>
      <c r="F879" s="4" t="str">
        <f>IF(OR(A879="",E879="","",A879="?",E879="?"),"duplicate?",IF(COUNTIFS($A:A,A879,E:E,E879)&gt;1,"yes","no"))</f>
        <v>duplicate?</v>
      </c>
      <c r="K879" s="97" t="str">
        <f ca="1">IF(J879="","Date",IF(J879&lt;&gt;"",IF(K879="Date",NOW(),K879),""))</f>
        <v>Date</v>
      </c>
    </row>
    <row r="880" spans="2:11">
      <c r="B880" s="97" t="str">
        <f ca="1">IF(A880="","Date",IF(A880&lt;&gt;"",IF(B880="Date",NOW(),B880),""))</f>
        <v>Date</v>
      </c>
      <c r="C880" s="19" t="str">
        <f>IF(ISBLANK(A880),"Name",IF(ISNA(VLOOKUP(A880,'Master List'!A:C,2,FALSE)), "Not Found", VLOOKUP(A880,'Master List'!A:C,2,FALSE)))</f>
        <v>Name</v>
      </c>
      <c r="D880" s="19" t="str">
        <f>IF(ISBLANK(A880), "Email",IF(ISNA(VLOOKUP(A880,'Master List'!A:C,3,FALSE)), "Not Found", VLOOKUP(A880,'Master List'!A:C,3,FALSE)))</f>
        <v>Email</v>
      </c>
      <c r="F880" s="4" t="str">
        <f>IF(OR(A880="",E880="","",A880="?",E880="?"),"duplicate?",IF(COUNTIFS($A:A,A880,E:E,E880)&gt;1,"yes","no"))</f>
        <v>duplicate?</v>
      </c>
      <c r="K880" s="97" t="str">
        <f ca="1">IF(J880="","Date",IF(J880&lt;&gt;"",IF(K880="Date",NOW(),K880),""))</f>
        <v>Date</v>
      </c>
    </row>
    <row r="881" spans="2:11">
      <c r="B881" s="97" t="str">
        <f ca="1">IF(A881="","Date",IF(A881&lt;&gt;"",IF(B881="Date",NOW(),B881),""))</f>
        <v>Date</v>
      </c>
      <c r="C881" s="19" t="str">
        <f>IF(ISBLANK(A881),"Name",IF(ISNA(VLOOKUP(A881,'Master List'!A:C,2,FALSE)), "Not Found", VLOOKUP(A881,'Master List'!A:C,2,FALSE)))</f>
        <v>Name</v>
      </c>
      <c r="D881" s="19" t="str">
        <f>IF(ISBLANK(A881), "Email",IF(ISNA(VLOOKUP(A881,'Master List'!A:C,3,FALSE)), "Not Found", VLOOKUP(A881,'Master List'!A:C,3,FALSE)))</f>
        <v>Email</v>
      </c>
      <c r="F881" s="4" t="str">
        <f>IF(OR(A881="",E881="","",A881="?",E881="?"),"duplicate?",IF(COUNTIFS($A:A,A881,E:E,E881)&gt;1,"yes","no"))</f>
        <v>duplicate?</v>
      </c>
      <c r="K881" s="97" t="str">
        <f ca="1">IF(J881="","Date",IF(J881&lt;&gt;"",IF(K881="Date",NOW(),K881),""))</f>
        <v>Date</v>
      </c>
    </row>
    <row r="882" spans="2:11">
      <c r="B882" s="97" t="str">
        <f ca="1">IF(A882="","Date",IF(A882&lt;&gt;"",IF(B882="Date",NOW(),B882),""))</f>
        <v>Date</v>
      </c>
      <c r="C882" s="19" t="str">
        <f>IF(ISBLANK(A882),"Name",IF(ISNA(VLOOKUP(A882,'Master List'!A:C,2,FALSE)), "Not Found", VLOOKUP(A882,'Master List'!A:C,2,FALSE)))</f>
        <v>Name</v>
      </c>
      <c r="D882" s="19" t="str">
        <f>IF(ISBLANK(A882), "Email",IF(ISNA(VLOOKUP(A882,'Master List'!A:C,3,FALSE)), "Not Found", VLOOKUP(A882,'Master List'!A:C,3,FALSE)))</f>
        <v>Email</v>
      </c>
      <c r="F882" s="4" t="str">
        <f>IF(OR(A882="",E882="","",A882="?",E882="?"),"duplicate?",IF(COUNTIFS($A:A,A882,E:E,E882)&gt;1,"yes","no"))</f>
        <v>duplicate?</v>
      </c>
      <c r="K882" s="97" t="str">
        <f ca="1">IF(J882="","Date",IF(J882&lt;&gt;"",IF(K882="Date",NOW(),K882),""))</f>
        <v>Date</v>
      </c>
    </row>
    <row r="883" spans="2:11">
      <c r="B883" s="97" t="str">
        <f ca="1">IF(A883="","Date",IF(A883&lt;&gt;"",IF(B883="Date",NOW(),B883),""))</f>
        <v>Date</v>
      </c>
      <c r="C883" s="19" t="str">
        <f>IF(ISBLANK(A883),"Name",IF(ISNA(VLOOKUP(A883,'Master List'!A:C,2,FALSE)), "Not Found", VLOOKUP(A883,'Master List'!A:C,2,FALSE)))</f>
        <v>Name</v>
      </c>
      <c r="D883" s="19" t="str">
        <f>IF(ISBLANK(A883), "Email",IF(ISNA(VLOOKUP(A883,'Master List'!A:C,3,FALSE)), "Not Found", VLOOKUP(A883,'Master List'!A:C,3,FALSE)))</f>
        <v>Email</v>
      </c>
      <c r="F883" s="4" t="str">
        <f>IF(OR(A883="",E883="","",A883="?",E883="?"),"duplicate?",IF(COUNTIFS($A:A,A883,E:E,E883)&gt;1,"yes","no"))</f>
        <v>duplicate?</v>
      </c>
      <c r="K883" s="97" t="str">
        <f ca="1">IF(J883="","Date",IF(J883&lt;&gt;"",IF(K883="Date",NOW(),K883),""))</f>
        <v>Date</v>
      </c>
    </row>
    <row r="884" spans="2:11">
      <c r="B884" s="97" t="str">
        <f ca="1">IF(A884="","Date",IF(A884&lt;&gt;"",IF(B884="Date",NOW(),B884),""))</f>
        <v>Date</v>
      </c>
      <c r="C884" s="19" t="str">
        <f>IF(ISBLANK(A884),"Name",IF(ISNA(VLOOKUP(A884,'Master List'!A:C,2,FALSE)), "Not Found", VLOOKUP(A884,'Master List'!A:C,2,FALSE)))</f>
        <v>Name</v>
      </c>
      <c r="D884" s="19" t="str">
        <f>IF(ISBLANK(A884), "Email",IF(ISNA(VLOOKUP(A884,'Master List'!A:C,3,FALSE)), "Not Found", VLOOKUP(A884,'Master List'!A:C,3,FALSE)))</f>
        <v>Email</v>
      </c>
      <c r="F884" s="4" t="str">
        <f>IF(OR(A884="",E884="","",A884="?",E884="?"),"duplicate?",IF(COUNTIFS($A:A,A884,E:E,E884)&gt;1,"yes","no"))</f>
        <v>duplicate?</v>
      </c>
      <c r="K884" s="97" t="str">
        <f ca="1">IF(J884="","Date",IF(J884&lt;&gt;"",IF(K884="Date",NOW(),K884),""))</f>
        <v>Date</v>
      </c>
    </row>
    <row r="885" spans="2:11">
      <c r="B885" s="97" t="str">
        <f ca="1">IF(A885="","Date",IF(A885&lt;&gt;"",IF(B885="Date",NOW(),B885),""))</f>
        <v>Date</v>
      </c>
      <c r="C885" s="19" t="str">
        <f>IF(ISBLANK(A885),"Name",IF(ISNA(VLOOKUP(A885,'Master List'!A:C,2,FALSE)), "Not Found", VLOOKUP(A885,'Master List'!A:C,2,FALSE)))</f>
        <v>Name</v>
      </c>
      <c r="D885" s="19" t="str">
        <f>IF(ISBLANK(A885), "Email",IF(ISNA(VLOOKUP(A885,'Master List'!A:C,3,FALSE)), "Not Found", VLOOKUP(A885,'Master List'!A:C,3,FALSE)))</f>
        <v>Email</v>
      </c>
      <c r="F885" s="4" t="str">
        <f>IF(OR(A885="",E885="","",A885="?",E885="?"),"duplicate?",IF(COUNTIFS($A:A,A885,E:E,E885)&gt;1,"yes","no"))</f>
        <v>duplicate?</v>
      </c>
      <c r="K885" s="97" t="str">
        <f ca="1">IF(J885="","Date",IF(J885&lt;&gt;"",IF(K885="Date",NOW(),K885),""))</f>
        <v>Date</v>
      </c>
    </row>
    <row r="886" spans="2:11">
      <c r="B886" s="97" t="str">
        <f ca="1">IF(A886="","Date",IF(A886&lt;&gt;"",IF(B886="Date",NOW(),B886),""))</f>
        <v>Date</v>
      </c>
      <c r="C886" s="19" t="str">
        <f>IF(ISBLANK(A886),"Name",IF(ISNA(VLOOKUP(A886,'Master List'!A:C,2,FALSE)), "Not Found", VLOOKUP(A886,'Master List'!A:C,2,FALSE)))</f>
        <v>Name</v>
      </c>
      <c r="D886" s="19" t="str">
        <f>IF(ISBLANK(A886), "Email",IF(ISNA(VLOOKUP(A886,'Master List'!A:C,3,FALSE)), "Not Found", VLOOKUP(A886,'Master List'!A:C,3,FALSE)))</f>
        <v>Email</v>
      </c>
      <c r="F886" s="4" t="str">
        <f>IF(OR(A886="",E886="","",A886="?",E886="?"),"duplicate?",IF(COUNTIFS($A:A,A886,E:E,E886)&gt;1,"yes","no"))</f>
        <v>duplicate?</v>
      </c>
      <c r="K886" s="97" t="str">
        <f ca="1">IF(J886="","Date",IF(J886&lt;&gt;"",IF(K886="Date",NOW(),K886),""))</f>
        <v>Date</v>
      </c>
    </row>
    <row r="887" spans="2:11">
      <c r="B887" s="97" t="str">
        <f ca="1">IF(A887="","Date",IF(A887&lt;&gt;"",IF(B887="Date",NOW(),B887),""))</f>
        <v>Date</v>
      </c>
      <c r="C887" s="19" t="str">
        <f>IF(ISBLANK(A887),"Name",IF(ISNA(VLOOKUP(A887,'Master List'!A:C,2,FALSE)), "Not Found", VLOOKUP(A887,'Master List'!A:C,2,FALSE)))</f>
        <v>Name</v>
      </c>
      <c r="D887" s="19" t="str">
        <f>IF(ISBLANK(A887), "Email",IF(ISNA(VLOOKUP(A887,'Master List'!A:C,3,FALSE)), "Not Found", VLOOKUP(A887,'Master List'!A:C,3,FALSE)))</f>
        <v>Email</v>
      </c>
      <c r="F887" s="4" t="str">
        <f>IF(OR(A887="",E887="","",A887="?",E887="?"),"duplicate?",IF(COUNTIFS($A:A,A887,E:E,E887)&gt;1,"yes","no"))</f>
        <v>duplicate?</v>
      </c>
      <c r="K887" s="97" t="str">
        <f ca="1">IF(J887="","Date",IF(J887&lt;&gt;"",IF(K887="Date",NOW(),K887),""))</f>
        <v>Date</v>
      </c>
    </row>
    <row r="888" spans="2:11">
      <c r="B888" s="97" t="str">
        <f ca="1">IF(A888="","Date",IF(A888&lt;&gt;"",IF(B888="Date",NOW(),B888),""))</f>
        <v>Date</v>
      </c>
      <c r="C888" s="19" t="str">
        <f>IF(ISBLANK(A888),"Name",IF(ISNA(VLOOKUP(A888,'Master List'!A:C,2,FALSE)), "Not Found", VLOOKUP(A888,'Master List'!A:C,2,FALSE)))</f>
        <v>Name</v>
      </c>
      <c r="D888" s="19" t="str">
        <f>IF(ISBLANK(A888), "Email",IF(ISNA(VLOOKUP(A888,'Master List'!A:C,3,FALSE)), "Not Found", VLOOKUP(A888,'Master List'!A:C,3,FALSE)))</f>
        <v>Email</v>
      </c>
      <c r="F888" s="4" t="str">
        <f>IF(OR(A888="",E888="","",A888="?",E888="?"),"duplicate?",IF(COUNTIFS($A:A,A888,E:E,E888)&gt;1,"yes","no"))</f>
        <v>duplicate?</v>
      </c>
      <c r="K888" s="97" t="str">
        <f ca="1">IF(J888="","Date",IF(J888&lt;&gt;"",IF(K888="Date",NOW(),K888),""))</f>
        <v>Date</v>
      </c>
    </row>
    <row r="889" spans="2:11">
      <c r="B889" s="97" t="str">
        <f ca="1">IF(A889="","Date",IF(A889&lt;&gt;"",IF(B889="Date",NOW(),B889),""))</f>
        <v>Date</v>
      </c>
      <c r="C889" s="19" t="str">
        <f>IF(ISBLANK(A889),"Name",IF(ISNA(VLOOKUP(A889,'Master List'!A:C,2,FALSE)), "Not Found", VLOOKUP(A889,'Master List'!A:C,2,FALSE)))</f>
        <v>Name</v>
      </c>
      <c r="D889" s="19" t="str">
        <f>IF(ISBLANK(A889), "Email",IF(ISNA(VLOOKUP(A889,'Master List'!A:C,3,FALSE)), "Not Found", VLOOKUP(A889,'Master List'!A:C,3,FALSE)))</f>
        <v>Email</v>
      </c>
      <c r="F889" s="4" t="str">
        <f>IF(OR(A889="",E889="","",A889="?",E889="?"),"duplicate?",IF(COUNTIFS($A:A,A889,E:E,E889)&gt;1,"yes","no"))</f>
        <v>duplicate?</v>
      </c>
      <c r="K889" s="97" t="str">
        <f ca="1">IF(J889="","Date",IF(J889&lt;&gt;"",IF(K889="Date",NOW(),K889),""))</f>
        <v>Date</v>
      </c>
    </row>
    <row r="890" spans="2:11">
      <c r="B890" s="97" t="str">
        <f ca="1">IF(A890="","Date",IF(A890&lt;&gt;"",IF(B890="Date",NOW(),B890),""))</f>
        <v>Date</v>
      </c>
      <c r="C890" s="19" t="str">
        <f>IF(ISBLANK(A890),"Name",IF(ISNA(VLOOKUP(A890,'Master List'!A:C,2,FALSE)), "Not Found", VLOOKUP(A890,'Master List'!A:C,2,FALSE)))</f>
        <v>Name</v>
      </c>
      <c r="D890" s="19" t="str">
        <f>IF(ISBLANK(A890), "Email",IF(ISNA(VLOOKUP(A890,'Master List'!A:C,3,FALSE)), "Not Found", VLOOKUP(A890,'Master List'!A:C,3,FALSE)))</f>
        <v>Email</v>
      </c>
      <c r="F890" s="4" t="str">
        <f>IF(OR(A890="",E890="","",A890="?",E890="?"),"duplicate?",IF(COUNTIFS($A:A,A890,E:E,E890)&gt;1,"yes","no"))</f>
        <v>duplicate?</v>
      </c>
      <c r="K890" s="97" t="str">
        <f ca="1">IF(J890="","Date",IF(J890&lt;&gt;"",IF(K890="Date",NOW(),K890),""))</f>
        <v>Date</v>
      </c>
    </row>
    <row r="891" spans="2:11">
      <c r="B891" s="97" t="str">
        <f ca="1">IF(A891="","Date",IF(A891&lt;&gt;"",IF(B891="Date",NOW(),B891),""))</f>
        <v>Date</v>
      </c>
      <c r="C891" s="19" t="str">
        <f>IF(ISBLANK(A891),"Name",IF(ISNA(VLOOKUP(A891,'Master List'!A:C,2,FALSE)), "Not Found", VLOOKUP(A891,'Master List'!A:C,2,FALSE)))</f>
        <v>Name</v>
      </c>
      <c r="D891" s="19" t="str">
        <f>IF(ISBLANK(A891), "Email",IF(ISNA(VLOOKUP(A891,'Master List'!A:C,3,FALSE)), "Not Found", VLOOKUP(A891,'Master List'!A:C,3,FALSE)))</f>
        <v>Email</v>
      </c>
      <c r="F891" s="4" t="str">
        <f>IF(OR(A891="",E891="","",A891="?",E891="?"),"duplicate?",IF(COUNTIFS($A:A,A891,E:E,E891)&gt;1,"yes","no"))</f>
        <v>duplicate?</v>
      </c>
      <c r="K891" s="97" t="str">
        <f ca="1">IF(J891="","Date",IF(J891&lt;&gt;"",IF(K891="Date",NOW(),K891),""))</f>
        <v>Date</v>
      </c>
    </row>
    <row r="892" spans="2:11">
      <c r="B892" s="97" t="str">
        <f ca="1">IF(A892="","Date",IF(A892&lt;&gt;"",IF(B892="Date",NOW(),B892),""))</f>
        <v>Date</v>
      </c>
      <c r="C892" s="19" t="str">
        <f>IF(ISBLANK(A892),"Name",IF(ISNA(VLOOKUP(A892,'Master List'!A:C,2,FALSE)), "Not Found", VLOOKUP(A892,'Master List'!A:C,2,FALSE)))</f>
        <v>Name</v>
      </c>
      <c r="D892" s="19" t="str">
        <f>IF(ISBLANK(A892), "Email",IF(ISNA(VLOOKUP(A892,'Master List'!A:C,3,FALSE)), "Not Found", VLOOKUP(A892,'Master List'!A:C,3,FALSE)))</f>
        <v>Email</v>
      </c>
      <c r="F892" s="4" t="str">
        <f>IF(OR(A892="",E892="","",A892="?",E892="?"),"duplicate?",IF(COUNTIFS($A:A,A892,E:E,E892)&gt;1,"yes","no"))</f>
        <v>duplicate?</v>
      </c>
      <c r="K892" s="97" t="str">
        <f ca="1">IF(J892="","Date",IF(J892&lt;&gt;"",IF(K892="Date",NOW(),K892),""))</f>
        <v>Date</v>
      </c>
    </row>
    <row r="893" spans="2:11">
      <c r="B893" s="97" t="str">
        <f ca="1">IF(A893="","Date",IF(A893&lt;&gt;"",IF(B893="Date",NOW(),B893),""))</f>
        <v>Date</v>
      </c>
      <c r="C893" s="19" t="str">
        <f>IF(ISBLANK(A893),"Name",IF(ISNA(VLOOKUP(A893,'Master List'!A:C,2,FALSE)), "Not Found", VLOOKUP(A893,'Master List'!A:C,2,FALSE)))</f>
        <v>Name</v>
      </c>
      <c r="D893" s="19" t="str">
        <f>IF(ISBLANK(A893), "Email",IF(ISNA(VLOOKUP(A893,'Master List'!A:C,3,FALSE)), "Not Found", VLOOKUP(A893,'Master List'!A:C,3,FALSE)))</f>
        <v>Email</v>
      </c>
      <c r="F893" s="4" t="str">
        <f>IF(OR(A893="",E893="","",A893="?",E893="?"),"duplicate?",IF(COUNTIFS($A:A,A893,E:E,E893)&gt;1,"yes","no"))</f>
        <v>duplicate?</v>
      </c>
      <c r="K893" s="97" t="str">
        <f ca="1">IF(J893="","Date",IF(J893&lt;&gt;"",IF(K893="Date",NOW(),K893),""))</f>
        <v>Date</v>
      </c>
    </row>
    <row r="894" spans="2:11">
      <c r="B894" s="97" t="str">
        <f ca="1">IF(A894="","Date",IF(A894&lt;&gt;"",IF(B894="Date",NOW(),B894),""))</f>
        <v>Date</v>
      </c>
      <c r="C894" s="19" t="str">
        <f>IF(ISBLANK(A894),"Name",IF(ISNA(VLOOKUP(A894,'Master List'!A:C,2,FALSE)), "Not Found", VLOOKUP(A894,'Master List'!A:C,2,FALSE)))</f>
        <v>Name</v>
      </c>
      <c r="D894" s="19" t="str">
        <f>IF(ISBLANK(A894), "Email",IF(ISNA(VLOOKUP(A894,'Master List'!A:C,3,FALSE)), "Not Found", VLOOKUP(A894,'Master List'!A:C,3,FALSE)))</f>
        <v>Email</v>
      </c>
      <c r="F894" s="4" t="str">
        <f>IF(OR(A894="",E894="","",A894="?",E894="?"),"duplicate?",IF(COUNTIFS($A:A,A894,E:E,E894)&gt;1,"yes","no"))</f>
        <v>duplicate?</v>
      </c>
      <c r="K894" s="97" t="str">
        <f ca="1">IF(J894="","Date",IF(J894&lt;&gt;"",IF(K894="Date",NOW(),K894),""))</f>
        <v>Date</v>
      </c>
    </row>
    <row r="895" spans="2:11">
      <c r="B895" s="97" t="str">
        <f ca="1">IF(A895="","Date",IF(A895&lt;&gt;"",IF(B895="Date",NOW(),B895),""))</f>
        <v>Date</v>
      </c>
      <c r="C895" s="19" t="str">
        <f>IF(ISBLANK(A895),"Name",IF(ISNA(VLOOKUP(A895,'Master List'!A:C,2,FALSE)), "Not Found", VLOOKUP(A895,'Master List'!A:C,2,FALSE)))</f>
        <v>Name</v>
      </c>
      <c r="D895" s="19" t="str">
        <f>IF(ISBLANK(A895), "Email",IF(ISNA(VLOOKUP(A895,'Master List'!A:C,3,FALSE)), "Not Found", VLOOKUP(A895,'Master List'!A:C,3,FALSE)))</f>
        <v>Email</v>
      </c>
      <c r="F895" s="4" t="str">
        <f>IF(OR(A895="",E895="","",A895="?",E895="?"),"duplicate?",IF(COUNTIFS($A:A,A895,E:E,E895)&gt;1,"yes","no"))</f>
        <v>duplicate?</v>
      </c>
      <c r="K895" s="97" t="str">
        <f ca="1">IF(J895="","Date",IF(J895&lt;&gt;"",IF(K895="Date",NOW(),K895),""))</f>
        <v>Date</v>
      </c>
    </row>
    <row r="896" spans="2:11">
      <c r="B896" s="97" t="str">
        <f ca="1">IF(A896="","Date",IF(A896&lt;&gt;"",IF(B896="Date",NOW(),B896),""))</f>
        <v>Date</v>
      </c>
      <c r="C896" s="19" t="str">
        <f>IF(ISBLANK(A896),"Name",IF(ISNA(VLOOKUP(A896,'Master List'!A:C,2,FALSE)), "Not Found", VLOOKUP(A896,'Master List'!A:C,2,FALSE)))</f>
        <v>Name</v>
      </c>
      <c r="D896" s="19" t="str">
        <f>IF(ISBLANK(A896), "Email",IF(ISNA(VLOOKUP(A896,'Master List'!A:C,3,FALSE)), "Not Found", VLOOKUP(A896,'Master List'!A:C,3,FALSE)))</f>
        <v>Email</v>
      </c>
      <c r="F896" s="4" t="str">
        <f>IF(OR(A896="",E896="","",A896="?",E896="?"),"duplicate?",IF(COUNTIFS($A:A,A896,E:E,E896)&gt;1,"yes","no"))</f>
        <v>duplicate?</v>
      </c>
      <c r="K896" s="97" t="str">
        <f ca="1">IF(J896="","Date",IF(J896&lt;&gt;"",IF(K896="Date",NOW(),K896),""))</f>
        <v>Date</v>
      </c>
    </row>
    <row r="897" spans="2:11">
      <c r="B897" s="97" t="str">
        <f ca="1">IF(A897="","Date",IF(A897&lt;&gt;"",IF(B897="Date",NOW(),B897),""))</f>
        <v>Date</v>
      </c>
      <c r="C897" s="19" t="str">
        <f>IF(ISBLANK(A897),"Name",IF(ISNA(VLOOKUP(A897,'Master List'!A:C,2,FALSE)), "Not Found", VLOOKUP(A897,'Master List'!A:C,2,FALSE)))</f>
        <v>Name</v>
      </c>
      <c r="D897" s="19" t="str">
        <f>IF(ISBLANK(A897), "Email",IF(ISNA(VLOOKUP(A897,'Master List'!A:C,3,FALSE)), "Not Found", VLOOKUP(A897,'Master List'!A:C,3,FALSE)))</f>
        <v>Email</v>
      </c>
      <c r="F897" s="4" t="str">
        <f>IF(OR(A897="",E897="","",A897="?",E897="?"),"duplicate?",IF(COUNTIFS($A:A,A897,E:E,E897)&gt;1,"yes","no"))</f>
        <v>duplicate?</v>
      </c>
      <c r="K897" s="97" t="str">
        <f ca="1">IF(J897="","Date",IF(J897&lt;&gt;"",IF(K897="Date",NOW(),K897),""))</f>
        <v>Date</v>
      </c>
    </row>
    <row r="898" spans="2:11">
      <c r="B898" s="97" t="str">
        <f ca="1">IF(A898="","Date",IF(A898&lt;&gt;"",IF(B898="Date",NOW(),B898),""))</f>
        <v>Date</v>
      </c>
      <c r="C898" s="19" t="str">
        <f>IF(ISBLANK(A898),"Name",IF(ISNA(VLOOKUP(A898,'Master List'!A:C,2,FALSE)), "Not Found", VLOOKUP(A898,'Master List'!A:C,2,FALSE)))</f>
        <v>Name</v>
      </c>
      <c r="D898" s="19" t="str">
        <f>IF(ISBLANK(A898), "Email",IF(ISNA(VLOOKUP(A898,'Master List'!A:C,3,FALSE)), "Not Found", VLOOKUP(A898,'Master List'!A:C,3,FALSE)))</f>
        <v>Email</v>
      </c>
      <c r="F898" s="4" t="str">
        <f>IF(OR(A898="",E898="","",A898="?",E898="?"),"duplicate?",IF(COUNTIFS($A:A,A898,E:E,E898)&gt;1,"yes","no"))</f>
        <v>duplicate?</v>
      </c>
      <c r="K898" s="97" t="str">
        <f ca="1">IF(J898="","Date",IF(J898&lt;&gt;"",IF(K898="Date",NOW(),K898),""))</f>
        <v>Date</v>
      </c>
    </row>
    <row r="899" spans="2:11">
      <c r="B899" s="97" t="str">
        <f ca="1">IF(A899="","Date",IF(A899&lt;&gt;"",IF(B899="Date",NOW(),B899),""))</f>
        <v>Date</v>
      </c>
      <c r="C899" s="19" t="str">
        <f>IF(ISBLANK(A899),"Name",IF(ISNA(VLOOKUP(A899,'Master List'!A:C,2,FALSE)), "Not Found", VLOOKUP(A899,'Master List'!A:C,2,FALSE)))</f>
        <v>Name</v>
      </c>
      <c r="D899" s="19" t="str">
        <f>IF(ISBLANK(A899), "Email",IF(ISNA(VLOOKUP(A899,'Master List'!A:C,3,FALSE)), "Not Found", VLOOKUP(A899,'Master List'!A:C,3,FALSE)))</f>
        <v>Email</v>
      </c>
      <c r="F899" s="4" t="str">
        <f>IF(OR(A899="",E899="","",A899="?",E899="?"),"duplicate?",IF(COUNTIFS($A:A,A899,E:E,E899)&gt;1,"yes","no"))</f>
        <v>duplicate?</v>
      </c>
      <c r="K899" s="97" t="str">
        <f ca="1">IF(J899="","Date",IF(J899&lt;&gt;"",IF(K899="Date",NOW(),K899),""))</f>
        <v>Date</v>
      </c>
    </row>
    <row r="900" spans="2:11">
      <c r="B900" s="97" t="str">
        <f ca="1">IF(A900="","Date",IF(A900&lt;&gt;"",IF(B900="Date",NOW(),B900),""))</f>
        <v>Date</v>
      </c>
      <c r="C900" s="19" t="str">
        <f>IF(ISBLANK(A900),"Name",IF(ISNA(VLOOKUP(A900,'Master List'!A:C,2,FALSE)), "Not Found", VLOOKUP(A900,'Master List'!A:C,2,FALSE)))</f>
        <v>Name</v>
      </c>
      <c r="D900" s="19" t="str">
        <f>IF(ISBLANK(A900), "Email",IF(ISNA(VLOOKUP(A900,'Master List'!A:C,3,FALSE)), "Not Found", VLOOKUP(A900,'Master List'!A:C,3,FALSE)))</f>
        <v>Email</v>
      </c>
      <c r="F900" s="4" t="str">
        <f>IF(OR(A900="",E900="","",A900="?",E900="?"),"duplicate?",IF(COUNTIFS($A:A,A900,E:E,E900)&gt;1,"yes","no"))</f>
        <v>duplicate?</v>
      </c>
      <c r="K900" s="97" t="str">
        <f ca="1">IF(J900="","Date",IF(J900&lt;&gt;"",IF(K900="Date",NOW(),K900),""))</f>
        <v>Date</v>
      </c>
    </row>
    <row r="901" spans="2:11">
      <c r="B901" s="97" t="str">
        <f ca="1">IF(A901="","Date",IF(A901&lt;&gt;"",IF(B901="Date",NOW(),B901),""))</f>
        <v>Date</v>
      </c>
      <c r="C901" s="19" t="str">
        <f>IF(ISBLANK(A901),"Name",IF(ISNA(VLOOKUP(A901,'Master List'!A:C,2,FALSE)), "Not Found", VLOOKUP(A901,'Master List'!A:C,2,FALSE)))</f>
        <v>Name</v>
      </c>
      <c r="D901" s="19" t="str">
        <f>IF(ISBLANK(A901), "Email",IF(ISNA(VLOOKUP(A901,'Master List'!A:C,3,FALSE)), "Not Found", VLOOKUP(A901,'Master List'!A:C,3,FALSE)))</f>
        <v>Email</v>
      </c>
      <c r="F901" s="4" t="str">
        <f>IF(OR(A901="",E901="","",A901="?",E901="?"),"duplicate?",IF(COUNTIFS($A:A,A901,E:E,E901)&gt;1,"yes","no"))</f>
        <v>duplicate?</v>
      </c>
      <c r="K901" s="97" t="str">
        <f ca="1">IF(J901="","Date",IF(J901&lt;&gt;"",IF(K901="Date",NOW(),K901),""))</f>
        <v>Date</v>
      </c>
    </row>
    <row r="902" spans="2:11">
      <c r="B902" s="97" t="str">
        <f ca="1">IF(A902="","Date",IF(A902&lt;&gt;"",IF(B902="Date",NOW(),B902),""))</f>
        <v>Date</v>
      </c>
      <c r="C902" s="19" t="str">
        <f>IF(ISBLANK(A902),"Name",IF(ISNA(VLOOKUP(A902,'Master List'!A:C,2,FALSE)), "Not Found", VLOOKUP(A902,'Master List'!A:C,2,FALSE)))</f>
        <v>Name</v>
      </c>
      <c r="D902" s="19" t="str">
        <f>IF(ISBLANK(A902), "Email",IF(ISNA(VLOOKUP(A902,'Master List'!A:C,3,FALSE)), "Not Found", VLOOKUP(A902,'Master List'!A:C,3,FALSE)))</f>
        <v>Email</v>
      </c>
      <c r="F902" s="4" t="str">
        <f>IF(OR(A902="",E902="","",A902="?",E902="?"),"duplicate?",IF(COUNTIFS($A:A,A902,E:E,E902)&gt;1,"yes","no"))</f>
        <v>duplicate?</v>
      </c>
      <c r="K902" s="97" t="str">
        <f ca="1">IF(J902="","Date",IF(J902&lt;&gt;"",IF(K902="Date",NOW(),K902),""))</f>
        <v>Date</v>
      </c>
    </row>
    <row r="903" spans="2:11">
      <c r="B903" s="97" t="str">
        <f ca="1">IF(A903="","Date",IF(A903&lt;&gt;"",IF(B903="Date",NOW(),B903),""))</f>
        <v>Date</v>
      </c>
      <c r="C903" s="19" t="str">
        <f>IF(ISBLANK(A903),"Name",IF(ISNA(VLOOKUP(A903,'Master List'!A:C,2,FALSE)), "Not Found", VLOOKUP(A903,'Master List'!A:C,2,FALSE)))</f>
        <v>Name</v>
      </c>
      <c r="D903" s="19" t="str">
        <f>IF(ISBLANK(A903), "Email",IF(ISNA(VLOOKUP(A903,'Master List'!A:C,3,FALSE)), "Not Found", VLOOKUP(A903,'Master List'!A:C,3,FALSE)))</f>
        <v>Email</v>
      </c>
      <c r="F903" s="4" t="str">
        <f>IF(OR(A903="",E903="","",A903="?",E903="?"),"duplicate?",IF(COUNTIFS($A:A,A903,E:E,E903)&gt;1,"yes","no"))</f>
        <v>duplicate?</v>
      </c>
      <c r="K903" s="97" t="str">
        <f ca="1">IF(J903="","Date",IF(J903&lt;&gt;"",IF(K903="Date",NOW(),K903),""))</f>
        <v>Date</v>
      </c>
    </row>
    <row r="904" spans="2:11">
      <c r="B904" s="97" t="str">
        <f ca="1">IF(A904="","Date",IF(A904&lt;&gt;"",IF(B904="Date",NOW(),B904),""))</f>
        <v>Date</v>
      </c>
      <c r="C904" s="19" t="str">
        <f>IF(ISBLANK(A904),"Name",IF(ISNA(VLOOKUP(A904,'Master List'!A:C,2,FALSE)), "Not Found", VLOOKUP(A904,'Master List'!A:C,2,FALSE)))</f>
        <v>Name</v>
      </c>
      <c r="D904" s="19" t="str">
        <f>IF(ISBLANK(A904), "Email",IF(ISNA(VLOOKUP(A904,'Master List'!A:C,3,FALSE)), "Not Found", VLOOKUP(A904,'Master List'!A:C,3,FALSE)))</f>
        <v>Email</v>
      </c>
      <c r="F904" s="4" t="str">
        <f>IF(OR(A904="",E904="","",A904="?",E904="?"),"duplicate?",IF(COUNTIFS($A:A,A904,E:E,E904)&gt;1,"yes","no"))</f>
        <v>duplicate?</v>
      </c>
      <c r="K904" s="97" t="str">
        <f ca="1">IF(J904="","Date",IF(J904&lt;&gt;"",IF(K904="Date",NOW(),K904),""))</f>
        <v>Date</v>
      </c>
    </row>
    <row r="905" spans="2:11">
      <c r="B905" s="97" t="str">
        <f ca="1">IF(A905="","Date",IF(A905&lt;&gt;"",IF(B905="Date",NOW(),B905),""))</f>
        <v>Date</v>
      </c>
      <c r="C905" s="19" t="str">
        <f>IF(ISBLANK(A905),"Name",IF(ISNA(VLOOKUP(A905,'Master List'!A:C,2,FALSE)), "Not Found", VLOOKUP(A905,'Master List'!A:C,2,FALSE)))</f>
        <v>Name</v>
      </c>
      <c r="D905" s="19" t="str">
        <f>IF(ISBLANK(A905), "Email",IF(ISNA(VLOOKUP(A905,'Master List'!A:C,3,FALSE)), "Not Found", VLOOKUP(A905,'Master List'!A:C,3,FALSE)))</f>
        <v>Email</v>
      </c>
      <c r="F905" s="4" t="str">
        <f>IF(OR(A905="",E905="","",A905="?",E905="?"),"duplicate?",IF(COUNTIFS($A:A,A905,E:E,E905)&gt;1,"yes","no"))</f>
        <v>duplicate?</v>
      </c>
      <c r="K905" s="97" t="str">
        <f ca="1">IF(J905="","Date",IF(J905&lt;&gt;"",IF(K905="Date",NOW(),K905),""))</f>
        <v>Date</v>
      </c>
    </row>
    <row r="906" spans="2:11">
      <c r="B906" s="97" t="str">
        <f ca="1">IF(A906="","Date",IF(A906&lt;&gt;"",IF(B906="Date",NOW(),B906),""))</f>
        <v>Date</v>
      </c>
      <c r="C906" s="19" t="str">
        <f>IF(ISBLANK(A906),"Name",IF(ISNA(VLOOKUP(A906,'Master List'!A:C,2,FALSE)), "Not Found", VLOOKUP(A906,'Master List'!A:C,2,FALSE)))</f>
        <v>Name</v>
      </c>
      <c r="D906" s="19" t="str">
        <f>IF(ISBLANK(A906), "Email",IF(ISNA(VLOOKUP(A906,'Master List'!A:C,3,FALSE)), "Not Found", VLOOKUP(A906,'Master List'!A:C,3,FALSE)))</f>
        <v>Email</v>
      </c>
      <c r="F906" s="4" t="str">
        <f>IF(OR(A906="",E906="","",A906="?",E906="?"),"duplicate?",IF(COUNTIFS($A:A,A906,E:E,E906)&gt;1,"yes","no"))</f>
        <v>duplicate?</v>
      </c>
      <c r="K906" s="97" t="str">
        <f ca="1">IF(J906="","Date",IF(J906&lt;&gt;"",IF(K906="Date",NOW(),K906),""))</f>
        <v>Date</v>
      </c>
    </row>
    <row r="907" spans="2:11">
      <c r="B907" s="97" t="str">
        <f ca="1">IF(A907="","Date",IF(A907&lt;&gt;"",IF(B907="Date",NOW(),B907),""))</f>
        <v>Date</v>
      </c>
      <c r="C907" s="19" t="str">
        <f>IF(ISBLANK(A907),"Name",IF(ISNA(VLOOKUP(A907,'Master List'!A:C,2,FALSE)), "Not Found", VLOOKUP(A907,'Master List'!A:C,2,FALSE)))</f>
        <v>Name</v>
      </c>
      <c r="D907" s="19" t="str">
        <f>IF(ISBLANK(A907), "Email",IF(ISNA(VLOOKUP(A907,'Master List'!A:C,3,FALSE)), "Not Found", VLOOKUP(A907,'Master List'!A:C,3,FALSE)))</f>
        <v>Email</v>
      </c>
      <c r="F907" s="4" t="str">
        <f>IF(OR(A907="",E907="","",A907="?",E907="?"),"duplicate?",IF(COUNTIFS($A:A,A907,E:E,E907)&gt;1,"yes","no"))</f>
        <v>duplicate?</v>
      </c>
      <c r="K907" s="97" t="str">
        <f ca="1">IF(J907="","Date",IF(J907&lt;&gt;"",IF(K907="Date",NOW(),K907),""))</f>
        <v>Date</v>
      </c>
    </row>
    <row r="908" spans="2:11">
      <c r="B908" s="97" t="str">
        <f ca="1">IF(A908="","Date",IF(A908&lt;&gt;"",IF(B908="Date",NOW(),B908),""))</f>
        <v>Date</v>
      </c>
      <c r="C908" s="19" t="str">
        <f>IF(ISBLANK(A908),"Name",IF(ISNA(VLOOKUP(A908,'Master List'!A:C,2,FALSE)), "Not Found", VLOOKUP(A908,'Master List'!A:C,2,FALSE)))</f>
        <v>Name</v>
      </c>
      <c r="D908" s="19" t="str">
        <f>IF(ISBLANK(A908), "Email",IF(ISNA(VLOOKUP(A908,'Master List'!A:C,3,FALSE)), "Not Found", VLOOKUP(A908,'Master List'!A:C,3,FALSE)))</f>
        <v>Email</v>
      </c>
      <c r="F908" s="4" t="str">
        <f>IF(OR(A908="",E908="","",A908="?",E908="?"),"duplicate?",IF(COUNTIFS($A:A,A908,E:E,E908)&gt;1,"yes","no"))</f>
        <v>duplicate?</v>
      </c>
      <c r="K908" s="97" t="str">
        <f ca="1">IF(J908="","Date",IF(J908&lt;&gt;"",IF(K908="Date",NOW(),K908),""))</f>
        <v>Date</v>
      </c>
    </row>
    <row r="909" spans="2:11">
      <c r="B909" s="97" t="str">
        <f ca="1">IF(A909="","Date",IF(A909&lt;&gt;"",IF(B909="Date",NOW(),B909),""))</f>
        <v>Date</v>
      </c>
      <c r="C909" s="19" t="str">
        <f>IF(ISBLANK(A909),"Name",IF(ISNA(VLOOKUP(A909,'Master List'!A:C,2,FALSE)), "Not Found", VLOOKUP(A909,'Master List'!A:C,2,FALSE)))</f>
        <v>Name</v>
      </c>
      <c r="D909" s="19" t="str">
        <f>IF(ISBLANK(A909), "Email",IF(ISNA(VLOOKUP(A909,'Master List'!A:C,3,FALSE)), "Not Found", VLOOKUP(A909,'Master List'!A:C,3,FALSE)))</f>
        <v>Email</v>
      </c>
      <c r="F909" s="4" t="str">
        <f>IF(OR(A909="",E909="","",A909="?",E909="?"),"duplicate?",IF(COUNTIFS($A:A,A909,E:E,E909)&gt;1,"yes","no"))</f>
        <v>duplicate?</v>
      </c>
      <c r="K909" s="97" t="str">
        <f ca="1">IF(J909="","Date",IF(J909&lt;&gt;"",IF(K909="Date",NOW(),K909),""))</f>
        <v>Date</v>
      </c>
    </row>
    <row r="910" spans="2:11">
      <c r="B910" s="97" t="str">
        <f ca="1">IF(A910="","Date",IF(A910&lt;&gt;"",IF(B910="Date",NOW(),B910),""))</f>
        <v>Date</v>
      </c>
      <c r="C910" s="19" t="str">
        <f>IF(ISBLANK(A910),"Name",IF(ISNA(VLOOKUP(A910,'Master List'!A:C,2,FALSE)), "Not Found", VLOOKUP(A910,'Master List'!A:C,2,FALSE)))</f>
        <v>Name</v>
      </c>
      <c r="D910" s="19" t="str">
        <f>IF(ISBLANK(A910), "Email",IF(ISNA(VLOOKUP(A910,'Master List'!A:C,3,FALSE)), "Not Found", VLOOKUP(A910,'Master List'!A:C,3,FALSE)))</f>
        <v>Email</v>
      </c>
      <c r="F910" s="4" t="str">
        <f>IF(OR(A910="",E910="","",A910="?",E910="?"),"duplicate?",IF(COUNTIFS($A:A,A910,E:E,E910)&gt;1,"yes","no"))</f>
        <v>duplicate?</v>
      </c>
      <c r="K910" s="97" t="str">
        <f ca="1">IF(J910="","Date",IF(J910&lt;&gt;"",IF(K910="Date",NOW(),K910),""))</f>
        <v>Date</v>
      </c>
    </row>
    <row r="911" spans="2:11">
      <c r="B911" s="97" t="str">
        <f ca="1">IF(A911="","Date",IF(A911&lt;&gt;"",IF(B911="Date",NOW(),B911),""))</f>
        <v>Date</v>
      </c>
      <c r="C911" s="19" t="str">
        <f>IF(ISBLANK(A911),"Name",IF(ISNA(VLOOKUP(A911,'Master List'!A:C,2,FALSE)), "Not Found", VLOOKUP(A911,'Master List'!A:C,2,FALSE)))</f>
        <v>Name</v>
      </c>
      <c r="D911" s="19" t="str">
        <f>IF(ISBLANK(A911), "Email",IF(ISNA(VLOOKUP(A911,'Master List'!A:C,3,FALSE)), "Not Found", VLOOKUP(A911,'Master List'!A:C,3,FALSE)))</f>
        <v>Email</v>
      </c>
      <c r="F911" s="4" t="str">
        <f>IF(OR(A911="",E911="","",A911="?",E911="?"),"duplicate?",IF(COUNTIFS($A:A,A911,E:E,E911)&gt;1,"yes","no"))</f>
        <v>duplicate?</v>
      </c>
      <c r="K911" s="97" t="str">
        <f ca="1">IF(J911="","Date",IF(J911&lt;&gt;"",IF(K911="Date",NOW(),K911),""))</f>
        <v>Date</v>
      </c>
    </row>
    <row r="912" spans="2:11">
      <c r="B912" s="97" t="str">
        <f ca="1">IF(A912="","Date",IF(A912&lt;&gt;"",IF(B912="Date",NOW(),B912),""))</f>
        <v>Date</v>
      </c>
      <c r="C912" s="19" t="str">
        <f>IF(ISBLANK(A912),"Name",IF(ISNA(VLOOKUP(A912,'Master List'!A:C,2,FALSE)), "Not Found", VLOOKUP(A912,'Master List'!A:C,2,FALSE)))</f>
        <v>Name</v>
      </c>
      <c r="D912" s="19" t="str">
        <f>IF(ISBLANK(A912), "Email",IF(ISNA(VLOOKUP(A912,'Master List'!A:C,3,FALSE)), "Not Found", VLOOKUP(A912,'Master List'!A:C,3,FALSE)))</f>
        <v>Email</v>
      </c>
      <c r="F912" s="4" t="str">
        <f>IF(OR(A912="",E912="","",A912="?",E912="?"),"duplicate?",IF(COUNTIFS($A:A,A912,E:E,E912)&gt;1,"yes","no"))</f>
        <v>duplicate?</v>
      </c>
      <c r="K912" s="97" t="str">
        <f ca="1">IF(J912="","Date",IF(J912&lt;&gt;"",IF(K912="Date",NOW(),K912),""))</f>
        <v>Date</v>
      </c>
    </row>
    <row r="913" spans="2:11">
      <c r="B913" s="97" t="str">
        <f ca="1">IF(A913="","Date",IF(A913&lt;&gt;"",IF(B913="Date",NOW(),B913),""))</f>
        <v>Date</v>
      </c>
      <c r="C913" s="19" t="str">
        <f>IF(ISBLANK(A913),"Name",IF(ISNA(VLOOKUP(A913,'Master List'!A:C,2,FALSE)), "Not Found", VLOOKUP(A913,'Master List'!A:C,2,FALSE)))</f>
        <v>Name</v>
      </c>
      <c r="D913" s="19" t="str">
        <f>IF(ISBLANK(A913), "Email",IF(ISNA(VLOOKUP(A913,'Master List'!A:C,3,FALSE)), "Not Found", VLOOKUP(A913,'Master List'!A:C,3,FALSE)))</f>
        <v>Email</v>
      </c>
      <c r="F913" s="4" t="str">
        <f>IF(OR(A913="",E913="","",A913="?",E913="?"),"duplicate?",IF(COUNTIFS($A:A,A913,E:E,E913)&gt;1,"yes","no"))</f>
        <v>duplicate?</v>
      </c>
      <c r="K913" s="97" t="str">
        <f ca="1">IF(J913="","Date",IF(J913&lt;&gt;"",IF(K913="Date",NOW(),K913),""))</f>
        <v>Date</v>
      </c>
    </row>
    <row r="914" spans="2:11">
      <c r="B914" s="97" t="str">
        <f ca="1">IF(A914="","Date",IF(A914&lt;&gt;"",IF(B914="Date",NOW(),B914),""))</f>
        <v>Date</v>
      </c>
      <c r="C914" s="19" t="str">
        <f>IF(ISBLANK(A914),"Name",IF(ISNA(VLOOKUP(A914,'Master List'!A:C,2,FALSE)), "Not Found", VLOOKUP(A914,'Master List'!A:C,2,FALSE)))</f>
        <v>Name</v>
      </c>
      <c r="D914" s="19" t="str">
        <f>IF(ISBLANK(A914), "Email",IF(ISNA(VLOOKUP(A914,'Master List'!A:C,3,FALSE)), "Not Found", VLOOKUP(A914,'Master List'!A:C,3,FALSE)))</f>
        <v>Email</v>
      </c>
      <c r="F914" s="4" t="str">
        <f>IF(OR(A914="",E914="","",A914="?",E914="?"),"duplicate?",IF(COUNTIFS($A:A,A914,E:E,E914)&gt;1,"yes","no"))</f>
        <v>duplicate?</v>
      </c>
      <c r="K914" s="97" t="str">
        <f ca="1">IF(J914="","Date",IF(J914&lt;&gt;"",IF(K914="Date",NOW(),K914),""))</f>
        <v>Date</v>
      </c>
    </row>
    <row r="915" spans="2:11">
      <c r="B915" s="97" t="str">
        <f ca="1">IF(A915="","Date",IF(A915&lt;&gt;"",IF(B915="Date",NOW(),B915),""))</f>
        <v>Date</v>
      </c>
      <c r="C915" s="19" t="str">
        <f>IF(ISBLANK(A915),"Name",IF(ISNA(VLOOKUP(A915,'Master List'!A:C,2,FALSE)), "Not Found", VLOOKUP(A915,'Master List'!A:C,2,FALSE)))</f>
        <v>Name</v>
      </c>
      <c r="D915" s="19" t="str">
        <f>IF(ISBLANK(A915), "Email",IF(ISNA(VLOOKUP(A915,'Master List'!A:C,3,FALSE)), "Not Found", VLOOKUP(A915,'Master List'!A:C,3,FALSE)))</f>
        <v>Email</v>
      </c>
      <c r="F915" s="4" t="str">
        <f>IF(OR(A915="",E915="","",A915="?",E915="?"),"duplicate?",IF(COUNTIFS($A:A,A915,E:E,E915)&gt;1,"yes","no"))</f>
        <v>duplicate?</v>
      </c>
      <c r="K915" s="97" t="str">
        <f ca="1">IF(J915="","Date",IF(J915&lt;&gt;"",IF(K915="Date",NOW(),K915),""))</f>
        <v>Date</v>
      </c>
    </row>
    <row r="916" spans="2:11">
      <c r="B916" s="97" t="str">
        <f ca="1">IF(A916="","Date",IF(A916&lt;&gt;"",IF(B916="Date",NOW(),B916),""))</f>
        <v>Date</v>
      </c>
      <c r="C916" s="19" t="str">
        <f>IF(ISBLANK(A916),"Name",IF(ISNA(VLOOKUP(A916,'Master List'!A:C,2,FALSE)), "Not Found", VLOOKUP(A916,'Master List'!A:C,2,FALSE)))</f>
        <v>Name</v>
      </c>
      <c r="D916" s="19" t="str">
        <f>IF(ISBLANK(A916), "Email",IF(ISNA(VLOOKUP(A916,'Master List'!A:C,3,FALSE)), "Not Found", VLOOKUP(A916,'Master List'!A:C,3,FALSE)))</f>
        <v>Email</v>
      </c>
      <c r="F916" s="4" t="str">
        <f>IF(OR(A916="",E916="","",A916="?",E916="?"),"duplicate?",IF(COUNTIFS($A:A,A916,E:E,E916)&gt;1,"yes","no"))</f>
        <v>duplicate?</v>
      </c>
      <c r="K916" s="97" t="str">
        <f ca="1">IF(J916="","Date",IF(J916&lt;&gt;"",IF(K916="Date",NOW(),K916),""))</f>
        <v>Date</v>
      </c>
    </row>
    <row r="917" spans="2:11">
      <c r="B917" s="97" t="str">
        <f ca="1">IF(A917="","Date",IF(A917&lt;&gt;"",IF(B917="Date",NOW(),B917),""))</f>
        <v>Date</v>
      </c>
      <c r="C917" s="19" t="str">
        <f>IF(ISBLANK(A917),"Name",IF(ISNA(VLOOKUP(A917,'Master List'!A:C,2,FALSE)), "Not Found", VLOOKUP(A917,'Master List'!A:C,2,FALSE)))</f>
        <v>Name</v>
      </c>
      <c r="D917" s="19" t="str">
        <f>IF(ISBLANK(A917), "Email",IF(ISNA(VLOOKUP(A917,'Master List'!A:C,3,FALSE)), "Not Found", VLOOKUP(A917,'Master List'!A:C,3,FALSE)))</f>
        <v>Email</v>
      </c>
      <c r="F917" s="4" t="str">
        <f>IF(OR(A917="",E917="","",A917="?",E917="?"),"duplicate?",IF(COUNTIFS($A:A,A917,E:E,E917)&gt;1,"yes","no"))</f>
        <v>duplicate?</v>
      </c>
      <c r="K917" s="97" t="str">
        <f ca="1">IF(J917="","Date",IF(J917&lt;&gt;"",IF(K917="Date",NOW(),K917),""))</f>
        <v>Date</v>
      </c>
    </row>
    <row r="918" spans="2:11">
      <c r="B918" s="97" t="str">
        <f ca="1">IF(A918="","Date",IF(A918&lt;&gt;"",IF(B918="Date",NOW(),B918),""))</f>
        <v>Date</v>
      </c>
      <c r="C918" s="19" t="str">
        <f>IF(ISBLANK(A918),"Name",IF(ISNA(VLOOKUP(A918,'Master List'!A:C,2,FALSE)), "Not Found", VLOOKUP(A918,'Master List'!A:C,2,FALSE)))</f>
        <v>Name</v>
      </c>
      <c r="D918" s="19" t="str">
        <f>IF(ISBLANK(A918), "Email",IF(ISNA(VLOOKUP(A918,'Master List'!A:C,3,FALSE)), "Not Found", VLOOKUP(A918,'Master List'!A:C,3,FALSE)))</f>
        <v>Email</v>
      </c>
      <c r="F918" s="4" t="str">
        <f>IF(OR(A918="",E918="","",A918="?",E918="?"),"duplicate?",IF(COUNTIFS($A:A,A918,E:E,E918)&gt;1,"yes","no"))</f>
        <v>duplicate?</v>
      </c>
      <c r="K918" s="97" t="str">
        <f ca="1">IF(J918="","Date",IF(J918&lt;&gt;"",IF(K918="Date",NOW(),K918),""))</f>
        <v>Date</v>
      </c>
    </row>
    <row r="919" spans="2:11">
      <c r="B919" s="97" t="str">
        <f ca="1">IF(A919="","Date",IF(A919&lt;&gt;"",IF(B919="Date",NOW(),B919),""))</f>
        <v>Date</v>
      </c>
      <c r="C919" s="19" t="str">
        <f>IF(ISBLANK(A919),"Name",IF(ISNA(VLOOKUP(A919,'Master List'!A:C,2,FALSE)), "Not Found", VLOOKUP(A919,'Master List'!A:C,2,FALSE)))</f>
        <v>Name</v>
      </c>
      <c r="D919" s="19" t="str">
        <f>IF(ISBLANK(A919), "Email",IF(ISNA(VLOOKUP(A919,'Master List'!A:C,3,FALSE)), "Not Found", VLOOKUP(A919,'Master List'!A:C,3,FALSE)))</f>
        <v>Email</v>
      </c>
      <c r="F919" s="4" t="str">
        <f>IF(OR(A919="",E919="","",A919="?",E919="?"),"duplicate?",IF(COUNTIFS($A:A,A919,E:E,E919)&gt;1,"yes","no"))</f>
        <v>duplicate?</v>
      </c>
      <c r="K919" s="97" t="str">
        <f ca="1">IF(J919="","Date",IF(J919&lt;&gt;"",IF(K919="Date",NOW(),K919),""))</f>
        <v>Date</v>
      </c>
    </row>
    <row r="920" spans="2:11">
      <c r="B920" s="97" t="str">
        <f ca="1">IF(A920="","Date",IF(A920&lt;&gt;"",IF(B920="Date",NOW(),B920),""))</f>
        <v>Date</v>
      </c>
      <c r="C920" s="19" t="str">
        <f>IF(ISBLANK(A920),"Name",IF(ISNA(VLOOKUP(A920,'Master List'!A:C,2,FALSE)), "Not Found", VLOOKUP(A920,'Master List'!A:C,2,FALSE)))</f>
        <v>Name</v>
      </c>
      <c r="D920" s="19" t="str">
        <f>IF(ISBLANK(A920), "Email",IF(ISNA(VLOOKUP(A920,'Master List'!A:C,3,FALSE)), "Not Found", VLOOKUP(A920,'Master List'!A:C,3,FALSE)))</f>
        <v>Email</v>
      </c>
      <c r="F920" s="4" t="str">
        <f>IF(OR(A920="",E920="","",A920="?",E920="?"),"duplicate?",IF(COUNTIFS($A:A,A920,E:E,E920)&gt;1,"yes","no"))</f>
        <v>duplicate?</v>
      </c>
      <c r="K920" s="97" t="str">
        <f ca="1">IF(J920="","Date",IF(J920&lt;&gt;"",IF(K920="Date",NOW(),K920),""))</f>
        <v>Date</v>
      </c>
    </row>
    <row r="921" spans="2:11">
      <c r="B921" s="97" t="str">
        <f ca="1">IF(A921="","Date",IF(A921&lt;&gt;"",IF(B921="Date",NOW(),B921),""))</f>
        <v>Date</v>
      </c>
      <c r="C921" s="19" t="str">
        <f>IF(ISBLANK(A921),"Name",IF(ISNA(VLOOKUP(A921,'Master List'!A:C,2,FALSE)), "Not Found", VLOOKUP(A921,'Master List'!A:C,2,FALSE)))</f>
        <v>Name</v>
      </c>
      <c r="D921" s="19" t="str">
        <f>IF(ISBLANK(A921), "Email",IF(ISNA(VLOOKUP(A921,'Master List'!A:C,3,FALSE)), "Not Found", VLOOKUP(A921,'Master List'!A:C,3,FALSE)))</f>
        <v>Email</v>
      </c>
      <c r="F921" s="4" t="str">
        <f>IF(OR(A921="",E921="","",A921="?",E921="?"),"duplicate?",IF(COUNTIFS($A:A,A921,E:E,E921)&gt;1,"yes","no"))</f>
        <v>duplicate?</v>
      </c>
      <c r="K921" s="97" t="str">
        <f ca="1">IF(J921="","Date",IF(J921&lt;&gt;"",IF(K921="Date",NOW(),K921),""))</f>
        <v>Date</v>
      </c>
    </row>
    <row r="922" spans="2:11">
      <c r="B922" s="97" t="str">
        <f ca="1">IF(A922="","Date",IF(A922&lt;&gt;"",IF(B922="Date",NOW(),B922),""))</f>
        <v>Date</v>
      </c>
      <c r="C922" s="19" t="str">
        <f>IF(ISBLANK(A922),"Name",IF(ISNA(VLOOKUP(A922,'Master List'!A:C,2,FALSE)), "Not Found", VLOOKUP(A922,'Master List'!A:C,2,FALSE)))</f>
        <v>Name</v>
      </c>
      <c r="D922" s="19" t="str">
        <f>IF(ISBLANK(A922), "Email",IF(ISNA(VLOOKUP(A922,'Master List'!A:C,3,FALSE)), "Not Found", VLOOKUP(A922,'Master List'!A:C,3,FALSE)))</f>
        <v>Email</v>
      </c>
      <c r="F922" s="4" t="str">
        <f>IF(OR(A922="",E922="","",A922="?",E922="?"),"duplicate?",IF(COUNTIFS($A:A,A922,E:E,E922)&gt;1,"yes","no"))</f>
        <v>duplicate?</v>
      </c>
      <c r="K922" s="97" t="str">
        <f ca="1">IF(J922="","Date",IF(J922&lt;&gt;"",IF(K922="Date",NOW(),K922),""))</f>
        <v>Date</v>
      </c>
    </row>
    <row r="923" spans="2:11">
      <c r="B923" s="97" t="str">
        <f ca="1">IF(A923="","Date",IF(A923&lt;&gt;"",IF(B923="Date",NOW(),B923),""))</f>
        <v>Date</v>
      </c>
      <c r="C923" s="19" t="str">
        <f>IF(ISBLANK(A923),"Name",IF(ISNA(VLOOKUP(A923,'Master List'!A:C,2,FALSE)), "Not Found", VLOOKUP(A923,'Master List'!A:C,2,FALSE)))</f>
        <v>Name</v>
      </c>
      <c r="D923" s="19" t="str">
        <f>IF(ISBLANK(A923), "Email",IF(ISNA(VLOOKUP(A923,'Master List'!A:C,3,FALSE)), "Not Found", VLOOKUP(A923,'Master List'!A:C,3,FALSE)))</f>
        <v>Email</v>
      </c>
      <c r="F923" s="4" t="str">
        <f>IF(OR(A923="",E923="","",A923="?",E923="?"),"duplicate?",IF(COUNTIFS($A:A,A923,E:E,E923)&gt;1,"yes","no"))</f>
        <v>duplicate?</v>
      </c>
      <c r="K923" s="97" t="str">
        <f ca="1">IF(J923="","Date",IF(J923&lt;&gt;"",IF(K923="Date",NOW(),K923),""))</f>
        <v>Date</v>
      </c>
    </row>
    <row r="924" spans="2:11">
      <c r="B924" s="97" t="str">
        <f ca="1">IF(A924="","Date",IF(A924&lt;&gt;"",IF(B924="Date",NOW(),B924),""))</f>
        <v>Date</v>
      </c>
      <c r="C924" s="19" t="str">
        <f>IF(ISBLANK(A924),"Name",IF(ISNA(VLOOKUP(A924,'Master List'!A:C,2,FALSE)), "Not Found", VLOOKUP(A924,'Master List'!A:C,2,FALSE)))</f>
        <v>Name</v>
      </c>
      <c r="D924" s="19" t="str">
        <f>IF(ISBLANK(A924), "Email",IF(ISNA(VLOOKUP(A924,'Master List'!A:C,3,FALSE)), "Not Found", VLOOKUP(A924,'Master List'!A:C,3,FALSE)))</f>
        <v>Email</v>
      </c>
      <c r="F924" s="4" t="str">
        <f>IF(OR(A924="",E924="","",A924="?",E924="?"),"duplicate?",IF(COUNTIFS($A:A,A924,E:E,E924)&gt;1,"yes","no"))</f>
        <v>duplicate?</v>
      </c>
      <c r="K924" s="97" t="str">
        <f ca="1">IF(J924="","Date",IF(J924&lt;&gt;"",IF(K924="Date",NOW(),K924),""))</f>
        <v>Date</v>
      </c>
    </row>
    <row r="925" spans="2:11">
      <c r="B925" s="97" t="str">
        <f ca="1">IF(A925="","Date",IF(A925&lt;&gt;"",IF(B925="Date",NOW(),B925),""))</f>
        <v>Date</v>
      </c>
      <c r="C925" s="19" t="str">
        <f>IF(ISBLANK(A925),"Name",IF(ISNA(VLOOKUP(A925,'Master List'!A:C,2,FALSE)), "Not Found", VLOOKUP(A925,'Master List'!A:C,2,FALSE)))</f>
        <v>Name</v>
      </c>
      <c r="D925" s="19" t="str">
        <f>IF(ISBLANK(A925), "Email",IF(ISNA(VLOOKUP(A925,'Master List'!A:C,3,FALSE)), "Not Found", VLOOKUP(A925,'Master List'!A:C,3,FALSE)))</f>
        <v>Email</v>
      </c>
      <c r="F925" s="4" t="str">
        <f>IF(OR(A925="",E925="","",A925="?",E925="?"),"duplicate?",IF(COUNTIFS($A:A,A925,E:E,E925)&gt;1,"yes","no"))</f>
        <v>duplicate?</v>
      </c>
      <c r="K925" s="97" t="str">
        <f ca="1">IF(J925="","Date",IF(J925&lt;&gt;"",IF(K925="Date",NOW(),K925),""))</f>
        <v>Date</v>
      </c>
    </row>
    <row r="926" spans="2:11">
      <c r="B926" s="97" t="str">
        <f ca="1">IF(A926="","Date",IF(A926&lt;&gt;"",IF(B926="Date",NOW(),B926),""))</f>
        <v>Date</v>
      </c>
      <c r="C926" s="19" t="str">
        <f>IF(ISBLANK(A926),"Name",IF(ISNA(VLOOKUP(A926,'Master List'!A:C,2,FALSE)), "Not Found", VLOOKUP(A926,'Master List'!A:C,2,FALSE)))</f>
        <v>Name</v>
      </c>
      <c r="D926" s="19" t="str">
        <f>IF(ISBLANK(A926), "Email",IF(ISNA(VLOOKUP(A926,'Master List'!A:C,3,FALSE)), "Not Found", VLOOKUP(A926,'Master List'!A:C,3,FALSE)))</f>
        <v>Email</v>
      </c>
      <c r="F926" s="4" t="str">
        <f>IF(OR(A926="",E926="","",A926="?",E926="?"),"duplicate?",IF(COUNTIFS($A:A,A926,E:E,E926)&gt;1,"yes","no"))</f>
        <v>duplicate?</v>
      </c>
      <c r="K926" s="97" t="str">
        <f ca="1">IF(J926="","Date",IF(J926&lt;&gt;"",IF(K926="Date",NOW(),K926),""))</f>
        <v>Date</v>
      </c>
    </row>
    <row r="927" spans="2:11">
      <c r="B927" s="97" t="str">
        <f ca="1">IF(A927="","Date",IF(A927&lt;&gt;"",IF(B927="Date",NOW(),B927),""))</f>
        <v>Date</v>
      </c>
      <c r="C927" s="19" t="str">
        <f>IF(ISBLANK(A927),"Name",IF(ISNA(VLOOKUP(A927,'Master List'!A:C,2,FALSE)), "Not Found", VLOOKUP(A927,'Master List'!A:C,2,FALSE)))</f>
        <v>Name</v>
      </c>
      <c r="D927" s="19" t="str">
        <f>IF(ISBLANK(A927), "Email",IF(ISNA(VLOOKUP(A927,'Master List'!A:C,3,FALSE)), "Not Found", VLOOKUP(A927,'Master List'!A:C,3,FALSE)))</f>
        <v>Email</v>
      </c>
      <c r="F927" s="4" t="str">
        <f>IF(OR(A927="",E927="","",A927="?",E927="?"),"duplicate?",IF(COUNTIFS($A:A,A927,E:E,E927)&gt;1,"yes","no"))</f>
        <v>duplicate?</v>
      </c>
      <c r="K927" s="97" t="str">
        <f ca="1">IF(J927="","Date",IF(J927&lt;&gt;"",IF(K927="Date",NOW(),K927),""))</f>
        <v>Date</v>
      </c>
    </row>
    <row r="928" spans="2:11">
      <c r="B928" s="97" t="str">
        <f ca="1">IF(A928="","Date",IF(A928&lt;&gt;"",IF(B928="Date",NOW(),B928),""))</f>
        <v>Date</v>
      </c>
      <c r="C928" s="19" t="str">
        <f>IF(ISBLANK(A928),"Name",IF(ISNA(VLOOKUP(A928,'Master List'!A:C,2,FALSE)), "Not Found", VLOOKUP(A928,'Master List'!A:C,2,FALSE)))</f>
        <v>Name</v>
      </c>
      <c r="D928" s="19" t="str">
        <f>IF(ISBLANK(A928), "Email",IF(ISNA(VLOOKUP(A928,'Master List'!A:C,3,FALSE)), "Not Found", VLOOKUP(A928,'Master List'!A:C,3,FALSE)))</f>
        <v>Email</v>
      </c>
      <c r="F928" s="4" t="str">
        <f>IF(OR(A928="",E928="","",A928="?",E928="?"),"duplicate?",IF(COUNTIFS($A:A,A928,E:E,E928)&gt;1,"yes","no"))</f>
        <v>duplicate?</v>
      </c>
      <c r="K928" s="97" t="str">
        <f ca="1">IF(J928="","Date",IF(J928&lt;&gt;"",IF(K928="Date",NOW(),K928),""))</f>
        <v>Date</v>
      </c>
    </row>
    <row r="929" spans="2:11">
      <c r="B929" s="97" t="str">
        <f ca="1">IF(A929="","Date",IF(A929&lt;&gt;"",IF(B929="Date",NOW(),B929),""))</f>
        <v>Date</v>
      </c>
      <c r="C929" s="19" t="str">
        <f>IF(ISBLANK(A929),"Name",IF(ISNA(VLOOKUP(A929,'Master List'!A:C,2,FALSE)), "Not Found", VLOOKUP(A929,'Master List'!A:C,2,FALSE)))</f>
        <v>Name</v>
      </c>
      <c r="D929" s="19" t="str">
        <f>IF(ISBLANK(A929), "Email",IF(ISNA(VLOOKUP(A929,'Master List'!A:C,3,FALSE)), "Not Found", VLOOKUP(A929,'Master List'!A:C,3,FALSE)))</f>
        <v>Email</v>
      </c>
      <c r="F929" s="4" t="str">
        <f>IF(OR(A929="",E929="","",A929="?",E929="?"),"duplicate?",IF(COUNTIFS($A:A,A929,E:E,E929)&gt;1,"yes","no"))</f>
        <v>duplicate?</v>
      </c>
      <c r="K929" s="97" t="str">
        <f ca="1">IF(J929="","Date",IF(J929&lt;&gt;"",IF(K929="Date",NOW(),K929),""))</f>
        <v>Date</v>
      </c>
    </row>
    <row r="930" spans="2:11">
      <c r="B930" s="97" t="str">
        <f ca="1">IF(A930="","Date",IF(A930&lt;&gt;"",IF(B930="Date",NOW(),B930),""))</f>
        <v>Date</v>
      </c>
      <c r="C930" s="19" t="str">
        <f>IF(ISBLANK(A930),"Name",IF(ISNA(VLOOKUP(A930,'Master List'!A:C,2,FALSE)), "Not Found", VLOOKUP(A930,'Master List'!A:C,2,FALSE)))</f>
        <v>Name</v>
      </c>
      <c r="D930" s="19" t="str">
        <f>IF(ISBLANK(A930), "Email",IF(ISNA(VLOOKUP(A930,'Master List'!A:C,3,FALSE)), "Not Found", VLOOKUP(A930,'Master List'!A:C,3,FALSE)))</f>
        <v>Email</v>
      </c>
      <c r="F930" s="4" t="str">
        <f>IF(OR(A930="",E930="","",A930="?",E930="?"),"duplicate?",IF(COUNTIFS($A:A,A930,E:E,E930)&gt;1,"yes","no"))</f>
        <v>duplicate?</v>
      </c>
      <c r="K930" s="97" t="str">
        <f ca="1">IF(J930="","Date",IF(J930&lt;&gt;"",IF(K930="Date",NOW(),K930),""))</f>
        <v>Date</v>
      </c>
    </row>
    <row r="931" spans="2:11">
      <c r="B931" s="97" t="str">
        <f ca="1">IF(A931="","Date",IF(A931&lt;&gt;"",IF(B931="Date",NOW(),B931),""))</f>
        <v>Date</v>
      </c>
      <c r="C931" s="19" t="str">
        <f>IF(ISBLANK(A931),"Name",IF(ISNA(VLOOKUP(A931,'Master List'!A:C,2,FALSE)), "Not Found", VLOOKUP(A931,'Master List'!A:C,2,FALSE)))</f>
        <v>Name</v>
      </c>
      <c r="D931" s="19" t="str">
        <f>IF(ISBLANK(A931), "Email",IF(ISNA(VLOOKUP(A931,'Master List'!A:C,3,FALSE)), "Not Found", VLOOKUP(A931,'Master List'!A:C,3,FALSE)))</f>
        <v>Email</v>
      </c>
      <c r="F931" s="4" t="str">
        <f>IF(OR(A931="",E931="","",A931="?",E931="?"),"duplicate?",IF(COUNTIFS($A:A,A931,E:E,E931)&gt;1,"yes","no"))</f>
        <v>duplicate?</v>
      </c>
      <c r="K931" s="97" t="str">
        <f ca="1">IF(J931="","Date",IF(J931&lt;&gt;"",IF(K931="Date",NOW(),K931),""))</f>
        <v>Date</v>
      </c>
    </row>
    <row r="932" spans="2:11">
      <c r="B932" s="97" t="str">
        <f ca="1">IF(A932="","Date",IF(A932&lt;&gt;"",IF(B932="Date",NOW(),B932),""))</f>
        <v>Date</v>
      </c>
      <c r="C932" s="19" t="str">
        <f>IF(ISBLANK(A932),"Name",IF(ISNA(VLOOKUP(A932,'Master List'!A:C,2,FALSE)), "Not Found", VLOOKUP(A932,'Master List'!A:C,2,FALSE)))</f>
        <v>Name</v>
      </c>
      <c r="D932" s="19" t="str">
        <f>IF(ISBLANK(A932), "Email",IF(ISNA(VLOOKUP(A932,'Master List'!A:C,3,FALSE)), "Not Found", VLOOKUP(A932,'Master List'!A:C,3,FALSE)))</f>
        <v>Email</v>
      </c>
      <c r="F932" s="4" t="str">
        <f>IF(OR(A932="",E932="","",A932="?",E932="?"),"duplicate?",IF(COUNTIFS($A:A,A932,E:E,E932)&gt;1,"yes","no"))</f>
        <v>duplicate?</v>
      </c>
      <c r="K932" s="97" t="str">
        <f ca="1">IF(J932="","Date",IF(J932&lt;&gt;"",IF(K932="Date",NOW(),K932),""))</f>
        <v>Date</v>
      </c>
    </row>
    <row r="933" spans="2:11">
      <c r="B933" s="97" t="str">
        <f ca="1">IF(A933="","Date",IF(A933&lt;&gt;"",IF(B933="Date",NOW(),B933),""))</f>
        <v>Date</v>
      </c>
      <c r="C933" s="19" t="str">
        <f>IF(ISBLANK(A933),"Name",IF(ISNA(VLOOKUP(A933,'Master List'!A:C,2,FALSE)), "Not Found", VLOOKUP(A933,'Master List'!A:C,2,FALSE)))</f>
        <v>Name</v>
      </c>
      <c r="D933" s="19" t="str">
        <f>IF(ISBLANK(A933), "Email",IF(ISNA(VLOOKUP(A933,'Master List'!A:C,3,FALSE)), "Not Found", VLOOKUP(A933,'Master List'!A:C,3,FALSE)))</f>
        <v>Email</v>
      </c>
      <c r="F933" s="4" t="str">
        <f>IF(OR(A933="",E933="","",A933="?",E933="?"),"duplicate?",IF(COUNTIFS($A:A,A933,E:E,E933)&gt;1,"yes","no"))</f>
        <v>duplicate?</v>
      </c>
      <c r="K933" s="97" t="str">
        <f ca="1">IF(J933="","Date",IF(J933&lt;&gt;"",IF(K933="Date",NOW(),K933),""))</f>
        <v>Date</v>
      </c>
    </row>
    <row r="934" spans="2:11">
      <c r="B934" s="97" t="str">
        <f ca="1">IF(A934="","Date",IF(A934&lt;&gt;"",IF(B934="Date",NOW(),B934),""))</f>
        <v>Date</v>
      </c>
      <c r="C934" s="19" t="str">
        <f>IF(ISBLANK(A934),"Name",IF(ISNA(VLOOKUP(A934,'Master List'!A:C,2,FALSE)), "Not Found", VLOOKUP(A934,'Master List'!A:C,2,FALSE)))</f>
        <v>Name</v>
      </c>
      <c r="D934" s="19" t="str">
        <f>IF(ISBLANK(A934), "Email",IF(ISNA(VLOOKUP(A934,'Master List'!A:C,3,FALSE)), "Not Found", VLOOKUP(A934,'Master List'!A:C,3,FALSE)))</f>
        <v>Email</v>
      </c>
      <c r="F934" s="4" t="str">
        <f>IF(OR(A934="",E934="","",A934="?",E934="?"),"duplicate?",IF(COUNTIFS($A:A,A934,E:E,E934)&gt;1,"yes","no"))</f>
        <v>duplicate?</v>
      </c>
      <c r="K934" s="97" t="str">
        <f ca="1">IF(J934="","Date",IF(J934&lt;&gt;"",IF(K934="Date",NOW(),K934),""))</f>
        <v>Date</v>
      </c>
    </row>
    <row r="935" spans="2:11">
      <c r="B935" s="97" t="str">
        <f ca="1">IF(A935="","Date",IF(A935&lt;&gt;"",IF(B935="Date",NOW(),B935),""))</f>
        <v>Date</v>
      </c>
      <c r="C935" s="19" t="str">
        <f>IF(ISBLANK(A935),"Name",IF(ISNA(VLOOKUP(A935,'Master List'!A:C,2,FALSE)), "Not Found", VLOOKUP(A935,'Master List'!A:C,2,FALSE)))</f>
        <v>Name</v>
      </c>
      <c r="D935" s="19" t="str">
        <f>IF(ISBLANK(A935), "Email",IF(ISNA(VLOOKUP(A935,'Master List'!A:C,3,FALSE)), "Not Found", VLOOKUP(A935,'Master List'!A:C,3,FALSE)))</f>
        <v>Email</v>
      </c>
      <c r="F935" s="4" t="str">
        <f>IF(OR(A935="",E935="","",A935="?",E935="?"),"duplicate?",IF(COUNTIFS($A:A,A935,E:E,E935)&gt;1,"yes","no"))</f>
        <v>duplicate?</v>
      </c>
      <c r="K935" s="97" t="str">
        <f ca="1">IF(J935="","Date",IF(J935&lt;&gt;"",IF(K935="Date",NOW(),K935),""))</f>
        <v>Date</v>
      </c>
    </row>
    <row r="936" spans="2:11">
      <c r="B936" s="97" t="str">
        <f ca="1">IF(A936="","Date",IF(A936&lt;&gt;"",IF(B936="Date",NOW(),B936),""))</f>
        <v>Date</v>
      </c>
      <c r="C936" s="19" t="str">
        <f>IF(ISBLANK(A936),"Name",IF(ISNA(VLOOKUP(A936,'Master List'!A:C,2,FALSE)), "Not Found", VLOOKUP(A936,'Master List'!A:C,2,FALSE)))</f>
        <v>Name</v>
      </c>
      <c r="D936" s="19" t="str">
        <f>IF(ISBLANK(A936), "Email",IF(ISNA(VLOOKUP(A936,'Master List'!A:C,3,FALSE)), "Not Found", VLOOKUP(A936,'Master List'!A:C,3,FALSE)))</f>
        <v>Email</v>
      </c>
      <c r="F936" s="4" t="str">
        <f>IF(OR(A936="",E936="","",A936="?",E936="?"),"duplicate?",IF(COUNTIFS($A:A,A936,E:E,E936)&gt;1,"yes","no"))</f>
        <v>duplicate?</v>
      </c>
      <c r="K936" s="97" t="str">
        <f ca="1">IF(J936="","Date",IF(J936&lt;&gt;"",IF(K936="Date",NOW(),K936),""))</f>
        <v>Date</v>
      </c>
    </row>
    <row r="937" spans="2:11">
      <c r="B937" s="97" t="str">
        <f ca="1">IF(A937="","Date",IF(A937&lt;&gt;"",IF(B937="Date",NOW(),B937),""))</f>
        <v>Date</v>
      </c>
      <c r="C937" s="19" t="str">
        <f>IF(ISBLANK(A937),"Name",IF(ISNA(VLOOKUP(A937,'Master List'!A:C,2,FALSE)), "Not Found", VLOOKUP(A937,'Master List'!A:C,2,FALSE)))</f>
        <v>Name</v>
      </c>
      <c r="D937" s="19" t="str">
        <f>IF(ISBLANK(A937), "Email",IF(ISNA(VLOOKUP(A937,'Master List'!A:C,3,FALSE)), "Not Found", VLOOKUP(A937,'Master List'!A:C,3,FALSE)))</f>
        <v>Email</v>
      </c>
      <c r="F937" s="4" t="str">
        <f>IF(OR(A937="",E937="","",A937="?",E937="?"),"duplicate?",IF(COUNTIFS($A:A,A937,E:E,E937)&gt;1,"yes","no"))</f>
        <v>duplicate?</v>
      </c>
      <c r="K937" s="97" t="str">
        <f ca="1">IF(J937="","Date",IF(J937&lt;&gt;"",IF(K937="Date",NOW(),K937),""))</f>
        <v>Date</v>
      </c>
    </row>
    <row r="938" spans="2:11">
      <c r="B938" s="97" t="str">
        <f ca="1">IF(A938="","Date",IF(A938&lt;&gt;"",IF(B938="Date",NOW(),B938),""))</f>
        <v>Date</v>
      </c>
      <c r="C938" s="19" t="str">
        <f>IF(ISBLANK(A938),"Name",IF(ISNA(VLOOKUP(A938,'Master List'!A:C,2,FALSE)), "Not Found", VLOOKUP(A938,'Master List'!A:C,2,FALSE)))</f>
        <v>Name</v>
      </c>
      <c r="D938" s="19" t="str">
        <f>IF(ISBLANK(A938), "Email",IF(ISNA(VLOOKUP(A938,'Master List'!A:C,3,FALSE)), "Not Found", VLOOKUP(A938,'Master List'!A:C,3,FALSE)))</f>
        <v>Email</v>
      </c>
      <c r="F938" s="4" t="str">
        <f>IF(OR(A938="",E938="","",A938="?",E938="?"),"duplicate?",IF(COUNTIFS($A:A,A938,E:E,E938)&gt;1,"yes","no"))</f>
        <v>duplicate?</v>
      </c>
      <c r="K938" s="97" t="str">
        <f ca="1">IF(J938="","Date",IF(J938&lt;&gt;"",IF(K938="Date",NOW(),K938),""))</f>
        <v>Date</v>
      </c>
    </row>
    <row r="939" spans="2:11">
      <c r="B939" s="97" t="str">
        <f ca="1">IF(A939="","Date",IF(A939&lt;&gt;"",IF(B939="Date",NOW(),B939),""))</f>
        <v>Date</v>
      </c>
      <c r="C939" s="19" t="str">
        <f>IF(ISBLANK(A939),"Name",IF(ISNA(VLOOKUP(A939,'Master List'!A:C,2,FALSE)), "Not Found", VLOOKUP(A939,'Master List'!A:C,2,FALSE)))</f>
        <v>Name</v>
      </c>
      <c r="D939" s="19" t="str">
        <f>IF(ISBLANK(A939), "Email",IF(ISNA(VLOOKUP(A939,'Master List'!A:C,3,FALSE)), "Not Found", VLOOKUP(A939,'Master List'!A:C,3,FALSE)))</f>
        <v>Email</v>
      </c>
      <c r="F939" s="4" t="str">
        <f>IF(OR(A939="",E939="","",A939="?",E939="?"),"duplicate?",IF(COUNTIFS($A:A,A939,E:E,E939)&gt;1,"yes","no"))</f>
        <v>duplicate?</v>
      </c>
      <c r="K939" s="97" t="str">
        <f ca="1">IF(J939="","Date",IF(J939&lt;&gt;"",IF(K939="Date",NOW(),K939),""))</f>
        <v>Date</v>
      </c>
    </row>
    <row r="940" spans="2:11">
      <c r="B940" s="97" t="str">
        <f ca="1">IF(A940="","Date",IF(A940&lt;&gt;"",IF(B940="Date",NOW(),B940),""))</f>
        <v>Date</v>
      </c>
      <c r="C940" s="19" t="str">
        <f>IF(ISBLANK(A940),"Name",IF(ISNA(VLOOKUP(A940,'Master List'!A:C,2,FALSE)), "Not Found", VLOOKUP(A940,'Master List'!A:C,2,FALSE)))</f>
        <v>Name</v>
      </c>
      <c r="D940" s="19" t="str">
        <f>IF(ISBLANK(A940), "Email",IF(ISNA(VLOOKUP(A940,'Master List'!A:C,3,FALSE)), "Not Found", VLOOKUP(A940,'Master List'!A:C,3,FALSE)))</f>
        <v>Email</v>
      </c>
      <c r="F940" s="4" t="str">
        <f>IF(OR(A940="",E940="","",A940="?",E940="?"),"duplicate?",IF(COUNTIFS($A:A,A940,E:E,E940)&gt;1,"yes","no"))</f>
        <v>duplicate?</v>
      </c>
      <c r="K940" s="97" t="str">
        <f ca="1">IF(J940="","Date",IF(J940&lt;&gt;"",IF(K940="Date",NOW(),K940),""))</f>
        <v>Date</v>
      </c>
    </row>
    <row r="941" spans="2:11">
      <c r="B941" s="97" t="str">
        <f ca="1">IF(A941="","Date",IF(A941&lt;&gt;"",IF(B941="Date",NOW(),B941),""))</f>
        <v>Date</v>
      </c>
      <c r="C941" s="19" t="str">
        <f>IF(ISBLANK(A941),"Name",IF(ISNA(VLOOKUP(A941,'Master List'!A:C,2,FALSE)), "Not Found", VLOOKUP(A941,'Master List'!A:C,2,FALSE)))</f>
        <v>Name</v>
      </c>
      <c r="D941" s="19" t="str">
        <f>IF(ISBLANK(A941), "Email",IF(ISNA(VLOOKUP(A941,'Master List'!A:C,3,FALSE)), "Not Found", VLOOKUP(A941,'Master List'!A:C,3,FALSE)))</f>
        <v>Email</v>
      </c>
      <c r="F941" s="4" t="str">
        <f>IF(OR(A941="",E941="","",A941="?",E941="?"),"duplicate?",IF(COUNTIFS($A:A,A941,E:E,E941)&gt;1,"yes","no"))</f>
        <v>duplicate?</v>
      </c>
      <c r="K941" s="97" t="str">
        <f ca="1">IF(J941="","Date",IF(J941&lt;&gt;"",IF(K941="Date",NOW(),K941),""))</f>
        <v>Date</v>
      </c>
    </row>
    <row r="942" spans="2:11">
      <c r="B942" s="97" t="str">
        <f ca="1">IF(A942="","Date",IF(A942&lt;&gt;"",IF(B942="Date",NOW(),B942),""))</f>
        <v>Date</v>
      </c>
      <c r="C942" s="19" t="str">
        <f>IF(ISBLANK(A942),"Name",IF(ISNA(VLOOKUP(A942,'Master List'!A:C,2,FALSE)), "Not Found", VLOOKUP(A942,'Master List'!A:C,2,FALSE)))</f>
        <v>Name</v>
      </c>
      <c r="D942" s="19" t="str">
        <f>IF(ISBLANK(A942), "Email",IF(ISNA(VLOOKUP(A942,'Master List'!A:C,3,FALSE)), "Not Found", VLOOKUP(A942,'Master List'!A:C,3,FALSE)))</f>
        <v>Email</v>
      </c>
      <c r="F942" s="4" t="str">
        <f>IF(OR(A942="",E942="","",A942="?",E942="?"),"duplicate?",IF(COUNTIFS($A:A,A942,E:E,E942)&gt;1,"yes","no"))</f>
        <v>duplicate?</v>
      </c>
      <c r="K942" s="97" t="str">
        <f ca="1">IF(J942="","Date",IF(J942&lt;&gt;"",IF(K942="Date",NOW(),K942),""))</f>
        <v>Date</v>
      </c>
    </row>
    <row r="943" spans="2:11">
      <c r="B943" s="97" t="str">
        <f ca="1">IF(A943="","Date",IF(A943&lt;&gt;"",IF(B943="Date",NOW(),B943),""))</f>
        <v>Date</v>
      </c>
      <c r="C943" s="19" t="str">
        <f>IF(ISBLANK(A943),"Name",IF(ISNA(VLOOKUP(A943,'Master List'!A:C,2,FALSE)), "Not Found", VLOOKUP(A943,'Master List'!A:C,2,FALSE)))</f>
        <v>Name</v>
      </c>
      <c r="D943" s="19" t="str">
        <f>IF(ISBLANK(A943), "Email",IF(ISNA(VLOOKUP(A943,'Master List'!A:C,3,FALSE)), "Not Found", VLOOKUP(A943,'Master List'!A:C,3,FALSE)))</f>
        <v>Email</v>
      </c>
      <c r="F943" s="4" t="str">
        <f>IF(OR(A943="",E943="","",A943="?",E943="?"),"duplicate?",IF(COUNTIFS($A:A,A943,E:E,E943)&gt;1,"yes","no"))</f>
        <v>duplicate?</v>
      </c>
      <c r="K943" s="97" t="str">
        <f ca="1">IF(J943="","Date",IF(J943&lt;&gt;"",IF(K943="Date",NOW(),K943),""))</f>
        <v>Date</v>
      </c>
    </row>
    <row r="944" spans="2:11">
      <c r="B944" s="97" t="str">
        <f ca="1">IF(A944="","Date",IF(A944&lt;&gt;"",IF(B944="Date",NOW(),B944),""))</f>
        <v>Date</v>
      </c>
      <c r="C944" s="19" t="str">
        <f>IF(ISBLANK(A944),"Name",IF(ISNA(VLOOKUP(A944,'Master List'!A:C,2,FALSE)), "Not Found", VLOOKUP(A944,'Master List'!A:C,2,FALSE)))</f>
        <v>Name</v>
      </c>
      <c r="D944" s="19" t="str">
        <f>IF(ISBLANK(A944), "Email",IF(ISNA(VLOOKUP(A944,'Master List'!A:C,3,FALSE)), "Not Found", VLOOKUP(A944,'Master List'!A:C,3,FALSE)))</f>
        <v>Email</v>
      </c>
      <c r="F944" s="4" t="str">
        <f>IF(OR(A944="",E944="","",A944="?",E944="?"),"duplicate?",IF(COUNTIFS($A:A,A944,E:E,E944)&gt;1,"yes","no"))</f>
        <v>duplicate?</v>
      </c>
      <c r="K944" s="97" t="str">
        <f ca="1">IF(J944="","Date",IF(J944&lt;&gt;"",IF(K944="Date",NOW(),K944),""))</f>
        <v>Date</v>
      </c>
    </row>
    <row r="945" spans="2:11">
      <c r="B945" s="97" t="str">
        <f ca="1">IF(A945="","Date",IF(A945&lt;&gt;"",IF(B945="Date",NOW(),B945),""))</f>
        <v>Date</v>
      </c>
      <c r="C945" s="19" t="str">
        <f>IF(ISBLANK(A945),"Name",IF(ISNA(VLOOKUP(A945,'Master List'!A:C,2,FALSE)), "Not Found", VLOOKUP(A945,'Master List'!A:C,2,FALSE)))</f>
        <v>Name</v>
      </c>
      <c r="D945" s="19" t="str">
        <f>IF(ISBLANK(A945), "Email",IF(ISNA(VLOOKUP(A945,'Master List'!A:C,3,FALSE)), "Not Found", VLOOKUP(A945,'Master List'!A:C,3,FALSE)))</f>
        <v>Email</v>
      </c>
      <c r="F945" s="4" t="str">
        <f>IF(OR(A945="",E945="","",A945="?",E945="?"),"duplicate?",IF(COUNTIFS($A:A,A945,E:E,E945)&gt;1,"yes","no"))</f>
        <v>duplicate?</v>
      </c>
      <c r="K945" s="97" t="str">
        <f ca="1">IF(J945="","Date",IF(J945&lt;&gt;"",IF(K945="Date",NOW(),K945),""))</f>
        <v>Date</v>
      </c>
    </row>
    <row r="946" spans="2:11">
      <c r="B946" s="97" t="str">
        <f ca="1">IF(A946="","Date",IF(A946&lt;&gt;"",IF(B946="Date",NOW(),B946),""))</f>
        <v>Date</v>
      </c>
      <c r="C946" s="19" t="str">
        <f>IF(ISBLANK(A946),"Name",IF(ISNA(VLOOKUP(A946,'Master List'!A:C,2,FALSE)), "Not Found", VLOOKUP(A946,'Master List'!A:C,2,FALSE)))</f>
        <v>Name</v>
      </c>
      <c r="D946" s="19" t="str">
        <f>IF(ISBLANK(A946), "Email",IF(ISNA(VLOOKUP(A946,'Master List'!A:C,3,FALSE)), "Not Found", VLOOKUP(A946,'Master List'!A:C,3,FALSE)))</f>
        <v>Email</v>
      </c>
      <c r="F946" s="4" t="str">
        <f>IF(OR(A946="",E946="","",A946="?",E946="?"),"duplicate?",IF(COUNTIFS($A:A,A946,E:E,E946)&gt;1,"yes","no"))</f>
        <v>duplicate?</v>
      </c>
      <c r="K946" s="97" t="str">
        <f ca="1">IF(J946="","Date",IF(J946&lt;&gt;"",IF(K946="Date",NOW(),K946),""))</f>
        <v>Date</v>
      </c>
    </row>
    <row r="947" spans="2:11">
      <c r="B947" s="97" t="str">
        <f ca="1">IF(A947="","Date",IF(A947&lt;&gt;"",IF(B947="Date",NOW(),B947),""))</f>
        <v>Date</v>
      </c>
      <c r="C947" s="19" t="str">
        <f>IF(ISBLANK(A947),"Name",IF(ISNA(VLOOKUP(A947,'Master List'!A:C,2,FALSE)), "Not Found", VLOOKUP(A947,'Master List'!A:C,2,FALSE)))</f>
        <v>Name</v>
      </c>
      <c r="D947" s="19" t="str">
        <f>IF(ISBLANK(A947), "Email",IF(ISNA(VLOOKUP(A947,'Master List'!A:C,3,FALSE)), "Not Found", VLOOKUP(A947,'Master List'!A:C,3,FALSE)))</f>
        <v>Email</v>
      </c>
      <c r="F947" s="4" t="str">
        <f>IF(OR(A947="",E947="","",A947="?",E947="?"),"duplicate?",IF(COUNTIFS($A:A,A947,E:E,E947)&gt;1,"yes","no"))</f>
        <v>duplicate?</v>
      </c>
      <c r="K947" s="97" t="str">
        <f ca="1">IF(J947="","Date",IF(J947&lt;&gt;"",IF(K947="Date",NOW(),K947),""))</f>
        <v>Date</v>
      </c>
    </row>
    <row r="948" spans="2:11">
      <c r="B948" s="97" t="str">
        <f ca="1">IF(A948="","Date",IF(A948&lt;&gt;"",IF(B948="Date",NOW(),B948),""))</f>
        <v>Date</v>
      </c>
      <c r="C948" s="19" t="str">
        <f>IF(ISBLANK(A948),"Name",IF(ISNA(VLOOKUP(A948,'Master List'!A:C,2,FALSE)), "Not Found", VLOOKUP(A948,'Master List'!A:C,2,FALSE)))</f>
        <v>Name</v>
      </c>
      <c r="D948" s="19" t="str">
        <f>IF(ISBLANK(A948), "Email",IF(ISNA(VLOOKUP(A948,'Master List'!A:C,3,FALSE)), "Not Found", VLOOKUP(A948,'Master List'!A:C,3,FALSE)))</f>
        <v>Email</v>
      </c>
      <c r="F948" s="4" t="str">
        <f>IF(OR(A948="",E948="","",A948="?",E948="?"),"duplicate?",IF(COUNTIFS($A:A,A948,E:E,E948)&gt;1,"yes","no"))</f>
        <v>duplicate?</v>
      </c>
      <c r="K948" s="97" t="str">
        <f ca="1">IF(J948="","Date",IF(J948&lt;&gt;"",IF(K948="Date",NOW(),K948),""))</f>
        <v>Date</v>
      </c>
    </row>
    <row r="949" spans="2:11">
      <c r="B949" s="97" t="str">
        <f ca="1">IF(A949="","Date",IF(A949&lt;&gt;"",IF(B949="Date",NOW(),B949),""))</f>
        <v>Date</v>
      </c>
      <c r="C949" s="19" t="str">
        <f>IF(ISBLANK(A949),"Name",IF(ISNA(VLOOKUP(A949,'Master List'!A:C,2,FALSE)), "Not Found", VLOOKUP(A949,'Master List'!A:C,2,FALSE)))</f>
        <v>Name</v>
      </c>
      <c r="D949" s="19" t="str">
        <f>IF(ISBLANK(A949), "Email",IF(ISNA(VLOOKUP(A949,'Master List'!A:C,3,FALSE)), "Not Found", VLOOKUP(A949,'Master List'!A:C,3,FALSE)))</f>
        <v>Email</v>
      </c>
      <c r="F949" s="4" t="str">
        <f>IF(OR(A949="",E949="","",A949="?",E949="?"),"duplicate?",IF(COUNTIFS($A:A,A949,E:E,E949)&gt;1,"yes","no"))</f>
        <v>duplicate?</v>
      </c>
      <c r="K949" s="97" t="str">
        <f ca="1">IF(J949="","Date",IF(J949&lt;&gt;"",IF(K949="Date",NOW(),K949),""))</f>
        <v>Date</v>
      </c>
    </row>
    <row r="950" spans="2:11">
      <c r="B950" s="97" t="str">
        <f ca="1">IF(A950="","Date",IF(A950&lt;&gt;"",IF(B950="Date",NOW(),B950),""))</f>
        <v>Date</v>
      </c>
      <c r="C950" s="19" t="str">
        <f>IF(ISBLANK(A950),"Name",IF(ISNA(VLOOKUP(A950,'Master List'!A:C,2,FALSE)), "Not Found", VLOOKUP(A950,'Master List'!A:C,2,FALSE)))</f>
        <v>Name</v>
      </c>
      <c r="D950" s="19" t="str">
        <f>IF(ISBLANK(A950), "Email",IF(ISNA(VLOOKUP(A950,'Master List'!A:C,3,FALSE)), "Not Found", VLOOKUP(A950,'Master List'!A:C,3,FALSE)))</f>
        <v>Email</v>
      </c>
      <c r="F950" s="4" t="str">
        <f>IF(OR(A950="",E950="","",A950="?",E950="?"),"duplicate?",IF(COUNTIFS($A:A,A950,E:E,E950)&gt;1,"yes","no"))</f>
        <v>duplicate?</v>
      </c>
      <c r="K950" s="97" t="str">
        <f ca="1">IF(J950="","Date",IF(J950&lt;&gt;"",IF(K950="Date",NOW(),K950),""))</f>
        <v>Date</v>
      </c>
    </row>
    <row r="951" spans="2:11">
      <c r="B951" s="97" t="str">
        <f ca="1">IF(A951="","Date",IF(A951&lt;&gt;"",IF(B951="Date",NOW(),B951),""))</f>
        <v>Date</v>
      </c>
      <c r="C951" s="19" t="str">
        <f>IF(ISBLANK(A951),"Name",IF(ISNA(VLOOKUP(A951,'Master List'!A:C,2,FALSE)), "Not Found", VLOOKUP(A951,'Master List'!A:C,2,FALSE)))</f>
        <v>Name</v>
      </c>
      <c r="D951" s="19" t="str">
        <f>IF(ISBLANK(A951), "Email",IF(ISNA(VLOOKUP(A951,'Master List'!A:C,3,FALSE)), "Not Found", VLOOKUP(A951,'Master List'!A:C,3,FALSE)))</f>
        <v>Email</v>
      </c>
      <c r="F951" s="4" t="str">
        <f>IF(OR(A951="",E951="","",A951="?",E951="?"),"duplicate?",IF(COUNTIFS($A:A,A951,E:E,E951)&gt;1,"yes","no"))</f>
        <v>duplicate?</v>
      </c>
      <c r="K951" s="97" t="str">
        <f ca="1">IF(J951="","Date",IF(J951&lt;&gt;"",IF(K951="Date",NOW(),K951),""))</f>
        <v>Date</v>
      </c>
    </row>
    <row r="952" spans="2:11">
      <c r="B952" s="97" t="str">
        <f ca="1">IF(A952="","Date",IF(A952&lt;&gt;"",IF(B952="Date",NOW(),B952),""))</f>
        <v>Date</v>
      </c>
      <c r="C952" s="19" t="str">
        <f>IF(ISBLANK(A952),"Name",IF(ISNA(VLOOKUP(A952,'Master List'!A:C,2,FALSE)), "Not Found", VLOOKUP(A952,'Master List'!A:C,2,FALSE)))</f>
        <v>Name</v>
      </c>
      <c r="D952" s="19" t="str">
        <f>IF(ISBLANK(A952), "Email",IF(ISNA(VLOOKUP(A952,'Master List'!A:C,3,FALSE)), "Not Found", VLOOKUP(A952,'Master List'!A:C,3,FALSE)))</f>
        <v>Email</v>
      </c>
      <c r="F952" s="4" t="str">
        <f>IF(OR(A952="",E952="","",A952="?",E952="?"),"duplicate?",IF(COUNTIFS($A:A,A952,E:E,E952)&gt;1,"yes","no"))</f>
        <v>duplicate?</v>
      </c>
      <c r="K952" s="97" t="str">
        <f ca="1">IF(J952="","Date",IF(J952&lt;&gt;"",IF(K952="Date",NOW(),K952),""))</f>
        <v>Date</v>
      </c>
    </row>
    <row r="953" spans="2:11">
      <c r="B953" s="97" t="str">
        <f ca="1">IF(A953="","Date",IF(A953&lt;&gt;"",IF(B953="Date",NOW(),B953),""))</f>
        <v>Date</v>
      </c>
      <c r="C953" s="19" t="str">
        <f>IF(ISBLANK(A953),"Name",IF(ISNA(VLOOKUP(A953,'Master List'!A:C,2,FALSE)), "Not Found", VLOOKUP(A953,'Master List'!A:C,2,FALSE)))</f>
        <v>Name</v>
      </c>
      <c r="D953" s="19" t="str">
        <f>IF(ISBLANK(A953), "Email",IF(ISNA(VLOOKUP(A953,'Master List'!A:C,3,FALSE)), "Not Found", VLOOKUP(A953,'Master List'!A:C,3,FALSE)))</f>
        <v>Email</v>
      </c>
      <c r="F953" s="4" t="str">
        <f>IF(OR(A953="",E953="","",A953="?",E953="?"),"duplicate?",IF(COUNTIFS($A:A,A953,E:E,E953)&gt;1,"yes","no"))</f>
        <v>duplicate?</v>
      </c>
      <c r="K953" s="97" t="str">
        <f ca="1">IF(J953="","Date",IF(J953&lt;&gt;"",IF(K953="Date",NOW(),K953),""))</f>
        <v>Date</v>
      </c>
    </row>
    <row r="954" spans="2:11">
      <c r="B954" s="97" t="str">
        <f ca="1">IF(A954="","Date",IF(A954&lt;&gt;"",IF(B954="Date",NOW(),B954),""))</f>
        <v>Date</v>
      </c>
      <c r="C954" s="19" t="str">
        <f>IF(ISBLANK(A954),"Name",IF(ISNA(VLOOKUP(A954,'Master List'!A:C,2,FALSE)), "Not Found", VLOOKUP(A954,'Master List'!A:C,2,FALSE)))</f>
        <v>Name</v>
      </c>
      <c r="D954" s="19" t="str">
        <f>IF(ISBLANK(A954), "Email",IF(ISNA(VLOOKUP(A954,'Master List'!A:C,3,FALSE)), "Not Found", VLOOKUP(A954,'Master List'!A:C,3,FALSE)))</f>
        <v>Email</v>
      </c>
      <c r="F954" s="4" t="str">
        <f>IF(OR(A954="",E954="","",A954="?",E954="?"),"duplicate?",IF(COUNTIFS($A:A,A954,E:E,E954)&gt;1,"yes","no"))</f>
        <v>duplicate?</v>
      </c>
      <c r="K954" s="97" t="str">
        <f ca="1">IF(J954="","Date",IF(J954&lt;&gt;"",IF(K954="Date",NOW(),K954),""))</f>
        <v>Date</v>
      </c>
    </row>
    <row r="955" spans="2:11">
      <c r="B955" s="97" t="str">
        <f ca="1">IF(A955="","Date",IF(A955&lt;&gt;"",IF(B955="Date",NOW(),B955),""))</f>
        <v>Date</v>
      </c>
      <c r="C955" s="19" t="str">
        <f>IF(ISBLANK(A955),"Name",IF(ISNA(VLOOKUP(A955,'Master List'!A:C,2,FALSE)), "Not Found", VLOOKUP(A955,'Master List'!A:C,2,FALSE)))</f>
        <v>Name</v>
      </c>
      <c r="D955" s="19" t="str">
        <f>IF(ISBLANK(A955), "Email",IF(ISNA(VLOOKUP(A955,'Master List'!A:C,3,FALSE)), "Not Found", VLOOKUP(A955,'Master List'!A:C,3,FALSE)))</f>
        <v>Email</v>
      </c>
      <c r="F955" s="4" t="str">
        <f>IF(OR(A955="",E955="","",A955="?",E955="?"),"duplicate?",IF(COUNTIFS($A:A,A955,E:E,E955)&gt;1,"yes","no"))</f>
        <v>duplicate?</v>
      </c>
      <c r="K955" s="97" t="str">
        <f ca="1">IF(J955="","Date",IF(J955&lt;&gt;"",IF(K955="Date",NOW(),K955),""))</f>
        <v>Date</v>
      </c>
    </row>
    <row r="956" spans="2:11">
      <c r="B956" s="97" t="str">
        <f ca="1">IF(A956="","Date",IF(A956&lt;&gt;"",IF(B956="Date",NOW(),B956),""))</f>
        <v>Date</v>
      </c>
      <c r="C956" s="19" t="str">
        <f>IF(ISBLANK(A956),"Name",IF(ISNA(VLOOKUP(A956,'Master List'!A:C,2,FALSE)), "Not Found", VLOOKUP(A956,'Master List'!A:C,2,FALSE)))</f>
        <v>Name</v>
      </c>
      <c r="D956" s="19" t="str">
        <f>IF(ISBLANK(A956), "Email",IF(ISNA(VLOOKUP(A956,'Master List'!A:C,3,FALSE)), "Not Found", VLOOKUP(A956,'Master List'!A:C,3,FALSE)))</f>
        <v>Email</v>
      </c>
      <c r="F956" s="4" t="str">
        <f>IF(OR(A956="",E956="","",A956="?",E956="?"),"duplicate?",IF(COUNTIFS($A:A,A956,E:E,E956)&gt;1,"yes","no"))</f>
        <v>duplicate?</v>
      </c>
      <c r="K956" s="97" t="str">
        <f ca="1">IF(J956="","Date",IF(J956&lt;&gt;"",IF(K956="Date",NOW(),K956),""))</f>
        <v>Date</v>
      </c>
    </row>
    <row r="957" spans="2:11">
      <c r="B957" s="97" t="str">
        <f ca="1">IF(A957="","Date",IF(A957&lt;&gt;"",IF(B957="Date",NOW(),B957),""))</f>
        <v>Date</v>
      </c>
      <c r="C957" s="19" t="str">
        <f>IF(ISBLANK(A957),"Name",IF(ISNA(VLOOKUP(A957,'Master List'!A:C,2,FALSE)), "Not Found", VLOOKUP(A957,'Master List'!A:C,2,FALSE)))</f>
        <v>Name</v>
      </c>
      <c r="D957" s="19" t="str">
        <f>IF(ISBLANK(A957), "Email",IF(ISNA(VLOOKUP(A957,'Master List'!A:C,3,FALSE)), "Not Found", VLOOKUP(A957,'Master List'!A:C,3,FALSE)))</f>
        <v>Email</v>
      </c>
      <c r="F957" s="4" t="str">
        <f>IF(OR(A957="",E957="","",A957="?",E957="?"),"duplicate?",IF(COUNTIFS($A:A,A957,E:E,E957)&gt;1,"yes","no"))</f>
        <v>duplicate?</v>
      </c>
      <c r="K957" s="97" t="str">
        <f ca="1">IF(J957="","Date",IF(J957&lt;&gt;"",IF(K957="Date",NOW(),K957),""))</f>
        <v>Date</v>
      </c>
    </row>
    <row r="958" spans="2:11">
      <c r="B958" s="97" t="str">
        <f ca="1">IF(A958="","Date",IF(A958&lt;&gt;"",IF(B958="Date",NOW(),B958),""))</f>
        <v>Date</v>
      </c>
      <c r="C958" s="19" t="str">
        <f>IF(ISBLANK(A958),"Name",IF(ISNA(VLOOKUP(A958,'Master List'!A:C,2,FALSE)), "Not Found", VLOOKUP(A958,'Master List'!A:C,2,FALSE)))</f>
        <v>Name</v>
      </c>
      <c r="D958" s="19" t="str">
        <f>IF(ISBLANK(A958), "Email",IF(ISNA(VLOOKUP(A958,'Master List'!A:C,3,FALSE)), "Not Found", VLOOKUP(A958,'Master List'!A:C,3,FALSE)))</f>
        <v>Email</v>
      </c>
      <c r="F958" s="4" t="str">
        <f>IF(OR(A958="",E958="","",A958="?",E958="?"),"duplicate?",IF(COUNTIFS($A:A,A958,E:E,E958)&gt;1,"yes","no"))</f>
        <v>duplicate?</v>
      </c>
      <c r="K958" s="97" t="str">
        <f ca="1">IF(J958="","Date",IF(J958&lt;&gt;"",IF(K958="Date",NOW(),K958),""))</f>
        <v>Date</v>
      </c>
    </row>
    <row r="959" spans="2:11">
      <c r="B959" s="97" t="str">
        <f ca="1">IF(A959="","Date",IF(A959&lt;&gt;"",IF(B959="Date",NOW(),B959),""))</f>
        <v>Date</v>
      </c>
      <c r="C959" s="19" t="str">
        <f>IF(ISBLANK(A959),"Name",IF(ISNA(VLOOKUP(A959,'Master List'!A:C,2,FALSE)), "Not Found", VLOOKUP(A959,'Master List'!A:C,2,FALSE)))</f>
        <v>Name</v>
      </c>
      <c r="D959" s="19" t="str">
        <f>IF(ISBLANK(A959), "Email",IF(ISNA(VLOOKUP(A959,'Master List'!A:C,3,FALSE)), "Not Found", VLOOKUP(A959,'Master List'!A:C,3,FALSE)))</f>
        <v>Email</v>
      </c>
      <c r="F959" s="4" t="str">
        <f>IF(OR(A959="",E959="","",A959="?",E959="?"),"duplicate?",IF(COUNTIFS($A:A,A959,E:E,E959)&gt;1,"yes","no"))</f>
        <v>duplicate?</v>
      </c>
      <c r="K959" s="97" t="str">
        <f ca="1">IF(J959="","Date",IF(J959&lt;&gt;"",IF(K959="Date",NOW(),K959),""))</f>
        <v>Date</v>
      </c>
    </row>
    <row r="960" spans="2:11">
      <c r="B960" s="97" t="str">
        <f ca="1">IF(A960="","Date",IF(A960&lt;&gt;"",IF(B960="Date",NOW(),B960),""))</f>
        <v>Date</v>
      </c>
      <c r="C960" s="19" t="str">
        <f>IF(ISBLANK(A960),"Name",IF(ISNA(VLOOKUP(A960,'Master List'!A:C,2,FALSE)), "Not Found", VLOOKUP(A960,'Master List'!A:C,2,FALSE)))</f>
        <v>Name</v>
      </c>
      <c r="D960" s="19" t="str">
        <f>IF(ISBLANK(A960), "Email",IF(ISNA(VLOOKUP(A960,'Master List'!A:C,3,FALSE)), "Not Found", VLOOKUP(A960,'Master List'!A:C,3,FALSE)))</f>
        <v>Email</v>
      </c>
      <c r="F960" s="4" t="str">
        <f>IF(OR(A960="",E960="","",A960="?",E960="?"),"duplicate?",IF(COUNTIFS($A:A,A960,E:E,E960)&gt;1,"yes","no"))</f>
        <v>duplicate?</v>
      </c>
      <c r="K960" s="97" t="str">
        <f ca="1">IF(J960="","Date",IF(J960&lt;&gt;"",IF(K960="Date",NOW(),K960),""))</f>
        <v>Date</v>
      </c>
    </row>
    <row r="961" spans="2:11">
      <c r="B961" s="97" t="str">
        <f ca="1">IF(A961="","Date",IF(A961&lt;&gt;"",IF(B961="Date",NOW(),B961),""))</f>
        <v>Date</v>
      </c>
      <c r="C961" s="19" t="str">
        <f>IF(ISBLANK(A961),"Name",IF(ISNA(VLOOKUP(A961,'Master List'!A:C,2,FALSE)), "Not Found", VLOOKUP(A961,'Master List'!A:C,2,FALSE)))</f>
        <v>Name</v>
      </c>
      <c r="D961" s="19" t="str">
        <f>IF(ISBLANK(A961), "Email",IF(ISNA(VLOOKUP(A961,'Master List'!A:C,3,FALSE)), "Not Found", VLOOKUP(A961,'Master List'!A:C,3,FALSE)))</f>
        <v>Email</v>
      </c>
      <c r="F961" s="4" t="str">
        <f>IF(OR(A961="",E961="","",A961="?",E961="?"),"duplicate?",IF(COUNTIFS($A:A,A961,E:E,E961)&gt;1,"yes","no"))</f>
        <v>duplicate?</v>
      </c>
      <c r="K961" s="97" t="str">
        <f ca="1">IF(J961="","Date",IF(J961&lt;&gt;"",IF(K961="Date",NOW(),K961),""))</f>
        <v>Date</v>
      </c>
    </row>
    <row r="962" spans="2:11">
      <c r="B962" s="97" t="str">
        <f ca="1">IF(A962="","Date",IF(A962&lt;&gt;"",IF(B962="Date",NOW(),B962),""))</f>
        <v>Date</v>
      </c>
      <c r="C962" s="19" t="str">
        <f>IF(ISBLANK(A962),"Name",IF(ISNA(VLOOKUP(A962,'Master List'!A:C,2,FALSE)), "Not Found", VLOOKUP(A962,'Master List'!A:C,2,FALSE)))</f>
        <v>Name</v>
      </c>
      <c r="D962" s="19" t="str">
        <f>IF(ISBLANK(A962), "Email",IF(ISNA(VLOOKUP(A962,'Master List'!A:C,3,FALSE)), "Not Found", VLOOKUP(A962,'Master List'!A:C,3,FALSE)))</f>
        <v>Email</v>
      </c>
      <c r="F962" s="4" t="str">
        <f>IF(OR(A962="",E962="","",A962="?",E962="?"),"duplicate?",IF(COUNTIFS($A:A,A962,E:E,E962)&gt;1,"yes","no"))</f>
        <v>duplicate?</v>
      </c>
      <c r="K962" s="97" t="str">
        <f ca="1">IF(J962="","Date",IF(J962&lt;&gt;"",IF(K962="Date",NOW(),K962),""))</f>
        <v>Date</v>
      </c>
    </row>
    <row r="963" spans="2:11">
      <c r="B963" s="97" t="str">
        <f ca="1">IF(A963="","Date",IF(A963&lt;&gt;"",IF(B963="Date",NOW(),B963),""))</f>
        <v>Date</v>
      </c>
      <c r="C963" s="19" t="str">
        <f>IF(ISBLANK(A963),"Name",IF(ISNA(VLOOKUP(A963,'Master List'!A:C,2,FALSE)), "Not Found", VLOOKUP(A963,'Master List'!A:C,2,FALSE)))</f>
        <v>Name</v>
      </c>
      <c r="D963" s="19" t="str">
        <f>IF(ISBLANK(A963), "Email",IF(ISNA(VLOOKUP(A963,'Master List'!A:C,3,FALSE)), "Not Found", VLOOKUP(A963,'Master List'!A:C,3,FALSE)))</f>
        <v>Email</v>
      </c>
      <c r="F963" s="4" t="str">
        <f>IF(OR(A963="",E963="","",A963="?",E963="?"),"duplicate?",IF(COUNTIFS($A:A,A963,E:E,E963)&gt;1,"yes","no"))</f>
        <v>duplicate?</v>
      </c>
      <c r="K963" s="97" t="str">
        <f ca="1">IF(J963="","Date",IF(J963&lt;&gt;"",IF(K963="Date",NOW(),K963),""))</f>
        <v>Date</v>
      </c>
    </row>
    <row r="964" spans="2:11">
      <c r="B964" s="97" t="str">
        <f ca="1">IF(A964="","Date",IF(A964&lt;&gt;"",IF(B964="Date",NOW(),B964),""))</f>
        <v>Date</v>
      </c>
      <c r="C964" s="19" t="str">
        <f>IF(ISBLANK(A964),"Name",IF(ISNA(VLOOKUP(A964,'Master List'!A:C,2,FALSE)), "Not Found", VLOOKUP(A964,'Master List'!A:C,2,FALSE)))</f>
        <v>Name</v>
      </c>
      <c r="D964" s="19" t="str">
        <f>IF(ISBLANK(A964), "Email",IF(ISNA(VLOOKUP(A964,'Master List'!A:C,3,FALSE)), "Not Found", VLOOKUP(A964,'Master List'!A:C,3,FALSE)))</f>
        <v>Email</v>
      </c>
      <c r="F964" s="4" t="str">
        <f>IF(OR(A964="",E964="","",A964="?",E964="?"),"duplicate?",IF(COUNTIFS($A:A,A964,E:E,E964)&gt;1,"yes","no"))</f>
        <v>duplicate?</v>
      </c>
      <c r="K964" s="97" t="str">
        <f ca="1">IF(J964="","Date",IF(J964&lt;&gt;"",IF(K964="Date",NOW(),K964),""))</f>
        <v>Date</v>
      </c>
    </row>
    <row r="965" spans="2:11">
      <c r="B965" s="97" t="str">
        <f ca="1">IF(A965="","Date",IF(A965&lt;&gt;"",IF(B965="Date",NOW(),B965),""))</f>
        <v>Date</v>
      </c>
      <c r="C965" s="19" t="str">
        <f>IF(ISBLANK(A965),"Name",IF(ISNA(VLOOKUP(A965,'Master List'!A:C,2,FALSE)), "Not Found", VLOOKUP(A965,'Master List'!A:C,2,FALSE)))</f>
        <v>Name</v>
      </c>
      <c r="D965" s="19" t="str">
        <f>IF(ISBLANK(A965), "Email",IF(ISNA(VLOOKUP(A965,'Master List'!A:C,3,FALSE)), "Not Found", VLOOKUP(A965,'Master List'!A:C,3,FALSE)))</f>
        <v>Email</v>
      </c>
      <c r="F965" s="4" t="str">
        <f>IF(OR(A965="",E965="","",A965="?",E965="?"),"duplicate?",IF(COUNTIFS($A:A,A965,E:E,E965)&gt;1,"yes","no"))</f>
        <v>duplicate?</v>
      </c>
      <c r="K965" s="97" t="str">
        <f ca="1">IF(J965="","Date",IF(J965&lt;&gt;"",IF(K965="Date",NOW(),K965),""))</f>
        <v>Date</v>
      </c>
    </row>
    <row r="966" spans="2:11">
      <c r="B966" s="97" t="str">
        <f ca="1">IF(A966="","Date",IF(A966&lt;&gt;"",IF(B966="Date",NOW(),B966),""))</f>
        <v>Date</v>
      </c>
      <c r="C966" s="19" t="str">
        <f>IF(ISBLANK(A966),"Name",IF(ISNA(VLOOKUP(A966,'Master List'!A:C,2,FALSE)), "Not Found", VLOOKUP(A966,'Master List'!A:C,2,FALSE)))</f>
        <v>Name</v>
      </c>
      <c r="D966" s="19" t="str">
        <f>IF(ISBLANK(A966), "Email",IF(ISNA(VLOOKUP(A966,'Master List'!A:C,3,FALSE)), "Not Found", VLOOKUP(A966,'Master List'!A:C,3,FALSE)))</f>
        <v>Email</v>
      </c>
      <c r="F966" s="4" t="str">
        <f>IF(OR(A966="",E966="","",A966="?",E966="?"),"duplicate?",IF(COUNTIFS($A:A,A966,E:E,E966)&gt;1,"yes","no"))</f>
        <v>duplicate?</v>
      </c>
      <c r="K966" s="97" t="str">
        <f ca="1">IF(J966="","Date",IF(J966&lt;&gt;"",IF(K966="Date",NOW(),K966),""))</f>
        <v>Date</v>
      </c>
    </row>
    <row r="967" spans="2:11">
      <c r="B967" s="97" t="str">
        <f ca="1">IF(A967="","Date",IF(A967&lt;&gt;"",IF(B967="Date",NOW(),B967),""))</f>
        <v>Date</v>
      </c>
      <c r="C967" s="19" t="str">
        <f>IF(ISBLANK(A967),"Name",IF(ISNA(VLOOKUP(A967,'Master List'!A:C,2,FALSE)), "Not Found", VLOOKUP(A967,'Master List'!A:C,2,FALSE)))</f>
        <v>Name</v>
      </c>
      <c r="D967" s="19" t="str">
        <f>IF(ISBLANK(A967), "Email",IF(ISNA(VLOOKUP(A967,'Master List'!A:C,3,FALSE)), "Not Found", VLOOKUP(A967,'Master List'!A:C,3,FALSE)))</f>
        <v>Email</v>
      </c>
      <c r="F967" s="4" t="str">
        <f>IF(OR(A967="",E967="","",A967="?",E967="?"),"duplicate?",IF(COUNTIFS($A:A,A967,E:E,E967)&gt;1,"yes","no"))</f>
        <v>duplicate?</v>
      </c>
      <c r="K967" s="97" t="str">
        <f ca="1">IF(J967="","Date",IF(J967&lt;&gt;"",IF(K967="Date",NOW(),K967),""))</f>
        <v>Date</v>
      </c>
    </row>
    <row r="968" spans="2:11">
      <c r="B968" s="97" t="str">
        <f ca="1">IF(A968="","Date",IF(A968&lt;&gt;"",IF(B968="Date",NOW(),B968),""))</f>
        <v>Date</v>
      </c>
      <c r="C968" s="19" t="str">
        <f>IF(ISBLANK(A968),"Name",IF(ISNA(VLOOKUP(A968,'Master List'!A:C,2,FALSE)), "Not Found", VLOOKUP(A968,'Master List'!A:C,2,FALSE)))</f>
        <v>Name</v>
      </c>
      <c r="D968" s="19" t="str">
        <f>IF(ISBLANK(A968), "Email",IF(ISNA(VLOOKUP(A968,'Master List'!A:C,3,FALSE)), "Not Found", VLOOKUP(A968,'Master List'!A:C,3,FALSE)))</f>
        <v>Email</v>
      </c>
      <c r="F968" s="4" t="str">
        <f>IF(OR(A968="",E968="","",A968="?",E968="?"),"duplicate?",IF(COUNTIFS($A:A,A968,E:E,E968)&gt;1,"yes","no"))</f>
        <v>duplicate?</v>
      </c>
      <c r="K968" s="97" t="str">
        <f ca="1">IF(J968="","Date",IF(J968&lt;&gt;"",IF(K968="Date",NOW(),K968),""))</f>
        <v>Date</v>
      </c>
    </row>
    <row r="969" spans="2:11">
      <c r="B969" s="97" t="str">
        <f ca="1">IF(A969="","Date",IF(A969&lt;&gt;"",IF(B969="Date",NOW(),B969),""))</f>
        <v>Date</v>
      </c>
      <c r="C969" s="19" t="str">
        <f>IF(ISBLANK(A969),"Name",IF(ISNA(VLOOKUP(A969,'Master List'!A:C,2,FALSE)), "Not Found", VLOOKUP(A969,'Master List'!A:C,2,FALSE)))</f>
        <v>Name</v>
      </c>
      <c r="D969" s="19" t="str">
        <f>IF(ISBLANK(A969), "Email",IF(ISNA(VLOOKUP(A969,'Master List'!A:C,3,FALSE)), "Not Found", VLOOKUP(A969,'Master List'!A:C,3,FALSE)))</f>
        <v>Email</v>
      </c>
      <c r="F969" s="4" t="str">
        <f>IF(OR(A969="",E969="","",A969="?",E969="?"),"duplicate?",IF(COUNTIFS($A:A,A969,E:E,E969)&gt;1,"yes","no"))</f>
        <v>duplicate?</v>
      </c>
      <c r="K969" s="97" t="str">
        <f ca="1">IF(J969="","Date",IF(J969&lt;&gt;"",IF(K969="Date",NOW(),K969),""))</f>
        <v>Date</v>
      </c>
    </row>
    <row r="970" spans="2:11">
      <c r="B970" s="97" t="str">
        <f ca="1">IF(A970="","Date",IF(A970&lt;&gt;"",IF(B970="Date",NOW(),B970),""))</f>
        <v>Date</v>
      </c>
      <c r="C970" s="19" t="str">
        <f>IF(ISBLANK(A970),"Name",IF(ISNA(VLOOKUP(A970,'Master List'!A:C,2,FALSE)), "Not Found", VLOOKUP(A970,'Master List'!A:C,2,FALSE)))</f>
        <v>Name</v>
      </c>
      <c r="D970" s="19" t="str">
        <f>IF(ISBLANK(A970), "Email",IF(ISNA(VLOOKUP(A970,'Master List'!A:C,3,FALSE)), "Not Found", VLOOKUP(A970,'Master List'!A:C,3,FALSE)))</f>
        <v>Email</v>
      </c>
      <c r="F970" s="4" t="str">
        <f>IF(OR(A970="",E970="","",A970="?",E970="?"),"duplicate?",IF(COUNTIFS($A:A,A970,E:E,E970)&gt;1,"yes","no"))</f>
        <v>duplicate?</v>
      </c>
      <c r="K970" s="97" t="str">
        <f ca="1">IF(J970="","Date",IF(J970&lt;&gt;"",IF(K970="Date",NOW(),K970),""))</f>
        <v>Date</v>
      </c>
    </row>
    <row r="971" spans="2:11">
      <c r="B971" s="97" t="str">
        <f ca="1">IF(A971="","Date",IF(A971&lt;&gt;"",IF(B971="Date",NOW(),B971),""))</f>
        <v>Date</v>
      </c>
      <c r="C971" s="19" t="str">
        <f>IF(ISBLANK(A971),"Name",IF(ISNA(VLOOKUP(A971,'Master List'!A:C,2,FALSE)), "Not Found", VLOOKUP(A971,'Master List'!A:C,2,FALSE)))</f>
        <v>Name</v>
      </c>
      <c r="D971" s="19" t="str">
        <f>IF(ISBLANK(A971), "Email",IF(ISNA(VLOOKUP(A971,'Master List'!A:C,3,FALSE)), "Not Found", VLOOKUP(A971,'Master List'!A:C,3,FALSE)))</f>
        <v>Email</v>
      </c>
      <c r="F971" s="4" t="str">
        <f>IF(OR(A971="",E971="","",A971="?",E971="?"),"duplicate?",IF(COUNTIFS($A:A,A971,E:E,E971)&gt;1,"yes","no"))</f>
        <v>duplicate?</v>
      </c>
      <c r="K971" s="97" t="str">
        <f ca="1">IF(J971="","Date",IF(J971&lt;&gt;"",IF(K971="Date",NOW(),K971),""))</f>
        <v>Date</v>
      </c>
    </row>
    <row r="972" spans="2:11">
      <c r="B972" s="97" t="str">
        <f ca="1">IF(A972="","Date",IF(A972&lt;&gt;"",IF(B972="Date",NOW(),B972),""))</f>
        <v>Date</v>
      </c>
      <c r="C972" s="19" t="str">
        <f>IF(ISBLANK(A972),"Name",IF(ISNA(VLOOKUP(A972,'Master List'!A:C,2,FALSE)), "Not Found", VLOOKUP(A972,'Master List'!A:C,2,FALSE)))</f>
        <v>Name</v>
      </c>
      <c r="D972" s="19" t="str">
        <f>IF(ISBLANK(A972), "Email",IF(ISNA(VLOOKUP(A972,'Master List'!A:C,3,FALSE)), "Not Found", VLOOKUP(A972,'Master List'!A:C,3,FALSE)))</f>
        <v>Email</v>
      </c>
      <c r="F972" s="4" t="str">
        <f>IF(OR(A972="",E972="","",A972="?",E972="?"),"duplicate?",IF(COUNTIFS($A:A,A972,E:E,E972)&gt;1,"yes","no"))</f>
        <v>duplicate?</v>
      </c>
      <c r="K972" s="97" t="str">
        <f ca="1">IF(J972="","Date",IF(J972&lt;&gt;"",IF(K972="Date",NOW(),K972),""))</f>
        <v>Date</v>
      </c>
    </row>
    <row r="973" spans="2:11">
      <c r="B973" s="97" t="str">
        <f ca="1">IF(A973="","Date",IF(A973&lt;&gt;"",IF(B973="Date",NOW(),B973),""))</f>
        <v>Date</v>
      </c>
      <c r="C973" s="19" t="str">
        <f>IF(ISBLANK(A973),"Name",IF(ISNA(VLOOKUP(A973,'Master List'!A:C,2,FALSE)), "Not Found", VLOOKUP(A973,'Master List'!A:C,2,FALSE)))</f>
        <v>Name</v>
      </c>
      <c r="D973" s="19" t="str">
        <f>IF(ISBLANK(A973), "Email",IF(ISNA(VLOOKUP(A973,'Master List'!A:C,3,FALSE)), "Not Found", VLOOKUP(A973,'Master List'!A:C,3,FALSE)))</f>
        <v>Email</v>
      </c>
      <c r="F973" s="4" t="str">
        <f>IF(OR(A973="",E973="","",A973="?",E973="?"),"duplicate?",IF(COUNTIFS($A:A,A973,E:E,E973)&gt;1,"yes","no"))</f>
        <v>duplicate?</v>
      </c>
      <c r="K973" s="97" t="str">
        <f ca="1">IF(J973="","Date",IF(J973&lt;&gt;"",IF(K973="Date",NOW(),K973),""))</f>
        <v>Date</v>
      </c>
    </row>
    <row r="974" spans="2:11">
      <c r="B974" s="97" t="str">
        <f ca="1">IF(A974="","Date",IF(A974&lt;&gt;"",IF(B974="Date",NOW(),B974),""))</f>
        <v>Date</v>
      </c>
      <c r="C974" s="19" t="str">
        <f>IF(ISBLANK(A974),"Name",IF(ISNA(VLOOKUP(A974,'Master List'!A:C,2,FALSE)), "Not Found", VLOOKUP(A974,'Master List'!A:C,2,FALSE)))</f>
        <v>Name</v>
      </c>
      <c r="D974" s="19" t="str">
        <f>IF(ISBLANK(A974), "Email",IF(ISNA(VLOOKUP(A974,'Master List'!A:C,3,FALSE)), "Not Found", VLOOKUP(A974,'Master List'!A:C,3,FALSE)))</f>
        <v>Email</v>
      </c>
      <c r="F974" s="4" t="str">
        <f>IF(OR(A974="",E974="","",A974="?",E974="?"),"duplicate?",IF(COUNTIFS($A:A,A974,E:E,E974)&gt;1,"yes","no"))</f>
        <v>duplicate?</v>
      </c>
      <c r="K974" s="97" t="str">
        <f ca="1">IF(J974="","Date",IF(J974&lt;&gt;"",IF(K974="Date",NOW(),K974),""))</f>
        <v>Date</v>
      </c>
    </row>
    <row r="975" spans="2:11">
      <c r="B975" s="97" t="str">
        <f ca="1">IF(A975="","Date",IF(A975&lt;&gt;"",IF(B975="Date",NOW(),B975),""))</f>
        <v>Date</v>
      </c>
      <c r="C975" s="19" t="str">
        <f>IF(ISBLANK(A975),"Name",IF(ISNA(VLOOKUP(A975,'Master List'!A:C,2,FALSE)), "Not Found", VLOOKUP(A975,'Master List'!A:C,2,FALSE)))</f>
        <v>Name</v>
      </c>
      <c r="D975" s="19" t="str">
        <f>IF(ISBLANK(A975), "Email",IF(ISNA(VLOOKUP(A975,'Master List'!A:C,3,FALSE)), "Not Found", VLOOKUP(A975,'Master List'!A:C,3,FALSE)))</f>
        <v>Email</v>
      </c>
      <c r="F975" s="4" t="str">
        <f>IF(OR(A975="",E975="","",A975="?",E975="?"),"duplicate?",IF(COUNTIFS($A:A,A975,E:E,E975)&gt;1,"yes","no"))</f>
        <v>duplicate?</v>
      </c>
      <c r="K975" s="97" t="str">
        <f ca="1">IF(J975="","Date",IF(J975&lt;&gt;"",IF(K975="Date",NOW(),K975),""))</f>
        <v>Date</v>
      </c>
    </row>
    <row r="976" spans="2:11">
      <c r="B976" s="97" t="str">
        <f ca="1">IF(A976="","Date",IF(A976&lt;&gt;"",IF(B976="Date",NOW(),B976),""))</f>
        <v>Date</v>
      </c>
      <c r="C976" s="19" t="str">
        <f>IF(ISBLANK(A976),"Name",IF(ISNA(VLOOKUP(A976,'Master List'!A:C,2,FALSE)), "Not Found", VLOOKUP(A976,'Master List'!A:C,2,FALSE)))</f>
        <v>Name</v>
      </c>
      <c r="D976" s="19" t="str">
        <f>IF(ISBLANK(A976), "Email",IF(ISNA(VLOOKUP(A976,'Master List'!A:C,3,FALSE)), "Not Found", VLOOKUP(A976,'Master List'!A:C,3,FALSE)))</f>
        <v>Email</v>
      </c>
      <c r="F976" s="4" t="str">
        <f>IF(OR(A976="",E976="","",A976="?",E976="?"),"duplicate?",IF(COUNTIFS($A:A,A976,E:E,E976)&gt;1,"yes","no"))</f>
        <v>duplicate?</v>
      </c>
      <c r="K976" s="97" t="str">
        <f ca="1">IF(J976="","Date",IF(J976&lt;&gt;"",IF(K976="Date",NOW(),K976),""))</f>
        <v>Date</v>
      </c>
    </row>
    <row r="977" spans="2:11">
      <c r="B977" s="97" t="str">
        <f ca="1">IF(A977="","Date",IF(A977&lt;&gt;"",IF(B977="Date",NOW(),B977),""))</f>
        <v>Date</v>
      </c>
      <c r="C977" s="19" t="str">
        <f>IF(ISBLANK(A977),"Name",IF(ISNA(VLOOKUP(A977,'Master List'!A:C,2,FALSE)), "Not Found", VLOOKUP(A977,'Master List'!A:C,2,FALSE)))</f>
        <v>Name</v>
      </c>
      <c r="D977" s="19" t="str">
        <f>IF(ISBLANK(A977), "Email",IF(ISNA(VLOOKUP(A977,'Master List'!A:C,3,FALSE)), "Not Found", VLOOKUP(A977,'Master List'!A:C,3,FALSE)))</f>
        <v>Email</v>
      </c>
      <c r="F977" s="4" t="str">
        <f>IF(OR(A977="",E977="","",A977="?",E977="?"),"duplicate?",IF(COUNTIFS($A:A,A977,E:E,E977)&gt;1,"yes","no"))</f>
        <v>duplicate?</v>
      </c>
      <c r="K977" s="97" t="str">
        <f ca="1">IF(J977="","Date",IF(J977&lt;&gt;"",IF(K977="Date",NOW(),K977),""))</f>
        <v>Date</v>
      </c>
    </row>
    <row r="978" spans="2:11">
      <c r="B978" s="97" t="str">
        <f ca="1">IF(A978="","Date",IF(A978&lt;&gt;"",IF(B978="Date",NOW(),B978),""))</f>
        <v>Date</v>
      </c>
      <c r="C978" s="19" t="str">
        <f>IF(ISBLANK(A978),"Name",IF(ISNA(VLOOKUP(A978,'Master List'!A:C,2,FALSE)), "Not Found", VLOOKUP(A978,'Master List'!A:C,2,FALSE)))</f>
        <v>Name</v>
      </c>
      <c r="D978" s="19" t="str">
        <f>IF(ISBLANK(A978), "Email",IF(ISNA(VLOOKUP(A978,'Master List'!A:C,3,FALSE)), "Not Found", VLOOKUP(A978,'Master List'!A:C,3,FALSE)))</f>
        <v>Email</v>
      </c>
      <c r="F978" s="4" t="str">
        <f>IF(OR(A978="",E978="","",A978="?",E978="?"),"duplicate?",IF(COUNTIFS($A:A,A978,E:E,E978)&gt;1,"yes","no"))</f>
        <v>duplicate?</v>
      </c>
      <c r="K978" s="97" t="str">
        <f ca="1">IF(J978="","Date",IF(J978&lt;&gt;"",IF(K978="Date",NOW(),K978),""))</f>
        <v>Date</v>
      </c>
    </row>
    <row r="979" spans="2:11">
      <c r="B979" s="97" t="str">
        <f ca="1">IF(A979="","Date",IF(A979&lt;&gt;"",IF(B979="Date",NOW(),B979),""))</f>
        <v>Date</v>
      </c>
      <c r="C979" s="19" t="str">
        <f>IF(ISBLANK(A979),"Name",IF(ISNA(VLOOKUP(A979,'Master List'!A:C,2,FALSE)), "Not Found", VLOOKUP(A979,'Master List'!A:C,2,FALSE)))</f>
        <v>Name</v>
      </c>
      <c r="D979" s="19" t="str">
        <f>IF(ISBLANK(A979), "Email",IF(ISNA(VLOOKUP(A979,'Master List'!A:C,3,FALSE)), "Not Found", VLOOKUP(A979,'Master List'!A:C,3,FALSE)))</f>
        <v>Email</v>
      </c>
      <c r="F979" s="4" t="str">
        <f>IF(OR(A979="",E979="","",A979="?",E979="?"),"duplicate?",IF(COUNTIFS($A:A,A979,E:E,E979)&gt;1,"yes","no"))</f>
        <v>duplicate?</v>
      </c>
      <c r="K979" s="97" t="str">
        <f ca="1">IF(J979="","Date",IF(J979&lt;&gt;"",IF(K979="Date",NOW(),K979),""))</f>
        <v>Date</v>
      </c>
    </row>
    <row r="980" spans="2:11">
      <c r="B980" s="97" t="str">
        <f ca="1">IF(A980="","Date",IF(A980&lt;&gt;"",IF(B980="Date",NOW(),B980),""))</f>
        <v>Date</v>
      </c>
      <c r="C980" s="19" t="str">
        <f>IF(ISBLANK(A980),"Name",IF(ISNA(VLOOKUP(A980,'Master List'!A:C,2,FALSE)), "Not Found", VLOOKUP(A980,'Master List'!A:C,2,FALSE)))</f>
        <v>Name</v>
      </c>
      <c r="D980" s="19" t="str">
        <f>IF(ISBLANK(A980), "Email",IF(ISNA(VLOOKUP(A980,'Master List'!A:C,3,FALSE)), "Not Found", VLOOKUP(A980,'Master List'!A:C,3,FALSE)))</f>
        <v>Email</v>
      </c>
      <c r="F980" s="4" t="str">
        <f>IF(OR(A980="",E980="","",A980="?",E980="?"),"duplicate?",IF(COUNTIFS($A:A,A980,E:E,E980)&gt;1,"yes","no"))</f>
        <v>duplicate?</v>
      </c>
      <c r="K980" s="97" t="str">
        <f ca="1">IF(J980="","Date",IF(J980&lt;&gt;"",IF(K980="Date",NOW(),K980),""))</f>
        <v>Date</v>
      </c>
    </row>
    <row r="981" spans="2:11">
      <c r="B981" s="97" t="str">
        <f ca="1">IF(A981="","Date",IF(A981&lt;&gt;"",IF(B981="Date",NOW(),B981),""))</f>
        <v>Date</v>
      </c>
      <c r="C981" s="19" t="str">
        <f>IF(ISBLANK(A981),"Name",IF(ISNA(VLOOKUP(A981,'Master List'!A:C,2,FALSE)), "Not Found", VLOOKUP(A981,'Master List'!A:C,2,FALSE)))</f>
        <v>Name</v>
      </c>
      <c r="D981" s="19" t="str">
        <f>IF(ISBLANK(A981), "Email",IF(ISNA(VLOOKUP(A981,'Master List'!A:C,3,FALSE)), "Not Found", VLOOKUP(A981,'Master List'!A:C,3,FALSE)))</f>
        <v>Email</v>
      </c>
      <c r="F981" s="4" t="str">
        <f>IF(OR(A981="",E981="","",A981="?",E981="?"),"duplicate?",IF(COUNTIFS($A:A,A981,E:E,E981)&gt;1,"yes","no"))</f>
        <v>duplicate?</v>
      </c>
      <c r="K981" s="97" t="str">
        <f ca="1">IF(J981="","Date",IF(J981&lt;&gt;"",IF(K981="Date",NOW(),K981),""))</f>
        <v>Date</v>
      </c>
    </row>
    <row r="982" spans="2:11">
      <c r="B982" s="97" t="str">
        <f ca="1">IF(A982="","Date",IF(A982&lt;&gt;"",IF(B982="Date",NOW(),B982),""))</f>
        <v>Date</v>
      </c>
      <c r="C982" s="19" t="str">
        <f>IF(ISBLANK(A982),"Name",IF(ISNA(VLOOKUP(A982,'Master List'!A:C,2,FALSE)), "Not Found", VLOOKUP(A982,'Master List'!A:C,2,FALSE)))</f>
        <v>Name</v>
      </c>
      <c r="D982" s="19" t="str">
        <f>IF(ISBLANK(A982), "Email",IF(ISNA(VLOOKUP(A982,'Master List'!A:C,3,FALSE)), "Not Found", VLOOKUP(A982,'Master List'!A:C,3,FALSE)))</f>
        <v>Email</v>
      </c>
      <c r="F982" s="4" t="str">
        <f>IF(OR(A982="",E982="","",A982="?",E982="?"),"duplicate?",IF(COUNTIFS($A:A,A982,E:E,E982)&gt;1,"yes","no"))</f>
        <v>duplicate?</v>
      </c>
      <c r="K982" s="97" t="str">
        <f ca="1">IF(J982="","Date",IF(J982&lt;&gt;"",IF(K982="Date",NOW(),K982),""))</f>
        <v>Date</v>
      </c>
    </row>
    <row r="983" spans="2:11">
      <c r="B983" s="97" t="str">
        <f ca="1">IF(A983="","Date",IF(A983&lt;&gt;"",IF(B983="Date",NOW(),B983),""))</f>
        <v>Date</v>
      </c>
      <c r="C983" s="19" t="str">
        <f>IF(ISBLANK(A983),"Name",IF(ISNA(VLOOKUP(A983,'Master List'!A:C,2,FALSE)), "Not Found", VLOOKUP(A983,'Master List'!A:C,2,FALSE)))</f>
        <v>Name</v>
      </c>
      <c r="D983" s="19" t="str">
        <f>IF(ISBLANK(A983), "Email",IF(ISNA(VLOOKUP(A983,'Master List'!A:C,3,FALSE)), "Not Found", VLOOKUP(A983,'Master List'!A:C,3,FALSE)))</f>
        <v>Email</v>
      </c>
      <c r="F983" s="4" t="str">
        <f>IF(OR(A983="",E983="","",A983="?",E983="?"),"duplicate?",IF(COUNTIFS($A:A,A983,E:E,E983)&gt;1,"yes","no"))</f>
        <v>duplicate?</v>
      </c>
      <c r="K983" s="97" t="str">
        <f ca="1">IF(J983="","Date",IF(J983&lt;&gt;"",IF(K983="Date",NOW(),K983),""))</f>
        <v>Date</v>
      </c>
    </row>
    <row r="984" spans="2:11">
      <c r="B984" s="97" t="str">
        <f ca="1">IF(A984="","Date",IF(A984&lt;&gt;"",IF(B984="Date",NOW(),B984),""))</f>
        <v>Date</v>
      </c>
      <c r="C984" s="19" t="str">
        <f>IF(ISBLANK(A984),"Name",IF(ISNA(VLOOKUP(A984,'Master List'!A:C,2,FALSE)), "Not Found", VLOOKUP(A984,'Master List'!A:C,2,FALSE)))</f>
        <v>Name</v>
      </c>
      <c r="D984" s="19" t="str">
        <f>IF(ISBLANK(A984), "Email",IF(ISNA(VLOOKUP(A984,'Master List'!A:C,3,FALSE)), "Not Found", VLOOKUP(A984,'Master List'!A:C,3,FALSE)))</f>
        <v>Email</v>
      </c>
      <c r="F984" s="4" t="str">
        <f>IF(OR(A984="",E984="","",A984="?",E984="?"),"duplicate?",IF(COUNTIFS($A:A,A984,E:E,E984)&gt;1,"yes","no"))</f>
        <v>duplicate?</v>
      </c>
      <c r="K984" s="97" t="str">
        <f ca="1">IF(J984="","Date",IF(J984&lt;&gt;"",IF(K984="Date",NOW(),K984),""))</f>
        <v>Date</v>
      </c>
    </row>
    <row r="985" spans="2:11">
      <c r="B985" s="97" t="str">
        <f ca="1">IF(A985="","Date",IF(A985&lt;&gt;"",IF(B985="Date",NOW(),B985),""))</f>
        <v>Date</v>
      </c>
      <c r="C985" s="19" t="str">
        <f>IF(ISBLANK(A985),"Name",IF(ISNA(VLOOKUP(A985,'Master List'!A:C,2,FALSE)), "Not Found", VLOOKUP(A985,'Master List'!A:C,2,FALSE)))</f>
        <v>Name</v>
      </c>
      <c r="D985" s="19" t="str">
        <f>IF(ISBLANK(A985), "Email",IF(ISNA(VLOOKUP(A985,'Master List'!A:C,3,FALSE)), "Not Found", VLOOKUP(A985,'Master List'!A:C,3,FALSE)))</f>
        <v>Email</v>
      </c>
      <c r="F985" s="4" t="str">
        <f>IF(OR(A985="",E985="","",A985="?",E985="?"),"duplicate?",IF(COUNTIFS($A:A,A985,E:E,E985)&gt;1,"yes","no"))</f>
        <v>duplicate?</v>
      </c>
      <c r="K985" s="97" t="str">
        <f ca="1">IF(J985="","Date",IF(J985&lt;&gt;"",IF(K985="Date",NOW(),K985),""))</f>
        <v>Date</v>
      </c>
    </row>
    <row r="986" spans="2:11">
      <c r="B986" s="97" t="str">
        <f ca="1">IF(A986="","Date",IF(A986&lt;&gt;"",IF(B986="Date",NOW(),B986),""))</f>
        <v>Date</v>
      </c>
      <c r="C986" s="19" t="str">
        <f>IF(ISBLANK(A986),"Name",IF(ISNA(VLOOKUP(A986,'Master List'!A:C,2,FALSE)), "Not Found", VLOOKUP(A986,'Master List'!A:C,2,FALSE)))</f>
        <v>Name</v>
      </c>
      <c r="D986" s="19" t="str">
        <f>IF(ISBLANK(A986), "Email",IF(ISNA(VLOOKUP(A986,'Master List'!A:C,3,FALSE)), "Not Found", VLOOKUP(A986,'Master List'!A:C,3,FALSE)))</f>
        <v>Email</v>
      </c>
      <c r="F986" s="4" t="str">
        <f>IF(OR(A986="",E986="","",A986="?",E986="?"),"duplicate?",IF(COUNTIFS($A:A,A986,E:E,E986)&gt;1,"yes","no"))</f>
        <v>duplicate?</v>
      </c>
      <c r="K986" s="97" t="str">
        <f ca="1">IF(J986="","Date",IF(J986&lt;&gt;"",IF(K986="Date",NOW(),K986),""))</f>
        <v>Date</v>
      </c>
    </row>
    <row r="987" spans="2:11">
      <c r="B987" s="97" t="str">
        <f ca="1">IF(A987="","Date",IF(A987&lt;&gt;"",IF(B987="Date",NOW(),B987),""))</f>
        <v>Date</v>
      </c>
      <c r="C987" s="19" t="str">
        <f>IF(ISBLANK(A987),"Name",IF(ISNA(VLOOKUP(A987,'Master List'!A:C,2,FALSE)), "Not Found", VLOOKUP(A987,'Master List'!A:C,2,FALSE)))</f>
        <v>Name</v>
      </c>
      <c r="D987" s="19" t="str">
        <f>IF(ISBLANK(A987), "Email",IF(ISNA(VLOOKUP(A987,'Master List'!A:C,3,FALSE)), "Not Found", VLOOKUP(A987,'Master List'!A:C,3,FALSE)))</f>
        <v>Email</v>
      </c>
      <c r="F987" s="4" t="str">
        <f>IF(OR(A987="",E987="","",A987="?",E987="?"),"duplicate?",IF(COUNTIFS($A:A,A987,E:E,E987)&gt;1,"yes","no"))</f>
        <v>duplicate?</v>
      </c>
      <c r="K987" s="97" t="str">
        <f ca="1">IF(J987="","Date",IF(J987&lt;&gt;"",IF(K987="Date",NOW(),K987),""))</f>
        <v>Date</v>
      </c>
    </row>
    <row r="988" spans="2:11">
      <c r="B988" s="97" t="str">
        <f ca="1">IF(A988="","Date",IF(A988&lt;&gt;"",IF(B988="Date",NOW(),B988),""))</f>
        <v>Date</v>
      </c>
      <c r="C988" s="19" t="str">
        <f>IF(ISBLANK(A988),"Name",IF(ISNA(VLOOKUP(A988,'Master List'!A:C,2,FALSE)), "Not Found", VLOOKUP(A988,'Master List'!A:C,2,FALSE)))</f>
        <v>Name</v>
      </c>
      <c r="D988" s="19" t="str">
        <f>IF(ISBLANK(A988), "Email",IF(ISNA(VLOOKUP(A988,'Master List'!A:C,3,FALSE)), "Not Found", VLOOKUP(A988,'Master List'!A:C,3,FALSE)))</f>
        <v>Email</v>
      </c>
      <c r="F988" s="4" t="str">
        <f>IF(OR(A988="",E988="","",A988="?",E988="?"),"duplicate?",IF(COUNTIFS($A:A,A988,E:E,E988)&gt;1,"yes","no"))</f>
        <v>duplicate?</v>
      </c>
      <c r="K988" s="97" t="str">
        <f ca="1">IF(J988="","Date",IF(J988&lt;&gt;"",IF(K988="Date",NOW(),K988),""))</f>
        <v>Date</v>
      </c>
    </row>
    <row r="989" spans="2:11">
      <c r="B989" s="97" t="str">
        <f ca="1">IF(A989="","Date",IF(A989&lt;&gt;"",IF(B989="Date",NOW(),B989),""))</f>
        <v>Date</v>
      </c>
      <c r="C989" s="19" t="str">
        <f>IF(ISBLANK(A989),"Name",IF(ISNA(VLOOKUP(A989,'Master List'!A:C,2,FALSE)), "Not Found", VLOOKUP(A989,'Master List'!A:C,2,FALSE)))</f>
        <v>Name</v>
      </c>
      <c r="D989" s="19" t="str">
        <f>IF(ISBLANK(A989), "Email",IF(ISNA(VLOOKUP(A989,'Master List'!A:C,3,FALSE)), "Not Found", VLOOKUP(A989,'Master List'!A:C,3,FALSE)))</f>
        <v>Email</v>
      </c>
      <c r="F989" s="4" t="str">
        <f>IF(OR(A989="",E989="","",A989="?",E989="?"),"duplicate?",IF(COUNTIFS($A:A,A989,E:E,E989)&gt;1,"yes","no"))</f>
        <v>duplicate?</v>
      </c>
      <c r="K989" s="97" t="str">
        <f ca="1">IF(J989="","Date",IF(J989&lt;&gt;"",IF(K989="Date",NOW(),K989),""))</f>
        <v>Date</v>
      </c>
    </row>
    <row r="990" spans="2:11">
      <c r="B990" s="97" t="str">
        <f ca="1">IF(A990="","Date",IF(A990&lt;&gt;"",IF(B990="Date",NOW(),B990),""))</f>
        <v>Date</v>
      </c>
      <c r="C990" s="19" t="str">
        <f>IF(ISBLANK(A990),"Name",IF(ISNA(VLOOKUP(A990,'Master List'!A:C,2,FALSE)), "Not Found", VLOOKUP(A990,'Master List'!A:C,2,FALSE)))</f>
        <v>Name</v>
      </c>
      <c r="D990" s="19" t="str">
        <f>IF(ISBLANK(A990), "Email",IF(ISNA(VLOOKUP(A990,'Master List'!A:C,3,FALSE)), "Not Found", VLOOKUP(A990,'Master List'!A:C,3,FALSE)))</f>
        <v>Email</v>
      </c>
      <c r="F990" s="4" t="str">
        <f>IF(OR(A990="",E990="","",A990="?",E990="?"),"duplicate?",IF(COUNTIFS($A:A,A990,E:E,E990)&gt;1,"yes","no"))</f>
        <v>duplicate?</v>
      </c>
      <c r="K990" s="97" t="str">
        <f ca="1">IF(J990="","Date",IF(J990&lt;&gt;"",IF(K990="Date",NOW(),K990),""))</f>
        <v>Date</v>
      </c>
    </row>
    <row r="991" spans="2:11">
      <c r="B991" s="97" t="str">
        <f ca="1">IF(A991="","Date",IF(A991&lt;&gt;"",IF(B991="Date",NOW(),B991),""))</f>
        <v>Date</v>
      </c>
      <c r="C991" s="19" t="str">
        <f>IF(ISBLANK(A991),"Name",IF(ISNA(VLOOKUP(A991,'Master List'!A:C,2,FALSE)), "Not Found", VLOOKUP(A991,'Master List'!A:C,2,FALSE)))</f>
        <v>Name</v>
      </c>
      <c r="D991" s="19" t="str">
        <f>IF(ISBLANK(A991), "Email",IF(ISNA(VLOOKUP(A991,'Master List'!A:C,3,FALSE)), "Not Found", VLOOKUP(A991,'Master List'!A:C,3,FALSE)))</f>
        <v>Email</v>
      </c>
      <c r="F991" s="4" t="str">
        <f>IF(OR(A991="",E991="","",A991="?",E991="?"),"duplicate?",IF(COUNTIFS($A:A,A991,E:E,E991)&gt;1,"yes","no"))</f>
        <v>duplicate?</v>
      </c>
      <c r="K991" s="97" t="str">
        <f ca="1">IF(J991="","Date",IF(J991&lt;&gt;"",IF(K991="Date",NOW(),K991),""))</f>
        <v>Date</v>
      </c>
    </row>
    <row r="992" spans="2:11">
      <c r="B992" s="97" t="str">
        <f ca="1">IF(A992="","Date",IF(A992&lt;&gt;"",IF(B992="Date",NOW(),B992),""))</f>
        <v>Date</v>
      </c>
      <c r="C992" s="19" t="str">
        <f>IF(ISBLANK(A992),"Name",IF(ISNA(VLOOKUP(A992,'Master List'!A:C,2,FALSE)), "Not Found", VLOOKUP(A992,'Master List'!A:C,2,FALSE)))</f>
        <v>Name</v>
      </c>
      <c r="D992" s="19" t="str">
        <f>IF(ISBLANK(A992), "Email",IF(ISNA(VLOOKUP(A992,'Master List'!A:C,3,FALSE)), "Not Found", VLOOKUP(A992,'Master List'!A:C,3,FALSE)))</f>
        <v>Email</v>
      </c>
      <c r="F992" s="4" t="str">
        <f>IF(OR(A992="",E992="","",A992="?",E992="?"),"duplicate?",IF(COUNTIFS($A:A,A992,E:E,E992)&gt;1,"yes","no"))</f>
        <v>duplicate?</v>
      </c>
      <c r="K992" s="97" t="str">
        <f ca="1">IF(J992="","Date",IF(J992&lt;&gt;"",IF(K992="Date",NOW(),K992),""))</f>
        <v>Date</v>
      </c>
    </row>
    <row r="993" spans="2:11">
      <c r="B993" s="97" t="str">
        <f ca="1">IF(A993="","Date",IF(A993&lt;&gt;"",IF(B993="Date",NOW(),B993),""))</f>
        <v>Date</v>
      </c>
      <c r="C993" s="19" t="str">
        <f>IF(ISBLANK(A993),"Name",IF(ISNA(VLOOKUP(A993,'Master List'!A:C,2,FALSE)), "Not Found", VLOOKUP(A993,'Master List'!A:C,2,FALSE)))</f>
        <v>Name</v>
      </c>
      <c r="D993" s="19" t="str">
        <f>IF(ISBLANK(A993), "Email",IF(ISNA(VLOOKUP(A993,'Master List'!A:C,3,FALSE)), "Not Found", VLOOKUP(A993,'Master List'!A:C,3,FALSE)))</f>
        <v>Email</v>
      </c>
      <c r="F993" s="4" t="str">
        <f>IF(OR(A993="",E993="","",A993="?",E993="?"),"duplicate?",IF(COUNTIFS($A:A,A993,E:E,E993)&gt;1,"yes","no"))</f>
        <v>duplicate?</v>
      </c>
      <c r="K993" s="97" t="str">
        <f ca="1">IF(J993="","Date",IF(J993&lt;&gt;"",IF(K993="Date",NOW(),K993),""))</f>
        <v>Date</v>
      </c>
    </row>
    <row r="994" spans="2:11">
      <c r="B994" s="97" t="str">
        <f ca="1">IF(A994="","Date",IF(A994&lt;&gt;"",IF(B994="Date",NOW(),B994),""))</f>
        <v>Date</v>
      </c>
      <c r="C994" s="19" t="str">
        <f>IF(ISBLANK(A994),"Name",IF(ISNA(VLOOKUP(A994,'Master List'!A:C,2,FALSE)), "Not Found", VLOOKUP(A994,'Master List'!A:C,2,FALSE)))</f>
        <v>Name</v>
      </c>
      <c r="D994" s="19" t="str">
        <f>IF(ISBLANK(A994), "Email",IF(ISNA(VLOOKUP(A994,'Master List'!A:C,3,FALSE)), "Not Found", VLOOKUP(A994,'Master List'!A:C,3,FALSE)))</f>
        <v>Email</v>
      </c>
      <c r="F994" s="4" t="str">
        <f>IF(OR(A994="",E994="","",A994="?",E994="?"),"duplicate?",IF(COUNTIFS($A:A,A994,E:E,E994)&gt;1,"yes","no"))</f>
        <v>duplicate?</v>
      </c>
      <c r="K994" s="97" t="str">
        <f ca="1">IF(J994="","Date",IF(J994&lt;&gt;"",IF(K994="Date",NOW(),K994),""))</f>
        <v>Date</v>
      </c>
    </row>
    <row r="995" spans="2:11">
      <c r="B995" s="97" t="str">
        <f ca="1">IF(A995="","Date",IF(A995&lt;&gt;"",IF(B995="Date",NOW(),B995),""))</f>
        <v>Date</v>
      </c>
      <c r="C995" s="19" t="str">
        <f>IF(ISBLANK(A995),"Name",IF(ISNA(VLOOKUP(A995,'Master List'!A:C,2,FALSE)), "Not Found", VLOOKUP(A995,'Master List'!A:C,2,FALSE)))</f>
        <v>Name</v>
      </c>
      <c r="D995" s="19" t="str">
        <f>IF(ISBLANK(A995), "Email",IF(ISNA(VLOOKUP(A995,'Master List'!A:C,3,FALSE)), "Not Found", VLOOKUP(A995,'Master List'!A:C,3,FALSE)))</f>
        <v>Email</v>
      </c>
      <c r="F995" s="4" t="str">
        <f>IF(OR(A995="",E995="","",A995="?",E995="?"),"duplicate?",IF(COUNTIFS($A:A,A995,E:E,E995)&gt;1,"yes","no"))</f>
        <v>duplicate?</v>
      </c>
      <c r="K995" s="97" t="str">
        <f ca="1">IF(J995="","Date",IF(J995&lt;&gt;"",IF(K995="Date",NOW(),K995),""))</f>
        <v>Date</v>
      </c>
    </row>
    <row r="996" spans="2:11">
      <c r="B996" s="97" t="str">
        <f ca="1">IF(A996="","Date",IF(A996&lt;&gt;"",IF(B996="Date",NOW(),B996),""))</f>
        <v>Date</v>
      </c>
      <c r="C996" s="19" t="str">
        <f>IF(ISBLANK(A996),"Name",IF(ISNA(VLOOKUP(A996,'Master List'!A:C,2,FALSE)), "Not Found", VLOOKUP(A996,'Master List'!A:C,2,FALSE)))</f>
        <v>Name</v>
      </c>
      <c r="D996" s="19" t="str">
        <f>IF(ISBLANK(A996), "Email",IF(ISNA(VLOOKUP(A996,'Master List'!A:C,3,FALSE)), "Not Found", VLOOKUP(A996,'Master List'!A:C,3,FALSE)))</f>
        <v>Email</v>
      </c>
      <c r="F996" s="4" t="str">
        <f>IF(OR(A996="",E996="","",A996="?",E996="?"),"duplicate?",IF(COUNTIFS($A:A,A996,E:E,E996)&gt;1,"yes","no"))</f>
        <v>duplicate?</v>
      </c>
      <c r="K996" s="97" t="str">
        <f ca="1">IF(J996="","Date",IF(J996&lt;&gt;"",IF(K996="Date",NOW(),K996),""))</f>
        <v>Date</v>
      </c>
    </row>
    <row r="997" spans="2:11">
      <c r="B997" s="97" t="str">
        <f ca="1">IF(A997="","Date",IF(A997&lt;&gt;"",IF(B997="Date",NOW(),B997),""))</f>
        <v>Date</v>
      </c>
      <c r="C997" s="19" t="str">
        <f>IF(ISBLANK(A997),"Name",IF(ISNA(VLOOKUP(A997,'Master List'!A:C,2,FALSE)), "Not Found", VLOOKUP(A997,'Master List'!A:C,2,FALSE)))</f>
        <v>Name</v>
      </c>
      <c r="D997" s="19" t="str">
        <f>IF(ISBLANK(A997), "Email",IF(ISNA(VLOOKUP(A997,'Master List'!A:C,3,FALSE)), "Not Found", VLOOKUP(A997,'Master List'!A:C,3,FALSE)))</f>
        <v>Email</v>
      </c>
      <c r="F997" s="4" t="str">
        <f>IF(OR(A997="",E997="","",A997="?",E997="?"),"duplicate?",IF(COUNTIFS($A:A,A997,E:E,E997)&gt;1,"yes","no"))</f>
        <v>duplicate?</v>
      </c>
      <c r="K997" s="97" t="str">
        <f ca="1">IF(J997="","Date",IF(J997&lt;&gt;"",IF(K997="Date",NOW(),K997),""))</f>
        <v>Date</v>
      </c>
    </row>
    <row r="998" spans="2:11">
      <c r="B998" s="97" t="str">
        <f ca="1">IF(A998="","Date",IF(A998&lt;&gt;"",IF(B998="Date",NOW(),B998),""))</f>
        <v>Date</v>
      </c>
      <c r="C998" s="19" t="str">
        <f>IF(ISBLANK(A998),"Name",IF(ISNA(VLOOKUP(A998,'Master List'!A:C,2,FALSE)), "Not Found", VLOOKUP(A998,'Master List'!A:C,2,FALSE)))</f>
        <v>Name</v>
      </c>
      <c r="D998" s="19" t="str">
        <f>IF(ISBLANK(A998), "Email",IF(ISNA(VLOOKUP(A998,'Master List'!A:C,3,FALSE)), "Not Found", VLOOKUP(A998,'Master List'!A:C,3,FALSE)))</f>
        <v>Email</v>
      </c>
      <c r="F998" s="4" t="str">
        <f>IF(OR(A998="",E998="","",A998="?",E998="?"),"duplicate?",IF(COUNTIFS($A:A,A998,E:E,E998)&gt;1,"yes","no"))</f>
        <v>duplicate?</v>
      </c>
      <c r="K998" s="97" t="str">
        <f ca="1">IF(J998="","Date",IF(J998&lt;&gt;"",IF(K998="Date",NOW(),K998),""))</f>
        <v>Date</v>
      </c>
    </row>
    <row r="999" spans="2:11">
      <c r="B999" s="97" t="str">
        <f ca="1">IF(A999="","Date",IF(A999&lt;&gt;"",IF(B999="Date",NOW(),B999),""))</f>
        <v>Date</v>
      </c>
      <c r="C999" s="19" t="str">
        <f>IF(ISBLANK(A999),"Name",IF(ISNA(VLOOKUP(A999,'Master List'!A:C,2,FALSE)), "Not Found", VLOOKUP(A999,'Master List'!A:C,2,FALSE)))</f>
        <v>Name</v>
      </c>
      <c r="D999" s="19" t="str">
        <f>IF(ISBLANK(A999), "Email",IF(ISNA(VLOOKUP(A999,'Master List'!A:C,3,FALSE)), "Not Found", VLOOKUP(A999,'Master List'!A:C,3,FALSE)))</f>
        <v>Email</v>
      </c>
      <c r="F999" s="4" t="str">
        <f>IF(OR(A999="",E999="","",A999="?",E999="?"),"duplicate?",IF(COUNTIFS($A:A,A999,E:E,E999)&gt;1,"yes","no"))</f>
        <v>duplicate?</v>
      </c>
      <c r="K999" s="97" t="str">
        <f ca="1">IF(J999="","Date",IF(J999&lt;&gt;"",IF(K999="Date",NOW(),K999),""))</f>
        <v>Date</v>
      </c>
    </row>
    <row r="1000" spans="2:11">
      <c r="B1000" s="97" t="str">
        <f ca="1">IF(A1000="","Date",IF(A1000&lt;&gt;"",IF(B1000="Date",NOW(),B1000),""))</f>
        <v>Date</v>
      </c>
      <c r="C1000" s="19" t="str">
        <f>IF(ISBLANK(A1000),"Name",IF(ISNA(VLOOKUP(A1000,'Master List'!A:C,2,FALSE)), "Not Found", VLOOKUP(A1000,'Master List'!A:C,2,FALSE)))</f>
        <v>Name</v>
      </c>
      <c r="D1000" s="19" t="str">
        <f>IF(ISBLANK(A1000), "Email",IF(ISNA(VLOOKUP(A1000,'Master List'!A:C,3,FALSE)), "Not Found", VLOOKUP(A1000,'Master List'!A:C,3,FALSE)))</f>
        <v>Email</v>
      </c>
      <c r="F1000" s="4" t="str">
        <f>IF(OR(A1000="",E1000="","",A1000="?",E1000="?"),"duplicate?",IF(COUNTIFS($A:A,A1000,E:E,E1000)&gt;1,"yes","no"))</f>
        <v>duplicate?</v>
      </c>
      <c r="K1000" s="97" t="str">
        <f ca="1">IF(J1000="","Date",IF(J1000&lt;&gt;"",IF(K1000="Date",NOW(),K1000),""))</f>
        <v>Date</v>
      </c>
    </row>
    <row r="1001" spans="2:11">
      <c r="B1001" s="97" t="str">
        <f ca="1">IF(A1001="","Date",IF(A1001&lt;&gt;"",IF(B1001="Date",NOW(),B1001),""))</f>
        <v>Date</v>
      </c>
      <c r="C1001" s="19" t="str">
        <f>IF(ISBLANK(A1001),"Name",IF(ISNA(VLOOKUP(A1001,'Master List'!A:C,2,FALSE)), "Not Found", VLOOKUP(A1001,'Master List'!A:C,2,FALSE)))</f>
        <v>Name</v>
      </c>
      <c r="D1001" s="19" t="str">
        <f>IF(ISBLANK(A1001), "Email",IF(ISNA(VLOOKUP(A1001,'Master List'!A:C,3,FALSE)), "Not Found", VLOOKUP(A1001,'Master List'!A:C,3,FALSE)))</f>
        <v>Email</v>
      </c>
      <c r="F1001" s="4" t="str">
        <f>IF(OR(A1001="",E1001="","",A1001="?",E1001="?"),"duplicate?",IF(COUNTIFS($A:A,A1001,E:E,E1001)&gt;1,"yes","no"))</f>
        <v>duplicate?</v>
      </c>
      <c r="K1001" s="97" t="str">
        <f ca="1">IF(J1001="","Date",IF(J1001&lt;&gt;"",IF(K1001="Date",NOW(),K1001),""))</f>
        <v>Date</v>
      </c>
    </row>
    <row r="1002" spans="2:11">
      <c r="B1002" s="97" t="str">
        <f ca="1">IF(A1002="","Date",IF(A1002&lt;&gt;"",IF(B1002="Date",NOW(),B1002),""))</f>
        <v>Date</v>
      </c>
      <c r="C1002" s="19" t="str">
        <f>IF(ISBLANK(A1002),"Name",IF(ISNA(VLOOKUP(A1002,'Master List'!A:C,2,FALSE)), "Not Found", VLOOKUP(A1002,'Master List'!A:C,2,FALSE)))</f>
        <v>Name</v>
      </c>
      <c r="D1002" s="19" t="str">
        <f>IF(ISBLANK(A1002), "Email",IF(ISNA(VLOOKUP(A1002,'Master List'!A:C,3,FALSE)), "Not Found", VLOOKUP(A1002,'Master List'!A:C,3,FALSE)))</f>
        <v>Email</v>
      </c>
      <c r="F1002" s="4" t="str">
        <f>IF(OR(A1002="",E1002="","",A1002="?",E1002="?"),"duplicate?",IF(COUNTIFS($A:A,A1002,E:E,E1002)&gt;1,"yes","no"))</f>
        <v>duplicate?</v>
      </c>
      <c r="K1002" s="97" t="str">
        <f ca="1">IF(J1002="","Date",IF(J1002&lt;&gt;"",IF(K1002="Date",NOW(),K1002),""))</f>
        <v>Date</v>
      </c>
    </row>
    <row r="1003" spans="2:11">
      <c r="B1003" s="97" t="str">
        <f ca="1">IF(A1003="","Date",IF(A1003&lt;&gt;"",IF(B1003="Date",NOW(),B1003),""))</f>
        <v>Date</v>
      </c>
      <c r="C1003" s="19" t="str">
        <f>IF(ISBLANK(A1003),"Name",IF(ISNA(VLOOKUP(A1003,'Master List'!A:C,2,FALSE)), "Not Found", VLOOKUP(A1003,'Master List'!A:C,2,FALSE)))</f>
        <v>Name</v>
      </c>
      <c r="D1003" s="19" t="str">
        <f>IF(ISBLANK(A1003), "Email",IF(ISNA(VLOOKUP(A1003,'Master List'!A:C,3,FALSE)), "Not Found", VLOOKUP(A1003,'Master List'!A:C,3,FALSE)))</f>
        <v>Email</v>
      </c>
      <c r="F1003" s="4" t="str">
        <f>IF(OR(A1003="",E1003="","",A1003="?",E1003="?"),"duplicate?",IF(COUNTIFS($A:A,A1003,E:E,E1003)&gt;1,"yes","no"))</f>
        <v>duplicate?</v>
      </c>
      <c r="K1003" s="97" t="str">
        <f ca="1">IF(J1003="","Date",IF(J1003&lt;&gt;"",IF(K1003="Date",NOW(),K1003),""))</f>
        <v>Date</v>
      </c>
    </row>
    <row r="1004" spans="2:11">
      <c r="B1004" s="97" t="str">
        <f ca="1">IF(A1004="","Date",IF(A1004&lt;&gt;"",IF(B1004="Date",NOW(),B1004),""))</f>
        <v>Date</v>
      </c>
      <c r="C1004" s="19" t="str">
        <f>IF(ISBLANK(A1004),"Name",IF(ISNA(VLOOKUP(A1004,'Master List'!A:C,2,FALSE)), "Not Found", VLOOKUP(A1004,'Master List'!A:C,2,FALSE)))</f>
        <v>Name</v>
      </c>
      <c r="D1004" s="19" t="str">
        <f>IF(ISBLANK(A1004), "Email",IF(ISNA(VLOOKUP(A1004,'Master List'!A:C,3,FALSE)), "Not Found", VLOOKUP(A1004,'Master List'!A:C,3,FALSE)))</f>
        <v>Email</v>
      </c>
      <c r="F1004" s="4" t="str">
        <f>IF(OR(A1004="",E1004="","",A1004="?",E1004="?"),"duplicate?",IF(COUNTIFS($A:A,A1004,E:E,E1004)&gt;1,"yes","no"))</f>
        <v>duplicate?</v>
      </c>
      <c r="K1004" s="97" t="str">
        <f ca="1">IF(J1004="","Date",IF(J1004&lt;&gt;"",IF(K1004="Date",NOW(),K1004),""))</f>
        <v>Date</v>
      </c>
    </row>
    <row r="1005" spans="2:11">
      <c r="B1005" s="97" t="str">
        <f ca="1">IF(A1005="","Date",IF(A1005&lt;&gt;"",IF(B1005="Date",NOW(),B1005),""))</f>
        <v>Date</v>
      </c>
      <c r="C1005" s="19" t="str">
        <f>IF(ISBLANK(A1005),"Name",IF(ISNA(VLOOKUP(A1005,'Master List'!A:C,2,FALSE)), "Not Found", VLOOKUP(A1005,'Master List'!A:C,2,FALSE)))</f>
        <v>Name</v>
      </c>
      <c r="D1005" s="19" t="str">
        <f>IF(ISBLANK(A1005), "Email",IF(ISNA(VLOOKUP(A1005,'Master List'!A:C,3,FALSE)), "Not Found", VLOOKUP(A1005,'Master List'!A:C,3,FALSE)))</f>
        <v>Email</v>
      </c>
      <c r="F1005" s="4" t="str">
        <f>IF(OR(A1005="",E1005="","",A1005="?",E1005="?"),"duplicate?",IF(COUNTIFS($A:A,A1005,E:E,E1005)&gt;1,"yes","no"))</f>
        <v>duplicate?</v>
      </c>
      <c r="K1005" s="97" t="str">
        <f ca="1">IF(J1005="","Date",IF(J1005&lt;&gt;"",IF(K1005="Date",NOW(),K1005),""))</f>
        <v>Date</v>
      </c>
    </row>
    <row r="1006" spans="2:11">
      <c r="B1006" s="97" t="str">
        <f ca="1">IF(A1006="","Date",IF(A1006&lt;&gt;"",IF(B1006="Date",NOW(),B1006),""))</f>
        <v>Date</v>
      </c>
      <c r="C1006" s="19" t="str">
        <f>IF(ISBLANK(A1006),"Name",IF(ISNA(VLOOKUP(A1006,'Master List'!A:C,2,FALSE)), "Not Found", VLOOKUP(A1006,'Master List'!A:C,2,FALSE)))</f>
        <v>Name</v>
      </c>
      <c r="D1006" s="19" t="str">
        <f>IF(ISBLANK(A1006), "Email",IF(ISNA(VLOOKUP(A1006,'Master List'!A:C,3,FALSE)), "Not Found", VLOOKUP(A1006,'Master List'!A:C,3,FALSE)))</f>
        <v>Email</v>
      </c>
      <c r="F1006" s="4" t="str">
        <f>IF(OR(A1006="",E1006="","",A1006="?",E1006="?"),"duplicate?",IF(COUNTIFS($A:A,A1006,E:E,E1006)&gt;1,"yes","no"))</f>
        <v>duplicate?</v>
      </c>
      <c r="K1006" s="97" t="str">
        <f ca="1">IF(J1006="","Date",IF(J1006&lt;&gt;"",IF(K1006="Date",NOW(),K1006),""))</f>
        <v>Date</v>
      </c>
    </row>
    <row r="1007" spans="2:11">
      <c r="B1007" s="97" t="str">
        <f ca="1">IF(A1007="","Date",IF(A1007&lt;&gt;"",IF(B1007="Date",NOW(),B1007),""))</f>
        <v>Date</v>
      </c>
      <c r="C1007" s="19" t="str">
        <f>IF(ISBLANK(A1007),"Name",IF(ISNA(VLOOKUP(A1007,'Master List'!A:C,2,FALSE)), "Not Found", VLOOKUP(A1007,'Master List'!A:C,2,FALSE)))</f>
        <v>Name</v>
      </c>
      <c r="D1007" s="19" t="str">
        <f>IF(ISBLANK(A1007), "Email",IF(ISNA(VLOOKUP(A1007,'Master List'!A:C,3,FALSE)), "Not Found", VLOOKUP(A1007,'Master List'!A:C,3,FALSE)))</f>
        <v>Email</v>
      </c>
      <c r="F1007" s="4" t="str">
        <f>IF(OR(A1007="",E1007="","",A1007="?",E1007="?"),"duplicate?",IF(COUNTIFS($A:A,A1007,E:E,E1007)&gt;1,"yes","no"))</f>
        <v>duplicate?</v>
      </c>
      <c r="K1007" s="97" t="str">
        <f ca="1">IF(J1007="","Date",IF(J1007&lt;&gt;"",IF(K1007="Date",NOW(),K1007),""))</f>
        <v>Date</v>
      </c>
    </row>
    <row r="1008" spans="2:11">
      <c r="B1008" s="97" t="str">
        <f ca="1">IF(A1008="","Date",IF(A1008&lt;&gt;"",IF(B1008="Date",NOW(),B1008),""))</f>
        <v>Date</v>
      </c>
      <c r="C1008" s="19" t="str">
        <f>IF(ISBLANK(A1008),"Name",IF(ISNA(VLOOKUP(A1008,'Master List'!A:C,2,FALSE)), "Not Found", VLOOKUP(A1008,'Master List'!A:C,2,FALSE)))</f>
        <v>Name</v>
      </c>
      <c r="D1008" s="19" t="str">
        <f>IF(ISBLANK(A1008), "Email",IF(ISNA(VLOOKUP(A1008,'Master List'!A:C,3,FALSE)), "Not Found", VLOOKUP(A1008,'Master List'!A:C,3,FALSE)))</f>
        <v>Email</v>
      </c>
      <c r="F1008" s="4" t="str">
        <f>IF(OR(A1008="",E1008="","",A1008="?",E1008="?"),"duplicate?",IF(COUNTIFS($A:A,A1008,E:E,E1008)&gt;1,"yes","no"))</f>
        <v>duplicate?</v>
      </c>
      <c r="K1008" s="97" t="str">
        <f ca="1">IF(J1008="","Date",IF(J1008&lt;&gt;"",IF(K1008="Date",NOW(),K1008),""))</f>
        <v>Date</v>
      </c>
    </row>
    <row r="1009" spans="2:11">
      <c r="B1009" s="97" t="str">
        <f ca="1">IF(A1009="","Date",IF(A1009&lt;&gt;"",IF(B1009="Date",NOW(),B1009),""))</f>
        <v>Date</v>
      </c>
      <c r="C1009" s="19" t="str">
        <f>IF(ISBLANK(A1009),"Name",IF(ISNA(VLOOKUP(A1009,'Master List'!A:C,2,FALSE)), "Not Found", VLOOKUP(A1009,'Master List'!A:C,2,FALSE)))</f>
        <v>Name</v>
      </c>
      <c r="D1009" s="19" t="str">
        <f>IF(ISBLANK(A1009), "Email",IF(ISNA(VLOOKUP(A1009,'Master List'!A:C,3,FALSE)), "Not Found", VLOOKUP(A1009,'Master List'!A:C,3,FALSE)))</f>
        <v>Email</v>
      </c>
      <c r="F1009" s="4" t="str">
        <f>IF(OR(A1009="",E1009="","",A1009="?",E1009="?"),"duplicate?",IF(COUNTIFS($A:A,A1009,E:E,E1009)&gt;1,"yes","no"))</f>
        <v>duplicate?</v>
      </c>
      <c r="K1009" s="97" t="str">
        <f ca="1">IF(J1009="","Date",IF(J1009&lt;&gt;"",IF(K1009="Date",NOW(),K1009),""))</f>
        <v>Date</v>
      </c>
    </row>
    <row r="1010" spans="2:11">
      <c r="B1010" s="97" t="str">
        <f ca="1">IF(A1010="","Date",IF(A1010&lt;&gt;"",IF(B1010="Date",NOW(),B1010),""))</f>
        <v>Date</v>
      </c>
      <c r="C1010" s="19" t="str">
        <f>IF(ISBLANK(A1010),"Name",IF(ISNA(VLOOKUP(A1010,'Master List'!A:C,2,FALSE)), "Not Found", VLOOKUP(A1010,'Master List'!A:C,2,FALSE)))</f>
        <v>Name</v>
      </c>
      <c r="D1010" s="19" t="str">
        <f>IF(ISBLANK(A1010), "Email",IF(ISNA(VLOOKUP(A1010,'Master List'!A:C,3,FALSE)), "Not Found", VLOOKUP(A1010,'Master List'!A:C,3,FALSE)))</f>
        <v>Email</v>
      </c>
      <c r="F1010" s="4" t="str">
        <f>IF(OR(A1010="",E1010="","",A1010="?",E1010="?"),"duplicate?",IF(COUNTIFS($A:A,A1010,E:E,E1010)&gt;1,"yes","no"))</f>
        <v>duplicate?</v>
      </c>
      <c r="K1010" s="97" t="str">
        <f ca="1">IF(J1010="","Date",IF(J1010&lt;&gt;"",IF(K1010="Date",NOW(),K1010),""))</f>
        <v>Date</v>
      </c>
    </row>
    <row r="1011" spans="2:11">
      <c r="B1011" s="97" t="str">
        <f ca="1">IF(A1011="","Date",IF(A1011&lt;&gt;"",IF(B1011="Date",NOW(),B1011),""))</f>
        <v>Date</v>
      </c>
      <c r="C1011" s="19" t="str">
        <f>IF(ISBLANK(A1011),"Name",IF(ISNA(VLOOKUP(A1011,'Master List'!A:C,2,FALSE)), "Not Found", VLOOKUP(A1011,'Master List'!A:C,2,FALSE)))</f>
        <v>Name</v>
      </c>
      <c r="D1011" s="19" t="str">
        <f>IF(ISBLANK(A1011), "Email",IF(ISNA(VLOOKUP(A1011,'Master List'!A:C,3,FALSE)), "Not Found", VLOOKUP(A1011,'Master List'!A:C,3,FALSE)))</f>
        <v>Email</v>
      </c>
      <c r="F1011" s="4" t="str">
        <f>IF(OR(A1011="",E1011="","",A1011="?",E1011="?"),"duplicate?",IF(COUNTIFS($A:A,A1011,E:E,E1011)&gt;1,"yes","no"))</f>
        <v>duplicate?</v>
      </c>
      <c r="K1011" s="97" t="str">
        <f ca="1">IF(J1011="","Date",IF(J1011&lt;&gt;"",IF(K1011="Date",NOW(),K1011),""))</f>
        <v>Date</v>
      </c>
    </row>
    <row r="1012" spans="2:11">
      <c r="B1012" s="97" t="str">
        <f ca="1">IF(A1012="","Date",IF(A1012&lt;&gt;"",IF(B1012="Date",NOW(),B1012),""))</f>
        <v>Date</v>
      </c>
      <c r="C1012" s="19" t="str">
        <f>IF(ISBLANK(A1012),"Name",IF(ISNA(VLOOKUP(A1012,'Master List'!A:C,2,FALSE)), "Not Found", VLOOKUP(A1012,'Master List'!A:C,2,FALSE)))</f>
        <v>Name</v>
      </c>
      <c r="D1012" s="19" t="str">
        <f>IF(ISBLANK(A1012), "Email",IF(ISNA(VLOOKUP(A1012,'Master List'!A:C,3,FALSE)), "Not Found", VLOOKUP(A1012,'Master List'!A:C,3,FALSE)))</f>
        <v>Email</v>
      </c>
      <c r="F1012" s="4" t="str">
        <f>IF(OR(A1012="",E1012="","",A1012="?",E1012="?"),"duplicate?",IF(COUNTIFS($A:A,A1012,E:E,E1012)&gt;1,"yes","no"))</f>
        <v>duplicate?</v>
      </c>
      <c r="K1012" s="97" t="str">
        <f ca="1">IF(J1012="","Date",IF(J1012&lt;&gt;"",IF(K1012="Date",NOW(),K1012),""))</f>
        <v>Date</v>
      </c>
    </row>
    <row r="1013" spans="2:11">
      <c r="B1013" s="97" t="str">
        <f ca="1">IF(A1013="","Date",IF(A1013&lt;&gt;"",IF(B1013="Date",NOW(),B1013),""))</f>
        <v>Date</v>
      </c>
      <c r="C1013" s="19" t="str">
        <f>IF(ISBLANK(A1013),"Name",IF(ISNA(VLOOKUP(A1013,'Master List'!A:C,2,FALSE)), "Not Found", VLOOKUP(A1013,'Master List'!A:C,2,FALSE)))</f>
        <v>Name</v>
      </c>
      <c r="D1013" s="19" t="str">
        <f>IF(ISBLANK(A1013), "Email",IF(ISNA(VLOOKUP(A1013,'Master List'!A:C,3,FALSE)), "Not Found", VLOOKUP(A1013,'Master List'!A:C,3,FALSE)))</f>
        <v>Email</v>
      </c>
      <c r="F1013" s="4" t="str">
        <f>IF(OR(A1013="",E1013="","",A1013="?",E1013="?"),"duplicate?",IF(COUNTIFS($A:A,A1013,E:E,E1013)&gt;1,"yes","no"))</f>
        <v>duplicate?</v>
      </c>
      <c r="K1013" s="97" t="str">
        <f ca="1">IF(J1013="","Date",IF(J1013&lt;&gt;"",IF(K1013="Date",NOW(),K1013),""))</f>
        <v>Date</v>
      </c>
    </row>
    <row r="1014" spans="2:11">
      <c r="B1014" s="97" t="str">
        <f ca="1">IF(A1014="","Date",IF(A1014&lt;&gt;"",IF(B1014="Date",NOW(),B1014),""))</f>
        <v>Date</v>
      </c>
      <c r="C1014" s="19" t="str">
        <f>IF(ISBLANK(A1014),"Name",IF(ISNA(VLOOKUP(A1014,'Master List'!A:C,2,FALSE)), "Not Found", VLOOKUP(A1014,'Master List'!A:C,2,FALSE)))</f>
        <v>Name</v>
      </c>
      <c r="D1014" s="19" t="str">
        <f>IF(ISBLANK(A1014), "Email",IF(ISNA(VLOOKUP(A1014,'Master List'!A:C,3,FALSE)), "Not Found", VLOOKUP(A1014,'Master List'!A:C,3,FALSE)))</f>
        <v>Email</v>
      </c>
      <c r="F1014" s="4" t="str">
        <f>IF(OR(A1014="",E1014="","",A1014="?",E1014="?"),"duplicate?",IF(COUNTIFS($A:A,A1014,E:E,E1014)&gt;1,"yes","no"))</f>
        <v>duplicate?</v>
      </c>
      <c r="K1014" s="97" t="str">
        <f ca="1">IF(J1014="","Date",IF(J1014&lt;&gt;"",IF(K1014="Date",NOW(),K1014),""))</f>
        <v>Date</v>
      </c>
    </row>
    <row r="1015" spans="2:11">
      <c r="B1015" s="97" t="str">
        <f ca="1">IF(A1015="","Date",IF(A1015&lt;&gt;"",IF(B1015="Date",NOW(),B1015),""))</f>
        <v>Date</v>
      </c>
      <c r="C1015" s="19" t="str">
        <f>IF(ISBLANK(A1015),"Name",IF(ISNA(VLOOKUP(A1015,'Master List'!A:C,2,FALSE)), "Not Found", VLOOKUP(A1015,'Master List'!A:C,2,FALSE)))</f>
        <v>Name</v>
      </c>
      <c r="D1015" s="19" t="str">
        <f>IF(ISBLANK(A1015), "Email",IF(ISNA(VLOOKUP(A1015,'Master List'!A:C,3,FALSE)), "Not Found", VLOOKUP(A1015,'Master List'!A:C,3,FALSE)))</f>
        <v>Email</v>
      </c>
      <c r="F1015" s="4" t="str">
        <f>IF(OR(A1015="",E1015="","",A1015="?",E1015="?"),"duplicate?",IF(COUNTIFS($A:A,A1015,E:E,E1015)&gt;1,"yes","no"))</f>
        <v>duplicate?</v>
      </c>
      <c r="K1015" s="97" t="str">
        <f ca="1">IF(J1015="","Date",IF(J1015&lt;&gt;"",IF(K1015="Date",NOW(),K1015),""))</f>
        <v>Date</v>
      </c>
    </row>
    <row r="1016" spans="2:11">
      <c r="B1016" s="97" t="str">
        <f ca="1">IF(A1016="","Date",IF(A1016&lt;&gt;"",IF(B1016="Date",NOW(),B1016),""))</f>
        <v>Date</v>
      </c>
      <c r="C1016" s="19" t="str">
        <f>IF(ISBLANK(A1016),"Name",IF(ISNA(VLOOKUP(A1016,'Master List'!A:C,2,FALSE)), "Not Found", VLOOKUP(A1016,'Master List'!A:C,2,FALSE)))</f>
        <v>Name</v>
      </c>
      <c r="D1016" s="19" t="str">
        <f>IF(ISBLANK(A1016), "Email",IF(ISNA(VLOOKUP(A1016,'Master List'!A:C,3,FALSE)), "Not Found", VLOOKUP(A1016,'Master List'!A:C,3,FALSE)))</f>
        <v>Email</v>
      </c>
      <c r="F1016" s="4" t="str">
        <f>IF(OR(A1016="",E1016="","",A1016="?",E1016="?"),"duplicate?",IF(COUNTIFS($A:A,A1016,E:E,E1016)&gt;1,"yes","no"))</f>
        <v>duplicate?</v>
      </c>
      <c r="K1016" s="97" t="str">
        <f ca="1">IF(J1016="","Date",IF(J1016&lt;&gt;"",IF(K1016="Date",NOW(),K1016),""))</f>
        <v>Date</v>
      </c>
    </row>
    <row r="1017" spans="2:11">
      <c r="B1017" s="97" t="str">
        <f ca="1">IF(A1017="","Date",IF(A1017&lt;&gt;"",IF(B1017="Date",NOW(),B1017),""))</f>
        <v>Date</v>
      </c>
      <c r="C1017" s="19" t="str">
        <f>IF(ISBLANK(A1017),"Name",IF(ISNA(VLOOKUP(A1017,'Master List'!A:C,2,FALSE)), "Not Found", VLOOKUP(A1017,'Master List'!A:C,2,FALSE)))</f>
        <v>Name</v>
      </c>
      <c r="D1017" s="19" t="str">
        <f>IF(ISBLANK(A1017), "Email",IF(ISNA(VLOOKUP(A1017,'Master List'!A:C,3,FALSE)), "Not Found", VLOOKUP(A1017,'Master List'!A:C,3,FALSE)))</f>
        <v>Email</v>
      </c>
      <c r="F1017" s="4" t="str">
        <f>IF(OR(A1017="",E1017="","",A1017="?",E1017="?"),"duplicate?",IF(COUNTIFS($A:A,A1017,E:E,E1017)&gt;1,"yes","no"))</f>
        <v>duplicate?</v>
      </c>
      <c r="K1017" s="97" t="str">
        <f ca="1">IF(J1017="","Date",IF(J1017&lt;&gt;"",IF(K1017="Date",NOW(),K1017),""))</f>
        <v>Date</v>
      </c>
    </row>
    <row r="1018" spans="2:11">
      <c r="B1018" s="97" t="str">
        <f ca="1">IF(A1018="","Date",IF(A1018&lt;&gt;"",IF(B1018="Date",NOW(),B1018),""))</f>
        <v>Date</v>
      </c>
      <c r="C1018" s="19" t="str">
        <f>IF(ISBLANK(A1018),"Name",IF(ISNA(VLOOKUP(A1018,'Master List'!A:C,2,FALSE)), "Not Found", VLOOKUP(A1018,'Master List'!A:C,2,FALSE)))</f>
        <v>Name</v>
      </c>
      <c r="D1018" s="19" t="str">
        <f>IF(ISBLANK(A1018), "Email",IF(ISNA(VLOOKUP(A1018,'Master List'!A:C,3,FALSE)), "Not Found", VLOOKUP(A1018,'Master List'!A:C,3,FALSE)))</f>
        <v>Email</v>
      </c>
      <c r="F1018" s="4" t="str">
        <f>IF(OR(A1018="",E1018="","",A1018="?",E1018="?"),"duplicate?",IF(COUNTIFS($A:A,A1018,E:E,E1018)&gt;1,"yes","no"))</f>
        <v>duplicate?</v>
      </c>
      <c r="K1018" s="97" t="str">
        <f ca="1">IF(J1018="","Date",IF(J1018&lt;&gt;"",IF(K1018="Date",NOW(),K1018),""))</f>
        <v>Date</v>
      </c>
    </row>
    <row r="1019" spans="2:11">
      <c r="B1019" s="97" t="str">
        <f ca="1">IF(A1019="","Date",IF(A1019&lt;&gt;"",IF(B1019="Date",NOW(),B1019),""))</f>
        <v>Date</v>
      </c>
      <c r="C1019" s="19" t="str">
        <f>IF(ISBLANK(A1019),"Name",IF(ISNA(VLOOKUP(A1019,'Master List'!A:C,2,FALSE)), "Not Found", VLOOKUP(A1019,'Master List'!A:C,2,FALSE)))</f>
        <v>Name</v>
      </c>
      <c r="D1019" s="19" t="str">
        <f>IF(ISBLANK(A1019), "Email",IF(ISNA(VLOOKUP(A1019,'Master List'!A:C,3,FALSE)), "Not Found", VLOOKUP(A1019,'Master List'!A:C,3,FALSE)))</f>
        <v>Email</v>
      </c>
      <c r="F1019" s="4" t="str">
        <f>IF(OR(A1019="",E1019="","",A1019="?",E1019="?"),"duplicate?",IF(COUNTIFS($A:A,A1019,E:E,E1019)&gt;1,"yes","no"))</f>
        <v>duplicate?</v>
      </c>
      <c r="K1019" s="97" t="str">
        <f ca="1">IF(J1019="","Date",IF(J1019&lt;&gt;"",IF(K1019="Date",NOW(),K1019),""))</f>
        <v>Date</v>
      </c>
    </row>
    <row r="1020" spans="2:11">
      <c r="B1020" s="97" t="str">
        <f ca="1">IF(A1020="","Date",IF(A1020&lt;&gt;"",IF(B1020="Date",NOW(),B1020),""))</f>
        <v>Date</v>
      </c>
      <c r="C1020" s="19" t="str">
        <f>IF(ISBLANK(A1020),"Name",IF(ISNA(VLOOKUP(A1020,'Master List'!A:C,2,FALSE)), "Not Found", VLOOKUP(A1020,'Master List'!A:C,2,FALSE)))</f>
        <v>Name</v>
      </c>
      <c r="D1020" s="19" t="str">
        <f>IF(ISBLANK(A1020), "Email",IF(ISNA(VLOOKUP(A1020,'Master List'!A:C,3,FALSE)), "Not Found", VLOOKUP(A1020,'Master List'!A:C,3,FALSE)))</f>
        <v>Email</v>
      </c>
      <c r="F1020" s="4" t="str">
        <f>IF(OR(A1020="",E1020="","",A1020="?",E1020="?"),"duplicate?",IF(COUNTIFS($A:A,A1020,E:E,E1020)&gt;1,"yes","no"))</f>
        <v>duplicate?</v>
      </c>
      <c r="K1020" s="97" t="str">
        <f ca="1">IF(J1020="","Date",IF(J1020&lt;&gt;"",IF(K1020="Date",NOW(),K1020),""))</f>
        <v>Date</v>
      </c>
    </row>
    <row r="1021" spans="2:11">
      <c r="B1021" s="97" t="str">
        <f ca="1">IF(A1021="","Date",IF(A1021&lt;&gt;"",IF(B1021="Date",NOW(),B1021),""))</f>
        <v>Date</v>
      </c>
      <c r="C1021" s="19" t="str">
        <f>IF(ISBLANK(A1021),"Name",IF(ISNA(VLOOKUP(A1021,'Master List'!A:C,2,FALSE)), "Not Found", VLOOKUP(A1021,'Master List'!A:C,2,FALSE)))</f>
        <v>Name</v>
      </c>
      <c r="D1021" s="19" t="str">
        <f>IF(ISBLANK(A1021), "Email",IF(ISNA(VLOOKUP(A1021,'Master List'!A:C,3,FALSE)), "Not Found", VLOOKUP(A1021,'Master List'!A:C,3,FALSE)))</f>
        <v>Email</v>
      </c>
      <c r="F1021" s="4" t="str">
        <f>IF(OR(A1021="",E1021="","",A1021="?",E1021="?"),"duplicate?",IF(COUNTIFS($A:A,A1021,E:E,E1021)&gt;1,"yes","no"))</f>
        <v>duplicate?</v>
      </c>
      <c r="K1021" s="97" t="str">
        <f ca="1">IF(J1021="","Date",IF(J1021&lt;&gt;"",IF(K1021="Date",NOW(),K1021),""))</f>
        <v>Date</v>
      </c>
    </row>
    <row r="1022" spans="2:11">
      <c r="B1022" s="97" t="str">
        <f ca="1">IF(A1022="","Date",IF(A1022&lt;&gt;"",IF(B1022="Date",NOW(),B1022),""))</f>
        <v>Date</v>
      </c>
      <c r="C1022" s="19" t="str">
        <f>IF(ISBLANK(A1022),"Name",IF(ISNA(VLOOKUP(A1022,'Master List'!A:C,2,FALSE)), "Not Found", VLOOKUP(A1022,'Master List'!A:C,2,FALSE)))</f>
        <v>Name</v>
      </c>
      <c r="D1022" s="19" t="str">
        <f>IF(ISBLANK(A1022), "Email",IF(ISNA(VLOOKUP(A1022,'Master List'!A:C,3,FALSE)), "Not Found", VLOOKUP(A1022,'Master List'!A:C,3,FALSE)))</f>
        <v>Email</v>
      </c>
      <c r="F1022" s="4" t="str">
        <f>IF(OR(A1022="",E1022="","",A1022="?",E1022="?"),"duplicate?",IF(COUNTIFS($A:A,A1022,E:E,E1022)&gt;1,"yes","no"))</f>
        <v>duplicate?</v>
      </c>
      <c r="K1022" s="97" t="str">
        <f ca="1">IF(J1022="","Date",IF(J1022&lt;&gt;"",IF(K1022="Date",NOW(),K1022),""))</f>
        <v>Date</v>
      </c>
    </row>
    <row r="1023" spans="2:11">
      <c r="B1023" s="97" t="str">
        <f ca="1">IF(A1023="","Date",IF(A1023&lt;&gt;"",IF(B1023="Date",NOW(),B1023),""))</f>
        <v>Date</v>
      </c>
      <c r="C1023" s="19" t="str">
        <f>IF(ISBLANK(A1023),"Name",IF(ISNA(VLOOKUP(A1023,'Master List'!A:C,2,FALSE)), "Not Found", VLOOKUP(A1023,'Master List'!A:C,2,FALSE)))</f>
        <v>Name</v>
      </c>
      <c r="D1023" s="19" t="str">
        <f>IF(ISBLANK(A1023), "Email",IF(ISNA(VLOOKUP(A1023,'Master List'!A:C,3,FALSE)), "Not Found", VLOOKUP(A1023,'Master List'!A:C,3,FALSE)))</f>
        <v>Email</v>
      </c>
      <c r="F1023" s="4" t="str">
        <f>IF(OR(A1023="",E1023="","",A1023="?",E1023="?"),"duplicate?",IF(COUNTIFS($A:A,A1023,E:E,E1023)&gt;1,"yes","no"))</f>
        <v>duplicate?</v>
      </c>
      <c r="K1023" s="97" t="str">
        <f ca="1">IF(J1023="","Date",IF(J1023&lt;&gt;"",IF(K1023="Date",NOW(),K1023),""))</f>
        <v>Date</v>
      </c>
    </row>
    <row r="1024" spans="2:11">
      <c r="B1024" s="97" t="str">
        <f ca="1">IF(A1024="","Date",IF(A1024&lt;&gt;"",IF(B1024="Date",NOW(),B1024),""))</f>
        <v>Date</v>
      </c>
      <c r="C1024" s="19" t="str">
        <f>IF(ISBLANK(A1024),"Name",IF(ISNA(VLOOKUP(A1024,'Master List'!A:C,2,FALSE)), "Not Found", VLOOKUP(A1024,'Master List'!A:C,2,FALSE)))</f>
        <v>Name</v>
      </c>
      <c r="D1024" s="19" t="str">
        <f>IF(ISBLANK(A1024), "Email",IF(ISNA(VLOOKUP(A1024,'Master List'!A:C,3,FALSE)), "Not Found", VLOOKUP(A1024,'Master List'!A:C,3,FALSE)))</f>
        <v>Email</v>
      </c>
      <c r="F1024" s="4" t="str">
        <f>IF(OR(A1024="",E1024="","",A1024="?",E1024="?"),"duplicate?",IF(COUNTIFS($A:A,A1024,E:E,E1024)&gt;1,"yes","no"))</f>
        <v>duplicate?</v>
      </c>
      <c r="K1024" s="97" t="str">
        <f ca="1">IF(J1024="","Date",IF(J1024&lt;&gt;"",IF(K1024="Date",NOW(),K1024),""))</f>
        <v>Date</v>
      </c>
    </row>
    <row r="1025" spans="2:11">
      <c r="B1025" s="97" t="str">
        <f ca="1">IF(A1025="","Date",IF(A1025&lt;&gt;"",IF(B1025="Date",NOW(),B1025),""))</f>
        <v>Date</v>
      </c>
      <c r="C1025" s="19" t="str">
        <f>IF(ISBLANK(A1025),"Name",IF(ISNA(VLOOKUP(A1025,'Master List'!A:C,2,FALSE)), "Not Found", VLOOKUP(A1025,'Master List'!A:C,2,FALSE)))</f>
        <v>Name</v>
      </c>
      <c r="D1025" s="19" t="str">
        <f>IF(ISBLANK(A1025), "Email",IF(ISNA(VLOOKUP(A1025,'Master List'!A:C,3,FALSE)), "Not Found", VLOOKUP(A1025,'Master List'!A:C,3,FALSE)))</f>
        <v>Email</v>
      </c>
      <c r="F1025" s="4" t="str">
        <f>IF(OR(A1025="",E1025="","",A1025="?",E1025="?"),"duplicate?",IF(COUNTIFS($A:A,A1025,E:E,E1025)&gt;1,"yes","no"))</f>
        <v>duplicate?</v>
      </c>
      <c r="K1025" s="97" t="str">
        <f ca="1">IF(J1025="","Date",IF(J1025&lt;&gt;"",IF(K1025="Date",NOW(),K1025),""))</f>
        <v>Date</v>
      </c>
    </row>
    <row r="1026" spans="2:11">
      <c r="B1026" s="97" t="str">
        <f ca="1">IF(A1026="","Date",IF(A1026&lt;&gt;"",IF(B1026="Date",NOW(),B1026),""))</f>
        <v>Date</v>
      </c>
      <c r="C1026" s="19" t="str">
        <f>IF(ISBLANK(A1026),"Name",IF(ISNA(VLOOKUP(A1026,'Master List'!A:C,2,FALSE)), "Not Found", VLOOKUP(A1026,'Master List'!A:C,2,FALSE)))</f>
        <v>Name</v>
      </c>
      <c r="D1026" s="19" t="str">
        <f>IF(ISBLANK(A1026), "Email",IF(ISNA(VLOOKUP(A1026,'Master List'!A:C,3,FALSE)), "Not Found", VLOOKUP(A1026,'Master List'!A:C,3,FALSE)))</f>
        <v>Email</v>
      </c>
      <c r="F1026" s="4" t="str">
        <f>IF(OR(A1026="",E1026="","",A1026="?",E1026="?"),"duplicate?",IF(COUNTIFS($A:A,A1026,E:E,E1026)&gt;1,"yes","no"))</f>
        <v>duplicate?</v>
      </c>
      <c r="K1026" s="97" t="str">
        <f ca="1">IF(J1026="","Date",IF(J1026&lt;&gt;"",IF(K1026="Date",NOW(),K1026),""))</f>
        <v>Date</v>
      </c>
    </row>
    <row r="1027" spans="2:11">
      <c r="B1027" s="97" t="str">
        <f ca="1">IF(A1027="","Date",IF(A1027&lt;&gt;"",IF(B1027="Date",NOW(),B1027),""))</f>
        <v>Date</v>
      </c>
      <c r="C1027" s="19" t="str">
        <f>IF(ISBLANK(A1027),"Name",IF(ISNA(VLOOKUP(A1027,'Master List'!A:C,2,FALSE)), "Not Found", VLOOKUP(A1027,'Master List'!A:C,2,FALSE)))</f>
        <v>Name</v>
      </c>
      <c r="D1027" s="19" t="str">
        <f>IF(ISBLANK(A1027), "Email",IF(ISNA(VLOOKUP(A1027,'Master List'!A:C,3,FALSE)), "Not Found", VLOOKUP(A1027,'Master List'!A:C,3,FALSE)))</f>
        <v>Email</v>
      </c>
      <c r="F1027" s="4" t="str">
        <f>IF(OR(A1027="",E1027="","",A1027="?",E1027="?"),"duplicate?",IF(COUNTIFS($A:A,A1027,E:E,E1027)&gt;1,"yes","no"))</f>
        <v>duplicate?</v>
      </c>
      <c r="K1027" s="97" t="str">
        <f ca="1">IF(J1027="","Date",IF(J1027&lt;&gt;"",IF(K1027="Date",NOW(),K1027),""))</f>
        <v>Date</v>
      </c>
    </row>
    <row r="1028" spans="2:11">
      <c r="B1028" s="97" t="str">
        <f ca="1">IF(A1028="","Date",IF(A1028&lt;&gt;"",IF(B1028="Date",NOW(),B1028),""))</f>
        <v>Date</v>
      </c>
      <c r="C1028" s="19" t="str">
        <f>IF(ISBLANK(A1028),"Name",IF(ISNA(VLOOKUP(A1028,'Master List'!A:C,2,FALSE)), "Not Found", VLOOKUP(A1028,'Master List'!A:C,2,FALSE)))</f>
        <v>Name</v>
      </c>
      <c r="D1028" s="19" t="str">
        <f>IF(ISBLANK(A1028), "Email",IF(ISNA(VLOOKUP(A1028,'Master List'!A:C,3,FALSE)), "Not Found", VLOOKUP(A1028,'Master List'!A:C,3,FALSE)))</f>
        <v>Email</v>
      </c>
      <c r="F1028" s="4" t="str">
        <f>IF(OR(A1028="",E1028="","",A1028="?",E1028="?"),"duplicate?",IF(COUNTIFS($A:A,A1028,E:E,E1028)&gt;1,"yes","no"))</f>
        <v>duplicate?</v>
      </c>
      <c r="K1028" s="97" t="str">
        <f ca="1">IF(J1028="","Date",IF(J1028&lt;&gt;"",IF(K1028="Date",NOW(),K1028),""))</f>
        <v>Date</v>
      </c>
    </row>
    <row r="1029" spans="2:11">
      <c r="B1029" s="97" t="str">
        <f ca="1">IF(A1029="","Date",IF(A1029&lt;&gt;"",IF(B1029="Date",NOW(),B1029),""))</f>
        <v>Date</v>
      </c>
      <c r="C1029" s="19" t="str">
        <f>IF(ISBLANK(A1029),"Name",IF(ISNA(VLOOKUP(A1029,'Master List'!A:C,2,FALSE)), "Not Found", VLOOKUP(A1029,'Master List'!A:C,2,FALSE)))</f>
        <v>Name</v>
      </c>
      <c r="D1029" s="19" t="str">
        <f>IF(ISBLANK(A1029), "Email",IF(ISNA(VLOOKUP(A1029,'Master List'!A:C,3,FALSE)), "Not Found", VLOOKUP(A1029,'Master List'!A:C,3,FALSE)))</f>
        <v>Email</v>
      </c>
      <c r="F1029" s="4" t="str">
        <f>IF(OR(A1029="",E1029="","",A1029="?",E1029="?"),"duplicate?",IF(COUNTIFS($A:A,A1029,E:E,E1029)&gt;1,"yes","no"))</f>
        <v>duplicate?</v>
      </c>
      <c r="K1029" s="97" t="str">
        <f ca="1">IF(J1029="","Date",IF(J1029&lt;&gt;"",IF(K1029="Date",NOW(),K1029),""))</f>
        <v>Date</v>
      </c>
    </row>
    <row r="1030" spans="2:11">
      <c r="B1030" s="97" t="str">
        <f ca="1">IF(A1030="","Date",IF(A1030&lt;&gt;"",IF(B1030="Date",NOW(),B1030),""))</f>
        <v>Date</v>
      </c>
      <c r="C1030" s="19" t="str">
        <f>IF(ISBLANK(A1030),"Name",IF(ISNA(VLOOKUP(A1030,'Master List'!A:C,2,FALSE)), "Not Found", VLOOKUP(A1030,'Master List'!A:C,2,FALSE)))</f>
        <v>Name</v>
      </c>
      <c r="D1030" s="19" t="str">
        <f>IF(ISBLANK(A1030), "Email",IF(ISNA(VLOOKUP(A1030,'Master List'!A:C,3,FALSE)), "Not Found", VLOOKUP(A1030,'Master List'!A:C,3,FALSE)))</f>
        <v>Email</v>
      </c>
      <c r="F1030" s="4" t="str">
        <f>IF(OR(A1030="",E1030="","",A1030="?",E1030="?"),"duplicate?",IF(COUNTIFS($A:A,A1030,E:E,E1030)&gt;1,"yes","no"))</f>
        <v>duplicate?</v>
      </c>
      <c r="K1030" s="97" t="str">
        <f ca="1">IF(J1030="","Date",IF(J1030&lt;&gt;"",IF(K1030="Date",NOW(),K1030),""))</f>
        <v>Date</v>
      </c>
    </row>
    <row r="1031" spans="2:11">
      <c r="B1031" s="97" t="str">
        <f ca="1">IF(A1031="","Date",IF(A1031&lt;&gt;"",IF(B1031="Date",NOW(),B1031),""))</f>
        <v>Date</v>
      </c>
      <c r="C1031" s="19" t="str">
        <f>IF(ISBLANK(A1031),"Name",IF(ISNA(VLOOKUP(A1031,'Master List'!A:C,2,FALSE)), "Not Found", VLOOKUP(A1031,'Master List'!A:C,2,FALSE)))</f>
        <v>Name</v>
      </c>
      <c r="D1031" s="19" t="str">
        <f>IF(ISBLANK(A1031), "Email",IF(ISNA(VLOOKUP(A1031,'Master List'!A:C,3,FALSE)), "Not Found", VLOOKUP(A1031,'Master List'!A:C,3,FALSE)))</f>
        <v>Email</v>
      </c>
      <c r="F1031" s="4" t="str">
        <f>IF(OR(A1031="",E1031="","",A1031="?",E1031="?"),"duplicate?",IF(COUNTIFS($A:A,A1031,E:E,E1031)&gt;1,"yes","no"))</f>
        <v>duplicate?</v>
      </c>
      <c r="K1031" s="97" t="str">
        <f ca="1">IF(J1031="","Date",IF(J1031&lt;&gt;"",IF(K1031="Date",NOW(),K1031),""))</f>
        <v>Date</v>
      </c>
    </row>
    <row r="1032" spans="2:11">
      <c r="B1032" s="97" t="str">
        <f ca="1">IF(A1032="","Date",IF(A1032&lt;&gt;"",IF(B1032="Date",NOW(),B1032),""))</f>
        <v>Date</v>
      </c>
      <c r="C1032" s="19" t="str">
        <f>IF(ISBLANK(A1032),"Name",IF(ISNA(VLOOKUP(A1032,'Master List'!A:C,2,FALSE)), "Not Found", VLOOKUP(A1032,'Master List'!A:C,2,FALSE)))</f>
        <v>Name</v>
      </c>
      <c r="D1032" s="19" t="str">
        <f>IF(ISBLANK(A1032), "Email",IF(ISNA(VLOOKUP(A1032,'Master List'!A:C,3,FALSE)), "Not Found", VLOOKUP(A1032,'Master List'!A:C,3,FALSE)))</f>
        <v>Email</v>
      </c>
      <c r="F1032" s="4" t="str">
        <f>IF(OR(A1032="",E1032="","",A1032="?",E1032="?"),"duplicate?",IF(COUNTIFS($A:A,A1032,E:E,E1032)&gt;1,"yes","no"))</f>
        <v>duplicate?</v>
      </c>
      <c r="K1032" s="97" t="str">
        <f ca="1">IF(J1032="","Date",IF(J1032&lt;&gt;"",IF(K1032="Date",NOW(),K1032),""))</f>
        <v>Date</v>
      </c>
    </row>
    <row r="1033" spans="2:11">
      <c r="B1033" s="97" t="str">
        <f ca="1">IF(A1033="","Date",IF(A1033&lt;&gt;"",IF(B1033="Date",NOW(),B1033),""))</f>
        <v>Date</v>
      </c>
      <c r="C1033" s="19" t="str">
        <f>IF(ISBLANK(A1033),"Name",IF(ISNA(VLOOKUP(A1033,'Master List'!A:C,2,FALSE)), "Not Found", VLOOKUP(A1033,'Master List'!A:C,2,FALSE)))</f>
        <v>Name</v>
      </c>
      <c r="D1033" s="19" t="str">
        <f>IF(ISBLANK(A1033), "Email",IF(ISNA(VLOOKUP(A1033,'Master List'!A:C,3,FALSE)), "Not Found", VLOOKUP(A1033,'Master List'!A:C,3,FALSE)))</f>
        <v>Email</v>
      </c>
      <c r="F1033" s="4" t="str">
        <f>IF(OR(A1033="",E1033="","",A1033="?",E1033="?"),"duplicate?",IF(COUNTIFS($A:A,A1033,E:E,E1033)&gt;1,"yes","no"))</f>
        <v>duplicate?</v>
      </c>
      <c r="K1033" s="97" t="str">
        <f ca="1">IF(J1033="","Date",IF(J1033&lt;&gt;"",IF(K1033="Date",NOW(),K1033),""))</f>
        <v>Date</v>
      </c>
    </row>
    <row r="1034" spans="2:11">
      <c r="B1034" s="97" t="str">
        <f ca="1">IF(A1034="","Date",IF(A1034&lt;&gt;"",IF(B1034="Date",NOW(),B1034),""))</f>
        <v>Date</v>
      </c>
      <c r="C1034" s="19" t="str">
        <f>IF(ISBLANK(A1034),"Name",IF(ISNA(VLOOKUP(A1034,'Master List'!A:C,2,FALSE)), "Not Found", VLOOKUP(A1034,'Master List'!A:C,2,FALSE)))</f>
        <v>Name</v>
      </c>
      <c r="D1034" s="19" t="str">
        <f>IF(ISBLANK(A1034), "Email",IF(ISNA(VLOOKUP(A1034,'Master List'!A:C,3,FALSE)), "Not Found", VLOOKUP(A1034,'Master List'!A:C,3,FALSE)))</f>
        <v>Email</v>
      </c>
      <c r="F1034" s="4" t="str">
        <f>IF(OR(A1034="",E1034="","",A1034="?",E1034="?"),"duplicate?",IF(COUNTIFS($A:A,A1034,E:E,E1034)&gt;1,"yes","no"))</f>
        <v>duplicate?</v>
      </c>
      <c r="K1034" s="97" t="str">
        <f ca="1">IF(J1034="","Date",IF(J1034&lt;&gt;"",IF(K1034="Date",NOW(),K1034),""))</f>
        <v>Date</v>
      </c>
    </row>
    <row r="1035" spans="2:11">
      <c r="B1035" s="97" t="str">
        <f ca="1">IF(A1035="","Date",IF(A1035&lt;&gt;"",IF(B1035="Date",NOW(),B1035),""))</f>
        <v>Date</v>
      </c>
      <c r="C1035" s="19" t="str">
        <f>IF(ISBLANK(A1035),"Name",IF(ISNA(VLOOKUP(A1035,'Master List'!A:C,2,FALSE)), "Not Found", VLOOKUP(A1035,'Master List'!A:C,2,FALSE)))</f>
        <v>Name</v>
      </c>
      <c r="D1035" s="19" t="str">
        <f>IF(ISBLANK(A1035), "Email",IF(ISNA(VLOOKUP(A1035,'Master List'!A:C,3,FALSE)), "Not Found", VLOOKUP(A1035,'Master List'!A:C,3,FALSE)))</f>
        <v>Email</v>
      </c>
      <c r="F1035" s="4" t="str">
        <f>IF(OR(A1035="",E1035="","",A1035="?",E1035="?"),"duplicate?",IF(COUNTIFS($A:A,A1035,E:E,E1035)&gt;1,"yes","no"))</f>
        <v>duplicate?</v>
      </c>
      <c r="K1035" s="97" t="str">
        <f ca="1">IF(J1035="","Date",IF(J1035&lt;&gt;"",IF(K1035="Date",NOW(),K1035),""))</f>
        <v>Date</v>
      </c>
    </row>
    <row r="1036" spans="2:11">
      <c r="B1036" s="97" t="str">
        <f ca="1">IF(A1036="","Date",IF(A1036&lt;&gt;"",IF(B1036="Date",NOW(),B1036),""))</f>
        <v>Date</v>
      </c>
      <c r="C1036" s="19" t="str">
        <f>IF(ISBLANK(A1036),"Name",IF(ISNA(VLOOKUP(A1036,'Master List'!A:C,2,FALSE)), "Not Found", VLOOKUP(A1036,'Master List'!A:C,2,FALSE)))</f>
        <v>Name</v>
      </c>
      <c r="D1036" s="19" t="str">
        <f>IF(ISBLANK(A1036), "Email",IF(ISNA(VLOOKUP(A1036,'Master List'!A:C,3,FALSE)), "Not Found", VLOOKUP(A1036,'Master List'!A:C,3,FALSE)))</f>
        <v>Email</v>
      </c>
      <c r="F1036" s="4" t="str">
        <f>IF(OR(A1036="",E1036="","",A1036="?",E1036="?"),"duplicate?",IF(COUNTIFS($A:A,A1036,E:E,E1036)&gt;1,"yes","no"))</f>
        <v>duplicate?</v>
      </c>
      <c r="K1036" s="97" t="str">
        <f ca="1">IF(J1036="","Date",IF(J1036&lt;&gt;"",IF(K1036="Date",NOW(),K1036),""))</f>
        <v>Date</v>
      </c>
    </row>
    <row r="1037" spans="2:11">
      <c r="B1037" s="97" t="str">
        <f ca="1">IF(A1037="","Date",IF(A1037&lt;&gt;"",IF(B1037="Date",NOW(),B1037),""))</f>
        <v>Date</v>
      </c>
      <c r="C1037" s="19" t="str">
        <f>IF(ISBLANK(A1037),"Name",IF(ISNA(VLOOKUP(A1037,'Master List'!A:C,2,FALSE)), "Not Found", VLOOKUP(A1037,'Master List'!A:C,2,FALSE)))</f>
        <v>Name</v>
      </c>
      <c r="D1037" s="19" t="str">
        <f>IF(ISBLANK(A1037), "Email",IF(ISNA(VLOOKUP(A1037,'Master List'!A:C,3,FALSE)), "Not Found", VLOOKUP(A1037,'Master List'!A:C,3,FALSE)))</f>
        <v>Email</v>
      </c>
      <c r="F1037" s="4" t="str">
        <f>IF(OR(A1037="",E1037="","",A1037="?",E1037="?"),"duplicate?",IF(COUNTIFS($A:A,A1037,E:E,E1037)&gt;1,"yes","no"))</f>
        <v>duplicate?</v>
      </c>
      <c r="K1037" s="97" t="str">
        <f ca="1">IF(J1037="","Date",IF(J1037&lt;&gt;"",IF(K1037="Date",NOW(),K1037),""))</f>
        <v>Date</v>
      </c>
    </row>
    <row r="1038" spans="2:11">
      <c r="B1038" s="97" t="str">
        <f ca="1">IF(A1038="","Date",IF(A1038&lt;&gt;"",IF(B1038="Date",NOW(),B1038),""))</f>
        <v>Date</v>
      </c>
      <c r="C1038" s="19" t="str">
        <f>IF(ISBLANK(A1038),"Name",IF(ISNA(VLOOKUP(A1038,'Master List'!A:C,2,FALSE)), "Not Found", VLOOKUP(A1038,'Master List'!A:C,2,FALSE)))</f>
        <v>Name</v>
      </c>
      <c r="D1038" s="19" t="str">
        <f>IF(ISBLANK(A1038), "Email",IF(ISNA(VLOOKUP(A1038,'Master List'!A:C,3,FALSE)), "Not Found", VLOOKUP(A1038,'Master List'!A:C,3,FALSE)))</f>
        <v>Email</v>
      </c>
      <c r="F1038" s="4" t="str">
        <f>IF(OR(A1038="",E1038="","",A1038="?",E1038="?"),"duplicate?",IF(COUNTIFS($A:A,A1038,E:E,E1038)&gt;1,"yes","no"))</f>
        <v>duplicate?</v>
      </c>
      <c r="K1038" s="97" t="str">
        <f ca="1">IF(J1038="","Date",IF(J1038&lt;&gt;"",IF(K1038="Date",NOW(),K1038),""))</f>
        <v>Date</v>
      </c>
    </row>
    <row r="1039" spans="2:11">
      <c r="B1039" s="97" t="str">
        <f ca="1">IF(A1039="","Date",IF(A1039&lt;&gt;"",IF(B1039="Date",NOW(),B1039),""))</f>
        <v>Date</v>
      </c>
      <c r="C1039" s="19" t="str">
        <f>IF(ISBLANK(A1039),"Name",IF(ISNA(VLOOKUP(A1039,'Master List'!A:C,2,FALSE)), "Not Found", VLOOKUP(A1039,'Master List'!A:C,2,FALSE)))</f>
        <v>Name</v>
      </c>
      <c r="D1039" s="19" t="str">
        <f>IF(ISBLANK(A1039), "Email",IF(ISNA(VLOOKUP(A1039,'Master List'!A:C,3,FALSE)), "Not Found", VLOOKUP(A1039,'Master List'!A:C,3,FALSE)))</f>
        <v>Email</v>
      </c>
      <c r="F1039" s="4" t="str">
        <f>IF(OR(A1039="",E1039="","",A1039="?",E1039="?"),"duplicate?",IF(COUNTIFS($A:A,A1039,E:E,E1039)&gt;1,"yes","no"))</f>
        <v>duplicate?</v>
      </c>
      <c r="K1039" s="97" t="str">
        <f ca="1">IF(J1039="","Date",IF(J1039&lt;&gt;"",IF(K1039="Date",NOW(),K1039),""))</f>
        <v>Date</v>
      </c>
    </row>
    <row r="1040" spans="2:11">
      <c r="B1040" s="97" t="str">
        <f ca="1">IF(A1040="","Date",IF(A1040&lt;&gt;"",IF(B1040="Date",NOW(),B1040),""))</f>
        <v>Date</v>
      </c>
      <c r="C1040" s="19" t="str">
        <f>IF(ISBLANK(A1040),"Name",IF(ISNA(VLOOKUP(A1040,'Master List'!A:C,2,FALSE)), "Not Found", VLOOKUP(A1040,'Master List'!A:C,2,FALSE)))</f>
        <v>Name</v>
      </c>
      <c r="D1040" s="19" t="str">
        <f>IF(ISBLANK(A1040), "Email",IF(ISNA(VLOOKUP(A1040,'Master List'!A:C,3,FALSE)), "Not Found", VLOOKUP(A1040,'Master List'!A:C,3,FALSE)))</f>
        <v>Email</v>
      </c>
      <c r="F1040" s="4" t="str">
        <f>IF(OR(A1040="",E1040="","",A1040="?",E1040="?"),"duplicate?",IF(COUNTIFS($A:A,A1040,E:E,E1040)&gt;1,"yes","no"))</f>
        <v>duplicate?</v>
      </c>
      <c r="K1040" s="97" t="str">
        <f ca="1">IF(J1040="","Date",IF(J1040&lt;&gt;"",IF(K1040="Date",NOW(),K1040),""))</f>
        <v>Date</v>
      </c>
    </row>
    <row r="1041" spans="2:11">
      <c r="B1041" s="97" t="str">
        <f ca="1">IF(A1041="","Date",IF(A1041&lt;&gt;"",IF(B1041="Date",NOW(),B1041),""))</f>
        <v>Date</v>
      </c>
      <c r="C1041" s="19" t="str">
        <f>IF(ISBLANK(A1041),"Name",IF(ISNA(VLOOKUP(A1041,'Master List'!A:C,2,FALSE)), "Not Found", VLOOKUP(A1041,'Master List'!A:C,2,FALSE)))</f>
        <v>Name</v>
      </c>
      <c r="D1041" s="19" t="str">
        <f>IF(ISBLANK(A1041), "Email",IF(ISNA(VLOOKUP(A1041,'Master List'!A:C,3,FALSE)), "Not Found", VLOOKUP(A1041,'Master List'!A:C,3,FALSE)))</f>
        <v>Email</v>
      </c>
      <c r="F1041" s="4" t="str">
        <f>IF(OR(A1041="",E1041="","",A1041="?",E1041="?"),"duplicate?",IF(COUNTIFS($A:A,A1041,E:E,E1041)&gt;1,"yes","no"))</f>
        <v>duplicate?</v>
      </c>
      <c r="K1041" s="97" t="str">
        <f ca="1">IF(J1041="","Date",IF(J1041&lt;&gt;"",IF(K1041="Date",NOW(),K1041),""))</f>
        <v>Date</v>
      </c>
    </row>
    <row r="1042" spans="2:11">
      <c r="B1042" s="97" t="str">
        <f ca="1">IF(A1042="","Date",IF(A1042&lt;&gt;"",IF(B1042="Date",NOW(),B1042),""))</f>
        <v>Date</v>
      </c>
      <c r="C1042" s="19" t="str">
        <f>IF(ISBLANK(A1042),"Name",IF(ISNA(VLOOKUP(A1042,'Master List'!A:C,2,FALSE)), "Not Found", VLOOKUP(A1042,'Master List'!A:C,2,FALSE)))</f>
        <v>Name</v>
      </c>
      <c r="D1042" s="19" t="str">
        <f>IF(ISBLANK(A1042), "Email",IF(ISNA(VLOOKUP(A1042,'Master List'!A:C,3,FALSE)), "Not Found", VLOOKUP(A1042,'Master List'!A:C,3,FALSE)))</f>
        <v>Email</v>
      </c>
      <c r="F1042" s="4" t="str">
        <f>IF(OR(A1042="",E1042="","",A1042="?",E1042="?"),"duplicate?",IF(COUNTIFS($A:A,A1042,E:E,E1042)&gt;1,"yes","no"))</f>
        <v>duplicate?</v>
      </c>
      <c r="K1042" s="97" t="str">
        <f ca="1">IF(J1042="","Date",IF(J1042&lt;&gt;"",IF(K1042="Date",NOW(),K1042),""))</f>
        <v>Date</v>
      </c>
    </row>
    <row r="1043" spans="2:11">
      <c r="B1043" s="97" t="str">
        <f ca="1">IF(A1043="","Date",IF(A1043&lt;&gt;"",IF(B1043="Date",NOW(),B1043),""))</f>
        <v>Date</v>
      </c>
      <c r="C1043" s="19" t="str">
        <f>IF(ISBLANK(A1043),"Name",IF(ISNA(VLOOKUP(A1043,'Master List'!A:C,2,FALSE)), "Not Found", VLOOKUP(A1043,'Master List'!A:C,2,FALSE)))</f>
        <v>Name</v>
      </c>
      <c r="D1043" s="19" t="str">
        <f>IF(ISBLANK(A1043), "Email",IF(ISNA(VLOOKUP(A1043,'Master List'!A:C,3,FALSE)), "Not Found", VLOOKUP(A1043,'Master List'!A:C,3,FALSE)))</f>
        <v>Email</v>
      </c>
      <c r="F1043" s="4" t="str">
        <f>IF(OR(A1043="",E1043="","",A1043="?",E1043="?"),"duplicate?",IF(COUNTIFS($A:A,A1043,E:E,E1043)&gt;1,"yes","no"))</f>
        <v>duplicate?</v>
      </c>
      <c r="K1043" s="97" t="str">
        <f ca="1">IF(J1043="","Date",IF(J1043&lt;&gt;"",IF(K1043="Date",NOW(),K1043),""))</f>
        <v>Date</v>
      </c>
    </row>
    <row r="1044" spans="2:11">
      <c r="B1044" s="97" t="str">
        <f ca="1">IF(A1044="","Date",IF(A1044&lt;&gt;"",IF(B1044="Date",NOW(),B1044),""))</f>
        <v>Date</v>
      </c>
      <c r="C1044" s="19" t="str">
        <f>IF(ISBLANK(A1044),"Name",IF(ISNA(VLOOKUP(A1044,'Master List'!A:C,2,FALSE)), "Not Found", VLOOKUP(A1044,'Master List'!A:C,2,FALSE)))</f>
        <v>Name</v>
      </c>
      <c r="D1044" s="19" t="str">
        <f>IF(ISBLANK(A1044), "Email",IF(ISNA(VLOOKUP(A1044,'Master List'!A:C,3,FALSE)), "Not Found", VLOOKUP(A1044,'Master List'!A:C,3,FALSE)))</f>
        <v>Email</v>
      </c>
      <c r="F1044" s="4" t="str">
        <f>IF(OR(A1044="",E1044="","",A1044="?",E1044="?"),"duplicate?",IF(COUNTIFS($A:A,A1044,E:E,E1044)&gt;1,"yes","no"))</f>
        <v>duplicate?</v>
      </c>
      <c r="K1044" s="97" t="str">
        <f ca="1">IF(J1044="","Date",IF(J1044&lt;&gt;"",IF(K1044="Date",NOW(),K1044),""))</f>
        <v>Date</v>
      </c>
    </row>
    <row r="1045" spans="2:11">
      <c r="B1045" s="97" t="str">
        <f ca="1">IF(A1045="","Date",IF(A1045&lt;&gt;"",IF(B1045="Date",NOW(),B1045),""))</f>
        <v>Date</v>
      </c>
      <c r="C1045" s="19" t="str">
        <f>IF(ISBLANK(A1045),"Name",IF(ISNA(VLOOKUP(A1045,'Master List'!A:C,2,FALSE)), "Not Found", VLOOKUP(A1045,'Master List'!A:C,2,FALSE)))</f>
        <v>Name</v>
      </c>
      <c r="D1045" s="19" t="str">
        <f>IF(ISBLANK(A1045), "Email",IF(ISNA(VLOOKUP(A1045,'Master List'!A:C,3,FALSE)), "Not Found", VLOOKUP(A1045,'Master List'!A:C,3,FALSE)))</f>
        <v>Email</v>
      </c>
      <c r="F1045" s="4" t="str">
        <f>IF(OR(A1045="",E1045="","",A1045="?",E1045="?"),"duplicate?",IF(COUNTIFS($A:A,A1045,E:E,E1045)&gt;1,"yes","no"))</f>
        <v>duplicate?</v>
      </c>
      <c r="K1045" s="97" t="str">
        <f ca="1">IF(J1045="","Date",IF(J1045&lt;&gt;"",IF(K1045="Date",NOW(),K1045),""))</f>
        <v>Date</v>
      </c>
    </row>
    <row r="1046" spans="2:11">
      <c r="B1046" s="97" t="str">
        <f ca="1">IF(A1046="","Date",IF(A1046&lt;&gt;"",IF(B1046="Date",NOW(),B1046),""))</f>
        <v>Date</v>
      </c>
      <c r="C1046" s="19" t="str">
        <f>IF(ISBLANK(A1046),"Name",IF(ISNA(VLOOKUP(A1046,'Master List'!A:C,2,FALSE)), "Not Found", VLOOKUP(A1046,'Master List'!A:C,2,FALSE)))</f>
        <v>Name</v>
      </c>
      <c r="D1046" s="19" t="str">
        <f>IF(ISBLANK(A1046), "Email",IF(ISNA(VLOOKUP(A1046,'Master List'!A:C,3,FALSE)), "Not Found", VLOOKUP(A1046,'Master List'!A:C,3,FALSE)))</f>
        <v>Email</v>
      </c>
      <c r="F1046" s="4" t="str">
        <f>IF(OR(A1046="",E1046="","",A1046="?",E1046="?"),"duplicate?",IF(COUNTIFS($A:A,A1046,E:E,E1046)&gt;1,"yes","no"))</f>
        <v>duplicate?</v>
      </c>
      <c r="K1046" s="97" t="str">
        <f ca="1">IF(J1046="","Date",IF(J1046&lt;&gt;"",IF(K1046="Date",NOW(),K1046),""))</f>
        <v>Date</v>
      </c>
    </row>
    <row r="1047" spans="2:11">
      <c r="B1047" s="97" t="str">
        <f ca="1">IF(A1047="","Date",IF(A1047&lt;&gt;"",IF(B1047="Date",NOW(),B1047),""))</f>
        <v>Date</v>
      </c>
      <c r="C1047" s="19" t="str">
        <f>IF(ISBLANK(A1047),"Name",IF(ISNA(VLOOKUP(A1047,'Master List'!A:C,2,FALSE)), "Not Found", VLOOKUP(A1047,'Master List'!A:C,2,FALSE)))</f>
        <v>Name</v>
      </c>
      <c r="D1047" s="19" t="str">
        <f>IF(ISBLANK(A1047), "Email",IF(ISNA(VLOOKUP(A1047,'Master List'!A:C,3,FALSE)), "Not Found", VLOOKUP(A1047,'Master List'!A:C,3,FALSE)))</f>
        <v>Email</v>
      </c>
      <c r="F1047" s="4" t="str">
        <f>IF(OR(A1047="",E1047="","",A1047="?",E1047="?"),"duplicate?",IF(COUNTIFS($A:A,A1047,E:E,E1047)&gt;1,"yes","no"))</f>
        <v>duplicate?</v>
      </c>
      <c r="K1047" s="97" t="str">
        <f ca="1">IF(J1047="","Date",IF(J1047&lt;&gt;"",IF(K1047="Date",NOW(),K1047),""))</f>
        <v>Date</v>
      </c>
    </row>
    <row r="1048" spans="2:11">
      <c r="B1048" s="97" t="str">
        <f ca="1">IF(A1048="","Date",IF(A1048&lt;&gt;"",IF(B1048="Date",NOW(),B1048),""))</f>
        <v>Date</v>
      </c>
      <c r="C1048" s="19" t="str">
        <f>IF(ISBLANK(A1048),"Name",IF(ISNA(VLOOKUP(A1048,'Master List'!A:C,2,FALSE)), "Not Found", VLOOKUP(A1048,'Master List'!A:C,2,FALSE)))</f>
        <v>Name</v>
      </c>
      <c r="D1048" s="19" t="str">
        <f>IF(ISBLANK(A1048), "Email",IF(ISNA(VLOOKUP(A1048,'Master List'!A:C,3,FALSE)), "Not Found", VLOOKUP(A1048,'Master List'!A:C,3,FALSE)))</f>
        <v>Email</v>
      </c>
      <c r="F1048" s="4" t="str">
        <f>IF(OR(A1048="",E1048="","",A1048="?",E1048="?"),"duplicate?",IF(COUNTIFS($A:A,A1048,E:E,E1048)&gt;1,"yes","no"))</f>
        <v>duplicate?</v>
      </c>
      <c r="K1048" s="97" t="str">
        <f ca="1">IF(J1048="","Date",IF(J1048&lt;&gt;"",IF(K1048="Date",NOW(),K1048),""))</f>
        <v>Date</v>
      </c>
    </row>
    <row r="1049" spans="2:11">
      <c r="B1049" s="97" t="str">
        <f ca="1">IF(A1049="","Date",IF(A1049&lt;&gt;"",IF(B1049="Date",NOW(),B1049),""))</f>
        <v>Date</v>
      </c>
      <c r="C1049" s="19" t="str">
        <f>IF(ISBLANK(A1049),"Name",IF(ISNA(VLOOKUP(A1049,'Master List'!A:C,2,FALSE)), "Not Found", VLOOKUP(A1049,'Master List'!A:C,2,FALSE)))</f>
        <v>Name</v>
      </c>
      <c r="D1049" s="19" t="str">
        <f>IF(ISBLANK(A1049), "Email",IF(ISNA(VLOOKUP(A1049,'Master List'!A:C,3,FALSE)), "Not Found", VLOOKUP(A1049,'Master List'!A:C,3,FALSE)))</f>
        <v>Email</v>
      </c>
      <c r="F1049" s="4" t="str">
        <f>IF(OR(A1049="",E1049="","",A1049="?",E1049="?"),"duplicate?",IF(COUNTIFS($A:A,A1049,E:E,E1049)&gt;1,"yes","no"))</f>
        <v>duplicate?</v>
      </c>
      <c r="K1049" s="97" t="str">
        <f ca="1">IF(J1049="","Date",IF(J1049&lt;&gt;"",IF(K1049="Date",NOW(),K1049),""))</f>
        <v>Date</v>
      </c>
    </row>
    <row r="1050" spans="2:11">
      <c r="B1050" s="97" t="str">
        <f ca="1">IF(A1050="","Date",IF(A1050&lt;&gt;"",IF(B1050="Date",NOW(),B1050),""))</f>
        <v>Date</v>
      </c>
      <c r="C1050" s="19" t="str">
        <f>IF(ISBLANK(A1050),"Name",IF(ISNA(VLOOKUP(A1050,'Master List'!A:C,2,FALSE)), "Not Found", VLOOKUP(A1050,'Master List'!A:C,2,FALSE)))</f>
        <v>Name</v>
      </c>
      <c r="D1050" s="19" t="str">
        <f>IF(ISBLANK(A1050), "Email",IF(ISNA(VLOOKUP(A1050,'Master List'!A:C,3,FALSE)), "Not Found", VLOOKUP(A1050,'Master List'!A:C,3,FALSE)))</f>
        <v>Email</v>
      </c>
      <c r="F1050" s="4" t="str">
        <f>IF(OR(A1050="",E1050="","",A1050="?",E1050="?"),"duplicate?",IF(COUNTIFS($A:A,A1050,E:E,E1050)&gt;1,"yes","no"))</f>
        <v>duplicate?</v>
      </c>
      <c r="K1050" s="97" t="str">
        <f ca="1">IF(J1050="","Date",IF(J1050&lt;&gt;"",IF(K1050="Date",NOW(),K1050),""))</f>
        <v>Date</v>
      </c>
    </row>
    <row r="1051" spans="2:11">
      <c r="B1051" s="97" t="str">
        <f ca="1">IF(A1051="","Date",IF(A1051&lt;&gt;"",IF(B1051="Date",NOW(),B1051),""))</f>
        <v>Date</v>
      </c>
      <c r="C1051" s="19" t="str">
        <f>IF(ISBLANK(A1051),"Name",IF(ISNA(VLOOKUP(A1051,'Master List'!A:C,2,FALSE)), "Not Found", VLOOKUP(A1051,'Master List'!A:C,2,FALSE)))</f>
        <v>Name</v>
      </c>
      <c r="D1051" s="19" t="str">
        <f>IF(ISBLANK(A1051), "Email",IF(ISNA(VLOOKUP(A1051,'Master List'!A:C,3,FALSE)), "Not Found", VLOOKUP(A1051,'Master List'!A:C,3,FALSE)))</f>
        <v>Email</v>
      </c>
      <c r="F1051" s="4" t="str">
        <f>IF(OR(A1051="",E1051="","",A1051="?",E1051="?"),"duplicate?",IF(COUNTIFS($A:A,A1051,E:E,E1051)&gt;1,"yes","no"))</f>
        <v>duplicate?</v>
      </c>
      <c r="K1051" s="97" t="str">
        <f ca="1">IF(J1051="","Date",IF(J1051&lt;&gt;"",IF(K1051="Date",NOW(),K1051),""))</f>
        <v>Date</v>
      </c>
    </row>
    <row r="1052" spans="2:11">
      <c r="B1052" s="97" t="str">
        <f ca="1">IF(A1052="","Date",IF(A1052&lt;&gt;"",IF(B1052="Date",NOW(),B1052),""))</f>
        <v>Date</v>
      </c>
      <c r="C1052" s="19" t="str">
        <f>IF(ISBLANK(A1052),"Name",IF(ISNA(VLOOKUP(A1052,'Master List'!A:C,2,FALSE)), "Not Found", VLOOKUP(A1052,'Master List'!A:C,2,FALSE)))</f>
        <v>Name</v>
      </c>
      <c r="D1052" s="19" t="str">
        <f>IF(ISBLANK(A1052), "Email",IF(ISNA(VLOOKUP(A1052,'Master List'!A:C,3,FALSE)), "Not Found", VLOOKUP(A1052,'Master List'!A:C,3,FALSE)))</f>
        <v>Email</v>
      </c>
      <c r="F1052" s="4" t="str">
        <f>IF(OR(A1052="",E1052="","",A1052="?",E1052="?"),"duplicate?",IF(COUNTIFS($A:A,A1052,E:E,E1052)&gt;1,"yes","no"))</f>
        <v>duplicate?</v>
      </c>
      <c r="K1052" s="97" t="str">
        <f ca="1">IF(J1052="","Date",IF(J1052&lt;&gt;"",IF(K1052="Date",NOW(),K1052),""))</f>
        <v>Date</v>
      </c>
    </row>
    <row r="1053" spans="2:11">
      <c r="B1053" s="97" t="str">
        <f ca="1">IF(A1053="","Date",IF(A1053&lt;&gt;"",IF(B1053="Date",NOW(),B1053),""))</f>
        <v>Date</v>
      </c>
      <c r="C1053" s="19" t="str">
        <f>IF(ISBLANK(A1053),"Name",IF(ISNA(VLOOKUP(A1053,'Master List'!A:C,2,FALSE)), "Not Found", VLOOKUP(A1053,'Master List'!A:C,2,FALSE)))</f>
        <v>Name</v>
      </c>
      <c r="D1053" s="19" t="str">
        <f>IF(ISBLANK(A1053), "Email",IF(ISNA(VLOOKUP(A1053,'Master List'!A:C,3,FALSE)), "Not Found", VLOOKUP(A1053,'Master List'!A:C,3,FALSE)))</f>
        <v>Email</v>
      </c>
      <c r="F1053" s="4" t="str">
        <f>IF(OR(A1053="",E1053="","",A1053="?",E1053="?"),"duplicate?",IF(COUNTIFS($A:A,A1053,E:E,E1053)&gt;1,"yes","no"))</f>
        <v>duplicate?</v>
      </c>
      <c r="K1053" s="97" t="str">
        <f ca="1">IF(J1053="","Date",IF(J1053&lt;&gt;"",IF(K1053="Date",NOW(),K1053),""))</f>
        <v>Date</v>
      </c>
    </row>
    <row r="1054" spans="2:11">
      <c r="B1054" s="97" t="str">
        <f ca="1">IF(A1054="","Date",IF(A1054&lt;&gt;"",IF(B1054="Date",NOW(),B1054),""))</f>
        <v>Date</v>
      </c>
      <c r="C1054" s="19" t="str">
        <f>IF(ISBLANK(A1054),"Name",IF(ISNA(VLOOKUP(A1054,'Master List'!A:C,2,FALSE)), "Not Found", VLOOKUP(A1054,'Master List'!A:C,2,FALSE)))</f>
        <v>Name</v>
      </c>
      <c r="D1054" s="19" t="str">
        <f>IF(ISBLANK(A1054), "Email",IF(ISNA(VLOOKUP(A1054,'Master List'!A:C,3,FALSE)), "Not Found", VLOOKUP(A1054,'Master List'!A:C,3,FALSE)))</f>
        <v>Email</v>
      </c>
      <c r="F1054" s="4" t="str">
        <f>IF(OR(A1054="",E1054="","",A1054="?",E1054="?"),"duplicate?",IF(COUNTIFS($A:A,A1054,E:E,E1054)&gt;1,"yes","no"))</f>
        <v>duplicate?</v>
      </c>
      <c r="K1054" s="97" t="str">
        <f ca="1">IF(J1054="","Date",IF(J1054&lt;&gt;"",IF(K1054="Date",NOW(),K1054),""))</f>
        <v>Date</v>
      </c>
    </row>
    <row r="1055" spans="2:11">
      <c r="B1055" s="97" t="str">
        <f ca="1">IF(A1055="","Date",IF(A1055&lt;&gt;"",IF(B1055="Date",NOW(),B1055),""))</f>
        <v>Date</v>
      </c>
      <c r="C1055" s="19" t="str">
        <f>IF(ISBLANK(A1055),"Name",IF(ISNA(VLOOKUP(A1055,'Master List'!A:C,2,FALSE)), "Not Found", VLOOKUP(A1055,'Master List'!A:C,2,FALSE)))</f>
        <v>Name</v>
      </c>
      <c r="D1055" s="19" t="str">
        <f>IF(ISBLANK(A1055), "Email",IF(ISNA(VLOOKUP(A1055,'Master List'!A:C,3,FALSE)), "Not Found", VLOOKUP(A1055,'Master List'!A:C,3,FALSE)))</f>
        <v>Email</v>
      </c>
      <c r="F1055" s="4" t="str">
        <f>IF(OR(A1055="",E1055="","",A1055="?",E1055="?"),"duplicate?",IF(COUNTIFS($A:A,A1055,E:E,E1055)&gt;1,"yes","no"))</f>
        <v>duplicate?</v>
      </c>
      <c r="K1055" s="97" t="str">
        <f ca="1">IF(J1055="","Date",IF(J1055&lt;&gt;"",IF(K1055="Date",NOW(),K1055),""))</f>
        <v>Date</v>
      </c>
    </row>
    <row r="1056" spans="2:11">
      <c r="B1056" s="97" t="str">
        <f ca="1">IF(A1056="","Date",IF(A1056&lt;&gt;"",IF(B1056="Date",NOW(),B1056),""))</f>
        <v>Date</v>
      </c>
      <c r="C1056" s="19" t="str">
        <f>IF(ISBLANK(A1056),"Name",IF(ISNA(VLOOKUP(A1056,'Master List'!A:C,2,FALSE)), "Not Found", VLOOKUP(A1056,'Master List'!A:C,2,FALSE)))</f>
        <v>Name</v>
      </c>
      <c r="D1056" s="19" t="str">
        <f>IF(ISBLANK(A1056), "Email",IF(ISNA(VLOOKUP(A1056,'Master List'!A:C,3,FALSE)), "Not Found", VLOOKUP(A1056,'Master List'!A:C,3,FALSE)))</f>
        <v>Email</v>
      </c>
      <c r="F1056" s="4" t="str">
        <f>IF(OR(A1056="",E1056="","",A1056="?",E1056="?"),"duplicate?",IF(COUNTIFS($A:A,A1056,E:E,E1056)&gt;1,"yes","no"))</f>
        <v>duplicate?</v>
      </c>
      <c r="K1056" s="97" t="str">
        <f ca="1">IF(J1056="","Date",IF(J1056&lt;&gt;"",IF(K1056="Date",NOW(),K1056),""))</f>
        <v>Date</v>
      </c>
    </row>
    <row r="1057" spans="2:11">
      <c r="B1057" s="97" t="str">
        <f ca="1">IF(A1057="","Date",IF(A1057&lt;&gt;"",IF(B1057="Date",NOW(),B1057),""))</f>
        <v>Date</v>
      </c>
      <c r="C1057" s="19" t="str">
        <f>IF(ISBLANK(A1057),"Name",IF(ISNA(VLOOKUP(A1057,'Master List'!A:C,2,FALSE)), "Not Found", VLOOKUP(A1057,'Master List'!A:C,2,FALSE)))</f>
        <v>Name</v>
      </c>
      <c r="D1057" s="19" t="str">
        <f>IF(ISBLANK(A1057), "Email",IF(ISNA(VLOOKUP(A1057,'Master List'!A:C,3,FALSE)), "Not Found", VLOOKUP(A1057,'Master List'!A:C,3,FALSE)))</f>
        <v>Email</v>
      </c>
      <c r="F1057" s="4" t="str">
        <f>IF(OR(A1057="",E1057="","",A1057="?",E1057="?"),"duplicate?",IF(COUNTIFS($A:A,A1057,E:E,E1057)&gt;1,"yes","no"))</f>
        <v>duplicate?</v>
      </c>
      <c r="K1057" s="97" t="str">
        <f ca="1">IF(J1057="","Date",IF(J1057&lt;&gt;"",IF(K1057="Date",NOW(),K1057),""))</f>
        <v>Date</v>
      </c>
    </row>
    <row r="1058" spans="2:11">
      <c r="B1058" s="97" t="str">
        <f ca="1">IF(A1058="","Date",IF(A1058&lt;&gt;"",IF(B1058="Date",NOW(),B1058),""))</f>
        <v>Date</v>
      </c>
      <c r="C1058" s="19" t="str">
        <f>IF(ISBLANK(A1058),"Name",IF(ISNA(VLOOKUP(A1058,'Master List'!A:C,2,FALSE)), "Not Found", VLOOKUP(A1058,'Master List'!A:C,2,FALSE)))</f>
        <v>Name</v>
      </c>
      <c r="D1058" s="19" t="str">
        <f>IF(ISBLANK(A1058), "Email",IF(ISNA(VLOOKUP(A1058,'Master List'!A:C,3,FALSE)), "Not Found", VLOOKUP(A1058,'Master List'!A:C,3,FALSE)))</f>
        <v>Email</v>
      </c>
      <c r="F1058" s="4" t="str">
        <f>IF(OR(A1058="",E1058="","",A1058="?",E1058="?"),"duplicate?",IF(COUNTIFS($A:A,A1058,E:E,E1058)&gt;1,"yes","no"))</f>
        <v>duplicate?</v>
      </c>
      <c r="K1058" s="97" t="str">
        <f ca="1">IF(J1058="","Date",IF(J1058&lt;&gt;"",IF(K1058="Date",NOW(),K1058),""))</f>
        <v>Date</v>
      </c>
    </row>
    <row r="1059" spans="2:11">
      <c r="B1059" s="97" t="str">
        <f ca="1">IF(A1059="","Date",IF(A1059&lt;&gt;"",IF(B1059="Date",NOW(),B1059),""))</f>
        <v>Date</v>
      </c>
      <c r="C1059" s="19" t="str">
        <f>IF(ISBLANK(A1059),"Name",IF(ISNA(VLOOKUP(A1059,'Master List'!A:C,2,FALSE)), "Not Found", VLOOKUP(A1059,'Master List'!A:C,2,FALSE)))</f>
        <v>Name</v>
      </c>
      <c r="D1059" s="19" t="str">
        <f>IF(ISBLANK(A1059), "Email",IF(ISNA(VLOOKUP(A1059,'Master List'!A:C,3,FALSE)), "Not Found", VLOOKUP(A1059,'Master List'!A:C,3,FALSE)))</f>
        <v>Email</v>
      </c>
      <c r="F1059" s="4" t="str">
        <f>IF(OR(A1059="",E1059="","",A1059="?",E1059="?"),"duplicate?",IF(COUNTIFS($A:A,A1059,E:E,E1059)&gt;1,"yes","no"))</f>
        <v>duplicate?</v>
      </c>
      <c r="K1059" s="97" t="str">
        <f ca="1">IF(J1059="","Date",IF(J1059&lt;&gt;"",IF(K1059="Date",NOW(),K1059),""))</f>
        <v>Date</v>
      </c>
    </row>
    <row r="1060" spans="2:11">
      <c r="B1060" s="97" t="str">
        <f ca="1">IF(A1060="","Date",IF(A1060&lt;&gt;"",IF(B1060="Date",NOW(),B1060),""))</f>
        <v>Date</v>
      </c>
      <c r="C1060" s="19" t="str">
        <f>IF(ISBLANK(A1060),"Name",IF(ISNA(VLOOKUP(A1060,'Master List'!A:C,2,FALSE)), "Not Found", VLOOKUP(A1060,'Master List'!A:C,2,FALSE)))</f>
        <v>Name</v>
      </c>
      <c r="D1060" s="19" t="str">
        <f>IF(ISBLANK(A1060), "Email",IF(ISNA(VLOOKUP(A1060,'Master List'!A:C,3,FALSE)), "Not Found", VLOOKUP(A1060,'Master List'!A:C,3,FALSE)))</f>
        <v>Email</v>
      </c>
      <c r="F1060" s="4" t="str">
        <f>IF(OR(A1060="",E1060="","",A1060="?",E1060="?"),"duplicate?",IF(COUNTIFS($A:A,A1060,E:E,E1060)&gt;1,"yes","no"))</f>
        <v>duplicate?</v>
      </c>
      <c r="K1060" s="97" t="str">
        <f ca="1">IF(J1060="","Date",IF(J1060&lt;&gt;"",IF(K1060="Date",NOW(),K1060),""))</f>
        <v>Date</v>
      </c>
    </row>
    <row r="1061" spans="2:11">
      <c r="B1061" s="97" t="str">
        <f ca="1">IF(A1061="","Date",IF(A1061&lt;&gt;"",IF(B1061="Date",NOW(),B1061),""))</f>
        <v>Date</v>
      </c>
      <c r="C1061" s="19" t="str">
        <f>IF(ISBLANK(A1061),"Name",IF(ISNA(VLOOKUP(A1061,'Master List'!A:C,2,FALSE)), "Not Found", VLOOKUP(A1061,'Master List'!A:C,2,FALSE)))</f>
        <v>Name</v>
      </c>
      <c r="D1061" s="19" t="str">
        <f>IF(ISBLANK(A1061), "Email",IF(ISNA(VLOOKUP(A1061,'Master List'!A:C,3,FALSE)), "Not Found", VLOOKUP(A1061,'Master List'!A:C,3,FALSE)))</f>
        <v>Email</v>
      </c>
      <c r="F1061" s="4" t="str">
        <f>IF(OR(A1061="",E1061="","",A1061="?",E1061="?"),"duplicate?",IF(COUNTIFS($A:A,A1061,E:E,E1061)&gt;1,"yes","no"))</f>
        <v>duplicate?</v>
      </c>
      <c r="K1061" s="97" t="str">
        <f ca="1">IF(J1061="","Date",IF(J1061&lt;&gt;"",IF(K1061="Date",NOW(),K1061),""))</f>
        <v>Date</v>
      </c>
    </row>
    <row r="1062" spans="2:11">
      <c r="B1062" s="97" t="str">
        <f ca="1">IF(A1062="","Date",IF(A1062&lt;&gt;"",IF(B1062="Date",NOW(),B1062),""))</f>
        <v>Date</v>
      </c>
      <c r="C1062" s="19" t="str">
        <f>IF(ISBLANK(A1062),"Name",IF(ISNA(VLOOKUP(A1062,'Master List'!A:C,2,FALSE)), "Not Found", VLOOKUP(A1062,'Master List'!A:C,2,FALSE)))</f>
        <v>Name</v>
      </c>
      <c r="D1062" s="19" t="str">
        <f>IF(ISBLANK(A1062), "Email",IF(ISNA(VLOOKUP(A1062,'Master List'!A:C,3,FALSE)), "Not Found", VLOOKUP(A1062,'Master List'!A:C,3,FALSE)))</f>
        <v>Email</v>
      </c>
      <c r="F1062" s="4" t="str">
        <f>IF(OR(A1062="",E1062="","",A1062="?",E1062="?"),"duplicate?",IF(COUNTIFS($A:A,A1062,E:E,E1062)&gt;1,"yes","no"))</f>
        <v>duplicate?</v>
      </c>
      <c r="K1062" s="97" t="str">
        <f ca="1">IF(J1062="","Date",IF(J1062&lt;&gt;"",IF(K1062="Date",NOW(),K1062),""))</f>
        <v>Date</v>
      </c>
    </row>
    <row r="1063" spans="2:11">
      <c r="B1063" s="97" t="str">
        <f ca="1">IF(A1063="","Date",IF(A1063&lt;&gt;"",IF(B1063="Date",NOW(),B1063),""))</f>
        <v>Date</v>
      </c>
      <c r="C1063" s="19" t="str">
        <f>IF(ISBLANK(A1063),"Name",IF(ISNA(VLOOKUP(A1063,'Master List'!A:C,2,FALSE)), "Not Found", VLOOKUP(A1063,'Master List'!A:C,2,FALSE)))</f>
        <v>Name</v>
      </c>
      <c r="D1063" s="19" t="str">
        <f>IF(ISBLANK(A1063), "Email",IF(ISNA(VLOOKUP(A1063,'Master List'!A:C,3,FALSE)), "Not Found", VLOOKUP(A1063,'Master List'!A:C,3,FALSE)))</f>
        <v>Email</v>
      </c>
      <c r="F1063" s="4" t="str">
        <f>IF(OR(A1063="",E1063="","",A1063="?",E1063="?"),"duplicate?",IF(COUNTIFS($A:A,A1063,E:E,E1063)&gt;1,"yes","no"))</f>
        <v>duplicate?</v>
      </c>
      <c r="K1063" s="97" t="str">
        <f ca="1">IF(J1063="","Date",IF(J1063&lt;&gt;"",IF(K1063="Date",NOW(),K1063),""))</f>
        <v>Date</v>
      </c>
    </row>
    <row r="1064" spans="2:11">
      <c r="B1064" s="97" t="str">
        <f ca="1">IF(A1064="","Date",IF(A1064&lt;&gt;"",IF(B1064="Date",NOW(),B1064),""))</f>
        <v>Date</v>
      </c>
      <c r="C1064" s="19" t="str">
        <f>IF(ISBLANK(A1064),"Name",IF(ISNA(VLOOKUP(A1064,'Master List'!A:C,2,FALSE)), "Not Found", VLOOKUP(A1064,'Master List'!A:C,2,FALSE)))</f>
        <v>Name</v>
      </c>
      <c r="D1064" s="19" t="str">
        <f>IF(ISBLANK(A1064), "Email",IF(ISNA(VLOOKUP(A1064,'Master List'!A:C,3,FALSE)), "Not Found", VLOOKUP(A1064,'Master List'!A:C,3,FALSE)))</f>
        <v>Email</v>
      </c>
      <c r="F1064" s="4" t="str">
        <f>IF(OR(A1064="",E1064="","",A1064="?",E1064="?"),"duplicate?",IF(COUNTIFS($A:A,A1064,E:E,E1064)&gt;1,"yes","no"))</f>
        <v>duplicate?</v>
      </c>
      <c r="K1064" s="97" t="str">
        <f ca="1">IF(J1064="","Date",IF(J1064&lt;&gt;"",IF(K1064="Date",NOW(),K1064),""))</f>
        <v>Date</v>
      </c>
    </row>
    <row r="1065" spans="2:11">
      <c r="B1065" s="97" t="str">
        <f ca="1">IF(A1065="","Date",IF(A1065&lt;&gt;"",IF(B1065="Date",NOW(),B1065),""))</f>
        <v>Date</v>
      </c>
      <c r="C1065" s="19" t="str">
        <f>IF(ISBLANK(A1065),"Name",IF(ISNA(VLOOKUP(A1065,'Master List'!A:C,2,FALSE)), "Not Found", VLOOKUP(A1065,'Master List'!A:C,2,FALSE)))</f>
        <v>Name</v>
      </c>
      <c r="D1065" s="19" t="str">
        <f>IF(ISBLANK(A1065), "Email",IF(ISNA(VLOOKUP(A1065,'Master List'!A:C,3,FALSE)), "Not Found", VLOOKUP(A1065,'Master List'!A:C,3,FALSE)))</f>
        <v>Email</v>
      </c>
      <c r="F1065" s="4" t="str">
        <f>IF(OR(A1065="",E1065="","",A1065="?",E1065="?"),"duplicate?",IF(COUNTIFS($A:A,A1065,E:E,E1065)&gt;1,"yes","no"))</f>
        <v>duplicate?</v>
      </c>
      <c r="K1065" s="97" t="str">
        <f ca="1">IF(J1065="","Date",IF(J1065&lt;&gt;"",IF(K1065="Date",NOW(),K1065),""))</f>
        <v>Date</v>
      </c>
    </row>
    <row r="1066" spans="2:11">
      <c r="B1066" s="97" t="str">
        <f ca="1">IF(A1066="","Date",IF(A1066&lt;&gt;"",IF(B1066="Date",NOW(),B1066),""))</f>
        <v>Date</v>
      </c>
      <c r="C1066" s="19" t="str">
        <f>IF(ISBLANK(A1066),"Name",IF(ISNA(VLOOKUP(A1066,'Master List'!A:C,2,FALSE)), "Not Found", VLOOKUP(A1066,'Master List'!A:C,2,FALSE)))</f>
        <v>Name</v>
      </c>
      <c r="D1066" s="19" t="str">
        <f>IF(ISBLANK(A1066), "Email",IF(ISNA(VLOOKUP(A1066,'Master List'!A:C,3,FALSE)), "Not Found", VLOOKUP(A1066,'Master List'!A:C,3,FALSE)))</f>
        <v>Email</v>
      </c>
      <c r="F1066" s="4" t="str">
        <f>IF(OR(A1066="",E1066="","",A1066="?",E1066="?"),"duplicate?",IF(COUNTIFS($A:A,A1066,E:E,E1066)&gt;1,"yes","no"))</f>
        <v>duplicate?</v>
      </c>
      <c r="K1066" s="97" t="str">
        <f ca="1">IF(J1066="","Date",IF(J1066&lt;&gt;"",IF(K1066="Date",NOW(),K1066),""))</f>
        <v>Date</v>
      </c>
    </row>
    <row r="1067" spans="2:11">
      <c r="B1067" s="97" t="str">
        <f ca="1">IF(A1067="","Date",IF(A1067&lt;&gt;"",IF(B1067="Date",NOW(),B1067),""))</f>
        <v>Date</v>
      </c>
      <c r="C1067" s="19" t="str">
        <f>IF(ISBLANK(A1067),"Name",IF(ISNA(VLOOKUP(A1067,'Master List'!A:C,2,FALSE)), "Not Found", VLOOKUP(A1067,'Master List'!A:C,2,FALSE)))</f>
        <v>Name</v>
      </c>
      <c r="D1067" s="19" t="str">
        <f>IF(ISBLANK(A1067), "Email",IF(ISNA(VLOOKUP(A1067,'Master List'!A:C,3,FALSE)), "Not Found", VLOOKUP(A1067,'Master List'!A:C,3,FALSE)))</f>
        <v>Email</v>
      </c>
      <c r="F1067" s="4" t="str">
        <f>IF(OR(A1067="",E1067="","",A1067="?",E1067="?"),"duplicate?",IF(COUNTIFS($A:A,A1067,E:E,E1067)&gt;1,"yes","no"))</f>
        <v>duplicate?</v>
      </c>
      <c r="K1067" s="97" t="str">
        <f ca="1">IF(J1067="","Date",IF(J1067&lt;&gt;"",IF(K1067="Date",NOW(),K1067),""))</f>
        <v>Date</v>
      </c>
    </row>
    <row r="1068" spans="2:11">
      <c r="B1068" s="97" t="str">
        <f ca="1">IF(A1068="","Date",IF(A1068&lt;&gt;"",IF(B1068="Date",NOW(),B1068),""))</f>
        <v>Date</v>
      </c>
      <c r="C1068" s="19" t="str">
        <f>IF(ISBLANK(A1068),"Name",IF(ISNA(VLOOKUP(A1068,'Master List'!A:C,2,FALSE)), "Not Found", VLOOKUP(A1068,'Master List'!A:C,2,FALSE)))</f>
        <v>Name</v>
      </c>
      <c r="D1068" s="19" t="str">
        <f>IF(ISBLANK(A1068), "Email",IF(ISNA(VLOOKUP(A1068,'Master List'!A:C,3,FALSE)), "Not Found", VLOOKUP(A1068,'Master List'!A:C,3,FALSE)))</f>
        <v>Email</v>
      </c>
      <c r="F1068" s="4" t="str">
        <f>IF(OR(A1068="",E1068="","",A1068="?",E1068="?"),"duplicate?",IF(COUNTIFS($A:A,A1068,E:E,E1068)&gt;1,"yes","no"))</f>
        <v>duplicate?</v>
      </c>
      <c r="K1068" s="97" t="str">
        <f ca="1">IF(J1068="","Date",IF(J1068&lt;&gt;"",IF(K1068="Date",NOW(),K1068),""))</f>
        <v>Date</v>
      </c>
    </row>
    <row r="1069" spans="2:11">
      <c r="B1069" s="97" t="str">
        <f ca="1">IF(A1069="","Date",IF(A1069&lt;&gt;"",IF(B1069="Date",NOW(),B1069),""))</f>
        <v>Date</v>
      </c>
      <c r="C1069" s="19" t="str">
        <f>IF(ISBLANK(A1069),"Name",IF(ISNA(VLOOKUP(A1069,'Master List'!A:C,2,FALSE)), "Not Found", VLOOKUP(A1069,'Master List'!A:C,2,FALSE)))</f>
        <v>Name</v>
      </c>
      <c r="D1069" s="19" t="str">
        <f>IF(ISBLANK(A1069), "Email",IF(ISNA(VLOOKUP(A1069,'Master List'!A:C,3,FALSE)), "Not Found", VLOOKUP(A1069,'Master List'!A:C,3,FALSE)))</f>
        <v>Email</v>
      </c>
      <c r="F1069" s="4" t="str">
        <f>IF(OR(A1069="",E1069="","",A1069="?",E1069="?"),"duplicate?",IF(COUNTIFS($A:A,A1069,E:E,E1069)&gt;1,"yes","no"))</f>
        <v>duplicate?</v>
      </c>
      <c r="K1069" s="97" t="str">
        <f ca="1">IF(J1069="","Date",IF(J1069&lt;&gt;"",IF(K1069="Date",NOW(),K1069),""))</f>
        <v>Date</v>
      </c>
    </row>
    <row r="1070" spans="2:11">
      <c r="B1070" s="97" t="str">
        <f ca="1">IF(A1070="","Date",IF(A1070&lt;&gt;"",IF(B1070="Date",NOW(),B1070),""))</f>
        <v>Date</v>
      </c>
      <c r="C1070" s="19" t="str">
        <f>IF(ISBLANK(A1070),"Name",IF(ISNA(VLOOKUP(A1070,'Master List'!A:C,2,FALSE)), "Not Found", VLOOKUP(A1070,'Master List'!A:C,2,FALSE)))</f>
        <v>Name</v>
      </c>
      <c r="D1070" s="19" t="str">
        <f>IF(ISBLANK(A1070), "Email",IF(ISNA(VLOOKUP(A1070,'Master List'!A:C,3,FALSE)), "Not Found", VLOOKUP(A1070,'Master List'!A:C,3,FALSE)))</f>
        <v>Email</v>
      </c>
      <c r="F1070" s="4" t="str">
        <f>IF(OR(A1070="",E1070="","",A1070="?",E1070="?"),"duplicate?",IF(COUNTIFS($A:A,A1070,E:E,E1070)&gt;1,"yes","no"))</f>
        <v>duplicate?</v>
      </c>
      <c r="K1070" s="97" t="str">
        <f ca="1">IF(J1070="","Date",IF(J1070&lt;&gt;"",IF(K1070="Date",NOW(),K1070),""))</f>
        <v>Date</v>
      </c>
    </row>
    <row r="1071" spans="2:11">
      <c r="B1071" s="97" t="str">
        <f ca="1">IF(A1071="","Date",IF(A1071&lt;&gt;"",IF(B1071="Date",NOW(),B1071),""))</f>
        <v>Date</v>
      </c>
      <c r="C1071" s="19" t="str">
        <f>IF(ISBLANK(A1071),"Name",IF(ISNA(VLOOKUP(A1071,'Master List'!A:C,2,FALSE)), "Not Found", VLOOKUP(A1071,'Master List'!A:C,2,FALSE)))</f>
        <v>Name</v>
      </c>
      <c r="D1071" s="19" t="str">
        <f>IF(ISBLANK(A1071), "Email",IF(ISNA(VLOOKUP(A1071,'Master List'!A:C,3,FALSE)), "Not Found", VLOOKUP(A1071,'Master List'!A:C,3,FALSE)))</f>
        <v>Email</v>
      </c>
      <c r="F1071" s="4" t="str">
        <f>IF(OR(A1071="",E1071="","",A1071="?",E1071="?"),"duplicate?",IF(COUNTIFS($A:A,A1071,E:E,E1071)&gt;1,"yes","no"))</f>
        <v>duplicate?</v>
      </c>
      <c r="K1071" s="97" t="str">
        <f ca="1">IF(J1071="","Date",IF(J1071&lt;&gt;"",IF(K1071="Date",NOW(),K1071),""))</f>
        <v>Date</v>
      </c>
    </row>
    <row r="1072" spans="2:11">
      <c r="B1072" s="97" t="str">
        <f ca="1">IF(A1072="","Date",IF(A1072&lt;&gt;"",IF(B1072="Date",NOW(),B1072),""))</f>
        <v>Date</v>
      </c>
      <c r="C1072" s="19" t="str">
        <f>IF(ISBLANK(A1072),"Name",IF(ISNA(VLOOKUP(A1072,'Master List'!A:C,2,FALSE)), "Not Found", VLOOKUP(A1072,'Master List'!A:C,2,FALSE)))</f>
        <v>Name</v>
      </c>
      <c r="D1072" s="19" t="str">
        <f>IF(ISBLANK(A1072), "Email",IF(ISNA(VLOOKUP(A1072,'Master List'!A:C,3,FALSE)), "Not Found", VLOOKUP(A1072,'Master List'!A:C,3,FALSE)))</f>
        <v>Email</v>
      </c>
      <c r="F1072" s="4" t="str">
        <f>IF(OR(A1072="",E1072="","",A1072="?",E1072="?"),"duplicate?",IF(COUNTIFS($A:A,A1072,E:E,E1072)&gt;1,"yes","no"))</f>
        <v>duplicate?</v>
      </c>
      <c r="K1072" s="97" t="str">
        <f ca="1">IF(J1072="","Date",IF(J1072&lt;&gt;"",IF(K1072="Date",NOW(),K1072),""))</f>
        <v>Date</v>
      </c>
    </row>
    <row r="1073" spans="2:11">
      <c r="B1073" s="97" t="str">
        <f ca="1">IF(A1073="","Date",IF(A1073&lt;&gt;"",IF(B1073="Date",NOW(),B1073),""))</f>
        <v>Date</v>
      </c>
      <c r="C1073" s="19" t="str">
        <f>IF(ISBLANK(A1073),"Name",IF(ISNA(VLOOKUP(A1073,'Master List'!A:C,2,FALSE)), "Not Found", VLOOKUP(A1073,'Master List'!A:C,2,FALSE)))</f>
        <v>Name</v>
      </c>
      <c r="D1073" s="19" t="str">
        <f>IF(ISBLANK(A1073), "Email",IF(ISNA(VLOOKUP(A1073,'Master List'!A:C,3,FALSE)), "Not Found", VLOOKUP(A1073,'Master List'!A:C,3,FALSE)))</f>
        <v>Email</v>
      </c>
      <c r="F1073" s="4" t="str">
        <f>IF(OR(A1073="",E1073="","",A1073="?",E1073="?"),"duplicate?",IF(COUNTIFS($A:A,A1073,E:E,E1073)&gt;1,"yes","no"))</f>
        <v>duplicate?</v>
      </c>
      <c r="K1073" s="97" t="str">
        <f ca="1">IF(J1073="","Date",IF(J1073&lt;&gt;"",IF(K1073="Date",NOW(),K1073),""))</f>
        <v>Date</v>
      </c>
    </row>
    <row r="1074" spans="2:11">
      <c r="B1074" s="97" t="str">
        <f ca="1">IF(A1074="","Date",IF(A1074&lt;&gt;"",IF(B1074="Date",NOW(),B1074),""))</f>
        <v>Date</v>
      </c>
      <c r="C1074" s="19" t="str">
        <f>IF(ISBLANK(A1074),"Name",IF(ISNA(VLOOKUP(A1074,'Master List'!A:C,2,FALSE)), "Not Found", VLOOKUP(A1074,'Master List'!A:C,2,FALSE)))</f>
        <v>Name</v>
      </c>
      <c r="D1074" s="19" t="str">
        <f>IF(ISBLANK(A1074), "Email",IF(ISNA(VLOOKUP(A1074,'Master List'!A:C,3,FALSE)), "Not Found", VLOOKUP(A1074,'Master List'!A:C,3,FALSE)))</f>
        <v>Email</v>
      </c>
      <c r="F1074" s="4" t="str">
        <f>IF(OR(A1074="",E1074="","",A1074="?",E1074="?"),"duplicate?",IF(COUNTIFS($A:A,A1074,E:E,E1074)&gt;1,"yes","no"))</f>
        <v>duplicate?</v>
      </c>
      <c r="K1074" s="97" t="str">
        <f ca="1">IF(J1074="","Date",IF(J1074&lt;&gt;"",IF(K1074="Date",NOW(),K1074),""))</f>
        <v>Date</v>
      </c>
    </row>
    <row r="1075" spans="2:11">
      <c r="B1075" s="97" t="str">
        <f ca="1">IF(A1075="","Date",IF(A1075&lt;&gt;"",IF(B1075="Date",NOW(),B1075),""))</f>
        <v>Date</v>
      </c>
      <c r="C1075" s="19" t="str">
        <f>IF(ISBLANK(A1075),"Name",IF(ISNA(VLOOKUP(A1075,'Master List'!A:C,2,FALSE)), "Not Found", VLOOKUP(A1075,'Master List'!A:C,2,FALSE)))</f>
        <v>Name</v>
      </c>
      <c r="D1075" s="19" t="str">
        <f>IF(ISBLANK(A1075), "Email",IF(ISNA(VLOOKUP(A1075,'Master List'!A:C,3,FALSE)), "Not Found", VLOOKUP(A1075,'Master List'!A:C,3,FALSE)))</f>
        <v>Email</v>
      </c>
      <c r="F1075" s="4" t="str">
        <f>IF(OR(A1075="",E1075="","",A1075="?",E1075="?"),"duplicate?",IF(COUNTIFS($A:A,A1075,E:E,E1075)&gt;1,"yes","no"))</f>
        <v>duplicate?</v>
      </c>
      <c r="K1075" s="97" t="str">
        <f ca="1">IF(J1075="","Date",IF(J1075&lt;&gt;"",IF(K1075="Date",NOW(),K1075),""))</f>
        <v>Date</v>
      </c>
    </row>
    <row r="1076" spans="2:11">
      <c r="B1076" s="97" t="str">
        <f ca="1">IF(A1076="","Date",IF(A1076&lt;&gt;"",IF(B1076="Date",NOW(),B1076),""))</f>
        <v>Date</v>
      </c>
      <c r="C1076" s="19" t="str">
        <f>IF(ISBLANK(A1076),"Name",IF(ISNA(VLOOKUP(A1076,'Master List'!A:C,2,FALSE)), "Not Found", VLOOKUP(A1076,'Master List'!A:C,2,FALSE)))</f>
        <v>Name</v>
      </c>
      <c r="D1076" s="19" t="str">
        <f>IF(ISBLANK(A1076), "Email",IF(ISNA(VLOOKUP(A1076,'Master List'!A:C,3,FALSE)), "Not Found", VLOOKUP(A1076,'Master List'!A:C,3,FALSE)))</f>
        <v>Email</v>
      </c>
      <c r="F1076" s="4" t="str">
        <f>IF(OR(A1076="",E1076="","",A1076="?",E1076="?"),"duplicate?",IF(COUNTIFS($A:A,A1076,E:E,E1076)&gt;1,"yes","no"))</f>
        <v>duplicate?</v>
      </c>
      <c r="K1076" s="97" t="str">
        <f ca="1">IF(J1076="","Date",IF(J1076&lt;&gt;"",IF(K1076="Date",NOW(),K1076),""))</f>
        <v>Date</v>
      </c>
    </row>
    <row r="1077" spans="2:11">
      <c r="B1077" s="97" t="str">
        <f ca="1">IF(A1077="","Date",IF(A1077&lt;&gt;"",IF(B1077="Date",NOW(),B1077),""))</f>
        <v>Date</v>
      </c>
      <c r="C1077" s="19" t="str">
        <f>IF(ISBLANK(A1077),"Name",IF(ISNA(VLOOKUP(A1077,'Master List'!A:C,2,FALSE)), "Not Found", VLOOKUP(A1077,'Master List'!A:C,2,FALSE)))</f>
        <v>Name</v>
      </c>
      <c r="D1077" s="19" t="str">
        <f>IF(ISBLANK(A1077), "Email",IF(ISNA(VLOOKUP(A1077,'Master List'!A:C,3,FALSE)), "Not Found", VLOOKUP(A1077,'Master List'!A:C,3,FALSE)))</f>
        <v>Email</v>
      </c>
      <c r="F1077" s="4" t="str">
        <f>IF(OR(A1077="",E1077="","",A1077="?",E1077="?"),"duplicate?",IF(COUNTIFS($A:A,A1077,E:E,E1077)&gt;1,"yes","no"))</f>
        <v>duplicate?</v>
      </c>
      <c r="K1077" s="97" t="str">
        <f ca="1">IF(J1077="","Date",IF(J1077&lt;&gt;"",IF(K1077="Date",NOW(),K1077),""))</f>
        <v>Date</v>
      </c>
    </row>
    <row r="1078" spans="2:11">
      <c r="B1078" s="97" t="str">
        <f ca="1">IF(A1078="","Date",IF(A1078&lt;&gt;"",IF(B1078="Date",NOW(),B1078),""))</f>
        <v>Date</v>
      </c>
      <c r="C1078" s="19" t="str">
        <f>IF(ISBLANK(A1078),"Name",IF(ISNA(VLOOKUP(A1078,'Master List'!A:C,2,FALSE)), "Not Found", VLOOKUP(A1078,'Master List'!A:C,2,FALSE)))</f>
        <v>Name</v>
      </c>
      <c r="D1078" s="19" t="str">
        <f>IF(ISBLANK(A1078), "Email",IF(ISNA(VLOOKUP(A1078,'Master List'!A:C,3,FALSE)), "Not Found", VLOOKUP(A1078,'Master List'!A:C,3,FALSE)))</f>
        <v>Email</v>
      </c>
      <c r="F1078" s="4" t="str">
        <f>IF(OR(A1078="",E1078="","",A1078="?",E1078="?"),"duplicate?",IF(COUNTIFS($A:A,A1078,E:E,E1078)&gt;1,"yes","no"))</f>
        <v>duplicate?</v>
      </c>
      <c r="K1078" s="97" t="str">
        <f ca="1">IF(J1078="","Date",IF(J1078&lt;&gt;"",IF(K1078="Date",NOW(),K1078),""))</f>
        <v>Date</v>
      </c>
    </row>
    <row r="1079" spans="2:11">
      <c r="B1079" s="97" t="str">
        <f ca="1">IF(A1079="","Date",IF(A1079&lt;&gt;"",IF(B1079="Date",NOW(),B1079),""))</f>
        <v>Date</v>
      </c>
      <c r="C1079" s="19" t="str">
        <f>IF(ISBLANK(A1079),"Name",IF(ISNA(VLOOKUP(A1079,'Master List'!A:C,2,FALSE)), "Not Found", VLOOKUP(A1079,'Master List'!A:C,2,FALSE)))</f>
        <v>Name</v>
      </c>
      <c r="D1079" s="19" t="str">
        <f>IF(ISBLANK(A1079), "Email",IF(ISNA(VLOOKUP(A1079,'Master List'!A:C,3,FALSE)), "Not Found", VLOOKUP(A1079,'Master List'!A:C,3,FALSE)))</f>
        <v>Email</v>
      </c>
      <c r="F1079" s="4" t="str">
        <f>IF(OR(A1079="",E1079="","",A1079="?",E1079="?"),"duplicate?",IF(COUNTIFS($A:A,A1079,E:E,E1079)&gt;1,"yes","no"))</f>
        <v>duplicate?</v>
      </c>
      <c r="K1079" s="97" t="str">
        <f ca="1">IF(J1079="","Date",IF(J1079&lt;&gt;"",IF(K1079="Date",NOW(),K1079),""))</f>
        <v>Date</v>
      </c>
    </row>
    <row r="1080" spans="2:11">
      <c r="B1080" s="97" t="str">
        <f ca="1">IF(A1080="","Date",IF(A1080&lt;&gt;"",IF(B1080="Date",NOW(),B1080),""))</f>
        <v>Date</v>
      </c>
      <c r="C1080" s="19" t="str">
        <f>IF(ISBLANK(A1080),"Name",IF(ISNA(VLOOKUP(A1080,'Master List'!A:C,2,FALSE)), "Not Found", VLOOKUP(A1080,'Master List'!A:C,2,FALSE)))</f>
        <v>Name</v>
      </c>
      <c r="D1080" s="19" t="str">
        <f>IF(ISBLANK(A1080), "Email",IF(ISNA(VLOOKUP(A1080,'Master List'!A:C,3,FALSE)), "Not Found", VLOOKUP(A1080,'Master List'!A:C,3,FALSE)))</f>
        <v>Email</v>
      </c>
      <c r="F1080" s="4" t="str">
        <f>IF(OR(A1080="",E1080="","",A1080="?",E1080="?"),"duplicate?",IF(COUNTIFS($A:A,A1080,E:E,E1080)&gt;1,"yes","no"))</f>
        <v>duplicate?</v>
      </c>
      <c r="K1080" s="97" t="str">
        <f ca="1">IF(J1080="","Date",IF(J1080&lt;&gt;"",IF(K1080="Date",NOW(),K1080),""))</f>
        <v>Date</v>
      </c>
    </row>
    <row r="1081" spans="2:11">
      <c r="B1081" s="97" t="str">
        <f ca="1">IF(A1081="","Date",IF(A1081&lt;&gt;"",IF(B1081="Date",NOW(),B1081),""))</f>
        <v>Date</v>
      </c>
      <c r="C1081" s="19" t="str">
        <f>IF(ISBLANK(A1081),"Name",IF(ISNA(VLOOKUP(A1081,'Master List'!A:C,2,FALSE)), "Not Found", VLOOKUP(A1081,'Master List'!A:C,2,FALSE)))</f>
        <v>Name</v>
      </c>
      <c r="D1081" s="19" t="str">
        <f>IF(ISBLANK(A1081), "Email",IF(ISNA(VLOOKUP(A1081,'Master List'!A:C,3,FALSE)), "Not Found", VLOOKUP(A1081,'Master List'!A:C,3,FALSE)))</f>
        <v>Email</v>
      </c>
      <c r="F1081" s="4" t="str">
        <f>IF(OR(A1081="",E1081="","",A1081="?",E1081="?"),"duplicate?",IF(COUNTIFS($A:A,A1081,E:E,E1081)&gt;1,"yes","no"))</f>
        <v>duplicate?</v>
      </c>
      <c r="K1081" s="97" t="str">
        <f ca="1">IF(J1081="","Date",IF(J1081&lt;&gt;"",IF(K1081="Date",NOW(),K1081),""))</f>
        <v>Date</v>
      </c>
    </row>
    <row r="1082" spans="2:11">
      <c r="B1082" s="97" t="str">
        <f ca="1">IF(A1082="","Date",IF(A1082&lt;&gt;"",IF(B1082="Date",NOW(),B1082),""))</f>
        <v>Date</v>
      </c>
      <c r="C1082" s="19" t="str">
        <f>IF(ISBLANK(A1082),"Name",IF(ISNA(VLOOKUP(A1082,'Master List'!A:C,2,FALSE)), "Not Found", VLOOKUP(A1082,'Master List'!A:C,2,FALSE)))</f>
        <v>Name</v>
      </c>
      <c r="D1082" s="19" t="str">
        <f>IF(ISBLANK(A1082), "Email",IF(ISNA(VLOOKUP(A1082,'Master List'!A:C,3,FALSE)), "Not Found", VLOOKUP(A1082,'Master List'!A:C,3,FALSE)))</f>
        <v>Email</v>
      </c>
      <c r="F1082" s="4" t="str">
        <f>IF(OR(A1082="",E1082="","",A1082="?",E1082="?"),"duplicate?",IF(COUNTIFS($A:A,A1082,E:E,E1082)&gt;1,"yes","no"))</f>
        <v>duplicate?</v>
      </c>
      <c r="K1082" s="97" t="str">
        <f ca="1">IF(J1082="","Date",IF(J1082&lt;&gt;"",IF(K1082="Date",NOW(),K1082),""))</f>
        <v>Date</v>
      </c>
    </row>
    <row r="1083" spans="2:11">
      <c r="B1083" s="97" t="str">
        <f ca="1">IF(A1083="","Date",IF(A1083&lt;&gt;"",IF(B1083="Date",NOW(),B1083),""))</f>
        <v>Date</v>
      </c>
      <c r="C1083" s="19" t="str">
        <f>IF(ISBLANK(A1083),"Name",IF(ISNA(VLOOKUP(A1083,'Master List'!A:C,2,FALSE)), "Not Found", VLOOKUP(A1083,'Master List'!A:C,2,FALSE)))</f>
        <v>Name</v>
      </c>
      <c r="D1083" s="19" t="str">
        <f>IF(ISBLANK(A1083), "Email",IF(ISNA(VLOOKUP(A1083,'Master List'!A:C,3,FALSE)), "Not Found", VLOOKUP(A1083,'Master List'!A:C,3,FALSE)))</f>
        <v>Email</v>
      </c>
      <c r="F1083" s="4" t="str">
        <f>IF(OR(A1083="",E1083="","",A1083="?",E1083="?"),"duplicate?",IF(COUNTIFS($A:A,A1083,E:E,E1083)&gt;1,"yes","no"))</f>
        <v>duplicate?</v>
      </c>
      <c r="K1083" s="97" t="str">
        <f ca="1">IF(J1083="","Date",IF(J1083&lt;&gt;"",IF(K1083="Date",NOW(),K1083),""))</f>
        <v>Date</v>
      </c>
    </row>
    <row r="1084" spans="2:11">
      <c r="B1084" s="97" t="str">
        <f ca="1">IF(A1084="","Date",IF(A1084&lt;&gt;"",IF(B1084="Date",NOW(),B1084),""))</f>
        <v>Date</v>
      </c>
      <c r="C1084" s="19" t="str">
        <f>IF(ISBLANK(A1084),"Name",IF(ISNA(VLOOKUP(A1084,'Master List'!A:C,2,FALSE)), "Not Found", VLOOKUP(A1084,'Master List'!A:C,2,FALSE)))</f>
        <v>Name</v>
      </c>
      <c r="D1084" s="19" t="str">
        <f>IF(ISBLANK(A1084), "Email",IF(ISNA(VLOOKUP(A1084,'Master List'!A:C,3,FALSE)), "Not Found", VLOOKUP(A1084,'Master List'!A:C,3,FALSE)))</f>
        <v>Email</v>
      </c>
      <c r="F1084" s="4" t="str">
        <f>IF(OR(A1084="",E1084="","",A1084="?",E1084="?"),"duplicate?",IF(COUNTIFS($A:A,A1084,E:E,E1084)&gt;1,"yes","no"))</f>
        <v>duplicate?</v>
      </c>
      <c r="K1084" s="97" t="str">
        <f ca="1">IF(J1084="","Date",IF(J1084&lt;&gt;"",IF(K1084="Date",NOW(),K1084),""))</f>
        <v>Date</v>
      </c>
    </row>
    <row r="1085" spans="2:11">
      <c r="B1085" s="97" t="str">
        <f ca="1">IF(A1085="","Date",IF(A1085&lt;&gt;"",IF(B1085="Date",NOW(),B1085),""))</f>
        <v>Date</v>
      </c>
      <c r="C1085" s="19" t="str">
        <f>IF(ISBLANK(A1085),"Name",IF(ISNA(VLOOKUP(A1085,'Master List'!A:C,2,FALSE)), "Not Found", VLOOKUP(A1085,'Master List'!A:C,2,FALSE)))</f>
        <v>Name</v>
      </c>
      <c r="D1085" s="19" t="str">
        <f>IF(ISBLANK(A1085), "Email",IF(ISNA(VLOOKUP(A1085,'Master List'!A:C,3,FALSE)), "Not Found", VLOOKUP(A1085,'Master List'!A:C,3,FALSE)))</f>
        <v>Email</v>
      </c>
      <c r="F1085" s="4" t="str">
        <f>IF(OR(A1085="",E1085="","",A1085="?",E1085="?"),"duplicate?",IF(COUNTIFS($A:A,A1085,E:E,E1085)&gt;1,"yes","no"))</f>
        <v>duplicate?</v>
      </c>
      <c r="K1085" s="97" t="str">
        <f ca="1">IF(J1085="","Date",IF(J1085&lt;&gt;"",IF(K1085="Date",NOW(),K1085),""))</f>
        <v>Date</v>
      </c>
    </row>
    <row r="1086" spans="2:11">
      <c r="B1086" s="97" t="str">
        <f ca="1">IF(A1086="","Date",IF(A1086&lt;&gt;"",IF(B1086="Date",NOW(),B1086),""))</f>
        <v>Date</v>
      </c>
      <c r="C1086" s="19" t="str">
        <f>IF(ISBLANK(A1086),"Name",IF(ISNA(VLOOKUP(A1086,'Master List'!A:C,2,FALSE)), "Not Found", VLOOKUP(A1086,'Master List'!A:C,2,FALSE)))</f>
        <v>Name</v>
      </c>
      <c r="D1086" s="19" t="str">
        <f>IF(ISBLANK(A1086), "Email",IF(ISNA(VLOOKUP(A1086,'Master List'!A:C,3,FALSE)), "Not Found", VLOOKUP(A1086,'Master List'!A:C,3,FALSE)))</f>
        <v>Email</v>
      </c>
      <c r="F1086" s="4" t="str">
        <f>IF(OR(A1086="",E1086="","",A1086="?",E1086="?"),"duplicate?",IF(COUNTIFS($A:A,A1086,E:E,E1086)&gt;1,"yes","no"))</f>
        <v>duplicate?</v>
      </c>
      <c r="K1086" s="97" t="str">
        <f ca="1">IF(J1086="","Date",IF(J1086&lt;&gt;"",IF(K1086="Date",NOW(),K1086),""))</f>
        <v>Date</v>
      </c>
    </row>
    <row r="1087" spans="2:11">
      <c r="B1087" s="97" t="str">
        <f ca="1">IF(A1087="","Date",IF(A1087&lt;&gt;"",IF(B1087="Date",NOW(),B1087),""))</f>
        <v>Date</v>
      </c>
      <c r="C1087" s="19" t="str">
        <f>IF(ISBLANK(A1087),"Name",IF(ISNA(VLOOKUP(A1087,'Master List'!A:C,2,FALSE)), "Not Found", VLOOKUP(A1087,'Master List'!A:C,2,FALSE)))</f>
        <v>Name</v>
      </c>
      <c r="D1087" s="19" t="str">
        <f>IF(ISBLANK(A1087), "Email",IF(ISNA(VLOOKUP(A1087,'Master List'!A:C,3,FALSE)), "Not Found", VLOOKUP(A1087,'Master List'!A:C,3,FALSE)))</f>
        <v>Email</v>
      </c>
      <c r="F1087" s="4" t="str">
        <f>IF(OR(A1087="",E1087="","",A1087="?",E1087="?"),"duplicate?",IF(COUNTIFS($A:A,A1087,E:E,E1087)&gt;1,"yes","no"))</f>
        <v>duplicate?</v>
      </c>
      <c r="K1087" s="97" t="str">
        <f ca="1">IF(J1087="","Date",IF(J1087&lt;&gt;"",IF(K1087="Date",NOW(),K1087),""))</f>
        <v>Date</v>
      </c>
    </row>
    <row r="1088" spans="2:11">
      <c r="B1088" s="97" t="str">
        <f ca="1">IF(A1088="","Date",IF(A1088&lt;&gt;"",IF(B1088="Date",NOW(),B1088),""))</f>
        <v>Date</v>
      </c>
      <c r="C1088" s="19" t="str">
        <f>IF(ISBLANK(A1088),"Name",IF(ISNA(VLOOKUP(A1088,'Master List'!A:C,2,FALSE)), "Not Found", VLOOKUP(A1088,'Master List'!A:C,2,FALSE)))</f>
        <v>Name</v>
      </c>
      <c r="D1088" s="19" t="str">
        <f>IF(ISBLANK(A1088), "Email",IF(ISNA(VLOOKUP(A1088,'Master List'!A:C,3,FALSE)), "Not Found", VLOOKUP(A1088,'Master List'!A:C,3,FALSE)))</f>
        <v>Email</v>
      </c>
      <c r="F1088" s="4" t="str">
        <f>IF(OR(A1088="",E1088="","",A1088="?",E1088="?"),"duplicate?",IF(COUNTIFS($A:A,A1088,E:E,E1088)&gt;1,"yes","no"))</f>
        <v>duplicate?</v>
      </c>
      <c r="K1088" s="97" t="str">
        <f ca="1">IF(J1088="","Date",IF(J1088&lt;&gt;"",IF(K1088="Date",NOW(),K1088),""))</f>
        <v>Date</v>
      </c>
    </row>
    <row r="1089" spans="2:11">
      <c r="B1089" s="97" t="str">
        <f ca="1">IF(A1089="","Date",IF(A1089&lt;&gt;"",IF(B1089="Date",NOW(),B1089),""))</f>
        <v>Date</v>
      </c>
      <c r="C1089" s="19" t="str">
        <f>IF(ISBLANK(A1089),"Name",IF(ISNA(VLOOKUP(A1089,'Master List'!A:C,2,FALSE)), "Not Found", VLOOKUP(A1089,'Master List'!A:C,2,FALSE)))</f>
        <v>Name</v>
      </c>
      <c r="D1089" s="19" t="str">
        <f>IF(ISBLANK(A1089), "Email",IF(ISNA(VLOOKUP(A1089,'Master List'!A:C,3,FALSE)), "Not Found", VLOOKUP(A1089,'Master List'!A:C,3,FALSE)))</f>
        <v>Email</v>
      </c>
      <c r="F1089" s="4" t="str">
        <f>IF(OR(A1089="",E1089="","",A1089="?",E1089="?"),"duplicate?",IF(COUNTIFS($A:A,A1089,E:E,E1089)&gt;1,"yes","no"))</f>
        <v>duplicate?</v>
      </c>
      <c r="K1089" s="97" t="str">
        <f ca="1">IF(J1089="","Date",IF(J1089&lt;&gt;"",IF(K1089="Date",NOW(),K1089),""))</f>
        <v>Date</v>
      </c>
    </row>
    <row r="1090" spans="2:11">
      <c r="B1090" s="97" t="str">
        <f ca="1">IF(A1090="","Date",IF(A1090&lt;&gt;"",IF(B1090="Date",NOW(),B1090),""))</f>
        <v>Date</v>
      </c>
      <c r="C1090" s="19" t="str">
        <f>IF(ISBLANK(A1090),"Name",IF(ISNA(VLOOKUP(A1090,'Master List'!A:C,2,FALSE)), "Not Found", VLOOKUP(A1090,'Master List'!A:C,2,FALSE)))</f>
        <v>Name</v>
      </c>
      <c r="D1090" s="19" t="str">
        <f>IF(ISBLANK(A1090), "Email",IF(ISNA(VLOOKUP(A1090,'Master List'!A:C,3,FALSE)), "Not Found", VLOOKUP(A1090,'Master List'!A:C,3,FALSE)))</f>
        <v>Email</v>
      </c>
      <c r="F1090" s="4" t="str">
        <f>IF(OR(A1090="",E1090="","",A1090="?",E1090="?"),"duplicate?",IF(COUNTIFS($A:A,A1090,E:E,E1090)&gt;1,"yes","no"))</f>
        <v>duplicate?</v>
      </c>
      <c r="K1090" s="97" t="str">
        <f ca="1">IF(J1090="","Date",IF(J1090&lt;&gt;"",IF(K1090="Date",NOW(),K1090),""))</f>
        <v>Date</v>
      </c>
    </row>
    <row r="1091" spans="2:11">
      <c r="B1091" s="97" t="str">
        <f ca="1">IF(A1091="","Date",IF(A1091&lt;&gt;"",IF(B1091="Date",NOW(),B1091),""))</f>
        <v>Date</v>
      </c>
      <c r="C1091" s="19" t="str">
        <f>IF(ISBLANK(A1091),"Name",IF(ISNA(VLOOKUP(A1091,'Master List'!A:C,2,FALSE)), "Not Found", VLOOKUP(A1091,'Master List'!A:C,2,FALSE)))</f>
        <v>Name</v>
      </c>
      <c r="D1091" s="19" t="str">
        <f>IF(ISBLANK(A1091), "Email",IF(ISNA(VLOOKUP(A1091,'Master List'!A:C,3,FALSE)), "Not Found", VLOOKUP(A1091,'Master List'!A:C,3,FALSE)))</f>
        <v>Email</v>
      </c>
      <c r="F1091" s="4" t="str">
        <f>IF(OR(A1091="",E1091="","",A1091="?",E1091="?"),"duplicate?",IF(COUNTIFS($A:A,A1091,E:E,E1091)&gt;1,"yes","no"))</f>
        <v>duplicate?</v>
      </c>
      <c r="K1091" s="97" t="str">
        <f ca="1">IF(J1091="","Date",IF(J1091&lt;&gt;"",IF(K1091="Date",NOW(),K1091),""))</f>
        <v>Date</v>
      </c>
    </row>
    <row r="1092" spans="2:11">
      <c r="B1092" s="97" t="str">
        <f ca="1">IF(A1092="","Date",IF(A1092&lt;&gt;"",IF(B1092="Date",NOW(),B1092),""))</f>
        <v>Date</v>
      </c>
      <c r="C1092" s="19" t="str">
        <f>IF(ISBLANK(A1092),"Name",IF(ISNA(VLOOKUP(A1092,'Master List'!A:C,2,FALSE)), "Not Found", VLOOKUP(A1092,'Master List'!A:C,2,FALSE)))</f>
        <v>Name</v>
      </c>
      <c r="D1092" s="19" t="str">
        <f>IF(ISBLANK(A1092), "Email",IF(ISNA(VLOOKUP(A1092,'Master List'!A:C,3,FALSE)), "Not Found", VLOOKUP(A1092,'Master List'!A:C,3,FALSE)))</f>
        <v>Email</v>
      </c>
      <c r="F1092" s="4" t="str">
        <f>IF(OR(A1092="",E1092="","",A1092="?",E1092="?"),"duplicate?",IF(COUNTIFS($A:A,A1092,E:E,E1092)&gt;1,"yes","no"))</f>
        <v>duplicate?</v>
      </c>
      <c r="K1092" s="97" t="str">
        <f ca="1">IF(J1092="","Date",IF(J1092&lt;&gt;"",IF(K1092="Date",NOW(),K1092),""))</f>
        <v>Date</v>
      </c>
    </row>
    <row r="1093" spans="2:11">
      <c r="B1093" s="97" t="str">
        <f ca="1">IF(A1093="","Date",IF(A1093&lt;&gt;"",IF(B1093="Date",NOW(),B1093),""))</f>
        <v>Date</v>
      </c>
      <c r="C1093" s="19" t="str">
        <f>IF(ISBLANK(A1093),"Name",IF(ISNA(VLOOKUP(A1093,'Master List'!A:C,2,FALSE)), "Not Found", VLOOKUP(A1093,'Master List'!A:C,2,FALSE)))</f>
        <v>Name</v>
      </c>
      <c r="D1093" s="19" t="str">
        <f>IF(ISBLANK(A1093), "Email",IF(ISNA(VLOOKUP(A1093,'Master List'!A:C,3,FALSE)), "Not Found", VLOOKUP(A1093,'Master List'!A:C,3,FALSE)))</f>
        <v>Email</v>
      </c>
      <c r="F1093" s="4" t="str">
        <f>IF(OR(A1093="",E1093="","",A1093="?",E1093="?"),"duplicate?",IF(COUNTIFS($A:A,A1093,E:E,E1093)&gt;1,"yes","no"))</f>
        <v>duplicate?</v>
      </c>
      <c r="K1093" s="97" t="str">
        <f ca="1">IF(J1093="","Date",IF(J1093&lt;&gt;"",IF(K1093="Date",NOW(),K1093),""))</f>
        <v>Date</v>
      </c>
    </row>
    <row r="1094" spans="2:11">
      <c r="B1094" s="97" t="str">
        <f ca="1">IF(A1094="","Date",IF(A1094&lt;&gt;"",IF(B1094="Date",NOW(),B1094),""))</f>
        <v>Date</v>
      </c>
      <c r="C1094" s="19" t="str">
        <f>IF(ISBLANK(A1094),"Name",IF(ISNA(VLOOKUP(A1094,'Master List'!A:C,2,FALSE)), "Not Found", VLOOKUP(A1094,'Master List'!A:C,2,FALSE)))</f>
        <v>Name</v>
      </c>
      <c r="D1094" s="19" t="str">
        <f>IF(ISBLANK(A1094), "Email",IF(ISNA(VLOOKUP(A1094,'Master List'!A:C,3,FALSE)), "Not Found", VLOOKUP(A1094,'Master List'!A:C,3,FALSE)))</f>
        <v>Email</v>
      </c>
      <c r="F1094" s="4" t="str">
        <f>IF(OR(A1094="",E1094="","",A1094="?",E1094="?"),"duplicate?",IF(COUNTIFS($A:A,A1094,E:E,E1094)&gt;1,"yes","no"))</f>
        <v>duplicate?</v>
      </c>
      <c r="K1094" s="97" t="str">
        <f ca="1">IF(J1094="","Date",IF(J1094&lt;&gt;"",IF(K1094="Date",NOW(),K1094),""))</f>
        <v>Date</v>
      </c>
    </row>
    <row r="1095" spans="2:11">
      <c r="B1095" s="97" t="str">
        <f ca="1">IF(A1095="","Date",IF(A1095&lt;&gt;"",IF(B1095="Date",NOW(),B1095),""))</f>
        <v>Date</v>
      </c>
      <c r="C1095" s="19" t="str">
        <f>IF(ISBLANK(A1095),"Name",IF(ISNA(VLOOKUP(A1095,'Master List'!A:C,2,FALSE)), "Not Found", VLOOKUP(A1095,'Master List'!A:C,2,FALSE)))</f>
        <v>Name</v>
      </c>
      <c r="D1095" s="19" t="str">
        <f>IF(ISBLANK(A1095), "Email",IF(ISNA(VLOOKUP(A1095,'Master List'!A:C,3,FALSE)), "Not Found", VLOOKUP(A1095,'Master List'!A:C,3,FALSE)))</f>
        <v>Email</v>
      </c>
      <c r="F1095" s="4" t="str">
        <f>IF(OR(A1095="",E1095="","",A1095="?",E1095="?"),"duplicate?",IF(COUNTIFS($A:A,A1095,E:E,E1095)&gt;1,"yes","no"))</f>
        <v>duplicate?</v>
      </c>
      <c r="K1095" s="97" t="str">
        <f ca="1">IF(J1095="","Date",IF(J1095&lt;&gt;"",IF(K1095="Date",NOW(),K1095),""))</f>
        <v>Date</v>
      </c>
    </row>
    <row r="1096" spans="2:11">
      <c r="B1096" s="97" t="str">
        <f ca="1">IF(A1096="","Date",IF(A1096&lt;&gt;"",IF(B1096="Date",NOW(),B1096),""))</f>
        <v>Date</v>
      </c>
      <c r="C1096" s="19" t="str">
        <f>IF(ISBLANK(A1096),"Name",IF(ISNA(VLOOKUP(A1096,'Master List'!A:C,2,FALSE)), "Not Found", VLOOKUP(A1096,'Master List'!A:C,2,FALSE)))</f>
        <v>Name</v>
      </c>
      <c r="D1096" s="19" t="str">
        <f>IF(ISBLANK(A1096), "Email",IF(ISNA(VLOOKUP(A1096,'Master List'!A:C,3,FALSE)), "Not Found", VLOOKUP(A1096,'Master List'!A:C,3,FALSE)))</f>
        <v>Email</v>
      </c>
      <c r="F1096" s="4" t="str">
        <f>IF(OR(A1096="",E1096="","",A1096="?",E1096="?"),"duplicate?",IF(COUNTIFS($A:A,A1096,E:E,E1096)&gt;1,"yes","no"))</f>
        <v>duplicate?</v>
      </c>
      <c r="K1096" s="97" t="str">
        <f ca="1">IF(J1096="","Date",IF(J1096&lt;&gt;"",IF(K1096="Date",NOW(),K1096),""))</f>
        <v>Date</v>
      </c>
    </row>
    <row r="1097" spans="2:11">
      <c r="B1097" s="97" t="str">
        <f ca="1">IF(A1097="","Date",IF(A1097&lt;&gt;"",IF(B1097="Date",NOW(),B1097),""))</f>
        <v>Date</v>
      </c>
      <c r="C1097" s="19" t="str">
        <f>IF(ISBLANK(A1097),"Name",IF(ISNA(VLOOKUP(A1097,'Master List'!A:C,2,FALSE)), "Not Found", VLOOKUP(A1097,'Master List'!A:C,2,FALSE)))</f>
        <v>Name</v>
      </c>
      <c r="D1097" s="19" t="str">
        <f>IF(ISBLANK(A1097), "Email",IF(ISNA(VLOOKUP(A1097,'Master List'!A:C,3,FALSE)), "Not Found", VLOOKUP(A1097,'Master List'!A:C,3,FALSE)))</f>
        <v>Email</v>
      </c>
      <c r="F1097" s="4" t="str">
        <f>IF(OR(A1097="",E1097="","",A1097="?",E1097="?"),"duplicate?",IF(COUNTIFS($A:A,A1097,E:E,E1097)&gt;1,"yes","no"))</f>
        <v>duplicate?</v>
      </c>
      <c r="K1097" s="97" t="str">
        <f ca="1">IF(J1097="","Date",IF(J1097&lt;&gt;"",IF(K1097="Date",NOW(),K1097),""))</f>
        <v>Date</v>
      </c>
    </row>
    <row r="1098" spans="2:11">
      <c r="B1098" s="97" t="str">
        <f ca="1">IF(A1098="","Date",IF(A1098&lt;&gt;"",IF(B1098="Date",NOW(),B1098),""))</f>
        <v>Date</v>
      </c>
      <c r="C1098" s="19" t="str">
        <f>IF(ISBLANK(A1098),"Name",IF(ISNA(VLOOKUP(A1098,'Master List'!A:C,2,FALSE)), "Not Found", VLOOKUP(A1098,'Master List'!A:C,2,FALSE)))</f>
        <v>Name</v>
      </c>
      <c r="D1098" s="19" t="str">
        <f>IF(ISBLANK(A1098), "Email",IF(ISNA(VLOOKUP(A1098,'Master List'!A:C,3,FALSE)), "Not Found", VLOOKUP(A1098,'Master List'!A:C,3,FALSE)))</f>
        <v>Email</v>
      </c>
      <c r="F1098" s="4" t="str">
        <f>IF(OR(A1098="",E1098="","",A1098="?",E1098="?"),"duplicate?",IF(COUNTIFS($A:A,A1098,E:E,E1098)&gt;1,"yes","no"))</f>
        <v>duplicate?</v>
      </c>
      <c r="K1098" s="97" t="str">
        <f ca="1">IF(J1098="","Date",IF(J1098&lt;&gt;"",IF(K1098="Date",NOW(),K1098),""))</f>
        <v>Date</v>
      </c>
    </row>
    <row r="1099" spans="2:11">
      <c r="B1099" s="97" t="str">
        <f ca="1">IF(A1099="","Date",IF(A1099&lt;&gt;"",IF(B1099="Date",NOW(),B1099),""))</f>
        <v>Date</v>
      </c>
      <c r="C1099" s="19" t="str">
        <f>IF(ISBLANK(A1099),"Name",IF(ISNA(VLOOKUP(A1099,'Master List'!A:C,2,FALSE)), "Not Found", VLOOKUP(A1099,'Master List'!A:C,2,FALSE)))</f>
        <v>Name</v>
      </c>
      <c r="D1099" s="19" t="str">
        <f>IF(ISBLANK(A1099), "Email",IF(ISNA(VLOOKUP(A1099,'Master List'!A:C,3,FALSE)), "Not Found", VLOOKUP(A1099,'Master List'!A:C,3,FALSE)))</f>
        <v>Email</v>
      </c>
      <c r="F1099" s="4" t="str">
        <f>IF(OR(A1099="",E1099="","",A1099="?",E1099="?"),"duplicate?",IF(COUNTIFS($A:A,A1099,E:E,E1099)&gt;1,"yes","no"))</f>
        <v>duplicate?</v>
      </c>
      <c r="K1099" s="97" t="str">
        <f ca="1">IF(J1099="","Date",IF(J1099&lt;&gt;"",IF(K1099="Date",NOW(),K1099),""))</f>
        <v>Date</v>
      </c>
    </row>
    <row r="1100" spans="2:11">
      <c r="B1100" s="97" t="str">
        <f ca="1">IF(A1100="","Date",IF(A1100&lt;&gt;"",IF(B1100="Date",NOW(),B1100),""))</f>
        <v>Date</v>
      </c>
      <c r="C1100" s="19" t="str">
        <f>IF(ISBLANK(A1100),"Name",IF(ISNA(VLOOKUP(A1100,'Master List'!A:C,2,FALSE)), "Not Found", VLOOKUP(A1100,'Master List'!A:C,2,FALSE)))</f>
        <v>Name</v>
      </c>
      <c r="D1100" s="19" t="str">
        <f>IF(ISBLANK(A1100), "Email",IF(ISNA(VLOOKUP(A1100,'Master List'!A:C,3,FALSE)), "Not Found", VLOOKUP(A1100,'Master List'!A:C,3,FALSE)))</f>
        <v>Email</v>
      </c>
      <c r="F1100" s="4" t="str">
        <f>IF(OR(A1100="",E1100="","",A1100="?",E1100="?"),"duplicate?",IF(COUNTIFS($A:A,A1100,E:E,E1100)&gt;1,"yes","no"))</f>
        <v>duplicate?</v>
      </c>
      <c r="K1100" s="97" t="str">
        <f ca="1">IF(J1100="","Date",IF(J1100&lt;&gt;"",IF(K1100="Date",NOW(),K1100),""))</f>
        <v>Date</v>
      </c>
    </row>
    <row r="1101" spans="2:11">
      <c r="B1101" s="97" t="str">
        <f ca="1">IF(A1101="","Date",IF(A1101&lt;&gt;"",IF(B1101="Date",NOW(),B1101),""))</f>
        <v>Date</v>
      </c>
      <c r="C1101" s="19" t="str">
        <f>IF(ISBLANK(A1101),"Name",IF(ISNA(VLOOKUP(A1101,'Master List'!A:C,2,FALSE)), "Not Found", VLOOKUP(A1101,'Master List'!A:C,2,FALSE)))</f>
        <v>Name</v>
      </c>
      <c r="D1101" s="19" t="str">
        <f>IF(ISBLANK(A1101), "Email",IF(ISNA(VLOOKUP(A1101,'Master List'!A:C,3,FALSE)), "Not Found", VLOOKUP(A1101,'Master List'!A:C,3,FALSE)))</f>
        <v>Email</v>
      </c>
      <c r="F1101" s="4" t="str">
        <f>IF(OR(A1101="",E1101="","",A1101="?",E1101="?"),"duplicate?",IF(COUNTIFS($A:A,A1101,E:E,E1101)&gt;1,"yes","no"))</f>
        <v>duplicate?</v>
      </c>
      <c r="K1101" s="97" t="str">
        <f ca="1">IF(J1101="","Date",IF(J1101&lt;&gt;"",IF(K1101="Date",NOW(),K1101),""))</f>
        <v>Date</v>
      </c>
    </row>
    <row r="1102" spans="2:11">
      <c r="B1102" s="97" t="str">
        <f ca="1">IF(A1102="","Date",IF(A1102&lt;&gt;"",IF(B1102="Date",NOW(),B1102),""))</f>
        <v>Date</v>
      </c>
      <c r="C1102" s="19" t="str">
        <f>IF(ISBLANK(A1102),"Name",IF(ISNA(VLOOKUP(A1102,'Master List'!A:C,2,FALSE)), "Not Found", VLOOKUP(A1102,'Master List'!A:C,2,FALSE)))</f>
        <v>Name</v>
      </c>
      <c r="D1102" s="19" t="str">
        <f>IF(ISBLANK(A1102), "Email",IF(ISNA(VLOOKUP(A1102,'Master List'!A:C,3,FALSE)), "Not Found", VLOOKUP(A1102,'Master List'!A:C,3,FALSE)))</f>
        <v>Email</v>
      </c>
      <c r="F1102" s="4" t="str">
        <f>IF(OR(A1102="",E1102="","",A1102="?",E1102="?"),"duplicate?",IF(COUNTIFS($A:A,A1102,E:E,E1102)&gt;1,"yes","no"))</f>
        <v>duplicate?</v>
      </c>
      <c r="K1102" s="97" t="str">
        <f ca="1">IF(J1102="","Date",IF(J1102&lt;&gt;"",IF(K1102="Date",NOW(),K1102),""))</f>
        <v>Date</v>
      </c>
    </row>
    <row r="1103" spans="2:11">
      <c r="B1103" s="97" t="str">
        <f ca="1">IF(A1103="","Date",IF(A1103&lt;&gt;"",IF(B1103="Date",NOW(),B1103),""))</f>
        <v>Date</v>
      </c>
      <c r="C1103" s="19" t="str">
        <f>IF(ISBLANK(A1103),"Name",IF(ISNA(VLOOKUP(A1103,'Master List'!A:C,2,FALSE)), "Not Found", VLOOKUP(A1103,'Master List'!A:C,2,FALSE)))</f>
        <v>Name</v>
      </c>
      <c r="D1103" s="19" t="str">
        <f>IF(ISBLANK(A1103), "Email",IF(ISNA(VLOOKUP(A1103,'Master List'!A:C,3,FALSE)), "Not Found", VLOOKUP(A1103,'Master List'!A:C,3,FALSE)))</f>
        <v>Email</v>
      </c>
      <c r="F1103" s="4" t="str">
        <f>IF(OR(A1103="",E1103="","",A1103="?",E1103="?"),"duplicate?",IF(COUNTIFS($A:A,A1103,E:E,E1103)&gt;1,"yes","no"))</f>
        <v>duplicate?</v>
      </c>
      <c r="K1103" s="97" t="str">
        <f ca="1">IF(J1103="","Date",IF(J1103&lt;&gt;"",IF(K1103="Date",NOW(),K1103),""))</f>
        <v>Date</v>
      </c>
    </row>
    <row r="1104" spans="2:11">
      <c r="B1104" s="97" t="str">
        <f ca="1">IF(A1104="","Date",IF(A1104&lt;&gt;"",IF(B1104="Date",NOW(),B1104),""))</f>
        <v>Date</v>
      </c>
      <c r="C1104" s="19" t="str">
        <f>IF(ISBLANK(A1104),"Name",IF(ISNA(VLOOKUP(A1104,'Master List'!A:C,2,FALSE)), "Not Found", VLOOKUP(A1104,'Master List'!A:C,2,FALSE)))</f>
        <v>Name</v>
      </c>
      <c r="D1104" s="19" t="str">
        <f>IF(ISBLANK(A1104), "Email",IF(ISNA(VLOOKUP(A1104,'Master List'!A:C,3,FALSE)), "Not Found", VLOOKUP(A1104,'Master List'!A:C,3,FALSE)))</f>
        <v>Email</v>
      </c>
      <c r="F1104" s="4" t="str">
        <f>IF(OR(A1104="",E1104="","",A1104="?",E1104="?"),"duplicate?",IF(COUNTIFS($A:A,A1104,E:E,E1104)&gt;1,"yes","no"))</f>
        <v>duplicate?</v>
      </c>
      <c r="K1104" s="97" t="str">
        <f ca="1">IF(J1104="","Date",IF(J1104&lt;&gt;"",IF(K1104="Date",NOW(),K1104),""))</f>
        <v>Date</v>
      </c>
    </row>
    <row r="1105" spans="2:11">
      <c r="B1105" s="97" t="str">
        <f ca="1">IF(A1105="","Date",IF(A1105&lt;&gt;"",IF(B1105="Date",NOW(),B1105),""))</f>
        <v>Date</v>
      </c>
      <c r="C1105" s="19" t="str">
        <f>IF(ISBLANK(A1105),"Name",IF(ISNA(VLOOKUP(A1105,'Master List'!A:C,2,FALSE)), "Not Found", VLOOKUP(A1105,'Master List'!A:C,2,FALSE)))</f>
        <v>Name</v>
      </c>
      <c r="D1105" s="19" t="str">
        <f>IF(ISBLANK(A1105), "Email",IF(ISNA(VLOOKUP(A1105,'Master List'!A:C,3,FALSE)), "Not Found", VLOOKUP(A1105,'Master List'!A:C,3,FALSE)))</f>
        <v>Email</v>
      </c>
      <c r="F1105" s="4" t="str">
        <f>IF(OR(A1105="",E1105="","",A1105="?",E1105="?"),"duplicate?",IF(COUNTIFS($A:A,A1105,E:E,E1105)&gt;1,"yes","no"))</f>
        <v>duplicate?</v>
      </c>
      <c r="K1105" s="97" t="str">
        <f ca="1">IF(J1105="","Date",IF(J1105&lt;&gt;"",IF(K1105="Date",NOW(),K1105),""))</f>
        <v>Date</v>
      </c>
    </row>
    <row r="1106" spans="2:11">
      <c r="B1106" s="97" t="str">
        <f ca="1">IF(A1106="","Date",IF(A1106&lt;&gt;"",IF(B1106="Date",NOW(),B1106),""))</f>
        <v>Date</v>
      </c>
      <c r="C1106" s="19" t="str">
        <f>IF(ISBLANK(A1106),"Name",IF(ISNA(VLOOKUP(A1106,'Master List'!A:C,2,FALSE)), "Not Found", VLOOKUP(A1106,'Master List'!A:C,2,FALSE)))</f>
        <v>Name</v>
      </c>
      <c r="D1106" s="19" t="str">
        <f>IF(ISBLANK(A1106), "Email",IF(ISNA(VLOOKUP(A1106,'Master List'!A:C,3,FALSE)), "Not Found", VLOOKUP(A1106,'Master List'!A:C,3,FALSE)))</f>
        <v>Email</v>
      </c>
      <c r="F1106" s="4" t="str">
        <f>IF(OR(A1106="",E1106="","",A1106="?",E1106="?"),"duplicate?",IF(COUNTIFS($A:A,A1106,E:E,E1106)&gt;1,"yes","no"))</f>
        <v>duplicate?</v>
      </c>
      <c r="K1106" s="97" t="str">
        <f ca="1">IF(J1106="","Date",IF(J1106&lt;&gt;"",IF(K1106="Date",NOW(),K1106),""))</f>
        <v>Date</v>
      </c>
    </row>
    <row r="1107" spans="2:11">
      <c r="B1107" s="97" t="str">
        <f ca="1">IF(A1107="","Date",IF(A1107&lt;&gt;"",IF(B1107="Date",NOW(),B1107),""))</f>
        <v>Date</v>
      </c>
      <c r="C1107" s="19" t="str">
        <f>IF(ISBLANK(A1107),"Name",IF(ISNA(VLOOKUP(A1107,'Master List'!A:C,2,FALSE)), "Not Found", VLOOKUP(A1107,'Master List'!A:C,2,FALSE)))</f>
        <v>Name</v>
      </c>
      <c r="D1107" s="19" t="str">
        <f>IF(ISBLANK(A1107), "Email",IF(ISNA(VLOOKUP(A1107,'Master List'!A:C,3,FALSE)), "Not Found", VLOOKUP(A1107,'Master List'!A:C,3,FALSE)))</f>
        <v>Email</v>
      </c>
      <c r="F1107" s="4" t="str">
        <f>IF(OR(A1107="",E1107="","",A1107="?",E1107="?"),"duplicate?",IF(COUNTIFS($A:A,A1107,E:E,E1107)&gt;1,"yes","no"))</f>
        <v>duplicate?</v>
      </c>
      <c r="K1107" s="97" t="str">
        <f ca="1">IF(J1107="","Date",IF(J1107&lt;&gt;"",IF(K1107="Date",NOW(),K1107),""))</f>
        <v>Date</v>
      </c>
    </row>
    <row r="1108" spans="2:11">
      <c r="B1108" s="97" t="str">
        <f ca="1">IF(A1108="","Date",IF(A1108&lt;&gt;"",IF(B1108="Date",NOW(),B1108),""))</f>
        <v>Date</v>
      </c>
      <c r="C1108" s="19" t="str">
        <f>IF(ISBLANK(A1108),"Name",IF(ISNA(VLOOKUP(A1108,'Master List'!A:C,2,FALSE)), "Not Found", VLOOKUP(A1108,'Master List'!A:C,2,FALSE)))</f>
        <v>Name</v>
      </c>
      <c r="D1108" s="19" t="str">
        <f>IF(ISBLANK(A1108), "Email",IF(ISNA(VLOOKUP(A1108,'Master List'!A:C,3,FALSE)), "Not Found", VLOOKUP(A1108,'Master List'!A:C,3,FALSE)))</f>
        <v>Email</v>
      </c>
      <c r="F1108" s="4" t="str">
        <f>IF(OR(A1108="",E1108="","",A1108="?",E1108="?"),"duplicate?",IF(COUNTIFS($A:A,A1108,E:E,E1108)&gt;1,"yes","no"))</f>
        <v>duplicate?</v>
      </c>
      <c r="K1108" s="97" t="str">
        <f ca="1">IF(J1108="","Date",IF(J1108&lt;&gt;"",IF(K1108="Date",NOW(),K1108),""))</f>
        <v>Date</v>
      </c>
    </row>
    <row r="1109" spans="2:11">
      <c r="B1109" s="97" t="str">
        <f ca="1">IF(A1109="","Date",IF(A1109&lt;&gt;"",IF(B1109="Date",NOW(),B1109),""))</f>
        <v>Date</v>
      </c>
      <c r="C1109" s="19" t="str">
        <f>IF(ISBLANK(A1109),"Name",IF(ISNA(VLOOKUP(A1109,'Master List'!A:C,2,FALSE)), "Not Found", VLOOKUP(A1109,'Master List'!A:C,2,FALSE)))</f>
        <v>Name</v>
      </c>
      <c r="D1109" s="19" t="str">
        <f>IF(ISBLANK(A1109), "Email",IF(ISNA(VLOOKUP(A1109,'Master List'!A:C,3,FALSE)), "Not Found", VLOOKUP(A1109,'Master List'!A:C,3,FALSE)))</f>
        <v>Email</v>
      </c>
      <c r="F1109" s="4" t="str">
        <f>IF(OR(A1109="",E1109="","",A1109="?",E1109="?"),"duplicate?",IF(COUNTIFS($A:A,A1109,E:E,E1109)&gt;1,"yes","no"))</f>
        <v>duplicate?</v>
      </c>
      <c r="K1109" s="97" t="str">
        <f ca="1">IF(J1109="","Date",IF(J1109&lt;&gt;"",IF(K1109="Date",NOW(),K1109),""))</f>
        <v>Date</v>
      </c>
    </row>
    <row r="1110" spans="2:11">
      <c r="B1110" s="97" t="str">
        <f ca="1">IF(A1110="","Date",IF(A1110&lt;&gt;"",IF(B1110="Date",NOW(),B1110),""))</f>
        <v>Date</v>
      </c>
      <c r="C1110" s="19" t="str">
        <f>IF(ISBLANK(A1110),"Name",IF(ISNA(VLOOKUP(A1110,'Master List'!A:C,2,FALSE)), "Not Found", VLOOKUP(A1110,'Master List'!A:C,2,FALSE)))</f>
        <v>Name</v>
      </c>
      <c r="D1110" s="19" t="str">
        <f>IF(ISBLANK(A1110), "Email",IF(ISNA(VLOOKUP(A1110,'Master List'!A:C,3,FALSE)), "Not Found", VLOOKUP(A1110,'Master List'!A:C,3,FALSE)))</f>
        <v>Email</v>
      </c>
      <c r="F1110" s="4" t="str">
        <f>IF(OR(A1110="",E1110="","",A1110="?",E1110="?"),"duplicate?",IF(COUNTIFS($A:A,A1110,E:E,E1110)&gt;1,"yes","no"))</f>
        <v>duplicate?</v>
      </c>
      <c r="K1110" s="97" t="str">
        <f ca="1">IF(J1110="","Date",IF(J1110&lt;&gt;"",IF(K1110="Date",NOW(),K1110),""))</f>
        <v>Date</v>
      </c>
    </row>
    <row r="1111" spans="2:11">
      <c r="B1111" s="97" t="str">
        <f ca="1">IF(A1111="","Date",IF(A1111&lt;&gt;"",IF(B1111="Date",NOW(),B1111),""))</f>
        <v>Date</v>
      </c>
      <c r="C1111" s="19" t="str">
        <f>IF(ISBLANK(A1111),"Name",IF(ISNA(VLOOKUP(A1111,'Master List'!A:C,2,FALSE)), "Not Found", VLOOKUP(A1111,'Master List'!A:C,2,FALSE)))</f>
        <v>Name</v>
      </c>
      <c r="D1111" s="19" t="str">
        <f>IF(ISBLANK(A1111), "Email",IF(ISNA(VLOOKUP(A1111,'Master List'!A:C,3,FALSE)), "Not Found", VLOOKUP(A1111,'Master List'!A:C,3,FALSE)))</f>
        <v>Email</v>
      </c>
      <c r="F1111" s="4" t="str">
        <f>IF(OR(A1111="",E1111="","",A1111="?",E1111="?"),"duplicate?",IF(COUNTIFS($A:A,A1111,E:E,E1111)&gt;1,"yes","no"))</f>
        <v>duplicate?</v>
      </c>
      <c r="K1111" s="97" t="str">
        <f ca="1">IF(J1111="","Date",IF(J1111&lt;&gt;"",IF(K1111="Date",NOW(),K1111),""))</f>
        <v>Date</v>
      </c>
    </row>
    <row r="1112" spans="2:11">
      <c r="B1112" s="97" t="str">
        <f ca="1">IF(A1112="","Date",IF(A1112&lt;&gt;"",IF(B1112="Date",NOW(),B1112),""))</f>
        <v>Date</v>
      </c>
      <c r="C1112" s="19" t="str">
        <f>IF(ISBLANK(A1112),"Name",IF(ISNA(VLOOKUP(A1112,'Master List'!A:C,2,FALSE)), "Not Found", VLOOKUP(A1112,'Master List'!A:C,2,FALSE)))</f>
        <v>Name</v>
      </c>
      <c r="D1112" s="19" t="str">
        <f>IF(ISBLANK(A1112), "Email",IF(ISNA(VLOOKUP(A1112,'Master List'!A:C,3,FALSE)), "Not Found", VLOOKUP(A1112,'Master List'!A:C,3,FALSE)))</f>
        <v>Email</v>
      </c>
      <c r="F1112" s="4" t="str">
        <f>IF(OR(A1112="",E1112="","",A1112="?",E1112="?"),"duplicate?",IF(COUNTIFS($A:A,A1112,E:E,E1112)&gt;1,"yes","no"))</f>
        <v>duplicate?</v>
      </c>
      <c r="K1112" s="97" t="str">
        <f ca="1">IF(J1112="","Date",IF(J1112&lt;&gt;"",IF(K1112="Date",NOW(),K1112),""))</f>
        <v>Date</v>
      </c>
    </row>
    <row r="1113" spans="2:11">
      <c r="B1113" s="97" t="str">
        <f ca="1">IF(A1113="","Date",IF(A1113&lt;&gt;"",IF(B1113="Date",NOW(),B1113),""))</f>
        <v>Date</v>
      </c>
      <c r="C1113" s="19" t="str">
        <f>IF(ISBLANK(A1113),"Name",IF(ISNA(VLOOKUP(A1113,'Master List'!A:C,2,FALSE)), "Not Found", VLOOKUP(A1113,'Master List'!A:C,2,FALSE)))</f>
        <v>Name</v>
      </c>
      <c r="D1113" s="19" t="str">
        <f>IF(ISBLANK(A1113), "Email",IF(ISNA(VLOOKUP(A1113,'Master List'!A:C,3,FALSE)), "Not Found", VLOOKUP(A1113,'Master List'!A:C,3,FALSE)))</f>
        <v>Email</v>
      </c>
      <c r="F1113" s="4" t="str">
        <f>IF(OR(A1113="",E1113="","",A1113="?",E1113="?"),"duplicate?",IF(COUNTIFS($A:A,A1113,E:E,E1113)&gt;1,"yes","no"))</f>
        <v>duplicate?</v>
      </c>
      <c r="K1113" s="97" t="str">
        <f ca="1">IF(J1113="","Date",IF(J1113&lt;&gt;"",IF(K1113="Date",NOW(),K1113),""))</f>
        <v>Date</v>
      </c>
    </row>
    <row r="1114" spans="2:11">
      <c r="B1114" s="97" t="str">
        <f ca="1">IF(A1114="","Date",IF(A1114&lt;&gt;"",IF(B1114="Date",NOW(),B1114),""))</f>
        <v>Date</v>
      </c>
      <c r="C1114" s="19" t="str">
        <f>IF(ISBLANK(A1114),"Name",IF(ISNA(VLOOKUP(A1114,'Master List'!A:C,2,FALSE)), "Not Found", VLOOKUP(A1114,'Master List'!A:C,2,FALSE)))</f>
        <v>Name</v>
      </c>
      <c r="D1114" s="19" t="str">
        <f>IF(ISBLANK(A1114), "Email",IF(ISNA(VLOOKUP(A1114,'Master List'!A:C,3,FALSE)), "Not Found", VLOOKUP(A1114,'Master List'!A:C,3,FALSE)))</f>
        <v>Email</v>
      </c>
      <c r="F1114" s="4" t="str">
        <f>IF(OR(A1114="",E1114="","",A1114="?",E1114="?"),"duplicate?",IF(COUNTIFS($A:A,A1114,E:E,E1114)&gt;1,"yes","no"))</f>
        <v>duplicate?</v>
      </c>
      <c r="K1114" s="97" t="str">
        <f ca="1">IF(J1114="","Date",IF(J1114&lt;&gt;"",IF(K1114="Date",NOW(),K1114),""))</f>
        <v>Date</v>
      </c>
    </row>
    <row r="1115" spans="2:11">
      <c r="B1115" s="97" t="str">
        <f ca="1">IF(A1115="","Date",IF(A1115&lt;&gt;"",IF(B1115="Date",NOW(),B1115),""))</f>
        <v>Date</v>
      </c>
      <c r="C1115" s="19" t="str">
        <f>IF(ISBLANK(A1115),"Name",IF(ISNA(VLOOKUP(A1115,'Master List'!A:C,2,FALSE)), "Not Found", VLOOKUP(A1115,'Master List'!A:C,2,FALSE)))</f>
        <v>Name</v>
      </c>
      <c r="D1115" s="19" t="str">
        <f>IF(ISBLANK(A1115), "Email",IF(ISNA(VLOOKUP(A1115,'Master List'!A:C,3,FALSE)), "Not Found", VLOOKUP(A1115,'Master List'!A:C,3,FALSE)))</f>
        <v>Email</v>
      </c>
      <c r="F1115" s="4" t="str">
        <f>IF(OR(A1115="",E1115="","",A1115="?",E1115="?"),"duplicate?",IF(COUNTIFS($A:A,A1115,E:E,E1115)&gt;1,"yes","no"))</f>
        <v>duplicate?</v>
      </c>
      <c r="K1115" s="97" t="str">
        <f ca="1">IF(J1115="","Date",IF(J1115&lt;&gt;"",IF(K1115="Date",NOW(),K1115),""))</f>
        <v>Date</v>
      </c>
    </row>
    <row r="1116" spans="2:11">
      <c r="B1116" s="97" t="str">
        <f ca="1">IF(A1116="","Date",IF(A1116&lt;&gt;"",IF(B1116="Date",NOW(),B1116),""))</f>
        <v>Date</v>
      </c>
      <c r="C1116" s="19" t="str">
        <f>IF(ISBLANK(A1116),"Name",IF(ISNA(VLOOKUP(A1116,'Master List'!A:C,2,FALSE)), "Not Found", VLOOKUP(A1116,'Master List'!A:C,2,FALSE)))</f>
        <v>Name</v>
      </c>
      <c r="D1116" s="19" t="str">
        <f>IF(ISBLANK(A1116), "Email",IF(ISNA(VLOOKUP(A1116,'Master List'!A:C,3,FALSE)), "Not Found", VLOOKUP(A1116,'Master List'!A:C,3,FALSE)))</f>
        <v>Email</v>
      </c>
      <c r="F1116" s="4" t="str">
        <f>IF(OR(A1116="",E1116="","",A1116="?",E1116="?"),"duplicate?",IF(COUNTIFS($A:A,A1116,E:E,E1116)&gt;1,"yes","no"))</f>
        <v>duplicate?</v>
      </c>
      <c r="K1116" s="97" t="str">
        <f ca="1">IF(J1116="","Date",IF(J1116&lt;&gt;"",IF(K1116="Date",NOW(),K1116),""))</f>
        <v>Date</v>
      </c>
    </row>
    <row r="1117" spans="2:11">
      <c r="B1117" s="97" t="str">
        <f ca="1">IF(A1117="","Date",IF(A1117&lt;&gt;"",IF(B1117="Date",NOW(),B1117),""))</f>
        <v>Date</v>
      </c>
      <c r="C1117" s="19" t="str">
        <f>IF(ISBLANK(A1117),"Name",IF(ISNA(VLOOKUP(A1117,'Master List'!A:C,2,FALSE)), "Not Found", VLOOKUP(A1117,'Master List'!A:C,2,FALSE)))</f>
        <v>Name</v>
      </c>
      <c r="D1117" s="19" t="str">
        <f>IF(ISBLANK(A1117), "Email",IF(ISNA(VLOOKUP(A1117,'Master List'!A:C,3,FALSE)), "Not Found", VLOOKUP(A1117,'Master List'!A:C,3,FALSE)))</f>
        <v>Email</v>
      </c>
      <c r="F1117" s="4" t="str">
        <f>IF(OR(A1117="",E1117="","",A1117="?",E1117="?"),"duplicate?",IF(COUNTIFS($A:A,A1117,E:E,E1117)&gt;1,"yes","no"))</f>
        <v>duplicate?</v>
      </c>
      <c r="K1117" s="97" t="str">
        <f ca="1">IF(J1117="","Date",IF(J1117&lt;&gt;"",IF(K1117="Date",NOW(),K1117),""))</f>
        <v>Date</v>
      </c>
    </row>
    <row r="1118" spans="2:11">
      <c r="B1118" s="97" t="str">
        <f ca="1">IF(A1118="","Date",IF(A1118&lt;&gt;"",IF(B1118="Date",NOW(),B1118),""))</f>
        <v>Date</v>
      </c>
      <c r="C1118" s="19" t="str">
        <f>IF(ISBLANK(A1118),"Name",IF(ISNA(VLOOKUP(A1118,'Master List'!A:C,2,FALSE)), "Not Found", VLOOKUP(A1118,'Master List'!A:C,2,FALSE)))</f>
        <v>Name</v>
      </c>
      <c r="D1118" s="19" t="str">
        <f>IF(ISBLANK(A1118), "Email",IF(ISNA(VLOOKUP(A1118,'Master List'!A:C,3,FALSE)), "Not Found", VLOOKUP(A1118,'Master List'!A:C,3,FALSE)))</f>
        <v>Email</v>
      </c>
      <c r="F1118" s="4" t="str">
        <f>IF(OR(A1118="",E1118="","",A1118="?",E1118="?"),"duplicate?",IF(COUNTIFS($A:A,A1118,E:E,E1118)&gt;1,"yes","no"))</f>
        <v>duplicate?</v>
      </c>
      <c r="K1118" s="97" t="str">
        <f ca="1">IF(J1118="","Date",IF(J1118&lt;&gt;"",IF(K1118="Date",NOW(),K1118),""))</f>
        <v>Date</v>
      </c>
    </row>
    <row r="1119" spans="2:11">
      <c r="B1119" s="97" t="str">
        <f ca="1">IF(A1119="","Date",IF(A1119&lt;&gt;"",IF(B1119="Date",NOW(),B1119),""))</f>
        <v>Date</v>
      </c>
      <c r="C1119" s="19" t="str">
        <f>IF(ISBLANK(A1119),"Name",IF(ISNA(VLOOKUP(A1119,'Master List'!A:C,2,FALSE)), "Not Found", VLOOKUP(A1119,'Master List'!A:C,2,FALSE)))</f>
        <v>Name</v>
      </c>
      <c r="D1119" s="19" t="str">
        <f>IF(ISBLANK(A1119), "Email",IF(ISNA(VLOOKUP(A1119,'Master List'!A:C,3,FALSE)), "Not Found", VLOOKUP(A1119,'Master List'!A:C,3,FALSE)))</f>
        <v>Email</v>
      </c>
      <c r="F1119" s="4" t="str">
        <f>IF(OR(A1119="",E1119="","",A1119="?",E1119="?"),"duplicate?",IF(COUNTIFS($A:A,A1119,E:E,E1119)&gt;1,"yes","no"))</f>
        <v>duplicate?</v>
      </c>
      <c r="K1119" s="97" t="str">
        <f ca="1">IF(J1119="","Date",IF(J1119&lt;&gt;"",IF(K1119="Date",NOW(),K1119),""))</f>
        <v>Date</v>
      </c>
    </row>
    <row r="1120" spans="2:11">
      <c r="B1120" s="97" t="str">
        <f ca="1">IF(A1120="","Date",IF(A1120&lt;&gt;"",IF(B1120="Date",NOW(),B1120),""))</f>
        <v>Date</v>
      </c>
      <c r="C1120" s="19" t="str">
        <f>IF(ISBLANK(A1120),"Name",IF(ISNA(VLOOKUP(A1120,'Master List'!A:C,2,FALSE)), "Not Found", VLOOKUP(A1120,'Master List'!A:C,2,FALSE)))</f>
        <v>Name</v>
      </c>
      <c r="D1120" s="19" t="str">
        <f>IF(ISBLANK(A1120), "Email",IF(ISNA(VLOOKUP(A1120,'Master List'!A:C,3,FALSE)), "Not Found", VLOOKUP(A1120,'Master List'!A:C,3,FALSE)))</f>
        <v>Email</v>
      </c>
      <c r="F1120" s="4" t="str">
        <f>IF(OR(A1120="",E1120="","",A1120="?",E1120="?"),"duplicate?",IF(COUNTIFS($A:A,A1120,E:E,E1120)&gt;1,"yes","no"))</f>
        <v>duplicate?</v>
      </c>
      <c r="K1120" s="97" t="str">
        <f ca="1">IF(J1120="","Date",IF(J1120&lt;&gt;"",IF(K1120="Date",NOW(),K1120),""))</f>
        <v>Date</v>
      </c>
    </row>
    <row r="1121" spans="2:11">
      <c r="B1121" s="97" t="str">
        <f ca="1">IF(A1121="","Date",IF(A1121&lt;&gt;"",IF(B1121="Date",NOW(),B1121),""))</f>
        <v>Date</v>
      </c>
      <c r="C1121" s="19" t="str">
        <f>IF(ISBLANK(A1121),"Name",IF(ISNA(VLOOKUP(A1121,'Master List'!A:C,2,FALSE)), "Not Found", VLOOKUP(A1121,'Master List'!A:C,2,FALSE)))</f>
        <v>Name</v>
      </c>
      <c r="D1121" s="19" t="str">
        <f>IF(ISBLANK(A1121), "Email",IF(ISNA(VLOOKUP(A1121,'Master List'!A:C,3,FALSE)), "Not Found", VLOOKUP(A1121,'Master List'!A:C,3,FALSE)))</f>
        <v>Email</v>
      </c>
      <c r="F1121" s="4" t="str">
        <f>IF(OR(A1121="",E1121="","",A1121="?",E1121="?"),"duplicate?",IF(COUNTIFS($A:A,A1121,E:E,E1121)&gt;1,"yes","no"))</f>
        <v>duplicate?</v>
      </c>
      <c r="K1121" s="97" t="str">
        <f ca="1">IF(J1121="","Date",IF(J1121&lt;&gt;"",IF(K1121="Date",NOW(),K1121),""))</f>
        <v>Date</v>
      </c>
    </row>
    <row r="1122" spans="2:11">
      <c r="B1122" s="97" t="str">
        <f ca="1">IF(A1122="","Date",IF(A1122&lt;&gt;"",IF(B1122="Date",NOW(),B1122),""))</f>
        <v>Date</v>
      </c>
      <c r="C1122" s="19" t="str">
        <f>IF(ISBLANK(A1122),"Name",IF(ISNA(VLOOKUP(A1122,'Master List'!A:C,2,FALSE)), "Not Found", VLOOKUP(A1122,'Master List'!A:C,2,FALSE)))</f>
        <v>Name</v>
      </c>
      <c r="D1122" s="19" t="str">
        <f>IF(ISBLANK(A1122), "Email",IF(ISNA(VLOOKUP(A1122,'Master List'!A:C,3,FALSE)), "Not Found", VLOOKUP(A1122,'Master List'!A:C,3,FALSE)))</f>
        <v>Email</v>
      </c>
      <c r="F1122" s="4" t="str">
        <f>IF(OR(A1122="",E1122="","",A1122="?",E1122="?"),"duplicate?",IF(COUNTIFS($A:A,A1122,E:E,E1122)&gt;1,"yes","no"))</f>
        <v>duplicate?</v>
      </c>
      <c r="K1122" s="97" t="str">
        <f ca="1">IF(J1122="","Date",IF(J1122&lt;&gt;"",IF(K1122="Date",NOW(),K1122),""))</f>
        <v>Date</v>
      </c>
    </row>
    <row r="1123" spans="2:11">
      <c r="B1123" s="97" t="str">
        <f ca="1">IF(A1123="","Date",IF(A1123&lt;&gt;"",IF(B1123="Date",NOW(),B1123),""))</f>
        <v>Date</v>
      </c>
      <c r="C1123" s="19" t="str">
        <f>IF(ISBLANK(A1123),"Name",IF(ISNA(VLOOKUP(A1123,'Master List'!A:C,2,FALSE)), "Not Found", VLOOKUP(A1123,'Master List'!A:C,2,FALSE)))</f>
        <v>Name</v>
      </c>
      <c r="D1123" s="19" t="str">
        <f>IF(ISBLANK(A1123), "Email",IF(ISNA(VLOOKUP(A1123,'Master List'!A:C,3,FALSE)), "Not Found", VLOOKUP(A1123,'Master List'!A:C,3,FALSE)))</f>
        <v>Email</v>
      </c>
      <c r="F1123" s="4" t="str">
        <f>IF(OR(A1123="",E1123="","",A1123="?",E1123="?"),"duplicate?",IF(COUNTIFS($A:A,A1123,E:E,E1123)&gt;1,"yes","no"))</f>
        <v>duplicate?</v>
      </c>
      <c r="K1123" s="97" t="str">
        <f ca="1">IF(J1123="","Date",IF(J1123&lt;&gt;"",IF(K1123="Date",NOW(),K1123),""))</f>
        <v>Date</v>
      </c>
    </row>
    <row r="1124" spans="2:11">
      <c r="B1124" s="97" t="str">
        <f ca="1">IF(A1124="","Date",IF(A1124&lt;&gt;"",IF(B1124="Date",NOW(),B1124),""))</f>
        <v>Date</v>
      </c>
      <c r="C1124" s="19" t="str">
        <f>IF(ISBLANK(A1124),"Name",IF(ISNA(VLOOKUP(A1124,'Master List'!A:C,2,FALSE)), "Not Found", VLOOKUP(A1124,'Master List'!A:C,2,FALSE)))</f>
        <v>Name</v>
      </c>
      <c r="D1124" s="19" t="str">
        <f>IF(ISBLANK(A1124), "Email",IF(ISNA(VLOOKUP(A1124,'Master List'!A:C,3,FALSE)), "Not Found", VLOOKUP(A1124,'Master List'!A:C,3,FALSE)))</f>
        <v>Email</v>
      </c>
      <c r="F1124" s="4" t="str">
        <f>IF(OR(A1124="",E1124="","",A1124="?",E1124="?"),"duplicate?",IF(COUNTIFS($A:A,A1124,E:E,E1124)&gt;1,"yes","no"))</f>
        <v>duplicate?</v>
      </c>
      <c r="K1124" s="97" t="str">
        <f ca="1">IF(J1124="","Date",IF(J1124&lt;&gt;"",IF(K1124="Date",NOW(),K1124),""))</f>
        <v>Date</v>
      </c>
    </row>
    <row r="1125" spans="2:11">
      <c r="B1125" s="97" t="str">
        <f ca="1">IF(A1125="","Date",IF(A1125&lt;&gt;"",IF(B1125="Date",NOW(),B1125),""))</f>
        <v>Date</v>
      </c>
      <c r="C1125" s="19" t="str">
        <f>IF(ISBLANK(A1125),"Name",IF(ISNA(VLOOKUP(A1125,'Master List'!A:C,2,FALSE)), "Not Found", VLOOKUP(A1125,'Master List'!A:C,2,FALSE)))</f>
        <v>Name</v>
      </c>
      <c r="D1125" s="19" t="str">
        <f>IF(ISBLANK(A1125), "Email",IF(ISNA(VLOOKUP(A1125,'Master List'!A:C,3,FALSE)), "Not Found", VLOOKUP(A1125,'Master List'!A:C,3,FALSE)))</f>
        <v>Email</v>
      </c>
      <c r="F1125" s="4" t="str">
        <f>IF(OR(A1125="",E1125="","",A1125="?",E1125="?"),"duplicate?",IF(COUNTIFS($A:A,A1125,E:E,E1125)&gt;1,"yes","no"))</f>
        <v>duplicate?</v>
      </c>
      <c r="K1125" s="97" t="str">
        <f ca="1">IF(J1125="","Date",IF(J1125&lt;&gt;"",IF(K1125="Date",NOW(),K1125),""))</f>
        <v>Date</v>
      </c>
    </row>
    <row r="1126" spans="2:11">
      <c r="B1126" s="97" t="str">
        <f ca="1">IF(A1126="","Date",IF(A1126&lt;&gt;"",IF(B1126="Date",NOW(),B1126),""))</f>
        <v>Date</v>
      </c>
      <c r="C1126" s="19" t="str">
        <f>IF(ISBLANK(A1126),"Name",IF(ISNA(VLOOKUP(A1126,'Master List'!A:C,2,FALSE)), "Not Found", VLOOKUP(A1126,'Master List'!A:C,2,FALSE)))</f>
        <v>Name</v>
      </c>
      <c r="D1126" s="19" t="str">
        <f>IF(ISBLANK(A1126), "Email",IF(ISNA(VLOOKUP(A1126,'Master List'!A:C,3,FALSE)), "Not Found", VLOOKUP(A1126,'Master List'!A:C,3,FALSE)))</f>
        <v>Email</v>
      </c>
      <c r="F1126" s="4" t="str">
        <f>IF(OR(A1126="",E1126="","",A1126="?",E1126="?"),"duplicate?",IF(COUNTIFS($A:A,A1126,E:E,E1126)&gt;1,"yes","no"))</f>
        <v>duplicate?</v>
      </c>
      <c r="K1126" s="97" t="str">
        <f ca="1">IF(J1126="","Date",IF(J1126&lt;&gt;"",IF(K1126="Date",NOW(),K1126),""))</f>
        <v>Date</v>
      </c>
    </row>
    <row r="1127" spans="2:11">
      <c r="B1127" s="97" t="str">
        <f ca="1">IF(A1127="","Date",IF(A1127&lt;&gt;"",IF(B1127="Date",NOW(),B1127),""))</f>
        <v>Date</v>
      </c>
      <c r="C1127" s="19" t="str">
        <f>IF(ISBLANK(A1127),"Name",IF(ISNA(VLOOKUP(A1127,'Master List'!A:C,2,FALSE)), "Not Found", VLOOKUP(A1127,'Master List'!A:C,2,FALSE)))</f>
        <v>Name</v>
      </c>
      <c r="D1127" s="19" t="str">
        <f>IF(ISBLANK(A1127), "Email",IF(ISNA(VLOOKUP(A1127,'Master List'!A:C,3,FALSE)), "Not Found", VLOOKUP(A1127,'Master List'!A:C,3,FALSE)))</f>
        <v>Email</v>
      </c>
      <c r="F1127" s="4" t="str">
        <f>IF(OR(A1127="",E1127="","",A1127="?",E1127="?"),"duplicate?",IF(COUNTIFS($A:A,A1127,E:E,E1127)&gt;1,"yes","no"))</f>
        <v>duplicate?</v>
      </c>
      <c r="K1127" s="97" t="str">
        <f ca="1">IF(J1127="","Date",IF(J1127&lt;&gt;"",IF(K1127="Date",NOW(),K1127),""))</f>
        <v>Date</v>
      </c>
    </row>
    <row r="1128" spans="2:11">
      <c r="B1128" s="97" t="str">
        <f ca="1">IF(A1128="","Date",IF(A1128&lt;&gt;"",IF(B1128="Date",NOW(),B1128),""))</f>
        <v>Date</v>
      </c>
      <c r="C1128" s="19" t="str">
        <f>IF(ISBLANK(A1128),"Name",IF(ISNA(VLOOKUP(A1128,'Master List'!A:C,2,FALSE)), "Not Found", VLOOKUP(A1128,'Master List'!A:C,2,FALSE)))</f>
        <v>Name</v>
      </c>
      <c r="D1128" s="19" t="str">
        <f>IF(ISBLANK(A1128), "Email",IF(ISNA(VLOOKUP(A1128,'Master List'!A:C,3,FALSE)), "Not Found", VLOOKUP(A1128,'Master List'!A:C,3,FALSE)))</f>
        <v>Email</v>
      </c>
      <c r="F1128" s="4" t="str">
        <f>IF(OR(A1128="",E1128="","",A1128="?",E1128="?"),"duplicate?",IF(COUNTIFS($A:A,A1128,E:E,E1128)&gt;1,"yes","no"))</f>
        <v>duplicate?</v>
      </c>
      <c r="K1128" s="97" t="str">
        <f ca="1">IF(J1128="","Date",IF(J1128&lt;&gt;"",IF(K1128="Date",NOW(),K1128),""))</f>
        <v>Date</v>
      </c>
    </row>
    <row r="1129" spans="2:11">
      <c r="B1129" s="97" t="str">
        <f ca="1">IF(A1129="","Date",IF(A1129&lt;&gt;"",IF(B1129="Date",NOW(),B1129),""))</f>
        <v>Date</v>
      </c>
      <c r="C1129" s="19" t="str">
        <f>IF(ISBLANK(A1129),"Name",IF(ISNA(VLOOKUP(A1129,'Master List'!A:C,2,FALSE)), "Not Found", VLOOKUP(A1129,'Master List'!A:C,2,FALSE)))</f>
        <v>Name</v>
      </c>
      <c r="D1129" s="19" t="str">
        <f>IF(ISBLANK(A1129), "Email",IF(ISNA(VLOOKUP(A1129,'Master List'!A:C,3,FALSE)), "Not Found", VLOOKUP(A1129,'Master List'!A:C,3,FALSE)))</f>
        <v>Email</v>
      </c>
      <c r="F1129" s="4" t="str">
        <f>IF(OR(A1129="",E1129="","",A1129="?",E1129="?"),"duplicate?",IF(COUNTIFS($A:A,A1129,E:E,E1129)&gt;1,"yes","no"))</f>
        <v>duplicate?</v>
      </c>
      <c r="K1129" s="97" t="str">
        <f ca="1">IF(J1129="","Date",IF(J1129&lt;&gt;"",IF(K1129="Date",NOW(),K1129),""))</f>
        <v>Date</v>
      </c>
    </row>
    <row r="1130" spans="2:11">
      <c r="B1130" s="97" t="str">
        <f ca="1">IF(A1130="","Date",IF(A1130&lt;&gt;"",IF(B1130="Date",NOW(),B1130),""))</f>
        <v>Date</v>
      </c>
      <c r="C1130" s="19" t="str">
        <f>IF(ISBLANK(A1130),"Name",IF(ISNA(VLOOKUP(A1130,'Master List'!A:C,2,FALSE)), "Not Found", VLOOKUP(A1130,'Master List'!A:C,2,FALSE)))</f>
        <v>Name</v>
      </c>
      <c r="D1130" s="19" t="str">
        <f>IF(ISBLANK(A1130), "Email",IF(ISNA(VLOOKUP(A1130,'Master List'!A:C,3,FALSE)), "Not Found", VLOOKUP(A1130,'Master List'!A:C,3,FALSE)))</f>
        <v>Email</v>
      </c>
      <c r="F1130" s="4" t="str">
        <f>IF(OR(A1130="",E1130="","",A1130="?",E1130="?"),"duplicate?",IF(COUNTIFS($A:A,A1130,E:E,E1130)&gt;1,"yes","no"))</f>
        <v>duplicate?</v>
      </c>
      <c r="K1130" s="97" t="str">
        <f ca="1">IF(J1130="","Date",IF(J1130&lt;&gt;"",IF(K1130="Date",NOW(),K1130),""))</f>
        <v>Date</v>
      </c>
    </row>
    <row r="1131" spans="2:11">
      <c r="B1131" s="97" t="str">
        <f ca="1">IF(A1131="","Date",IF(A1131&lt;&gt;"",IF(B1131="Date",NOW(),B1131),""))</f>
        <v>Date</v>
      </c>
      <c r="C1131" s="19" t="str">
        <f>IF(ISBLANK(A1131),"Name",IF(ISNA(VLOOKUP(A1131,'Master List'!A:C,2,FALSE)), "Not Found", VLOOKUP(A1131,'Master List'!A:C,2,FALSE)))</f>
        <v>Name</v>
      </c>
      <c r="D1131" s="19" t="str">
        <f>IF(ISBLANK(A1131), "Email",IF(ISNA(VLOOKUP(A1131,'Master List'!A:C,3,FALSE)), "Not Found", VLOOKUP(A1131,'Master List'!A:C,3,FALSE)))</f>
        <v>Email</v>
      </c>
      <c r="F1131" s="4" t="str">
        <f>IF(OR(A1131="",E1131="","",A1131="?",E1131="?"),"duplicate?",IF(COUNTIFS($A:A,A1131,E:E,E1131)&gt;1,"yes","no"))</f>
        <v>duplicate?</v>
      </c>
      <c r="K1131" s="97" t="str">
        <f ca="1">IF(J1131="","Date",IF(J1131&lt;&gt;"",IF(K1131="Date",NOW(),K1131),""))</f>
        <v>Date</v>
      </c>
    </row>
    <row r="1132" spans="2:11">
      <c r="B1132" s="97" t="str">
        <f ca="1">IF(A1132="","Date",IF(A1132&lt;&gt;"",IF(B1132="Date",NOW(),B1132),""))</f>
        <v>Date</v>
      </c>
      <c r="C1132" s="19" t="str">
        <f>IF(ISBLANK(A1132),"Name",IF(ISNA(VLOOKUP(A1132,'Master List'!A:C,2,FALSE)), "Not Found", VLOOKUP(A1132,'Master List'!A:C,2,FALSE)))</f>
        <v>Name</v>
      </c>
      <c r="D1132" s="19" t="str">
        <f>IF(ISBLANK(A1132), "Email",IF(ISNA(VLOOKUP(A1132,'Master List'!A:C,3,FALSE)), "Not Found", VLOOKUP(A1132,'Master List'!A:C,3,FALSE)))</f>
        <v>Email</v>
      </c>
      <c r="F1132" s="4" t="str">
        <f>IF(OR(A1132="",E1132="","",A1132="?",E1132="?"),"duplicate?",IF(COUNTIFS($A:A,A1132,E:E,E1132)&gt;1,"yes","no"))</f>
        <v>duplicate?</v>
      </c>
      <c r="K1132" s="97" t="str">
        <f ca="1">IF(J1132="","Date",IF(J1132&lt;&gt;"",IF(K1132="Date",NOW(),K1132),""))</f>
        <v>Date</v>
      </c>
    </row>
    <row r="1133" spans="2:11">
      <c r="B1133" s="97" t="str">
        <f ca="1">IF(A1133="","Date",IF(A1133&lt;&gt;"",IF(B1133="Date",NOW(),B1133),""))</f>
        <v>Date</v>
      </c>
      <c r="C1133" s="19" t="str">
        <f>IF(ISBLANK(A1133),"Name",IF(ISNA(VLOOKUP(A1133,'Master List'!A:C,2,FALSE)), "Not Found", VLOOKUP(A1133,'Master List'!A:C,2,FALSE)))</f>
        <v>Name</v>
      </c>
      <c r="D1133" s="19" t="str">
        <f>IF(ISBLANK(A1133), "Email",IF(ISNA(VLOOKUP(A1133,'Master List'!A:C,3,FALSE)), "Not Found", VLOOKUP(A1133,'Master List'!A:C,3,FALSE)))</f>
        <v>Email</v>
      </c>
      <c r="F1133" s="4" t="str">
        <f>IF(OR(A1133="",E1133="","",A1133="?",E1133="?"),"duplicate?",IF(COUNTIFS($A:A,A1133,E:E,E1133)&gt;1,"yes","no"))</f>
        <v>duplicate?</v>
      </c>
      <c r="K1133" s="97" t="str">
        <f ca="1">IF(J1133="","Date",IF(J1133&lt;&gt;"",IF(K1133="Date",NOW(),K1133),""))</f>
        <v>Date</v>
      </c>
    </row>
    <row r="1134" spans="2:11">
      <c r="B1134" s="97" t="str">
        <f ca="1">IF(A1134="","Date",IF(A1134&lt;&gt;"",IF(B1134="Date",NOW(),B1134),""))</f>
        <v>Date</v>
      </c>
      <c r="C1134" s="19" t="str">
        <f>IF(ISBLANK(A1134),"Name",IF(ISNA(VLOOKUP(A1134,'Master List'!A:C,2,FALSE)), "Not Found", VLOOKUP(A1134,'Master List'!A:C,2,FALSE)))</f>
        <v>Name</v>
      </c>
      <c r="D1134" s="19" t="str">
        <f>IF(ISBLANK(A1134), "Email",IF(ISNA(VLOOKUP(A1134,'Master List'!A:C,3,FALSE)), "Not Found", VLOOKUP(A1134,'Master List'!A:C,3,FALSE)))</f>
        <v>Email</v>
      </c>
      <c r="F1134" s="4" t="str">
        <f>IF(OR(A1134="",E1134="","",A1134="?",E1134="?"),"duplicate?",IF(COUNTIFS($A:A,A1134,E:E,E1134)&gt;1,"yes","no"))</f>
        <v>duplicate?</v>
      </c>
      <c r="K1134" s="97" t="str">
        <f ca="1">IF(J1134="","Date",IF(J1134&lt;&gt;"",IF(K1134="Date",NOW(),K1134),""))</f>
        <v>Date</v>
      </c>
    </row>
    <row r="1135" spans="2:11">
      <c r="B1135" s="97" t="str">
        <f ca="1">IF(A1135="","Date",IF(A1135&lt;&gt;"",IF(B1135="Date",NOW(),B1135),""))</f>
        <v>Date</v>
      </c>
      <c r="C1135" s="19" t="str">
        <f>IF(ISBLANK(A1135),"Name",IF(ISNA(VLOOKUP(A1135,'Master List'!A:C,2,FALSE)), "Not Found", VLOOKUP(A1135,'Master List'!A:C,2,FALSE)))</f>
        <v>Name</v>
      </c>
      <c r="D1135" s="19" t="str">
        <f>IF(ISBLANK(A1135), "Email",IF(ISNA(VLOOKUP(A1135,'Master List'!A:C,3,FALSE)), "Not Found", VLOOKUP(A1135,'Master List'!A:C,3,FALSE)))</f>
        <v>Email</v>
      </c>
      <c r="F1135" s="4" t="str">
        <f>IF(OR(A1135="",E1135="","",A1135="?",E1135="?"),"duplicate?",IF(COUNTIFS($A:A,A1135,E:E,E1135)&gt;1,"yes","no"))</f>
        <v>duplicate?</v>
      </c>
      <c r="K1135" s="97" t="str">
        <f ca="1">IF(J1135="","Date",IF(J1135&lt;&gt;"",IF(K1135="Date",NOW(),K1135),""))</f>
        <v>Date</v>
      </c>
    </row>
    <row r="1136" spans="2:11">
      <c r="B1136" s="97" t="str">
        <f ca="1">IF(A1136="","Date",IF(A1136&lt;&gt;"",IF(B1136="Date",NOW(),B1136),""))</f>
        <v>Date</v>
      </c>
      <c r="C1136" s="19" t="str">
        <f>IF(ISBLANK(A1136),"Name",IF(ISNA(VLOOKUP(A1136,'Master List'!A:C,2,FALSE)), "Not Found", VLOOKUP(A1136,'Master List'!A:C,2,FALSE)))</f>
        <v>Name</v>
      </c>
      <c r="D1136" s="19" t="str">
        <f>IF(ISBLANK(A1136), "Email",IF(ISNA(VLOOKUP(A1136,'Master List'!A:C,3,FALSE)), "Not Found", VLOOKUP(A1136,'Master List'!A:C,3,FALSE)))</f>
        <v>Email</v>
      </c>
      <c r="F1136" s="4" t="str">
        <f>IF(OR(A1136="",E1136="","",A1136="?",E1136="?"),"duplicate?",IF(COUNTIFS($A:A,A1136,E:E,E1136)&gt;1,"yes","no"))</f>
        <v>duplicate?</v>
      </c>
      <c r="K1136" s="97" t="str">
        <f ca="1">IF(J1136="","Date",IF(J1136&lt;&gt;"",IF(K1136="Date",NOW(),K1136),""))</f>
        <v>Date</v>
      </c>
    </row>
    <row r="1137" spans="2:11">
      <c r="B1137" s="97" t="str">
        <f ca="1">IF(A1137="","Date",IF(A1137&lt;&gt;"",IF(B1137="Date",NOW(),B1137),""))</f>
        <v>Date</v>
      </c>
      <c r="C1137" s="19" t="str">
        <f>IF(ISBLANK(A1137),"Name",IF(ISNA(VLOOKUP(A1137,'Master List'!A:C,2,FALSE)), "Not Found", VLOOKUP(A1137,'Master List'!A:C,2,FALSE)))</f>
        <v>Name</v>
      </c>
      <c r="D1137" s="19" t="str">
        <f>IF(ISBLANK(A1137), "Email",IF(ISNA(VLOOKUP(A1137,'Master List'!A:C,3,FALSE)), "Not Found", VLOOKUP(A1137,'Master List'!A:C,3,FALSE)))</f>
        <v>Email</v>
      </c>
      <c r="F1137" s="4" t="str">
        <f>IF(OR(A1137="",E1137="","",A1137="?",E1137="?"),"duplicate?",IF(COUNTIFS($A:A,A1137,E:E,E1137)&gt;1,"yes","no"))</f>
        <v>duplicate?</v>
      </c>
      <c r="K1137" s="97" t="str">
        <f ca="1">IF(J1137="","Date",IF(J1137&lt;&gt;"",IF(K1137="Date",NOW(),K1137),""))</f>
        <v>Date</v>
      </c>
    </row>
    <row r="1138" spans="2:11">
      <c r="B1138" s="97" t="str">
        <f ca="1">IF(A1138="","Date",IF(A1138&lt;&gt;"",IF(B1138="Date",NOW(),B1138),""))</f>
        <v>Date</v>
      </c>
      <c r="C1138" s="19" t="str">
        <f>IF(ISBLANK(A1138),"Name",IF(ISNA(VLOOKUP(A1138,'Master List'!A:C,2,FALSE)), "Not Found", VLOOKUP(A1138,'Master List'!A:C,2,FALSE)))</f>
        <v>Name</v>
      </c>
      <c r="D1138" s="19" t="str">
        <f>IF(ISBLANK(A1138), "Email",IF(ISNA(VLOOKUP(A1138,'Master List'!A:C,3,FALSE)), "Not Found", VLOOKUP(A1138,'Master List'!A:C,3,FALSE)))</f>
        <v>Email</v>
      </c>
      <c r="F1138" s="4" t="str">
        <f>IF(OR(A1138="",E1138="","",A1138="?",E1138="?"),"duplicate?",IF(COUNTIFS($A:A,A1138,E:E,E1138)&gt;1,"yes","no"))</f>
        <v>duplicate?</v>
      </c>
      <c r="K1138" s="97" t="str">
        <f ca="1">IF(J1138="","Date",IF(J1138&lt;&gt;"",IF(K1138="Date",NOW(),K1138),""))</f>
        <v>Date</v>
      </c>
    </row>
    <row r="1139" spans="2:11">
      <c r="B1139" s="97" t="str">
        <f ca="1">IF(A1139="","Date",IF(A1139&lt;&gt;"",IF(B1139="Date",NOW(),B1139),""))</f>
        <v>Date</v>
      </c>
      <c r="C1139" s="19" t="str">
        <f>IF(ISBLANK(A1139),"Name",IF(ISNA(VLOOKUP(A1139,'Master List'!A:C,2,FALSE)), "Not Found", VLOOKUP(A1139,'Master List'!A:C,2,FALSE)))</f>
        <v>Name</v>
      </c>
      <c r="D1139" s="19" t="str">
        <f>IF(ISBLANK(A1139), "Email",IF(ISNA(VLOOKUP(A1139,'Master List'!A:C,3,FALSE)), "Not Found", VLOOKUP(A1139,'Master List'!A:C,3,FALSE)))</f>
        <v>Email</v>
      </c>
      <c r="F1139" s="4" t="str">
        <f>IF(OR(A1139="",E1139="","",A1139="?",E1139="?"),"duplicate?",IF(COUNTIFS($A:A,A1139,E:E,E1139)&gt;1,"yes","no"))</f>
        <v>duplicate?</v>
      </c>
      <c r="K1139" s="97" t="str">
        <f ca="1">IF(J1139="","Date",IF(J1139&lt;&gt;"",IF(K1139="Date",NOW(),K1139),""))</f>
        <v>Date</v>
      </c>
    </row>
    <row r="1140" spans="2:11">
      <c r="B1140" s="97" t="str">
        <f ca="1">IF(A1140="","Date",IF(A1140&lt;&gt;"",IF(B1140="Date",NOW(),B1140),""))</f>
        <v>Date</v>
      </c>
      <c r="C1140" s="19" t="str">
        <f>IF(ISBLANK(A1140),"Name",IF(ISNA(VLOOKUP(A1140,'Master List'!A:C,2,FALSE)), "Not Found", VLOOKUP(A1140,'Master List'!A:C,2,FALSE)))</f>
        <v>Name</v>
      </c>
      <c r="D1140" s="19" t="str">
        <f>IF(ISBLANK(A1140), "Email",IF(ISNA(VLOOKUP(A1140,'Master List'!A:C,3,FALSE)), "Not Found", VLOOKUP(A1140,'Master List'!A:C,3,FALSE)))</f>
        <v>Email</v>
      </c>
      <c r="F1140" s="4" t="str">
        <f>IF(OR(A1140="",E1140="","",A1140="?",E1140="?"),"duplicate?",IF(COUNTIFS($A:A,A1140,E:E,E1140)&gt;1,"yes","no"))</f>
        <v>duplicate?</v>
      </c>
      <c r="K1140" s="97" t="str">
        <f ca="1">IF(J1140="","Date",IF(J1140&lt;&gt;"",IF(K1140="Date",NOW(),K1140),""))</f>
        <v>Date</v>
      </c>
    </row>
    <row r="1141" spans="2:11">
      <c r="B1141" s="97" t="str">
        <f ca="1">IF(A1141="","Date",IF(A1141&lt;&gt;"",IF(B1141="Date",NOW(),B1141),""))</f>
        <v>Date</v>
      </c>
      <c r="C1141" s="19" t="str">
        <f>IF(ISBLANK(A1141),"Name",IF(ISNA(VLOOKUP(A1141,'Master List'!A:C,2,FALSE)), "Not Found", VLOOKUP(A1141,'Master List'!A:C,2,FALSE)))</f>
        <v>Name</v>
      </c>
      <c r="D1141" s="19" t="str">
        <f>IF(ISBLANK(A1141), "Email",IF(ISNA(VLOOKUP(A1141,'Master List'!A:C,3,FALSE)), "Not Found", VLOOKUP(A1141,'Master List'!A:C,3,FALSE)))</f>
        <v>Email</v>
      </c>
      <c r="F1141" s="4" t="str">
        <f>IF(OR(A1141="",E1141="","",A1141="?",E1141="?"),"duplicate?",IF(COUNTIFS($A:A,A1141,E:E,E1141)&gt;1,"yes","no"))</f>
        <v>duplicate?</v>
      </c>
      <c r="K1141" s="97" t="str">
        <f ca="1">IF(J1141="","Date",IF(J1141&lt;&gt;"",IF(K1141="Date",NOW(),K1141),""))</f>
        <v>Date</v>
      </c>
    </row>
    <row r="1142" spans="2:11">
      <c r="B1142" s="97" t="str">
        <f ca="1">IF(A1142="","Date",IF(A1142&lt;&gt;"",IF(B1142="Date",NOW(),B1142),""))</f>
        <v>Date</v>
      </c>
      <c r="C1142" s="19" t="str">
        <f>IF(ISBLANK(A1142),"Name",IF(ISNA(VLOOKUP(A1142,'Master List'!A:C,2,FALSE)), "Not Found", VLOOKUP(A1142,'Master List'!A:C,2,FALSE)))</f>
        <v>Name</v>
      </c>
      <c r="D1142" s="19" t="str">
        <f>IF(ISBLANK(A1142), "Email",IF(ISNA(VLOOKUP(A1142,'Master List'!A:C,3,FALSE)), "Not Found", VLOOKUP(A1142,'Master List'!A:C,3,FALSE)))</f>
        <v>Email</v>
      </c>
      <c r="F1142" s="4" t="str">
        <f>IF(OR(A1142="",E1142="","",A1142="?",E1142="?"),"duplicate?",IF(COUNTIFS($A:A,A1142,E:E,E1142)&gt;1,"yes","no"))</f>
        <v>duplicate?</v>
      </c>
      <c r="K1142" s="97" t="str">
        <f ca="1">IF(J1142="","Date",IF(J1142&lt;&gt;"",IF(K1142="Date",NOW(),K1142),""))</f>
        <v>Date</v>
      </c>
    </row>
    <row r="1143" spans="2:11">
      <c r="B1143" s="97" t="str">
        <f ca="1">IF(A1143="","Date",IF(A1143&lt;&gt;"",IF(B1143="Date",NOW(),B1143),""))</f>
        <v>Date</v>
      </c>
      <c r="C1143" s="19" t="str">
        <f>IF(ISBLANK(A1143),"Name",IF(ISNA(VLOOKUP(A1143,'Master List'!A:C,2,FALSE)), "Not Found", VLOOKUP(A1143,'Master List'!A:C,2,FALSE)))</f>
        <v>Name</v>
      </c>
      <c r="D1143" s="19" t="str">
        <f>IF(ISBLANK(A1143), "Email",IF(ISNA(VLOOKUP(A1143,'Master List'!A:C,3,FALSE)), "Not Found", VLOOKUP(A1143,'Master List'!A:C,3,FALSE)))</f>
        <v>Email</v>
      </c>
      <c r="F1143" s="4" t="str">
        <f>IF(OR(A1143="",E1143="","",A1143="?",E1143="?"),"duplicate?",IF(COUNTIFS($A:A,A1143,E:E,E1143)&gt;1,"yes","no"))</f>
        <v>duplicate?</v>
      </c>
      <c r="K1143" s="97" t="str">
        <f ca="1">IF(J1143="","Date",IF(J1143&lt;&gt;"",IF(K1143="Date",NOW(),K1143),""))</f>
        <v>Date</v>
      </c>
    </row>
    <row r="1144" spans="2:11">
      <c r="B1144" s="97" t="str">
        <f ca="1">IF(A1144="","Date",IF(A1144&lt;&gt;"",IF(B1144="Date",NOW(),B1144),""))</f>
        <v>Date</v>
      </c>
      <c r="C1144" s="19" t="str">
        <f>IF(ISBLANK(A1144),"Name",IF(ISNA(VLOOKUP(A1144,'Master List'!A:C,2,FALSE)), "Not Found", VLOOKUP(A1144,'Master List'!A:C,2,FALSE)))</f>
        <v>Name</v>
      </c>
      <c r="D1144" s="19" t="str">
        <f>IF(ISBLANK(A1144), "Email",IF(ISNA(VLOOKUP(A1144,'Master List'!A:C,3,FALSE)), "Not Found", VLOOKUP(A1144,'Master List'!A:C,3,FALSE)))</f>
        <v>Email</v>
      </c>
      <c r="F1144" s="4" t="str">
        <f>IF(OR(A1144="",E1144="","",A1144="?",E1144="?"),"duplicate?",IF(COUNTIFS($A:A,A1144,E:E,E1144)&gt;1,"yes","no"))</f>
        <v>duplicate?</v>
      </c>
      <c r="K1144" s="97" t="str">
        <f ca="1">IF(J1144="","Date",IF(J1144&lt;&gt;"",IF(K1144="Date",NOW(),K1144),""))</f>
        <v>Date</v>
      </c>
    </row>
    <row r="1145" spans="2:11">
      <c r="B1145" s="97" t="str">
        <f ca="1">IF(A1145="","Date",IF(A1145&lt;&gt;"",IF(B1145="Date",NOW(),B1145),""))</f>
        <v>Date</v>
      </c>
      <c r="C1145" s="19" t="str">
        <f>IF(ISBLANK(A1145),"Name",IF(ISNA(VLOOKUP(A1145,'Master List'!A:C,2,FALSE)), "Not Found", VLOOKUP(A1145,'Master List'!A:C,2,FALSE)))</f>
        <v>Name</v>
      </c>
      <c r="D1145" s="19" t="str">
        <f>IF(ISBLANK(A1145), "Email",IF(ISNA(VLOOKUP(A1145,'Master List'!A:C,3,FALSE)), "Not Found", VLOOKUP(A1145,'Master List'!A:C,3,FALSE)))</f>
        <v>Email</v>
      </c>
      <c r="F1145" s="4" t="str">
        <f>IF(OR(A1145="",E1145="","",A1145="?",E1145="?"),"duplicate?",IF(COUNTIFS($A:A,A1145,E:E,E1145)&gt;1,"yes","no"))</f>
        <v>duplicate?</v>
      </c>
      <c r="K1145" s="97" t="str">
        <f ca="1">IF(J1145="","Date",IF(J1145&lt;&gt;"",IF(K1145="Date",NOW(),K1145),""))</f>
        <v>Date</v>
      </c>
    </row>
    <row r="1146" spans="2:11">
      <c r="B1146" s="97" t="str">
        <f ca="1">IF(A1146="","Date",IF(A1146&lt;&gt;"",IF(B1146="Date",NOW(),B1146),""))</f>
        <v>Date</v>
      </c>
      <c r="C1146" s="19" t="str">
        <f>IF(ISBLANK(A1146),"Name",IF(ISNA(VLOOKUP(A1146,'Master List'!A:C,2,FALSE)), "Not Found", VLOOKUP(A1146,'Master List'!A:C,2,FALSE)))</f>
        <v>Name</v>
      </c>
      <c r="D1146" s="19" t="str">
        <f>IF(ISBLANK(A1146), "Email",IF(ISNA(VLOOKUP(A1146,'Master List'!A:C,3,FALSE)), "Not Found", VLOOKUP(A1146,'Master List'!A:C,3,FALSE)))</f>
        <v>Email</v>
      </c>
      <c r="F1146" s="4" t="str">
        <f>IF(OR(A1146="",E1146="","",A1146="?",E1146="?"),"duplicate?",IF(COUNTIFS($A:A,A1146,E:E,E1146)&gt;1,"yes","no"))</f>
        <v>duplicate?</v>
      </c>
      <c r="K1146" s="97" t="str">
        <f ca="1">IF(J1146="","Date",IF(J1146&lt;&gt;"",IF(K1146="Date",NOW(),K1146),""))</f>
        <v>Date</v>
      </c>
    </row>
    <row r="1147" spans="2:11">
      <c r="B1147" s="97" t="str">
        <f ca="1">IF(A1147="","Date",IF(A1147&lt;&gt;"",IF(B1147="Date",NOW(),B1147),""))</f>
        <v>Date</v>
      </c>
      <c r="C1147" s="19" t="str">
        <f>IF(ISBLANK(A1147),"Name",IF(ISNA(VLOOKUP(A1147,'Master List'!A:C,2,FALSE)), "Not Found", VLOOKUP(A1147,'Master List'!A:C,2,FALSE)))</f>
        <v>Name</v>
      </c>
      <c r="D1147" s="19" t="str">
        <f>IF(ISBLANK(A1147), "Email",IF(ISNA(VLOOKUP(A1147,'Master List'!A:C,3,FALSE)), "Not Found", VLOOKUP(A1147,'Master List'!A:C,3,FALSE)))</f>
        <v>Email</v>
      </c>
      <c r="F1147" s="4" t="str">
        <f>IF(OR(A1147="",E1147="","",A1147="?",E1147="?"),"duplicate?",IF(COUNTIFS($A:A,A1147,E:E,E1147)&gt;1,"yes","no"))</f>
        <v>duplicate?</v>
      </c>
      <c r="K1147" s="97" t="str">
        <f ca="1">IF(J1147="","Date",IF(J1147&lt;&gt;"",IF(K1147="Date",NOW(),K1147),""))</f>
        <v>Date</v>
      </c>
    </row>
    <row r="1148" spans="2:11">
      <c r="B1148" s="97" t="str">
        <f ca="1">IF(A1148="","Date",IF(A1148&lt;&gt;"",IF(B1148="Date",NOW(),B1148),""))</f>
        <v>Date</v>
      </c>
      <c r="C1148" s="19" t="str">
        <f>IF(ISBLANK(A1148),"Name",IF(ISNA(VLOOKUP(A1148,'Master List'!A:C,2,FALSE)), "Not Found", VLOOKUP(A1148,'Master List'!A:C,2,FALSE)))</f>
        <v>Name</v>
      </c>
      <c r="D1148" s="19" t="str">
        <f>IF(ISBLANK(A1148), "Email",IF(ISNA(VLOOKUP(A1148,'Master List'!A:C,3,FALSE)), "Not Found", VLOOKUP(A1148,'Master List'!A:C,3,FALSE)))</f>
        <v>Email</v>
      </c>
      <c r="F1148" s="4" t="str">
        <f>IF(OR(A1148="",E1148="","",A1148="?",E1148="?"),"duplicate?",IF(COUNTIFS($A:A,A1148,E:E,E1148)&gt;1,"yes","no"))</f>
        <v>duplicate?</v>
      </c>
      <c r="K1148" s="97" t="str">
        <f ca="1">IF(J1148="","Date",IF(J1148&lt;&gt;"",IF(K1148="Date",NOW(),K1148),""))</f>
        <v>Date</v>
      </c>
    </row>
    <row r="1149" spans="2:11">
      <c r="B1149" s="97" t="str">
        <f ca="1">IF(A1149="","Date",IF(A1149&lt;&gt;"",IF(B1149="Date",NOW(),B1149),""))</f>
        <v>Date</v>
      </c>
      <c r="C1149" s="19" t="str">
        <f>IF(ISBLANK(A1149),"Name",IF(ISNA(VLOOKUP(A1149,'Master List'!A:C,2,FALSE)), "Not Found", VLOOKUP(A1149,'Master List'!A:C,2,FALSE)))</f>
        <v>Name</v>
      </c>
      <c r="D1149" s="19" t="str">
        <f>IF(ISBLANK(A1149), "Email",IF(ISNA(VLOOKUP(A1149,'Master List'!A:C,3,FALSE)), "Not Found", VLOOKUP(A1149,'Master List'!A:C,3,FALSE)))</f>
        <v>Email</v>
      </c>
      <c r="F1149" s="4" t="str">
        <f>IF(OR(A1149="",E1149="","",A1149="?",E1149="?"),"duplicate?",IF(COUNTIFS($A:A,A1149,E:E,E1149)&gt;1,"yes","no"))</f>
        <v>duplicate?</v>
      </c>
      <c r="K1149" s="97" t="str">
        <f ca="1">IF(J1149="","Date",IF(J1149&lt;&gt;"",IF(K1149="Date",NOW(),K1149),""))</f>
        <v>Date</v>
      </c>
    </row>
    <row r="1150" spans="2:11">
      <c r="B1150" s="97" t="str">
        <f ca="1">IF(A1150="","Date",IF(A1150&lt;&gt;"",IF(B1150="Date",NOW(),B1150),""))</f>
        <v>Date</v>
      </c>
      <c r="C1150" s="19" t="str">
        <f>IF(ISBLANK(A1150),"Name",IF(ISNA(VLOOKUP(A1150,'Master List'!A:C,2,FALSE)), "Not Found", VLOOKUP(A1150,'Master List'!A:C,2,FALSE)))</f>
        <v>Name</v>
      </c>
      <c r="D1150" s="19" t="str">
        <f>IF(ISBLANK(A1150), "Email",IF(ISNA(VLOOKUP(A1150,'Master List'!A:C,3,FALSE)), "Not Found", VLOOKUP(A1150,'Master List'!A:C,3,FALSE)))</f>
        <v>Email</v>
      </c>
      <c r="F1150" s="4" t="str">
        <f>IF(OR(A1150="",E1150="","",A1150="?",E1150="?"),"duplicate?",IF(COUNTIFS($A:A,A1150,E:E,E1150)&gt;1,"yes","no"))</f>
        <v>duplicate?</v>
      </c>
      <c r="K1150" s="97" t="str">
        <f ca="1">IF(J1150="","Date",IF(J1150&lt;&gt;"",IF(K1150="Date",NOW(),K1150),""))</f>
        <v>Date</v>
      </c>
    </row>
    <row r="1151" spans="2:11">
      <c r="B1151" s="97" t="str">
        <f ca="1">IF(A1151="","Date",IF(A1151&lt;&gt;"",IF(B1151="Date",NOW(),B1151),""))</f>
        <v>Date</v>
      </c>
      <c r="C1151" s="19" t="str">
        <f>IF(ISBLANK(A1151),"Name",IF(ISNA(VLOOKUP(A1151,'Master List'!A:C,2,FALSE)), "Not Found", VLOOKUP(A1151,'Master List'!A:C,2,FALSE)))</f>
        <v>Name</v>
      </c>
      <c r="D1151" s="19" t="str">
        <f>IF(ISBLANK(A1151), "Email",IF(ISNA(VLOOKUP(A1151,'Master List'!A:C,3,FALSE)), "Not Found", VLOOKUP(A1151,'Master List'!A:C,3,FALSE)))</f>
        <v>Email</v>
      </c>
      <c r="F1151" s="4" t="str">
        <f>IF(OR(A1151="",E1151="","",A1151="?",E1151="?"),"duplicate?",IF(COUNTIFS($A:A,A1151,E:E,E1151)&gt;1,"yes","no"))</f>
        <v>duplicate?</v>
      </c>
      <c r="K1151" s="97" t="str">
        <f ca="1">IF(J1151="","Date",IF(J1151&lt;&gt;"",IF(K1151="Date",NOW(),K1151),""))</f>
        <v>Date</v>
      </c>
    </row>
    <row r="1152" spans="2:11">
      <c r="B1152" s="97" t="str">
        <f ca="1">IF(A1152="","Date",IF(A1152&lt;&gt;"",IF(B1152="Date",NOW(),B1152),""))</f>
        <v>Date</v>
      </c>
      <c r="C1152" s="19" t="str">
        <f>IF(ISBLANK(A1152),"Name",IF(ISNA(VLOOKUP(A1152,'Master List'!A:C,2,FALSE)), "Not Found", VLOOKUP(A1152,'Master List'!A:C,2,FALSE)))</f>
        <v>Name</v>
      </c>
      <c r="D1152" s="19" t="str">
        <f>IF(ISBLANK(A1152), "Email",IF(ISNA(VLOOKUP(A1152,'Master List'!A:C,3,FALSE)), "Not Found", VLOOKUP(A1152,'Master List'!A:C,3,FALSE)))</f>
        <v>Email</v>
      </c>
      <c r="F1152" s="4" t="str">
        <f>IF(OR(A1152="",E1152="","",A1152="?",E1152="?"),"duplicate?",IF(COUNTIFS($A:A,A1152,E:E,E1152)&gt;1,"yes","no"))</f>
        <v>duplicate?</v>
      </c>
      <c r="K1152" s="97" t="str">
        <f ca="1">IF(J1152="","Date",IF(J1152&lt;&gt;"",IF(K1152="Date",NOW(),K1152),""))</f>
        <v>Date</v>
      </c>
    </row>
    <row r="1153" spans="2:11">
      <c r="B1153" s="97" t="str">
        <f ca="1">IF(A1153="","Date",IF(A1153&lt;&gt;"",IF(B1153="Date",NOW(),B1153),""))</f>
        <v>Date</v>
      </c>
      <c r="C1153" s="19" t="str">
        <f>IF(ISBLANK(A1153),"Name",IF(ISNA(VLOOKUP(A1153,'Master List'!A:C,2,FALSE)), "Not Found", VLOOKUP(A1153,'Master List'!A:C,2,FALSE)))</f>
        <v>Name</v>
      </c>
      <c r="D1153" s="19" t="str">
        <f>IF(ISBLANK(A1153), "Email",IF(ISNA(VLOOKUP(A1153,'Master List'!A:C,3,FALSE)), "Not Found", VLOOKUP(A1153,'Master List'!A:C,3,FALSE)))</f>
        <v>Email</v>
      </c>
      <c r="F1153" s="4" t="str">
        <f>IF(OR(A1153="",E1153="","",A1153="?",E1153="?"),"duplicate?",IF(COUNTIFS($A:A,A1153,E:E,E1153)&gt;1,"yes","no"))</f>
        <v>duplicate?</v>
      </c>
      <c r="K1153" s="97" t="str">
        <f ca="1">IF(J1153="","Date",IF(J1153&lt;&gt;"",IF(K1153="Date",NOW(),K1153),""))</f>
        <v>Date</v>
      </c>
    </row>
    <row r="1154" spans="2:11">
      <c r="B1154" s="97" t="str">
        <f ca="1">IF(A1154="","Date",IF(A1154&lt;&gt;"",IF(B1154="Date",NOW(),B1154),""))</f>
        <v>Date</v>
      </c>
      <c r="C1154" s="19" t="str">
        <f>IF(ISBLANK(A1154),"Name",IF(ISNA(VLOOKUP(A1154,'Master List'!A:C,2,FALSE)), "Not Found", VLOOKUP(A1154,'Master List'!A:C,2,FALSE)))</f>
        <v>Name</v>
      </c>
      <c r="D1154" s="19" t="str">
        <f>IF(ISBLANK(A1154), "Email",IF(ISNA(VLOOKUP(A1154,'Master List'!A:C,3,FALSE)), "Not Found", VLOOKUP(A1154,'Master List'!A:C,3,FALSE)))</f>
        <v>Email</v>
      </c>
      <c r="F1154" s="4" t="str">
        <f>IF(OR(A1154="",E1154="","",A1154="?",E1154="?"),"duplicate?",IF(COUNTIFS($A:A,A1154,E:E,E1154)&gt;1,"yes","no"))</f>
        <v>duplicate?</v>
      </c>
      <c r="K1154" s="97" t="str">
        <f ca="1">IF(J1154="","Date",IF(J1154&lt;&gt;"",IF(K1154="Date",NOW(),K1154),""))</f>
        <v>Date</v>
      </c>
    </row>
    <row r="1155" spans="2:11">
      <c r="B1155" s="97" t="str">
        <f ca="1">IF(A1155="","Date",IF(A1155&lt;&gt;"",IF(B1155="Date",NOW(),B1155),""))</f>
        <v>Date</v>
      </c>
      <c r="C1155" s="19" t="str">
        <f>IF(ISBLANK(A1155),"Name",IF(ISNA(VLOOKUP(A1155,'Master List'!A:C,2,FALSE)), "Not Found", VLOOKUP(A1155,'Master List'!A:C,2,FALSE)))</f>
        <v>Name</v>
      </c>
      <c r="D1155" s="19" t="str">
        <f>IF(ISBLANK(A1155), "Email",IF(ISNA(VLOOKUP(A1155,'Master List'!A:C,3,FALSE)), "Not Found", VLOOKUP(A1155,'Master List'!A:C,3,FALSE)))</f>
        <v>Email</v>
      </c>
      <c r="F1155" s="4" t="str">
        <f>IF(OR(A1155="",E1155="","",A1155="?",E1155="?"),"duplicate?",IF(COUNTIFS($A:A,A1155,E:E,E1155)&gt;1,"yes","no"))</f>
        <v>duplicate?</v>
      </c>
      <c r="K1155" s="97" t="str">
        <f ca="1">IF(J1155="","Date",IF(J1155&lt;&gt;"",IF(K1155="Date",NOW(),K1155),""))</f>
        <v>Date</v>
      </c>
    </row>
    <row r="1156" spans="2:11">
      <c r="B1156" s="97" t="str">
        <f ca="1">IF(A1156="","Date",IF(A1156&lt;&gt;"",IF(B1156="Date",NOW(),B1156),""))</f>
        <v>Date</v>
      </c>
      <c r="C1156" s="19" t="str">
        <f>IF(ISBLANK(A1156),"Name",IF(ISNA(VLOOKUP(A1156,'Master List'!A:C,2,FALSE)), "Not Found", VLOOKUP(A1156,'Master List'!A:C,2,FALSE)))</f>
        <v>Name</v>
      </c>
      <c r="D1156" s="19" t="str">
        <f>IF(ISBLANK(A1156), "Email",IF(ISNA(VLOOKUP(A1156,'Master List'!A:C,3,FALSE)), "Not Found", VLOOKUP(A1156,'Master List'!A:C,3,FALSE)))</f>
        <v>Email</v>
      </c>
      <c r="F1156" s="4" t="str">
        <f>IF(OR(A1156="",E1156="","",A1156="?",E1156="?"),"duplicate?",IF(COUNTIFS($A:A,A1156,E:E,E1156)&gt;1,"yes","no"))</f>
        <v>duplicate?</v>
      </c>
      <c r="K1156" s="97" t="str">
        <f ca="1">IF(J1156="","Date",IF(J1156&lt;&gt;"",IF(K1156="Date",NOW(),K1156),""))</f>
        <v>Date</v>
      </c>
    </row>
    <row r="1157" spans="2:11">
      <c r="B1157" s="97" t="str">
        <f ca="1">IF(A1157="","Date",IF(A1157&lt;&gt;"",IF(B1157="Date",NOW(),B1157),""))</f>
        <v>Date</v>
      </c>
      <c r="C1157" s="19" t="str">
        <f>IF(ISBLANK(A1157),"Name",IF(ISNA(VLOOKUP(A1157,'Master List'!A:C,2,FALSE)), "Not Found", VLOOKUP(A1157,'Master List'!A:C,2,FALSE)))</f>
        <v>Name</v>
      </c>
      <c r="D1157" s="19" t="str">
        <f>IF(ISBLANK(A1157), "Email",IF(ISNA(VLOOKUP(A1157,'Master List'!A:C,3,FALSE)), "Not Found", VLOOKUP(A1157,'Master List'!A:C,3,FALSE)))</f>
        <v>Email</v>
      </c>
      <c r="F1157" s="4" t="str">
        <f>IF(OR(A1157="",E1157="","",A1157="?",E1157="?"),"duplicate?",IF(COUNTIFS($A:A,A1157,E:E,E1157)&gt;1,"yes","no"))</f>
        <v>duplicate?</v>
      </c>
      <c r="K1157" s="97" t="str">
        <f ca="1">IF(J1157="","Date",IF(J1157&lt;&gt;"",IF(K1157="Date",NOW(),K1157),""))</f>
        <v>Date</v>
      </c>
    </row>
    <row r="1158" spans="2:11">
      <c r="B1158" s="97" t="str">
        <f ca="1">IF(A1158="","Date",IF(A1158&lt;&gt;"",IF(B1158="Date",NOW(),B1158),""))</f>
        <v>Date</v>
      </c>
      <c r="C1158" s="19" t="str">
        <f>IF(ISBLANK(A1158),"Name",IF(ISNA(VLOOKUP(A1158,'Master List'!A:C,2,FALSE)), "Not Found", VLOOKUP(A1158,'Master List'!A:C,2,FALSE)))</f>
        <v>Name</v>
      </c>
      <c r="D1158" s="19" t="str">
        <f>IF(ISBLANK(A1158), "Email",IF(ISNA(VLOOKUP(A1158,'Master List'!A:C,3,FALSE)), "Not Found", VLOOKUP(A1158,'Master List'!A:C,3,FALSE)))</f>
        <v>Email</v>
      </c>
      <c r="F1158" s="4" t="str">
        <f>IF(OR(A1158="",E1158="","",A1158="?",E1158="?"),"duplicate?",IF(COUNTIFS($A:A,A1158,E:E,E1158)&gt;1,"yes","no"))</f>
        <v>duplicate?</v>
      </c>
      <c r="K1158" s="97" t="str">
        <f ca="1">IF(J1158="","Date",IF(J1158&lt;&gt;"",IF(K1158="Date",NOW(),K1158),""))</f>
        <v>Date</v>
      </c>
    </row>
    <row r="1159" spans="2:11">
      <c r="B1159" s="97" t="str">
        <f ca="1">IF(A1159="","Date",IF(A1159&lt;&gt;"",IF(B1159="Date",NOW(),B1159),""))</f>
        <v>Date</v>
      </c>
      <c r="C1159" s="19" t="str">
        <f>IF(ISBLANK(A1159),"Name",IF(ISNA(VLOOKUP(A1159,'Master List'!A:C,2,FALSE)), "Not Found", VLOOKUP(A1159,'Master List'!A:C,2,FALSE)))</f>
        <v>Name</v>
      </c>
      <c r="D1159" s="19" t="str">
        <f>IF(ISBLANK(A1159), "Email",IF(ISNA(VLOOKUP(A1159,'Master List'!A:C,3,FALSE)), "Not Found", VLOOKUP(A1159,'Master List'!A:C,3,FALSE)))</f>
        <v>Email</v>
      </c>
      <c r="F1159" s="4" t="str">
        <f>IF(OR(A1159="",E1159="","",A1159="?",E1159="?"),"duplicate?",IF(COUNTIFS($A:A,A1159,E:E,E1159)&gt;1,"yes","no"))</f>
        <v>duplicate?</v>
      </c>
      <c r="K1159" s="97" t="str">
        <f ca="1">IF(J1159="","Date",IF(J1159&lt;&gt;"",IF(K1159="Date",NOW(),K1159),""))</f>
        <v>Date</v>
      </c>
    </row>
    <row r="1160" spans="2:11">
      <c r="B1160" s="97" t="str">
        <f ca="1">IF(A1160="","Date",IF(A1160&lt;&gt;"",IF(B1160="Date",NOW(),B1160),""))</f>
        <v>Date</v>
      </c>
      <c r="C1160" s="19" t="str">
        <f>IF(ISBLANK(A1160),"Name",IF(ISNA(VLOOKUP(A1160,'Master List'!A:C,2,FALSE)), "Not Found", VLOOKUP(A1160,'Master List'!A:C,2,FALSE)))</f>
        <v>Name</v>
      </c>
      <c r="D1160" s="19" t="str">
        <f>IF(ISBLANK(A1160), "Email",IF(ISNA(VLOOKUP(A1160,'Master List'!A:C,3,FALSE)), "Not Found", VLOOKUP(A1160,'Master List'!A:C,3,FALSE)))</f>
        <v>Email</v>
      </c>
      <c r="F1160" s="4" t="str">
        <f>IF(OR(A1160="",E1160="","",A1160="?",E1160="?"),"duplicate?",IF(COUNTIFS($A:A,A1160,E:E,E1160)&gt;1,"yes","no"))</f>
        <v>duplicate?</v>
      </c>
      <c r="K1160" s="97" t="str">
        <f ca="1">IF(J1160="","Date",IF(J1160&lt;&gt;"",IF(K1160="Date",NOW(),K1160),""))</f>
        <v>Date</v>
      </c>
    </row>
    <row r="1161" spans="2:11">
      <c r="B1161" s="97" t="str">
        <f ca="1">IF(A1161="","Date",IF(A1161&lt;&gt;"",IF(B1161="Date",NOW(),B1161),""))</f>
        <v>Date</v>
      </c>
      <c r="C1161" s="19" t="str">
        <f>IF(ISBLANK(A1161),"Name",IF(ISNA(VLOOKUP(A1161,'Master List'!A:C,2,FALSE)), "Not Found", VLOOKUP(A1161,'Master List'!A:C,2,FALSE)))</f>
        <v>Name</v>
      </c>
      <c r="D1161" s="19" t="str">
        <f>IF(ISBLANK(A1161), "Email",IF(ISNA(VLOOKUP(A1161,'Master List'!A:C,3,FALSE)), "Not Found", VLOOKUP(A1161,'Master List'!A:C,3,FALSE)))</f>
        <v>Email</v>
      </c>
      <c r="F1161" s="4" t="str">
        <f>IF(OR(A1161="",E1161="","",A1161="?",E1161="?"),"duplicate?",IF(COUNTIFS($A:A,A1161,E:E,E1161)&gt;1,"yes","no"))</f>
        <v>duplicate?</v>
      </c>
      <c r="K1161" s="97" t="str">
        <f ca="1">IF(J1161="","Date",IF(J1161&lt;&gt;"",IF(K1161="Date",NOW(),K1161),""))</f>
        <v>Date</v>
      </c>
    </row>
    <row r="1162" spans="2:11">
      <c r="B1162" s="97" t="str">
        <f ca="1">IF(A1162="","Date",IF(A1162&lt;&gt;"",IF(B1162="Date",NOW(),B1162),""))</f>
        <v>Date</v>
      </c>
      <c r="C1162" s="19" t="str">
        <f>IF(ISBLANK(A1162),"Name",IF(ISNA(VLOOKUP(A1162,'Master List'!A:C,2,FALSE)), "Not Found", VLOOKUP(A1162,'Master List'!A:C,2,FALSE)))</f>
        <v>Name</v>
      </c>
      <c r="D1162" s="19" t="str">
        <f>IF(ISBLANK(A1162), "Email",IF(ISNA(VLOOKUP(A1162,'Master List'!A:C,3,FALSE)), "Not Found", VLOOKUP(A1162,'Master List'!A:C,3,FALSE)))</f>
        <v>Email</v>
      </c>
      <c r="F1162" s="4" t="str">
        <f>IF(OR(A1162="",E1162="","",A1162="?",E1162="?"),"duplicate?",IF(COUNTIFS($A:A,A1162,E:E,E1162)&gt;1,"yes","no"))</f>
        <v>duplicate?</v>
      </c>
      <c r="K1162" s="97" t="str">
        <f ca="1">IF(J1162="","Date",IF(J1162&lt;&gt;"",IF(K1162="Date",NOW(),K1162),""))</f>
        <v>Date</v>
      </c>
    </row>
    <row r="1163" spans="2:11">
      <c r="B1163" s="97" t="str">
        <f ca="1">IF(A1163="","Date",IF(A1163&lt;&gt;"",IF(B1163="Date",NOW(),B1163),""))</f>
        <v>Date</v>
      </c>
      <c r="C1163" s="19" t="str">
        <f>IF(ISBLANK(A1163),"Name",IF(ISNA(VLOOKUP(A1163,'Master List'!A:C,2,FALSE)), "Not Found", VLOOKUP(A1163,'Master List'!A:C,2,FALSE)))</f>
        <v>Name</v>
      </c>
      <c r="D1163" s="19" t="str">
        <f>IF(ISBLANK(A1163), "Email",IF(ISNA(VLOOKUP(A1163,'Master List'!A:C,3,FALSE)), "Not Found", VLOOKUP(A1163,'Master List'!A:C,3,FALSE)))</f>
        <v>Email</v>
      </c>
      <c r="F1163" s="4" t="str">
        <f>IF(OR(A1163="",E1163="","",A1163="?",E1163="?"),"duplicate?",IF(COUNTIFS($A:A,A1163,E:E,E1163)&gt;1,"yes","no"))</f>
        <v>duplicate?</v>
      </c>
      <c r="K1163" s="97" t="str">
        <f ca="1">IF(J1163="","Date",IF(J1163&lt;&gt;"",IF(K1163="Date",NOW(),K1163),""))</f>
        <v>Date</v>
      </c>
    </row>
    <row r="1164" spans="2:11">
      <c r="B1164" s="97" t="str">
        <f ca="1">IF(A1164="","Date",IF(A1164&lt;&gt;"",IF(B1164="Date",NOW(),B1164),""))</f>
        <v>Date</v>
      </c>
      <c r="C1164" s="19" t="str">
        <f>IF(ISBLANK(A1164),"Name",IF(ISNA(VLOOKUP(A1164,'Master List'!A:C,2,FALSE)), "Not Found", VLOOKUP(A1164,'Master List'!A:C,2,FALSE)))</f>
        <v>Name</v>
      </c>
      <c r="D1164" s="19" t="str">
        <f>IF(ISBLANK(A1164), "Email",IF(ISNA(VLOOKUP(A1164,'Master List'!A:C,3,FALSE)), "Not Found", VLOOKUP(A1164,'Master List'!A:C,3,FALSE)))</f>
        <v>Email</v>
      </c>
      <c r="F1164" s="4" t="str">
        <f>IF(OR(A1164="",E1164="","",A1164="?",E1164="?"),"duplicate?",IF(COUNTIFS($A:A,A1164,E:E,E1164)&gt;1,"yes","no"))</f>
        <v>duplicate?</v>
      </c>
      <c r="K1164" s="97" t="str">
        <f ca="1">IF(J1164="","Date",IF(J1164&lt;&gt;"",IF(K1164="Date",NOW(),K1164),""))</f>
        <v>Date</v>
      </c>
    </row>
    <row r="1165" spans="2:11">
      <c r="B1165" s="97" t="str">
        <f ca="1">IF(A1165="","Date",IF(A1165&lt;&gt;"",IF(B1165="Date",NOW(),B1165),""))</f>
        <v>Date</v>
      </c>
      <c r="C1165" s="19" t="str">
        <f>IF(ISBLANK(A1165),"Name",IF(ISNA(VLOOKUP(A1165,'Master List'!A:C,2,FALSE)), "Not Found", VLOOKUP(A1165,'Master List'!A:C,2,FALSE)))</f>
        <v>Name</v>
      </c>
      <c r="D1165" s="19" t="str">
        <f>IF(ISBLANK(A1165), "Email",IF(ISNA(VLOOKUP(A1165,'Master List'!A:C,3,FALSE)), "Not Found", VLOOKUP(A1165,'Master List'!A:C,3,FALSE)))</f>
        <v>Email</v>
      </c>
      <c r="F1165" s="4" t="str">
        <f>IF(OR(A1165="",E1165="","",A1165="?",E1165="?"),"duplicate?",IF(COUNTIFS($A:A,A1165,E:E,E1165)&gt;1,"yes","no"))</f>
        <v>duplicate?</v>
      </c>
      <c r="K1165" s="97" t="str">
        <f ca="1">IF(J1165="","Date",IF(J1165&lt;&gt;"",IF(K1165="Date",NOW(),K1165),""))</f>
        <v>Date</v>
      </c>
    </row>
    <row r="1166" spans="2:11">
      <c r="B1166" s="97" t="str">
        <f ca="1">IF(A1166="","Date",IF(A1166&lt;&gt;"",IF(B1166="Date",NOW(),B1166),""))</f>
        <v>Date</v>
      </c>
      <c r="C1166" s="19" t="str">
        <f>IF(ISBLANK(A1166),"Name",IF(ISNA(VLOOKUP(A1166,'Master List'!A:C,2,FALSE)), "Not Found", VLOOKUP(A1166,'Master List'!A:C,2,FALSE)))</f>
        <v>Name</v>
      </c>
      <c r="D1166" s="19" t="str">
        <f>IF(ISBLANK(A1166), "Email",IF(ISNA(VLOOKUP(A1166,'Master List'!A:C,3,FALSE)), "Not Found", VLOOKUP(A1166,'Master List'!A:C,3,FALSE)))</f>
        <v>Email</v>
      </c>
      <c r="F1166" s="4" t="str">
        <f>IF(OR(A1166="",E1166="","",A1166="?",E1166="?"),"duplicate?",IF(COUNTIFS($A:A,A1166,E:E,E1166)&gt;1,"yes","no"))</f>
        <v>duplicate?</v>
      </c>
      <c r="K1166" s="97" t="str">
        <f ca="1">IF(J1166="","Date",IF(J1166&lt;&gt;"",IF(K1166="Date",NOW(),K1166),""))</f>
        <v>Date</v>
      </c>
    </row>
    <row r="1167" spans="2:11">
      <c r="B1167" s="97" t="str">
        <f ca="1">IF(A1167="","Date",IF(A1167&lt;&gt;"",IF(B1167="Date",NOW(),B1167),""))</f>
        <v>Date</v>
      </c>
      <c r="C1167" s="19" t="str">
        <f>IF(ISBLANK(A1167),"Name",IF(ISNA(VLOOKUP(A1167,'Master List'!A:C,2,FALSE)), "Not Found", VLOOKUP(A1167,'Master List'!A:C,2,FALSE)))</f>
        <v>Name</v>
      </c>
      <c r="D1167" s="19" t="str">
        <f>IF(ISBLANK(A1167), "Email",IF(ISNA(VLOOKUP(A1167,'Master List'!A:C,3,FALSE)), "Not Found", VLOOKUP(A1167,'Master List'!A:C,3,FALSE)))</f>
        <v>Email</v>
      </c>
      <c r="F1167" s="4" t="str">
        <f>IF(OR(A1167="",E1167="","",A1167="?",E1167="?"),"duplicate?",IF(COUNTIFS($A:A,A1167,E:E,E1167)&gt;1,"yes","no"))</f>
        <v>duplicate?</v>
      </c>
      <c r="K1167" s="97" t="str">
        <f ca="1">IF(J1167="","Date",IF(J1167&lt;&gt;"",IF(K1167="Date",NOW(),K1167),""))</f>
        <v>Date</v>
      </c>
    </row>
    <row r="1168" spans="2:11">
      <c r="B1168" s="97" t="str">
        <f ca="1">IF(A1168="","Date",IF(A1168&lt;&gt;"",IF(B1168="Date",NOW(),B1168),""))</f>
        <v>Date</v>
      </c>
      <c r="C1168" s="19" t="str">
        <f>IF(ISBLANK(A1168),"Name",IF(ISNA(VLOOKUP(A1168,'Master List'!A:C,2,FALSE)), "Not Found", VLOOKUP(A1168,'Master List'!A:C,2,FALSE)))</f>
        <v>Name</v>
      </c>
      <c r="D1168" s="19" t="str">
        <f>IF(ISBLANK(A1168), "Email",IF(ISNA(VLOOKUP(A1168,'Master List'!A:C,3,FALSE)), "Not Found", VLOOKUP(A1168,'Master List'!A:C,3,FALSE)))</f>
        <v>Email</v>
      </c>
      <c r="F1168" s="4" t="str">
        <f>IF(OR(A1168="",E1168="","",A1168="?",E1168="?"),"duplicate?",IF(COUNTIFS($A:A,A1168,E:E,E1168)&gt;1,"yes","no"))</f>
        <v>duplicate?</v>
      </c>
      <c r="K1168" s="97" t="str">
        <f ca="1">IF(J1168="","Date",IF(J1168&lt;&gt;"",IF(K1168="Date",NOW(),K1168),""))</f>
        <v>Date</v>
      </c>
    </row>
    <row r="1169" spans="2:11">
      <c r="B1169" s="97" t="str">
        <f ca="1">IF(A1169="","Date",IF(A1169&lt;&gt;"",IF(B1169="Date",NOW(),B1169),""))</f>
        <v>Date</v>
      </c>
      <c r="C1169" s="19" t="str">
        <f>IF(ISBLANK(A1169),"Name",IF(ISNA(VLOOKUP(A1169,'Master List'!A:C,2,FALSE)), "Not Found", VLOOKUP(A1169,'Master List'!A:C,2,FALSE)))</f>
        <v>Name</v>
      </c>
      <c r="D1169" s="19" t="str">
        <f>IF(ISBLANK(A1169), "Email",IF(ISNA(VLOOKUP(A1169,'Master List'!A:C,3,FALSE)), "Not Found", VLOOKUP(A1169,'Master List'!A:C,3,FALSE)))</f>
        <v>Email</v>
      </c>
      <c r="F1169" s="4" t="str">
        <f>IF(OR(A1169="",E1169="","",A1169="?",E1169="?"),"duplicate?",IF(COUNTIFS($A:A,A1169,E:E,E1169)&gt;1,"yes","no"))</f>
        <v>duplicate?</v>
      </c>
      <c r="K1169" s="97" t="str">
        <f ca="1">IF(J1169="","Date",IF(J1169&lt;&gt;"",IF(K1169="Date",NOW(),K1169),""))</f>
        <v>Date</v>
      </c>
    </row>
    <row r="1170" spans="2:11">
      <c r="B1170" s="97" t="str">
        <f ca="1">IF(A1170="","Date",IF(A1170&lt;&gt;"",IF(B1170="Date",NOW(),B1170),""))</f>
        <v>Date</v>
      </c>
      <c r="C1170" s="19" t="str">
        <f>IF(ISBLANK(A1170),"Name",IF(ISNA(VLOOKUP(A1170,'Master List'!A:C,2,FALSE)), "Not Found", VLOOKUP(A1170,'Master List'!A:C,2,FALSE)))</f>
        <v>Name</v>
      </c>
      <c r="D1170" s="19" t="str">
        <f>IF(ISBLANK(A1170), "Email",IF(ISNA(VLOOKUP(A1170,'Master List'!A:C,3,FALSE)), "Not Found", VLOOKUP(A1170,'Master List'!A:C,3,FALSE)))</f>
        <v>Email</v>
      </c>
      <c r="F1170" s="4" t="str">
        <f>IF(OR(A1170="",E1170="","",A1170="?",E1170="?"),"duplicate?",IF(COUNTIFS($A:A,A1170,E:E,E1170)&gt;1,"yes","no"))</f>
        <v>duplicate?</v>
      </c>
      <c r="K1170" s="97" t="str">
        <f ca="1">IF(J1170="","Date",IF(J1170&lt;&gt;"",IF(K1170="Date",NOW(),K1170),""))</f>
        <v>Date</v>
      </c>
    </row>
    <row r="1171" spans="2:11">
      <c r="B1171" s="97" t="str">
        <f ca="1">IF(A1171="","Date",IF(A1171&lt;&gt;"",IF(B1171="Date",NOW(),B1171),""))</f>
        <v>Date</v>
      </c>
      <c r="C1171" s="19" t="str">
        <f>IF(ISBLANK(A1171),"Name",IF(ISNA(VLOOKUP(A1171,'Master List'!A:C,2,FALSE)), "Not Found", VLOOKUP(A1171,'Master List'!A:C,2,FALSE)))</f>
        <v>Name</v>
      </c>
      <c r="D1171" s="19" t="str">
        <f>IF(ISBLANK(A1171), "Email",IF(ISNA(VLOOKUP(A1171,'Master List'!A:C,3,FALSE)), "Not Found", VLOOKUP(A1171,'Master List'!A:C,3,FALSE)))</f>
        <v>Email</v>
      </c>
      <c r="F1171" s="4" t="str">
        <f>IF(OR(A1171="",E1171="","",A1171="?",E1171="?"),"duplicate?",IF(COUNTIFS($A:A,A1171,E:E,E1171)&gt;1,"yes","no"))</f>
        <v>duplicate?</v>
      </c>
      <c r="K1171" s="97" t="str">
        <f ca="1">IF(J1171="","Date",IF(J1171&lt;&gt;"",IF(K1171="Date",NOW(),K1171),""))</f>
        <v>Date</v>
      </c>
    </row>
    <row r="1172" spans="2:11">
      <c r="B1172" s="97" t="str">
        <f ca="1">IF(A1172="","Date",IF(A1172&lt;&gt;"",IF(B1172="Date",NOW(),B1172),""))</f>
        <v>Date</v>
      </c>
      <c r="C1172" s="19" t="str">
        <f>IF(ISBLANK(A1172),"Name",IF(ISNA(VLOOKUP(A1172,'Master List'!A:C,2,FALSE)), "Not Found", VLOOKUP(A1172,'Master List'!A:C,2,FALSE)))</f>
        <v>Name</v>
      </c>
      <c r="D1172" s="19" t="str">
        <f>IF(ISBLANK(A1172), "Email",IF(ISNA(VLOOKUP(A1172,'Master List'!A:C,3,FALSE)), "Not Found", VLOOKUP(A1172,'Master List'!A:C,3,FALSE)))</f>
        <v>Email</v>
      </c>
      <c r="F1172" s="4" t="str">
        <f>IF(OR(A1172="",E1172="","",A1172="?",E1172="?"),"duplicate?",IF(COUNTIFS($A:A,A1172,E:E,E1172)&gt;1,"yes","no"))</f>
        <v>duplicate?</v>
      </c>
      <c r="K1172" s="97" t="str">
        <f ca="1">IF(J1172="","Date",IF(J1172&lt;&gt;"",IF(K1172="Date",NOW(),K1172),""))</f>
        <v>Date</v>
      </c>
    </row>
    <row r="1173" spans="2:11">
      <c r="B1173" s="97" t="str">
        <f ca="1">IF(A1173="","Date",IF(A1173&lt;&gt;"",IF(B1173="Date",NOW(),B1173),""))</f>
        <v>Date</v>
      </c>
      <c r="C1173" s="19" t="str">
        <f>IF(ISBLANK(A1173),"Name",IF(ISNA(VLOOKUP(A1173,'Master List'!A:C,2,FALSE)), "Not Found", VLOOKUP(A1173,'Master List'!A:C,2,FALSE)))</f>
        <v>Name</v>
      </c>
      <c r="D1173" s="19" t="str">
        <f>IF(ISBLANK(A1173), "Email",IF(ISNA(VLOOKUP(A1173,'Master List'!A:C,3,FALSE)), "Not Found", VLOOKUP(A1173,'Master List'!A:C,3,FALSE)))</f>
        <v>Email</v>
      </c>
      <c r="F1173" s="4" t="str">
        <f>IF(OR(A1173="",E1173="","",A1173="?",E1173="?"),"duplicate?",IF(COUNTIFS($A:A,A1173,E:E,E1173)&gt;1,"yes","no"))</f>
        <v>duplicate?</v>
      </c>
      <c r="K1173" s="97" t="str">
        <f ca="1">IF(J1173="","Date",IF(J1173&lt;&gt;"",IF(K1173="Date",NOW(),K1173),""))</f>
        <v>Date</v>
      </c>
    </row>
    <row r="1174" spans="2:11">
      <c r="B1174" s="97" t="str">
        <f ca="1">IF(A1174="","Date",IF(A1174&lt;&gt;"",IF(B1174="Date",NOW(),B1174),""))</f>
        <v>Date</v>
      </c>
      <c r="C1174" s="19" t="str">
        <f>IF(ISBLANK(A1174),"Name",IF(ISNA(VLOOKUP(A1174,'Master List'!A:C,2,FALSE)), "Not Found", VLOOKUP(A1174,'Master List'!A:C,2,FALSE)))</f>
        <v>Name</v>
      </c>
      <c r="D1174" s="19" t="str">
        <f>IF(ISBLANK(A1174), "Email",IF(ISNA(VLOOKUP(A1174,'Master List'!A:C,3,FALSE)), "Not Found", VLOOKUP(A1174,'Master List'!A:C,3,FALSE)))</f>
        <v>Email</v>
      </c>
      <c r="F1174" s="4" t="str">
        <f>IF(OR(A1174="",E1174="","",A1174="?",E1174="?"),"duplicate?",IF(COUNTIFS($A:A,A1174,E:E,E1174)&gt;1,"yes","no"))</f>
        <v>duplicate?</v>
      </c>
      <c r="K1174" s="97" t="str">
        <f ca="1">IF(J1174="","Date",IF(J1174&lt;&gt;"",IF(K1174="Date",NOW(),K1174),""))</f>
        <v>Date</v>
      </c>
    </row>
    <row r="1175" spans="2:11">
      <c r="B1175" s="97" t="str">
        <f ca="1">IF(A1175="","Date",IF(A1175&lt;&gt;"",IF(B1175="Date",NOW(),B1175),""))</f>
        <v>Date</v>
      </c>
      <c r="C1175" s="19" t="str">
        <f>IF(ISBLANK(A1175),"Name",IF(ISNA(VLOOKUP(A1175,'Master List'!A:C,2,FALSE)), "Not Found", VLOOKUP(A1175,'Master List'!A:C,2,FALSE)))</f>
        <v>Name</v>
      </c>
      <c r="D1175" s="19" t="str">
        <f>IF(ISBLANK(A1175), "Email",IF(ISNA(VLOOKUP(A1175,'Master List'!A:C,3,FALSE)), "Not Found", VLOOKUP(A1175,'Master List'!A:C,3,FALSE)))</f>
        <v>Email</v>
      </c>
      <c r="F1175" s="4" t="str">
        <f>IF(OR(A1175="",E1175="","",A1175="?",E1175="?"),"duplicate?",IF(COUNTIFS($A:A,A1175,E:E,E1175)&gt;1,"yes","no"))</f>
        <v>duplicate?</v>
      </c>
      <c r="K1175" s="97" t="str">
        <f ca="1">IF(J1175="","Date",IF(J1175&lt;&gt;"",IF(K1175="Date",NOW(),K1175),""))</f>
        <v>Date</v>
      </c>
    </row>
    <row r="1176" spans="2:11">
      <c r="B1176" s="97" t="str">
        <f ca="1">IF(A1176="","Date",IF(A1176&lt;&gt;"",IF(B1176="Date",NOW(),B1176),""))</f>
        <v>Date</v>
      </c>
      <c r="C1176" s="19" t="str">
        <f>IF(ISBLANK(A1176),"Name",IF(ISNA(VLOOKUP(A1176,'Master List'!A:C,2,FALSE)), "Not Found", VLOOKUP(A1176,'Master List'!A:C,2,FALSE)))</f>
        <v>Name</v>
      </c>
      <c r="D1176" s="19" t="str">
        <f>IF(ISBLANK(A1176), "Email",IF(ISNA(VLOOKUP(A1176,'Master List'!A:C,3,FALSE)), "Not Found", VLOOKUP(A1176,'Master List'!A:C,3,FALSE)))</f>
        <v>Email</v>
      </c>
      <c r="F1176" s="4" t="str">
        <f>IF(OR(A1176="",E1176="","",A1176="?",E1176="?"),"duplicate?",IF(COUNTIFS($A:A,A1176,E:E,E1176)&gt;1,"yes","no"))</f>
        <v>duplicate?</v>
      </c>
      <c r="K1176" s="97" t="str">
        <f ca="1">IF(J1176="","Date",IF(J1176&lt;&gt;"",IF(K1176="Date",NOW(),K1176),""))</f>
        <v>Date</v>
      </c>
    </row>
    <row r="1177" spans="2:11">
      <c r="B1177" s="97" t="str">
        <f ca="1">IF(A1177="","Date",IF(A1177&lt;&gt;"",IF(B1177="Date",NOW(),B1177),""))</f>
        <v>Date</v>
      </c>
      <c r="C1177" s="19" t="str">
        <f>IF(ISBLANK(A1177),"Name",IF(ISNA(VLOOKUP(A1177,'Master List'!A:C,2,FALSE)), "Not Found", VLOOKUP(A1177,'Master List'!A:C,2,FALSE)))</f>
        <v>Name</v>
      </c>
      <c r="D1177" s="19" t="str">
        <f>IF(ISBLANK(A1177), "Email",IF(ISNA(VLOOKUP(A1177,'Master List'!A:C,3,FALSE)), "Not Found", VLOOKUP(A1177,'Master List'!A:C,3,FALSE)))</f>
        <v>Email</v>
      </c>
      <c r="F1177" s="4" t="str">
        <f>IF(OR(A1177="",E1177="","",A1177="?",E1177="?"),"duplicate?",IF(COUNTIFS($A:A,A1177,E:E,E1177)&gt;1,"yes","no"))</f>
        <v>duplicate?</v>
      </c>
      <c r="K1177" s="97" t="str">
        <f ca="1">IF(J1177="","Date",IF(J1177&lt;&gt;"",IF(K1177="Date",NOW(),K1177),""))</f>
        <v>Date</v>
      </c>
    </row>
    <row r="1178" spans="2:11">
      <c r="B1178" s="97" t="str">
        <f ca="1">IF(A1178="","Date",IF(A1178&lt;&gt;"",IF(B1178="Date",NOW(),B1178),""))</f>
        <v>Date</v>
      </c>
      <c r="C1178" s="19" t="str">
        <f>IF(ISBLANK(A1178),"Name",IF(ISNA(VLOOKUP(A1178,'Master List'!A:C,2,FALSE)), "Not Found", VLOOKUP(A1178,'Master List'!A:C,2,FALSE)))</f>
        <v>Name</v>
      </c>
      <c r="D1178" s="19" t="str">
        <f>IF(ISBLANK(A1178), "Email",IF(ISNA(VLOOKUP(A1178,'Master List'!A:C,3,FALSE)), "Not Found", VLOOKUP(A1178,'Master List'!A:C,3,FALSE)))</f>
        <v>Email</v>
      </c>
      <c r="F1178" s="4" t="str">
        <f>IF(OR(A1178="",E1178="","",A1178="?",E1178="?"),"duplicate?",IF(COUNTIFS($A:A,A1178,E:E,E1178)&gt;1,"yes","no"))</f>
        <v>duplicate?</v>
      </c>
      <c r="K1178" s="97" t="str">
        <f ca="1">IF(J1178="","Date",IF(J1178&lt;&gt;"",IF(K1178="Date",NOW(),K1178),""))</f>
        <v>Date</v>
      </c>
    </row>
    <row r="1179" spans="2:11">
      <c r="B1179" s="97" t="str">
        <f ca="1">IF(A1179="","Date",IF(A1179&lt;&gt;"",IF(B1179="Date",NOW(),B1179),""))</f>
        <v>Date</v>
      </c>
      <c r="C1179" s="19" t="str">
        <f>IF(ISBLANK(A1179),"Name",IF(ISNA(VLOOKUP(A1179,'Master List'!A:C,2,FALSE)), "Not Found", VLOOKUP(A1179,'Master List'!A:C,2,FALSE)))</f>
        <v>Name</v>
      </c>
      <c r="D1179" s="19" t="str">
        <f>IF(ISBLANK(A1179), "Email",IF(ISNA(VLOOKUP(A1179,'Master List'!A:C,3,FALSE)), "Not Found", VLOOKUP(A1179,'Master List'!A:C,3,FALSE)))</f>
        <v>Email</v>
      </c>
      <c r="F1179" s="4" t="str">
        <f>IF(OR(A1179="",E1179="","",A1179="?",E1179="?"),"duplicate?",IF(COUNTIFS($A:A,A1179,E:E,E1179)&gt;1,"yes","no"))</f>
        <v>duplicate?</v>
      </c>
      <c r="K1179" s="97" t="str">
        <f ca="1">IF(J1179="","Date",IF(J1179&lt;&gt;"",IF(K1179="Date",NOW(),K1179),""))</f>
        <v>Date</v>
      </c>
    </row>
    <row r="1180" spans="2:11">
      <c r="B1180" s="97" t="str">
        <f ca="1">IF(A1180="","Date",IF(A1180&lt;&gt;"",IF(B1180="Date",NOW(),B1180),""))</f>
        <v>Date</v>
      </c>
      <c r="C1180" s="19" t="str">
        <f>IF(ISBLANK(A1180),"Name",IF(ISNA(VLOOKUP(A1180,'Master List'!A:C,2,FALSE)), "Not Found", VLOOKUP(A1180,'Master List'!A:C,2,FALSE)))</f>
        <v>Name</v>
      </c>
      <c r="D1180" s="19" t="str">
        <f>IF(ISBLANK(A1180), "Email",IF(ISNA(VLOOKUP(A1180,'Master List'!A:C,3,FALSE)), "Not Found", VLOOKUP(A1180,'Master List'!A:C,3,FALSE)))</f>
        <v>Email</v>
      </c>
      <c r="F1180" s="4" t="str">
        <f>IF(OR(A1180="",E1180="","",A1180="?",E1180="?"),"duplicate?",IF(COUNTIFS($A:A,A1180,E:E,E1180)&gt;1,"yes","no"))</f>
        <v>duplicate?</v>
      </c>
      <c r="K1180" s="97" t="str">
        <f ca="1">IF(J1180="","Date",IF(J1180&lt;&gt;"",IF(K1180="Date",NOW(),K1180),""))</f>
        <v>Date</v>
      </c>
    </row>
    <row r="1181" spans="2:11">
      <c r="B1181" s="97" t="str">
        <f ca="1">IF(A1181="","Date",IF(A1181&lt;&gt;"",IF(B1181="Date",NOW(),B1181),""))</f>
        <v>Date</v>
      </c>
      <c r="C1181" s="19" t="str">
        <f>IF(ISBLANK(A1181),"Name",IF(ISNA(VLOOKUP(A1181,'Master List'!A:C,2,FALSE)), "Not Found", VLOOKUP(A1181,'Master List'!A:C,2,FALSE)))</f>
        <v>Name</v>
      </c>
      <c r="D1181" s="19" t="str">
        <f>IF(ISBLANK(A1181), "Email",IF(ISNA(VLOOKUP(A1181,'Master List'!A:C,3,FALSE)), "Not Found", VLOOKUP(A1181,'Master List'!A:C,3,FALSE)))</f>
        <v>Email</v>
      </c>
      <c r="F1181" s="4" t="str">
        <f>IF(OR(A1181="",E1181="","",A1181="?",E1181="?"),"duplicate?",IF(COUNTIFS($A:A,A1181,E:E,E1181)&gt;1,"yes","no"))</f>
        <v>duplicate?</v>
      </c>
      <c r="K1181" s="97" t="str">
        <f ca="1">IF(J1181="","Date",IF(J1181&lt;&gt;"",IF(K1181="Date",NOW(),K1181),""))</f>
        <v>Date</v>
      </c>
    </row>
    <row r="1182" spans="2:11">
      <c r="B1182" s="97" t="str">
        <f ca="1">IF(A1182="","Date",IF(A1182&lt;&gt;"",IF(B1182="Date",NOW(),B1182),""))</f>
        <v>Date</v>
      </c>
      <c r="C1182" s="19" t="str">
        <f>IF(ISBLANK(A1182),"Name",IF(ISNA(VLOOKUP(A1182,'Master List'!A:C,2,FALSE)), "Not Found", VLOOKUP(A1182,'Master List'!A:C,2,FALSE)))</f>
        <v>Name</v>
      </c>
      <c r="D1182" s="19" t="str">
        <f>IF(ISBLANK(A1182), "Email",IF(ISNA(VLOOKUP(A1182,'Master List'!A:C,3,FALSE)), "Not Found", VLOOKUP(A1182,'Master List'!A:C,3,FALSE)))</f>
        <v>Email</v>
      </c>
      <c r="F1182" s="4" t="str">
        <f>IF(OR(A1182="",E1182="","",A1182="?",E1182="?"),"duplicate?",IF(COUNTIFS($A:A,A1182,E:E,E1182)&gt;1,"yes","no"))</f>
        <v>duplicate?</v>
      </c>
      <c r="K1182" s="97" t="str">
        <f ca="1">IF(J1182="","Date",IF(J1182&lt;&gt;"",IF(K1182="Date",NOW(),K1182),""))</f>
        <v>Date</v>
      </c>
    </row>
    <row r="1183" spans="2:11">
      <c r="B1183" s="97" t="str">
        <f ca="1">IF(A1183="","Date",IF(A1183&lt;&gt;"",IF(B1183="Date",NOW(),B1183),""))</f>
        <v>Date</v>
      </c>
      <c r="C1183" s="19" t="str">
        <f>IF(ISBLANK(A1183),"Name",IF(ISNA(VLOOKUP(A1183,'Master List'!A:C,2,FALSE)), "Not Found", VLOOKUP(A1183,'Master List'!A:C,2,FALSE)))</f>
        <v>Name</v>
      </c>
      <c r="D1183" s="19" t="str">
        <f>IF(ISBLANK(A1183), "Email",IF(ISNA(VLOOKUP(A1183,'Master List'!A:C,3,FALSE)), "Not Found", VLOOKUP(A1183,'Master List'!A:C,3,FALSE)))</f>
        <v>Email</v>
      </c>
      <c r="F1183" s="4" t="str">
        <f>IF(OR(A1183="",E1183="","",A1183="?",E1183="?"),"duplicate?",IF(COUNTIFS($A:A,A1183,E:E,E1183)&gt;1,"yes","no"))</f>
        <v>duplicate?</v>
      </c>
      <c r="K1183" s="97" t="str">
        <f ca="1">IF(J1183="","Date",IF(J1183&lt;&gt;"",IF(K1183="Date",NOW(),K1183),""))</f>
        <v>Date</v>
      </c>
    </row>
    <row r="1184" spans="2:11">
      <c r="B1184" s="97" t="str">
        <f ca="1">IF(A1184="","Date",IF(A1184&lt;&gt;"",IF(B1184="Date",NOW(),B1184),""))</f>
        <v>Date</v>
      </c>
      <c r="C1184" s="19" t="str">
        <f>IF(ISBLANK(A1184),"Name",IF(ISNA(VLOOKUP(A1184,'Master List'!A:C,2,FALSE)), "Not Found", VLOOKUP(A1184,'Master List'!A:C,2,FALSE)))</f>
        <v>Name</v>
      </c>
      <c r="D1184" s="19" t="str">
        <f>IF(ISBLANK(A1184), "Email",IF(ISNA(VLOOKUP(A1184,'Master List'!A:C,3,FALSE)), "Not Found", VLOOKUP(A1184,'Master List'!A:C,3,FALSE)))</f>
        <v>Email</v>
      </c>
      <c r="F1184" s="4" t="str">
        <f>IF(OR(A1184="",E1184="","",A1184="?",E1184="?"),"duplicate?",IF(COUNTIFS($A:A,A1184,E:E,E1184)&gt;1,"yes","no"))</f>
        <v>duplicate?</v>
      </c>
      <c r="K1184" s="97" t="str">
        <f ca="1">IF(J1184="","Date",IF(J1184&lt;&gt;"",IF(K1184="Date",NOW(),K1184),""))</f>
        <v>Date</v>
      </c>
    </row>
    <row r="1185" spans="2:11">
      <c r="B1185" s="97" t="str">
        <f ca="1">IF(A1185="","Date",IF(A1185&lt;&gt;"",IF(B1185="Date",NOW(),B1185),""))</f>
        <v>Date</v>
      </c>
      <c r="C1185" s="19" t="str">
        <f>IF(ISBLANK(A1185),"Name",IF(ISNA(VLOOKUP(A1185,'Master List'!A:C,2,FALSE)), "Not Found", VLOOKUP(A1185,'Master List'!A:C,2,FALSE)))</f>
        <v>Name</v>
      </c>
      <c r="D1185" s="19" t="str">
        <f>IF(ISBLANK(A1185), "Email",IF(ISNA(VLOOKUP(A1185,'Master List'!A:C,3,FALSE)), "Not Found", VLOOKUP(A1185,'Master List'!A:C,3,FALSE)))</f>
        <v>Email</v>
      </c>
      <c r="F1185" s="4" t="str">
        <f>IF(OR(A1185="",E1185="","",A1185="?",E1185="?"),"duplicate?",IF(COUNTIFS($A:A,A1185,E:E,E1185)&gt;1,"yes","no"))</f>
        <v>duplicate?</v>
      </c>
      <c r="K1185" s="97" t="str">
        <f ca="1">IF(J1185="","Date",IF(J1185&lt;&gt;"",IF(K1185="Date",NOW(),K1185),""))</f>
        <v>Date</v>
      </c>
    </row>
    <row r="1186" spans="2:11">
      <c r="B1186" s="97" t="str">
        <f ca="1">IF(A1186="","Date",IF(A1186&lt;&gt;"",IF(B1186="Date",NOW(),B1186),""))</f>
        <v>Date</v>
      </c>
      <c r="C1186" s="19" t="str">
        <f>IF(ISBLANK(A1186),"Name",IF(ISNA(VLOOKUP(A1186,'Master List'!A:C,2,FALSE)), "Not Found", VLOOKUP(A1186,'Master List'!A:C,2,FALSE)))</f>
        <v>Name</v>
      </c>
      <c r="D1186" s="19" t="str">
        <f>IF(ISBLANK(A1186), "Email",IF(ISNA(VLOOKUP(A1186,'Master List'!A:C,3,FALSE)), "Not Found", VLOOKUP(A1186,'Master List'!A:C,3,FALSE)))</f>
        <v>Email</v>
      </c>
      <c r="F1186" s="4" t="str">
        <f>IF(OR(A1186="",E1186="","",A1186="?",E1186="?"),"duplicate?",IF(COUNTIFS($A:A,A1186,E:E,E1186)&gt;1,"yes","no"))</f>
        <v>duplicate?</v>
      </c>
      <c r="K1186" s="97" t="str">
        <f ca="1">IF(J1186="","Date",IF(J1186&lt;&gt;"",IF(K1186="Date",NOW(),K1186),""))</f>
        <v>Date</v>
      </c>
    </row>
    <row r="1187" spans="2:11">
      <c r="B1187" s="97" t="str">
        <f ca="1">IF(A1187="","Date",IF(A1187&lt;&gt;"",IF(B1187="Date",NOW(),B1187),""))</f>
        <v>Date</v>
      </c>
      <c r="C1187" s="19" t="str">
        <f>IF(ISBLANK(A1187),"Name",IF(ISNA(VLOOKUP(A1187,'Master List'!A:C,2,FALSE)), "Not Found", VLOOKUP(A1187,'Master List'!A:C,2,FALSE)))</f>
        <v>Name</v>
      </c>
      <c r="D1187" s="19" t="str">
        <f>IF(ISBLANK(A1187), "Email",IF(ISNA(VLOOKUP(A1187,'Master List'!A:C,3,FALSE)), "Not Found", VLOOKUP(A1187,'Master List'!A:C,3,FALSE)))</f>
        <v>Email</v>
      </c>
      <c r="F1187" s="4" t="str">
        <f>IF(OR(A1187="",E1187="","",A1187="?",E1187="?"),"duplicate?",IF(COUNTIFS($A:A,A1187,E:E,E1187)&gt;1,"yes","no"))</f>
        <v>duplicate?</v>
      </c>
      <c r="K1187" s="97" t="str">
        <f ca="1">IF(J1187="","Date",IF(J1187&lt;&gt;"",IF(K1187="Date",NOW(),K1187),""))</f>
        <v>Date</v>
      </c>
    </row>
    <row r="1188" spans="2:11">
      <c r="B1188" s="97" t="str">
        <f ca="1">IF(A1188="","Date",IF(A1188&lt;&gt;"",IF(B1188="Date",NOW(),B1188),""))</f>
        <v>Date</v>
      </c>
      <c r="C1188" s="19" t="str">
        <f>IF(ISBLANK(A1188),"Name",IF(ISNA(VLOOKUP(A1188,'Master List'!A:C,2,FALSE)), "Not Found", VLOOKUP(A1188,'Master List'!A:C,2,FALSE)))</f>
        <v>Name</v>
      </c>
      <c r="D1188" s="19" t="str">
        <f>IF(ISBLANK(A1188), "Email",IF(ISNA(VLOOKUP(A1188,'Master List'!A:C,3,FALSE)), "Not Found", VLOOKUP(A1188,'Master List'!A:C,3,FALSE)))</f>
        <v>Email</v>
      </c>
      <c r="F1188" s="4" t="str">
        <f>IF(OR(A1188="",E1188="","",A1188="?",E1188="?"),"duplicate?",IF(COUNTIFS($A:A,A1188,E:E,E1188)&gt;1,"yes","no"))</f>
        <v>duplicate?</v>
      </c>
      <c r="K1188" s="97" t="str">
        <f ca="1">IF(J1188="","Date",IF(J1188&lt;&gt;"",IF(K1188="Date",NOW(),K1188),""))</f>
        <v>Date</v>
      </c>
    </row>
    <row r="1189" spans="2:11">
      <c r="B1189" s="97" t="str">
        <f ca="1">IF(A1189="","Date",IF(A1189&lt;&gt;"",IF(B1189="Date",NOW(),B1189),""))</f>
        <v>Date</v>
      </c>
      <c r="C1189" s="19" t="str">
        <f>IF(ISBLANK(A1189),"Name",IF(ISNA(VLOOKUP(A1189,'Master List'!A:C,2,FALSE)), "Not Found", VLOOKUP(A1189,'Master List'!A:C,2,FALSE)))</f>
        <v>Name</v>
      </c>
      <c r="D1189" s="19" t="str">
        <f>IF(ISBLANK(A1189), "Email",IF(ISNA(VLOOKUP(A1189,'Master List'!A:C,3,FALSE)), "Not Found", VLOOKUP(A1189,'Master List'!A:C,3,FALSE)))</f>
        <v>Email</v>
      </c>
      <c r="F1189" s="4" t="str">
        <f>IF(OR(A1189="",E1189="","",A1189="?",E1189="?"),"duplicate?",IF(COUNTIFS($A:A,A1189,E:E,E1189)&gt;1,"yes","no"))</f>
        <v>duplicate?</v>
      </c>
      <c r="K1189" s="97" t="str">
        <f ca="1">IF(J1189="","Date",IF(J1189&lt;&gt;"",IF(K1189="Date",NOW(),K1189),""))</f>
        <v>Date</v>
      </c>
    </row>
    <row r="1190" spans="2:11">
      <c r="B1190" s="97" t="str">
        <f ca="1">IF(A1190="","Date",IF(A1190&lt;&gt;"",IF(B1190="Date",NOW(),B1190),""))</f>
        <v>Date</v>
      </c>
      <c r="C1190" s="19" t="str">
        <f>IF(ISBLANK(A1190),"Name",IF(ISNA(VLOOKUP(A1190,'Master List'!A:C,2,FALSE)), "Not Found", VLOOKUP(A1190,'Master List'!A:C,2,FALSE)))</f>
        <v>Name</v>
      </c>
      <c r="D1190" s="19" t="str">
        <f>IF(ISBLANK(A1190), "Email",IF(ISNA(VLOOKUP(A1190,'Master List'!A:C,3,FALSE)), "Not Found", VLOOKUP(A1190,'Master List'!A:C,3,FALSE)))</f>
        <v>Email</v>
      </c>
      <c r="F1190" s="4" t="str">
        <f>IF(OR(A1190="",E1190="","",A1190="?",E1190="?"),"duplicate?",IF(COUNTIFS($A:A,A1190,E:E,E1190)&gt;1,"yes","no"))</f>
        <v>duplicate?</v>
      </c>
      <c r="K1190" s="97" t="str">
        <f ca="1">IF(J1190="","Date",IF(J1190&lt;&gt;"",IF(K1190="Date",NOW(),K1190),""))</f>
        <v>Date</v>
      </c>
    </row>
    <row r="1191" spans="2:11">
      <c r="B1191" s="97" t="str">
        <f ca="1">IF(A1191="","Date",IF(A1191&lt;&gt;"",IF(B1191="Date",NOW(),B1191),""))</f>
        <v>Date</v>
      </c>
      <c r="C1191" s="19" t="str">
        <f>IF(ISBLANK(A1191),"Name",IF(ISNA(VLOOKUP(A1191,'Master List'!A:C,2,FALSE)), "Not Found", VLOOKUP(A1191,'Master List'!A:C,2,FALSE)))</f>
        <v>Name</v>
      </c>
      <c r="D1191" s="19" t="str">
        <f>IF(ISBLANK(A1191), "Email",IF(ISNA(VLOOKUP(A1191,'Master List'!A:C,3,FALSE)), "Not Found", VLOOKUP(A1191,'Master List'!A:C,3,FALSE)))</f>
        <v>Email</v>
      </c>
      <c r="F1191" s="4" t="str">
        <f>IF(OR(A1191="",E1191="","",A1191="?",E1191="?"),"duplicate?",IF(COUNTIFS($A:A,A1191,E:E,E1191)&gt;1,"yes","no"))</f>
        <v>duplicate?</v>
      </c>
      <c r="K1191" s="97" t="str">
        <f ca="1">IF(J1191="","Date",IF(J1191&lt;&gt;"",IF(K1191="Date",NOW(),K1191),""))</f>
        <v>Date</v>
      </c>
    </row>
    <row r="1192" spans="2:11">
      <c r="B1192" s="97" t="str">
        <f ca="1">IF(A1192="","Date",IF(A1192&lt;&gt;"",IF(B1192="Date",NOW(),B1192),""))</f>
        <v>Date</v>
      </c>
      <c r="C1192" s="19" t="str">
        <f>IF(ISBLANK(A1192),"Name",IF(ISNA(VLOOKUP(A1192,'Master List'!A:C,2,FALSE)), "Not Found", VLOOKUP(A1192,'Master List'!A:C,2,FALSE)))</f>
        <v>Name</v>
      </c>
      <c r="D1192" s="19" t="str">
        <f>IF(ISBLANK(A1192), "Email",IF(ISNA(VLOOKUP(A1192,'Master List'!A:C,3,FALSE)), "Not Found", VLOOKUP(A1192,'Master List'!A:C,3,FALSE)))</f>
        <v>Email</v>
      </c>
      <c r="F1192" s="4" t="str">
        <f>IF(OR(A1192="",E1192="","",A1192="?",E1192="?"),"duplicate?",IF(COUNTIFS($A:A,A1192,E:E,E1192)&gt;1,"yes","no"))</f>
        <v>duplicate?</v>
      </c>
      <c r="K1192" s="97" t="str">
        <f ca="1">IF(J1192="","Date",IF(J1192&lt;&gt;"",IF(K1192="Date",NOW(),K1192),""))</f>
        <v>Date</v>
      </c>
    </row>
    <row r="1193" spans="2:11">
      <c r="B1193" s="97" t="str">
        <f ca="1">IF(A1193="","Date",IF(A1193&lt;&gt;"",IF(B1193="Date",NOW(),B1193),""))</f>
        <v>Date</v>
      </c>
      <c r="C1193" s="19" t="str">
        <f>IF(ISBLANK(A1193),"Name",IF(ISNA(VLOOKUP(A1193,'Master List'!A:C,2,FALSE)), "Not Found", VLOOKUP(A1193,'Master List'!A:C,2,FALSE)))</f>
        <v>Name</v>
      </c>
      <c r="D1193" s="19" t="str">
        <f>IF(ISBLANK(A1193), "Email",IF(ISNA(VLOOKUP(A1193,'Master List'!A:C,3,FALSE)), "Not Found", VLOOKUP(A1193,'Master List'!A:C,3,FALSE)))</f>
        <v>Email</v>
      </c>
      <c r="F1193" s="4" t="str">
        <f>IF(OR(A1193="",E1193="","",A1193="?",E1193="?"),"duplicate?",IF(COUNTIFS($A:A,A1193,E:E,E1193)&gt;1,"yes","no"))</f>
        <v>duplicate?</v>
      </c>
      <c r="K1193" s="97" t="str">
        <f ca="1">IF(J1193="","Date",IF(J1193&lt;&gt;"",IF(K1193="Date",NOW(),K1193),""))</f>
        <v>Date</v>
      </c>
    </row>
    <row r="1194" spans="2:11">
      <c r="B1194" s="97" t="str">
        <f ca="1">IF(A1194="","Date",IF(A1194&lt;&gt;"",IF(B1194="Date",NOW(),B1194),""))</f>
        <v>Date</v>
      </c>
      <c r="C1194" s="19" t="str">
        <f>IF(ISBLANK(A1194),"Name",IF(ISNA(VLOOKUP(A1194,'Master List'!A:C,2,FALSE)), "Not Found", VLOOKUP(A1194,'Master List'!A:C,2,FALSE)))</f>
        <v>Name</v>
      </c>
      <c r="D1194" s="19" t="str">
        <f>IF(ISBLANK(A1194), "Email",IF(ISNA(VLOOKUP(A1194,'Master List'!A:C,3,FALSE)), "Not Found", VLOOKUP(A1194,'Master List'!A:C,3,FALSE)))</f>
        <v>Email</v>
      </c>
      <c r="F1194" s="4" t="str">
        <f>IF(OR(A1194="",E1194="","",A1194="?",E1194="?"),"duplicate?",IF(COUNTIFS($A:A,A1194,E:E,E1194)&gt;1,"yes","no"))</f>
        <v>duplicate?</v>
      </c>
      <c r="K1194" s="97" t="str">
        <f ca="1">IF(J1194="","Date",IF(J1194&lt;&gt;"",IF(K1194="Date",NOW(),K1194),""))</f>
        <v>Date</v>
      </c>
    </row>
    <row r="1195" spans="2:11">
      <c r="B1195" s="97" t="str">
        <f ca="1">IF(A1195="","Date",IF(A1195&lt;&gt;"",IF(B1195="Date",NOW(),B1195),""))</f>
        <v>Date</v>
      </c>
      <c r="C1195" s="19" t="str">
        <f>IF(ISBLANK(A1195),"Name",IF(ISNA(VLOOKUP(A1195,'Master List'!A:C,2,FALSE)), "Not Found", VLOOKUP(A1195,'Master List'!A:C,2,FALSE)))</f>
        <v>Name</v>
      </c>
      <c r="D1195" s="19" t="str">
        <f>IF(ISBLANK(A1195), "Email",IF(ISNA(VLOOKUP(A1195,'Master List'!A:C,3,FALSE)), "Not Found", VLOOKUP(A1195,'Master List'!A:C,3,FALSE)))</f>
        <v>Email</v>
      </c>
      <c r="F1195" s="4" t="str">
        <f>IF(OR(A1195="",E1195="","",A1195="?",E1195="?"),"duplicate?",IF(COUNTIFS($A:A,A1195,E:E,E1195)&gt;1,"yes","no"))</f>
        <v>duplicate?</v>
      </c>
      <c r="K1195" s="97" t="str">
        <f ca="1">IF(J1195="","Date",IF(J1195&lt;&gt;"",IF(K1195="Date",NOW(),K1195),""))</f>
        <v>Date</v>
      </c>
    </row>
    <row r="1196" spans="2:11">
      <c r="B1196" s="97" t="str">
        <f ca="1">IF(A1196="","Date",IF(A1196&lt;&gt;"",IF(B1196="Date",NOW(),B1196),""))</f>
        <v>Date</v>
      </c>
      <c r="C1196" s="19" t="str">
        <f>IF(ISBLANK(A1196),"Name",IF(ISNA(VLOOKUP(A1196,'Master List'!A:C,2,FALSE)), "Not Found", VLOOKUP(A1196,'Master List'!A:C,2,FALSE)))</f>
        <v>Name</v>
      </c>
      <c r="D1196" s="19" t="str">
        <f>IF(ISBLANK(A1196), "Email",IF(ISNA(VLOOKUP(A1196,'Master List'!A:C,3,FALSE)), "Not Found", VLOOKUP(A1196,'Master List'!A:C,3,FALSE)))</f>
        <v>Email</v>
      </c>
      <c r="F1196" s="4" t="str">
        <f>IF(OR(A1196="",E1196="","",A1196="?",E1196="?"),"duplicate?",IF(COUNTIFS($A:A,A1196,E:E,E1196)&gt;1,"yes","no"))</f>
        <v>duplicate?</v>
      </c>
      <c r="K1196" s="97" t="str">
        <f ca="1">IF(J1196="","Date",IF(J1196&lt;&gt;"",IF(K1196="Date",NOW(),K1196),""))</f>
        <v>Date</v>
      </c>
    </row>
    <row r="1197" spans="2:11">
      <c r="B1197" s="97" t="str">
        <f ca="1">IF(A1197="","Date",IF(A1197&lt;&gt;"",IF(B1197="Date",NOW(),B1197),""))</f>
        <v>Date</v>
      </c>
      <c r="C1197" s="19" t="str">
        <f>IF(ISBLANK(A1197),"Name",IF(ISNA(VLOOKUP(A1197,'Master List'!A:C,2,FALSE)), "Not Found", VLOOKUP(A1197,'Master List'!A:C,2,FALSE)))</f>
        <v>Name</v>
      </c>
      <c r="D1197" s="19" t="str">
        <f>IF(ISBLANK(A1197), "Email",IF(ISNA(VLOOKUP(A1197,'Master List'!A:C,3,FALSE)), "Not Found", VLOOKUP(A1197,'Master List'!A:C,3,FALSE)))</f>
        <v>Email</v>
      </c>
      <c r="F1197" s="4" t="str">
        <f>IF(OR(A1197="",E1197="","",A1197="?",E1197="?"),"duplicate?",IF(COUNTIFS($A:A,A1197,E:E,E1197)&gt;1,"yes","no"))</f>
        <v>duplicate?</v>
      </c>
      <c r="K1197" s="97" t="str">
        <f ca="1">IF(J1197="","Date",IF(J1197&lt;&gt;"",IF(K1197="Date",NOW(),K1197),""))</f>
        <v>Date</v>
      </c>
    </row>
    <row r="1198" spans="2:11">
      <c r="B1198" s="97" t="str">
        <f ca="1">IF(A1198="","Date",IF(A1198&lt;&gt;"",IF(B1198="Date",NOW(),B1198),""))</f>
        <v>Date</v>
      </c>
      <c r="C1198" s="19" t="str">
        <f>IF(ISBLANK(A1198),"Name",IF(ISNA(VLOOKUP(A1198,'Master List'!A:C,2,FALSE)), "Not Found", VLOOKUP(A1198,'Master List'!A:C,2,FALSE)))</f>
        <v>Name</v>
      </c>
      <c r="D1198" s="19" t="str">
        <f>IF(ISBLANK(A1198), "Email",IF(ISNA(VLOOKUP(A1198,'Master List'!A:C,3,FALSE)), "Not Found", VLOOKUP(A1198,'Master List'!A:C,3,FALSE)))</f>
        <v>Email</v>
      </c>
      <c r="F1198" s="4" t="str">
        <f>IF(OR(A1198="",E1198="","",A1198="?",E1198="?"),"duplicate?",IF(COUNTIFS($A:A,A1198,E:E,E1198)&gt;1,"yes","no"))</f>
        <v>duplicate?</v>
      </c>
      <c r="K1198" s="97" t="str">
        <f ca="1">IF(J1198="","Date",IF(J1198&lt;&gt;"",IF(K1198="Date",NOW(),K1198),""))</f>
        <v>Date</v>
      </c>
    </row>
    <row r="1199" spans="2:11">
      <c r="B1199" s="97" t="str">
        <f ca="1">IF(A1199="","Date",IF(A1199&lt;&gt;"",IF(B1199="Date",NOW(),B1199),""))</f>
        <v>Date</v>
      </c>
      <c r="C1199" s="19" t="str">
        <f>IF(ISBLANK(A1199),"Name",IF(ISNA(VLOOKUP(A1199,'Master List'!A:C,2,FALSE)), "Not Found", VLOOKUP(A1199,'Master List'!A:C,2,FALSE)))</f>
        <v>Name</v>
      </c>
      <c r="D1199" s="19" t="str">
        <f>IF(ISBLANK(A1199), "Email",IF(ISNA(VLOOKUP(A1199,'Master List'!A:C,3,FALSE)), "Not Found", VLOOKUP(A1199,'Master List'!A:C,3,FALSE)))</f>
        <v>Email</v>
      </c>
      <c r="F1199" s="4" t="str">
        <f>IF(OR(A1199="",E1199="","",A1199="?",E1199="?"),"duplicate?",IF(COUNTIFS($A:A,A1199,E:E,E1199)&gt;1,"yes","no"))</f>
        <v>duplicate?</v>
      </c>
      <c r="K1199" s="97" t="str">
        <f ca="1">IF(J1199="","Date",IF(J1199&lt;&gt;"",IF(K1199="Date",NOW(),K1199),""))</f>
        <v>Date</v>
      </c>
    </row>
    <row r="1200" spans="2:11">
      <c r="B1200" s="97" t="str">
        <f ca="1">IF(A1200="","Date",IF(A1200&lt;&gt;"",IF(B1200="Date",NOW(),B1200),""))</f>
        <v>Date</v>
      </c>
      <c r="C1200" s="19" t="str">
        <f>IF(ISBLANK(A1200),"Name",IF(ISNA(VLOOKUP(A1200,'Master List'!A:C,2,FALSE)), "Not Found", VLOOKUP(A1200,'Master List'!A:C,2,FALSE)))</f>
        <v>Name</v>
      </c>
      <c r="D1200" s="19" t="str">
        <f>IF(ISBLANK(A1200), "Email",IF(ISNA(VLOOKUP(A1200,'Master List'!A:C,3,FALSE)), "Not Found", VLOOKUP(A1200,'Master List'!A:C,3,FALSE)))</f>
        <v>Email</v>
      </c>
      <c r="F1200" s="4" t="str">
        <f>IF(OR(A1200="",E1200="","",A1200="?",E1200="?"),"duplicate?",IF(COUNTIFS($A:A,A1200,E:E,E1200)&gt;1,"yes","no"))</f>
        <v>duplicate?</v>
      </c>
      <c r="K1200" s="97" t="str">
        <f ca="1">IF(J1200="","Date",IF(J1200&lt;&gt;"",IF(K1200="Date",NOW(),K1200),""))</f>
        <v>Date</v>
      </c>
    </row>
    <row r="1201" spans="2:11">
      <c r="B1201" s="97" t="str">
        <f ca="1">IF(A1201="","Date",IF(A1201&lt;&gt;"",IF(B1201="Date",NOW(),B1201),""))</f>
        <v>Date</v>
      </c>
      <c r="C1201" s="19" t="str">
        <f>IF(ISBLANK(A1201),"Name",IF(ISNA(VLOOKUP(A1201,'Master List'!A:C,2,FALSE)), "Not Found", VLOOKUP(A1201,'Master List'!A:C,2,FALSE)))</f>
        <v>Name</v>
      </c>
      <c r="D1201" s="19" t="str">
        <f>IF(ISBLANK(A1201), "Email",IF(ISNA(VLOOKUP(A1201,'Master List'!A:C,3,FALSE)), "Not Found", VLOOKUP(A1201,'Master List'!A:C,3,FALSE)))</f>
        <v>Email</v>
      </c>
      <c r="F1201" s="4" t="str">
        <f>IF(OR(A1201="",E1201="","",A1201="?",E1201="?"),"duplicate?",IF(COUNTIFS($A:A,A1201,E:E,E1201)&gt;1,"yes","no"))</f>
        <v>duplicate?</v>
      </c>
      <c r="K1201" s="97" t="str">
        <f ca="1">IF(J1201="","Date",IF(J1201&lt;&gt;"",IF(K1201="Date",NOW(),K1201),""))</f>
        <v>Date</v>
      </c>
    </row>
    <row r="1202" spans="2:11">
      <c r="B1202" s="97" t="str">
        <f ca="1">IF(A1202="","Date",IF(A1202&lt;&gt;"",IF(B1202="Date",NOW(),B1202),""))</f>
        <v>Date</v>
      </c>
      <c r="C1202" s="19" t="str">
        <f>IF(ISBLANK(A1202),"Name",IF(ISNA(VLOOKUP(A1202,'Master List'!A:C,2,FALSE)), "Not Found", VLOOKUP(A1202,'Master List'!A:C,2,FALSE)))</f>
        <v>Name</v>
      </c>
      <c r="D1202" s="19" t="str">
        <f>IF(ISBLANK(A1202), "Email",IF(ISNA(VLOOKUP(A1202,'Master List'!A:C,3,FALSE)), "Not Found", VLOOKUP(A1202,'Master List'!A:C,3,FALSE)))</f>
        <v>Email</v>
      </c>
      <c r="F1202" s="4" t="str">
        <f>IF(OR(A1202="",E1202="","",A1202="?",E1202="?"),"duplicate?",IF(COUNTIFS($A:A,A1202,E:E,E1202)&gt;1,"yes","no"))</f>
        <v>duplicate?</v>
      </c>
      <c r="K1202" s="97" t="str">
        <f ca="1">IF(J1202="","Date",IF(J1202&lt;&gt;"",IF(K1202="Date",NOW(),K1202),""))</f>
        <v>Date</v>
      </c>
    </row>
    <row r="1203" spans="2:11">
      <c r="B1203" s="97" t="str">
        <f ca="1">IF(A1203="","Date",IF(A1203&lt;&gt;"",IF(B1203="Date",NOW(),B1203),""))</f>
        <v>Date</v>
      </c>
      <c r="C1203" s="19" t="str">
        <f>IF(ISBLANK(A1203),"Name",IF(ISNA(VLOOKUP(A1203,'Master List'!A:C,2,FALSE)), "Not Found", VLOOKUP(A1203,'Master List'!A:C,2,FALSE)))</f>
        <v>Name</v>
      </c>
      <c r="D1203" s="19" t="str">
        <f>IF(ISBLANK(A1203), "Email",IF(ISNA(VLOOKUP(A1203,'Master List'!A:C,3,FALSE)), "Not Found", VLOOKUP(A1203,'Master List'!A:C,3,FALSE)))</f>
        <v>Email</v>
      </c>
      <c r="F1203" s="4" t="str">
        <f>IF(OR(A1203="",E1203="","",A1203="?",E1203="?"),"duplicate?",IF(COUNTIFS($A:A,A1203,E:E,E1203)&gt;1,"yes","no"))</f>
        <v>duplicate?</v>
      </c>
      <c r="K1203" s="97" t="str">
        <f ca="1">IF(J1203="","Date",IF(J1203&lt;&gt;"",IF(K1203="Date",NOW(),K1203),""))</f>
        <v>Date</v>
      </c>
    </row>
    <row r="1204" spans="2:11">
      <c r="B1204" s="97" t="str">
        <f ca="1">IF(A1204="","Date",IF(A1204&lt;&gt;"",IF(B1204="Date",NOW(),B1204),""))</f>
        <v>Date</v>
      </c>
      <c r="C1204" s="19" t="str">
        <f>IF(ISBLANK(A1204),"Name",IF(ISNA(VLOOKUP(A1204,'Master List'!A:C,2,FALSE)), "Not Found", VLOOKUP(A1204,'Master List'!A:C,2,FALSE)))</f>
        <v>Name</v>
      </c>
      <c r="D1204" s="19" t="str">
        <f>IF(ISBLANK(A1204), "Email",IF(ISNA(VLOOKUP(A1204,'Master List'!A:C,3,FALSE)), "Not Found", VLOOKUP(A1204,'Master List'!A:C,3,FALSE)))</f>
        <v>Email</v>
      </c>
      <c r="F1204" s="4" t="str">
        <f>IF(OR(A1204="",E1204="","",A1204="?",E1204="?"),"duplicate?",IF(COUNTIFS($A:A,A1204,E:E,E1204)&gt;1,"yes","no"))</f>
        <v>duplicate?</v>
      </c>
      <c r="K1204" s="97" t="str">
        <f ca="1">IF(J1204="","Date",IF(J1204&lt;&gt;"",IF(K1204="Date",NOW(),K1204),""))</f>
        <v>Date</v>
      </c>
    </row>
    <row r="1205" spans="2:11">
      <c r="B1205" s="97" t="str">
        <f ca="1">IF(A1205="","Date",IF(A1205&lt;&gt;"",IF(B1205="Date",NOW(),B1205),""))</f>
        <v>Date</v>
      </c>
      <c r="C1205" s="19" t="str">
        <f>IF(ISBLANK(A1205),"Name",IF(ISNA(VLOOKUP(A1205,'Master List'!A:C,2,FALSE)), "Not Found", VLOOKUP(A1205,'Master List'!A:C,2,FALSE)))</f>
        <v>Name</v>
      </c>
      <c r="D1205" s="19" t="str">
        <f>IF(ISBLANK(A1205), "Email",IF(ISNA(VLOOKUP(A1205,'Master List'!A:C,3,FALSE)), "Not Found", VLOOKUP(A1205,'Master List'!A:C,3,FALSE)))</f>
        <v>Email</v>
      </c>
      <c r="F1205" s="4" t="str">
        <f>IF(OR(A1205="",E1205="","",A1205="?",E1205="?"),"duplicate?",IF(COUNTIFS($A:A,A1205,E:E,E1205)&gt;1,"yes","no"))</f>
        <v>duplicate?</v>
      </c>
      <c r="K1205" s="97" t="str">
        <f ca="1">IF(J1205="","Date",IF(J1205&lt;&gt;"",IF(K1205="Date",NOW(),K1205),""))</f>
        <v>Date</v>
      </c>
    </row>
    <row r="1206" spans="2:11">
      <c r="B1206" s="97" t="str">
        <f ca="1">IF(A1206="","Date",IF(A1206&lt;&gt;"",IF(B1206="Date",NOW(),B1206),""))</f>
        <v>Date</v>
      </c>
      <c r="C1206" s="19" t="str">
        <f>IF(ISBLANK(A1206),"Name",IF(ISNA(VLOOKUP(A1206,'Master List'!A:C,2,FALSE)), "Not Found", VLOOKUP(A1206,'Master List'!A:C,2,FALSE)))</f>
        <v>Name</v>
      </c>
      <c r="D1206" s="19" t="str">
        <f>IF(ISBLANK(A1206), "Email",IF(ISNA(VLOOKUP(A1206,'Master List'!A:C,3,FALSE)), "Not Found", VLOOKUP(A1206,'Master List'!A:C,3,FALSE)))</f>
        <v>Email</v>
      </c>
      <c r="F1206" s="4" t="str">
        <f>IF(OR(A1206="",E1206="","",A1206="?",E1206="?"),"duplicate?",IF(COUNTIFS($A:A,A1206,E:E,E1206)&gt;1,"yes","no"))</f>
        <v>duplicate?</v>
      </c>
      <c r="K1206" s="97" t="str">
        <f ca="1">IF(J1206="","Date",IF(J1206&lt;&gt;"",IF(K1206="Date",NOW(),K1206),""))</f>
        <v>Date</v>
      </c>
    </row>
    <row r="1207" spans="2:11">
      <c r="B1207" s="97" t="str">
        <f ca="1">IF(A1207="","Date",IF(A1207&lt;&gt;"",IF(B1207="Date",NOW(),B1207),""))</f>
        <v>Date</v>
      </c>
      <c r="C1207" s="19" t="str">
        <f>IF(ISBLANK(A1207),"Name",IF(ISNA(VLOOKUP(A1207,'Master List'!A:C,2,FALSE)), "Not Found", VLOOKUP(A1207,'Master List'!A:C,2,FALSE)))</f>
        <v>Name</v>
      </c>
      <c r="D1207" s="19" t="str">
        <f>IF(ISBLANK(A1207), "Email",IF(ISNA(VLOOKUP(A1207,'Master List'!A:C,3,FALSE)), "Not Found", VLOOKUP(A1207,'Master List'!A:C,3,FALSE)))</f>
        <v>Email</v>
      </c>
      <c r="F1207" s="4" t="str">
        <f>IF(OR(A1207="",E1207="","",A1207="?",E1207="?"),"duplicate?",IF(COUNTIFS($A:A,A1207,E:E,E1207)&gt;1,"yes","no"))</f>
        <v>duplicate?</v>
      </c>
      <c r="K1207" s="97" t="str">
        <f ca="1">IF(J1207="","Date",IF(J1207&lt;&gt;"",IF(K1207="Date",NOW(),K1207),""))</f>
        <v>Date</v>
      </c>
    </row>
    <row r="1208" spans="2:11">
      <c r="B1208" s="97" t="str">
        <f ca="1">IF(A1208="","Date",IF(A1208&lt;&gt;"",IF(B1208="Date",NOW(),B1208),""))</f>
        <v>Date</v>
      </c>
      <c r="C1208" s="19" t="str">
        <f>IF(ISBLANK(A1208),"Name",IF(ISNA(VLOOKUP(A1208,'Master List'!A:C,2,FALSE)), "Not Found", VLOOKUP(A1208,'Master List'!A:C,2,FALSE)))</f>
        <v>Name</v>
      </c>
      <c r="D1208" s="19" t="str">
        <f>IF(ISBLANK(A1208), "Email",IF(ISNA(VLOOKUP(A1208,'Master List'!A:C,3,FALSE)), "Not Found", VLOOKUP(A1208,'Master List'!A:C,3,FALSE)))</f>
        <v>Email</v>
      </c>
      <c r="F1208" s="4" t="str">
        <f>IF(OR(A1208="",E1208="","",A1208="?",E1208="?"),"duplicate?",IF(COUNTIFS($A:A,A1208,E:E,E1208)&gt;1,"yes","no"))</f>
        <v>duplicate?</v>
      </c>
      <c r="K1208" s="97" t="str">
        <f ca="1">IF(J1208="","Date",IF(J1208&lt;&gt;"",IF(K1208="Date",NOW(),K1208),""))</f>
        <v>Date</v>
      </c>
    </row>
    <row r="1209" spans="2:11">
      <c r="B1209" s="97" t="str">
        <f ca="1">IF(A1209="","Date",IF(A1209&lt;&gt;"",IF(B1209="Date",NOW(),B1209),""))</f>
        <v>Date</v>
      </c>
      <c r="C1209" s="19" t="str">
        <f>IF(ISBLANK(A1209),"Name",IF(ISNA(VLOOKUP(A1209,'Master List'!A:C,2,FALSE)), "Not Found", VLOOKUP(A1209,'Master List'!A:C,2,FALSE)))</f>
        <v>Name</v>
      </c>
      <c r="D1209" s="19" t="str">
        <f>IF(ISBLANK(A1209), "Email",IF(ISNA(VLOOKUP(A1209,'Master List'!A:C,3,FALSE)), "Not Found", VLOOKUP(A1209,'Master List'!A:C,3,FALSE)))</f>
        <v>Email</v>
      </c>
      <c r="F1209" s="4" t="str">
        <f>IF(OR(A1209="",E1209="","",A1209="?",E1209="?"),"duplicate?",IF(COUNTIFS($A:A,A1209,E:E,E1209)&gt;1,"yes","no"))</f>
        <v>duplicate?</v>
      </c>
      <c r="K1209" s="97" t="str">
        <f ca="1">IF(J1209="","Date",IF(J1209&lt;&gt;"",IF(K1209="Date",NOW(),K1209),""))</f>
        <v>Date</v>
      </c>
    </row>
    <row r="1210" spans="2:11">
      <c r="B1210" s="97" t="str">
        <f ca="1">IF(A1210="","Date",IF(A1210&lt;&gt;"",IF(B1210="Date",NOW(),B1210),""))</f>
        <v>Date</v>
      </c>
      <c r="C1210" s="19" t="str">
        <f>IF(ISBLANK(A1210),"Name",IF(ISNA(VLOOKUP(A1210,'Master List'!A:C,2,FALSE)), "Not Found", VLOOKUP(A1210,'Master List'!A:C,2,FALSE)))</f>
        <v>Name</v>
      </c>
      <c r="D1210" s="19" t="str">
        <f>IF(ISBLANK(A1210), "Email",IF(ISNA(VLOOKUP(A1210,'Master List'!A:C,3,FALSE)), "Not Found", VLOOKUP(A1210,'Master List'!A:C,3,FALSE)))</f>
        <v>Email</v>
      </c>
      <c r="F1210" s="4" t="str">
        <f>IF(OR(A1210="",E1210="","",A1210="?",E1210="?"),"duplicate?",IF(COUNTIFS($A:A,A1210,E:E,E1210)&gt;1,"yes","no"))</f>
        <v>duplicate?</v>
      </c>
      <c r="K1210" s="97" t="str">
        <f ca="1">IF(J1210="","Date",IF(J1210&lt;&gt;"",IF(K1210="Date",NOW(),K1210),""))</f>
        <v>Date</v>
      </c>
    </row>
    <row r="1211" spans="2:11">
      <c r="B1211" s="97" t="str">
        <f ca="1">IF(A1211="","Date",IF(A1211&lt;&gt;"",IF(B1211="Date",NOW(),B1211),""))</f>
        <v>Date</v>
      </c>
      <c r="C1211" s="19" t="str">
        <f>IF(ISBLANK(A1211),"Name",IF(ISNA(VLOOKUP(A1211,'Master List'!A:C,2,FALSE)), "Not Found", VLOOKUP(A1211,'Master List'!A:C,2,FALSE)))</f>
        <v>Name</v>
      </c>
      <c r="D1211" s="19" t="str">
        <f>IF(ISBLANK(A1211), "Email",IF(ISNA(VLOOKUP(A1211,'Master List'!A:C,3,FALSE)), "Not Found", VLOOKUP(A1211,'Master List'!A:C,3,FALSE)))</f>
        <v>Email</v>
      </c>
      <c r="F1211" s="4" t="str">
        <f>IF(OR(A1211="",E1211="","",A1211="?",E1211="?"),"duplicate?",IF(COUNTIFS($A:A,A1211,E:E,E1211)&gt;1,"yes","no"))</f>
        <v>duplicate?</v>
      </c>
      <c r="K1211" s="97" t="str">
        <f ca="1">IF(J1211="","Date",IF(J1211&lt;&gt;"",IF(K1211="Date",NOW(),K1211),""))</f>
        <v>Date</v>
      </c>
    </row>
    <row r="1212" spans="2:11">
      <c r="B1212" s="97" t="str">
        <f ca="1">IF(A1212="","Date",IF(A1212&lt;&gt;"",IF(B1212="Date",NOW(),B1212),""))</f>
        <v>Date</v>
      </c>
      <c r="C1212" s="19" t="str">
        <f>IF(ISBLANK(A1212),"Name",IF(ISNA(VLOOKUP(A1212,'Master List'!A:C,2,FALSE)), "Not Found", VLOOKUP(A1212,'Master List'!A:C,2,FALSE)))</f>
        <v>Name</v>
      </c>
      <c r="D1212" s="19" t="str">
        <f>IF(ISBLANK(A1212), "Email",IF(ISNA(VLOOKUP(A1212,'Master List'!A:C,3,FALSE)), "Not Found", VLOOKUP(A1212,'Master List'!A:C,3,FALSE)))</f>
        <v>Email</v>
      </c>
      <c r="F1212" s="4" t="str">
        <f>IF(OR(A1212="",E1212="","",A1212="?",E1212="?"),"duplicate?",IF(COUNTIFS($A:A,A1212,E:E,E1212)&gt;1,"yes","no"))</f>
        <v>duplicate?</v>
      </c>
      <c r="K1212" s="97" t="str">
        <f ca="1">IF(J1212="","Date",IF(J1212&lt;&gt;"",IF(K1212="Date",NOW(),K1212),""))</f>
        <v>Date</v>
      </c>
    </row>
    <row r="1213" spans="2:11">
      <c r="B1213" s="97" t="str">
        <f ca="1">IF(A1213="","Date",IF(A1213&lt;&gt;"",IF(B1213="Date",NOW(),B1213),""))</f>
        <v>Date</v>
      </c>
      <c r="C1213" s="19" t="str">
        <f>IF(ISBLANK(A1213),"Name",IF(ISNA(VLOOKUP(A1213,'Master List'!A:C,2,FALSE)), "Not Found", VLOOKUP(A1213,'Master List'!A:C,2,FALSE)))</f>
        <v>Name</v>
      </c>
      <c r="D1213" s="19" t="str">
        <f>IF(ISBLANK(A1213), "Email",IF(ISNA(VLOOKUP(A1213,'Master List'!A:C,3,FALSE)), "Not Found", VLOOKUP(A1213,'Master List'!A:C,3,FALSE)))</f>
        <v>Email</v>
      </c>
      <c r="F1213" s="4" t="str">
        <f>IF(OR(A1213="",E1213="","",A1213="?",E1213="?"),"duplicate?",IF(COUNTIFS($A:A,A1213,E:E,E1213)&gt;1,"yes","no"))</f>
        <v>duplicate?</v>
      </c>
      <c r="K1213" s="97" t="str">
        <f ca="1">IF(J1213="","Date",IF(J1213&lt;&gt;"",IF(K1213="Date",NOW(),K1213),""))</f>
        <v>Date</v>
      </c>
    </row>
    <row r="1214" spans="2:11">
      <c r="B1214" s="97" t="str">
        <f ca="1">IF(A1214="","Date",IF(A1214&lt;&gt;"",IF(B1214="Date",NOW(),B1214),""))</f>
        <v>Date</v>
      </c>
      <c r="C1214" s="19" t="str">
        <f>IF(ISBLANK(A1214),"Name",IF(ISNA(VLOOKUP(A1214,'Master List'!A:C,2,FALSE)), "Not Found", VLOOKUP(A1214,'Master List'!A:C,2,FALSE)))</f>
        <v>Name</v>
      </c>
      <c r="D1214" s="19" t="str">
        <f>IF(ISBLANK(A1214), "Email",IF(ISNA(VLOOKUP(A1214,'Master List'!A:C,3,FALSE)), "Not Found", VLOOKUP(A1214,'Master List'!A:C,3,FALSE)))</f>
        <v>Email</v>
      </c>
      <c r="F1214" s="4" t="str">
        <f>IF(OR(A1214="",E1214="","",A1214="?",E1214="?"),"duplicate?",IF(COUNTIFS($A:A,A1214,E:E,E1214)&gt;1,"yes","no"))</f>
        <v>duplicate?</v>
      </c>
      <c r="K1214" s="97" t="str">
        <f ca="1">IF(J1214="","Date",IF(J1214&lt;&gt;"",IF(K1214="Date",NOW(),K1214),""))</f>
        <v>Date</v>
      </c>
    </row>
    <row r="1215" spans="2:11">
      <c r="B1215" s="97" t="str">
        <f ca="1">IF(A1215="","Date",IF(A1215&lt;&gt;"",IF(B1215="Date",NOW(),B1215),""))</f>
        <v>Date</v>
      </c>
      <c r="C1215" s="19" t="str">
        <f>IF(ISBLANK(A1215),"Name",IF(ISNA(VLOOKUP(A1215,'Master List'!A:C,2,FALSE)), "Not Found", VLOOKUP(A1215,'Master List'!A:C,2,FALSE)))</f>
        <v>Name</v>
      </c>
      <c r="D1215" s="19" t="str">
        <f>IF(ISBLANK(A1215), "Email",IF(ISNA(VLOOKUP(A1215,'Master List'!A:C,3,FALSE)), "Not Found", VLOOKUP(A1215,'Master List'!A:C,3,FALSE)))</f>
        <v>Email</v>
      </c>
      <c r="F1215" s="4" t="str">
        <f>IF(OR(A1215="",E1215="","",A1215="?",E1215="?"),"duplicate?",IF(COUNTIFS($A:A,A1215,E:E,E1215)&gt;1,"yes","no"))</f>
        <v>duplicate?</v>
      </c>
      <c r="K1215" s="97" t="str">
        <f ca="1">IF(J1215="","Date",IF(J1215&lt;&gt;"",IF(K1215="Date",NOW(),K1215),""))</f>
        <v>Date</v>
      </c>
    </row>
    <row r="1216" spans="2:11">
      <c r="B1216" s="97" t="str">
        <f ca="1">IF(A1216="","Date",IF(A1216&lt;&gt;"",IF(B1216="Date",NOW(),B1216),""))</f>
        <v>Date</v>
      </c>
      <c r="C1216" s="19" t="str">
        <f>IF(ISBLANK(A1216),"Name",IF(ISNA(VLOOKUP(A1216,'Master List'!A:C,2,FALSE)), "Not Found", VLOOKUP(A1216,'Master List'!A:C,2,FALSE)))</f>
        <v>Name</v>
      </c>
      <c r="D1216" s="19" t="str">
        <f>IF(ISBLANK(A1216), "Email",IF(ISNA(VLOOKUP(A1216,'Master List'!A:C,3,FALSE)), "Not Found", VLOOKUP(A1216,'Master List'!A:C,3,FALSE)))</f>
        <v>Email</v>
      </c>
      <c r="F1216" s="4" t="str">
        <f>IF(OR(A1216="",E1216="","",A1216="?",E1216="?"),"duplicate?",IF(COUNTIFS($A:A,A1216,E:E,E1216)&gt;1,"yes","no"))</f>
        <v>duplicate?</v>
      </c>
      <c r="K1216" s="97" t="str">
        <f ca="1">IF(J1216="","Date",IF(J1216&lt;&gt;"",IF(K1216="Date",NOW(),K1216),""))</f>
        <v>Date</v>
      </c>
    </row>
    <row r="1217" spans="2:11">
      <c r="B1217" s="97" t="str">
        <f ca="1">IF(A1217="","Date",IF(A1217&lt;&gt;"",IF(B1217="Date",NOW(),B1217),""))</f>
        <v>Date</v>
      </c>
      <c r="C1217" s="19" t="str">
        <f>IF(ISBLANK(A1217),"Name",IF(ISNA(VLOOKUP(A1217,'Master List'!A:C,2,FALSE)), "Not Found", VLOOKUP(A1217,'Master List'!A:C,2,FALSE)))</f>
        <v>Name</v>
      </c>
      <c r="D1217" s="19" t="str">
        <f>IF(ISBLANK(A1217), "Email",IF(ISNA(VLOOKUP(A1217,'Master List'!A:C,3,FALSE)), "Not Found", VLOOKUP(A1217,'Master List'!A:C,3,FALSE)))</f>
        <v>Email</v>
      </c>
      <c r="F1217" s="4" t="str">
        <f>IF(OR(A1217="",E1217="","",A1217="?",E1217="?"),"duplicate?",IF(COUNTIFS($A:A,A1217,E:E,E1217)&gt;1,"yes","no"))</f>
        <v>duplicate?</v>
      </c>
      <c r="K1217" s="97" t="str">
        <f ca="1">IF(J1217="","Date",IF(J1217&lt;&gt;"",IF(K1217="Date",NOW(),K1217),""))</f>
        <v>Date</v>
      </c>
    </row>
    <row r="1218" spans="2:11">
      <c r="B1218" s="97" t="str">
        <f ca="1">IF(A1218="","Date",IF(A1218&lt;&gt;"",IF(B1218="Date",NOW(),B1218),""))</f>
        <v>Date</v>
      </c>
      <c r="C1218" s="19" t="str">
        <f>IF(ISBLANK(A1218),"Name",IF(ISNA(VLOOKUP(A1218,'Master List'!A:C,2,FALSE)), "Not Found", VLOOKUP(A1218,'Master List'!A:C,2,FALSE)))</f>
        <v>Name</v>
      </c>
      <c r="D1218" s="19" t="str">
        <f>IF(ISBLANK(A1218), "Email",IF(ISNA(VLOOKUP(A1218,'Master List'!A:C,3,FALSE)), "Not Found", VLOOKUP(A1218,'Master List'!A:C,3,FALSE)))</f>
        <v>Email</v>
      </c>
      <c r="F1218" s="4" t="str">
        <f>IF(OR(A1218="",E1218="","",A1218="?",E1218="?"),"duplicate?",IF(COUNTIFS($A:A,A1218,E:E,E1218)&gt;1,"yes","no"))</f>
        <v>duplicate?</v>
      </c>
      <c r="K1218" s="97" t="str">
        <f ca="1">IF(J1218="","Date",IF(J1218&lt;&gt;"",IF(K1218="Date",NOW(),K1218),""))</f>
        <v>Date</v>
      </c>
    </row>
    <row r="1219" spans="2:11">
      <c r="B1219" s="97" t="str">
        <f ca="1">IF(A1219="","Date",IF(A1219&lt;&gt;"",IF(B1219="Date",NOW(),B1219),""))</f>
        <v>Date</v>
      </c>
      <c r="C1219" s="19" t="str">
        <f>IF(ISBLANK(A1219),"Name",IF(ISNA(VLOOKUP(A1219,'Master List'!A:C,2,FALSE)), "Not Found", VLOOKUP(A1219,'Master List'!A:C,2,FALSE)))</f>
        <v>Name</v>
      </c>
      <c r="D1219" s="19" t="str">
        <f>IF(ISBLANK(A1219), "Email",IF(ISNA(VLOOKUP(A1219,'Master List'!A:C,3,FALSE)), "Not Found", VLOOKUP(A1219,'Master List'!A:C,3,FALSE)))</f>
        <v>Email</v>
      </c>
      <c r="F1219" s="4" t="str">
        <f>IF(OR(A1219="",E1219="","",A1219="?",E1219="?"),"duplicate?",IF(COUNTIFS($A:A,A1219,E:E,E1219)&gt;1,"yes","no"))</f>
        <v>duplicate?</v>
      </c>
      <c r="K1219" s="97" t="str">
        <f ca="1">IF(J1219="","Date",IF(J1219&lt;&gt;"",IF(K1219="Date",NOW(),K1219),""))</f>
        <v>Date</v>
      </c>
    </row>
    <row r="1220" spans="2:11">
      <c r="B1220" s="97" t="str">
        <f ca="1">IF(A1220="","Date",IF(A1220&lt;&gt;"",IF(B1220="Date",NOW(),B1220),""))</f>
        <v>Date</v>
      </c>
      <c r="C1220" s="19" t="str">
        <f>IF(ISBLANK(A1220),"Name",IF(ISNA(VLOOKUP(A1220,'Master List'!A:C,2,FALSE)), "Not Found", VLOOKUP(A1220,'Master List'!A:C,2,FALSE)))</f>
        <v>Name</v>
      </c>
      <c r="D1220" s="19" t="str">
        <f>IF(ISBLANK(A1220), "Email",IF(ISNA(VLOOKUP(A1220,'Master List'!A:C,3,FALSE)), "Not Found", VLOOKUP(A1220,'Master List'!A:C,3,FALSE)))</f>
        <v>Email</v>
      </c>
      <c r="F1220" s="4" t="str">
        <f>IF(OR(A1220="",E1220="","",A1220="?",E1220="?"),"duplicate?",IF(COUNTIFS($A:A,A1220,E:E,E1220)&gt;1,"yes","no"))</f>
        <v>duplicate?</v>
      </c>
      <c r="K1220" s="97" t="str">
        <f ca="1">IF(J1220="","Date",IF(J1220&lt;&gt;"",IF(K1220="Date",NOW(),K1220),""))</f>
        <v>Date</v>
      </c>
    </row>
    <row r="1221" spans="2:11">
      <c r="B1221" s="97" t="str">
        <f ca="1">IF(A1221="","Date",IF(A1221&lt;&gt;"",IF(B1221="Date",NOW(),B1221),""))</f>
        <v>Date</v>
      </c>
      <c r="C1221" s="19" t="str">
        <f>IF(ISBLANK(A1221),"Name",IF(ISNA(VLOOKUP(A1221,'Master List'!A:C,2,FALSE)), "Not Found", VLOOKUP(A1221,'Master List'!A:C,2,FALSE)))</f>
        <v>Name</v>
      </c>
      <c r="D1221" s="19" t="str">
        <f>IF(ISBLANK(A1221), "Email",IF(ISNA(VLOOKUP(A1221,'Master List'!A:C,3,FALSE)), "Not Found", VLOOKUP(A1221,'Master List'!A:C,3,FALSE)))</f>
        <v>Email</v>
      </c>
      <c r="F1221" s="4" t="str">
        <f>IF(OR(A1221="",E1221="","",A1221="?",E1221="?"),"duplicate?",IF(COUNTIFS($A:A,A1221,E:E,E1221)&gt;1,"yes","no"))</f>
        <v>duplicate?</v>
      </c>
      <c r="K1221" s="97" t="str">
        <f ca="1">IF(J1221="","Date",IF(J1221&lt;&gt;"",IF(K1221="Date",NOW(),K1221),""))</f>
        <v>Date</v>
      </c>
    </row>
    <row r="1222" spans="2:11">
      <c r="B1222" s="97" t="str">
        <f ca="1">IF(A1222="","Date",IF(A1222&lt;&gt;"",IF(B1222="Date",NOW(),B1222),""))</f>
        <v>Date</v>
      </c>
      <c r="C1222" s="19" t="str">
        <f>IF(ISBLANK(A1222),"Name",IF(ISNA(VLOOKUP(A1222,'Master List'!A:C,2,FALSE)), "Not Found", VLOOKUP(A1222,'Master List'!A:C,2,FALSE)))</f>
        <v>Name</v>
      </c>
      <c r="D1222" s="19" t="str">
        <f>IF(ISBLANK(A1222), "Email",IF(ISNA(VLOOKUP(A1222,'Master List'!A:C,3,FALSE)), "Not Found", VLOOKUP(A1222,'Master List'!A:C,3,FALSE)))</f>
        <v>Email</v>
      </c>
      <c r="F1222" s="4" t="str">
        <f>IF(OR(A1222="",E1222="","",A1222="?",E1222="?"),"duplicate?",IF(COUNTIFS($A:A,A1222,E:E,E1222)&gt;1,"yes","no"))</f>
        <v>duplicate?</v>
      </c>
      <c r="K1222" s="97" t="str">
        <f ca="1">IF(J1222="","Date",IF(J1222&lt;&gt;"",IF(K1222="Date",NOW(),K1222),""))</f>
        <v>Date</v>
      </c>
    </row>
    <row r="1223" spans="2:11">
      <c r="B1223" s="97" t="str">
        <f ca="1">IF(A1223="","Date",IF(A1223&lt;&gt;"",IF(B1223="Date",NOW(),B1223),""))</f>
        <v>Date</v>
      </c>
      <c r="C1223" s="19" t="str">
        <f>IF(ISBLANK(A1223),"Name",IF(ISNA(VLOOKUP(A1223,'Master List'!A:C,2,FALSE)), "Not Found", VLOOKUP(A1223,'Master List'!A:C,2,FALSE)))</f>
        <v>Name</v>
      </c>
      <c r="D1223" s="19" t="str">
        <f>IF(ISBLANK(A1223), "Email",IF(ISNA(VLOOKUP(A1223,'Master List'!A:C,3,FALSE)), "Not Found", VLOOKUP(A1223,'Master List'!A:C,3,FALSE)))</f>
        <v>Email</v>
      </c>
      <c r="F1223" s="4" t="str">
        <f>IF(OR(A1223="",E1223="","",A1223="?",E1223="?"),"duplicate?",IF(COUNTIFS($A:A,A1223,E:E,E1223)&gt;1,"yes","no"))</f>
        <v>duplicate?</v>
      </c>
      <c r="K1223" s="97" t="str">
        <f ca="1">IF(J1223="","Date",IF(J1223&lt;&gt;"",IF(K1223="Date",NOW(),K1223),""))</f>
        <v>Date</v>
      </c>
    </row>
    <row r="1224" spans="2:11">
      <c r="B1224" s="97" t="str">
        <f ca="1">IF(A1224="","Date",IF(A1224&lt;&gt;"",IF(B1224="Date",NOW(),B1224),""))</f>
        <v>Date</v>
      </c>
      <c r="C1224" s="19" t="str">
        <f>IF(ISBLANK(A1224),"Name",IF(ISNA(VLOOKUP(A1224,'Master List'!A:C,2,FALSE)), "Not Found", VLOOKUP(A1224,'Master List'!A:C,2,FALSE)))</f>
        <v>Name</v>
      </c>
      <c r="D1224" s="19" t="str">
        <f>IF(ISBLANK(A1224), "Email",IF(ISNA(VLOOKUP(A1224,'Master List'!A:C,3,FALSE)), "Not Found", VLOOKUP(A1224,'Master List'!A:C,3,FALSE)))</f>
        <v>Email</v>
      </c>
      <c r="F1224" s="4" t="str">
        <f>IF(OR(A1224="",E1224="","",A1224="?",E1224="?"),"duplicate?",IF(COUNTIFS($A:A,A1224,E:E,E1224)&gt;1,"yes","no"))</f>
        <v>duplicate?</v>
      </c>
      <c r="K1224" s="97" t="str">
        <f ca="1">IF(J1224="","Date",IF(J1224&lt;&gt;"",IF(K1224="Date",NOW(),K1224),""))</f>
        <v>Date</v>
      </c>
    </row>
    <row r="1225" spans="2:11">
      <c r="B1225" s="97" t="str">
        <f ca="1">IF(A1225="","Date",IF(A1225&lt;&gt;"",IF(B1225="Date",NOW(),B1225),""))</f>
        <v>Date</v>
      </c>
      <c r="C1225" s="19" t="str">
        <f>IF(ISBLANK(A1225),"Name",IF(ISNA(VLOOKUP(A1225,'Master List'!A:C,2,FALSE)), "Not Found", VLOOKUP(A1225,'Master List'!A:C,2,FALSE)))</f>
        <v>Name</v>
      </c>
      <c r="D1225" s="19" t="str">
        <f>IF(ISBLANK(A1225), "Email",IF(ISNA(VLOOKUP(A1225,'Master List'!A:C,3,FALSE)), "Not Found", VLOOKUP(A1225,'Master List'!A:C,3,FALSE)))</f>
        <v>Email</v>
      </c>
      <c r="F1225" s="4" t="str">
        <f>IF(OR(A1225="",E1225="","",A1225="?",E1225="?"),"duplicate?",IF(COUNTIFS($A:A,A1225,E:E,E1225)&gt;1,"yes","no"))</f>
        <v>duplicate?</v>
      </c>
      <c r="K1225" s="97" t="str">
        <f ca="1">IF(J1225="","Date",IF(J1225&lt;&gt;"",IF(K1225="Date",NOW(),K1225),""))</f>
        <v>Date</v>
      </c>
    </row>
    <row r="1226" spans="2:11">
      <c r="B1226" s="97" t="str">
        <f ca="1">IF(A1226="","Date",IF(A1226&lt;&gt;"",IF(B1226="Date",NOW(),B1226),""))</f>
        <v>Date</v>
      </c>
      <c r="C1226" s="19" t="str">
        <f>IF(ISBLANK(A1226),"Name",IF(ISNA(VLOOKUP(A1226,'Master List'!A:C,2,FALSE)), "Not Found", VLOOKUP(A1226,'Master List'!A:C,2,FALSE)))</f>
        <v>Name</v>
      </c>
      <c r="D1226" s="19" t="str">
        <f>IF(ISBLANK(A1226), "Email",IF(ISNA(VLOOKUP(A1226,'Master List'!A:C,3,FALSE)), "Not Found", VLOOKUP(A1226,'Master List'!A:C,3,FALSE)))</f>
        <v>Email</v>
      </c>
      <c r="F1226" s="4" t="str">
        <f>IF(OR(A1226="",E1226="","",A1226="?",E1226="?"),"duplicate?",IF(COUNTIFS($A:A,A1226,E:E,E1226)&gt;1,"yes","no"))</f>
        <v>duplicate?</v>
      </c>
      <c r="K1226" s="97" t="str">
        <f ca="1">IF(J1226="","Date",IF(J1226&lt;&gt;"",IF(K1226="Date",NOW(),K1226),""))</f>
        <v>Date</v>
      </c>
    </row>
    <row r="1227" spans="2:11">
      <c r="B1227" s="97" t="str">
        <f ca="1">IF(A1227="","Date",IF(A1227&lt;&gt;"",IF(B1227="Date",NOW(),B1227),""))</f>
        <v>Date</v>
      </c>
      <c r="C1227" s="19" t="str">
        <f>IF(ISBLANK(A1227),"Name",IF(ISNA(VLOOKUP(A1227,'Master List'!A:C,2,FALSE)), "Not Found", VLOOKUP(A1227,'Master List'!A:C,2,FALSE)))</f>
        <v>Name</v>
      </c>
      <c r="D1227" s="19" t="str">
        <f>IF(ISBLANK(A1227), "Email",IF(ISNA(VLOOKUP(A1227,'Master List'!A:C,3,FALSE)), "Not Found", VLOOKUP(A1227,'Master List'!A:C,3,FALSE)))</f>
        <v>Email</v>
      </c>
      <c r="F1227" s="4" t="str">
        <f>IF(OR(A1227="",E1227="","",A1227="?",E1227="?"),"duplicate?",IF(COUNTIFS($A:A,A1227,E:E,E1227)&gt;1,"yes","no"))</f>
        <v>duplicate?</v>
      </c>
      <c r="K1227" s="97" t="str">
        <f ca="1">IF(J1227="","Date",IF(J1227&lt;&gt;"",IF(K1227="Date",NOW(),K1227),""))</f>
        <v>Date</v>
      </c>
    </row>
    <row r="1228" spans="2:11">
      <c r="B1228" s="97" t="str">
        <f ca="1">IF(A1228="","Date",IF(A1228&lt;&gt;"",IF(B1228="Date",NOW(),B1228),""))</f>
        <v>Date</v>
      </c>
      <c r="C1228" s="19" t="str">
        <f>IF(ISBLANK(A1228),"Name",IF(ISNA(VLOOKUP(A1228,'Master List'!A:C,2,FALSE)), "Not Found", VLOOKUP(A1228,'Master List'!A:C,2,FALSE)))</f>
        <v>Name</v>
      </c>
      <c r="D1228" s="19" t="str">
        <f>IF(ISBLANK(A1228), "Email",IF(ISNA(VLOOKUP(A1228,'Master List'!A:C,3,FALSE)), "Not Found", VLOOKUP(A1228,'Master List'!A:C,3,FALSE)))</f>
        <v>Email</v>
      </c>
      <c r="F1228" s="4" t="str">
        <f>IF(OR(A1228="",E1228="","",A1228="?",E1228="?"),"duplicate?",IF(COUNTIFS($A:A,A1228,E:E,E1228)&gt;1,"yes","no"))</f>
        <v>duplicate?</v>
      </c>
      <c r="K1228" s="97" t="str">
        <f ca="1">IF(J1228="","Date",IF(J1228&lt;&gt;"",IF(K1228="Date",NOW(),K1228),""))</f>
        <v>Date</v>
      </c>
    </row>
    <row r="1229" spans="2:11">
      <c r="B1229" s="97" t="str">
        <f ca="1">IF(A1229="","Date",IF(A1229&lt;&gt;"",IF(B1229="Date",NOW(),B1229),""))</f>
        <v>Date</v>
      </c>
      <c r="C1229" s="19" t="str">
        <f>IF(ISBLANK(A1229),"Name",IF(ISNA(VLOOKUP(A1229,'Master List'!A:C,2,FALSE)), "Not Found", VLOOKUP(A1229,'Master List'!A:C,2,FALSE)))</f>
        <v>Name</v>
      </c>
      <c r="D1229" s="19" t="str">
        <f>IF(ISBLANK(A1229), "Email",IF(ISNA(VLOOKUP(A1229,'Master List'!A:C,3,FALSE)), "Not Found", VLOOKUP(A1229,'Master List'!A:C,3,FALSE)))</f>
        <v>Email</v>
      </c>
      <c r="F1229" s="4" t="str">
        <f>IF(OR(A1229="",E1229="","",A1229="?",E1229="?"),"duplicate?",IF(COUNTIFS($A:A,A1229,E:E,E1229)&gt;1,"yes","no"))</f>
        <v>duplicate?</v>
      </c>
      <c r="K1229" s="97" t="str">
        <f ca="1">IF(J1229="","Date",IF(J1229&lt;&gt;"",IF(K1229="Date",NOW(),K1229),""))</f>
        <v>Date</v>
      </c>
    </row>
    <row r="1230" spans="2:11">
      <c r="B1230" s="97" t="str">
        <f ca="1">IF(A1230="","Date",IF(A1230&lt;&gt;"",IF(B1230="Date",NOW(),B1230),""))</f>
        <v>Date</v>
      </c>
      <c r="C1230" s="19" t="str">
        <f>IF(ISBLANK(A1230),"Name",IF(ISNA(VLOOKUP(A1230,'Master List'!A:C,2,FALSE)), "Not Found", VLOOKUP(A1230,'Master List'!A:C,2,FALSE)))</f>
        <v>Name</v>
      </c>
      <c r="D1230" s="19" t="str">
        <f>IF(ISBLANK(A1230), "Email",IF(ISNA(VLOOKUP(A1230,'Master List'!A:C,3,FALSE)), "Not Found", VLOOKUP(A1230,'Master List'!A:C,3,FALSE)))</f>
        <v>Email</v>
      </c>
      <c r="F1230" s="4" t="str">
        <f>IF(OR(A1230="",E1230="","",A1230="?",E1230="?"),"duplicate?",IF(COUNTIFS($A:A,A1230,E:E,E1230)&gt;1,"yes","no"))</f>
        <v>duplicate?</v>
      </c>
      <c r="K1230" s="97" t="str">
        <f ca="1">IF(J1230="","Date",IF(J1230&lt;&gt;"",IF(K1230="Date",NOW(),K1230),""))</f>
        <v>Date</v>
      </c>
    </row>
    <row r="1231" spans="2:11">
      <c r="B1231" s="97" t="str">
        <f ca="1">IF(A1231="","Date",IF(A1231&lt;&gt;"",IF(B1231="Date",NOW(),B1231),""))</f>
        <v>Date</v>
      </c>
      <c r="C1231" s="19" t="str">
        <f>IF(ISBLANK(A1231),"Name",IF(ISNA(VLOOKUP(A1231,'Master List'!A:C,2,FALSE)), "Not Found", VLOOKUP(A1231,'Master List'!A:C,2,FALSE)))</f>
        <v>Name</v>
      </c>
      <c r="D1231" s="19" t="str">
        <f>IF(ISBLANK(A1231), "Email",IF(ISNA(VLOOKUP(A1231,'Master List'!A:C,3,FALSE)), "Not Found", VLOOKUP(A1231,'Master List'!A:C,3,FALSE)))</f>
        <v>Email</v>
      </c>
      <c r="F1231" s="4" t="str">
        <f>IF(OR(A1231="",E1231="","",A1231="?",E1231="?"),"duplicate?",IF(COUNTIFS($A:A,A1231,E:E,E1231)&gt;1,"yes","no"))</f>
        <v>duplicate?</v>
      </c>
      <c r="K1231" s="97" t="str">
        <f ca="1">IF(J1231="","Date",IF(J1231&lt;&gt;"",IF(K1231="Date",NOW(),K1231),""))</f>
        <v>Date</v>
      </c>
    </row>
    <row r="1232" spans="2:11">
      <c r="B1232" s="97" t="str">
        <f ca="1">IF(A1232="","Date",IF(A1232&lt;&gt;"",IF(B1232="Date",NOW(),B1232),""))</f>
        <v>Date</v>
      </c>
      <c r="C1232" s="19" t="str">
        <f>IF(ISBLANK(A1232),"Name",IF(ISNA(VLOOKUP(A1232,'Master List'!A:C,2,FALSE)), "Not Found", VLOOKUP(A1232,'Master List'!A:C,2,FALSE)))</f>
        <v>Name</v>
      </c>
      <c r="D1232" s="19" t="str">
        <f>IF(ISBLANK(A1232), "Email",IF(ISNA(VLOOKUP(A1232,'Master List'!A:C,3,FALSE)), "Not Found", VLOOKUP(A1232,'Master List'!A:C,3,FALSE)))</f>
        <v>Email</v>
      </c>
      <c r="F1232" s="4" t="str">
        <f>IF(OR(A1232="",E1232="","",A1232="?",E1232="?"),"duplicate?",IF(COUNTIFS($A:A,A1232,E:E,E1232)&gt;1,"yes","no"))</f>
        <v>duplicate?</v>
      </c>
      <c r="K1232" s="97" t="str">
        <f ca="1">IF(J1232="","Date",IF(J1232&lt;&gt;"",IF(K1232="Date",NOW(),K1232),""))</f>
        <v>Date</v>
      </c>
    </row>
    <row r="1233" spans="2:11">
      <c r="B1233" s="97" t="str">
        <f ca="1">IF(A1233="","Date",IF(A1233&lt;&gt;"",IF(B1233="Date",NOW(),B1233),""))</f>
        <v>Date</v>
      </c>
      <c r="C1233" s="19" t="str">
        <f>IF(ISBLANK(A1233),"Name",IF(ISNA(VLOOKUP(A1233,'Master List'!A:C,2,FALSE)), "Not Found", VLOOKUP(A1233,'Master List'!A:C,2,FALSE)))</f>
        <v>Name</v>
      </c>
      <c r="D1233" s="19" t="str">
        <f>IF(ISBLANK(A1233), "Email",IF(ISNA(VLOOKUP(A1233,'Master List'!A:C,3,FALSE)), "Not Found", VLOOKUP(A1233,'Master List'!A:C,3,FALSE)))</f>
        <v>Email</v>
      </c>
      <c r="F1233" s="4" t="str">
        <f>IF(OR(A1233="",E1233="","",A1233="?",E1233="?"),"duplicate?",IF(COUNTIFS($A:A,A1233,E:E,E1233)&gt;1,"yes","no"))</f>
        <v>duplicate?</v>
      </c>
      <c r="K1233" s="97" t="str">
        <f ca="1">IF(J1233="","Date",IF(J1233&lt;&gt;"",IF(K1233="Date",NOW(),K1233),""))</f>
        <v>Date</v>
      </c>
    </row>
    <row r="1234" spans="2:11">
      <c r="B1234" s="97" t="str">
        <f ca="1">IF(A1234="","Date",IF(A1234&lt;&gt;"",IF(B1234="Date",NOW(),B1234),""))</f>
        <v>Date</v>
      </c>
      <c r="C1234" s="19" t="str">
        <f>IF(ISBLANK(A1234),"Name",IF(ISNA(VLOOKUP(A1234,'Master List'!A:C,2,FALSE)), "Not Found", VLOOKUP(A1234,'Master List'!A:C,2,FALSE)))</f>
        <v>Name</v>
      </c>
      <c r="D1234" s="19" t="str">
        <f>IF(ISBLANK(A1234), "Email",IF(ISNA(VLOOKUP(A1234,'Master List'!A:C,3,FALSE)), "Not Found", VLOOKUP(A1234,'Master List'!A:C,3,FALSE)))</f>
        <v>Email</v>
      </c>
      <c r="F1234" s="4" t="str">
        <f>IF(OR(A1234="",E1234="","",A1234="?",E1234="?"),"duplicate?",IF(COUNTIFS($A:A,A1234,E:E,E1234)&gt;1,"yes","no"))</f>
        <v>duplicate?</v>
      </c>
      <c r="K1234" s="97" t="str">
        <f ca="1">IF(J1234="","Date",IF(J1234&lt;&gt;"",IF(K1234="Date",NOW(),K1234),""))</f>
        <v>Date</v>
      </c>
    </row>
    <row r="1235" spans="2:11">
      <c r="B1235" s="97" t="str">
        <f ca="1">IF(A1235="","Date",IF(A1235&lt;&gt;"",IF(B1235="Date",NOW(),B1235),""))</f>
        <v>Date</v>
      </c>
      <c r="C1235" s="19" t="str">
        <f>IF(ISBLANK(A1235),"Name",IF(ISNA(VLOOKUP(A1235,'Master List'!A:C,2,FALSE)), "Not Found", VLOOKUP(A1235,'Master List'!A:C,2,FALSE)))</f>
        <v>Name</v>
      </c>
      <c r="D1235" s="19" t="str">
        <f>IF(ISBLANK(A1235), "Email",IF(ISNA(VLOOKUP(A1235,'Master List'!A:C,3,FALSE)), "Not Found", VLOOKUP(A1235,'Master List'!A:C,3,FALSE)))</f>
        <v>Email</v>
      </c>
      <c r="F1235" s="4" t="str">
        <f>IF(OR(A1235="",E1235="","",A1235="?",E1235="?"),"duplicate?",IF(COUNTIFS($A:A,A1235,E:E,E1235)&gt;1,"yes","no"))</f>
        <v>duplicate?</v>
      </c>
      <c r="K1235" s="97" t="str">
        <f ca="1">IF(J1235="","Date",IF(J1235&lt;&gt;"",IF(K1235="Date",NOW(),K1235),""))</f>
        <v>Date</v>
      </c>
    </row>
    <row r="1236" spans="2:11">
      <c r="B1236" s="97" t="str">
        <f ca="1">IF(A1236="","Date",IF(A1236&lt;&gt;"",IF(B1236="Date",NOW(),B1236),""))</f>
        <v>Date</v>
      </c>
      <c r="C1236" s="19" t="str">
        <f>IF(ISBLANK(A1236),"Name",IF(ISNA(VLOOKUP(A1236,'Master List'!A:C,2,FALSE)), "Not Found", VLOOKUP(A1236,'Master List'!A:C,2,FALSE)))</f>
        <v>Name</v>
      </c>
      <c r="D1236" s="19" t="str">
        <f>IF(ISBLANK(A1236), "Email",IF(ISNA(VLOOKUP(A1236,'Master List'!A:C,3,FALSE)), "Not Found", VLOOKUP(A1236,'Master List'!A:C,3,FALSE)))</f>
        <v>Email</v>
      </c>
      <c r="F1236" s="4" t="str">
        <f>IF(OR(A1236="",E1236="","",A1236="?",E1236="?"),"duplicate?",IF(COUNTIFS($A:A,A1236,E:E,E1236)&gt;1,"yes","no"))</f>
        <v>duplicate?</v>
      </c>
      <c r="K1236" s="97" t="str">
        <f ca="1">IF(J1236="","Date",IF(J1236&lt;&gt;"",IF(K1236="Date",NOW(),K1236),""))</f>
        <v>Date</v>
      </c>
    </row>
    <row r="1237" spans="2:11">
      <c r="B1237" s="97" t="str">
        <f ca="1">IF(A1237="","Date",IF(A1237&lt;&gt;"",IF(B1237="Date",NOW(),B1237),""))</f>
        <v>Date</v>
      </c>
      <c r="C1237" s="19" t="str">
        <f>IF(ISBLANK(A1237),"Name",IF(ISNA(VLOOKUP(A1237,'Master List'!A:C,2,FALSE)), "Not Found", VLOOKUP(A1237,'Master List'!A:C,2,FALSE)))</f>
        <v>Name</v>
      </c>
      <c r="D1237" s="19" t="str">
        <f>IF(ISBLANK(A1237), "Email",IF(ISNA(VLOOKUP(A1237,'Master List'!A:C,3,FALSE)), "Not Found", VLOOKUP(A1237,'Master List'!A:C,3,FALSE)))</f>
        <v>Email</v>
      </c>
      <c r="F1237" s="4" t="str">
        <f>IF(OR(A1237="",E1237="","",A1237="?",E1237="?"),"duplicate?",IF(COUNTIFS($A:A,A1237,E:E,E1237)&gt;1,"yes","no"))</f>
        <v>duplicate?</v>
      </c>
      <c r="K1237" s="97" t="str">
        <f ca="1">IF(J1237="","Date",IF(J1237&lt;&gt;"",IF(K1237="Date",NOW(),K1237),""))</f>
        <v>Date</v>
      </c>
    </row>
    <row r="1238" spans="2:11">
      <c r="B1238" s="97" t="str">
        <f ca="1">IF(A1238="","Date",IF(A1238&lt;&gt;"",IF(B1238="Date",NOW(),B1238),""))</f>
        <v>Date</v>
      </c>
      <c r="C1238" s="19" t="str">
        <f>IF(ISBLANK(A1238),"Name",IF(ISNA(VLOOKUP(A1238,'Master List'!A:C,2,FALSE)), "Not Found", VLOOKUP(A1238,'Master List'!A:C,2,FALSE)))</f>
        <v>Name</v>
      </c>
      <c r="D1238" s="19" t="str">
        <f>IF(ISBLANK(A1238), "Email",IF(ISNA(VLOOKUP(A1238,'Master List'!A:C,3,FALSE)), "Not Found", VLOOKUP(A1238,'Master List'!A:C,3,FALSE)))</f>
        <v>Email</v>
      </c>
      <c r="F1238" s="4" t="str">
        <f>IF(OR(A1238="",E1238="","",A1238="?",E1238="?"),"duplicate?",IF(COUNTIFS($A:A,A1238,E:E,E1238)&gt;1,"yes","no"))</f>
        <v>duplicate?</v>
      </c>
      <c r="K1238" s="97" t="str">
        <f ca="1">IF(J1238="","Date",IF(J1238&lt;&gt;"",IF(K1238="Date",NOW(),K1238),""))</f>
        <v>Date</v>
      </c>
    </row>
    <row r="1239" spans="2:11">
      <c r="B1239" s="97" t="str">
        <f ca="1">IF(A1239="","Date",IF(A1239&lt;&gt;"",IF(B1239="Date",NOW(),B1239),""))</f>
        <v>Date</v>
      </c>
      <c r="C1239" s="19" t="str">
        <f>IF(ISBLANK(A1239),"Name",IF(ISNA(VLOOKUP(A1239,'Master List'!A:C,2,FALSE)), "Not Found", VLOOKUP(A1239,'Master List'!A:C,2,FALSE)))</f>
        <v>Name</v>
      </c>
      <c r="D1239" s="19" t="str">
        <f>IF(ISBLANK(A1239), "Email",IF(ISNA(VLOOKUP(A1239,'Master List'!A:C,3,FALSE)), "Not Found", VLOOKUP(A1239,'Master List'!A:C,3,FALSE)))</f>
        <v>Email</v>
      </c>
      <c r="F1239" s="4" t="str">
        <f>IF(OR(A1239="",E1239="","",A1239="?",E1239="?"),"duplicate?",IF(COUNTIFS($A:A,A1239,E:E,E1239)&gt;1,"yes","no"))</f>
        <v>duplicate?</v>
      </c>
      <c r="K1239" s="97" t="str">
        <f ca="1">IF(J1239="","Date",IF(J1239&lt;&gt;"",IF(K1239="Date",NOW(),K1239),""))</f>
        <v>Date</v>
      </c>
    </row>
    <row r="1240" spans="2:11">
      <c r="B1240" s="97" t="str">
        <f ca="1">IF(A1240="","Date",IF(A1240&lt;&gt;"",IF(B1240="Date",NOW(),B1240),""))</f>
        <v>Date</v>
      </c>
      <c r="C1240" s="19" t="str">
        <f>IF(ISBLANK(A1240),"Name",IF(ISNA(VLOOKUP(A1240,'Master List'!A:C,2,FALSE)), "Not Found", VLOOKUP(A1240,'Master List'!A:C,2,FALSE)))</f>
        <v>Name</v>
      </c>
      <c r="D1240" s="19" t="str">
        <f>IF(ISBLANK(A1240), "Email",IF(ISNA(VLOOKUP(A1240,'Master List'!A:C,3,FALSE)), "Not Found", VLOOKUP(A1240,'Master List'!A:C,3,FALSE)))</f>
        <v>Email</v>
      </c>
      <c r="F1240" s="4" t="str">
        <f>IF(OR(A1240="",E1240="","",A1240="?",E1240="?"),"duplicate?",IF(COUNTIFS($A:A,A1240,E:E,E1240)&gt;1,"yes","no"))</f>
        <v>duplicate?</v>
      </c>
      <c r="K1240" s="97" t="str">
        <f ca="1">IF(J1240="","Date",IF(J1240&lt;&gt;"",IF(K1240="Date",NOW(),K1240),""))</f>
        <v>Date</v>
      </c>
    </row>
    <row r="1241" spans="2:11">
      <c r="B1241" s="97" t="str">
        <f ca="1">IF(A1241="","Date",IF(A1241&lt;&gt;"",IF(B1241="Date",NOW(),B1241),""))</f>
        <v>Date</v>
      </c>
      <c r="C1241" s="19" t="str">
        <f>IF(ISBLANK(A1241),"Name",IF(ISNA(VLOOKUP(A1241,'Master List'!A:C,2,FALSE)), "Not Found", VLOOKUP(A1241,'Master List'!A:C,2,FALSE)))</f>
        <v>Name</v>
      </c>
      <c r="D1241" s="19" t="str">
        <f>IF(ISBLANK(A1241), "Email",IF(ISNA(VLOOKUP(A1241,'Master List'!A:C,3,FALSE)), "Not Found", VLOOKUP(A1241,'Master List'!A:C,3,FALSE)))</f>
        <v>Email</v>
      </c>
      <c r="F1241" s="4" t="str">
        <f>IF(OR(A1241="",E1241="","",A1241="?",E1241="?"),"duplicate?",IF(COUNTIFS($A:A,A1241,E:E,E1241)&gt;1,"yes","no"))</f>
        <v>duplicate?</v>
      </c>
      <c r="K1241" s="97" t="str">
        <f ca="1">IF(J1241="","Date",IF(J1241&lt;&gt;"",IF(K1241="Date",NOW(),K1241),""))</f>
        <v>Date</v>
      </c>
    </row>
    <row r="1242" spans="2:11">
      <c r="B1242" s="97" t="str">
        <f ca="1">IF(A1242="","Date",IF(A1242&lt;&gt;"",IF(B1242="Date",NOW(),B1242),""))</f>
        <v>Date</v>
      </c>
      <c r="C1242" s="19" t="str">
        <f>IF(ISBLANK(A1242),"Name",IF(ISNA(VLOOKUP(A1242,'Master List'!A:C,2,FALSE)), "Not Found", VLOOKUP(A1242,'Master List'!A:C,2,FALSE)))</f>
        <v>Name</v>
      </c>
      <c r="D1242" s="19" t="str">
        <f>IF(ISBLANK(A1242), "Email",IF(ISNA(VLOOKUP(A1242,'Master List'!A:C,3,FALSE)), "Not Found", VLOOKUP(A1242,'Master List'!A:C,3,FALSE)))</f>
        <v>Email</v>
      </c>
      <c r="F1242" s="4" t="str">
        <f>IF(OR(A1242="",E1242="","",A1242="?",E1242="?"),"duplicate?",IF(COUNTIFS($A:A,A1242,E:E,E1242)&gt;1,"yes","no"))</f>
        <v>duplicate?</v>
      </c>
      <c r="K1242" s="97" t="str">
        <f ca="1">IF(J1242="","Date",IF(J1242&lt;&gt;"",IF(K1242="Date",NOW(),K1242),""))</f>
        <v>Date</v>
      </c>
    </row>
    <row r="1243" spans="2:11">
      <c r="B1243" s="97" t="str">
        <f ca="1">IF(A1243="","Date",IF(A1243&lt;&gt;"",IF(B1243="Date",NOW(),B1243),""))</f>
        <v>Date</v>
      </c>
      <c r="C1243" s="19" t="str">
        <f>IF(ISBLANK(A1243),"Name",IF(ISNA(VLOOKUP(A1243,'Master List'!A:C,2,FALSE)), "Not Found", VLOOKUP(A1243,'Master List'!A:C,2,FALSE)))</f>
        <v>Name</v>
      </c>
      <c r="D1243" s="19" t="str">
        <f>IF(ISBLANK(A1243), "Email",IF(ISNA(VLOOKUP(A1243,'Master List'!A:C,3,FALSE)), "Not Found", VLOOKUP(A1243,'Master List'!A:C,3,FALSE)))</f>
        <v>Email</v>
      </c>
      <c r="F1243" s="4" t="str">
        <f>IF(OR(A1243="",E1243="","",A1243="?",E1243="?"),"duplicate?",IF(COUNTIFS($A:A,A1243,E:E,E1243)&gt;1,"yes","no"))</f>
        <v>duplicate?</v>
      </c>
      <c r="K1243" s="97" t="str">
        <f ca="1">IF(J1243="","Date",IF(J1243&lt;&gt;"",IF(K1243="Date",NOW(),K1243),""))</f>
        <v>Date</v>
      </c>
    </row>
    <row r="1244" spans="2:11">
      <c r="B1244" s="97" t="str">
        <f ca="1">IF(A1244="","Date",IF(A1244&lt;&gt;"",IF(B1244="Date",NOW(),B1244),""))</f>
        <v>Date</v>
      </c>
      <c r="C1244" s="19" t="str">
        <f>IF(ISBLANK(A1244),"Name",IF(ISNA(VLOOKUP(A1244,'Master List'!A:C,2,FALSE)), "Not Found", VLOOKUP(A1244,'Master List'!A:C,2,FALSE)))</f>
        <v>Name</v>
      </c>
      <c r="D1244" s="19" t="str">
        <f>IF(ISBLANK(A1244), "Email",IF(ISNA(VLOOKUP(A1244,'Master List'!A:C,3,FALSE)), "Not Found", VLOOKUP(A1244,'Master List'!A:C,3,FALSE)))</f>
        <v>Email</v>
      </c>
      <c r="F1244" s="4" t="str">
        <f>IF(OR(A1244="",E1244="","",A1244="?",E1244="?"),"duplicate?",IF(COUNTIFS($A:A,A1244,E:E,E1244)&gt;1,"yes","no"))</f>
        <v>duplicate?</v>
      </c>
      <c r="K1244" s="97" t="str">
        <f ca="1">IF(J1244="","Date",IF(J1244&lt;&gt;"",IF(K1244="Date",NOW(),K1244),""))</f>
        <v>Date</v>
      </c>
    </row>
    <row r="1245" spans="2:11">
      <c r="B1245" s="97" t="str">
        <f ca="1">IF(A1245="","Date",IF(A1245&lt;&gt;"",IF(B1245="Date",NOW(),B1245),""))</f>
        <v>Date</v>
      </c>
      <c r="C1245" s="19" t="str">
        <f>IF(ISBLANK(A1245),"Name",IF(ISNA(VLOOKUP(A1245,'Master List'!A:C,2,FALSE)), "Not Found", VLOOKUP(A1245,'Master List'!A:C,2,FALSE)))</f>
        <v>Name</v>
      </c>
      <c r="D1245" s="19" t="str">
        <f>IF(ISBLANK(A1245), "Email",IF(ISNA(VLOOKUP(A1245,'Master List'!A:C,3,FALSE)), "Not Found", VLOOKUP(A1245,'Master List'!A:C,3,FALSE)))</f>
        <v>Email</v>
      </c>
      <c r="F1245" s="4" t="str">
        <f>IF(OR(A1245="",E1245="","",A1245="?",E1245="?"),"duplicate?",IF(COUNTIFS($A:A,A1245,E:E,E1245)&gt;1,"yes","no"))</f>
        <v>duplicate?</v>
      </c>
      <c r="K1245" s="97" t="str">
        <f ca="1">IF(J1245="","Date",IF(J1245&lt;&gt;"",IF(K1245="Date",NOW(),K1245),""))</f>
        <v>Date</v>
      </c>
    </row>
    <row r="1246" spans="2:11">
      <c r="B1246" s="97" t="str">
        <f ca="1">IF(A1246="","Date",IF(A1246&lt;&gt;"",IF(B1246="Date",NOW(),B1246),""))</f>
        <v>Date</v>
      </c>
      <c r="C1246" s="19" t="str">
        <f>IF(ISBLANK(A1246),"Name",IF(ISNA(VLOOKUP(A1246,'Master List'!A:C,2,FALSE)), "Not Found", VLOOKUP(A1246,'Master List'!A:C,2,FALSE)))</f>
        <v>Name</v>
      </c>
      <c r="D1246" s="19" t="str">
        <f>IF(ISBLANK(A1246), "Email",IF(ISNA(VLOOKUP(A1246,'Master List'!A:C,3,FALSE)), "Not Found", VLOOKUP(A1246,'Master List'!A:C,3,FALSE)))</f>
        <v>Email</v>
      </c>
      <c r="F1246" s="4" t="str">
        <f>IF(OR(A1246="",E1246="","",A1246="?",E1246="?"),"duplicate?",IF(COUNTIFS($A:A,A1246,E:E,E1246)&gt;1,"yes","no"))</f>
        <v>duplicate?</v>
      </c>
      <c r="K1246" s="97" t="str">
        <f ca="1">IF(J1246="","Date",IF(J1246&lt;&gt;"",IF(K1246="Date",NOW(),K1246),""))</f>
        <v>Date</v>
      </c>
    </row>
    <row r="1247" spans="2:11">
      <c r="B1247" s="97" t="str">
        <f ca="1">IF(A1247="","Date",IF(A1247&lt;&gt;"",IF(B1247="Date",NOW(),B1247),""))</f>
        <v>Date</v>
      </c>
      <c r="C1247" s="19" t="str">
        <f>IF(ISBLANK(A1247),"Name",IF(ISNA(VLOOKUP(A1247,'Master List'!A:C,2,FALSE)), "Not Found", VLOOKUP(A1247,'Master List'!A:C,2,FALSE)))</f>
        <v>Name</v>
      </c>
      <c r="D1247" s="19" t="str">
        <f>IF(ISBLANK(A1247), "Email",IF(ISNA(VLOOKUP(A1247,'Master List'!A:C,3,FALSE)), "Not Found", VLOOKUP(A1247,'Master List'!A:C,3,FALSE)))</f>
        <v>Email</v>
      </c>
      <c r="F1247" s="4" t="str">
        <f>IF(OR(A1247="",E1247="","",A1247="?",E1247="?"),"duplicate?",IF(COUNTIFS($A:A,A1247,E:E,E1247)&gt;1,"yes","no"))</f>
        <v>duplicate?</v>
      </c>
      <c r="K1247" s="97" t="str">
        <f ca="1">IF(J1247="","Date",IF(J1247&lt;&gt;"",IF(K1247="Date",NOW(),K1247),""))</f>
        <v>Date</v>
      </c>
    </row>
    <row r="1248" spans="2:11">
      <c r="B1248" s="97" t="str">
        <f ca="1">IF(A1248="","Date",IF(A1248&lt;&gt;"",IF(B1248="Date",NOW(),B1248),""))</f>
        <v>Date</v>
      </c>
      <c r="C1248" s="19" t="str">
        <f>IF(ISBLANK(A1248),"Name",IF(ISNA(VLOOKUP(A1248,'Master List'!A:C,2,FALSE)), "Not Found", VLOOKUP(A1248,'Master List'!A:C,2,FALSE)))</f>
        <v>Name</v>
      </c>
      <c r="D1248" s="19" t="str">
        <f>IF(ISBLANK(A1248), "Email",IF(ISNA(VLOOKUP(A1248,'Master List'!A:C,3,FALSE)), "Not Found", VLOOKUP(A1248,'Master List'!A:C,3,FALSE)))</f>
        <v>Email</v>
      </c>
      <c r="F1248" s="4" t="str">
        <f>IF(OR(A1248="",E1248="","",A1248="?",E1248="?"),"duplicate?",IF(COUNTIFS($A:A,A1248,E:E,E1248)&gt;1,"yes","no"))</f>
        <v>duplicate?</v>
      </c>
      <c r="K1248" s="97" t="str">
        <f ca="1">IF(J1248="","Date",IF(J1248&lt;&gt;"",IF(K1248="Date",NOW(),K1248),""))</f>
        <v>Date</v>
      </c>
    </row>
    <row r="1249" spans="2:11">
      <c r="B1249" s="97" t="str">
        <f ca="1">IF(A1249="","Date",IF(A1249&lt;&gt;"",IF(B1249="Date",NOW(),B1249),""))</f>
        <v>Date</v>
      </c>
      <c r="C1249" s="19" t="str">
        <f>IF(ISBLANK(A1249),"Name",IF(ISNA(VLOOKUP(A1249,'Master List'!A:C,2,FALSE)), "Not Found", VLOOKUP(A1249,'Master List'!A:C,2,FALSE)))</f>
        <v>Name</v>
      </c>
      <c r="D1249" s="19" t="str">
        <f>IF(ISBLANK(A1249), "Email",IF(ISNA(VLOOKUP(A1249,'Master List'!A:C,3,FALSE)), "Not Found", VLOOKUP(A1249,'Master List'!A:C,3,FALSE)))</f>
        <v>Email</v>
      </c>
      <c r="F1249" s="4" t="str">
        <f>IF(OR(A1249="",E1249="","",A1249="?",E1249="?"),"duplicate?",IF(COUNTIFS($A:A,A1249,E:E,E1249)&gt;1,"yes","no"))</f>
        <v>duplicate?</v>
      </c>
      <c r="K1249" s="97" t="str">
        <f ca="1">IF(J1249="","Date",IF(J1249&lt;&gt;"",IF(K1249="Date",NOW(),K1249),""))</f>
        <v>Date</v>
      </c>
    </row>
    <row r="1250" spans="2:11">
      <c r="B1250" s="97" t="str">
        <f ca="1">IF(A1250="","Date",IF(A1250&lt;&gt;"",IF(B1250="Date",NOW(),B1250),""))</f>
        <v>Date</v>
      </c>
      <c r="C1250" s="19" t="str">
        <f>IF(ISBLANK(A1250),"Name",IF(ISNA(VLOOKUP(A1250,'Master List'!A:C,2,FALSE)), "Not Found", VLOOKUP(A1250,'Master List'!A:C,2,FALSE)))</f>
        <v>Name</v>
      </c>
      <c r="D1250" s="19" t="str">
        <f>IF(ISBLANK(A1250), "Email",IF(ISNA(VLOOKUP(A1250,'Master List'!A:C,3,FALSE)), "Not Found", VLOOKUP(A1250,'Master List'!A:C,3,FALSE)))</f>
        <v>Email</v>
      </c>
      <c r="F1250" s="4" t="str">
        <f>IF(OR(A1250="",E1250="","",A1250="?",E1250="?"),"duplicate?",IF(COUNTIFS($A:A,A1250,E:E,E1250)&gt;1,"yes","no"))</f>
        <v>duplicate?</v>
      </c>
      <c r="K1250" s="97" t="str">
        <f ca="1">IF(J1250="","Date",IF(J1250&lt;&gt;"",IF(K1250="Date",NOW(),K1250),""))</f>
        <v>Date</v>
      </c>
    </row>
    <row r="1251" spans="2:11">
      <c r="B1251" s="97" t="str">
        <f ca="1">IF(A1251="","Date",IF(A1251&lt;&gt;"",IF(B1251="Date",NOW(),B1251),""))</f>
        <v>Date</v>
      </c>
      <c r="C1251" s="19" t="str">
        <f>IF(ISBLANK(A1251),"Name",IF(ISNA(VLOOKUP(A1251,'Master List'!A:C,2,FALSE)), "Not Found", VLOOKUP(A1251,'Master List'!A:C,2,FALSE)))</f>
        <v>Name</v>
      </c>
      <c r="D1251" s="19" t="str">
        <f>IF(ISBLANK(A1251), "Email",IF(ISNA(VLOOKUP(A1251,'Master List'!A:C,3,FALSE)), "Not Found", VLOOKUP(A1251,'Master List'!A:C,3,FALSE)))</f>
        <v>Email</v>
      </c>
      <c r="F1251" s="4" t="str">
        <f>IF(OR(A1251="",E1251="","",A1251="?",E1251="?"),"duplicate?",IF(COUNTIFS($A:A,A1251,E:E,E1251)&gt;1,"yes","no"))</f>
        <v>duplicate?</v>
      </c>
      <c r="K1251" s="97" t="str">
        <f ca="1">IF(J1251="","Date",IF(J1251&lt;&gt;"",IF(K1251="Date",NOW(),K1251),""))</f>
        <v>Date</v>
      </c>
    </row>
    <row r="1252" spans="2:11">
      <c r="B1252" s="97" t="str">
        <f ca="1">IF(A1252="","Date",IF(A1252&lt;&gt;"",IF(B1252="Date",NOW(),B1252),""))</f>
        <v>Date</v>
      </c>
      <c r="C1252" s="19" t="str">
        <f>IF(ISBLANK(A1252),"Name",IF(ISNA(VLOOKUP(A1252,'Master List'!A:C,2,FALSE)), "Not Found", VLOOKUP(A1252,'Master List'!A:C,2,FALSE)))</f>
        <v>Name</v>
      </c>
      <c r="D1252" s="19" t="str">
        <f>IF(ISBLANK(A1252), "Email",IF(ISNA(VLOOKUP(A1252,'Master List'!A:C,3,FALSE)), "Not Found", VLOOKUP(A1252,'Master List'!A:C,3,FALSE)))</f>
        <v>Email</v>
      </c>
      <c r="F1252" s="4" t="str">
        <f>IF(OR(A1252="",E1252="","",A1252="?",E1252="?"),"duplicate?",IF(COUNTIFS($A:A,A1252,E:E,E1252)&gt;1,"yes","no"))</f>
        <v>duplicate?</v>
      </c>
      <c r="K1252" s="97" t="str">
        <f ca="1">IF(J1252="","Date",IF(J1252&lt;&gt;"",IF(K1252="Date",NOW(),K1252),""))</f>
        <v>Date</v>
      </c>
    </row>
    <row r="1253" spans="2:11">
      <c r="B1253" s="97" t="str">
        <f ca="1">IF(A1253="","Date",IF(A1253&lt;&gt;"",IF(B1253="Date",NOW(),B1253),""))</f>
        <v>Date</v>
      </c>
      <c r="C1253" s="19" t="str">
        <f>IF(ISBLANK(A1253),"Name",IF(ISNA(VLOOKUP(A1253,'Master List'!A:C,2,FALSE)), "Not Found", VLOOKUP(A1253,'Master List'!A:C,2,FALSE)))</f>
        <v>Name</v>
      </c>
      <c r="D1253" s="19" t="str">
        <f>IF(ISBLANK(A1253), "Email",IF(ISNA(VLOOKUP(A1253,'Master List'!A:C,3,FALSE)), "Not Found", VLOOKUP(A1253,'Master List'!A:C,3,FALSE)))</f>
        <v>Email</v>
      </c>
      <c r="F1253" s="4" t="str">
        <f>IF(OR(A1253="",E1253="","",A1253="?",E1253="?"),"duplicate?",IF(COUNTIFS($A:A,A1253,E:E,E1253)&gt;1,"yes","no"))</f>
        <v>duplicate?</v>
      </c>
      <c r="K1253" s="97" t="str">
        <f ca="1">IF(J1253="","Date",IF(J1253&lt;&gt;"",IF(K1253="Date",NOW(),K1253),""))</f>
        <v>Date</v>
      </c>
    </row>
    <row r="1254" spans="2:11">
      <c r="B1254" s="97" t="str">
        <f ca="1">IF(A1254="","Date",IF(A1254&lt;&gt;"",IF(B1254="Date",NOW(),B1254),""))</f>
        <v>Date</v>
      </c>
      <c r="C1254" s="19" t="str">
        <f>IF(ISBLANK(A1254),"Name",IF(ISNA(VLOOKUP(A1254,'Master List'!A:C,2,FALSE)), "Not Found", VLOOKUP(A1254,'Master List'!A:C,2,FALSE)))</f>
        <v>Name</v>
      </c>
      <c r="D1254" s="19" t="str">
        <f>IF(ISBLANK(A1254), "Email",IF(ISNA(VLOOKUP(A1254,'Master List'!A:C,3,FALSE)), "Not Found", VLOOKUP(A1254,'Master List'!A:C,3,FALSE)))</f>
        <v>Email</v>
      </c>
      <c r="F1254" s="4" t="str">
        <f>IF(OR(A1254="",E1254="","",A1254="?",E1254="?"),"duplicate?",IF(COUNTIFS($A:A,A1254,E:E,E1254)&gt;1,"yes","no"))</f>
        <v>duplicate?</v>
      </c>
      <c r="K1254" s="97" t="str">
        <f ca="1">IF(J1254="","Date",IF(J1254&lt;&gt;"",IF(K1254="Date",NOW(),K1254),""))</f>
        <v>Date</v>
      </c>
    </row>
    <row r="1255" spans="2:11">
      <c r="B1255" s="97" t="str">
        <f ca="1">IF(A1255="","Date",IF(A1255&lt;&gt;"",IF(B1255="Date",NOW(),B1255),""))</f>
        <v>Date</v>
      </c>
      <c r="C1255" s="19" t="str">
        <f>IF(ISBLANK(A1255),"Name",IF(ISNA(VLOOKUP(A1255,'Master List'!A:C,2,FALSE)), "Not Found", VLOOKUP(A1255,'Master List'!A:C,2,FALSE)))</f>
        <v>Name</v>
      </c>
      <c r="D1255" s="19" t="str">
        <f>IF(ISBLANK(A1255), "Email",IF(ISNA(VLOOKUP(A1255,'Master List'!A:C,3,FALSE)), "Not Found", VLOOKUP(A1255,'Master List'!A:C,3,FALSE)))</f>
        <v>Email</v>
      </c>
      <c r="F1255" s="4" t="str">
        <f>IF(OR(A1255="",E1255="","",A1255="?",E1255="?"),"duplicate?",IF(COUNTIFS($A:A,A1255,E:E,E1255)&gt;1,"yes","no"))</f>
        <v>duplicate?</v>
      </c>
      <c r="K1255" s="97" t="str">
        <f ca="1">IF(J1255="","Date",IF(J1255&lt;&gt;"",IF(K1255="Date",NOW(),K1255),""))</f>
        <v>Date</v>
      </c>
    </row>
    <row r="1256" spans="2:11">
      <c r="B1256" s="97" t="str">
        <f ca="1">IF(A1256="","Date",IF(A1256&lt;&gt;"",IF(B1256="Date",NOW(),B1256),""))</f>
        <v>Date</v>
      </c>
      <c r="C1256" s="19" t="str">
        <f>IF(ISBLANK(A1256),"Name",IF(ISNA(VLOOKUP(A1256,'Master List'!A:C,2,FALSE)), "Not Found", VLOOKUP(A1256,'Master List'!A:C,2,FALSE)))</f>
        <v>Name</v>
      </c>
      <c r="D1256" s="19" t="str">
        <f>IF(ISBLANK(A1256), "Email",IF(ISNA(VLOOKUP(A1256,'Master List'!A:C,3,FALSE)), "Not Found", VLOOKUP(A1256,'Master List'!A:C,3,FALSE)))</f>
        <v>Email</v>
      </c>
      <c r="F1256" s="4" t="str">
        <f>IF(OR(A1256="",E1256="","",A1256="?",E1256="?"),"duplicate?",IF(COUNTIFS($A:A,A1256,E:E,E1256)&gt;1,"yes","no"))</f>
        <v>duplicate?</v>
      </c>
      <c r="K1256" s="97" t="str">
        <f ca="1">IF(J1256="","Date",IF(J1256&lt;&gt;"",IF(K1256="Date",NOW(),K1256),""))</f>
        <v>Date</v>
      </c>
    </row>
    <row r="1257" spans="2:11">
      <c r="B1257" s="97" t="str">
        <f ca="1">IF(A1257="","Date",IF(A1257&lt;&gt;"",IF(B1257="Date",NOW(),B1257),""))</f>
        <v>Date</v>
      </c>
      <c r="C1257" s="19" t="str">
        <f>IF(ISBLANK(A1257),"Name",IF(ISNA(VLOOKUP(A1257,'Master List'!A:C,2,FALSE)), "Not Found", VLOOKUP(A1257,'Master List'!A:C,2,FALSE)))</f>
        <v>Name</v>
      </c>
      <c r="D1257" s="19" t="str">
        <f>IF(ISBLANK(A1257), "Email",IF(ISNA(VLOOKUP(A1257,'Master List'!A:C,3,FALSE)), "Not Found", VLOOKUP(A1257,'Master List'!A:C,3,FALSE)))</f>
        <v>Email</v>
      </c>
      <c r="F1257" s="4" t="str">
        <f>IF(OR(A1257="",E1257="","",A1257="?",E1257="?"),"duplicate?",IF(COUNTIFS($A:A,A1257,E:E,E1257)&gt;1,"yes","no"))</f>
        <v>duplicate?</v>
      </c>
      <c r="K1257" s="97" t="str">
        <f ca="1">IF(J1257="","Date",IF(J1257&lt;&gt;"",IF(K1257="Date",NOW(),K1257),""))</f>
        <v>Date</v>
      </c>
    </row>
    <row r="1258" spans="2:11">
      <c r="B1258" s="97" t="str">
        <f ca="1">IF(A1258="","Date",IF(A1258&lt;&gt;"",IF(B1258="Date",NOW(),B1258),""))</f>
        <v>Date</v>
      </c>
      <c r="C1258" s="19" t="str">
        <f>IF(ISBLANK(A1258),"Name",IF(ISNA(VLOOKUP(A1258,'Master List'!A:C,2,FALSE)), "Not Found", VLOOKUP(A1258,'Master List'!A:C,2,FALSE)))</f>
        <v>Name</v>
      </c>
      <c r="D1258" s="19" t="str">
        <f>IF(ISBLANK(A1258), "Email",IF(ISNA(VLOOKUP(A1258,'Master List'!A:C,3,FALSE)), "Not Found", VLOOKUP(A1258,'Master List'!A:C,3,FALSE)))</f>
        <v>Email</v>
      </c>
      <c r="F1258" s="4" t="str">
        <f>IF(OR(A1258="",E1258="","",A1258="?",E1258="?"),"duplicate?",IF(COUNTIFS($A:A,A1258,E:E,E1258)&gt;1,"yes","no"))</f>
        <v>duplicate?</v>
      </c>
      <c r="K1258" s="97" t="str">
        <f ca="1">IF(J1258="","Date",IF(J1258&lt;&gt;"",IF(K1258="Date",NOW(),K1258),""))</f>
        <v>Date</v>
      </c>
    </row>
    <row r="1259" spans="2:11">
      <c r="B1259" s="97" t="str">
        <f ca="1">IF(A1259="","Date",IF(A1259&lt;&gt;"",IF(B1259="Date",NOW(),B1259),""))</f>
        <v>Date</v>
      </c>
      <c r="C1259" s="19" t="str">
        <f>IF(ISBLANK(A1259),"Name",IF(ISNA(VLOOKUP(A1259,'Master List'!A:C,2,FALSE)), "Not Found", VLOOKUP(A1259,'Master List'!A:C,2,FALSE)))</f>
        <v>Name</v>
      </c>
      <c r="D1259" s="19" t="str">
        <f>IF(ISBLANK(A1259), "Email",IF(ISNA(VLOOKUP(A1259,'Master List'!A:C,3,FALSE)), "Not Found", VLOOKUP(A1259,'Master List'!A:C,3,FALSE)))</f>
        <v>Email</v>
      </c>
      <c r="F1259" s="4" t="str">
        <f>IF(OR(A1259="",E1259="","",A1259="?",E1259="?"),"duplicate?",IF(COUNTIFS($A:A,A1259,E:E,E1259)&gt;1,"yes","no"))</f>
        <v>duplicate?</v>
      </c>
      <c r="K1259" s="97" t="str">
        <f ca="1">IF(J1259="","Date",IF(J1259&lt;&gt;"",IF(K1259="Date",NOW(),K1259),""))</f>
        <v>Date</v>
      </c>
    </row>
    <row r="1260" spans="2:11">
      <c r="B1260" s="97" t="str">
        <f ca="1">IF(A1260="","Date",IF(A1260&lt;&gt;"",IF(B1260="Date",NOW(),B1260),""))</f>
        <v>Date</v>
      </c>
      <c r="C1260" s="19" t="str">
        <f>IF(ISBLANK(A1260),"Name",IF(ISNA(VLOOKUP(A1260,'Master List'!A:C,2,FALSE)), "Not Found", VLOOKUP(A1260,'Master List'!A:C,2,FALSE)))</f>
        <v>Name</v>
      </c>
      <c r="D1260" s="19" t="str">
        <f>IF(ISBLANK(A1260), "Email",IF(ISNA(VLOOKUP(A1260,'Master List'!A:C,3,FALSE)), "Not Found", VLOOKUP(A1260,'Master List'!A:C,3,FALSE)))</f>
        <v>Email</v>
      </c>
      <c r="F1260" s="4" t="str">
        <f>IF(OR(A1260="",E1260="","",A1260="?",E1260="?"),"duplicate?",IF(COUNTIFS($A:A,A1260,E:E,E1260)&gt;1,"yes","no"))</f>
        <v>duplicate?</v>
      </c>
      <c r="K1260" s="97" t="str">
        <f ca="1">IF(J1260="","Date",IF(J1260&lt;&gt;"",IF(K1260="Date",NOW(),K1260),""))</f>
        <v>Date</v>
      </c>
    </row>
    <row r="1261" spans="2:11">
      <c r="B1261" s="97" t="str">
        <f ca="1">IF(A1261="","Date",IF(A1261&lt;&gt;"",IF(B1261="Date",NOW(),B1261),""))</f>
        <v>Date</v>
      </c>
      <c r="C1261" s="19" t="str">
        <f>IF(ISBLANK(A1261),"Name",IF(ISNA(VLOOKUP(A1261,'Master List'!A:C,2,FALSE)), "Not Found", VLOOKUP(A1261,'Master List'!A:C,2,FALSE)))</f>
        <v>Name</v>
      </c>
      <c r="D1261" s="19" t="str">
        <f>IF(ISBLANK(A1261), "Email",IF(ISNA(VLOOKUP(A1261,'Master List'!A:C,3,FALSE)), "Not Found", VLOOKUP(A1261,'Master List'!A:C,3,FALSE)))</f>
        <v>Email</v>
      </c>
      <c r="F1261" s="4" t="str">
        <f>IF(OR(A1261="",E1261="","",A1261="?",E1261="?"),"duplicate?",IF(COUNTIFS($A:A,A1261,E:E,E1261)&gt;1,"yes","no"))</f>
        <v>duplicate?</v>
      </c>
      <c r="K1261" s="97" t="str">
        <f ca="1">IF(J1261="","Date",IF(J1261&lt;&gt;"",IF(K1261="Date",NOW(),K1261),""))</f>
        <v>Date</v>
      </c>
    </row>
    <row r="1262" spans="2:11">
      <c r="B1262" s="97" t="str">
        <f ca="1">IF(A1262="","Date",IF(A1262&lt;&gt;"",IF(B1262="Date",NOW(),B1262),""))</f>
        <v>Date</v>
      </c>
      <c r="C1262" s="19" t="str">
        <f>IF(ISBLANK(A1262),"Name",IF(ISNA(VLOOKUP(A1262,'Master List'!A:C,2,FALSE)), "Not Found", VLOOKUP(A1262,'Master List'!A:C,2,FALSE)))</f>
        <v>Name</v>
      </c>
      <c r="D1262" s="19" t="str">
        <f>IF(ISBLANK(A1262), "Email",IF(ISNA(VLOOKUP(A1262,'Master List'!A:C,3,FALSE)), "Not Found", VLOOKUP(A1262,'Master List'!A:C,3,FALSE)))</f>
        <v>Email</v>
      </c>
      <c r="F1262" s="4" t="str">
        <f>IF(OR(A1262="",E1262="","",A1262="?",E1262="?"),"duplicate?",IF(COUNTIFS($A:A,A1262,E:E,E1262)&gt;1,"yes","no"))</f>
        <v>duplicate?</v>
      </c>
      <c r="K1262" s="97" t="str">
        <f ca="1">IF(J1262="","Date",IF(J1262&lt;&gt;"",IF(K1262="Date",NOW(),K1262),""))</f>
        <v>Date</v>
      </c>
    </row>
    <row r="1263" spans="2:11">
      <c r="B1263" s="97" t="str">
        <f ca="1">IF(A1263="","Date",IF(A1263&lt;&gt;"",IF(B1263="Date",NOW(),B1263),""))</f>
        <v>Date</v>
      </c>
      <c r="C1263" s="19" t="str">
        <f>IF(ISBLANK(A1263),"Name",IF(ISNA(VLOOKUP(A1263,'Master List'!A:C,2,FALSE)), "Not Found", VLOOKUP(A1263,'Master List'!A:C,2,FALSE)))</f>
        <v>Name</v>
      </c>
      <c r="D1263" s="19" t="str">
        <f>IF(ISBLANK(A1263), "Email",IF(ISNA(VLOOKUP(A1263,'Master List'!A:C,3,FALSE)), "Not Found", VLOOKUP(A1263,'Master List'!A:C,3,FALSE)))</f>
        <v>Email</v>
      </c>
      <c r="F1263" s="4" t="str">
        <f>IF(OR(A1263="",E1263="","",A1263="?",E1263="?"),"duplicate?",IF(COUNTIFS($A:A,A1263,E:E,E1263)&gt;1,"yes","no"))</f>
        <v>duplicate?</v>
      </c>
      <c r="K1263" s="97" t="str">
        <f ca="1">IF(J1263="","Date",IF(J1263&lt;&gt;"",IF(K1263="Date",NOW(),K1263),""))</f>
        <v>Date</v>
      </c>
    </row>
    <row r="1264" spans="2:11">
      <c r="B1264" s="97" t="str">
        <f ca="1">IF(A1264="","Date",IF(A1264&lt;&gt;"",IF(B1264="Date",NOW(),B1264),""))</f>
        <v>Date</v>
      </c>
      <c r="C1264" s="19" t="str">
        <f>IF(ISBLANK(A1264),"Name",IF(ISNA(VLOOKUP(A1264,'Master List'!A:C,2,FALSE)), "Not Found", VLOOKUP(A1264,'Master List'!A:C,2,FALSE)))</f>
        <v>Name</v>
      </c>
      <c r="D1264" s="19" t="str">
        <f>IF(ISBLANK(A1264), "Email",IF(ISNA(VLOOKUP(A1264,'Master List'!A:C,3,FALSE)), "Not Found", VLOOKUP(A1264,'Master List'!A:C,3,FALSE)))</f>
        <v>Email</v>
      </c>
      <c r="F1264" s="4" t="str">
        <f>IF(OR(A1264="",E1264="","",A1264="?",E1264="?"),"duplicate?",IF(COUNTIFS($A:A,A1264,E:E,E1264)&gt;1,"yes","no"))</f>
        <v>duplicate?</v>
      </c>
      <c r="K1264" s="97" t="str">
        <f ca="1">IF(J1264="","Date",IF(J1264&lt;&gt;"",IF(K1264="Date",NOW(),K1264),""))</f>
        <v>Date</v>
      </c>
    </row>
    <row r="1265" spans="2:11">
      <c r="B1265" s="97" t="str">
        <f ca="1">IF(A1265="","Date",IF(A1265&lt;&gt;"",IF(B1265="Date",NOW(),B1265),""))</f>
        <v>Date</v>
      </c>
      <c r="C1265" s="19" t="str">
        <f>IF(ISBLANK(A1265),"Name",IF(ISNA(VLOOKUP(A1265,'Master List'!A:C,2,FALSE)), "Not Found", VLOOKUP(A1265,'Master List'!A:C,2,FALSE)))</f>
        <v>Name</v>
      </c>
      <c r="D1265" s="19" t="str">
        <f>IF(ISBLANK(A1265), "Email",IF(ISNA(VLOOKUP(A1265,'Master List'!A:C,3,FALSE)), "Not Found", VLOOKUP(A1265,'Master List'!A:C,3,FALSE)))</f>
        <v>Email</v>
      </c>
      <c r="F1265" s="4" t="str">
        <f>IF(OR(A1265="",E1265="","",A1265="?",E1265="?"),"duplicate?",IF(COUNTIFS($A:A,A1265,E:E,E1265)&gt;1,"yes","no"))</f>
        <v>duplicate?</v>
      </c>
      <c r="K1265" s="97" t="str">
        <f ca="1">IF(J1265="","Date",IF(J1265&lt;&gt;"",IF(K1265="Date",NOW(),K1265),""))</f>
        <v>Date</v>
      </c>
    </row>
    <row r="1266" spans="2:11">
      <c r="B1266" s="97" t="str">
        <f ca="1">IF(A1266="","Date",IF(A1266&lt;&gt;"",IF(B1266="Date",NOW(),B1266),""))</f>
        <v>Date</v>
      </c>
      <c r="C1266" s="19" t="str">
        <f>IF(ISBLANK(A1266),"Name",IF(ISNA(VLOOKUP(A1266,'Master List'!A:C,2,FALSE)), "Not Found", VLOOKUP(A1266,'Master List'!A:C,2,FALSE)))</f>
        <v>Name</v>
      </c>
      <c r="D1266" s="19" t="str">
        <f>IF(ISBLANK(A1266), "Email",IF(ISNA(VLOOKUP(A1266,'Master List'!A:C,3,FALSE)), "Not Found", VLOOKUP(A1266,'Master List'!A:C,3,FALSE)))</f>
        <v>Email</v>
      </c>
      <c r="F1266" s="4" t="str">
        <f>IF(OR(A1266="",E1266="","",A1266="?",E1266="?"),"duplicate?",IF(COUNTIFS($A:A,A1266,E:E,E1266)&gt;1,"yes","no"))</f>
        <v>duplicate?</v>
      </c>
      <c r="K1266" s="97" t="str">
        <f ca="1">IF(J1266="","Date",IF(J1266&lt;&gt;"",IF(K1266="Date",NOW(),K1266),""))</f>
        <v>Date</v>
      </c>
    </row>
    <row r="1267" spans="2:11">
      <c r="B1267" s="97" t="str">
        <f ca="1">IF(A1267="","Date",IF(A1267&lt;&gt;"",IF(B1267="Date",NOW(),B1267),""))</f>
        <v>Date</v>
      </c>
      <c r="C1267" s="19" t="str">
        <f>IF(ISBLANK(A1267),"Name",IF(ISNA(VLOOKUP(A1267,'Master List'!A:C,2,FALSE)), "Not Found", VLOOKUP(A1267,'Master List'!A:C,2,FALSE)))</f>
        <v>Name</v>
      </c>
      <c r="D1267" s="19" t="str">
        <f>IF(ISBLANK(A1267), "Email",IF(ISNA(VLOOKUP(A1267,'Master List'!A:C,3,FALSE)), "Not Found", VLOOKUP(A1267,'Master List'!A:C,3,FALSE)))</f>
        <v>Email</v>
      </c>
      <c r="F1267" s="4" t="str">
        <f>IF(OR(A1267="",E1267="","",A1267="?",E1267="?"),"duplicate?",IF(COUNTIFS($A:A,A1267,E:E,E1267)&gt;1,"yes","no"))</f>
        <v>duplicate?</v>
      </c>
      <c r="K1267" s="97" t="str">
        <f ca="1">IF(J1267="","Date",IF(J1267&lt;&gt;"",IF(K1267="Date",NOW(),K1267),""))</f>
        <v>Date</v>
      </c>
    </row>
    <row r="1268" spans="2:11">
      <c r="B1268" s="97" t="str">
        <f ca="1">IF(A1268="","Date",IF(A1268&lt;&gt;"",IF(B1268="Date",NOW(),B1268),""))</f>
        <v>Date</v>
      </c>
      <c r="C1268" s="19" t="str">
        <f>IF(ISBLANK(A1268),"Name",IF(ISNA(VLOOKUP(A1268,'Master List'!A:C,2,FALSE)), "Not Found", VLOOKUP(A1268,'Master List'!A:C,2,FALSE)))</f>
        <v>Name</v>
      </c>
      <c r="D1268" s="19" t="str">
        <f>IF(ISBLANK(A1268), "Email",IF(ISNA(VLOOKUP(A1268,'Master List'!A:C,3,FALSE)), "Not Found", VLOOKUP(A1268,'Master List'!A:C,3,FALSE)))</f>
        <v>Email</v>
      </c>
      <c r="F1268" s="4" t="str">
        <f>IF(OR(A1268="",E1268="","",A1268="?",E1268="?"),"duplicate?",IF(COUNTIFS($A:A,A1268,E:E,E1268)&gt;1,"yes","no"))</f>
        <v>duplicate?</v>
      </c>
      <c r="K1268" s="97" t="str">
        <f ca="1">IF(J1268="","Date",IF(J1268&lt;&gt;"",IF(K1268="Date",NOW(),K1268),""))</f>
        <v>Date</v>
      </c>
    </row>
    <row r="1269" spans="2:11">
      <c r="B1269" s="97" t="str">
        <f ca="1">IF(A1269="","Date",IF(A1269&lt;&gt;"",IF(B1269="Date",NOW(),B1269),""))</f>
        <v>Date</v>
      </c>
      <c r="C1269" s="19" t="str">
        <f>IF(ISBLANK(A1269),"Name",IF(ISNA(VLOOKUP(A1269,'Master List'!A:C,2,FALSE)), "Not Found", VLOOKUP(A1269,'Master List'!A:C,2,FALSE)))</f>
        <v>Name</v>
      </c>
      <c r="D1269" s="19" t="str">
        <f>IF(ISBLANK(A1269), "Email",IF(ISNA(VLOOKUP(A1269,'Master List'!A:C,3,FALSE)), "Not Found", VLOOKUP(A1269,'Master List'!A:C,3,FALSE)))</f>
        <v>Email</v>
      </c>
      <c r="F1269" s="4" t="str">
        <f>IF(OR(A1269="",E1269="","",A1269="?",E1269="?"),"duplicate?",IF(COUNTIFS($A:A,A1269,E:E,E1269)&gt;1,"yes","no"))</f>
        <v>duplicate?</v>
      </c>
      <c r="K1269" s="97" t="str">
        <f ca="1">IF(J1269="","Date",IF(J1269&lt;&gt;"",IF(K1269="Date",NOW(),K1269),""))</f>
        <v>Date</v>
      </c>
    </row>
    <row r="1270" spans="2:11">
      <c r="B1270" s="97" t="str">
        <f ca="1">IF(A1270="","Date",IF(A1270&lt;&gt;"",IF(B1270="Date",NOW(),B1270),""))</f>
        <v>Date</v>
      </c>
      <c r="C1270" s="19" t="str">
        <f>IF(ISBLANK(A1270),"Name",IF(ISNA(VLOOKUP(A1270,'Master List'!A:C,2,FALSE)), "Not Found", VLOOKUP(A1270,'Master List'!A:C,2,FALSE)))</f>
        <v>Name</v>
      </c>
      <c r="D1270" s="19" t="str">
        <f>IF(ISBLANK(A1270), "Email",IF(ISNA(VLOOKUP(A1270,'Master List'!A:C,3,FALSE)), "Not Found", VLOOKUP(A1270,'Master List'!A:C,3,FALSE)))</f>
        <v>Email</v>
      </c>
      <c r="F1270" s="4" t="str">
        <f>IF(OR(A1270="",E1270="","",A1270="?",E1270="?"),"duplicate?",IF(COUNTIFS($A:A,A1270,E:E,E1270)&gt;1,"yes","no"))</f>
        <v>duplicate?</v>
      </c>
      <c r="K1270" s="97" t="str">
        <f ca="1">IF(J1270="","Date",IF(J1270&lt;&gt;"",IF(K1270="Date",NOW(),K1270),""))</f>
        <v>Date</v>
      </c>
    </row>
    <row r="1271" spans="2:11">
      <c r="B1271" s="97" t="str">
        <f ca="1">IF(A1271="","Date",IF(A1271&lt;&gt;"",IF(B1271="Date",NOW(),B1271),""))</f>
        <v>Date</v>
      </c>
      <c r="C1271" s="19" t="str">
        <f>IF(ISBLANK(A1271),"Name",IF(ISNA(VLOOKUP(A1271,'Master List'!A:C,2,FALSE)), "Not Found", VLOOKUP(A1271,'Master List'!A:C,2,FALSE)))</f>
        <v>Name</v>
      </c>
      <c r="D1271" s="19" t="str">
        <f>IF(ISBLANK(A1271), "Email",IF(ISNA(VLOOKUP(A1271,'Master List'!A:C,3,FALSE)), "Not Found", VLOOKUP(A1271,'Master List'!A:C,3,FALSE)))</f>
        <v>Email</v>
      </c>
      <c r="F1271" s="4" t="str">
        <f>IF(OR(A1271="",E1271="","",A1271="?",E1271="?"),"duplicate?",IF(COUNTIFS($A:A,A1271,E:E,E1271)&gt;1,"yes","no"))</f>
        <v>duplicate?</v>
      </c>
      <c r="K1271" s="97" t="str">
        <f ca="1">IF(J1271="","Date",IF(J1271&lt;&gt;"",IF(K1271="Date",NOW(),K1271),""))</f>
        <v>Date</v>
      </c>
    </row>
    <row r="1272" spans="2:11">
      <c r="B1272" s="97" t="str">
        <f ca="1">IF(A1272="","Date",IF(A1272&lt;&gt;"",IF(B1272="Date",NOW(),B1272),""))</f>
        <v>Date</v>
      </c>
      <c r="C1272" s="19" t="str">
        <f>IF(ISBLANK(A1272),"Name",IF(ISNA(VLOOKUP(A1272,'Master List'!A:C,2,FALSE)), "Not Found", VLOOKUP(A1272,'Master List'!A:C,2,FALSE)))</f>
        <v>Name</v>
      </c>
      <c r="D1272" s="19" t="str">
        <f>IF(ISBLANK(A1272), "Email",IF(ISNA(VLOOKUP(A1272,'Master List'!A:C,3,FALSE)), "Not Found", VLOOKUP(A1272,'Master List'!A:C,3,FALSE)))</f>
        <v>Email</v>
      </c>
      <c r="F1272" s="4" t="str">
        <f>IF(OR(A1272="",E1272="","",A1272="?",E1272="?"),"duplicate?",IF(COUNTIFS($A:A,A1272,E:E,E1272)&gt;1,"yes","no"))</f>
        <v>duplicate?</v>
      </c>
      <c r="K1272" s="97" t="str">
        <f ca="1">IF(J1272="","Date",IF(J1272&lt;&gt;"",IF(K1272="Date",NOW(),K1272),""))</f>
        <v>Date</v>
      </c>
    </row>
    <row r="1273" spans="2:11">
      <c r="B1273" s="97" t="str">
        <f ca="1">IF(A1273="","Date",IF(A1273&lt;&gt;"",IF(B1273="Date",NOW(),B1273),""))</f>
        <v>Date</v>
      </c>
      <c r="C1273" s="19" t="str">
        <f>IF(ISBLANK(A1273),"Name",IF(ISNA(VLOOKUP(A1273,'Master List'!A:C,2,FALSE)), "Not Found", VLOOKUP(A1273,'Master List'!A:C,2,FALSE)))</f>
        <v>Name</v>
      </c>
      <c r="D1273" s="19" t="str">
        <f>IF(ISBLANK(A1273), "Email",IF(ISNA(VLOOKUP(A1273,'Master List'!A:C,3,FALSE)), "Not Found", VLOOKUP(A1273,'Master List'!A:C,3,FALSE)))</f>
        <v>Email</v>
      </c>
      <c r="F1273" s="4" t="str">
        <f>IF(OR(A1273="",E1273="","",A1273="?",E1273="?"),"duplicate?",IF(COUNTIFS($A:A,A1273,E:E,E1273)&gt;1,"yes","no"))</f>
        <v>duplicate?</v>
      </c>
      <c r="K1273" s="97" t="str">
        <f ca="1">IF(J1273="","Date",IF(J1273&lt;&gt;"",IF(K1273="Date",NOW(),K1273),""))</f>
        <v>Date</v>
      </c>
    </row>
    <row r="1274" spans="2:11">
      <c r="B1274" s="97" t="str">
        <f ca="1">IF(A1274="","Date",IF(A1274&lt;&gt;"",IF(B1274="Date",NOW(),B1274),""))</f>
        <v>Date</v>
      </c>
      <c r="C1274" s="19" t="str">
        <f>IF(ISBLANK(A1274),"Name",IF(ISNA(VLOOKUP(A1274,'Master List'!A:C,2,FALSE)), "Not Found", VLOOKUP(A1274,'Master List'!A:C,2,FALSE)))</f>
        <v>Name</v>
      </c>
      <c r="D1274" s="19" t="str">
        <f>IF(ISBLANK(A1274), "Email",IF(ISNA(VLOOKUP(A1274,'Master List'!A:C,3,FALSE)), "Not Found", VLOOKUP(A1274,'Master List'!A:C,3,FALSE)))</f>
        <v>Email</v>
      </c>
      <c r="F1274" s="4" t="str">
        <f>IF(OR(A1274="",E1274="","",A1274="?",E1274="?"),"duplicate?",IF(COUNTIFS($A:A,A1274,E:E,E1274)&gt;1,"yes","no"))</f>
        <v>duplicate?</v>
      </c>
      <c r="K1274" s="97" t="str">
        <f ca="1">IF(J1274="","Date",IF(J1274&lt;&gt;"",IF(K1274="Date",NOW(),K1274),""))</f>
        <v>Date</v>
      </c>
    </row>
    <row r="1275" spans="2:11">
      <c r="B1275" s="97" t="str">
        <f ca="1">IF(A1275="","Date",IF(A1275&lt;&gt;"",IF(B1275="Date",NOW(),B1275),""))</f>
        <v>Date</v>
      </c>
      <c r="C1275" s="19" t="str">
        <f>IF(ISBLANK(A1275),"Name",IF(ISNA(VLOOKUP(A1275,'Master List'!A:C,2,FALSE)), "Not Found", VLOOKUP(A1275,'Master List'!A:C,2,FALSE)))</f>
        <v>Name</v>
      </c>
      <c r="D1275" s="19" t="str">
        <f>IF(ISBLANK(A1275), "Email",IF(ISNA(VLOOKUP(A1275,'Master List'!A:C,3,FALSE)), "Not Found", VLOOKUP(A1275,'Master List'!A:C,3,FALSE)))</f>
        <v>Email</v>
      </c>
      <c r="F1275" s="4" t="str">
        <f>IF(OR(A1275="",E1275="","",A1275="?",E1275="?"),"duplicate?",IF(COUNTIFS($A:A,A1275,E:E,E1275)&gt;1,"yes","no"))</f>
        <v>duplicate?</v>
      </c>
      <c r="K1275" s="97" t="str">
        <f ca="1">IF(J1275="","Date",IF(J1275&lt;&gt;"",IF(K1275="Date",NOW(),K1275),""))</f>
        <v>Date</v>
      </c>
    </row>
    <row r="1276" spans="2:11">
      <c r="B1276" s="97" t="str">
        <f ca="1">IF(A1276="","Date",IF(A1276&lt;&gt;"",IF(B1276="Date",NOW(),B1276),""))</f>
        <v>Date</v>
      </c>
      <c r="C1276" s="19" t="str">
        <f>IF(ISBLANK(A1276),"Name",IF(ISNA(VLOOKUP(A1276,'Master List'!A:C,2,FALSE)), "Not Found", VLOOKUP(A1276,'Master List'!A:C,2,FALSE)))</f>
        <v>Name</v>
      </c>
      <c r="D1276" s="19" t="str">
        <f>IF(ISBLANK(A1276), "Email",IF(ISNA(VLOOKUP(A1276,'Master List'!A:C,3,FALSE)), "Not Found", VLOOKUP(A1276,'Master List'!A:C,3,FALSE)))</f>
        <v>Email</v>
      </c>
      <c r="F1276" s="4" t="str">
        <f>IF(OR(A1276="",E1276="","",A1276="?",E1276="?"),"duplicate?",IF(COUNTIFS($A:A,A1276,E:E,E1276)&gt;1,"yes","no"))</f>
        <v>duplicate?</v>
      </c>
      <c r="K1276" s="97" t="str">
        <f ca="1">IF(J1276="","Date",IF(J1276&lt;&gt;"",IF(K1276="Date",NOW(),K1276),""))</f>
        <v>Date</v>
      </c>
    </row>
    <row r="1277" spans="2:11">
      <c r="B1277" s="97" t="str">
        <f ca="1">IF(A1277="","Date",IF(A1277&lt;&gt;"",IF(B1277="Date",NOW(),B1277),""))</f>
        <v>Date</v>
      </c>
      <c r="C1277" s="19" t="str">
        <f>IF(ISBLANK(A1277),"Name",IF(ISNA(VLOOKUP(A1277,'Master List'!A:C,2,FALSE)), "Not Found", VLOOKUP(A1277,'Master List'!A:C,2,FALSE)))</f>
        <v>Name</v>
      </c>
      <c r="D1277" s="19" t="str">
        <f>IF(ISBLANK(A1277), "Email",IF(ISNA(VLOOKUP(A1277,'Master List'!A:C,3,FALSE)), "Not Found", VLOOKUP(A1277,'Master List'!A:C,3,FALSE)))</f>
        <v>Email</v>
      </c>
      <c r="F1277" s="4" t="str">
        <f>IF(OR(A1277="",E1277="","",A1277="?",E1277="?"),"duplicate?",IF(COUNTIFS($A:A,A1277,E:E,E1277)&gt;1,"yes","no"))</f>
        <v>duplicate?</v>
      </c>
      <c r="K1277" s="97" t="str">
        <f ca="1">IF(J1277="","Date",IF(J1277&lt;&gt;"",IF(K1277="Date",NOW(),K1277),""))</f>
        <v>Date</v>
      </c>
    </row>
    <row r="1278" spans="2:11">
      <c r="B1278" s="97" t="str">
        <f ca="1">IF(A1278="","Date",IF(A1278&lt;&gt;"",IF(B1278="Date",NOW(),B1278),""))</f>
        <v>Date</v>
      </c>
      <c r="C1278" s="19" t="str">
        <f>IF(ISBLANK(A1278),"Name",IF(ISNA(VLOOKUP(A1278,'Master List'!A:C,2,FALSE)), "Not Found", VLOOKUP(A1278,'Master List'!A:C,2,FALSE)))</f>
        <v>Name</v>
      </c>
      <c r="D1278" s="19" t="str">
        <f>IF(ISBLANK(A1278), "Email",IF(ISNA(VLOOKUP(A1278,'Master List'!A:C,3,FALSE)), "Not Found", VLOOKUP(A1278,'Master List'!A:C,3,FALSE)))</f>
        <v>Email</v>
      </c>
      <c r="F1278" s="4" t="str">
        <f>IF(OR(A1278="",E1278="","",A1278="?",E1278="?"),"duplicate?",IF(COUNTIFS($A:A,A1278,E:E,E1278)&gt;1,"yes","no"))</f>
        <v>duplicate?</v>
      </c>
      <c r="K1278" s="97" t="str">
        <f ca="1">IF(J1278="","Date",IF(J1278&lt;&gt;"",IF(K1278="Date",NOW(),K1278),""))</f>
        <v>Date</v>
      </c>
    </row>
    <row r="1279" spans="2:11">
      <c r="B1279" s="97" t="str">
        <f ca="1">IF(A1279="","Date",IF(A1279&lt;&gt;"",IF(B1279="Date",NOW(),B1279),""))</f>
        <v>Date</v>
      </c>
      <c r="C1279" s="19" t="str">
        <f>IF(ISBLANK(A1279),"Name",IF(ISNA(VLOOKUP(A1279,'Master List'!A:C,2,FALSE)), "Not Found", VLOOKUP(A1279,'Master List'!A:C,2,FALSE)))</f>
        <v>Name</v>
      </c>
      <c r="D1279" s="19" t="str">
        <f>IF(ISBLANK(A1279), "Email",IF(ISNA(VLOOKUP(A1279,'Master List'!A:C,3,FALSE)), "Not Found", VLOOKUP(A1279,'Master List'!A:C,3,FALSE)))</f>
        <v>Email</v>
      </c>
      <c r="F1279" s="4" t="str">
        <f>IF(OR(A1279="",E1279="","",A1279="?",E1279="?"),"duplicate?",IF(COUNTIFS($A:A,A1279,E:E,E1279)&gt;1,"yes","no"))</f>
        <v>duplicate?</v>
      </c>
      <c r="K1279" s="97" t="str">
        <f ca="1">IF(J1279="","Date",IF(J1279&lt;&gt;"",IF(K1279="Date",NOW(),K1279),""))</f>
        <v>Date</v>
      </c>
    </row>
    <row r="1280" spans="2:11">
      <c r="B1280" s="97" t="str">
        <f ca="1">IF(A1280="","Date",IF(A1280&lt;&gt;"",IF(B1280="Date",NOW(),B1280),""))</f>
        <v>Date</v>
      </c>
      <c r="C1280" s="19" t="str">
        <f>IF(ISBLANK(A1280),"Name",IF(ISNA(VLOOKUP(A1280,'Master List'!A:C,2,FALSE)), "Not Found", VLOOKUP(A1280,'Master List'!A:C,2,FALSE)))</f>
        <v>Name</v>
      </c>
      <c r="D1280" s="19" t="str">
        <f>IF(ISBLANK(A1280), "Email",IF(ISNA(VLOOKUP(A1280,'Master List'!A:C,3,FALSE)), "Not Found", VLOOKUP(A1280,'Master List'!A:C,3,FALSE)))</f>
        <v>Email</v>
      </c>
      <c r="F1280" s="4" t="str">
        <f>IF(OR(A1280="",E1280="","",A1280="?",E1280="?"),"duplicate?",IF(COUNTIFS($A:A,A1280,E:E,E1280)&gt;1,"yes","no"))</f>
        <v>duplicate?</v>
      </c>
      <c r="K1280" s="97" t="str">
        <f ca="1">IF(J1280="","Date",IF(J1280&lt;&gt;"",IF(K1280="Date",NOW(),K1280),""))</f>
        <v>Date</v>
      </c>
    </row>
    <row r="1281" spans="2:11">
      <c r="B1281" s="97" t="str">
        <f ca="1">IF(A1281="","Date",IF(A1281&lt;&gt;"",IF(B1281="Date",NOW(),B1281),""))</f>
        <v>Date</v>
      </c>
      <c r="C1281" s="19" t="str">
        <f>IF(ISBLANK(A1281),"Name",IF(ISNA(VLOOKUP(A1281,'Master List'!A:C,2,FALSE)), "Not Found", VLOOKUP(A1281,'Master List'!A:C,2,FALSE)))</f>
        <v>Name</v>
      </c>
      <c r="D1281" s="19" t="str">
        <f>IF(ISBLANK(A1281), "Email",IF(ISNA(VLOOKUP(A1281,'Master List'!A:C,3,FALSE)), "Not Found", VLOOKUP(A1281,'Master List'!A:C,3,FALSE)))</f>
        <v>Email</v>
      </c>
      <c r="F1281" s="4" t="str">
        <f>IF(OR(A1281="",E1281="","",A1281="?",E1281="?"),"duplicate?",IF(COUNTIFS($A:A,A1281,E:E,E1281)&gt;1,"yes","no"))</f>
        <v>duplicate?</v>
      </c>
      <c r="K1281" s="97" t="str">
        <f ca="1">IF(J1281="","Date",IF(J1281&lt;&gt;"",IF(K1281="Date",NOW(),K1281),""))</f>
        <v>Date</v>
      </c>
    </row>
    <row r="1282" spans="2:11">
      <c r="B1282" s="97" t="str">
        <f ca="1">IF(A1282="","Date",IF(A1282&lt;&gt;"",IF(B1282="Date",NOW(),B1282),""))</f>
        <v>Date</v>
      </c>
      <c r="C1282" s="19" t="str">
        <f>IF(ISBLANK(A1282),"Name",IF(ISNA(VLOOKUP(A1282,'Master List'!A:C,2,FALSE)), "Not Found", VLOOKUP(A1282,'Master List'!A:C,2,FALSE)))</f>
        <v>Name</v>
      </c>
      <c r="D1282" s="19" t="str">
        <f>IF(ISBLANK(A1282), "Email",IF(ISNA(VLOOKUP(A1282,'Master List'!A:C,3,FALSE)), "Not Found", VLOOKUP(A1282,'Master List'!A:C,3,FALSE)))</f>
        <v>Email</v>
      </c>
      <c r="F1282" s="4" t="str">
        <f>IF(OR(A1282="",E1282="","",A1282="?",E1282="?"),"duplicate?",IF(COUNTIFS($A:A,A1282,E:E,E1282)&gt;1,"yes","no"))</f>
        <v>duplicate?</v>
      </c>
      <c r="K1282" s="97" t="str">
        <f ca="1">IF(J1282="","Date",IF(J1282&lt;&gt;"",IF(K1282="Date",NOW(),K1282),""))</f>
        <v>Date</v>
      </c>
    </row>
    <row r="1283" spans="2:11">
      <c r="B1283" s="97" t="str">
        <f ca="1">IF(A1283="","Date",IF(A1283&lt;&gt;"",IF(B1283="Date",NOW(),B1283),""))</f>
        <v>Date</v>
      </c>
      <c r="C1283" s="19" t="str">
        <f>IF(ISBLANK(A1283),"Name",IF(ISNA(VLOOKUP(A1283,'Master List'!A:C,2,FALSE)), "Not Found", VLOOKUP(A1283,'Master List'!A:C,2,FALSE)))</f>
        <v>Name</v>
      </c>
      <c r="D1283" s="19" t="str">
        <f>IF(ISBLANK(A1283), "Email",IF(ISNA(VLOOKUP(A1283,'Master List'!A:C,3,FALSE)), "Not Found", VLOOKUP(A1283,'Master List'!A:C,3,FALSE)))</f>
        <v>Email</v>
      </c>
      <c r="F1283" s="4" t="str">
        <f>IF(OR(A1283="",E1283="","",A1283="?",E1283="?"),"duplicate?",IF(COUNTIFS($A:A,A1283,E:E,E1283)&gt;1,"yes","no"))</f>
        <v>duplicate?</v>
      </c>
      <c r="K1283" s="97" t="str">
        <f ca="1">IF(J1283="","Date",IF(J1283&lt;&gt;"",IF(K1283="Date",NOW(),K1283),""))</f>
        <v>Date</v>
      </c>
    </row>
    <row r="1284" spans="2:11">
      <c r="B1284" s="97" t="str">
        <f ca="1">IF(A1284="","Date",IF(A1284&lt;&gt;"",IF(B1284="Date",NOW(),B1284),""))</f>
        <v>Date</v>
      </c>
      <c r="C1284" s="19" t="str">
        <f>IF(ISBLANK(A1284),"Name",IF(ISNA(VLOOKUP(A1284,'Master List'!A:C,2,FALSE)), "Not Found", VLOOKUP(A1284,'Master List'!A:C,2,FALSE)))</f>
        <v>Name</v>
      </c>
      <c r="D1284" s="19" t="str">
        <f>IF(ISBLANK(A1284), "Email",IF(ISNA(VLOOKUP(A1284,'Master List'!A:C,3,FALSE)), "Not Found", VLOOKUP(A1284,'Master List'!A:C,3,FALSE)))</f>
        <v>Email</v>
      </c>
      <c r="F1284" s="4" t="str">
        <f>IF(OR(A1284="",E1284="","",A1284="?",E1284="?"),"duplicate?",IF(COUNTIFS($A:A,A1284,E:E,E1284)&gt;1,"yes","no"))</f>
        <v>duplicate?</v>
      </c>
      <c r="K1284" s="97" t="str">
        <f ca="1">IF(J1284="","Date",IF(J1284&lt;&gt;"",IF(K1284="Date",NOW(),K1284),""))</f>
        <v>Date</v>
      </c>
    </row>
    <row r="1285" spans="2:11">
      <c r="B1285" s="97" t="str">
        <f ca="1">IF(A1285="","Date",IF(A1285&lt;&gt;"",IF(B1285="Date",NOW(),B1285),""))</f>
        <v>Date</v>
      </c>
      <c r="C1285" s="19" t="str">
        <f>IF(ISBLANK(A1285),"Name",IF(ISNA(VLOOKUP(A1285,'Master List'!A:C,2,FALSE)), "Not Found", VLOOKUP(A1285,'Master List'!A:C,2,FALSE)))</f>
        <v>Name</v>
      </c>
      <c r="D1285" s="19" t="str">
        <f>IF(ISBLANK(A1285), "Email",IF(ISNA(VLOOKUP(A1285,'Master List'!A:C,3,FALSE)), "Not Found", VLOOKUP(A1285,'Master List'!A:C,3,FALSE)))</f>
        <v>Email</v>
      </c>
      <c r="F1285" s="4" t="str">
        <f>IF(OR(A1285="",E1285="","",A1285="?",E1285="?"),"duplicate?",IF(COUNTIFS($A:A,A1285,E:E,E1285)&gt;1,"yes","no"))</f>
        <v>duplicate?</v>
      </c>
      <c r="K1285" s="97" t="str">
        <f ca="1">IF(J1285="","Date",IF(J1285&lt;&gt;"",IF(K1285="Date",NOW(),K1285),""))</f>
        <v>Date</v>
      </c>
    </row>
    <row r="1286" spans="2:11">
      <c r="B1286" s="97" t="str">
        <f ca="1">IF(A1286="","Date",IF(A1286&lt;&gt;"",IF(B1286="Date",NOW(),B1286),""))</f>
        <v>Date</v>
      </c>
      <c r="C1286" s="19" t="str">
        <f>IF(ISBLANK(A1286),"Name",IF(ISNA(VLOOKUP(A1286,'Master List'!A:C,2,FALSE)), "Not Found", VLOOKUP(A1286,'Master List'!A:C,2,FALSE)))</f>
        <v>Name</v>
      </c>
      <c r="D1286" s="19" t="str">
        <f>IF(ISBLANK(A1286), "Email",IF(ISNA(VLOOKUP(A1286,'Master List'!A:C,3,FALSE)), "Not Found", VLOOKUP(A1286,'Master List'!A:C,3,FALSE)))</f>
        <v>Email</v>
      </c>
      <c r="F1286" s="4" t="str">
        <f>IF(OR(A1286="",E1286="","",A1286="?",E1286="?"),"duplicate?",IF(COUNTIFS($A:A,A1286,E:E,E1286)&gt;1,"yes","no"))</f>
        <v>duplicate?</v>
      </c>
      <c r="K1286" s="97" t="str">
        <f ca="1">IF(J1286="","Date",IF(J1286&lt;&gt;"",IF(K1286="Date",NOW(),K1286),""))</f>
        <v>Date</v>
      </c>
    </row>
    <row r="1287" spans="2:11">
      <c r="B1287" s="97" t="str">
        <f ca="1">IF(A1287="","Date",IF(A1287&lt;&gt;"",IF(B1287="Date",NOW(),B1287),""))</f>
        <v>Date</v>
      </c>
      <c r="C1287" s="19" t="str">
        <f>IF(ISBLANK(A1287),"Name",IF(ISNA(VLOOKUP(A1287,'Master List'!A:C,2,FALSE)), "Not Found", VLOOKUP(A1287,'Master List'!A:C,2,FALSE)))</f>
        <v>Name</v>
      </c>
      <c r="D1287" s="19" t="str">
        <f>IF(ISBLANK(A1287), "Email",IF(ISNA(VLOOKUP(A1287,'Master List'!A:C,3,FALSE)), "Not Found", VLOOKUP(A1287,'Master List'!A:C,3,FALSE)))</f>
        <v>Email</v>
      </c>
      <c r="F1287" s="4" t="str">
        <f>IF(OR(A1287="",E1287="","",A1287="?",E1287="?"),"duplicate?",IF(COUNTIFS($A:A,A1287,E:E,E1287)&gt;1,"yes","no"))</f>
        <v>duplicate?</v>
      </c>
      <c r="K1287" s="97" t="str">
        <f ca="1">IF(J1287="","Date",IF(J1287&lt;&gt;"",IF(K1287="Date",NOW(),K1287),""))</f>
        <v>Date</v>
      </c>
    </row>
    <row r="1288" spans="2:11">
      <c r="B1288" s="97" t="str">
        <f ca="1">IF(A1288="","Date",IF(A1288&lt;&gt;"",IF(B1288="Date",NOW(),B1288),""))</f>
        <v>Date</v>
      </c>
      <c r="C1288" s="19" t="str">
        <f>IF(ISBLANK(A1288),"Name",IF(ISNA(VLOOKUP(A1288,'Master List'!A:C,2,FALSE)), "Not Found", VLOOKUP(A1288,'Master List'!A:C,2,FALSE)))</f>
        <v>Name</v>
      </c>
      <c r="D1288" s="19" t="str">
        <f>IF(ISBLANK(A1288), "Email",IF(ISNA(VLOOKUP(A1288,'Master List'!A:C,3,FALSE)), "Not Found", VLOOKUP(A1288,'Master List'!A:C,3,FALSE)))</f>
        <v>Email</v>
      </c>
      <c r="F1288" s="4" t="str">
        <f>IF(OR(A1288="",E1288="","",A1288="?",E1288="?"),"duplicate?",IF(COUNTIFS($A:A,A1288,E:E,E1288)&gt;1,"yes","no"))</f>
        <v>duplicate?</v>
      </c>
      <c r="K1288" s="97" t="str">
        <f ca="1">IF(J1288="","Date",IF(J1288&lt;&gt;"",IF(K1288="Date",NOW(),K1288),""))</f>
        <v>Date</v>
      </c>
    </row>
    <row r="1289" spans="2:11">
      <c r="B1289" s="97" t="str">
        <f ca="1">IF(A1289="","Date",IF(A1289&lt;&gt;"",IF(B1289="Date",NOW(),B1289),""))</f>
        <v>Date</v>
      </c>
      <c r="C1289" s="19" t="str">
        <f>IF(ISBLANK(A1289),"Name",IF(ISNA(VLOOKUP(A1289,'Master List'!A:C,2,FALSE)), "Not Found", VLOOKUP(A1289,'Master List'!A:C,2,FALSE)))</f>
        <v>Name</v>
      </c>
      <c r="D1289" s="19" t="str">
        <f>IF(ISBLANK(A1289), "Email",IF(ISNA(VLOOKUP(A1289,'Master List'!A:C,3,FALSE)), "Not Found", VLOOKUP(A1289,'Master List'!A:C,3,FALSE)))</f>
        <v>Email</v>
      </c>
      <c r="F1289" s="4" t="str">
        <f>IF(OR(A1289="",E1289="","",A1289="?",E1289="?"),"duplicate?",IF(COUNTIFS($A:A,A1289,E:E,E1289)&gt;1,"yes","no"))</f>
        <v>duplicate?</v>
      </c>
      <c r="K1289" s="97" t="str">
        <f ca="1">IF(J1289="","Date",IF(J1289&lt;&gt;"",IF(K1289="Date",NOW(),K1289),""))</f>
        <v>Date</v>
      </c>
    </row>
    <row r="1290" spans="2:11">
      <c r="B1290" s="97" t="str">
        <f ca="1">IF(A1290="","Date",IF(A1290&lt;&gt;"",IF(B1290="Date",NOW(),B1290),""))</f>
        <v>Date</v>
      </c>
      <c r="C1290" s="19" t="str">
        <f>IF(ISBLANK(A1290),"Name",IF(ISNA(VLOOKUP(A1290,'Master List'!A:C,2,FALSE)), "Not Found", VLOOKUP(A1290,'Master List'!A:C,2,FALSE)))</f>
        <v>Name</v>
      </c>
      <c r="D1290" s="19" t="str">
        <f>IF(ISBLANK(A1290), "Email",IF(ISNA(VLOOKUP(A1290,'Master List'!A:C,3,FALSE)), "Not Found", VLOOKUP(A1290,'Master List'!A:C,3,FALSE)))</f>
        <v>Email</v>
      </c>
      <c r="F1290" s="4" t="str">
        <f>IF(OR(A1290="",E1290="","",A1290="?",E1290="?"),"duplicate?",IF(COUNTIFS($A:A,A1290,E:E,E1290)&gt;1,"yes","no"))</f>
        <v>duplicate?</v>
      </c>
      <c r="K1290" s="97" t="str">
        <f ca="1">IF(J1290="","Date",IF(J1290&lt;&gt;"",IF(K1290="Date",NOW(),K1290),""))</f>
        <v>Date</v>
      </c>
    </row>
    <row r="1291" spans="2:11">
      <c r="B1291" s="97" t="str">
        <f ca="1">IF(A1291="","Date",IF(A1291&lt;&gt;"",IF(B1291="Date",NOW(),B1291),""))</f>
        <v>Date</v>
      </c>
      <c r="C1291" s="19" t="str">
        <f>IF(ISBLANK(A1291),"Name",IF(ISNA(VLOOKUP(A1291,'Master List'!A:C,2,FALSE)), "Not Found", VLOOKUP(A1291,'Master List'!A:C,2,FALSE)))</f>
        <v>Name</v>
      </c>
      <c r="D1291" s="19" t="str">
        <f>IF(ISBLANK(A1291), "Email",IF(ISNA(VLOOKUP(A1291,'Master List'!A:C,3,FALSE)), "Not Found", VLOOKUP(A1291,'Master List'!A:C,3,FALSE)))</f>
        <v>Email</v>
      </c>
      <c r="F1291" s="4" t="str">
        <f>IF(OR(A1291="",E1291="","",A1291="?",E1291="?"),"duplicate?",IF(COUNTIFS($A:A,A1291,E:E,E1291)&gt;1,"yes","no"))</f>
        <v>duplicate?</v>
      </c>
      <c r="K1291" s="97" t="str">
        <f ca="1">IF(J1291="","Date",IF(J1291&lt;&gt;"",IF(K1291="Date",NOW(),K1291),""))</f>
        <v>Date</v>
      </c>
    </row>
    <row r="1292" spans="2:11">
      <c r="B1292" s="97" t="str">
        <f ca="1">IF(A1292="","Date",IF(A1292&lt;&gt;"",IF(B1292="Date",NOW(),B1292),""))</f>
        <v>Date</v>
      </c>
      <c r="C1292" s="19" t="str">
        <f>IF(ISBLANK(A1292),"Name",IF(ISNA(VLOOKUP(A1292,'Master List'!A:C,2,FALSE)), "Not Found", VLOOKUP(A1292,'Master List'!A:C,2,FALSE)))</f>
        <v>Name</v>
      </c>
      <c r="D1292" s="19" t="str">
        <f>IF(ISBLANK(A1292), "Email",IF(ISNA(VLOOKUP(A1292,'Master List'!A:C,3,FALSE)), "Not Found", VLOOKUP(A1292,'Master List'!A:C,3,FALSE)))</f>
        <v>Email</v>
      </c>
      <c r="F1292" s="4" t="str">
        <f>IF(OR(A1292="",E1292="","",A1292="?",E1292="?"),"duplicate?",IF(COUNTIFS($A:A,A1292,E:E,E1292)&gt;1,"yes","no"))</f>
        <v>duplicate?</v>
      </c>
      <c r="K1292" s="97" t="str">
        <f ca="1">IF(J1292="","Date",IF(J1292&lt;&gt;"",IF(K1292="Date",NOW(),K1292),""))</f>
        <v>Date</v>
      </c>
    </row>
    <row r="1293" spans="2:11">
      <c r="B1293" s="97" t="str">
        <f ca="1">IF(A1293="","Date",IF(A1293&lt;&gt;"",IF(B1293="Date",NOW(),B1293),""))</f>
        <v>Date</v>
      </c>
      <c r="C1293" s="19" t="str">
        <f>IF(ISBLANK(A1293),"Name",IF(ISNA(VLOOKUP(A1293,'Master List'!A:C,2,FALSE)), "Not Found", VLOOKUP(A1293,'Master List'!A:C,2,FALSE)))</f>
        <v>Name</v>
      </c>
      <c r="D1293" s="19" t="str">
        <f>IF(ISBLANK(A1293), "Email",IF(ISNA(VLOOKUP(A1293,'Master List'!A:C,3,FALSE)), "Not Found", VLOOKUP(A1293,'Master List'!A:C,3,FALSE)))</f>
        <v>Email</v>
      </c>
      <c r="F1293" s="4" t="str">
        <f>IF(OR(A1293="",E1293="","",A1293="?",E1293="?"),"duplicate?",IF(COUNTIFS($A:A,A1293,E:E,E1293)&gt;1,"yes","no"))</f>
        <v>duplicate?</v>
      </c>
      <c r="K1293" s="97" t="str">
        <f ca="1">IF(J1293="","Date",IF(J1293&lt;&gt;"",IF(K1293="Date",NOW(),K1293),""))</f>
        <v>Date</v>
      </c>
    </row>
    <row r="1294" spans="2:11">
      <c r="B1294" s="97" t="str">
        <f ca="1">IF(A1294="","Date",IF(A1294&lt;&gt;"",IF(B1294="Date",NOW(),B1294),""))</f>
        <v>Date</v>
      </c>
      <c r="C1294" s="19" t="str">
        <f>IF(ISBLANK(A1294),"Name",IF(ISNA(VLOOKUP(A1294,'Master List'!A:C,2,FALSE)), "Not Found", VLOOKUP(A1294,'Master List'!A:C,2,FALSE)))</f>
        <v>Name</v>
      </c>
      <c r="D1294" s="19" t="str">
        <f>IF(ISBLANK(A1294), "Email",IF(ISNA(VLOOKUP(A1294,'Master List'!A:C,3,FALSE)), "Not Found", VLOOKUP(A1294,'Master List'!A:C,3,FALSE)))</f>
        <v>Email</v>
      </c>
      <c r="F1294" s="4" t="str">
        <f>IF(OR(A1294="",E1294="","",A1294="?",E1294="?"),"duplicate?",IF(COUNTIFS($A:A,A1294,E:E,E1294)&gt;1,"yes","no"))</f>
        <v>duplicate?</v>
      </c>
      <c r="K1294" s="97" t="str">
        <f ca="1">IF(J1294="","Date",IF(J1294&lt;&gt;"",IF(K1294="Date",NOW(),K1294),""))</f>
        <v>Date</v>
      </c>
    </row>
    <row r="1295" spans="2:11">
      <c r="B1295" s="97" t="str">
        <f ca="1">IF(A1295="","Date",IF(A1295&lt;&gt;"",IF(B1295="Date",NOW(),B1295),""))</f>
        <v>Date</v>
      </c>
      <c r="C1295" s="19" t="str">
        <f>IF(ISBLANK(A1295),"Name",IF(ISNA(VLOOKUP(A1295,'Master List'!A:C,2,FALSE)), "Not Found", VLOOKUP(A1295,'Master List'!A:C,2,FALSE)))</f>
        <v>Name</v>
      </c>
      <c r="D1295" s="19" t="str">
        <f>IF(ISBLANK(A1295), "Email",IF(ISNA(VLOOKUP(A1295,'Master List'!A:C,3,FALSE)), "Not Found", VLOOKUP(A1295,'Master List'!A:C,3,FALSE)))</f>
        <v>Email</v>
      </c>
      <c r="F1295" s="4" t="str">
        <f>IF(OR(A1295="",E1295="","",A1295="?",E1295="?"),"duplicate?",IF(COUNTIFS($A:A,A1295,E:E,E1295)&gt;1,"yes","no"))</f>
        <v>duplicate?</v>
      </c>
      <c r="K1295" s="97" t="str">
        <f ca="1">IF(J1295="","Date",IF(J1295&lt;&gt;"",IF(K1295="Date",NOW(),K1295),""))</f>
        <v>Date</v>
      </c>
    </row>
    <row r="1296" spans="2:11">
      <c r="B1296" s="97" t="str">
        <f ca="1">IF(A1296="","Date",IF(A1296&lt;&gt;"",IF(B1296="Date",NOW(),B1296),""))</f>
        <v>Date</v>
      </c>
      <c r="C1296" s="19" t="str">
        <f>IF(ISBLANK(A1296),"Name",IF(ISNA(VLOOKUP(A1296,'Master List'!A:C,2,FALSE)), "Not Found", VLOOKUP(A1296,'Master List'!A:C,2,FALSE)))</f>
        <v>Name</v>
      </c>
      <c r="D1296" s="19" t="str">
        <f>IF(ISBLANK(A1296), "Email",IF(ISNA(VLOOKUP(A1296,'Master List'!A:C,3,FALSE)), "Not Found", VLOOKUP(A1296,'Master List'!A:C,3,FALSE)))</f>
        <v>Email</v>
      </c>
      <c r="F1296" s="4" t="str">
        <f>IF(OR(A1296="",E1296="","",A1296="?",E1296="?"),"duplicate?",IF(COUNTIFS($A:A,A1296,E:E,E1296)&gt;1,"yes","no"))</f>
        <v>duplicate?</v>
      </c>
      <c r="K1296" s="97" t="str">
        <f ca="1">IF(J1296="","Date",IF(J1296&lt;&gt;"",IF(K1296="Date",NOW(),K1296),""))</f>
        <v>Date</v>
      </c>
    </row>
    <row r="1297" spans="2:11">
      <c r="B1297" s="97" t="str">
        <f ca="1">IF(A1297="","Date",IF(A1297&lt;&gt;"",IF(B1297="Date",NOW(),B1297),""))</f>
        <v>Date</v>
      </c>
      <c r="C1297" s="19" t="str">
        <f>IF(ISBLANK(A1297),"Name",IF(ISNA(VLOOKUP(A1297,'Master List'!A:C,2,FALSE)), "Not Found", VLOOKUP(A1297,'Master List'!A:C,2,FALSE)))</f>
        <v>Name</v>
      </c>
      <c r="D1297" s="19" t="str">
        <f>IF(ISBLANK(A1297), "Email",IF(ISNA(VLOOKUP(A1297,'Master List'!A:C,3,FALSE)), "Not Found", VLOOKUP(A1297,'Master List'!A:C,3,FALSE)))</f>
        <v>Email</v>
      </c>
      <c r="F1297" s="4" t="str">
        <f>IF(OR(A1297="",E1297="","",A1297="?",E1297="?"),"duplicate?",IF(COUNTIFS($A:A,A1297,E:E,E1297)&gt;1,"yes","no"))</f>
        <v>duplicate?</v>
      </c>
      <c r="K1297" s="97" t="str">
        <f ca="1">IF(J1297="","Date",IF(J1297&lt;&gt;"",IF(K1297="Date",NOW(),K1297),""))</f>
        <v>Date</v>
      </c>
    </row>
    <row r="1298" spans="2:11">
      <c r="B1298" s="97" t="str">
        <f ca="1">IF(A1298="","Date",IF(A1298&lt;&gt;"",IF(B1298="Date",NOW(),B1298),""))</f>
        <v>Date</v>
      </c>
      <c r="C1298" s="19" t="str">
        <f>IF(ISBLANK(A1298),"Name",IF(ISNA(VLOOKUP(A1298,'Master List'!A:C,2,FALSE)), "Not Found", VLOOKUP(A1298,'Master List'!A:C,2,FALSE)))</f>
        <v>Name</v>
      </c>
      <c r="D1298" s="19" t="str">
        <f>IF(ISBLANK(A1298), "Email",IF(ISNA(VLOOKUP(A1298,'Master List'!A:C,3,FALSE)), "Not Found", VLOOKUP(A1298,'Master List'!A:C,3,FALSE)))</f>
        <v>Email</v>
      </c>
      <c r="F1298" s="4" t="str">
        <f>IF(OR(A1298="",E1298="","",A1298="?",E1298="?"),"duplicate?",IF(COUNTIFS($A:A,A1298,E:E,E1298)&gt;1,"yes","no"))</f>
        <v>duplicate?</v>
      </c>
      <c r="K1298" s="97" t="str">
        <f ca="1">IF(J1298="","Date",IF(J1298&lt;&gt;"",IF(K1298="Date",NOW(),K1298),""))</f>
        <v>Date</v>
      </c>
    </row>
    <row r="1299" spans="2:11">
      <c r="B1299" s="97" t="str">
        <f ca="1">IF(A1299="","Date",IF(A1299&lt;&gt;"",IF(B1299="Date",NOW(),B1299),""))</f>
        <v>Date</v>
      </c>
      <c r="C1299" s="19" t="str">
        <f>IF(ISBLANK(A1299),"Name",IF(ISNA(VLOOKUP(A1299,'Master List'!A:C,2,FALSE)), "Not Found", VLOOKUP(A1299,'Master List'!A:C,2,FALSE)))</f>
        <v>Name</v>
      </c>
      <c r="D1299" s="19" t="str">
        <f>IF(ISBLANK(A1299), "Email",IF(ISNA(VLOOKUP(A1299,'Master List'!A:C,3,FALSE)), "Not Found", VLOOKUP(A1299,'Master List'!A:C,3,FALSE)))</f>
        <v>Email</v>
      </c>
      <c r="F1299" s="4" t="str">
        <f>IF(OR(A1299="",E1299="","",A1299="?",E1299="?"),"duplicate?",IF(COUNTIFS($A:A,A1299,E:E,E1299)&gt;1,"yes","no"))</f>
        <v>duplicate?</v>
      </c>
      <c r="K1299" s="97" t="str">
        <f ca="1">IF(J1299="","Date",IF(J1299&lt;&gt;"",IF(K1299="Date",NOW(),K1299),""))</f>
        <v>Date</v>
      </c>
    </row>
    <row r="1300" spans="2:11">
      <c r="B1300" s="97" t="str">
        <f ca="1">IF(A1300="","Date",IF(A1300&lt;&gt;"",IF(B1300="Date",NOW(),B1300),""))</f>
        <v>Date</v>
      </c>
      <c r="C1300" s="19" t="str">
        <f>IF(ISBLANK(A1300),"Name",IF(ISNA(VLOOKUP(A1300,'Master List'!A:C,2,FALSE)), "Not Found", VLOOKUP(A1300,'Master List'!A:C,2,FALSE)))</f>
        <v>Name</v>
      </c>
      <c r="D1300" s="19" t="str">
        <f>IF(ISBLANK(A1300), "Email",IF(ISNA(VLOOKUP(A1300,'Master List'!A:C,3,FALSE)), "Not Found", VLOOKUP(A1300,'Master List'!A:C,3,FALSE)))</f>
        <v>Email</v>
      </c>
      <c r="F1300" s="4" t="str">
        <f>IF(OR(A1300="",E1300="","",A1300="?",E1300="?"),"duplicate?",IF(COUNTIFS($A:A,A1300,E:E,E1300)&gt;1,"yes","no"))</f>
        <v>duplicate?</v>
      </c>
      <c r="K1300" s="97" t="str">
        <f ca="1">IF(J1300="","Date",IF(J1300&lt;&gt;"",IF(K1300="Date",NOW(),K1300),""))</f>
        <v>Date</v>
      </c>
    </row>
    <row r="1301" spans="2:11">
      <c r="B1301" s="97" t="str">
        <f ca="1">IF(A1301="","Date",IF(A1301&lt;&gt;"",IF(B1301="Date",NOW(),B1301),""))</f>
        <v>Date</v>
      </c>
      <c r="C1301" s="19" t="str">
        <f>IF(ISBLANK(A1301),"Name",IF(ISNA(VLOOKUP(A1301,'Master List'!A:C,2,FALSE)), "Not Found", VLOOKUP(A1301,'Master List'!A:C,2,FALSE)))</f>
        <v>Name</v>
      </c>
      <c r="D1301" s="19" t="str">
        <f>IF(ISBLANK(A1301), "Email",IF(ISNA(VLOOKUP(A1301,'Master List'!A:C,3,FALSE)), "Not Found", VLOOKUP(A1301,'Master List'!A:C,3,FALSE)))</f>
        <v>Email</v>
      </c>
      <c r="F1301" s="4" t="str">
        <f>IF(OR(A1301="",E1301="","",A1301="?",E1301="?"),"duplicate?",IF(COUNTIFS($A:A,A1301,E:E,E1301)&gt;1,"yes","no"))</f>
        <v>duplicate?</v>
      </c>
      <c r="K1301" s="97" t="str">
        <f ca="1">IF(J1301="","Date",IF(J1301&lt;&gt;"",IF(K1301="Date",NOW(),K1301),""))</f>
        <v>Date</v>
      </c>
    </row>
    <row r="1302" spans="2:11">
      <c r="B1302" s="97" t="str">
        <f ca="1">IF(A1302="","Date",IF(A1302&lt;&gt;"",IF(B1302="Date",NOW(),B1302),""))</f>
        <v>Date</v>
      </c>
      <c r="C1302" s="19" t="str">
        <f>IF(ISBLANK(A1302),"Name",IF(ISNA(VLOOKUP(A1302,'Master List'!A:C,2,FALSE)), "Not Found", VLOOKUP(A1302,'Master List'!A:C,2,FALSE)))</f>
        <v>Name</v>
      </c>
      <c r="D1302" s="19" t="str">
        <f>IF(ISBLANK(A1302), "Email",IF(ISNA(VLOOKUP(A1302,'Master List'!A:C,3,FALSE)), "Not Found", VLOOKUP(A1302,'Master List'!A:C,3,FALSE)))</f>
        <v>Email</v>
      </c>
      <c r="F1302" s="4" t="str">
        <f>IF(OR(A1302="",E1302="","",A1302="?",E1302="?"),"duplicate?",IF(COUNTIFS($A:A,A1302,E:E,E1302)&gt;1,"yes","no"))</f>
        <v>duplicate?</v>
      </c>
      <c r="K1302" s="97" t="str">
        <f ca="1">IF(J1302="","Date",IF(J1302&lt;&gt;"",IF(K1302="Date",NOW(),K1302),""))</f>
        <v>Date</v>
      </c>
    </row>
    <row r="1303" spans="2:11">
      <c r="B1303" s="97" t="str">
        <f ca="1">IF(A1303="","Date",IF(A1303&lt;&gt;"",IF(B1303="Date",NOW(),B1303),""))</f>
        <v>Date</v>
      </c>
      <c r="C1303" s="19" t="str">
        <f>IF(ISBLANK(A1303),"Name",IF(ISNA(VLOOKUP(A1303,'Master List'!A:C,2,FALSE)), "Not Found", VLOOKUP(A1303,'Master List'!A:C,2,FALSE)))</f>
        <v>Name</v>
      </c>
      <c r="D1303" s="19" t="str">
        <f>IF(ISBLANK(A1303), "Email",IF(ISNA(VLOOKUP(A1303,'Master List'!A:C,3,FALSE)), "Not Found", VLOOKUP(A1303,'Master List'!A:C,3,FALSE)))</f>
        <v>Email</v>
      </c>
      <c r="F1303" s="4" t="str">
        <f>IF(OR(A1303="",E1303="","",A1303="?",E1303="?"),"duplicate?",IF(COUNTIFS($A:A,A1303,E:E,E1303)&gt;1,"yes","no"))</f>
        <v>duplicate?</v>
      </c>
      <c r="K1303" s="97" t="str">
        <f ca="1">IF(J1303="","Date",IF(J1303&lt;&gt;"",IF(K1303="Date",NOW(),K1303),""))</f>
        <v>Date</v>
      </c>
    </row>
    <row r="1304" spans="2:11">
      <c r="B1304" s="97" t="str">
        <f ca="1">IF(A1304="","Date",IF(A1304&lt;&gt;"",IF(B1304="Date",NOW(),B1304),""))</f>
        <v>Date</v>
      </c>
      <c r="C1304" s="19" t="str">
        <f>IF(ISBLANK(A1304),"Name",IF(ISNA(VLOOKUP(A1304,'Master List'!A:C,2,FALSE)), "Not Found", VLOOKUP(A1304,'Master List'!A:C,2,FALSE)))</f>
        <v>Name</v>
      </c>
      <c r="D1304" s="19" t="str">
        <f>IF(ISBLANK(A1304), "Email",IF(ISNA(VLOOKUP(A1304,'Master List'!A:C,3,FALSE)), "Not Found", VLOOKUP(A1304,'Master List'!A:C,3,FALSE)))</f>
        <v>Email</v>
      </c>
      <c r="F1304" s="4" t="str">
        <f>IF(OR(A1304="",E1304="","",A1304="?",E1304="?"),"duplicate?",IF(COUNTIFS($A:A,A1304,E:E,E1304)&gt;1,"yes","no"))</f>
        <v>duplicate?</v>
      </c>
      <c r="K1304" s="97" t="str">
        <f ca="1">IF(J1304="","Date",IF(J1304&lt;&gt;"",IF(K1304="Date",NOW(),K1304),""))</f>
        <v>Date</v>
      </c>
    </row>
    <row r="1305" spans="2:11">
      <c r="B1305" s="97" t="str">
        <f ca="1">IF(A1305="","Date",IF(A1305&lt;&gt;"",IF(B1305="Date",NOW(),B1305),""))</f>
        <v>Date</v>
      </c>
      <c r="C1305" s="19" t="str">
        <f>IF(ISBLANK(A1305),"Name",IF(ISNA(VLOOKUP(A1305,'Master List'!A:C,2,FALSE)), "Not Found", VLOOKUP(A1305,'Master List'!A:C,2,FALSE)))</f>
        <v>Name</v>
      </c>
      <c r="D1305" s="19" t="str">
        <f>IF(ISBLANK(A1305), "Email",IF(ISNA(VLOOKUP(A1305,'Master List'!A:C,3,FALSE)), "Not Found", VLOOKUP(A1305,'Master List'!A:C,3,FALSE)))</f>
        <v>Email</v>
      </c>
      <c r="F1305" s="4" t="str">
        <f>IF(OR(A1305="",E1305="","",A1305="?",E1305="?"),"duplicate?",IF(COUNTIFS($A:A,A1305,E:E,E1305)&gt;1,"yes","no"))</f>
        <v>duplicate?</v>
      </c>
      <c r="K1305" s="97" t="str">
        <f ca="1">IF(J1305="","Date",IF(J1305&lt;&gt;"",IF(K1305="Date",NOW(),K1305),""))</f>
        <v>Date</v>
      </c>
    </row>
    <row r="1306" spans="2:11">
      <c r="B1306" s="97" t="str">
        <f ca="1">IF(A1306="","Date",IF(A1306&lt;&gt;"",IF(B1306="Date",NOW(),B1306),""))</f>
        <v>Date</v>
      </c>
      <c r="C1306" s="19" t="str">
        <f>IF(ISBLANK(A1306),"Name",IF(ISNA(VLOOKUP(A1306,'Master List'!A:C,2,FALSE)), "Not Found", VLOOKUP(A1306,'Master List'!A:C,2,FALSE)))</f>
        <v>Name</v>
      </c>
      <c r="D1306" s="19" t="str">
        <f>IF(ISBLANK(A1306), "Email",IF(ISNA(VLOOKUP(A1306,'Master List'!A:C,3,FALSE)), "Not Found", VLOOKUP(A1306,'Master List'!A:C,3,FALSE)))</f>
        <v>Email</v>
      </c>
      <c r="F1306" s="4" t="str">
        <f>IF(OR(A1306="",E1306="","",A1306="?",E1306="?"),"duplicate?",IF(COUNTIFS($A:A,A1306,E:E,E1306)&gt;1,"yes","no"))</f>
        <v>duplicate?</v>
      </c>
      <c r="K1306" s="97" t="str">
        <f ca="1">IF(J1306="","Date",IF(J1306&lt;&gt;"",IF(K1306="Date",NOW(),K1306),""))</f>
        <v>Date</v>
      </c>
    </row>
    <row r="1307" spans="2:11">
      <c r="B1307" s="97" t="str">
        <f ca="1">IF(A1307="","Date",IF(A1307&lt;&gt;"",IF(B1307="Date",NOW(),B1307),""))</f>
        <v>Date</v>
      </c>
      <c r="C1307" s="19" t="str">
        <f>IF(ISBLANK(A1307),"Name",IF(ISNA(VLOOKUP(A1307,'Master List'!A:C,2,FALSE)), "Not Found", VLOOKUP(A1307,'Master List'!A:C,2,FALSE)))</f>
        <v>Name</v>
      </c>
      <c r="D1307" s="19" t="str">
        <f>IF(ISBLANK(A1307), "Email",IF(ISNA(VLOOKUP(A1307,'Master List'!A:C,3,FALSE)), "Not Found", VLOOKUP(A1307,'Master List'!A:C,3,FALSE)))</f>
        <v>Email</v>
      </c>
      <c r="F1307" s="4" t="str">
        <f>IF(OR(A1307="",E1307="","",A1307="?",E1307="?"),"duplicate?",IF(COUNTIFS($A:A,A1307,E:E,E1307)&gt;1,"yes","no"))</f>
        <v>duplicate?</v>
      </c>
      <c r="K1307" s="97" t="str">
        <f ca="1">IF(J1307="","Date",IF(J1307&lt;&gt;"",IF(K1307="Date",NOW(),K1307),""))</f>
        <v>Date</v>
      </c>
    </row>
    <row r="1308" spans="2:11">
      <c r="B1308" s="97" t="str">
        <f ca="1">IF(A1308="","Date",IF(A1308&lt;&gt;"",IF(B1308="Date",NOW(),B1308),""))</f>
        <v>Date</v>
      </c>
      <c r="C1308" s="19" t="str">
        <f>IF(ISBLANK(A1308),"Name",IF(ISNA(VLOOKUP(A1308,'Master List'!A:C,2,FALSE)), "Not Found", VLOOKUP(A1308,'Master List'!A:C,2,FALSE)))</f>
        <v>Name</v>
      </c>
      <c r="D1308" s="19" t="str">
        <f>IF(ISBLANK(A1308), "Email",IF(ISNA(VLOOKUP(A1308,'Master List'!A:C,3,FALSE)), "Not Found", VLOOKUP(A1308,'Master List'!A:C,3,FALSE)))</f>
        <v>Email</v>
      </c>
      <c r="F1308" s="4" t="str">
        <f>IF(OR(A1308="",E1308="","",A1308="?",E1308="?"),"duplicate?",IF(COUNTIFS($A:A,A1308,E:E,E1308)&gt;1,"yes","no"))</f>
        <v>duplicate?</v>
      </c>
      <c r="K1308" s="97" t="str">
        <f ca="1">IF(J1308="","Date",IF(J1308&lt;&gt;"",IF(K1308="Date",NOW(),K1308),""))</f>
        <v>Date</v>
      </c>
    </row>
    <row r="1309" spans="2:11">
      <c r="B1309" s="97" t="str">
        <f ca="1">IF(A1309="","Date",IF(A1309&lt;&gt;"",IF(B1309="Date",NOW(),B1309),""))</f>
        <v>Date</v>
      </c>
      <c r="C1309" s="19" t="str">
        <f>IF(ISBLANK(A1309),"Name",IF(ISNA(VLOOKUP(A1309,'Master List'!A:C,2,FALSE)), "Not Found", VLOOKUP(A1309,'Master List'!A:C,2,FALSE)))</f>
        <v>Name</v>
      </c>
      <c r="D1309" s="19" t="str">
        <f>IF(ISBLANK(A1309), "Email",IF(ISNA(VLOOKUP(A1309,'Master List'!A:C,3,FALSE)), "Not Found", VLOOKUP(A1309,'Master List'!A:C,3,FALSE)))</f>
        <v>Email</v>
      </c>
      <c r="F1309" s="4" t="str">
        <f>IF(OR(A1309="",E1309="","",A1309="?",E1309="?"),"duplicate?",IF(COUNTIFS($A:A,A1309,E:E,E1309)&gt;1,"yes","no"))</f>
        <v>duplicate?</v>
      </c>
      <c r="K1309" s="97" t="str">
        <f ca="1">IF(J1309="","Date",IF(J1309&lt;&gt;"",IF(K1309="Date",NOW(),K1309),""))</f>
        <v>Date</v>
      </c>
    </row>
    <row r="1310" spans="2:11">
      <c r="B1310" s="97" t="str">
        <f ca="1">IF(A1310="","Date",IF(A1310&lt;&gt;"",IF(B1310="Date",NOW(),B1310),""))</f>
        <v>Date</v>
      </c>
      <c r="C1310" s="19" t="str">
        <f>IF(ISBLANK(A1310),"Name",IF(ISNA(VLOOKUP(A1310,'Master List'!A:C,2,FALSE)), "Not Found", VLOOKUP(A1310,'Master List'!A:C,2,FALSE)))</f>
        <v>Name</v>
      </c>
      <c r="D1310" s="19" t="str">
        <f>IF(ISBLANK(A1310), "Email",IF(ISNA(VLOOKUP(A1310,'Master List'!A:C,3,FALSE)), "Not Found", VLOOKUP(A1310,'Master List'!A:C,3,FALSE)))</f>
        <v>Email</v>
      </c>
      <c r="F1310" s="4" t="str">
        <f>IF(OR(A1310="",E1310="","",A1310="?",E1310="?"),"duplicate?",IF(COUNTIFS($A:A,A1310,E:E,E1310)&gt;1,"yes","no"))</f>
        <v>duplicate?</v>
      </c>
      <c r="K1310" s="97" t="str">
        <f ca="1">IF(J1310="","Date",IF(J1310&lt;&gt;"",IF(K1310="Date",NOW(),K1310),""))</f>
        <v>Date</v>
      </c>
    </row>
    <row r="1311" spans="2:11">
      <c r="B1311" s="97" t="str">
        <f ca="1">IF(A1311="","Date",IF(A1311&lt;&gt;"",IF(B1311="Date",NOW(),B1311),""))</f>
        <v>Date</v>
      </c>
      <c r="C1311" s="19" t="str">
        <f>IF(ISBLANK(A1311),"Name",IF(ISNA(VLOOKUP(A1311,'Master List'!A:C,2,FALSE)), "Not Found", VLOOKUP(A1311,'Master List'!A:C,2,FALSE)))</f>
        <v>Name</v>
      </c>
      <c r="D1311" s="19" t="str">
        <f>IF(ISBLANK(A1311), "Email",IF(ISNA(VLOOKUP(A1311,'Master List'!A:C,3,FALSE)), "Not Found", VLOOKUP(A1311,'Master List'!A:C,3,FALSE)))</f>
        <v>Email</v>
      </c>
      <c r="F1311" s="4" t="str">
        <f>IF(OR(A1311="",E1311="","",A1311="?",E1311="?"),"duplicate?",IF(COUNTIFS($A:A,A1311,E:E,E1311)&gt;1,"yes","no"))</f>
        <v>duplicate?</v>
      </c>
      <c r="K1311" s="97" t="str">
        <f ca="1">IF(J1311="","Date",IF(J1311&lt;&gt;"",IF(K1311="Date",NOW(),K1311),""))</f>
        <v>Date</v>
      </c>
    </row>
    <row r="1312" spans="2:11">
      <c r="B1312" s="97" t="str">
        <f ca="1">IF(A1312="","Date",IF(A1312&lt;&gt;"",IF(B1312="Date",NOW(),B1312),""))</f>
        <v>Date</v>
      </c>
      <c r="C1312" s="19" t="str">
        <f>IF(ISBLANK(A1312),"Name",IF(ISNA(VLOOKUP(A1312,'Master List'!A:C,2,FALSE)), "Not Found", VLOOKUP(A1312,'Master List'!A:C,2,FALSE)))</f>
        <v>Name</v>
      </c>
      <c r="D1312" s="19" t="str">
        <f>IF(ISBLANK(A1312), "Email",IF(ISNA(VLOOKUP(A1312,'Master List'!A:C,3,FALSE)), "Not Found", VLOOKUP(A1312,'Master List'!A:C,3,FALSE)))</f>
        <v>Email</v>
      </c>
      <c r="F1312" s="4" t="str">
        <f>IF(OR(A1312="",E1312="","",A1312="?",E1312="?"),"duplicate?",IF(COUNTIFS($A:A,A1312,E:E,E1312)&gt;1,"yes","no"))</f>
        <v>duplicate?</v>
      </c>
      <c r="K1312" s="97" t="str">
        <f ca="1">IF(J1312="","Date",IF(J1312&lt;&gt;"",IF(K1312="Date",NOW(),K1312),""))</f>
        <v>Date</v>
      </c>
    </row>
    <row r="1313" spans="2:11">
      <c r="B1313" s="97" t="str">
        <f ca="1">IF(A1313="","Date",IF(A1313&lt;&gt;"",IF(B1313="Date",NOW(),B1313),""))</f>
        <v>Date</v>
      </c>
      <c r="C1313" s="19" t="str">
        <f>IF(ISBLANK(A1313),"Name",IF(ISNA(VLOOKUP(A1313,'Master List'!A:C,2,FALSE)), "Not Found", VLOOKUP(A1313,'Master List'!A:C,2,FALSE)))</f>
        <v>Name</v>
      </c>
      <c r="D1313" s="19" t="str">
        <f>IF(ISBLANK(A1313), "Email",IF(ISNA(VLOOKUP(A1313,'Master List'!A:C,3,FALSE)), "Not Found", VLOOKUP(A1313,'Master List'!A:C,3,FALSE)))</f>
        <v>Email</v>
      </c>
      <c r="F1313" s="4" t="str">
        <f>IF(OR(A1313="",E1313="","",A1313="?",E1313="?"),"duplicate?",IF(COUNTIFS($A:A,A1313,E:E,E1313)&gt;1,"yes","no"))</f>
        <v>duplicate?</v>
      </c>
      <c r="K1313" s="97" t="str">
        <f ca="1">IF(J1313="","Date",IF(J1313&lt;&gt;"",IF(K1313="Date",NOW(),K1313),""))</f>
        <v>Date</v>
      </c>
    </row>
    <row r="1314" spans="2:11">
      <c r="B1314" s="97" t="str">
        <f ca="1">IF(A1314="","Date",IF(A1314&lt;&gt;"",IF(B1314="Date",NOW(),B1314),""))</f>
        <v>Date</v>
      </c>
      <c r="C1314" s="19" t="str">
        <f>IF(ISBLANK(A1314),"Name",IF(ISNA(VLOOKUP(A1314,'Master List'!A:C,2,FALSE)), "Not Found", VLOOKUP(A1314,'Master List'!A:C,2,FALSE)))</f>
        <v>Name</v>
      </c>
      <c r="D1314" s="19" t="str">
        <f>IF(ISBLANK(A1314), "Email",IF(ISNA(VLOOKUP(A1314,'Master List'!A:C,3,FALSE)), "Not Found", VLOOKUP(A1314,'Master List'!A:C,3,FALSE)))</f>
        <v>Email</v>
      </c>
      <c r="F1314" s="4" t="str">
        <f>IF(OR(A1314="",E1314="","",A1314="?",E1314="?"),"duplicate?",IF(COUNTIFS($A:A,A1314,E:E,E1314)&gt;1,"yes","no"))</f>
        <v>duplicate?</v>
      </c>
      <c r="K1314" s="97" t="str">
        <f ca="1">IF(J1314="","Date",IF(J1314&lt;&gt;"",IF(K1314="Date",NOW(),K1314),""))</f>
        <v>Date</v>
      </c>
    </row>
    <row r="1315" spans="2:11">
      <c r="B1315" s="97" t="str">
        <f ca="1">IF(A1315="","Date",IF(A1315&lt;&gt;"",IF(B1315="Date",NOW(),B1315),""))</f>
        <v>Date</v>
      </c>
      <c r="C1315" s="19" t="str">
        <f>IF(ISBLANK(A1315),"Name",IF(ISNA(VLOOKUP(A1315,'Master List'!A:C,2,FALSE)), "Not Found", VLOOKUP(A1315,'Master List'!A:C,2,FALSE)))</f>
        <v>Name</v>
      </c>
      <c r="D1315" s="19" t="str">
        <f>IF(ISBLANK(A1315), "Email",IF(ISNA(VLOOKUP(A1315,'Master List'!A:C,3,FALSE)), "Not Found", VLOOKUP(A1315,'Master List'!A:C,3,FALSE)))</f>
        <v>Email</v>
      </c>
      <c r="F1315" s="4" t="str">
        <f>IF(OR(A1315="",E1315="","",A1315="?",E1315="?"),"duplicate?",IF(COUNTIFS($A:A,A1315,E:E,E1315)&gt;1,"yes","no"))</f>
        <v>duplicate?</v>
      </c>
      <c r="K1315" s="97" t="str">
        <f ca="1">IF(J1315="","Date",IF(J1315&lt;&gt;"",IF(K1315="Date",NOW(),K1315),""))</f>
        <v>Date</v>
      </c>
    </row>
    <row r="1316" spans="2:11">
      <c r="B1316" s="97" t="str">
        <f ca="1">IF(A1316="","Date",IF(A1316&lt;&gt;"",IF(B1316="Date",NOW(),B1316),""))</f>
        <v>Date</v>
      </c>
      <c r="C1316" s="19" t="str">
        <f>IF(ISBLANK(A1316),"Name",IF(ISNA(VLOOKUP(A1316,'Master List'!A:C,2,FALSE)), "Not Found", VLOOKUP(A1316,'Master List'!A:C,2,FALSE)))</f>
        <v>Name</v>
      </c>
      <c r="D1316" s="19" t="str">
        <f>IF(ISBLANK(A1316), "Email",IF(ISNA(VLOOKUP(A1316,'Master List'!A:C,3,FALSE)), "Not Found", VLOOKUP(A1316,'Master List'!A:C,3,FALSE)))</f>
        <v>Email</v>
      </c>
      <c r="F1316" s="4" t="str">
        <f>IF(OR(A1316="",E1316="","",A1316="?",E1316="?"),"duplicate?",IF(COUNTIFS($A:A,A1316,E:E,E1316)&gt;1,"yes","no"))</f>
        <v>duplicate?</v>
      </c>
      <c r="K1316" s="97" t="str">
        <f ca="1">IF(J1316="","Date",IF(J1316&lt;&gt;"",IF(K1316="Date",NOW(),K1316),""))</f>
        <v>Date</v>
      </c>
    </row>
    <row r="1317" spans="2:11">
      <c r="B1317" s="97" t="str">
        <f ca="1">IF(A1317="","Date",IF(A1317&lt;&gt;"",IF(B1317="Date",NOW(),B1317),""))</f>
        <v>Date</v>
      </c>
      <c r="C1317" s="19" t="str">
        <f>IF(ISBLANK(A1317),"Name",IF(ISNA(VLOOKUP(A1317,'Master List'!A:C,2,FALSE)), "Not Found", VLOOKUP(A1317,'Master List'!A:C,2,FALSE)))</f>
        <v>Name</v>
      </c>
      <c r="D1317" s="19" t="str">
        <f>IF(ISBLANK(A1317), "Email",IF(ISNA(VLOOKUP(A1317,'Master List'!A:C,3,FALSE)), "Not Found", VLOOKUP(A1317,'Master List'!A:C,3,FALSE)))</f>
        <v>Email</v>
      </c>
      <c r="F1317" s="4" t="str">
        <f>IF(OR(A1317="",E1317="","",A1317="?",E1317="?"),"duplicate?",IF(COUNTIFS($A:A,A1317,E:E,E1317)&gt;1,"yes","no"))</f>
        <v>duplicate?</v>
      </c>
      <c r="K1317" s="97" t="str">
        <f ca="1">IF(J1317="","Date",IF(J1317&lt;&gt;"",IF(K1317="Date",NOW(),K1317),""))</f>
        <v>Date</v>
      </c>
    </row>
    <row r="1318" spans="2:11">
      <c r="B1318" s="97" t="str">
        <f ca="1">IF(A1318="","Date",IF(A1318&lt;&gt;"",IF(B1318="Date",NOW(),B1318),""))</f>
        <v>Date</v>
      </c>
      <c r="C1318" s="19" t="str">
        <f>IF(ISBLANK(A1318),"Name",IF(ISNA(VLOOKUP(A1318,'Master List'!A:C,2,FALSE)), "Not Found", VLOOKUP(A1318,'Master List'!A:C,2,FALSE)))</f>
        <v>Name</v>
      </c>
      <c r="D1318" s="19" t="str">
        <f>IF(ISBLANK(A1318), "Email",IF(ISNA(VLOOKUP(A1318,'Master List'!A:C,3,FALSE)), "Not Found", VLOOKUP(A1318,'Master List'!A:C,3,FALSE)))</f>
        <v>Email</v>
      </c>
      <c r="F1318" s="4" t="str">
        <f>IF(OR(A1318="",E1318="","",A1318="?",E1318="?"),"duplicate?",IF(COUNTIFS($A:A,A1318,E:E,E1318)&gt;1,"yes","no"))</f>
        <v>duplicate?</v>
      </c>
      <c r="K1318" s="97" t="str">
        <f ca="1">IF(J1318="","Date",IF(J1318&lt;&gt;"",IF(K1318="Date",NOW(),K1318),""))</f>
        <v>Date</v>
      </c>
    </row>
    <row r="1319" spans="2:11">
      <c r="B1319" s="97" t="str">
        <f ca="1">IF(A1319="","Date",IF(A1319&lt;&gt;"",IF(B1319="Date",NOW(),B1319),""))</f>
        <v>Date</v>
      </c>
      <c r="C1319" s="19" t="str">
        <f>IF(ISBLANK(A1319),"Name",IF(ISNA(VLOOKUP(A1319,'Master List'!A:C,2,FALSE)), "Not Found", VLOOKUP(A1319,'Master List'!A:C,2,FALSE)))</f>
        <v>Name</v>
      </c>
      <c r="D1319" s="19" t="str">
        <f>IF(ISBLANK(A1319), "Email",IF(ISNA(VLOOKUP(A1319,'Master List'!A:C,3,FALSE)), "Not Found", VLOOKUP(A1319,'Master List'!A:C,3,FALSE)))</f>
        <v>Email</v>
      </c>
      <c r="F1319" s="4" t="str">
        <f>IF(OR(A1319="",E1319="","",A1319="?",E1319="?"),"duplicate?",IF(COUNTIFS($A:A,A1319,E:E,E1319)&gt;1,"yes","no"))</f>
        <v>duplicate?</v>
      </c>
      <c r="K1319" s="97" t="str">
        <f ca="1">IF(J1319="","Date",IF(J1319&lt;&gt;"",IF(K1319="Date",NOW(),K1319),""))</f>
        <v>Date</v>
      </c>
    </row>
    <row r="1320" spans="2:11">
      <c r="B1320" s="97" t="str">
        <f ca="1">IF(A1320="","Date",IF(A1320&lt;&gt;"",IF(B1320="Date",NOW(),B1320),""))</f>
        <v>Date</v>
      </c>
      <c r="C1320" s="19" t="str">
        <f>IF(ISBLANK(A1320),"Name",IF(ISNA(VLOOKUP(A1320,'Master List'!A:C,2,FALSE)), "Not Found", VLOOKUP(A1320,'Master List'!A:C,2,FALSE)))</f>
        <v>Name</v>
      </c>
      <c r="D1320" s="19" t="str">
        <f>IF(ISBLANK(A1320), "Email",IF(ISNA(VLOOKUP(A1320,'Master List'!A:C,3,FALSE)), "Not Found", VLOOKUP(A1320,'Master List'!A:C,3,FALSE)))</f>
        <v>Email</v>
      </c>
      <c r="F1320" s="4" t="str">
        <f>IF(OR(A1320="",E1320="","",A1320="?",E1320="?"),"duplicate?",IF(COUNTIFS($A:A,A1320,E:E,E1320)&gt;1,"yes","no"))</f>
        <v>duplicate?</v>
      </c>
      <c r="K1320" s="97" t="str">
        <f ca="1">IF(J1320="","Date",IF(J1320&lt;&gt;"",IF(K1320="Date",NOW(),K1320),""))</f>
        <v>Date</v>
      </c>
    </row>
    <row r="1321" spans="2:11">
      <c r="B1321" s="97" t="str">
        <f ca="1">IF(A1321="","Date",IF(A1321&lt;&gt;"",IF(B1321="Date",NOW(),B1321),""))</f>
        <v>Date</v>
      </c>
      <c r="C1321" s="19" t="str">
        <f>IF(ISBLANK(A1321),"Name",IF(ISNA(VLOOKUP(A1321,'Master List'!A:C,2,FALSE)), "Not Found", VLOOKUP(A1321,'Master List'!A:C,2,FALSE)))</f>
        <v>Name</v>
      </c>
      <c r="D1321" s="19" t="str">
        <f>IF(ISBLANK(A1321), "Email",IF(ISNA(VLOOKUP(A1321,'Master List'!A:C,3,FALSE)), "Not Found", VLOOKUP(A1321,'Master List'!A:C,3,FALSE)))</f>
        <v>Email</v>
      </c>
      <c r="F1321" s="4" t="str">
        <f>IF(OR(A1321="",E1321="","",A1321="?",E1321="?"),"duplicate?",IF(COUNTIFS($A:A,A1321,E:E,E1321)&gt;1,"yes","no"))</f>
        <v>duplicate?</v>
      </c>
      <c r="K1321" s="97" t="str">
        <f ca="1">IF(J1321="","Date",IF(J1321&lt;&gt;"",IF(K1321="Date",NOW(),K1321),""))</f>
        <v>Date</v>
      </c>
    </row>
    <row r="1322" spans="2:11">
      <c r="B1322" s="97" t="str">
        <f ca="1">IF(A1322="","Date",IF(A1322&lt;&gt;"",IF(B1322="Date",NOW(),B1322),""))</f>
        <v>Date</v>
      </c>
      <c r="C1322" s="19" t="str">
        <f>IF(ISBLANK(A1322),"Name",IF(ISNA(VLOOKUP(A1322,'Master List'!A:C,2,FALSE)), "Not Found", VLOOKUP(A1322,'Master List'!A:C,2,FALSE)))</f>
        <v>Name</v>
      </c>
      <c r="D1322" s="19" t="str">
        <f>IF(ISBLANK(A1322), "Email",IF(ISNA(VLOOKUP(A1322,'Master List'!A:C,3,FALSE)), "Not Found", VLOOKUP(A1322,'Master List'!A:C,3,FALSE)))</f>
        <v>Email</v>
      </c>
      <c r="F1322" s="4" t="str">
        <f>IF(OR(A1322="",E1322="","",A1322="?",E1322="?"),"duplicate?",IF(COUNTIFS($A:A,A1322,E:E,E1322)&gt;1,"yes","no"))</f>
        <v>duplicate?</v>
      </c>
      <c r="K1322" s="97" t="str">
        <f ca="1">IF(J1322="","Date",IF(J1322&lt;&gt;"",IF(K1322="Date",NOW(),K1322),""))</f>
        <v>Date</v>
      </c>
    </row>
    <row r="1323" spans="2:11">
      <c r="B1323" s="97" t="str">
        <f ca="1">IF(A1323="","Date",IF(A1323&lt;&gt;"",IF(B1323="Date",NOW(),B1323),""))</f>
        <v>Date</v>
      </c>
      <c r="C1323" s="19" t="str">
        <f>IF(ISBLANK(A1323),"Name",IF(ISNA(VLOOKUP(A1323,'Master List'!A:C,2,FALSE)), "Not Found", VLOOKUP(A1323,'Master List'!A:C,2,FALSE)))</f>
        <v>Name</v>
      </c>
      <c r="D1323" s="19" t="str">
        <f>IF(ISBLANK(A1323), "Email",IF(ISNA(VLOOKUP(A1323,'Master List'!A:C,3,FALSE)), "Not Found", VLOOKUP(A1323,'Master List'!A:C,3,FALSE)))</f>
        <v>Email</v>
      </c>
      <c r="F1323" s="4" t="str">
        <f>IF(OR(A1323="",E1323="","",A1323="?",E1323="?"),"duplicate?",IF(COUNTIFS($A:A,A1323,E:E,E1323)&gt;1,"yes","no"))</f>
        <v>duplicate?</v>
      </c>
      <c r="K1323" s="97" t="str">
        <f ca="1">IF(J1323="","Date",IF(J1323&lt;&gt;"",IF(K1323="Date",NOW(),K1323),""))</f>
        <v>Date</v>
      </c>
    </row>
    <row r="1324" spans="2:11">
      <c r="B1324" s="97" t="str">
        <f ca="1">IF(A1324="","Date",IF(A1324&lt;&gt;"",IF(B1324="Date",NOW(),B1324),""))</f>
        <v>Date</v>
      </c>
      <c r="C1324" s="19" t="str">
        <f>IF(ISBLANK(A1324),"Name",IF(ISNA(VLOOKUP(A1324,'Master List'!A:C,2,FALSE)), "Not Found", VLOOKUP(A1324,'Master List'!A:C,2,FALSE)))</f>
        <v>Name</v>
      </c>
      <c r="D1324" s="19" t="str">
        <f>IF(ISBLANK(A1324), "Email",IF(ISNA(VLOOKUP(A1324,'Master List'!A:C,3,FALSE)), "Not Found", VLOOKUP(A1324,'Master List'!A:C,3,FALSE)))</f>
        <v>Email</v>
      </c>
      <c r="F1324" s="4" t="str">
        <f>IF(OR(A1324="",E1324="","",A1324="?",E1324="?"),"duplicate?",IF(COUNTIFS($A:A,A1324,E:E,E1324)&gt;1,"yes","no"))</f>
        <v>duplicate?</v>
      </c>
      <c r="K1324" s="97" t="str">
        <f ca="1">IF(J1324="","Date",IF(J1324&lt;&gt;"",IF(K1324="Date",NOW(),K1324),""))</f>
        <v>Date</v>
      </c>
    </row>
    <row r="1325" spans="2:11">
      <c r="B1325" s="97" t="str">
        <f ca="1">IF(A1325="","Date",IF(A1325&lt;&gt;"",IF(B1325="Date",NOW(),B1325),""))</f>
        <v>Date</v>
      </c>
      <c r="C1325" s="19" t="str">
        <f>IF(ISBLANK(A1325),"Name",IF(ISNA(VLOOKUP(A1325,'Master List'!A:C,2,FALSE)), "Not Found", VLOOKUP(A1325,'Master List'!A:C,2,FALSE)))</f>
        <v>Name</v>
      </c>
      <c r="D1325" s="19" t="str">
        <f>IF(ISBLANK(A1325), "Email",IF(ISNA(VLOOKUP(A1325,'Master List'!A:C,3,FALSE)), "Not Found", VLOOKUP(A1325,'Master List'!A:C,3,FALSE)))</f>
        <v>Email</v>
      </c>
      <c r="F1325" s="4" t="str">
        <f>IF(OR(A1325="",E1325="","",A1325="?",E1325="?"),"duplicate?",IF(COUNTIFS($A:A,A1325,E:E,E1325)&gt;1,"yes","no"))</f>
        <v>duplicate?</v>
      </c>
      <c r="K1325" s="97" t="str">
        <f ca="1">IF(J1325="","Date",IF(J1325&lt;&gt;"",IF(K1325="Date",NOW(),K1325),""))</f>
        <v>Date</v>
      </c>
    </row>
    <row r="1326" spans="2:11">
      <c r="B1326" s="97" t="str">
        <f ca="1">IF(A1326="","Date",IF(A1326&lt;&gt;"",IF(B1326="Date",NOW(),B1326),""))</f>
        <v>Date</v>
      </c>
      <c r="C1326" s="19" t="str">
        <f>IF(ISBLANK(A1326),"Name",IF(ISNA(VLOOKUP(A1326,'Master List'!A:C,2,FALSE)), "Not Found", VLOOKUP(A1326,'Master List'!A:C,2,FALSE)))</f>
        <v>Name</v>
      </c>
      <c r="D1326" s="19" t="str">
        <f>IF(ISBLANK(A1326), "Email",IF(ISNA(VLOOKUP(A1326,'Master List'!A:C,3,FALSE)), "Not Found", VLOOKUP(A1326,'Master List'!A:C,3,FALSE)))</f>
        <v>Email</v>
      </c>
      <c r="F1326" s="4" t="str">
        <f>IF(OR(A1326="",E1326="","",A1326="?",E1326="?"),"duplicate?",IF(COUNTIFS($A:A,A1326,E:E,E1326)&gt;1,"yes","no"))</f>
        <v>duplicate?</v>
      </c>
      <c r="K1326" s="97" t="str">
        <f ca="1">IF(J1326="","Date",IF(J1326&lt;&gt;"",IF(K1326="Date",NOW(),K1326),""))</f>
        <v>Date</v>
      </c>
    </row>
    <row r="1327" spans="2:11">
      <c r="B1327" s="97" t="str">
        <f ca="1">IF(A1327="","Date",IF(A1327&lt;&gt;"",IF(B1327="Date",NOW(),B1327),""))</f>
        <v>Date</v>
      </c>
      <c r="C1327" s="19" t="str">
        <f>IF(ISBLANK(A1327),"Name",IF(ISNA(VLOOKUP(A1327,'Master List'!A:C,2,FALSE)), "Not Found", VLOOKUP(A1327,'Master List'!A:C,2,FALSE)))</f>
        <v>Name</v>
      </c>
      <c r="D1327" s="19" t="str">
        <f>IF(ISBLANK(A1327), "Email",IF(ISNA(VLOOKUP(A1327,'Master List'!A:C,3,FALSE)), "Not Found", VLOOKUP(A1327,'Master List'!A:C,3,FALSE)))</f>
        <v>Email</v>
      </c>
      <c r="F1327" s="4" t="str">
        <f>IF(OR(A1327="",E1327="","",A1327="?",E1327="?"),"duplicate?",IF(COUNTIFS($A:A,A1327,E:E,E1327)&gt;1,"yes","no"))</f>
        <v>duplicate?</v>
      </c>
      <c r="K1327" s="97" t="str">
        <f ca="1">IF(J1327="","Date",IF(J1327&lt;&gt;"",IF(K1327="Date",NOW(),K1327),""))</f>
        <v>Date</v>
      </c>
    </row>
    <row r="1328" spans="2:11">
      <c r="B1328" s="97" t="str">
        <f ca="1">IF(A1328="","Date",IF(A1328&lt;&gt;"",IF(B1328="Date",NOW(),B1328),""))</f>
        <v>Date</v>
      </c>
      <c r="C1328" s="19" t="str">
        <f>IF(ISBLANK(A1328),"Name",IF(ISNA(VLOOKUP(A1328,'Master List'!A:C,2,FALSE)), "Not Found", VLOOKUP(A1328,'Master List'!A:C,2,FALSE)))</f>
        <v>Name</v>
      </c>
      <c r="D1328" s="19" t="str">
        <f>IF(ISBLANK(A1328), "Email",IF(ISNA(VLOOKUP(A1328,'Master List'!A:C,3,FALSE)), "Not Found", VLOOKUP(A1328,'Master List'!A:C,3,FALSE)))</f>
        <v>Email</v>
      </c>
      <c r="F1328" s="4" t="str">
        <f>IF(OR(A1328="",E1328="","",A1328="?",E1328="?"),"duplicate?",IF(COUNTIFS($A:A,A1328,E:E,E1328)&gt;1,"yes","no"))</f>
        <v>duplicate?</v>
      </c>
      <c r="K1328" s="97" t="str">
        <f ca="1">IF(J1328="","Date",IF(J1328&lt;&gt;"",IF(K1328="Date",NOW(),K1328),""))</f>
        <v>Date</v>
      </c>
    </row>
    <row r="1329" spans="2:11">
      <c r="B1329" s="97" t="str">
        <f ca="1">IF(A1329="","Date",IF(A1329&lt;&gt;"",IF(B1329="Date",NOW(),B1329),""))</f>
        <v>Date</v>
      </c>
      <c r="C1329" s="19" t="str">
        <f>IF(ISBLANK(A1329),"Name",IF(ISNA(VLOOKUP(A1329,'Master List'!A:C,2,FALSE)), "Not Found", VLOOKUP(A1329,'Master List'!A:C,2,FALSE)))</f>
        <v>Name</v>
      </c>
      <c r="D1329" s="19" t="str">
        <f>IF(ISBLANK(A1329), "Email",IF(ISNA(VLOOKUP(A1329,'Master List'!A:C,3,FALSE)), "Not Found", VLOOKUP(A1329,'Master List'!A:C,3,FALSE)))</f>
        <v>Email</v>
      </c>
      <c r="F1329" s="4" t="str">
        <f>IF(OR(A1329="",E1329="","",A1329="?",E1329="?"),"duplicate?",IF(COUNTIFS($A:A,A1329,E:E,E1329)&gt;1,"yes","no"))</f>
        <v>duplicate?</v>
      </c>
      <c r="K1329" s="97" t="str">
        <f ca="1">IF(J1329="","Date",IF(J1329&lt;&gt;"",IF(K1329="Date",NOW(),K1329),""))</f>
        <v>Date</v>
      </c>
    </row>
    <row r="1330" spans="2:11">
      <c r="B1330" s="97" t="str">
        <f ca="1">IF(A1330="","Date",IF(A1330&lt;&gt;"",IF(B1330="Date",NOW(),B1330),""))</f>
        <v>Date</v>
      </c>
      <c r="C1330" s="19" t="str">
        <f>IF(ISBLANK(A1330),"Name",IF(ISNA(VLOOKUP(A1330,'Master List'!A:C,2,FALSE)), "Not Found", VLOOKUP(A1330,'Master List'!A:C,2,FALSE)))</f>
        <v>Name</v>
      </c>
      <c r="D1330" s="19" t="str">
        <f>IF(ISBLANK(A1330), "Email",IF(ISNA(VLOOKUP(A1330,'Master List'!A:C,3,FALSE)), "Not Found", VLOOKUP(A1330,'Master List'!A:C,3,FALSE)))</f>
        <v>Email</v>
      </c>
      <c r="F1330" s="4" t="str">
        <f>IF(OR(A1330="",E1330="","",A1330="?",E1330="?"),"duplicate?",IF(COUNTIFS($A:A,A1330,E:E,E1330)&gt;1,"yes","no"))</f>
        <v>duplicate?</v>
      </c>
      <c r="K1330" s="97" t="str">
        <f ca="1">IF(J1330="","Date",IF(J1330&lt;&gt;"",IF(K1330="Date",NOW(),K1330),""))</f>
        <v>Date</v>
      </c>
    </row>
    <row r="1331" spans="2:11">
      <c r="B1331" s="97" t="str">
        <f ca="1">IF(A1331="","Date",IF(A1331&lt;&gt;"",IF(B1331="Date",NOW(),B1331),""))</f>
        <v>Date</v>
      </c>
      <c r="C1331" s="19" t="str">
        <f>IF(ISBLANK(A1331),"Name",IF(ISNA(VLOOKUP(A1331,'Master List'!A:C,2,FALSE)), "Not Found", VLOOKUP(A1331,'Master List'!A:C,2,FALSE)))</f>
        <v>Name</v>
      </c>
      <c r="D1331" s="19" t="str">
        <f>IF(ISBLANK(A1331), "Email",IF(ISNA(VLOOKUP(A1331,'Master List'!A:C,3,FALSE)), "Not Found", VLOOKUP(A1331,'Master List'!A:C,3,FALSE)))</f>
        <v>Email</v>
      </c>
      <c r="F1331" s="4" t="str">
        <f>IF(OR(A1331="",E1331="","",A1331="?",E1331="?"),"duplicate?",IF(COUNTIFS($A:A,A1331,E:E,E1331)&gt;1,"yes","no"))</f>
        <v>duplicate?</v>
      </c>
      <c r="K1331" s="97" t="str">
        <f ca="1">IF(J1331="","Date",IF(J1331&lt;&gt;"",IF(K1331="Date",NOW(),K1331),""))</f>
        <v>Date</v>
      </c>
    </row>
    <row r="1332" spans="2:11">
      <c r="B1332" s="97" t="str">
        <f ca="1">IF(A1332="","Date",IF(A1332&lt;&gt;"",IF(B1332="Date",NOW(),B1332),""))</f>
        <v>Date</v>
      </c>
      <c r="C1332" s="19" t="str">
        <f>IF(ISBLANK(A1332),"Name",IF(ISNA(VLOOKUP(A1332,'Master List'!A:C,2,FALSE)), "Not Found", VLOOKUP(A1332,'Master List'!A:C,2,FALSE)))</f>
        <v>Name</v>
      </c>
      <c r="D1332" s="19" t="str">
        <f>IF(ISBLANK(A1332), "Email",IF(ISNA(VLOOKUP(A1332,'Master List'!A:C,3,FALSE)), "Not Found", VLOOKUP(A1332,'Master List'!A:C,3,FALSE)))</f>
        <v>Email</v>
      </c>
      <c r="F1332" s="4" t="str">
        <f>IF(OR(A1332="",E1332="","",A1332="?",E1332="?"),"duplicate?",IF(COUNTIFS($A:A,A1332,E:E,E1332)&gt;1,"yes","no"))</f>
        <v>duplicate?</v>
      </c>
      <c r="K1332" s="97" t="str">
        <f ca="1">IF(J1332="","Date",IF(J1332&lt;&gt;"",IF(K1332="Date",NOW(),K1332),""))</f>
        <v>Date</v>
      </c>
    </row>
    <row r="1333" spans="2:11">
      <c r="B1333" s="97" t="str">
        <f ca="1">IF(A1333="","Date",IF(A1333&lt;&gt;"",IF(B1333="Date",NOW(),B1333),""))</f>
        <v>Date</v>
      </c>
      <c r="C1333" s="19" t="str">
        <f>IF(ISBLANK(A1333),"Name",IF(ISNA(VLOOKUP(A1333,'Master List'!A:C,2,FALSE)), "Not Found", VLOOKUP(A1333,'Master List'!A:C,2,FALSE)))</f>
        <v>Name</v>
      </c>
      <c r="D1333" s="19" t="str">
        <f>IF(ISBLANK(A1333), "Email",IF(ISNA(VLOOKUP(A1333,'Master List'!A:C,3,FALSE)), "Not Found", VLOOKUP(A1333,'Master List'!A:C,3,FALSE)))</f>
        <v>Email</v>
      </c>
      <c r="F1333" s="4" t="str">
        <f>IF(OR(A1333="",E1333="","",A1333="?",E1333="?"),"duplicate?",IF(COUNTIFS($A:A,A1333,E:E,E1333)&gt;1,"yes","no"))</f>
        <v>duplicate?</v>
      </c>
      <c r="K1333" s="97" t="str">
        <f ca="1">IF(J1333="","Date",IF(J1333&lt;&gt;"",IF(K1333="Date",NOW(),K1333),""))</f>
        <v>Date</v>
      </c>
    </row>
    <row r="1334" spans="2:11">
      <c r="B1334" s="97" t="str">
        <f ca="1">IF(A1334="","Date",IF(A1334&lt;&gt;"",IF(B1334="Date",NOW(),B1334),""))</f>
        <v>Date</v>
      </c>
      <c r="C1334" s="19" t="str">
        <f>IF(ISBLANK(A1334),"Name",IF(ISNA(VLOOKUP(A1334,'Master List'!A:C,2,FALSE)), "Not Found", VLOOKUP(A1334,'Master List'!A:C,2,FALSE)))</f>
        <v>Name</v>
      </c>
      <c r="D1334" s="19" t="str">
        <f>IF(ISBLANK(A1334), "Email",IF(ISNA(VLOOKUP(A1334,'Master List'!A:C,3,FALSE)), "Not Found", VLOOKUP(A1334,'Master List'!A:C,3,FALSE)))</f>
        <v>Email</v>
      </c>
      <c r="F1334" s="4" t="str">
        <f>IF(OR(A1334="",E1334="","",A1334="?",E1334="?"),"duplicate?",IF(COUNTIFS($A:A,A1334,E:E,E1334)&gt;1,"yes","no"))</f>
        <v>duplicate?</v>
      </c>
      <c r="K1334" s="97" t="str">
        <f ca="1">IF(J1334="","Date",IF(J1334&lt;&gt;"",IF(K1334="Date",NOW(),K1334),""))</f>
        <v>Date</v>
      </c>
    </row>
    <row r="1335" spans="2:11">
      <c r="B1335" s="97" t="str">
        <f ca="1">IF(A1335="","Date",IF(A1335&lt;&gt;"",IF(B1335="Date",NOW(),B1335),""))</f>
        <v>Date</v>
      </c>
      <c r="C1335" s="19" t="str">
        <f>IF(ISBLANK(A1335),"Name",IF(ISNA(VLOOKUP(A1335,'Master List'!A:C,2,FALSE)), "Not Found", VLOOKUP(A1335,'Master List'!A:C,2,FALSE)))</f>
        <v>Name</v>
      </c>
      <c r="D1335" s="19" t="str">
        <f>IF(ISBLANK(A1335), "Email",IF(ISNA(VLOOKUP(A1335,'Master List'!A:C,3,FALSE)), "Not Found", VLOOKUP(A1335,'Master List'!A:C,3,FALSE)))</f>
        <v>Email</v>
      </c>
      <c r="F1335" s="4" t="str">
        <f>IF(OR(A1335="",E1335="","",A1335="?",E1335="?"),"duplicate?",IF(COUNTIFS($A:A,A1335,E:E,E1335)&gt;1,"yes","no"))</f>
        <v>duplicate?</v>
      </c>
      <c r="K1335" s="97" t="str">
        <f ca="1">IF(J1335="","Date",IF(J1335&lt;&gt;"",IF(K1335="Date",NOW(),K1335),""))</f>
        <v>Date</v>
      </c>
    </row>
    <row r="1336" spans="2:11">
      <c r="B1336" s="97" t="str">
        <f ca="1">IF(A1336="","Date",IF(A1336&lt;&gt;"",IF(B1336="Date",NOW(),B1336),""))</f>
        <v>Date</v>
      </c>
      <c r="C1336" s="19" t="str">
        <f>IF(ISBLANK(A1336),"Name",IF(ISNA(VLOOKUP(A1336,'Master List'!A:C,2,FALSE)), "Not Found", VLOOKUP(A1336,'Master List'!A:C,2,FALSE)))</f>
        <v>Name</v>
      </c>
      <c r="D1336" s="19" t="str">
        <f>IF(ISBLANK(A1336), "Email",IF(ISNA(VLOOKUP(A1336,'Master List'!A:C,3,FALSE)), "Not Found", VLOOKUP(A1336,'Master List'!A:C,3,FALSE)))</f>
        <v>Email</v>
      </c>
      <c r="F1336" s="4" t="str">
        <f>IF(OR(A1336="",E1336="","",A1336="?",E1336="?"),"duplicate?",IF(COUNTIFS($A:A,A1336,E:E,E1336)&gt;1,"yes","no"))</f>
        <v>duplicate?</v>
      </c>
      <c r="K1336" s="97" t="str">
        <f ca="1">IF(J1336="","Date",IF(J1336&lt;&gt;"",IF(K1336="Date",NOW(),K1336),""))</f>
        <v>Date</v>
      </c>
    </row>
    <row r="1337" spans="2:11">
      <c r="B1337" s="97" t="str">
        <f ca="1">IF(A1337="","Date",IF(A1337&lt;&gt;"",IF(B1337="Date",NOW(),B1337),""))</f>
        <v>Date</v>
      </c>
      <c r="C1337" s="19" t="str">
        <f>IF(ISBLANK(A1337),"Name",IF(ISNA(VLOOKUP(A1337,'Master List'!A:C,2,FALSE)), "Not Found", VLOOKUP(A1337,'Master List'!A:C,2,FALSE)))</f>
        <v>Name</v>
      </c>
      <c r="D1337" s="19" t="str">
        <f>IF(ISBLANK(A1337), "Email",IF(ISNA(VLOOKUP(A1337,'Master List'!A:C,3,FALSE)), "Not Found", VLOOKUP(A1337,'Master List'!A:C,3,FALSE)))</f>
        <v>Email</v>
      </c>
      <c r="F1337" s="4" t="str">
        <f>IF(OR(A1337="",E1337="","",A1337="?",E1337="?"),"duplicate?",IF(COUNTIFS($A:A,A1337,E:E,E1337)&gt;1,"yes","no"))</f>
        <v>duplicate?</v>
      </c>
      <c r="K1337" s="97" t="str">
        <f ca="1">IF(J1337="","Date",IF(J1337&lt;&gt;"",IF(K1337="Date",NOW(),K1337),""))</f>
        <v>Date</v>
      </c>
    </row>
    <row r="1338" spans="2:11">
      <c r="B1338" s="97" t="str">
        <f ca="1">IF(A1338="","Date",IF(A1338&lt;&gt;"",IF(B1338="Date",NOW(),B1338),""))</f>
        <v>Date</v>
      </c>
      <c r="C1338" s="19" t="str">
        <f>IF(ISBLANK(A1338),"Name",IF(ISNA(VLOOKUP(A1338,'Master List'!A:C,2,FALSE)), "Not Found", VLOOKUP(A1338,'Master List'!A:C,2,FALSE)))</f>
        <v>Name</v>
      </c>
      <c r="D1338" s="19" t="str">
        <f>IF(ISBLANK(A1338), "Email",IF(ISNA(VLOOKUP(A1338,'Master List'!A:C,3,FALSE)), "Not Found", VLOOKUP(A1338,'Master List'!A:C,3,FALSE)))</f>
        <v>Email</v>
      </c>
      <c r="F1338" s="4" t="str">
        <f>IF(OR(A1338="",E1338="","",A1338="?",E1338="?"),"duplicate?",IF(COUNTIFS($A:A,A1338,E:E,E1338)&gt;1,"yes","no"))</f>
        <v>duplicate?</v>
      </c>
      <c r="K1338" s="97" t="str">
        <f ca="1">IF(J1338="","Date",IF(J1338&lt;&gt;"",IF(K1338="Date",NOW(),K1338),""))</f>
        <v>Date</v>
      </c>
    </row>
    <row r="1339" spans="2:11">
      <c r="B1339" s="97" t="str">
        <f ca="1">IF(A1339="","Date",IF(A1339&lt;&gt;"",IF(B1339="Date",NOW(),B1339),""))</f>
        <v>Date</v>
      </c>
      <c r="C1339" s="19" t="str">
        <f>IF(ISBLANK(A1339),"Name",IF(ISNA(VLOOKUP(A1339,'Master List'!A:C,2,FALSE)), "Not Found", VLOOKUP(A1339,'Master List'!A:C,2,FALSE)))</f>
        <v>Name</v>
      </c>
      <c r="D1339" s="19" t="str">
        <f>IF(ISBLANK(A1339), "Email",IF(ISNA(VLOOKUP(A1339,'Master List'!A:C,3,FALSE)), "Not Found", VLOOKUP(A1339,'Master List'!A:C,3,FALSE)))</f>
        <v>Email</v>
      </c>
      <c r="F1339" s="4" t="str">
        <f>IF(OR(A1339="",E1339="","",A1339="?",E1339="?"),"duplicate?",IF(COUNTIFS($A:A,A1339,E:E,E1339)&gt;1,"yes","no"))</f>
        <v>duplicate?</v>
      </c>
      <c r="K1339" s="97" t="str">
        <f ca="1">IF(J1339="","Date",IF(J1339&lt;&gt;"",IF(K1339="Date",NOW(),K1339),""))</f>
        <v>Date</v>
      </c>
    </row>
    <row r="1340" spans="2:11">
      <c r="B1340" s="97" t="str">
        <f ca="1">IF(A1340="","Date",IF(A1340&lt;&gt;"",IF(B1340="Date",NOW(),B1340),""))</f>
        <v>Date</v>
      </c>
      <c r="C1340" s="19" t="str">
        <f>IF(ISBLANK(A1340),"Name",IF(ISNA(VLOOKUP(A1340,'Master List'!A:C,2,FALSE)), "Not Found", VLOOKUP(A1340,'Master List'!A:C,2,FALSE)))</f>
        <v>Name</v>
      </c>
      <c r="D1340" s="19" t="str">
        <f>IF(ISBLANK(A1340), "Email",IF(ISNA(VLOOKUP(A1340,'Master List'!A:C,3,FALSE)), "Not Found", VLOOKUP(A1340,'Master List'!A:C,3,FALSE)))</f>
        <v>Email</v>
      </c>
      <c r="F1340" s="4" t="str">
        <f>IF(OR(A1340="",E1340="","",A1340="?",E1340="?"),"duplicate?",IF(COUNTIFS($A:A,A1340,E:E,E1340)&gt;1,"yes","no"))</f>
        <v>duplicate?</v>
      </c>
      <c r="K1340" s="97" t="str">
        <f ca="1">IF(J1340="","Date",IF(J1340&lt;&gt;"",IF(K1340="Date",NOW(),K1340),""))</f>
        <v>Date</v>
      </c>
    </row>
    <row r="1341" spans="2:11">
      <c r="B1341" s="97" t="str">
        <f ca="1">IF(A1341="","Date",IF(A1341&lt;&gt;"",IF(B1341="Date",NOW(),B1341),""))</f>
        <v>Date</v>
      </c>
      <c r="C1341" s="19" t="str">
        <f>IF(ISBLANK(A1341),"Name",IF(ISNA(VLOOKUP(A1341,'Master List'!A:C,2,FALSE)), "Not Found", VLOOKUP(A1341,'Master List'!A:C,2,FALSE)))</f>
        <v>Name</v>
      </c>
      <c r="D1341" s="19" t="str">
        <f>IF(ISBLANK(A1341), "Email",IF(ISNA(VLOOKUP(A1341,'Master List'!A:C,3,FALSE)), "Not Found", VLOOKUP(A1341,'Master List'!A:C,3,FALSE)))</f>
        <v>Email</v>
      </c>
      <c r="F1341" s="4" t="str">
        <f>IF(OR(A1341="",E1341="","",A1341="?",E1341="?"),"duplicate?",IF(COUNTIFS($A:A,A1341,E:E,E1341)&gt;1,"yes","no"))</f>
        <v>duplicate?</v>
      </c>
      <c r="K1341" s="97" t="str">
        <f ca="1">IF(J1341="","Date",IF(J1341&lt;&gt;"",IF(K1341="Date",NOW(),K1341),""))</f>
        <v>Date</v>
      </c>
    </row>
    <row r="1342" spans="2:11">
      <c r="B1342" s="97" t="str">
        <f ca="1">IF(A1342="","Date",IF(A1342&lt;&gt;"",IF(B1342="Date",NOW(),B1342),""))</f>
        <v>Date</v>
      </c>
      <c r="C1342" s="19" t="str">
        <f>IF(ISBLANK(A1342),"Name",IF(ISNA(VLOOKUP(A1342,'Master List'!A:C,2,FALSE)), "Not Found", VLOOKUP(A1342,'Master List'!A:C,2,FALSE)))</f>
        <v>Name</v>
      </c>
      <c r="D1342" s="19" t="str">
        <f>IF(ISBLANK(A1342), "Email",IF(ISNA(VLOOKUP(A1342,'Master List'!A:C,3,FALSE)), "Not Found", VLOOKUP(A1342,'Master List'!A:C,3,FALSE)))</f>
        <v>Email</v>
      </c>
      <c r="F1342" s="4" t="str">
        <f>IF(OR(A1342="",E1342="","",A1342="?",E1342="?"),"duplicate?",IF(COUNTIFS($A:A,A1342,E:E,E1342)&gt;1,"yes","no"))</f>
        <v>duplicate?</v>
      </c>
      <c r="K1342" s="97" t="str">
        <f ca="1">IF(J1342="","Date",IF(J1342&lt;&gt;"",IF(K1342="Date",NOW(),K1342),""))</f>
        <v>Date</v>
      </c>
    </row>
    <row r="1343" spans="2:11">
      <c r="B1343" s="97" t="str">
        <f ca="1">IF(A1343="","Date",IF(A1343&lt;&gt;"",IF(B1343="Date",NOW(),B1343),""))</f>
        <v>Date</v>
      </c>
      <c r="C1343" s="19" t="str">
        <f>IF(ISBLANK(A1343),"Name",IF(ISNA(VLOOKUP(A1343,'Master List'!A:C,2,FALSE)), "Not Found", VLOOKUP(A1343,'Master List'!A:C,2,FALSE)))</f>
        <v>Name</v>
      </c>
      <c r="D1343" s="19" t="str">
        <f>IF(ISBLANK(A1343), "Email",IF(ISNA(VLOOKUP(A1343,'Master List'!A:C,3,FALSE)), "Not Found", VLOOKUP(A1343,'Master List'!A:C,3,FALSE)))</f>
        <v>Email</v>
      </c>
      <c r="F1343" s="4" t="str">
        <f>IF(OR(A1343="",E1343="","",A1343="?",E1343="?"),"duplicate?",IF(COUNTIFS($A:A,A1343,E:E,E1343)&gt;1,"yes","no"))</f>
        <v>duplicate?</v>
      </c>
      <c r="K1343" s="97" t="str">
        <f ca="1">IF(J1343="","Date",IF(J1343&lt;&gt;"",IF(K1343="Date",NOW(),K1343),""))</f>
        <v>Date</v>
      </c>
    </row>
    <row r="1344" spans="2:11">
      <c r="B1344" s="97" t="str">
        <f ca="1">IF(A1344="","Date",IF(A1344&lt;&gt;"",IF(B1344="Date",NOW(),B1344),""))</f>
        <v>Date</v>
      </c>
      <c r="C1344" s="19" t="str">
        <f>IF(ISBLANK(A1344),"Name",IF(ISNA(VLOOKUP(A1344,'Master List'!A:C,2,FALSE)), "Not Found", VLOOKUP(A1344,'Master List'!A:C,2,FALSE)))</f>
        <v>Name</v>
      </c>
      <c r="D1344" s="19" t="str">
        <f>IF(ISBLANK(A1344), "Email",IF(ISNA(VLOOKUP(A1344,'Master List'!A:C,3,FALSE)), "Not Found", VLOOKUP(A1344,'Master List'!A:C,3,FALSE)))</f>
        <v>Email</v>
      </c>
      <c r="F1344" s="4" t="str">
        <f>IF(OR(A1344="",E1344="","",A1344="?",E1344="?"),"duplicate?",IF(COUNTIFS($A:A,A1344,E:E,E1344)&gt;1,"yes","no"))</f>
        <v>duplicate?</v>
      </c>
      <c r="K1344" s="97" t="str">
        <f ca="1">IF(J1344="","Date",IF(J1344&lt;&gt;"",IF(K1344="Date",NOW(),K1344),""))</f>
        <v>Date</v>
      </c>
    </row>
    <row r="1345" spans="2:11">
      <c r="B1345" s="97" t="str">
        <f ca="1">IF(A1345="","Date",IF(A1345&lt;&gt;"",IF(B1345="Date",NOW(),B1345),""))</f>
        <v>Date</v>
      </c>
      <c r="C1345" s="19" t="str">
        <f>IF(ISBLANK(A1345),"Name",IF(ISNA(VLOOKUP(A1345,'Master List'!A:C,2,FALSE)), "Not Found", VLOOKUP(A1345,'Master List'!A:C,2,FALSE)))</f>
        <v>Name</v>
      </c>
      <c r="D1345" s="19" t="str">
        <f>IF(ISBLANK(A1345), "Email",IF(ISNA(VLOOKUP(A1345,'Master List'!A:C,3,FALSE)), "Not Found", VLOOKUP(A1345,'Master List'!A:C,3,FALSE)))</f>
        <v>Email</v>
      </c>
      <c r="F1345" s="4" t="str">
        <f>IF(OR(A1345="",E1345="","",A1345="?",E1345="?"),"duplicate?",IF(COUNTIFS($A:A,A1345,E:E,E1345)&gt;1,"yes","no"))</f>
        <v>duplicate?</v>
      </c>
      <c r="K1345" s="97" t="str">
        <f ca="1">IF(J1345="","Date",IF(J1345&lt;&gt;"",IF(K1345="Date",NOW(),K1345),""))</f>
        <v>Date</v>
      </c>
    </row>
    <row r="1346" spans="2:11">
      <c r="B1346" s="97" t="str">
        <f ca="1">IF(A1346="","Date",IF(A1346&lt;&gt;"",IF(B1346="Date",NOW(),B1346),""))</f>
        <v>Date</v>
      </c>
      <c r="C1346" s="19" t="str">
        <f>IF(ISBLANK(A1346),"Name",IF(ISNA(VLOOKUP(A1346,'Master List'!A:C,2,FALSE)), "Not Found", VLOOKUP(A1346,'Master List'!A:C,2,FALSE)))</f>
        <v>Name</v>
      </c>
      <c r="D1346" s="19" t="str">
        <f>IF(ISBLANK(A1346), "Email",IF(ISNA(VLOOKUP(A1346,'Master List'!A:C,3,FALSE)), "Not Found", VLOOKUP(A1346,'Master List'!A:C,3,FALSE)))</f>
        <v>Email</v>
      </c>
      <c r="F1346" s="4" t="str">
        <f>IF(OR(A1346="",E1346="","",A1346="?",E1346="?"),"duplicate?",IF(COUNTIFS($A:A,A1346,E:E,E1346)&gt;1,"yes","no"))</f>
        <v>duplicate?</v>
      </c>
      <c r="K1346" s="97" t="str">
        <f ca="1">IF(J1346="","Date",IF(J1346&lt;&gt;"",IF(K1346="Date",NOW(),K1346),""))</f>
        <v>Date</v>
      </c>
    </row>
    <row r="1347" spans="2:11">
      <c r="B1347" s="97" t="str">
        <f ca="1">IF(A1347="","Date",IF(A1347&lt;&gt;"",IF(B1347="Date",NOW(),B1347),""))</f>
        <v>Date</v>
      </c>
      <c r="C1347" s="19" t="str">
        <f>IF(ISBLANK(A1347),"Name",IF(ISNA(VLOOKUP(A1347,'Master List'!A:C,2,FALSE)), "Not Found", VLOOKUP(A1347,'Master List'!A:C,2,FALSE)))</f>
        <v>Name</v>
      </c>
      <c r="D1347" s="19" t="str">
        <f>IF(ISBLANK(A1347), "Email",IF(ISNA(VLOOKUP(A1347,'Master List'!A:C,3,FALSE)), "Not Found", VLOOKUP(A1347,'Master List'!A:C,3,FALSE)))</f>
        <v>Email</v>
      </c>
      <c r="F1347" s="4" t="str">
        <f>IF(OR(A1347="",E1347="","",A1347="?",E1347="?"),"duplicate?",IF(COUNTIFS($A:A,A1347,E:E,E1347)&gt;1,"yes","no"))</f>
        <v>duplicate?</v>
      </c>
      <c r="K1347" s="97" t="str">
        <f ca="1">IF(J1347="","Date",IF(J1347&lt;&gt;"",IF(K1347="Date",NOW(),K1347),""))</f>
        <v>Date</v>
      </c>
    </row>
    <row r="1348" spans="2:11">
      <c r="B1348" s="97" t="str">
        <f ca="1">IF(A1348="","Date",IF(A1348&lt;&gt;"",IF(B1348="Date",NOW(),B1348),""))</f>
        <v>Date</v>
      </c>
      <c r="C1348" s="19" t="str">
        <f>IF(ISBLANK(A1348),"Name",IF(ISNA(VLOOKUP(A1348,'Master List'!A:C,2,FALSE)), "Not Found", VLOOKUP(A1348,'Master List'!A:C,2,FALSE)))</f>
        <v>Name</v>
      </c>
      <c r="D1348" s="19" t="str">
        <f>IF(ISBLANK(A1348), "Email",IF(ISNA(VLOOKUP(A1348,'Master List'!A:C,3,FALSE)), "Not Found", VLOOKUP(A1348,'Master List'!A:C,3,FALSE)))</f>
        <v>Email</v>
      </c>
      <c r="F1348" s="4" t="str">
        <f>IF(OR(A1348="",E1348="","",A1348="?",E1348="?"),"duplicate?",IF(COUNTIFS($A:A,A1348,E:E,E1348)&gt;1,"yes","no"))</f>
        <v>duplicate?</v>
      </c>
      <c r="K1348" s="97" t="str">
        <f ca="1">IF(J1348="","Date",IF(J1348&lt;&gt;"",IF(K1348="Date",NOW(),K1348),""))</f>
        <v>Date</v>
      </c>
    </row>
    <row r="1349" spans="2:11">
      <c r="B1349" s="97" t="str">
        <f ca="1">IF(A1349="","Date",IF(A1349&lt;&gt;"",IF(B1349="Date",NOW(),B1349),""))</f>
        <v>Date</v>
      </c>
      <c r="C1349" s="19" t="str">
        <f>IF(ISBLANK(A1349),"Name",IF(ISNA(VLOOKUP(A1349,'Master List'!A:C,2,FALSE)), "Not Found", VLOOKUP(A1349,'Master List'!A:C,2,FALSE)))</f>
        <v>Name</v>
      </c>
      <c r="D1349" s="19" t="str">
        <f>IF(ISBLANK(A1349), "Email",IF(ISNA(VLOOKUP(A1349,'Master List'!A:C,3,FALSE)), "Not Found", VLOOKUP(A1349,'Master List'!A:C,3,FALSE)))</f>
        <v>Email</v>
      </c>
      <c r="F1349" s="4" t="str">
        <f>IF(OR(A1349="",E1349="","",A1349="?",E1349="?"),"duplicate?",IF(COUNTIFS($A:A,A1349,E:E,E1349)&gt;1,"yes","no"))</f>
        <v>duplicate?</v>
      </c>
      <c r="K1349" s="97" t="str">
        <f ca="1">IF(J1349="","Date",IF(J1349&lt;&gt;"",IF(K1349="Date",NOW(),K1349),""))</f>
        <v>Date</v>
      </c>
    </row>
    <row r="1350" spans="2:11">
      <c r="B1350" s="97" t="str">
        <f ca="1">IF(A1350="","Date",IF(A1350&lt;&gt;"",IF(B1350="Date",NOW(),B1350),""))</f>
        <v>Date</v>
      </c>
      <c r="C1350" s="19" t="str">
        <f>IF(ISBLANK(A1350),"Name",IF(ISNA(VLOOKUP(A1350,'Master List'!A:C,2,FALSE)), "Not Found", VLOOKUP(A1350,'Master List'!A:C,2,FALSE)))</f>
        <v>Name</v>
      </c>
      <c r="D1350" s="19" t="str">
        <f>IF(ISBLANK(A1350), "Email",IF(ISNA(VLOOKUP(A1350,'Master List'!A:C,3,FALSE)), "Not Found", VLOOKUP(A1350,'Master List'!A:C,3,FALSE)))</f>
        <v>Email</v>
      </c>
      <c r="F1350" s="4" t="str">
        <f>IF(OR(A1350="",E1350="","",A1350="?",E1350="?"),"duplicate?",IF(COUNTIFS($A:A,A1350,E:E,E1350)&gt;1,"yes","no"))</f>
        <v>duplicate?</v>
      </c>
      <c r="K1350" s="97" t="str">
        <f ca="1">IF(J1350="","Date",IF(J1350&lt;&gt;"",IF(K1350="Date",NOW(),K1350),""))</f>
        <v>Date</v>
      </c>
    </row>
    <row r="1351" spans="2:11">
      <c r="B1351" s="97" t="str">
        <f ca="1">IF(A1351="","Date",IF(A1351&lt;&gt;"",IF(B1351="Date",NOW(),B1351),""))</f>
        <v>Date</v>
      </c>
      <c r="C1351" s="19" t="str">
        <f>IF(ISBLANK(A1351),"Name",IF(ISNA(VLOOKUP(A1351,'Master List'!A:C,2,FALSE)), "Not Found", VLOOKUP(A1351,'Master List'!A:C,2,FALSE)))</f>
        <v>Name</v>
      </c>
      <c r="D1351" s="19" t="str">
        <f>IF(ISBLANK(A1351), "Email",IF(ISNA(VLOOKUP(A1351,'Master List'!A:C,3,FALSE)), "Not Found", VLOOKUP(A1351,'Master List'!A:C,3,FALSE)))</f>
        <v>Email</v>
      </c>
      <c r="F1351" s="4" t="str">
        <f>IF(OR(A1351="",E1351="","",A1351="?",E1351="?"),"duplicate?",IF(COUNTIFS($A:A,A1351,E:E,E1351)&gt;1,"yes","no"))</f>
        <v>duplicate?</v>
      </c>
      <c r="K1351" s="97" t="str">
        <f ca="1">IF(J1351="","Date",IF(J1351&lt;&gt;"",IF(K1351="Date",NOW(),K1351),""))</f>
        <v>Date</v>
      </c>
    </row>
    <row r="1352" spans="2:11">
      <c r="B1352" s="97" t="str">
        <f ca="1">IF(A1352="","Date",IF(A1352&lt;&gt;"",IF(B1352="Date",NOW(),B1352),""))</f>
        <v>Date</v>
      </c>
      <c r="C1352" s="19" t="str">
        <f>IF(ISBLANK(A1352),"Name",IF(ISNA(VLOOKUP(A1352,'Master List'!A:C,2,FALSE)), "Not Found", VLOOKUP(A1352,'Master List'!A:C,2,FALSE)))</f>
        <v>Name</v>
      </c>
      <c r="D1352" s="19" t="str">
        <f>IF(ISBLANK(A1352), "Email",IF(ISNA(VLOOKUP(A1352,'Master List'!A:C,3,FALSE)), "Not Found", VLOOKUP(A1352,'Master List'!A:C,3,FALSE)))</f>
        <v>Email</v>
      </c>
      <c r="F1352" s="4" t="str">
        <f>IF(OR(A1352="",E1352="","",A1352="?",E1352="?"),"duplicate?",IF(COUNTIFS($A:A,A1352,E:E,E1352)&gt;1,"yes","no"))</f>
        <v>duplicate?</v>
      </c>
      <c r="K1352" s="97" t="str">
        <f ca="1">IF(J1352="","Date",IF(J1352&lt;&gt;"",IF(K1352="Date",NOW(),K1352),""))</f>
        <v>Date</v>
      </c>
    </row>
    <row r="1353" spans="2:11">
      <c r="B1353" s="97" t="str">
        <f ca="1">IF(A1353="","Date",IF(A1353&lt;&gt;"",IF(B1353="Date",NOW(),B1353),""))</f>
        <v>Date</v>
      </c>
      <c r="C1353" s="19" t="str">
        <f>IF(ISBLANK(A1353),"Name",IF(ISNA(VLOOKUP(A1353,'Master List'!A:C,2,FALSE)), "Not Found", VLOOKUP(A1353,'Master List'!A:C,2,FALSE)))</f>
        <v>Name</v>
      </c>
      <c r="D1353" s="19" t="str">
        <f>IF(ISBLANK(A1353), "Email",IF(ISNA(VLOOKUP(A1353,'Master List'!A:C,3,FALSE)), "Not Found", VLOOKUP(A1353,'Master List'!A:C,3,FALSE)))</f>
        <v>Email</v>
      </c>
      <c r="F1353" s="4" t="str">
        <f>IF(OR(A1353="",E1353="","",A1353="?",E1353="?"),"duplicate?",IF(COUNTIFS($A:A,A1353,E:E,E1353)&gt;1,"yes","no"))</f>
        <v>duplicate?</v>
      </c>
      <c r="K1353" s="97" t="str">
        <f ca="1">IF(J1353="","Date",IF(J1353&lt;&gt;"",IF(K1353="Date",NOW(),K1353),""))</f>
        <v>Date</v>
      </c>
    </row>
    <row r="1354" spans="2:11">
      <c r="B1354" s="97" t="str">
        <f ca="1">IF(A1354="","Date",IF(A1354&lt;&gt;"",IF(B1354="Date",NOW(),B1354),""))</f>
        <v>Date</v>
      </c>
      <c r="C1354" s="19" t="str">
        <f>IF(ISBLANK(A1354),"Name",IF(ISNA(VLOOKUP(A1354,'Master List'!A:C,2,FALSE)), "Not Found", VLOOKUP(A1354,'Master List'!A:C,2,FALSE)))</f>
        <v>Name</v>
      </c>
      <c r="D1354" s="19" t="str">
        <f>IF(ISBLANK(A1354), "Email",IF(ISNA(VLOOKUP(A1354,'Master List'!A:C,3,FALSE)), "Not Found", VLOOKUP(A1354,'Master List'!A:C,3,FALSE)))</f>
        <v>Email</v>
      </c>
      <c r="F1354" s="4" t="str">
        <f>IF(OR(A1354="",E1354="","",A1354="?",E1354="?"),"duplicate?",IF(COUNTIFS($A:A,A1354,E:E,E1354)&gt;1,"yes","no"))</f>
        <v>duplicate?</v>
      </c>
      <c r="K1354" s="97" t="str">
        <f ca="1">IF(J1354="","Date",IF(J1354&lt;&gt;"",IF(K1354="Date",NOW(),K1354),""))</f>
        <v>Date</v>
      </c>
    </row>
    <row r="1355" spans="2:11">
      <c r="B1355" s="97" t="str">
        <f ca="1">IF(A1355="","Date",IF(A1355&lt;&gt;"",IF(B1355="Date",NOW(),B1355),""))</f>
        <v>Date</v>
      </c>
      <c r="C1355" s="19" t="str">
        <f>IF(ISBLANK(A1355),"Name",IF(ISNA(VLOOKUP(A1355,'Master List'!A:C,2,FALSE)), "Not Found", VLOOKUP(A1355,'Master List'!A:C,2,FALSE)))</f>
        <v>Name</v>
      </c>
      <c r="D1355" s="19" t="str">
        <f>IF(ISBLANK(A1355), "Email",IF(ISNA(VLOOKUP(A1355,'Master List'!A:C,3,FALSE)), "Not Found", VLOOKUP(A1355,'Master List'!A:C,3,FALSE)))</f>
        <v>Email</v>
      </c>
      <c r="F1355" s="4" t="str">
        <f>IF(OR(A1355="",E1355="","",A1355="?",E1355="?"),"duplicate?",IF(COUNTIFS($A:A,A1355,E:E,E1355)&gt;1,"yes","no"))</f>
        <v>duplicate?</v>
      </c>
      <c r="K1355" s="97" t="str">
        <f ca="1">IF(J1355="","Date",IF(J1355&lt;&gt;"",IF(K1355="Date",NOW(),K1355),""))</f>
        <v>Date</v>
      </c>
    </row>
    <row r="1356" spans="2:11">
      <c r="B1356" s="97" t="str">
        <f ca="1">IF(A1356="","Date",IF(A1356&lt;&gt;"",IF(B1356="Date",NOW(),B1356),""))</f>
        <v>Date</v>
      </c>
      <c r="C1356" s="19" t="str">
        <f>IF(ISBLANK(A1356),"Name",IF(ISNA(VLOOKUP(A1356,'Master List'!A:C,2,FALSE)), "Not Found", VLOOKUP(A1356,'Master List'!A:C,2,FALSE)))</f>
        <v>Name</v>
      </c>
      <c r="D1356" s="19" t="str">
        <f>IF(ISBLANK(A1356), "Email",IF(ISNA(VLOOKUP(A1356,'Master List'!A:C,3,FALSE)), "Not Found", VLOOKUP(A1356,'Master List'!A:C,3,FALSE)))</f>
        <v>Email</v>
      </c>
      <c r="F1356" s="4" t="str">
        <f>IF(OR(A1356="",E1356="","",A1356="?",E1356="?"),"duplicate?",IF(COUNTIFS($A:A,A1356,E:E,E1356)&gt;1,"yes","no"))</f>
        <v>duplicate?</v>
      </c>
      <c r="K1356" s="97" t="str">
        <f ca="1">IF(J1356="","Date",IF(J1356&lt;&gt;"",IF(K1356="Date",NOW(),K1356),""))</f>
        <v>Date</v>
      </c>
    </row>
    <row r="1357" spans="2:11">
      <c r="B1357" s="97" t="str">
        <f ca="1">IF(A1357="","Date",IF(A1357&lt;&gt;"",IF(B1357="Date",NOW(),B1357),""))</f>
        <v>Date</v>
      </c>
      <c r="C1357" s="19" t="str">
        <f>IF(ISBLANK(A1357),"Name",IF(ISNA(VLOOKUP(A1357,'Master List'!A:C,2,FALSE)), "Not Found", VLOOKUP(A1357,'Master List'!A:C,2,FALSE)))</f>
        <v>Name</v>
      </c>
      <c r="D1357" s="19" t="str">
        <f>IF(ISBLANK(A1357), "Email",IF(ISNA(VLOOKUP(A1357,'Master List'!A:C,3,FALSE)), "Not Found", VLOOKUP(A1357,'Master List'!A:C,3,FALSE)))</f>
        <v>Email</v>
      </c>
      <c r="F1357" s="4" t="str">
        <f>IF(OR(A1357="",E1357="","",A1357="?",E1357="?"),"duplicate?",IF(COUNTIFS($A:A,A1357,E:E,E1357)&gt;1,"yes","no"))</f>
        <v>duplicate?</v>
      </c>
      <c r="K1357" s="97" t="str">
        <f ca="1">IF(J1357="","Date",IF(J1357&lt;&gt;"",IF(K1357="Date",NOW(),K1357),""))</f>
        <v>Date</v>
      </c>
    </row>
    <row r="1358" spans="2:11">
      <c r="B1358" s="97" t="str">
        <f ca="1">IF(A1358="","Date",IF(A1358&lt;&gt;"",IF(B1358="Date",NOW(),B1358),""))</f>
        <v>Date</v>
      </c>
      <c r="C1358" s="19" t="str">
        <f>IF(ISBLANK(A1358),"Name",IF(ISNA(VLOOKUP(A1358,'Master List'!A:C,2,FALSE)), "Not Found", VLOOKUP(A1358,'Master List'!A:C,2,FALSE)))</f>
        <v>Name</v>
      </c>
      <c r="D1358" s="19" t="str">
        <f>IF(ISBLANK(A1358), "Email",IF(ISNA(VLOOKUP(A1358,'Master List'!A:C,3,FALSE)), "Not Found", VLOOKUP(A1358,'Master List'!A:C,3,FALSE)))</f>
        <v>Email</v>
      </c>
      <c r="F1358" s="4" t="str">
        <f>IF(OR(A1358="",E1358="","",A1358="?",E1358="?"),"duplicate?",IF(COUNTIFS($A:A,A1358,E:E,E1358)&gt;1,"yes","no"))</f>
        <v>duplicate?</v>
      </c>
      <c r="K1358" s="97" t="str">
        <f ca="1">IF(J1358="","Date",IF(J1358&lt;&gt;"",IF(K1358="Date",NOW(),K1358),""))</f>
        <v>Date</v>
      </c>
    </row>
    <row r="1359" spans="2:11">
      <c r="B1359" s="97" t="str">
        <f ca="1">IF(A1359="","Date",IF(A1359&lt;&gt;"",IF(B1359="Date",NOW(),B1359),""))</f>
        <v>Date</v>
      </c>
      <c r="C1359" s="19" t="str">
        <f>IF(ISBLANK(A1359),"Name",IF(ISNA(VLOOKUP(A1359,'Master List'!A:C,2,FALSE)), "Not Found", VLOOKUP(A1359,'Master List'!A:C,2,FALSE)))</f>
        <v>Name</v>
      </c>
      <c r="D1359" s="19" t="str">
        <f>IF(ISBLANK(A1359), "Email",IF(ISNA(VLOOKUP(A1359,'Master List'!A:C,3,FALSE)), "Not Found", VLOOKUP(A1359,'Master List'!A:C,3,FALSE)))</f>
        <v>Email</v>
      </c>
      <c r="F1359" s="4" t="str">
        <f>IF(OR(A1359="",E1359="","",A1359="?",E1359="?"),"duplicate?",IF(COUNTIFS($A:A,A1359,E:E,E1359)&gt;1,"yes","no"))</f>
        <v>duplicate?</v>
      </c>
      <c r="K1359" s="97" t="str">
        <f ca="1">IF(J1359="","Date",IF(J1359&lt;&gt;"",IF(K1359="Date",NOW(),K1359),""))</f>
        <v>Date</v>
      </c>
    </row>
    <row r="1360" spans="2:11">
      <c r="B1360" s="97" t="str">
        <f ca="1">IF(A1360="","Date",IF(A1360&lt;&gt;"",IF(B1360="Date",NOW(),B1360),""))</f>
        <v>Date</v>
      </c>
      <c r="C1360" s="19" t="str">
        <f>IF(ISBLANK(A1360),"Name",IF(ISNA(VLOOKUP(A1360,'Master List'!A:C,2,FALSE)), "Not Found", VLOOKUP(A1360,'Master List'!A:C,2,FALSE)))</f>
        <v>Name</v>
      </c>
      <c r="D1360" s="19" t="str">
        <f>IF(ISBLANK(A1360), "Email",IF(ISNA(VLOOKUP(A1360,'Master List'!A:C,3,FALSE)), "Not Found", VLOOKUP(A1360,'Master List'!A:C,3,FALSE)))</f>
        <v>Email</v>
      </c>
      <c r="F1360" s="4" t="str">
        <f>IF(OR(A1360="",E1360="","",A1360="?",E1360="?"),"duplicate?",IF(COUNTIFS($A:A,A1360,E:E,E1360)&gt;1,"yes","no"))</f>
        <v>duplicate?</v>
      </c>
      <c r="K1360" s="97" t="str">
        <f ca="1">IF(J1360="","Date",IF(J1360&lt;&gt;"",IF(K1360="Date",NOW(),K1360),""))</f>
        <v>Date</v>
      </c>
    </row>
    <row r="1361" spans="2:11">
      <c r="B1361" s="97" t="str">
        <f ca="1">IF(A1361="","Date",IF(A1361&lt;&gt;"",IF(B1361="Date",NOW(),B1361),""))</f>
        <v>Date</v>
      </c>
      <c r="C1361" s="19" t="str">
        <f>IF(ISBLANK(A1361),"Name",IF(ISNA(VLOOKUP(A1361,'Master List'!A:C,2,FALSE)), "Not Found", VLOOKUP(A1361,'Master List'!A:C,2,FALSE)))</f>
        <v>Name</v>
      </c>
      <c r="D1361" s="19" t="str">
        <f>IF(ISBLANK(A1361), "Email",IF(ISNA(VLOOKUP(A1361,'Master List'!A:C,3,FALSE)), "Not Found", VLOOKUP(A1361,'Master List'!A:C,3,FALSE)))</f>
        <v>Email</v>
      </c>
      <c r="F1361" s="4" t="str">
        <f>IF(OR(A1361="",E1361="","",A1361="?",E1361="?"),"duplicate?",IF(COUNTIFS($A:A,A1361,E:E,E1361)&gt;1,"yes","no"))</f>
        <v>duplicate?</v>
      </c>
      <c r="K1361" s="97" t="str">
        <f ca="1">IF(J1361="","Date",IF(J1361&lt;&gt;"",IF(K1361="Date",NOW(),K1361),""))</f>
        <v>Date</v>
      </c>
    </row>
    <row r="1362" spans="2:11">
      <c r="B1362" s="97" t="str">
        <f ca="1">IF(A1362="","Date",IF(A1362&lt;&gt;"",IF(B1362="Date",NOW(),B1362),""))</f>
        <v>Date</v>
      </c>
      <c r="C1362" s="19" t="str">
        <f>IF(ISBLANK(A1362),"Name",IF(ISNA(VLOOKUP(A1362,'Master List'!A:C,2,FALSE)), "Not Found", VLOOKUP(A1362,'Master List'!A:C,2,FALSE)))</f>
        <v>Name</v>
      </c>
      <c r="D1362" s="19" t="str">
        <f>IF(ISBLANK(A1362), "Email",IF(ISNA(VLOOKUP(A1362,'Master List'!A:C,3,FALSE)), "Not Found", VLOOKUP(A1362,'Master List'!A:C,3,FALSE)))</f>
        <v>Email</v>
      </c>
      <c r="F1362" s="4" t="str">
        <f>IF(OR(A1362="",E1362="","",A1362="?",E1362="?"),"duplicate?",IF(COUNTIFS($A:A,A1362,E:E,E1362)&gt;1,"yes","no"))</f>
        <v>duplicate?</v>
      </c>
      <c r="K1362" s="97" t="str">
        <f ca="1">IF(J1362="","Date",IF(J1362&lt;&gt;"",IF(K1362="Date",NOW(),K1362),""))</f>
        <v>Date</v>
      </c>
    </row>
    <row r="1363" spans="2:11">
      <c r="B1363" s="97" t="str">
        <f ca="1">IF(A1363="","Date",IF(A1363&lt;&gt;"",IF(B1363="Date",NOW(),B1363),""))</f>
        <v>Date</v>
      </c>
      <c r="C1363" s="19" t="str">
        <f>IF(ISBLANK(A1363),"Name",IF(ISNA(VLOOKUP(A1363,'Master List'!A:C,2,FALSE)), "Not Found", VLOOKUP(A1363,'Master List'!A:C,2,FALSE)))</f>
        <v>Name</v>
      </c>
      <c r="D1363" s="19" t="str">
        <f>IF(ISBLANK(A1363), "Email",IF(ISNA(VLOOKUP(A1363,'Master List'!A:C,3,FALSE)), "Not Found", VLOOKUP(A1363,'Master List'!A:C,3,FALSE)))</f>
        <v>Email</v>
      </c>
      <c r="F1363" s="4" t="str">
        <f>IF(OR(A1363="",E1363="","",A1363="?",E1363="?"),"duplicate?",IF(COUNTIFS($A:A,A1363,E:E,E1363)&gt;1,"yes","no"))</f>
        <v>duplicate?</v>
      </c>
      <c r="K1363" s="97" t="str">
        <f ca="1">IF(J1363="","Date",IF(J1363&lt;&gt;"",IF(K1363="Date",NOW(),K1363),""))</f>
        <v>Date</v>
      </c>
    </row>
    <row r="1364" spans="2:11">
      <c r="B1364" s="97" t="str">
        <f ca="1">IF(A1364="","Date",IF(A1364&lt;&gt;"",IF(B1364="Date",NOW(),B1364),""))</f>
        <v>Date</v>
      </c>
      <c r="C1364" s="19" t="str">
        <f>IF(ISBLANK(A1364),"Name",IF(ISNA(VLOOKUP(A1364,'Master List'!A:C,2,FALSE)), "Not Found", VLOOKUP(A1364,'Master List'!A:C,2,FALSE)))</f>
        <v>Name</v>
      </c>
      <c r="D1364" s="19" t="str">
        <f>IF(ISBLANK(A1364), "Email",IF(ISNA(VLOOKUP(A1364,'Master List'!A:C,3,FALSE)), "Not Found", VLOOKUP(A1364,'Master List'!A:C,3,FALSE)))</f>
        <v>Email</v>
      </c>
      <c r="F1364" s="4" t="str">
        <f>IF(OR(A1364="",E1364="","",A1364="?",E1364="?"),"duplicate?",IF(COUNTIFS($A:A,A1364,E:E,E1364)&gt;1,"yes","no"))</f>
        <v>duplicate?</v>
      </c>
      <c r="K1364" s="97" t="str">
        <f ca="1">IF(J1364="","Date",IF(J1364&lt;&gt;"",IF(K1364="Date",NOW(),K1364),""))</f>
        <v>Date</v>
      </c>
    </row>
    <row r="1365" spans="2:11">
      <c r="B1365" s="97" t="str">
        <f ca="1">IF(A1365="","Date",IF(A1365&lt;&gt;"",IF(B1365="Date",NOW(),B1365),""))</f>
        <v>Date</v>
      </c>
      <c r="C1365" s="19" t="str">
        <f>IF(ISBLANK(A1365),"Name",IF(ISNA(VLOOKUP(A1365,'Master List'!A:C,2,FALSE)), "Not Found", VLOOKUP(A1365,'Master List'!A:C,2,FALSE)))</f>
        <v>Name</v>
      </c>
      <c r="D1365" s="19" t="str">
        <f>IF(ISBLANK(A1365), "Email",IF(ISNA(VLOOKUP(A1365,'Master List'!A:C,3,FALSE)), "Not Found", VLOOKUP(A1365,'Master List'!A:C,3,FALSE)))</f>
        <v>Email</v>
      </c>
      <c r="F1365" s="4" t="str">
        <f>IF(OR(A1365="",E1365="","",A1365="?",E1365="?"),"duplicate?",IF(COUNTIFS($A:A,A1365,E:E,E1365)&gt;1,"yes","no"))</f>
        <v>duplicate?</v>
      </c>
      <c r="K1365" s="97" t="str">
        <f ca="1">IF(J1365="","Date",IF(J1365&lt;&gt;"",IF(K1365="Date",NOW(),K1365),""))</f>
        <v>Date</v>
      </c>
    </row>
    <row r="1366" spans="2:11">
      <c r="B1366" s="97" t="str">
        <f ca="1">IF(A1366="","Date",IF(A1366&lt;&gt;"",IF(B1366="Date",NOW(),B1366),""))</f>
        <v>Date</v>
      </c>
      <c r="C1366" s="19" t="str">
        <f>IF(ISBLANK(A1366),"Name",IF(ISNA(VLOOKUP(A1366,'Master List'!A:C,2,FALSE)), "Not Found", VLOOKUP(A1366,'Master List'!A:C,2,FALSE)))</f>
        <v>Name</v>
      </c>
      <c r="D1366" s="19" t="str">
        <f>IF(ISBLANK(A1366), "Email",IF(ISNA(VLOOKUP(A1366,'Master List'!A:C,3,FALSE)), "Not Found", VLOOKUP(A1366,'Master List'!A:C,3,FALSE)))</f>
        <v>Email</v>
      </c>
      <c r="F1366" s="4" t="str">
        <f>IF(OR(A1366="",E1366="","",A1366="?",E1366="?"),"duplicate?",IF(COUNTIFS($A:A,A1366,E:E,E1366)&gt;1,"yes","no"))</f>
        <v>duplicate?</v>
      </c>
      <c r="K1366" s="97" t="str">
        <f ca="1">IF(J1366="","Date",IF(J1366&lt;&gt;"",IF(K1366="Date",NOW(),K1366),""))</f>
        <v>Date</v>
      </c>
    </row>
    <row r="1367" spans="2:11">
      <c r="B1367" s="97" t="str">
        <f ca="1">IF(A1367="","Date",IF(A1367&lt;&gt;"",IF(B1367="Date",NOW(),B1367),""))</f>
        <v>Date</v>
      </c>
      <c r="C1367" s="19" t="str">
        <f>IF(ISBLANK(A1367),"Name",IF(ISNA(VLOOKUP(A1367,'Master List'!A:C,2,FALSE)), "Not Found", VLOOKUP(A1367,'Master List'!A:C,2,FALSE)))</f>
        <v>Name</v>
      </c>
      <c r="D1367" s="19" t="str">
        <f>IF(ISBLANK(A1367), "Email",IF(ISNA(VLOOKUP(A1367,'Master List'!A:C,3,FALSE)), "Not Found", VLOOKUP(A1367,'Master List'!A:C,3,FALSE)))</f>
        <v>Email</v>
      </c>
      <c r="F1367" s="4" t="str">
        <f>IF(OR(A1367="",E1367="","",A1367="?",E1367="?"),"duplicate?",IF(COUNTIFS($A:A,A1367,E:E,E1367)&gt;1,"yes","no"))</f>
        <v>duplicate?</v>
      </c>
      <c r="K1367" s="97" t="str">
        <f ca="1">IF(J1367="","Date",IF(J1367&lt;&gt;"",IF(K1367="Date",NOW(),K1367),""))</f>
        <v>Date</v>
      </c>
    </row>
    <row r="1368" spans="2:11">
      <c r="B1368" s="97" t="str">
        <f ca="1">IF(A1368="","Date",IF(A1368&lt;&gt;"",IF(B1368="Date",NOW(),B1368),""))</f>
        <v>Date</v>
      </c>
      <c r="C1368" s="19" t="str">
        <f>IF(ISBLANK(A1368),"Name",IF(ISNA(VLOOKUP(A1368,'Master List'!A:C,2,FALSE)), "Not Found", VLOOKUP(A1368,'Master List'!A:C,2,FALSE)))</f>
        <v>Name</v>
      </c>
      <c r="D1368" s="19" t="str">
        <f>IF(ISBLANK(A1368), "Email",IF(ISNA(VLOOKUP(A1368,'Master List'!A:C,3,FALSE)), "Not Found", VLOOKUP(A1368,'Master List'!A:C,3,FALSE)))</f>
        <v>Email</v>
      </c>
      <c r="F1368" s="4" t="str">
        <f>IF(OR(A1368="",E1368="","",A1368="?",E1368="?"),"duplicate?",IF(COUNTIFS($A:A,A1368,E:E,E1368)&gt;1,"yes","no"))</f>
        <v>duplicate?</v>
      </c>
      <c r="K1368" s="97" t="str">
        <f ca="1">IF(J1368="","Date",IF(J1368&lt;&gt;"",IF(K1368="Date",NOW(),K1368),""))</f>
        <v>Date</v>
      </c>
    </row>
    <row r="1369" spans="2:11">
      <c r="B1369" s="97" t="str">
        <f ca="1">IF(A1369="","Date",IF(A1369&lt;&gt;"",IF(B1369="Date",NOW(),B1369),""))</f>
        <v>Date</v>
      </c>
      <c r="C1369" s="19" t="str">
        <f>IF(ISBLANK(A1369),"Name",IF(ISNA(VLOOKUP(A1369,'Master List'!A:C,2,FALSE)), "Not Found", VLOOKUP(A1369,'Master List'!A:C,2,FALSE)))</f>
        <v>Name</v>
      </c>
      <c r="D1369" s="19" t="str">
        <f>IF(ISBLANK(A1369), "Email",IF(ISNA(VLOOKUP(A1369,'Master List'!A:C,3,FALSE)), "Not Found", VLOOKUP(A1369,'Master List'!A:C,3,FALSE)))</f>
        <v>Email</v>
      </c>
      <c r="F1369" s="4" t="str">
        <f>IF(OR(A1369="",E1369="","",A1369="?",E1369="?"),"duplicate?",IF(COUNTIFS($A:A,A1369,E:E,E1369)&gt;1,"yes","no"))</f>
        <v>duplicate?</v>
      </c>
      <c r="K1369" s="97" t="str">
        <f ca="1">IF(J1369="","Date",IF(J1369&lt;&gt;"",IF(K1369="Date",NOW(),K1369),""))</f>
        <v>Date</v>
      </c>
    </row>
    <row r="1370" spans="2:11">
      <c r="B1370" s="97" t="str">
        <f ca="1">IF(A1370="","Date",IF(A1370&lt;&gt;"",IF(B1370="Date",NOW(),B1370),""))</f>
        <v>Date</v>
      </c>
      <c r="C1370" s="19" t="str">
        <f>IF(ISBLANK(A1370),"Name",IF(ISNA(VLOOKUP(A1370,'Master List'!A:C,2,FALSE)), "Not Found", VLOOKUP(A1370,'Master List'!A:C,2,FALSE)))</f>
        <v>Name</v>
      </c>
      <c r="D1370" s="19" t="str">
        <f>IF(ISBLANK(A1370), "Email",IF(ISNA(VLOOKUP(A1370,'Master List'!A:C,3,FALSE)), "Not Found", VLOOKUP(A1370,'Master List'!A:C,3,FALSE)))</f>
        <v>Email</v>
      </c>
      <c r="F1370" s="4" t="str">
        <f>IF(OR(A1370="",E1370="","",A1370="?",E1370="?"),"duplicate?",IF(COUNTIFS($A:A,A1370,E:E,E1370)&gt;1,"yes","no"))</f>
        <v>duplicate?</v>
      </c>
      <c r="K1370" s="97" t="str">
        <f ca="1">IF(J1370="","Date",IF(J1370&lt;&gt;"",IF(K1370="Date",NOW(),K1370),""))</f>
        <v>Date</v>
      </c>
    </row>
    <row r="1371" spans="2:11">
      <c r="B1371" s="97" t="str">
        <f ca="1">IF(A1371="","Date",IF(A1371&lt;&gt;"",IF(B1371="Date",NOW(),B1371),""))</f>
        <v>Date</v>
      </c>
      <c r="C1371" s="19" t="str">
        <f>IF(ISBLANK(A1371),"Name",IF(ISNA(VLOOKUP(A1371,'Master List'!A:C,2,FALSE)), "Not Found", VLOOKUP(A1371,'Master List'!A:C,2,FALSE)))</f>
        <v>Name</v>
      </c>
      <c r="D1371" s="19" t="str">
        <f>IF(ISBLANK(A1371), "Email",IF(ISNA(VLOOKUP(A1371,'Master List'!A:C,3,FALSE)), "Not Found", VLOOKUP(A1371,'Master List'!A:C,3,FALSE)))</f>
        <v>Email</v>
      </c>
      <c r="F1371" s="4" t="str">
        <f>IF(OR(A1371="",E1371="","",A1371="?",E1371="?"),"duplicate?",IF(COUNTIFS($A:A,A1371,E:E,E1371)&gt;1,"yes","no"))</f>
        <v>duplicate?</v>
      </c>
      <c r="K1371" s="97" t="str">
        <f ca="1">IF(J1371="","Date",IF(J1371&lt;&gt;"",IF(K1371="Date",NOW(),K1371),""))</f>
        <v>Date</v>
      </c>
    </row>
    <row r="1372" spans="2:11">
      <c r="B1372" s="97" t="str">
        <f ca="1">IF(A1372="","Date",IF(A1372&lt;&gt;"",IF(B1372="Date",NOW(),B1372),""))</f>
        <v>Date</v>
      </c>
      <c r="C1372" s="19" t="str">
        <f>IF(ISBLANK(A1372),"Name",IF(ISNA(VLOOKUP(A1372,'Master List'!A:C,2,FALSE)), "Not Found", VLOOKUP(A1372,'Master List'!A:C,2,FALSE)))</f>
        <v>Name</v>
      </c>
      <c r="D1372" s="19" t="str">
        <f>IF(ISBLANK(A1372), "Email",IF(ISNA(VLOOKUP(A1372,'Master List'!A:C,3,FALSE)), "Not Found", VLOOKUP(A1372,'Master List'!A:C,3,FALSE)))</f>
        <v>Email</v>
      </c>
      <c r="F1372" s="4" t="str">
        <f>IF(OR(A1372="",E1372="","",A1372="?",E1372="?"),"duplicate?",IF(COUNTIFS($A:A,A1372,E:E,E1372)&gt;1,"yes","no"))</f>
        <v>duplicate?</v>
      </c>
      <c r="K1372" s="97" t="str">
        <f ca="1">IF(J1372="","Date",IF(J1372&lt;&gt;"",IF(K1372="Date",NOW(),K1372),""))</f>
        <v>Date</v>
      </c>
    </row>
    <row r="1373" spans="2:11">
      <c r="B1373" s="97" t="str">
        <f ca="1">IF(A1373="","Date",IF(A1373&lt;&gt;"",IF(B1373="Date",NOW(),B1373),""))</f>
        <v>Date</v>
      </c>
      <c r="C1373" s="19" t="str">
        <f>IF(ISBLANK(A1373),"Name",IF(ISNA(VLOOKUP(A1373,'Master List'!A:C,2,FALSE)), "Not Found", VLOOKUP(A1373,'Master List'!A:C,2,FALSE)))</f>
        <v>Name</v>
      </c>
      <c r="D1373" s="19" t="str">
        <f>IF(ISBLANK(A1373), "Email",IF(ISNA(VLOOKUP(A1373,'Master List'!A:C,3,FALSE)), "Not Found", VLOOKUP(A1373,'Master List'!A:C,3,FALSE)))</f>
        <v>Email</v>
      </c>
      <c r="F1373" s="4" t="str">
        <f>IF(OR(A1373="",E1373="","",A1373="?",E1373="?"),"duplicate?",IF(COUNTIFS($A:A,A1373,E:E,E1373)&gt;1,"yes","no"))</f>
        <v>duplicate?</v>
      </c>
      <c r="K1373" s="97" t="str">
        <f ca="1">IF(J1373="","Date",IF(J1373&lt;&gt;"",IF(K1373="Date",NOW(),K1373),""))</f>
        <v>Date</v>
      </c>
    </row>
    <row r="1374" spans="2:11">
      <c r="B1374" s="97" t="str">
        <f ca="1">IF(A1374="","Date",IF(A1374&lt;&gt;"",IF(B1374="Date",NOW(),B1374),""))</f>
        <v>Date</v>
      </c>
      <c r="C1374" s="19" t="str">
        <f>IF(ISBLANK(A1374),"Name",IF(ISNA(VLOOKUP(A1374,'Master List'!A:C,2,FALSE)), "Not Found", VLOOKUP(A1374,'Master List'!A:C,2,FALSE)))</f>
        <v>Name</v>
      </c>
      <c r="D1374" s="19" t="str">
        <f>IF(ISBLANK(A1374), "Email",IF(ISNA(VLOOKUP(A1374,'Master List'!A:C,3,FALSE)), "Not Found", VLOOKUP(A1374,'Master List'!A:C,3,FALSE)))</f>
        <v>Email</v>
      </c>
      <c r="F1374" s="4" t="str">
        <f>IF(OR(A1374="",E1374="","",A1374="?",E1374="?"),"duplicate?",IF(COUNTIFS($A:A,A1374,E:E,E1374)&gt;1,"yes","no"))</f>
        <v>duplicate?</v>
      </c>
      <c r="K1374" s="97" t="str">
        <f ca="1">IF(J1374="","Date",IF(J1374&lt;&gt;"",IF(K1374="Date",NOW(),K1374),""))</f>
        <v>Date</v>
      </c>
    </row>
    <row r="1375" spans="2:11">
      <c r="B1375" s="97" t="str">
        <f ca="1">IF(A1375="","Date",IF(A1375&lt;&gt;"",IF(B1375="Date",NOW(),B1375),""))</f>
        <v>Date</v>
      </c>
      <c r="C1375" s="19" t="str">
        <f>IF(ISBLANK(A1375),"Name",IF(ISNA(VLOOKUP(A1375,'Master List'!A:C,2,FALSE)), "Not Found", VLOOKUP(A1375,'Master List'!A:C,2,FALSE)))</f>
        <v>Name</v>
      </c>
      <c r="D1375" s="19" t="str">
        <f>IF(ISBLANK(A1375), "Email",IF(ISNA(VLOOKUP(A1375,'Master List'!A:C,3,FALSE)), "Not Found", VLOOKUP(A1375,'Master List'!A:C,3,FALSE)))</f>
        <v>Email</v>
      </c>
      <c r="F1375" s="4" t="str">
        <f>IF(OR(A1375="",E1375="","",A1375="?",E1375="?"),"duplicate?",IF(COUNTIFS($A:A,A1375,E:E,E1375)&gt;1,"yes","no"))</f>
        <v>duplicate?</v>
      </c>
      <c r="K1375" s="97" t="str">
        <f ca="1">IF(J1375="","Date",IF(J1375&lt;&gt;"",IF(K1375="Date",NOW(),K1375),""))</f>
        <v>Date</v>
      </c>
    </row>
    <row r="1376" spans="2:11">
      <c r="B1376" s="97" t="str">
        <f ca="1">IF(A1376="","Date",IF(A1376&lt;&gt;"",IF(B1376="Date",NOW(),B1376),""))</f>
        <v>Date</v>
      </c>
      <c r="C1376" s="19" t="str">
        <f>IF(ISBLANK(A1376),"Name",IF(ISNA(VLOOKUP(A1376,'Master List'!A:C,2,FALSE)), "Not Found", VLOOKUP(A1376,'Master List'!A:C,2,FALSE)))</f>
        <v>Name</v>
      </c>
      <c r="D1376" s="19" t="str">
        <f>IF(ISBLANK(A1376), "Email",IF(ISNA(VLOOKUP(A1376,'Master List'!A:C,3,FALSE)), "Not Found", VLOOKUP(A1376,'Master List'!A:C,3,FALSE)))</f>
        <v>Email</v>
      </c>
      <c r="F1376" s="4" t="str">
        <f>IF(OR(A1376="",E1376="","",A1376="?",E1376="?"),"duplicate?",IF(COUNTIFS($A:A,A1376,E:E,E1376)&gt;1,"yes","no"))</f>
        <v>duplicate?</v>
      </c>
      <c r="K1376" s="97" t="str">
        <f ca="1">IF(J1376="","Date",IF(J1376&lt;&gt;"",IF(K1376="Date",NOW(),K1376),""))</f>
        <v>Date</v>
      </c>
    </row>
    <row r="1377" spans="2:11">
      <c r="B1377" s="97" t="str">
        <f ca="1">IF(A1377="","Date",IF(A1377&lt;&gt;"",IF(B1377="Date",NOW(),B1377),""))</f>
        <v>Date</v>
      </c>
      <c r="C1377" s="19" t="str">
        <f>IF(ISBLANK(A1377),"Name",IF(ISNA(VLOOKUP(A1377,'Master List'!A:C,2,FALSE)), "Not Found", VLOOKUP(A1377,'Master List'!A:C,2,FALSE)))</f>
        <v>Name</v>
      </c>
      <c r="D1377" s="19" t="str">
        <f>IF(ISBLANK(A1377), "Email",IF(ISNA(VLOOKUP(A1377,'Master List'!A:C,3,FALSE)), "Not Found", VLOOKUP(A1377,'Master List'!A:C,3,FALSE)))</f>
        <v>Email</v>
      </c>
      <c r="F1377" s="4" t="str">
        <f>IF(OR(A1377="",E1377="","",A1377="?",E1377="?"),"duplicate?",IF(COUNTIFS($A:A,A1377,E:E,E1377)&gt;1,"yes","no"))</f>
        <v>duplicate?</v>
      </c>
      <c r="K1377" s="97" t="str">
        <f ca="1">IF(J1377="","Date",IF(J1377&lt;&gt;"",IF(K1377="Date",NOW(),K1377),""))</f>
        <v>Date</v>
      </c>
    </row>
    <row r="1378" spans="2:11">
      <c r="B1378" s="97" t="str">
        <f ca="1">IF(A1378="","Date",IF(A1378&lt;&gt;"",IF(B1378="Date",NOW(),B1378),""))</f>
        <v>Date</v>
      </c>
      <c r="C1378" s="19" t="str">
        <f>IF(ISBLANK(A1378),"Name",IF(ISNA(VLOOKUP(A1378,'Master List'!A:C,2,FALSE)), "Not Found", VLOOKUP(A1378,'Master List'!A:C,2,FALSE)))</f>
        <v>Name</v>
      </c>
      <c r="D1378" s="19" t="str">
        <f>IF(ISBLANK(A1378), "Email",IF(ISNA(VLOOKUP(A1378,'Master List'!A:C,3,FALSE)), "Not Found", VLOOKUP(A1378,'Master List'!A:C,3,FALSE)))</f>
        <v>Email</v>
      </c>
      <c r="F1378" s="4" t="str">
        <f>IF(OR(A1378="",E1378="","",A1378="?",E1378="?"),"duplicate?",IF(COUNTIFS($A:A,A1378,E:E,E1378)&gt;1,"yes","no"))</f>
        <v>duplicate?</v>
      </c>
      <c r="K1378" s="97" t="str">
        <f ca="1">IF(J1378="","Date",IF(J1378&lt;&gt;"",IF(K1378="Date",NOW(),K1378),""))</f>
        <v>Date</v>
      </c>
    </row>
    <row r="1379" spans="2:11">
      <c r="B1379" s="97" t="str">
        <f ca="1">IF(A1379="","Date",IF(A1379&lt;&gt;"",IF(B1379="Date",NOW(),B1379),""))</f>
        <v>Date</v>
      </c>
      <c r="C1379" s="19" t="str">
        <f>IF(ISBLANK(A1379),"Name",IF(ISNA(VLOOKUP(A1379,'Master List'!A:C,2,FALSE)), "Not Found", VLOOKUP(A1379,'Master List'!A:C,2,FALSE)))</f>
        <v>Name</v>
      </c>
      <c r="D1379" s="19" t="str">
        <f>IF(ISBLANK(A1379), "Email",IF(ISNA(VLOOKUP(A1379,'Master List'!A:C,3,FALSE)), "Not Found", VLOOKUP(A1379,'Master List'!A:C,3,FALSE)))</f>
        <v>Email</v>
      </c>
      <c r="F1379" s="4" t="str">
        <f>IF(OR(A1379="",E1379="","",A1379="?",E1379="?"),"duplicate?",IF(COUNTIFS($A:A,A1379,E:E,E1379)&gt;1,"yes","no"))</f>
        <v>duplicate?</v>
      </c>
      <c r="K1379" s="97" t="str">
        <f ca="1">IF(J1379="","Date",IF(J1379&lt;&gt;"",IF(K1379="Date",NOW(),K1379),""))</f>
        <v>Date</v>
      </c>
    </row>
    <row r="1380" spans="2:11">
      <c r="B1380" s="97" t="str">
        <f ca="1">IF(A1380="","Date",IF(A1380&lt;&gt;"",IF(B1380="Date",NOW(),B1380),""))</f>
        <v>Date</v>
      </c>
      <c r="C1380" s="19" t="str">
        <f>IF(ISBLANK(A1380),"Name",IF(ISNA(VLOOKUP(A1380,'Master List'!A:C,2,FALSE)), "Not Found", VLOOKUP(A1380,'Master List'!A:C,2,FALSE)))</f>
        <v>Name</v>
      </c>
      <c r="D1380" s="19" t="str">
        <f>IF(ISBLANK(A1380), "Email",IF(ISNA(VLOOKUP(A1380,'Master List'!A:C,3,FALSE)), "Not Found", VLOOKUP(A1380,'Master List'!A:C,3,FALSE)))</f>
        <v>Email</v>
      </c>
      <c r="F1380" s="4" t="str">
        <f>IF(OR(A1380="",E1380="","",A1380="?",E1380="?"),"duplicate?",IF(COUNTIFS($A:A,A1380,E:E,E1380)&gt;1,"yes","no"))</f>
        <v>duplicate?</v>
      </c>
      <c r="K1380" s="97" t="str">
        <f ca="1">IF(J1380="","Date",IF(J1380&lt;&gt;"",IF(K1380="Date",NOW(),K1380),""))</f>
        <v>Date</v>
      </c>
    </row>
    <row r="1381" spans="2:11">
      <c r="B1381" s="97" t="str">
        <f ca="1">IF(A1381="","Date",IF(A1381&lt;&gt;"",IF(B1381="Date",NOW(),B1381),""))</f>
        <v>Date</v>
      </c>
      <c r="C1381" s="19" t="str">
        <f>IF(ISBLANK(A1381),"Name",IF(ISNA(VLOOKUP(A1381,'Master List'!A:C,2,FALSE)), "Not Found", VLOOKUP(A1381,'Master List'!A:C,2,FALSE)))</f>
        <v>Name</v>
      </c>
      <c r="D1381" s="19" t="str">
        <f>IF(ISBLANK(A1381), "Email",IF(ISNA(VLOOKUP(A1381,'Master List'!A:C,3,FALSE)), "Not Found", VLOOKUP(A1381,'Master List'!A:C,3,FALSE)))</f>
        <v>Email</v>
      </c>
      <c r="F1381" s="4" t="str">
        <f>IF(OR(A1381="",E1381="","",A1381="?",E1381="?"),"duplicate?",IF(COUNTIFS($A:A,A1381,E:E,E1381)&gt;1,"yes","no"))</f>
        <v>duplicate?</v>
      </c>
      <c r="K1381" s="97" t="str">
        <f ca="1">IF(J1381="","Date",IF(J1381&lt;&gt;"",IF(K1381="Date",NOW(),K1381),""))</f>
        <v>Date</v>
      </c>
    </row>
    <row r="1382" spans="2:11">
      <c r="B1382" s="97" t="str">
        <f ca="1">IF(A1382="","Date",IF(A1382&lt;&gt;"",IF(B1382="Date",NOW(),B1382),""))</f>
        <v>Date</v>
      </c>
      <c r="C1382" s="19" t="str">
        <f>IF(ISBLANK(A1382),"Name",IF(ISNA(VLOOKUP(A1382,'Master List'!A:C,2,FALSE)), "Not Found", VLOOKUP(A1382,'Master List'!A:C,2,FALSE)))</f>
        <v>Name</v>
      </c>
      <c r="D1382" s="19" t="str">
        <f>IF(ISBLANK(A1382), "Email",IF(ISNA(VLOOKUP(A1382,'Master List'!A:C,3,FALSE)), "Not Found", VLOOKUP(A1382,'Master List'!A:C,3,FALSE)))</f>
        <v>Email</v>
      </c>
      <c r="F1382" s="4" t="str">
        <f>IF(OR(A1382="",E1382="","",A1382="?",E1382="?"),"duplicate?",IF(COUNTIFS($A:A,A1382,E:E,E1382)&gt;1,"yes","no"))</f>
        <v>duplicate?</v>
      </c>
      <c r="K1382" s="97" t="str">
        <f ca="1">IF(J1382="","Date",IF(J1382&lt;&gt;"",IF(K1382="Date",NOW(),K1382),""))</f>
        <v>Date</v>
      </c>
    </row>
    <row r="1383" spans="2:11">
      <c r="B1383" s="97" t="str">
        <f ca="1">IF(A1383="","Date",IF(A1383&lt;&gt;"",IF(B1383="Date",NOW(),B1383),""))</f>
        <v>Date</v>
      </c>
      <c r="C1383" s="19" t="str">
        <f>IF(ISBLANK(A1383),"Name",IF(ISNA(VLOOKUP(A1383,'Master List'!A:C,2,FALSE)), "Not Found", VLOOKUP(A1383,'Master List'!A:C,2,FALSE)))</f>
        <v>Name</v>
      </c>
      <c r="D1383" s="19" t="str">
        <f>IF(ISBLANK(A1383), "Email",IF(ISNA(VLOOKUP(A1383,'Master List'!A:C,3,FALSE)), "Not Found", VLOOKUP(A1383,'Master List'!A:C,3,FALSE)))</f>
        <v>Email</v>
      </c>
      <c r="F1383" s="4" t="str">
        <f>IF(OR(A1383="",E1383="","",A1383="?",E1383="?"),"duplicate?",IF(COUNTIFS($A:A,A1383,E:E,E1383)&gt;1,"yes","no"))</f>
        <v>duplicate?</v>
      </c>
      <c r="K1383" s="97" t="str">
        <f ca="1">IF(J1383="","Date",IF(J1383&lt;&gt;"",IF(K1383="Date",NOW(),K1383),""))</f>
        <v>Date</v>
      </c>
    </row>
    <row r="1384" spans="2:11">
      <c r="B1384" s="97" t="str">
        <f ca="1">IF(A1384="","Date",IF(A1384&lt;&gt;"",IF(B1384="Date",NOW(),B1384),""))</f>
        <v>Date</v>
      </c>
      <c r="C1384" s="19" t="str">
        <f>IF(ISBLANK(A1384),"Name",IF(ISNA(VLOOKUP(A1384,'Master List'!A:C,2,FALSE)), "Not Found", VLOOKUP(A1384,'Master List'!A:C,2,FALSE)))</f>
        <v>Name</v>
      </c>
      <c r="D1384" s="19" t="str">
        <f>IF(ISBLANK(A1384), "Email",IF(ISNA(VLOOKUP(A1384,'Master List'!A:C,3,FALSE)), "Not Found", VLOOKUP(A1384,'Master List'!A:C,3,FALSE)))</f>
        <v>Email</v>
      </c>
      <c r="F1384" s="4" t="str">
        <f>IF(OR(A1384="",E1384="","",A1384="?",E1384="?"),"duplicate?",IF(COUNTIFS($A:A,A1384,E:E,E1384)&gt;1,"yes","no"))</f>
        <v>duplicate?</v>
      </c>
      <c r="K1384" s="97" t="str">
        <f ca="1">IF(J1384="","Date",IF(J1384&lt;&gt;"",IF(K1384="Date",NOW(),K1384),""))</f>
        <v>Date</v>
      </c>
    </row>
    <row r="1385" spans="2:11">
      <c r="B1385" s="97" t="str">
        <f ca="1">IF(A1385="","Date",IF(A1385&lt;&gt;"",IF(B1385="Date",NOW(),B1385),""))</f>
        <v>Date</v>
      </c>
      <c r="C1385" s="19" t="str">
        <f>IF(ISBLANK(A1385),"Name",IF(ISNA(VLOOKUP(A1385,'Master List'!A:C,2,FALSE)), "Not Found", VLOOKUP(A1385,'Master List'!A:C,2,FALSE)))</f>
        <v>Name</v>
      </c>
      <c r="D1385" s="19" t="str">
        <f>IF(ISBLANK(A1385), "Email",IF(ISNA(VLOOKUP(A1385,'Master List'!A:C,3,FALSE)), "Not Found", VLOOKUP(A1385,'Master List'!A:C,3,FALSE)))</f>
        <v>Email</v>
      </c>
      <c r="F1385" s="4" t="str">
        <f>IF(OR(A1385="",E1385="","",A1385="?",E1385="?"),"duplicate?",IF(COUNTIFS($A:A,A1385,E:E,E1385)&gt;1,"yes","no"))</f>
        <v>duplicate?</v>
      </c>
      <c r="K1385" s="97" t="str">
        <f ca="1">IF(J1385="","Date",IF(J1385&lt;&gt;"",IF(K1385="Date",NOW(),K1385),""))</f>
        <v>Date</v>
      </c>
    </row>
    <row r="1386" spans="2:11">
      <c r="B1386" s="97" t="str">
        <f ca="1">IF(A1386="","Date",IF(A1386&lt;&gt;"",IF(B1386="Date",NOW(),B1386),""))</f>
        <v>Date</v>
      </c>
      <c r="C1386" s="19" t="str">
        <f>IF(ISBLANK(A1386),"Name",IF(ISNA(VLOOKUP(A1386,'Master List'!A:C,2,FALSE)), "Not Found", VLOOKUP(A1386,'Master List'!A:C,2,FALSE)))</f>
        <v>Name</v>
      </c>
      <c r="D1386" s="19" t="str">
        <f>IF(ISBLANK(A1386), "Email",IF(ISNA(VLOOKUP(A1386,'Master List'!A:C,3,FALSE)), "Not Found", VLOOKUP(A1386,'Master List'!A:C,3,FALSE)))</f>
        <v>Email</v>
      </c>
      <c r="F1386" s="4" t="str">
        <f>IF(OR(A1386="",E1386="","",A1386="?",E1386="?"),"duplicate?",IF(COUNTIFS($A:A,A1386,E:E,E1386)&gt;1,"yes","no"))</f>
        <v>duplicate?</v>
      </c>
      <c r="K1386" s="97" t="str">
        <f ca="1">IF(J1386="","Date",IF(J1386&lt;&gt;"",IF(K1386="Date",NOW(),K1386),""))</f>
        <v>Date</v>
      </c>
    </row>
    <row r="1387" spans="2:11">
      <c r="B1387" s="97" t="str">
        <f ca="1">IF(A1387="","Date",IF(A1387&lt;&gt;"",IF(B1387="Date",NOW(),B1387),""))</f>
        <v>Date</v>
      </c>
      <c r="C1387" s="19" t="str">
        <f>IF(ISBLANK(A1387),"Name",IF(ISNA(VLOOKUP(A1387,'Master List'!A:C,2,FALSE)), "Not Found", VLOOKUP(A1387,'Master List'!A:C,2,FALSE)))</f>
        <v>Name</v>
      </c>
      <c r="D1387" s="19" t="str">
        <f>IF(ISBLANK(A1387), "Email",IF(ISNA(VLOOKUP(A1387,'Master List'!A:C,3,FALSE)), "Not Found", VLOOKUP(A1387,'Master List'!A:C,3,FALSE)))</f>
        <v>Email</v>
      </c>
      <c r="F1387" s="4" t="str">
        <f>IF(OR(A1387="",E1387="","",A1387="?",E1387="?"),"duplicate?",IF(COUNTIFS($A:A,A1387,E:E,E1387)&gt;1,"yes","no"))</f>
        <v>duplicate?</v>
      </c>
      <c r="K1387" s="97" t="str">
        <f ca="1">IF(J1387="","Date",IF(J1387&lt;&gt;"",IF(K1387="Date",NOW(),K1387),""))</f>
        <v>Date</v>
      </c>
    </row>
    <row r="1388" spans="2:11">
      <c r="B1388" s="97" t="str">
        <f ca="1">IF(A1388="","Date",IF(A1388&lt;&gt;"",IF(B1388="Date",NOW(),B1388),""))</f>
        <v>Date</v>
      </c>
      <c r="C1388" s="19" t="str">
        <f>IF(ISBLANK(A1388),"Name",IF(ISNA(VLOOKUP(A1388,'Master List'!A:C,2,FALSE)), "Not Found", VLOOKUP(A1388,'Master List'!A:C,2,FALSE)))</f>
        <v>Name</v>
      </c>
      <c r="D1388" s="19" t="str">
        <f>IF(ISBLANK(A1388), "Email",IF(ISNA(VLOOKUP(A1388,'Master List'!A:C,3,FALSE)), "Not Found", VLOOKUP(A1388,'Master List'!A:C,3,FALSE)))</f>
        <v>Email</v>
      </c>
      <c r="F1388" s="4" t="str">
        <f>IF(OR(A1388="",E1388="","",A1388="?",E1388="?"),"duplicate?",IF(COUNTIFS($A:A,A1388,E:E,E1388)&gt;1,"yes","no"))</f>
        <v>duplicate?</v>
      </c>
      <c r="K1388" s="97" t="str">
        <f ca="1">IF(J1388="","Date",IF(J1388&lt;&gt;"",IF(K1388="Date",NOW(),K1388),""))</f>
        <v>Date</v>
      </c>
    </row>
    <row r="1389" spans="2:11">
      <c r="B1389" s="97" t="str">
        <f ca="1">IF(A1389="","Date",IF(A1389&lt;&gt;"",IF(B1389="Date",NOW(),B1389),""))</f>
        <v>Date</v>
      </c>
      <c r="C1389" s="19" t="str">
        <f>IF(ISBLANK(A1389),"Name",IF(ISNA(VLOOKUP(A1389,'Master List'!A:C,2,FALSE)), "Not Found", VLOOKUP(A1389,'Master List'!A:C,2,FALSE)))</f>
        <v>Name</v>
      </c>
      <c r="D1389" s="19" t="str">
        <f>IF(ISBLANK(A1389), "Email",IF(ISNA(VLOOKUP(A1389,'Master List'!A:C,3,FALSE)), "Not Found", VLOOKUP(A1389,'Master List'!A:C,3,FALSE)))</f>
        <v>Email</v>
      </c>
      <c r="F1389" s="4" t="str">
        <f>IF(OR(A1389="",E1389="","",A1389="?",E1389="?"),"duplicate?",IF(COUNTIFS($A:A,A1389,E:E,E1389)&gt;1,"yes","no"))</f>
        <v>duplicate?</v>
      </c>
      <c r="K1389" s="97" t="str">
        <f ca="1">IF(J1389="","Date",IF(J1389&lt;&gt;"",IF(K1389="Date",NOW(),K1389),""))</f>
        <v>Date</v>
      </c>
    </row>
    <row r="1390" spans="2:11">
      <c r="B1390" s="97" t="str">
        <f ca="1">IF(A1390="","Date",IF(A1390&lt;&gt;"",IF(B1390="Date",NOW(),B1390),""))</f>
        <v>Date</v>
      </c>
      <c r="C1390" s="19" t="str">
        <f>IF(ISBLANK(A1390),"Name",IF(ISNA(VLOOKUP(A1390,'Master List'!A:C,2,FALSE)), "Not Found", VLOOKUP(A1390,'Master List'!A:C,2,FALSE)))</f>
        <v>Name</v>
      </c>
      <c r="D1390" s="19" t="str">
        <f>IF(ISBLANK(A1390), "Email",IF(ISNA(VLOOKUP(A1390,'Master List'!A:C,3,FALSE)), "Not Found", VLOOKUP(A1390,'Master List'!A:C,3,FALSE)))</f>
        <v>Email</v>
      </c>
      <c r="F1390" s="4" t="str">
        <f>IF(OR(A1390="",E1390="","",A1390="?",E1390="?"),"duplicate?",IF(COUNTIFS($A:A,A1390,E:E,E1390)&gt;1,"yes","no"))</f>
        <v>duplicate?</v>
      </c>
      <c r="K1390" s="97" t="str">
        <f ca="1">IF(J1390="","Date",IF(J1390&lt;&gt;"",IF(K1390="Date",NOW(),K1390),""))</f>
        <v>Date</v>
      </c>
    </row>
    <row r="1391" spans="2:11">
      <c r="B1391" s="97" t="str">
        <f ca="1">IF(A1391="","Date",IF(A1391&lt;&gt;"",IF(B1391="Date",NOW(),B1391),""))</f>
        <v>Date</v>
      </c>
      <c r="C1391" s="19" t="str">
        <f>IF(ISBLANK(A1391),"Name",IF(ISNA(VLOOKUP(A1391,'Master List'!A:C,2,FALSE)), "Not Found", VLOOKUP(A1391,'Master List'!A:C,2,FALSE)))</f>
        <v>Name</v>
      </c>
      <c r="D1391" s="19" t="str">
        <f>IF(ISBLANK(A1391), "Email",IF(ISNA(VLOOKUP(A1391,'Master List'!A:C,3,FALSE)), "Not Found", VLOOKUP(A1391,'Master List'!A:C,3,FALSE)))</f>
        <v>Email</v>
      </c>
      <c r="F1391" s="4" t="str">
        <f>IF(OR(A1391="",E1391="","",A1391="?",E1391="?"),"duplicate?",IF(COUNTIFS($A:A,A1391,E:E,E1391)&gt;1,"yes","no"))</f>
        <v>duplicate?</v>
      </c>
      <c r="K1391" s="97" t="str">
        <f ca="1">IF(J1391="","Date",IF(J1391&lt;&gt;"",IF(K1391="Date",NOW(),K1391),""))</f>
        <v>Date</v>
      </c>
    </row>
    <row r="1392" spans="2:11">
      <c r="B1392" s="97" t="str">
        <f ca="1">IF(A1392="","Date",IF(A1392&lt;&gt;"",IF(B1392="Date",NOW(),B1392),""))</f>
        <v>Date</v>
      </c>
      <c r="C1392" s="19" t="str">
        <f>IF(ISBLANK(A1392),"Name",IF(ISNA(VLOOKUP(A1392,'Master List'!A:C,2,FALSE)), "Not Found", VLOOKUP(A1392,'Master List'!A:C,2,FALSE)))</f>
        <v>Name</v>
      </c>
      <c r="D1392" s="19" t="str">
        <f>IF(ISBLANK(A1392), "Email",IF(ISNA(VLOOKUP(A1392,'Master List'!A:C,3,FALSE)), "Not Found", VLOOKUP(A1392,'Master List'!A:C,3,FALSE)))</f>
        <v>Email</v>
      </c>
      <c r="F1392" s="4" t="str">
        <f>IF(OR(A1392="",E1392="","",A1392="?",E1392="?"),"duplicate?",IF(COUNTIFS($A:A,A1392,E:E,E1392)&gt;1,"yes","no"))</f>
        <v>duplicate?</v>
      </c>
      <c r="K1392" s="97" t="str">
        <f ca="1">IF(J1392="","Date",IF(J1392&lt;&gt;"",IF(K1392="Date",NOW(),K1392),""))</f>
        <v>Date</v>
      </c>
    </row>
    <row r="1393" spans="2:11">
      <c r="B1393" s="97" t="str">
        <f ca="1">IF(A1393="","Date",IF(A1393&lt;&gt;"",IF(B1393="Date",NOW(),B1393),""))</f>
        <v>Date</v>
      </c>
      <c r="C1393" s="19" t="str">
        <f>IF(ISBLANK(A1393),"Name",IF(ISNA(VLOOKUP(A1393,'Master List'!A:C,2,FALSE)), "Not Found", VLOOKUP(A1393,'Master List'!A:C,2,FALSE)))</f>
        <v>Name</v>
      </c>
      <c r="D1393" s="19" t="str">
        <f>IF(ISBLANK(A1393), "Email",IF(ISNA(VLOOKUP(A1393,'Master List'!A:C,3,FALSE)), "Not Found", VLOOKUP(A1393,'Master List'!A:C,3,FALSE)))</f>
        <v>Email</v>
      </c>
      <c r="F1393" s="4" t="str">
        <f>IF(OR(A1393="",E1393="","",A1393="?",E1393="?"),"duplicate?",IF(COUNTIFS($A:A,A1393,E:E,E1393)&gt;1,"yes","no"))</f>
        <v>duplicate?</v>
      </c>
      <c r="K1393" s="97" t="str">
        <f ca="1">IF(J1393="","Date",IF(J1393&lt;&gt;"",IF(K1393="Date",NOW(),K1393),""))</f>
        <v>Date</v>
      </c>
    </row>
    <row r="1394" spans="2:11">
      <c r="B1394" s="97" t="str">
        <f ca="1">IF(A1394="","Date",IF(A1394&lt;&gt;"",IF(B1394="Date",NOW(),B1394),""))</f>
        <v>Date</v>
      </c>
      <c r="C1394" s="19" t="str">
        <f>IF(ISBLANK(A1394),"Name",IF(ISNA(VLOOKUP(A1394,'Master List'!A:C,2,FALSE)), "Not Found", VLOOKUP(A1394,'Master List'!A:C,2,FALSE)))</f>
        <v>Name</v>
      </c>
      <c r="D1394" s="19" t="str">
        <f>IF(ISBLANK(A1394), "Email",IF(ISNA(VLOOKUP(A1394,'Master List'!A:C,3,FALSE)), "Not Found", VLOOKUP(A1394,'Master List'!A:C,3,FALSE)))</f>
        <v>Email</v>
      </c>
      <c r="F1394" s="4" t="str">
        <f>IF(OR(A1394="",E1394="","",A1394="?",E1394="?"),"duplicate?",IF(COUNTIFS($A:A,A1394,E:E,E1394)&gt;1,"yes","no"))</f>
        <v>duplicate?</v>
      </c>
      <c r="K1394" s="97" t="str">
        <f ca="1">IF(J1394="","Date",IF(J1394&lt;&gt;"",IF(K1394="Date",NOW(),K1394),""))</f>
        <v>Date</v>
      </c>
    </row>
    <row r="1395" spans="2:11">
      <c r="B1395" s="97" t="str">
        <f ca="1">IF(A1395="","Date",IF(A1395&lt;&gt;"",IF(B1395="Date",NOW(),B1395),""))</f>
        <v>Date</v>
      </c>
      <c r="C1395" s="19" t="str">
        <f>IF(ISBLANK(A1395),"Name",IF(ISNA(VLOOKUP(A1395,'Master List'!A:C,2,FALSE)), "Not Found", VLOOKUP(A1395,'Master List'!A:C,2,FALSE)))</f>
        <v>Name</v>
      </c>
      <c r="D1395" s="19" t="str">
        <f>IF(ISBLANK(A1395), "Email",IF(ISNA(VLOOKUP(A1395,'Master List'!A:C,3,FALSE)), "Not Found", VLOOKUP(A1395,'Master List'!A:C,3,FALSE)))</f>
        <v>Email</v>
      </c>
      <c r="F1395" s="4" t="str">
        <f>IF(OR(A1395="",E1395="","",A1395="?",E1395="?"),"duplicate?",IF(COUNTIFS($A:A,A1395,E:E,E1395)&gt;1,"yes","no"))</f>
        <v>duplicate?</v>
      </c>
      <c r="K1395" s="97" t="str">
        <f ca="1">IF(J1395="","Date",IF(J1395&lt;&gt;"",IF(K1395="Date",NOW(),K1395),""))</f>
        <v>Date</v>
      </c>
    </row>
    <row r="1396" spans="2:11">
      <c r="B1396" s="97" t="str">
        <f ca="1">IF(A1396="","Date",IF(A1396&lt;&gt;"",IF(B1396="Date",NOW(),B1396),""))</f>
        <v>Date</v>
      </c>
      <c r="C1396" s="19" t="str">
        <f>IF(ISBLANK(A1396),"Name",IF(ISNA(VLOOKUP(A1396,'Master List'!A:C,2,FALSE)), "Not Found", VLOOKUP(A1396,'Master List'!A:C,2,FALSE)))</f>
        <v>Name</v>
      </c>
      <c r="D1396" s="19" t="str">
        <f>IF(ISBLANK(A1396), "Email",IF(ISNA(VLOOKUP(A1396,'Master List'!A:C,3,FALSE)), "Not Found", VLOOKUP(A1396,'Master List'!A:C,3,FALSE)))</f>
        <v>Email</v>
      </c>
      <c r="F1396" s="4" t="str">
        <f>IF(OR(A1396="",E1396="","",A1396="?",E1396="?"),"duplicate?",IF(COUNTIFS($A:A,A1396,E:E,E1396)&gt;1,"yes","no"))</f>
        <v>duplicate?</v>
      </c>
      <c r="K1396" s="97" t="str">
        <f ca="1">IF(J1396="","Date",IF(J1396&lt;&gt;"",IF(K1396="Date",NOW(),K1396),""))</f>
        <v>Date</v>
      </c>
    </row>
    <row r="1397" spans="2:11">
      <c r="B1397" s="97" t="str">
        <f ca="1">IF(A1397="","Date",IF(A1397&lt;&gt;"",IF(B1397="Date",NOW(),B1397),""))</f>
        <v>Date</v>
      </c>
      <c r="C1397" s="19" t="str">
        <f>IF(ISBLANK(A1397),"Name",IF(ISNA(VLOOKUP(A1397,'Master List'!A:C,2,FALSE)), "Not Found", VLOOKUP(A1397,'Master List'!A:C,2,FALSE)))</f>
        <v>Name</v>
      </c>
      <c r="D1397" s="19" t="str">
        <f>IF(ISBLANK(A1397), "Email",IF(ISNA(VLOOKUP(A1397,'Master List'!A:C,3,FALSE)), "Not Found", VLOOKUP(A1397,'Master List'!A:C,3,FALSE)))</f>
        <v>Email</v>
      </c>
      <c r="F1397" s="4" t="str">
        <f>IF(OR(A1397="",E1397="","",A1397="?",E1397="?"),"duplicate?",IF(COUNTIFS($A:A,A1397,E:E,E1397)&gt;1,"yes","no"))</f>
        <v>duplicate?</v>
      </c>
      <c r="K1397" s="97" t="str">
        <f ca="1">IF(J1397="","Date",IF(J1397&lt;&gt;"",IF(K1397="Date",NOW(),K1397),""))</f>
        <v>Date</v>
      </c>
    </row>
    <row r="1398" spans="2:11">
      <c r="B1398" s="97" t="str">
        <f ca="1">IF(A1398="","Date",IF(A1398&lt;&gt;"",IF(B1398="Date",NOW(),B1398),""))</f>
        <v>Date</v>
      </c>
      <c r="C1398" s="19" t="str">
        <f>IF(ISBLANK(A1398),"Name",IF(ISNA(VLOOKUP(A1398,'Master List'!A:C,2,FALSE)), "Not Found", VLOOKUP(A1398,'Master List'!A:C,2,FALSE)))</f>
        <v>Name</v>
      </c>
      <c r="D1398" s="19" t="str">
        <f>IF(ISBLANK(A1398), "Email",IF(ISNA(VLOOKUP(A1398,'Master List'!A:C,3,FALSE)), "Not Found", VLOOKUP(A1398,'Master List'!A:C,3,FALSE)))</f>
        <v>Email</v>
      </c>
      <c r="F1398" s="4" t="str">
        <f>IF(OR(A1398="",E1398="","",A1398="?",E1398="?"),"duplicate?",IF(COUNTIFS($A:A,A1398,E:E,E1398)&gt;1,"yes","no"))</f>
        <v>duplicate?</v>
      </c>
      <c r="K1398" s="97" t="str">
        <f ca="1">IF(J1398="","Date",IF(J1398&lt;&gt;"",IF(K1398="Date",NOW(),K1398),""))</f>
        <v>Date</v>
      </c>
    </row>
    <row r="1399" spans="2:11">
      <c r="B1399" s="97" t="str">
        <f ca="1">IF(A1399="","Date",IF(A1399&lt;&gt;"",IF(B1399="Date",NOW(),B1399),""))</f>
        <v>Date</v>
      </c>
      <c r="C1399" s="19" t="str">
        <f>IF(ISBLANK(A1399),"Name",IF(ISNA(VLOOKUP(A1399,'Master List'!A:C,2,FALSE)), "Not Found", VLOOKUP(A1399,'Master List'!A:C,2,FALSE)))</f>
        <v>Name</v>
      </c>
      <c r="D1399" s="19" t="str">
        <f>IF(ISBLANK(A1399), "Email",IF(ISNA(VLOOKUP(A1399,'Master List'!A:C,3,FALSE)), "Not Found", VLOOKUP(A1399,'Master List'!A:C,3,FALSE)))</f>
        <v>Email</v>
      </c>
      <c r="F1399" s="4" t="str">
        <f>IF(OR(A1399="",E1399="","",A1399="?",E1399="?"),"duplicate?",IF(COUNTIFS($A:A,A1399,E:E,E1399)&gt;1,"yes","no"))</f>
        <v>duplicate?</v>
      </c>
      <c r="K1399" s="97" t="str">
        <f ca="1">IF(J1399="","Date",IF(J1399&lt;&gt;"",IF(K1399="Date",NOW(),K1399),""))</f>
        <v>Date</v>
      </c>
    </row>
    <row r="1400" spans="2:11">
      <c r="B1400" s="97" t="str">
        <f ca="1">IF(A1400="","Date",IF(A1400&lt;&gt;"",IF(B1400="Date",NOW(),B1400),""))</f>
        <v>Date</v>
      </c>
      <c r="C1400" s="19" t="str">
        <f>IF(ISBLANK(A1400),"Name",IF(ISNA(VLOOKUP(A1400,'Master List'!A:C,2,FALSE)), "Not Found", VLOOKUP(A1400,'Master List'!A:C,2,FALSE)))</f>
        <v>Name</v>
      </c>
      <c r="D1400" s="19" t="str">
        <f>IF(ISBLANK(A1400), "Email",IF(ISNA(VLOOKUP(A1400,'Master List'!A:C,3,FALSE)), "Not Found", VLOOKUP(A1400,'Master List'!A:C,3,FALSE)))</f>
        <v>Email</v>
      </c>
      <c r="F1400" s="4" t="str">
        <f>IF(OR(A1400="",E1400="","",A1400="?",E1400="?"),"duplicate?",IF(COUNTIFS($A:A,A1400,E:E,E1400)&gt;1,"yes","no"))</f>
        <v>duplicate?</v>
      </c>
      <c r="K1400" s="97" t="str">
        <f ca="1">IF(J1400="","Date",IF(J1400&lt;&gt;"",IF(K1400="Date",NOW(),K1400),""))</f>
        <v>Date</v>
      </c>
    </row>
    <row r="1401" spans="2:11">
      <c r="B1401" s="97" t="str">
        <f ca="1">IF(A1401="","Date",IF(A1401&lt;&gt;"",IF(B1401="Date",NOW(),B1401),""))</f>
        <v>Date</v>
      </c>
      <c r="C1401" s="19" t="str">
        <f>IF(ISBLANK(A1401),"Name",IF(ISNA(VLOOKUP(A1401,'Master List'!A:C,2,FALSE)), "Not Found", VLOOKUP(A1401,'Master List'!A:C,2,FALSE)))</f>
        <v>Name</v>
      </c>
      <c r="D1401" s="19" t="str">
        <f>IF(ISBLANK(A1401), "Email",IF(ISNA(VLOOKUP(A1401,'Master List'!A:C,3,FALSE)), "Not Found", VLOOKUP(A1401,'Master List'!A:C,3,FALSE)))</f>
        <v>Email</v>
      </c>
      <c r="F1401" s="4" t="str">
        <f>IF(OR(A1401="",E1401="","",A1401="?",E1401="?"),"duplicate?",IF(COUNTIFS($A:A,A1401,E:E,E1401)&gt;1,"yes","no"))</f>
        <v>duplicate?</v>
      </c>
      <c r="K1401" s="97" t="str">
        <f ca="1">IF(J1401="","Date",IF(J1401&lt;&gt;"",IF(K1401="Date",NOW(),K1401),""))</f>
        <v>Date</v>
      </c>
    </row>
    <row r="1402" spans="2:11">
      <c r="B1402" s="97" t="str">
        <f ca="1">IF(A1402="","Date",IF(A1402&lt;&gt;"",IF(B1402="Date",NOW(),B1402),""))</f>
        <v>Date</v>
      </c>
      <c r="C1402" s="19" t="str">
        <f>IF(ISBLANK(A1402),"Name",IF(ISNA(VLOOKUP(A1402,'Master List'!A:C,2,FALSE)), "Not Found", VLOOKUP(A1402,'Master List'!A:C,2,FALSE)))</f>
        <v>Name</v>
      </c>
      <c r="D1402" s="19" t="str">
        <f>IF(ISBLANK(A1402), "Email",IF(ISNA(VLOOKUP(A1402,'Master List'!A:C,3,FALSE)), "Not Found", VLOOKUP(A1402,'Master List'!A:C,3,FALSE)))</f>
        <v>Email</v>
      </c>
      <c r="F1402" s="4" t="str">
        <f>IF(OR(A1402="",E1402="","",A1402="?",E1402="?"),"duplicate?",IF(COUNTIFS($A:A,A1402,E:E,E1402)&gt;1,"yes","no"))</f>
        <v>duplicate?</v>
      </c>
      <c r="K1402" s="97" t="str">
        <f ca="1">IF(J1402="","Date",IF(J1402&lt;&gt;"",IF(K1402="Date",NOW(),K1402),""))</f>
        <v>Date</v>
      </c>
    </row>
    <row r="1403" spans="2:11">
      <c r="B1403" s="97" t="str">
        <f ca="1">IF(A1403="","Date",IF(A1403&lt;&gt;"",IF(B1403="Date",NOW(),B1403),""))</f>
        <v>Date</v>
      </c>
      <c r="C1403" s="19" t="str">
        <f>IF(ISBLANK(A1403),"Name",IF(ISNA(VLOOKUP(A1403,'Master List'!A:C,2,FALSE)), "Not Found", VLOOKUP(A1403,'Master List'!A:C,2,FALSE)))</f>
        <v>Name</v>
      </c>
      <c r="D1403" s="19" t="str">
        <f>IF(ISBLANK(A1403), "Email",IF(ISNA(VLOOKUP(A1403,'Master List'!A:C,3,FALSE)), "Not Found", VLOOKUP(A1403,'Master List'!A:C,3,FALSE)))</f>
        <v>Email</v>
      </c>
      <c r="F1403" s="4" t="str">
        <f>IF(OR(A1403="",E1403="","",A1403="?",E1403="?"),"duplicate?",IF(COUNTIFS($A:A,A1403,E:E,E1403)&gt;1,"yes","no"))</f>
        <v>duplicate?</v>
      </c>
      <c r="K1403" s="97" t="str">
        <f ca="1">IF(J1403="","Date",IF(J1403&lt;&gt;"",IF(K1403="Date",NOW(),K1403),""))</f>
        <v>Date</v>
      </c>
    </row>
    <row r="1404" spans="2:11">
      <c r="B1404" s="97" t="str">
        <f ca="1">IF(A1404="","Date",IF(A1404&lt;&gt;"",IF(B1404="Date",NOW(),B1404),""))</f>
        <v>Date</v>
      </c>
      <c r="C1404" s="19" t="str">
        <f>IF(ISBLANK(A1404),"Name",IF(ISNA(VLOOKUP(A1404,'Master List'!A:C,2,FALSE)), "Not Found", VLOOKUP(A1404,'Master List'!A:C,2,FALSE)))</f>
        <v>Name</v>
      </c>
      <c r="D1404" s="19" t="str">
        <f>IF(ISBLANK(A1404), "Email",IF(ISNA(VLOOKUP(A1404,'Master List'!A:C,3,FALSE)), "Not Found", VLOOKUP(A1404,'Master List'!A:C,3,FALSE)))</f>
        <v>Email</v>
      </c>
      <c r="F1404" s="4" t="str">
        <f>IF(OR(A1404="",E1404="","",A1404="?",E1404="?"),"duplicate?",IF(COUNTIFS($A:A,A1404,E:E,E1404)&gt;1,"yes","no"))</f>
        <v>duplicate?</v>
      </c>
      <c r="K1404" s="97" t="str">
        <f ca="1">IF(J1404="","Date",IF(J1404&lt;&gt;"",IF(K1404="Date",NOW(),K1404),""))</f>
        <v>Date</v>
      </c>
    </row>
    <row r="1405" spans="2:11">
      <c r="B1405" s="97" t="str">
        <f ca="1">IF(A1405="","Date",IF(A1405&lt;&gt;"",IF(B1405="Date",NOW(),B1405),""))</f>
        <v>Date</v>
      </c>
      <c r="C1405" s="19" t="str">
        <f>IF(ISBLANK(A1405),"Name",IF(ISNA(VLOOKUP(A1405,'Master List'!A:C,2,FALSE)), "Not Found", VLOOKUP(A1405,'Master List'!A:C,2,FALSE)))</f>
        <v>Name</v>
      </c>
      <c r="D1405" s="19" t="str">
        <f>IF(ISBLANK(A1405), "Email",IF(ISNA(VLOOKUP(A1405,'Master List'!A:C,3,FALSE)), "Not Found", VLOOKUP(A1405,'Master List'!A:C,3,FALSE)))</f>
        <v>Email</v>
      </c>
      <c r="F1405" s="4" t="str">
        <f>IF(OR(A1405="",E1405="","",A1405="?",E1405="?"),"duplicate?",IF(COUNTIFS($A:A,A1405,E:E,E1405)&gt;1,"yes","no"))</f>
        <v>duplicate?</v>
      </c>
      <c r="K1405" s="97" t="str">
        <f ca="1">IF(J1405="","Date",IF(J1405&lt;&gt;"",IF(K1405="Date",NOW(),K1405),""))</f>
        <v>Date</v>
      </c>
    </row>
    <row r="1406" spans="2:11">
      <c r="B1406" s="97" t="str">
        <f ca="1">IF(A1406="","Date",IF(A1406&lt;&gt;"",IF(B1406="Date",NOW(),B1406),""))</f>
        <v>Date</v>
      </c>
      <c r="C1406" s="19" t="str">
        <f>IF(ISBLANK(A1406),"Name",IF(ISNA(VLOOKUP(A1406,'Master List'!A:C,2,FALSE)), "Not Found", VLOOKUP(A1406,'Master List'!A:C,2,FALSE)))</f>
        <v>Name</v>
      </c>
      <c r="D1406" s="19" t="str">
        <f>IF(ISBLANK(A1406), "Email",IF(ISNA(VLOOKUP(A1406,'Master List'!A:C,3,FALSE)), "Not Found", VLOOKUP(A1406,'Master List'!A:C,3,FALSE)))</f>
        <v>Email</v>
      </c>
      <c r="F1406" s="4" t="str">
        <f>IF(OR(A1406="",E1406="","",A1406="?",E1406="?"),"duplicate?",IF(COUNTIFS($A:A,A1406,E:E,E1406)&gt;1,"yes","no"))</f>
        <v>duplicate?</v>
      </c>
      <c r="K1406" s="97" t="str">
        <f ca="1">IF(J1406="","Date",IF(J1406&lt;&gt;"",IF(K1406="Date",NOW(),K1406),""))</f>
        <v>Date</v>
      </c>
    </row>
    <row r="1407" spans="2:11">
      <c r="B1407" s="97" t="str">
        <f ca="1">IF(A1407="","Date",IF(A1407&lt;&gt;"",IF(B1407="Date",NOW(),B1407),""))</f>
        <v>Date</v>
      </c>
      <c r="C1407" s="19" t="str">
        <f>IF(ISBLANK(A1407),"Name",IF(ISNA(VLOOKUP(A1407,'Master List'!A:C,2,FALSE)), "Not Found", VLOOKUP(A1407,'Master List'!A:C,2,FALSE)))</f>
        <v>Name</v>
      </c>
      <c r="D1407" s="19" t="str">
        <f>IF(ISBLANK(A1407), "Email",IF(ISNA(VLOOKUP(A1407,'Master List'!A:C,3,FALSE)), "Not Found", VLOOKUP(A1407,'Master List'!A:C,3,FALSE)))</f>
        <v>Email</v>
      </c>
      <c r="F1407" s="4" t="str">
        <f>IF(OR(A1407="",E1407="","",A1407="?",E1407="?"),"duplicate?",IF(COUNTIFS($A:A,A1407,E:E,E1407)&gt;1,"yes","no"))</f>
        <v>duplicate?</v>
      </c>
      <c r="K1407" s="97" t="str">
        <f ca="1">IF(J1407="","Date",IF(J1407&lt;&gt;"",IF(K1407="Date",NOW(),K1407),""))</f>
        <v>Date</v>
      </c>
    </row>
    <row r="1408" spans="2:11">
      <c r="B1408" s="97" t="str">
        <f ca="1">IF(A1408="","Date",IF(A1408&lt;&gt;"",IF(B1408="Date",NOW(),B1408),""))</f>
        <v>Date</v>
      </c>
      <c r="C1408" s="19" t="str">
        <f>IF(ISBLANK(A1408),"Name",IF(ISNA(VLOOKUP(A1408,'Master List'!A:C,2,FALSE)), "Not Found", VLOOKUP(A1408,'Master List'!A:C,2,FALSE)))</f>
        <v>Name</v>
      </c>
      <c r="D1408" s="19" t="str">
        <f>IF(ISBLANK(A1408), "Email",IF(ISNA(VLOOKUP(A1408,'Master List'!A:C,3,FALSE)), "Not Found", VLOOKUP(A1408,'Master List'!A:C,3,FALSE)))</f>
        <v>Email</v>
      </c>
      <c r="F1408" s="4" t="str">
        <f>IF(OR(A1408="",E1408="","",A1408="?",E1408="?"),"duplicate?",IF(COUNTIFS($A:A,A1408,E:E,E1408)&gt;1,"yes","no"))</f>
        <v>duplicate?</v>
      </c>
      <c r="K1408" s="97" t="str">
        <f ca="1">IF(J1408="","Date",IF(J1408&lt;&gt;"",IF(K1408="Date",NOW(),K1408),""))</f>
        <v>Date</v>
      </c>
    </row>
    <row r="1409" spans="2:11">
      <c r="B1409" s="97" t="str">
        <f ca="1">IF(A1409="","Date",IF(A1409&lt;&gt;"",IF(B1409="Date",NOW(),B1409),""))</f>
        <v>Date</v>
      </c>
      <c r="C1409" s="19" t="str">
        <f>IF(ISBLANK(A1409),"Name",IF(ISNA(VLOOKUP(A1409,'Master List'!A:C,2,FALSE)), "Not Found", VLOOKUP(A1409,'Master List'!A:C,2,FALSE)))</f>
        <v>Name</v>
      </c>
      <c r="D1409" s="19" t="str">
        <f>IF(ISBLANK(A1409), "Email",IF(ISNA(VLOOKUP(A1409,'Master List'!A:C,3,FALSE)), "Not Found", VLOOKUP(A1409,'Master List'!A:C,3,FALSE)))</f>
        <v>Email</v>
      </c>
      <c r="F1409" s="4" t="str">
        <f>IF(OR(A1409="",E1409="","",A1409="?",E1409="?"),"duplicate?",IF(COUNTIFS($A:A,A1409,E:E,E1409)&gt;1,"yes","no"))</f>
        <v>duplicate?</v>
      </c>
      <c r="K1409" s="97" t="str">
        <f ca="1">IF(J1409="","Date",IF(J1409&lt;&gt;"",IF(K1409="Date",NOW(),K1409),""))</f>
        <v>Date</v>
      </c>
    </row>
    <row r="1410" spans="2:11">
      <c r="B1410" s="97" t="str">
        <f ca="1">IF(A1410="","Date",IF(A1410&lt;&gt;"",IF(B1410="Date",NOW(),B1410),""))</f>
        <v>Date</v>
      </c>
      <c r="C1410" s="19" t="str">
        <f>IF(ISBLANK(A1410),"Name",IF(ISNA(VLOOKUP(A1410,'Master List'!A:C,2,FALSE)), "Not Found", VLOOKUP(A1410,'Master List'!A:C,2,FALSE)))</f>
        <v>Name</v>
      </c>
      <c r="D1410" s="19" t="str">
        <f>IF(ISBLANK(A1410), "Email",IF(ISNA(VLOOKUP(A1410,'Master List'!A:C,3,FALSE)), "Not Found", VLOOKUP(A1410,'Master List'!A:C,3,FALSE)))</f>
        <v>Email</v>
      </c>
      <c r="F1410" s="4" t="str">
        <f>IF(OR(A1410="",E1410="","",A1410="?",E1410="?"),"duplicate?",IF(COUNTIFS($A:A,A1410,E:E,E1410)&gt;1,"yes","no"))</f>
        <v>duplicate?</v>
      </c>
      <c r="K1410" s="97" t="str">
        <f ca="1">IF(J1410="","Date",IF(J1410&lt;&gt;"",IF(K1410="Date",NOW(),K1410),""))</f>
        <v>Date</v>
      </c>
    </row>
    <row r="1411" spans="2:11">
      <c r="B1411" s="97" t="str">
        <f ca="1">IF(A1411="","Date",IF(A1411&lt;&gt;"",IF(B1411="Date",NOW(),B1411),""))</f>
        <v>Date</v>
      </c>
      <c r="C1411" s="19" t="str">
        <f>IF(ISBLANK(A1411),"Name",IF(ISNA(VLOOKUP(A1411,'Master List'!A:C,2,FALSE)), "Not Found", VLOOKUP(A1411,'Master List'!A:C,2,FALSE)))</f>
        <v>Name</v>
      </c>
      <c r="D1411" s="19" t="str">
        <f>IF(ISBLANK(A1411), "Email",IF(ISNA(VLOOKUP(A1411,'Master List'!A:C,3,FALSE)), "Not Found", VLOOKUP(A1411,'Master List'!A:C,3,FALSE)))</f>
        <v>Email</v>
      </c>
      <c r="F1411" s="4" t="str">
        <f>IF(OR(A1411="",E1411="","",A1411="?",E1411="?"),"duplicate?",IF(COUNTIFS($A:A,A1411,E:E,E1411)&gt;1,"yes","no"))</f>
        <v>duplicate?</v>
      </c>
      <c r="K1411" s="97" t="str">
        <f ca="1">IF(J1411="","Date",IF(J1411&lt;&gt;"",IF(K1411="Date",NOW(),K1411),""))</f>
        <v>Date</v>
      </c>
    </row>
    <row r="1412" spans="2:11">
      <c r="B1412" s="97" t="str">
        <f ca="1">IF(A1412="","Date",IF(A1412&lt;&gt;"",IF(B1412="Date",NOW(),B1412),""))</f>
        <v>Date</v>
      </c>
      <c r="C1412" s="19" t="str">
        <f>IF(ISBLANK(A1412),"Name",IF(ISNA(VLOOKUP(A1412,'Master List'!A:C,2,FALSE)), "Not Found", VLOOKUP(A1412,'Master List'!A:C,2,FALSE)))</f>
        <v>Name</v>
      </c>
      <c r="D1412" s="19" t="str">
        <f>IF(ISBLANK(A1412), "Email",IF(ISNA(VLOOKUP(A1412,'Master List'!A:C,3,FALSE)), "Not Found", VLOOKUP(A1412,'Master List'!A:C,3,FALSE)))</f>
        <v>Email</v>
      </c>
      <c r="F1412" s="4" t="str">
        <f>IF(OR(A1412="",E1412="","",A1412="?",E1412="?"),"duplicate?",IF(COUNTIFS($A:A,A1412,E:E,E1412)&gt;1,"yes","no"))</f>
        <v>duplicate?</v>
      </c>
      <c r="K1412" s="97" t="str">
        <f ca="1">IF(J1412="","Date",IF(J1412&lt;&gt;"",IF(K1412="Date",NOW(),K1412),""))</f>
        <v>Date</v>
      </c>
    </row>
    <row r="1413" spans="2:11">
      <c r="B1413" s="97" t="str">
        <f ca="1">IF(A1413="","Date",IF(A1413&lt;&gt;"",IF(B1413="Date",NOW(),B1413),""))</f>
        <v>Date</v>
      </c>
      <c r="C1413" s="19" t="str">
        <f>IF(ISBLANK(A1413),"Name",IF(ISNA(VLOOKUP(A1413,'Master List'!A:C,2,FALSE)), "Not Found", VLOOKUP(A1413,'Master List'!A:C,2,FALSE)))</f>
        <v>Name</v>
      </c>
      <c r="D1413" s="19" t="str">
        <f>IF(ISBLANK(A1413), "Email",IF(ISNA(VLOOKUP(A1413,'Master List'!A:C,3,FALSE)), "Not Found", VLOOKUP(A1413,'Master List'!A:C,3,FALSE)))</f>
        <v>Email</v>
      </c>
      <c r="F1413" s="4" t="str">
        <f>IF(OR(A1413="",E1413="","",A1413="?",E1413="?"),"duplicate?",IF(COUNTIFS($A:A,A1413,E:E,E1413)&gt;1,"yes","no"))</f>
        <v>duplicate?</v>
      </c>
      <c r="K1413" s="97" t="str">
        <f ca="1">IF(J1413="","Date",IF(J1413&lt;&gt;"",IF(K1413="Date",NOW(),K1413),""))</f>
        <v>Date</v>
      </c>
    </row>
    <row r="1414" spans="2:11">
      <c r="B1414" s="97" t="str">
        <f ca="1">IF(A1414="","Date",IF(A1414&lt;&gt;"",IF(B1414="Date",NOW(),B1414),""))</f>
        <v>Date</v>
      </c>
      <c r="C1414" s="19" t="str">
        <f>IF(ISBLANK(A1414),"Name",IF(ISNA(VLOOKUP(A1414,'Master List'!A:C,2,FALSE)), "Not Found", VLOOKUP(A1414,'Master List'!A:C,2,FALSE)))</f>
        <v>Name</v>
      </c>
      <c r="D1414" s="19" t="str">
        <f>IF(ISBLANK(A1414), "Email",IF(ISNA(VLOOKUP(A1414,'Master List'!A:C,3,FALSE)), "Not Found", VLOOKUP(A1414,'Master List'!A:C,3,FALSE)))</f>
        <v>Email</v>
      </c>
      <c r="F1414" s="4" t="str">
        <f>IF(OR(A1414="",E1414="","",A1414="?",E1414="?"),"duplicate?",IF(COUNTIFS($A:A,A1414,E:E,E1414)&gt;1,"yes","no"))</f>
        <v>duplicate?</v>
      </c>
      <c r="K1414" s="97" t="str">
        <f ca="1">IF(J1414="","Date",IF(J1414&lt;&gt;"",IF(K1414="Date",NOW(),K1414),""))</f>
        <v>Date</v>
      </c>
    </row>
    <row r="1415" spans="2:11">
      <c r="B1415" s="97" t="str">
        <f ca="1">IF(A1415="","Date",IF(A1415&lt;&gt;"",IF(B1415="Date",NOW(),B1415),""))</f>
        <v>Date</v>
      </c>
      <c r="C1415" s="19" t="str">
        <f>IF(ISBLANK(A1415),"Name",IF(ISNA(VLOOKUP(A1415,'Master List'!A:C,2,FALSE)), "Not Found", VLOOKUP(A1415,'Master List'!A:C,2,FALSE)))</f>
        <v>Name</v>
      </c>
      <c r="D1415" s="19" t="str">
        <f>IF(ISBLANK(A1415), "Email",IF(ISNA(VLOOKUP(A1415,'Master List'!A:C,3,FALSE)), "Not Found", VLOOKUP(A1415,'Master List'!A:C,3,FALSE)))</f>
        <v>Email</v>
      </c>
      <c r="F1415" s="4" t="str">
        <f>IF(OR(A1415="",E1415="","",A1415="?",E1415="?"),"duplicate?",IF(COUNTIFS($A:A,A1415,E:E,E1415)&gt;1,"yes","no"))</f>
        <v>duplicate?</v>
      </c>
      <c r="K1415" s="97" t="str">
        <f ca="1">IF(J1415="","Date",IF(J1415&lt;&gt;"",IF(K1415="Date",NOW(),K1415),""))</f>
        <v>Date</v>
      </c>
    </row>
    <row r="1416" spans="2:11">
      <c r="B1416" s="97" t="str">
        <f ca="1">IF(A1416="","Date",IF(A1416&lt;&gt;"",IF(B1416="Date",NOW(),B1416),""))</f>
        <v>Date</v>
      </c>
      <c r="C1416" s="19" t="str">
        <f>IF(ISBLANK(A1416),"Name",IF(ISNA(VLOOKUP(A1416,'Master List'!A:C,2,FALSE)), "Not Found", VLOOKUP(A1416,'Master List'!A:C,2,FALSE)))</f>
        <v>Name</v>
      </c>
      <c r="D1416" s="19" t="str">
        <f>IF(ISBLANK(A1416), "Email",IF(ISNA(VLOOKUP(A1416,'Master List'!A:C,3,FALSE)), "Not Found", VLOOKUP(A1416,'Master List'!A:C,3,FALSE)))</f>
        <v>Email</v>
      </c>
      <c r="F1416" s="4" t="str">
        <f>IF(OR(A1416="",E1416="","",A1416="?",E1416="?"),"duplicate?",IF(COUNTIFS($A:A,A1416,E:E,E1416)&gt;1,"yes","no"))</f>
        <v>duplicate?</v>
      </c>
      <c r="K1416" s="97" t="str">
        <f ca="1">IF(J1416="","Date",IF(J1416&lt;&gt;"",IF(K1416="Date",NOW(),K1416),""))</f>
        <v>Date</v>
      </c>
    </row>
    <row r="1417" spans="2:11">
      <c r="B1417" s="97" t="str">
        <f ca="1">IF(A1417="","Date",IF(A1417&lt;&gt;"",IF(B1417="Date",NOW(),B1417),""))</f>
        <v>Date</v>
      </c>
      <c r="C1417" s="19" t="str">
        <f>IF(ISBLANK(A1417),"Name",IF(ISNA(VLOOKUP(A1417,'Master List'!A:C,2,FALSE)), "Not Found", VLOOKUP(A1417,'Master List'!A:C,2,FALSE)))</f>
        <v>Name</v>
      </c>
      <c r="D1417" s="19" t="str">
        <f>IF(ISBLANK(A1417), "Email",IF(ISNA(VLOOKUP(A1417,'Master List'!A:C,3,FALSE)), "Not Found", VLOOKUP(A1417,'Master List'!A:C,3,FALSE)))</f>
        <v>Email</v>
      </c>
      <c r="F1417" s="4" t="str">
        <f>IF(OR(A1417="",E1417="","",A1417="?",E1417="?"),"duplicate?",IF(COUNTIFS($A:A,A1417,E:E,E1417)&gt;1,"yes","no"))</f>
        <v>duplicate?</v>
      </c>
      <c r="K1417" s="97" t="str">
        <f ca="1">IF(J1417="","Date",IF(J1417&lt;&gt;"",IF(K1417="Date",NOW(),K1417),""))</f>
        <v>Date</v>
      </c>
    </row>
    <row r="1418" spans="2:11">
      <c r="B1418" s="97" t="str">
        <f ca="1">IF(A1418="","Date",IF(A1418&lt;&gt;"",IF(B1418="Date",NOW(),B1418),""))</f>
        <v>Date</v>
      </c>
      <c r="C1418" s="19" t="str">
        <f>IF(ISBLANK(A1418),"Name",IF(ISNA(VLOOKUP(A1418,'Master List'!A:C,2,FALSE)), "Not Found", VLOOKUP(A1418,'Master List'!A:C,2,FALSE)))</f>
        <v>Name</v>
      </c>
      <c r="D1418" s="19" t="str">
        <f>IF(ISBLANK(A1418), "Email",IF(ISNA(VLOOKUP(A1418,'Master List'!A:C,3,FALSE)), "Not Found", VLOOKUP(A1418,'Master List'!A:C,3,FALSE)))</f>
        <v>Email</v>
      </c>
      <c r="F1418" s="4" t="str">
        <f>IF(OR(A1418="",E1418="","",A1418="?",E1418="?"),"duplicate?",IF(COUNTIFS($A:A,A1418,E:E,E1418)&gt;1,"yes","no"))</f>
        <v>duplicate?</v>
      </c>
      <c r="K1418" s="97" t="str">
        <f ca="1">IF(J1418="","Date",IF(J1418&lt;&gt;"",IF(K1418="Date",NOW(),K1418),""))</f>
        <v>Date</v>
      </c>
    </row>
    <row r="1419" spans="2:11">
      <c r="B1419" s="97" t="str">
        <f ca="1">IF(A1419="","Date",IF(A1419&lt;&gt;"",IF(B1419="Date",NOW(),B1419),""))</f>
        <v>Date</v>
      </c>
      <c r="C1419" s="19" t="str">
        <f>IF(ISBLANK(A1419),"Name",IF(ISNA(VLOOKUP(A1419,'Master List'!A:C,2,FALSE)), "Not Found", VLOOKUP(A1419,'Master List'!A:C,2,FALSE)))</f>
        <v>Name</v>
      </c>
      <c r="D1419" s="19" t="str">
        <f>IF(ISBLANK(A1419), "Email",IF(ISNA(VLOOKUP(A1419,'Master List'!A:C,3,FALSE)), "Not Found", VLOOKUP(A1419,'Master List'!A:C,3,FALSE)))</f>
        <v>Email</v>
      </c>
      <c r="F1419" s="4" t="str">
        <f>IF(OR(A1419="",E1419="","",A1419="?",E1419="?"),"duplicate?",IF(COUNTIFS($A:A,A1419,E:E,E1419)&gt;1,"yes","no"))</f>
        <v>duplicate?</v>
      </c>
      <c r="K1419" s="97" t="str">
        <f ca="1">IF(J1419="","Date",IF(J1419&lt;&gt;"",IF(K1419="Date",NOW(),K1419),""))</f>
        <v>Date</v>
      </c>
    </row>
    <row r="1420" spans="2:11">
      <c r="B1420" s="97" t="str">
        <f ca="1">IF(A1420="","Date",IF(A1420&lt;&gt;"",IF(B1420="Date",NOW(),B1420),""))</f>
        <v>Date</v>
      </c>
      <c r="C1420" s="19" t="str">
        <f>IF(ISBLANK(A1420),"Name",IF(ISNA(VLOOKUP(A1420,'Master List'!A:C,2,FALSE)), "Not Found", VLOOKUP(A1420,'Master List'!A:C,2,FALSE)))</f>
        <v>Name</v>
      </c>
      <c r="D1420" s="19" t="str">
        <f>IF(ISBLANK(A1420), "Email",IF(ISNA(VLOOKUP(A1420,'Master List'!A:C,3,FALSE)), "Not Found", VLOOKUP(A1420,'Master List'!A:C,3,FALSE)))</f>
        <v>Email</v>
      </c>
      <c r="F1420" s="4" t="str">
        <f>IF(OR(A1420="",E1420="","",A1420="?",E1420="?"),"duplicate?",IF(COUNTIFS($A:A,A1420,E:E,E1420)&gt;1,"yes","no"))</f>
        <v>duplicate?</v>
      </c>
      <c r="K1420" s="97" t="str">
        <f ca="1">IF(J1420="","Date",IF(J1420&lt;&gt;"",IF(K1420="Date",NOW(),K1420),""))</f>
        <v>Date</v>
      </c>
    </row>
    <row r="1421" spans="2:11">
      <c r="B1421" s="97" t="str">
        <f ca="1">IF(A1421="","Date",IF(A1421&lt;&gt;"",IF(B1421="Date",NOW(),B1421),""))</f>
        <v>Date</v>
      </c>
      <c r="C1421" s="19" t="str">
        <f>IF(ISBLANK(A1421),"Name",IF(ISNA(VLOOKUP(A1421,'Master List'!A:C,2,FALSE)), "Not Found", VLOOKUP(A1421,'Master List'!A:C,2,FALSE)))</f>
        <v>Name</v>
      </c>
      <c r="D1421" s="19" t="str">
        <f>IF(ISBLANK(A1421), "Email",IF(ISNA(VLOOKUP(A1421,'Master List'!A:C,3,FALSE)), "Not Found", VLOOKUP(A1421,'Master List'!A:C,3,FALSE)))</f>
        <v>Email</v>
      </c>
      <c r="F1421" s="4" t="str">
        <f>IF(OR(A1421="",E1421="","",A1421="?",E1421="?"),"duplicate?",IF(COUNTIFS($A:A,A1421,E:E,E1421)&gt;1,"yes","no"))</f>
        <v>duplicate?</v>
      </c>
      <c r="K1421" s="97" t="str">
        <f ca="1">IF(J1421="","Date",IF(J1421&lt;&gt;"",IF(K1421="Date",NOW(),K1421),""))</f>
        <v>Date</v>
      </c>
    </row>
    <row r="1422" spans="2:11">
      <c r="B1422" s="97" t="str">
        <f ca="1">IF(A1422="","Date",IF(A1422&lt;&gt;"",IF(B1422="Date",NOW(),B1422),""))</f>
        <v>Date</v>
      </c>
      <c r="C1422" s="19" t="str">
        <f>IF(ISBLANK(A1422),"Name",IF(ISNA(VLOOKUP(A1422,'Master List'!A:C,2,FALSE)), "Not Found", VLOOKUP(A1422,'Master List'!A:C,2,FALSE)))</f>
        <v>Name</v>
      </c>
      <c r="D1422" s="19" t="str">
        <f>IF(ISBLANK(A1422), "Email",IF(ISNA(VLOOKUP(A1422,'Master List'!A:C,3,FALSE)), "Not Found", VLOOKUP(A1422,'Master List'!A:C,3,FALSE)))</f>
        <v>Email</v>
      </c>
      <c r="F1422" s="4" t="str">
        <f>IF(OR(A1422="",E1422="","",A1422="?",E1422="?"),"duplicate?",IF(COUNTIFS($A:A,A1422,E:E,E1422)&gt;1,"yes","no"))</f>
        <v>duplicate?</v>
      </c>
      <c r="K1422" s="97" t="str">
        <f ca="1">IF(J1422="","Date",IF(J1422&lt;&gt;"",IF(K1422="Date",NOW(),K1422),""))</f>
        <v>Date</v>
      </c>
    </row>
    <row r="1423" spans="2:11">
      <c r="B1423" s="97" t="str">
        <f ca="1">IF(A1423="","Date",IF(A1423&lt;&gt;"",IF(B1423="Date",NOW(),B1423),""))</f>
        <v>Date</v>
      </c>
      <c r="C1423" s="19" t="str">
        <f>IF(ISBLANK(A1423),"Name",IF(ISNA(VLOOKUP(A1423,'Master List'!A:C,2,FALSE)), "Not Found", VLOOKUP(A1423,'Master List'!A:C,2,FALSE)))</f>
        <v>Name</v>
      </c>
      <c r="D1423" s="19" t="str">
        <f>IF(ISBLANK(A1423), "Email",IF(ISNA(VLOOKUP(A1423,'Master List'!A:C,3,FALSE)), "Not Found", VLOOKUP(A1423,'Master List'!A:C,3,FALSE)))</f>
        <v>Email</v>
      </c>
      <c r="F1423" s="4" t="str">
        <f>IF(OR(A1423="",E1423="","",A1423="?",E1423="?"),"duplicate?",IF(COUNTIFS($A:A,A1423,E:E,E1423)&gt;1,"yes","no"))</f>
        <v>duplicate?</v>
      </c>
      <c r="K1423" s="97" t="str">
        <f ca="1">IF(J1423="","Date",IF(J1423&lt;&gt;"",IF(K1423="Date",NOW(),K1423),""))</f>
        <v>Date</v>
      </c>
    </row>
    <row r="1424" spans="2:11">
      <c r="B1424" s="97" t="str">
        <f ca="1">IF(A1424="","Date",IF(A1424&lt;&gt;"",IF(B1424="Date",NOW(),B1424),""))</f>
        <v>Date</v>
      </c>
      <c r="C1424" s="19" t="str">
        <f>IF(ISBLANK(A1424),"Name",IF(ISNA(VLOOKUP(A1424,'Master List'!A:C,2,FALSE)), "Not Found", VLOOKUP(A1424,'Master List'!A:C,2,FALSE)))</f>
        <v>Name</v>
      </c>
      <c r="D1424" s="19" t="str">
        <f>IF(ISBLANK(A1424), "Email",IF(ISNA(VLOOKUP(A1424,'Master List'!A:C,3,FALSE)), "Not Found", VLOOKUP(A1424,'Master List'!A:C,3,FALSE)))</f>
        <v>Email</v>
      </c>
      <c r="F1424" s="4" t="str">
        <f>IF(OR(A1424="",E1424="","",A1424="?",E1424="?"),"duplicate?",IF(COUNTIFS($A:A,A1424,E:E,E1424)&gt;1,"yes","no"))</f>
        <v>duplicate?</v>
      </c>
      <c r="K1424" s="97" t="str">
        <f ca="1">IF(J1424="","Date",IF(J1424&lt;&gt;"",IF(K1424="Date",NOW(),K1424),""))</f>
        <v>Date</v>
      </c>
    </row>
    <row r="1425" spans="2:11">
      <c r="B1425" s="97" t="str">
        <f ca="1">IF(A1425="","Date",IF(A1425&lt;&gt;"",IF(B1425="Date",NOW(),B1425),""))</f>
        <v>Date</v>
      </c>
      <c r="C1425" s="19" t="str">
        <f>IF(ISBLANK(A1425),"Name",IF(ISNA(VLOOKUP(A1425,'Master List'!A:C,2,FALSE)), "Not Found", VLOOKUP(A1425,'Master List'!A:C,2,FALSE)))</f>
        <v>Name</v>
      </c>
      <c r="D1425" s="19" t="str">
        <f>IF(ISBLANK(A1425), "Email",IF(ISNA(VLOOKUP(A1425,'Master List'!A:C,3,FALSE)), "Not Found", VLOOKUP(A1425,'Master List'!A:C,3,FALSE)))</f>
        <v>Email</v>
      </c>
      <c r="F1425" s="4" t="str">
        <f>IF(OR(A1425="",E1425="","",A1425="?",E1425="?"),"duplicate?",IF(COUNTIFS($A:A,A1425,E:E,E1425)&gt;1,"yes","no"))</f>
        <v>duplicate?</v>
      </c>
      <c r="K1425" s="97" t="str">
        <f ca="1">IF(J1425="","Date",IF(J1425&lt;&gt;"",IF(K1425="Date",NOW(),K1425),""))</f>
        <v>Date</v>
      </c>
    </row>
    <row r="1426" spans="2:11">
      <c r="B1426" s="97" t="str">
        <f ca="1">IF(A1426="","Date",IF(A1426&lt;&gt;"",IF(B1426="Date",NOW(),B1426),""))</f>
        <v>Date</v>
      </c>
      <c r="C1426" s="19" t="str">
        <f>IF(ISBLANK(A1426),"Name",IF(ISNA(VLOOKUP(A1426,'Master List'!A:C,2,FALSE)), "Not Found", VLOOKUP(A1426,'Master List'!A:C,2,FALSE)))</f>
        <v>Name</v>
      </c>
      <c r="D1426" s="19" t="str">
        <f>IF(ISBLANK(A1426), "Email",IF(ISNA(VLOOKUP(A1426,'Master List'!A:C,3,FALSE)), "Not Found", VLOOKUP(A1426,'Master List'!A:C,3,FALSE)))</f>
        <v>Email</v>
      </c>
      <c r="F1426" s="4" t="str">
        <f>IF(OR(A1426="",E1426="","",A1426="?",E1426="?"),"duplicate?",IF(COUNTIFS($A:A,A1426,E:E,E1426)&gt;1,"yes","no"))</f>
        <v>duplicate?</v>
      </c>
      <c r="K1426" s="97" t="str">
        <f ca="1">IF(J1426="","Date",IF(J1426&lt;&gt;"",IF(K1426="Date",NOW(),K1426),""))</f>
        <v>Date</v>
      </c>
    </row>
    <row r="1427" spans="2:11">
      <c r="B1427" s="97" t="str">
        <f ca="1">IF(A1427="","Date",IF(A1427&lt;&gt;"",IF(B1427="Date",NOW(),B1427),""))</f>
        <v>Date</v>
      </c>
      <c r="C1427" s="19" t="str">
        <f>IF(ISBLANK(A1427),"Name",IF(ISNA(VLOOKUP(A1427,'Master List'!A:C,2,FALSE)), "Not Found", VLOOKUP(A1427,'Master List'!A:C,2,FALSE)))</f>
        <v>Name</v>
      </c>
      <c r="D1427" s="19" t="str">
        <f>IF(ISBLANK(A1427), "Email",IF(ISNA(VLOOKUP(A1427,'Master List'!A:C,3,FALSE)), "Not Found", VLOOKUP(A1427,'Master List'!A:C,3,FALSE)))</f>
        <v>Email</v>
      </c>
      <c r="F1427" s="4" t="str">
        <f>IF(OR(A1427="",E1427="","",A1427="?",E1427="?"),"duplicate?",IF(COUNTIFS($A:A,A1427,E:E,E1427)&gt;1,"yes","no"))</f>
        <v>duplicate?</v>
      </c>
      <c r="K1427" s="97" t="str">
        <f ca="1">IF(J1427="","Date",IF(J1427&lt;&gt;"",IF(K1427="Date",NOW(),K1427),""))</f>
        <v>Date</v>
      </c>
    </row>
    <row r="1428" spans="2:11">
      <c r="B1428" s="97" t="str">
        <f ca="1">IF(A1428="","Date",IF(A1428&lt;&gt;"",IF(B1428="Date",NOW(),B1428),""))</f>
        <v>Date</v>
      </c>
      <c r="C1428" s="19" t="str">
        <f>IF(ISBLANK(A1428),"Name",IF(ISNA(VLOOKUP(A1428,'Master List'!A:C,2,FALSE)), "Not Found", VLOOKUP(A1428,'Master List'!A:C,2,FALSE)))</f>
        <v>Name</v>
      </c>
      <c r="D1428" s="19" t="str">
        <f>IF(ISBLANK(A1428), "Email",IF(ISNA(VLOOKUP(A1428,'Master List'!A:C,3,FALSE)), "Not Found", VLOOKUP(A1428,'Master List'!A:C,3,FALSE)))</f>
        <v>Email</v>
      </c>
      <c r="F1428" s="4" t="str">
        <f>IF(OR(A1428="",E1428="","",A1428="?",E1428="?"),"duplicate?",IF(COUNTIFS($A:A,A1428,E:E,E1428)&gt;1,"yes","no"))</f>
        <v>duplicate?</v>
      </c>
      <c r="K1428" s="97" t="str">
        <f ca="1">IF(J1428="","Date",IF(J1428&lt;&gt;"",IF(K1428="Date",NOW(),K1428),""))</f>
        <v>Date</v>
      </c>
    </row>
    <row r="1429" spans="2:11">
      <c r="B1429" s="97" t="str">
        <f ca="1">IF(A1429="","Date",IF(A1429&lt;&gt;"",IF(B1429="Date",NOW(),B1429),""))</f>
        <v>Date</v>
      </c>
      <c r="C1429" s="19" t="str">
        <f>IF(ISBLANK(A1429),"Name",IF(ISNA(VLOOKUP(A1429,'Master List'!A:C,2,FALSE)), "Not Found", VLOOKUP(A1429,'Master List'!A:C,2,FALSE)))</f>
        <v>Name</v>
      </c>
      <c r="D1429" s="19" t="str">
        <f>IF(ISBLANK(A1429), "Email",IF(ISNA(VLOOKUP(A1429,'Master List'!A:C,3,FALSE)), "Not Found", VLOOKUP(A1429,'Master List'!A:C,3,FALSE)))</f>
        <v>Email</v>
      </c>
      <c r="F1429" s="4" t="str">
        <f>IF(OR(A1429="",E1429="","",A1429="?",E1429="?"),"duplicate?",IF(COUNTIFS($A:A,A1429,E:E,E1429)&gt;1,"yes","no"))</f>
        <v>duplicate?</v>
      </c>
      <c r="K1429" s="97" t="str">
        <f ca="1">IF(J1429="","Date",IF(J1429&lt;&gt;"",IF(K1429="Date",NOW(),K1429),""))</f>
        <v>Date</v>
      </c>
    </row>
    <row r="1430" spans="2:11">
      <c r="B1430" s="97" t="str">
        <f ca="1">IF(A1430="","Date",IF(A1430&lt;&gt;"",IF(B1430="Date",NOW(),B1430),""))</f>
        <v>Date</v>
      </c>
      <c r="C1430" s="19" t="str">
        <f>IF(ISBLANK(A1430),"Name",IF(ISNA(VLOOKUP(A1430,'Master List'!A:C,2,FALSE)), "Not Found", VLOOKUP(A1430,'Master List'!A:C,2,FALSE)))</f>
        <v>Name</v>
      </c>
      <c r="D1430" s="19" t="str">
        <f>IF(ISBLANK(A1430), "Email",IF(ISNA(VLOOKUP(A1430,'Master List'!A:C,3,FALSE)), "Not Found", VLOOKUP(A1430,'Master List'!A:C,3,FALSE)))</f>
        <v>Email</v>
      </c>
      <c r="F1430" s="4" t="str">
        <f>IF(OR(A1430="",E1430="","",A1430="?",E1430="?"),"duplicate?",IF(COUNTIFS($A:A,A1430,E:E,E1430)&gt;1,"yes","no"))</f>
        <v>duplicate?</v>
      </c>
      <c r="K1430" s="97" t="str">
        <f ca="1">IF(J1430="","Date",IF(J1430&lt;&gt;"",IF(K1430="Date",NOW(),K1430),""))</f>
        <v>Date</v>
      </c>
    </row>
    <row r="1431" spans="2:11">
      <c r="B1431" s="97" t="str">
        <f ca="1">IF(A1431="","Date",IF(A1431&lt;&gt;"",IF(B1431="Date",NOW(),B1431),""))</f>
        <v>Date</v>
      </c>
      <c r="C1431" s="19" t="str">
        <f>IF(ISBLANK(A1431),"Name",IF(ISNA(VLOOKUP(A1431,'Master List'!A:C,2,FALSE)), "Not Found", VLOOKUP(A1431,'Master List'!A:C,2,FALSE)))</f>
        <v>Name</v>
      </c>
      <c r="D1431" s="19" t="str">
        <f>IF(ISBLANK(A1431), "Email",IF(ISNA(VLOOKUP(A1431,'Master List'!A:C,3,FALSE)), "Not Found", VLOOKUP(A1431,'Master List'!A:C,3,FALSE)))</f>
        <v>Email</v>
      </c>
      <c r="F1431" s="4" t="str">
        <f>IF(OR(A1431="",E1431="","",A1431="?",E1431="?"),"duplicate?",IF(COUNTIFS($A:A,A1431,E:E,E1431)&gt;1,"yes","no"))</f>
        <v>duplicate?</v>
      </c>
      <c r="K1431" s="97" t="str">
        <f ca="1">IF(J1431="","Date",IF(J1431&lt;&gt;"",IF(K1431="Date",NOW(),K1431),""))</f>
        <v>Date</v>
      </c>
    </row>
    <row r="1432" spans="2:11">
      <c r="B1432" s="97" t="str">
        <f ca="1">IF(A1432="","Date",IF(A1432&lt;&gt;"",IF(B1432="Date",NOW(),B1432),""))</f>
        <v>Date</v>
      </c>
      <c r="C1432" s="19" t="str">
        <f>IF(ISBLANK(A1432),"Name",IF(ISNA(VLOOKUP(A1432,'Master List'!A:C,2,FALSE)), "Not Found", VLOOKUP(A1432,'Master List'!A:C,2,FALSE)))</f>
        <v>Name</v>
      </c>
      <c r="D1432" s="19" t="str">
        <f>IF(ISBLANK(A1432), "Email",IF(ISNA(VLOOKUP(A1432,'Master List'!A:C,3,FALSE)), "Not Found", VLOOKUP(A1432,'Master List'!A:C,3,FALSE)))</f>
        <v>Email</v>
      </c>
      <c r="F1432" s="4" t="str">
        <f>IF(OR(A1432="",E1432="","",A1432="?",E1432="?"),"duplicate?",IF(COUNTIFS($A:A,A1432,E:E,E1432)&gt;1,"yes","no"))</f>
        <v>duplicate?</v>
      </c>
      <c r="K1432" s="97" t="str">
        <f ca="1">IF(J1432="","Date",IF(J1432&lt;&gt;"",IF(K1432="Date",NOW(),K1432),""))</f>
        <v>Date</v>
      </c>
    </row>
    <row r="1433" spans="2:11">
      <c r="B1433" s="97" t="str">
        <f ca="1">IF(A1433="","Date",IF(A1433&lt;&gt;"",IF(B1433="Date",NOW(),B1433),""))</f>
        <v>Date</v>
      </c>
      <c r="C1433" s="19" t="str">
        <f>IF(ISBLANK(A1433),"Name",IF(ISNA(VLOOKUP(A1433,'Master List'!A:C,2,FALSE)), "Not Found", VLOOKUP(A1433,'Master List'!A:C,2,FALSE)))</f>
        <v>Name</v>
      </c>
      <c r="D1433" s="19" t="str">
        <f>IF(ISBLANK(A1433), "Email",IF(ISNA(VLOOKUP(A1433,'Master List'!A:C,3,FALSE)), "Not Found", VLOOKUP(A1433,'Master List'!A:C,3,FALSE)))</f>
        <v>Email</v>
      </c>
      <c r="F1433" s="4" t="str">
        <f>IF(OR(A1433="",E1433="","",A1433="?",E1433="?"),"duplicate?",IF(COUNTIFS($A:A,A1433,E:E,E1433)&gt;1,"yes","no"))</f>
        <v>duplicate?</v>
      </c>
      <c r="K1433" s="97" t="str">
        <f ca="1">IF(J1433="","Date",IF(J1433&lt;&gt;"",IF(K1433="Date",NOW(),K1433),""))</f>
        <v>Date</v>
      </c>
    </row>
    <row r="1434" spans="2:11">
      <c r="B1434" s="97" t="str">
        <f ca="1">IF(A1434="","Date",IF(A1434&lt;&gt;"",IF(B1434="Date",NOW(),B1434),""))</f>
        <v>Date</v>
      </c>
      <c r="C1434" s="19" t="str">
        <f>IF(ISBLANK(A1434),"Name",IF(ISNA(VLOOKUP(A1434,'Master List'!A:C,2,FALSE)), "Not Found", VLOOKUP(A1434,'Master List'!A:C,2,FALSE)))</f>
        <v>Name</v>
      </c>
      <c r="D1434" s="19" t="str">
        <f>IF(ISBLANK(A1434), "Email",IF(ISNA(VLOOKUP(A1434,'Master List'!A:C,3,FALSE)), "Not Found", VLOOKUP(A1434,'Master List'!A:C,3,FALSE)))</f>
        <v>Email</v>
      </c>
      <c r="F1434" s="4" t="str">
        <f>IF(OR(A1434="",E1434="","",A1434="?",E1434="?"),"duplicate?",IF(COUNTIFS($A:A,A1434,E:E,E1434)&gt;1,"yes","no"))</f>
        <v>duplicate?</v>
      </c>
      <c r="K1434" s="97" t="str">
        <f ca="1">IF(J1434="","Date",IF(J1434&lt;&gt;"",IF(K1434="Date",NOW(),K1434),""))</f>
        <v>Date</v>
      </c>
    </row>
    <row r="1435" spans="2:11">
      <c r="B1435" s="97" t="str">
        <f ca="1">IF(A1435="","Date",IF(A1435&lt;&gt;"",IF(B1435="Date",NOW(),B1435),""))</f>
        <v>Date</v>
      </c>
      <c r="C1435" s="19" t="str">
        <f>IF(ISBLANK(A1435),"Name",IF(ISNA(VLOOKUP(A1435,'Master List'!A:C,2,FALSE)), "Not Found", VLOOKUP(A1435,'Master List'!A:C,2,FALSE)))</f>
        <v>Name</v>
      </c>
      <c r="D1435" s="19" t="str">
        <f>IF(ISBLANK(A1435), "Email",IF(ISNA(VLOOKUP(A1435,'Master List'!A:C,3,FALSE)), "Not Found", VLOOKUP(A1435,'Master List'!A:C,3,FALSE)))</f>
        <v>Email</v>
      </c>
      <c r="F1435" s="4" t="str">
        <f>IF(OR(A1435="",E1435="","",A1435="?",E1435="?"),"duplicate?",IF(COUNTIFS($A:A,A1435,E:E,E1435)&gt;1,"yes","no"))</f>
        <v>duplicate?</v>
      </c>
      <c r="K1435" s="97" t="str">
        <f ca="1">IF(J1435="","Date",IF(J1435&lt;&gt;"",IF(K1435="Date",NOW(),K1435),""))</f>
        <v>Date</v>
      </c>
    </row>
    <row r="1436" spans="2:11">
      <c r="B1436" s="97" t="str">
        <f ca="1">IF(A1436="","Date",IF(A1436&lt;&gt;"",IF(B1436="Date",NOW(),B1436),""))</f>
        <v>Date</v>
      </c>
      <c r="C1436" s="19" t="str">
        <f>IF(ISBLANK(A1436),"Name",IF(ISNA(VLOOKUP(A1436,'Master List'!A:C,2,FALSE)), "Not Found", VLOOKUP(A1436,'Master List'!A:C,2,FALSE)))</f>
        <v>Name</v>
      </c>
      <c r="D1436" s="19" t="str">
        <f>IF(ISBLANK(A1436), "Email",IF(ISNA(VLOOKUP(A1436,'Master List'!A:C,3,FALSE)), "Not Found", VLOOKUP(A1436,'Master List'!A:C,3,FALSE)))</f>
        <v>Email</v>
      </c>
      <c r="F1436" s="4" t="str">
        <f>IF(OR(A1436="",E1436="","",A1436="?",E1436="?"),"duplicate?",IF(COUNTIFS($A:A,A1436,E:E,E1436)&gt;1,"yes","no"))</f>
        <v>duplicate?</v>
      </c>
      <c r="K1436" s="97" t="str">
        <f ca="1">IF(J1436="","Date",IF(J1436&lt;&gt;"",IF(K1436="Date",NOW(),K1436),""))</f>
        <v>Date</v>
      </c>
    </row>
    <row r="1437" spans="2:11">
      <c r="B1437" s="97" t="str">
        <f ca="1">IF(A1437="","Date",IF(A1437&lt;&gt;"",IF(B1437="Date",NOW(),B1437),""))</f>
        <v>Date</v>
      </c>
      <c r="C1437" s="19" t="str">
        <f>IF(ISBLANK(A1437),"Name",IF(ISNA(VLOOKUP(A1437,'Master List'!A:C,2,FALSE)), "Not Found", VLOOKUP(A1437,'Master List'!A:C,2,FALSE)))</f>
        <v>Name</v>
      </c>
      <c r="D1437" s="19" t="str">
        <f>IF(ISBLANK(A1437), "Email",IF(ISNA(VLOOKUP(A1437,'Master List'!A:C,3,FALSE)), "Not Found", VLOOKUP(A1437,'Master List'!A:C,3,FALSE)))</f>
        <v>Email</v>
      </c>
      <c r="F1437" s="4" t="str">
        <f>IF(OR(A1437="",E1437="","",A1437="?",E1437="?"),"duplicate?",IF(COUNTIFS($A:A,A1437,E:E,E1437)&gt;1,"yes","no"))</f>
        <v>duplicate?</v>
      </c>
      <c r="K1437" s="97" t="str">
        <f ca="1">IF(J1437="","Date",IF(J1437&lt;&gt;"",IF(K1437="Date",NOW(),K1437),""))</f>
        <v>Date</v>
      </c>
    </row>
    <row r="1438" spans="2:11">
      <c r="B1438" s="97" t="str">
        <f ca="1">IF(A1438="","Date",IF(A1438&lt;&gt;"",IF(B1438="Date",NOW(),B1438),""))</f>
        <v>Date</v>
      </c>
      <c r="C1438" s="19" t="str">
        <f>IF(ISBLANK(A1438),"Name",IF(ISNA(VLOOKUP(A1438,'Master List'!A:C,2,FALSE)), "Not Found", VLOOKUP(A1438,'Master List'!A:C,2,FALSE)))</f>
        <v>Name</v>
      </c>
      <c r="D1438" s="19" t="str">
        <f>IF(ISBLANK(A1438), "Email",IF(ISNA(VLOOKUP(A1438,'Master List'!A:C,3,FALSE)), "Not Found", VLOOKUP(A1438,'Master List'!A:C,3,FALSE)))</f>
        <v>Email</v>
      </c>
      <c r="F1438" s="4" t="str">
        <f>IF(OR(A1438="",E1438="","",A1438="?",E1438="?"),"duplicate?",IF(COUNTIFS($A:A,A1438,E:E,E1438)&gt;1,"yes","no"))</f>
        <v>duplicate?</v>
      </c>
      <c r="K1438" s="97" t="str">
        <f ca="1">IF(J1438="","Date",IF(J1438&lt;&gt;"",IF(K1438="Date",NOW(),K1438),""))</f>
        <v>Date</v>
      </c>
    </row>
    <row r="1439" spans="2:11">
      <c r="B1439" s="97" t="str">
        <f ca="1">IF(A1439="","Date",IF(A1439&lt;&gt;"",IF(B1439="Date",NOW(),B1439),""))</f>
        <v>Date</v>
      </c>
      <c r="C1439" s="19" t="str">
        <f>IF(ISBLANK(A1439),"Name",IF(ISNA(VLOOKUP(A1439,'Master List'!A:C,2,FALSE)), "Not Found", VLOOKUP(A1439,'Master List'!A:C,2,FALSE)))</f>
        <v>Name</v>
      </c>
      <c r="D1439" s="19" t="str">
        <f>IF(ISBLANK(A1439), "Email",IF(ISNA(VLOOKUP(A1439,'Master List'!A:C,3,FALSE)), "Not Found", VLOOKUP(A1439,'Master List'!A:C,3,FALSE)))</f>
        <v>Email</v>
      </c>
      <c r="F1439" s="4" t="str">
        <f>IF(OR(A1439="",E1439="","",A1439="?",E1439="?"),"duplicate?",IF(COUNTIFS($A:A,A1439,E:E,E1439)&gt;1,"yes","no"))</f>
        <v>duplicate?</v>
      </c>
      <c r="K1439" s="97" t="str">
        <f ca="1">IF(J1439="","Date",IF(J1439&lt;&gt;"",IF(K1439="Date",NOW(),K1439),""))</f>
        <v>Date</v>
      </c>
    </row>
    <row r="1440" spans="2:11">
      <c r="B1440" s="97" t="str">
        <f ca="1">IF(A1440="","Date",IF(A1440&lt;&gt;"",IF(B1440="Date",NOW(),B1440),""))</f>
        <v>Date</v>
      </c>
      <c r="C1440" s="19" t="str">
        <f>IF(ISBLANK(A1440),"Name",IF(ISNA(VLOOKUP(A1440,'Master List'!A:C,2,FALSE)), "Not Found", VLOOKUP(A1440,'Master List'!A:C,2,FALSE)))</f>
        <v>Name</v>
      </c>
      <c r="D1440" s="19" t="str">
        <f>IF(ISBLANK(A1440), "Email",IF(ISNA(VLOOKUP(A1440,'Master List'!A:C,3,FALSE)), "Not Found", VLOOKUP(A1440,'Master List'!A:C,3,FALSE)))</f>
        <v>Email</v>
      </c>
      <c r="F1440" s="4" t="str">
        <f>IF(OR(A1440="",E1440="","",A1440="?",E1440="?"),"duplicate?",IF(COUNTIFS($A:A,A1440,E:E,E1440)&gt;1,"yes","no"))</f>
        <v>duplicate?</v>
      </c>
      <c r="K1440" s="97" t="str">
        <f ca="1">IF(J1440="","Date",IF(J1440&lt;&gt;"",IF(K1440="Date",NOW(),K1440),""))</f>
        <v>Date</v>
      </c>
    </row>
    <row r="1441" spans="2:11">
      <c r="B1441" s="97" t="str">
        <f ca="1">IF(A1441="","Date",IF(A1441&lt;&gt;"",IF(B1441="Date",NOW(),B1441),""))</f>
        <v>Date</v>
      </c>
      <c r="C1441" s="19" t="str">
        <f>IF(ISBLANK(A1441),"Name",IF(ISNA(VLOOKUP(A1441,'Master List'!A:C,2,FALSE)), "Not Found", VLOOKUP(A1441,'Master List'!A:C,2,FALSE)))</f>
        <v>Name</v>
      </c>
      <c r="D1441" s="19" t="str">
        <f>IF(ISBLANK(A1441), "Email",IF(ISNA(VLOOKUP(A1441,'Master List'!A:C,3,FALSE)), "Not Found", VLOOKUP(A1441,'Master List'!A:C,3,FALSE)))</f>
        <v>Email</v>
      </c>
      <c r="F1441" s="4" t="str">
        <f>IF(OR(A1441="",E1441="","",A1441="?",E1441="?"),"duplicate?",IF(COUNTIFS($A:A,A1441,E:E,E1441)&gt;1,"yes","no"))</f>
        <v>duplicate?</v>
      </c>
      <c r="K1441" s="97" t="str">
        <f ca="1">IF(J1441="","Date",IF(J1441&lt;&gt;"",IF(K1441="Date",NOW(),K1441),""))</f>
        <v>Date</v>
      </c>
    </row>
    <row r="1442" spans="2:11">
      <c r="B1442" s="97" t="str">
        <f ca="1">IF(A1442="","Date",IF(A1442&lt;&gt;"",IF(B1442="Date",NOW(),B1442),""))</f>
        <v>Date</v>
      </c>
      <c r="C1442" s="19" t="str">
        <f>IF(ISBLANK(A1442),"Name",IF(ISNA(VLOOKUP(A1442,'Master List'!A:C,2,FALSE)), "Not Found", VLOOKUP(A1442,'Master List'!A:C,2,FALSE)))</f>
        <v>Name</v>
      </c>
      <c r="D1442" s="19" t="str">
        <f>IF(ISBLANK(A1442), "Email",IF(ISNA(VLOOKUP(A1442,'Master List'!A:C,3,FALSE)), "Not Found", VLOOKUP(A1442,'Master List'!A:C,3,FALSE)))</f>
        <v>Email</v>
      </c>
      <c r="F1442" s="4" t="str">
        <f>IF(OR(A1442="",E1442="","",A1442="?",E1442="?"),"duplicate?",IF(COUNTIFS($A:A,A1442,E:E,E1442)&gt;1,"yes","no"))</f>
        <v>duplicate?</v>
      </c>
      <c r="K1442" s="97" t="str">
        <f ca="1">IF(J1442="","Date",IF(J1442&lt;&gt;"",IF(K1442="Date",NOW(),K1442),""))</f>
        <v>Date</v>
      </c>
    </row>
    <row r="1443" spans="2:11">
      <c r="B1443" s="97" t="str">
        <f ca="1">IF(A1443="","Date",IF(A1443&lt;&gt;"",IF(B1443="Date",NOW(),B1443),""))</f>
        <v>Date</v>
      </c>
      <c r="C1443" s="19" t="str">
        <f>IF(ISBLANK(A1443),"Name",IF(ISNA(VLOOKUP(A1443,'Master List'!A:C,2,FALSE)), "Not Found", VLOOKUP(A1443,'Master List'!A:C,2,FALSE)))</f>
        <v>Name</v>
      </c>
      <c r="D1443" s="19" t="str">
        <f>IF(ISBLANK(A1443), "Email",IF(ISNA(VLOOKUP(A1443,'Master List'!A:C,3,FALSE)), "Not Found", VLOOKUP(A1443,'Master List'!A:C,3,FALSE)))</f>
        <v>Email</v>
      </c>
      <c r="F1443" s="4" t="str">
        <f>IF(OR(A1443="",E1443="","",A1443="?",E1443="?"),"duplicate?",IF(COUNTIFS($A:A,A1443,E:E,E1443)&gt;1,"yes","no"))</f>
        <v>duplicate?</v>
      </c>
      <c r="K1443" s="97" t="str">
        <f ca="1">IF(J1443="","Date",IF(J1443&lt;&gt;"",IF(K1443="Date",NOW(),K1443),""))</f>
        <v>Date</v>
      </c>
    </row>
    <row r="1444" spans="2:11">
      <c r="B1444" s="97" t="str">
        <f ca="1">IF(A1444="","Date",IF(A1444&lt;&gt;"",IF(B1444="Date",NOW(),B1444),""))</f>
        <v>Date</v>
      </c>
      <c r="C1444" s="19" t="str">
        <f>IF(ISBLANK(A1444),"Name",IF(ISNA(VLOOKUP(A1444,'Master List'!A:C,2,FALSE)), "Not Found", VLOOKUP(A1444,'Master List'!A:C,2,FALSE)))</f>
        <v>Name</v>
      </c>
      <c r="D1444" s="19" t="str">
        <f>IF(ISBLANK(A1444), "Email",IF(ISNA(VLOOKUP(A1444,'Master List'!A:C,3,FALSE)), "Not Found", VLOOKUP(A1444,'Master List'!A:C,3,FALSE)))</f>
        <v>Email</v>
      </c>
      <c r="F1444" s="4" t="str">
        <f>IF(OR(A1444="",E1444="","",A1444="?",E1444="?"),"duplicate?",IF(COUNTIFS($A:A,A1444,E:E,E1444)&gt;1,"yes","no"))</f>
        <v>duplicate?</v>
      </c>
      <c r="K1444" s="97" t="str">
        <f ca="1">IF(J1444="","Date",IF(J1444&lt;&gt;"",IF(K1444="Date",NOW(),K1444),""))</f>
        <v>Date</v>
      </c>
    </row>
    <row r="1445" spans="2:11">
      <c r="B1445" s="97" t="str">
        <f ca="1">IF(A1445="","Date",IF(A1445&lt;&gt;"",IF(B1445="Date",NOW(),B1445),""))</f>
        <v>Date</v>
      </c>
      <c r="C1445" s="19" t="str">
        <f>IF(ISBLANK(A1445),"Name",IF(ISNA(VLOOKUP(A1445,'Master List'!A:C,2,FALSE)), "Not Found", VLOOKUP(A1445,'Master List'!A:C,2,FALSE)))</f>
        <v>Name</v>
      </c>
      <c r="D1445" s="19" t="str">
        <f>IF(ISBLANK(A1445), "Email",IF(ISNA(VLOOKUP(A1445,'Master List'!A:C,3,FALSE)), "Not Found", VLOOKUP(A1445,'Master List'!A:C,3,FALSE)))</f>
        <v>Email</v>
      </c>
      <c r="F1445" s="4" t="str">
        <f>IF(OR(A1445="",E1445="","",A1445="?",E1445="?"),"duplicate?",IF(COUNTIFS($A:A,A1445,E:E,E1445)&gt;1,"yes","no"))</f>
        <v>duplicate?</v>
      </c>
      <c r="K1445" s="97" t="str">
        <f ca="1">IF(J1445="","Date",IF(J1445&lt;&gt;"",IF(K1445="Date",NOW(),K1445),""))</f>
        <v>Date</v>
      </c>
    </row>
    <row r="1446" spans="2:11">
      <c r="B1446" s="97" t="str">
        <f ca="1">IF(A1446="","Date",IF(A1446&lt;&gt;"",IF(B1446="Date",NOW(),B1446),""))</f>
        <v>Date</v>
      </c>
      <c r="C1446" s="19" t="str">
        <f>IF(ISBLANK(A1446),"Name",IF(ISNA(VLOOKUP(A1446,'Master List'!A:C,2,FALSE)), "Not Found", VLOOKUP(A1446,'Master List'!A:C,2,FALSE)))</f>
        <v>Name</v>
      </c>
      <c r="D1446" s="19" t="str">
        <f>IF(ISBLANK(A1446), "Email",IF(ISNA(VLOOKUP(A1446,'Master List'!A:C,3,FALSE)), "Not Found", VLOOKUP(A1446,'Master List'!A:C,3,FALSE)))</f>
        <v>Email</v>
      </c>
      <c r="F1446" s="4" t="str">
        <f>IF(OR(A1446="",E1446="","",A1446="?",E1446="?"),"duplicate?",IF(COUNTIFS($A:A,A1446,E:E,E1446)&gt;1,"yes","no"))</f>
        <v>duplicate?</v>
      </c>
      <c r="K1446" s="97" t="str">
        <f ca="1">IF(J1446="","Date",IF(J1446&lt;&gt;"",IF(K1446="Date",NOW(),K1446),""))</f>
        <v>Date</v>
      </c>
    </row>
    <row r="1447" spans="2:11">
      <c r="B1447" s="97" t="str">
        <f ca="1">IF(A1447="","Date",IF(A1447&lt;&gt;"",IF(B1447="Date",NOW(),B1447),""))</f>
        <v>Date</v>
      </c>
      <c r="C1447" s="19" t="str">
        <f>IF(ISBLANK(A1447),"Name",IF(ISNA(VLOOKUP(A1447,'Master List'!A:C,2,FALSE)), "Not Found", VLOOKUP(A1447,'Master List'!A:C,2,FALSE)))</f>
        <v>Name</v>
      </c>
      <c r="D1447" s="19" t="str">
        <f>IF(ISBLANK(A1447), "Email",IF(ISNA(VLOOKUP(A1447,'Master List'!A:C,3,FALSE)), "Not Found", VLOOKUP(A1447,'Master List'!A:C,3,FALSE)))</f>
        <v>Email</v>
      </c>
      <c r="F1447" s="4" t="str">
        <f>IF(OR(A1447="",E1447="","",A1447="?",E1447="?"),"duplicate?",IF(COUNTIFS($A:A,A1447,E:E,E1447)&gt;1,"yes","no"))</f>
        <v>duplicate?</v>
      </c>
      <c r="K1447" s="97" t="str">
        <f ca="1">IF(J1447="","Date",IF(J1447&lt;&gt;"",IF(K1447="Date",NOW(),K1447),""))</f>
        <v>Date</v>
      </c>
    </row>
    <row r="1448" spans="2:11">
      <c r="B1448" s="97" t="str">
        <f ca="1">IF(A1448="","Date",IF(A1448&lt;&gt;"",IF(B1448="Date",NOW(),B1448),""))</f>
        <v>Date</v>
      </c>
      <c r="C1448" s="19" t="str">
        <f>IF(ISBLANK(A1448),"Name",IF(ISNA(VLOOKUP(A1448,'Master List'!A:C,2,FALSE)), "Not Found", VLOOKUP(A1448,'Master List'!A:C,2,FALSE)))</f>
        <v>Name</v>
      </c>
      <c r="D1448" s="19" t="str">
        <f>IF(ISBLANK(A1448), "Email",IF(ISNA(VLOOKUP(A1448,'Master List'!A:C,3,FALSE)), "Not Found", VLOOKUP(A1448,'Master List'!A:C,3,FALSE)))</f>
        <v>Email</v>
      </c>
      <c r="F1448" s="4" t="str">
        <f>IF(OR(A1448="",E1448="","",A1448="?",E1448="?"),"duplicate?",IF(COUNTIFS($A:A,A1448,E:E,E1448)&gt;1,"yes","no"))</f>
        <v>duplicate?</v>
      </c>
      <c r="K1448" s="97" t="str">
        <f ca="1">IF(J1448="","Date",IF(J1448&lt;&gt;"",IF(K1448="Date",NOW(),K1448),""))</f>
        <v>Date</v>
      </c>
    </row>
    <row r="1449" spans="2:11">
      <c r="B1449" s="97" t="str">
        <f ca="1">IF(A1449="","Date",IF(A1449&lt;&gt;"",IF(B1449="Date",NOW(),B1449),""))</f>
        <v>Date</v>
      </c>
      <c r="C1449" s="19" t="str">
        <f>IF(ISBLANK(A1449),"Name",IF(ISNA(VLOOKUP(A1449,'Master List'!A:C,2,FALSE)), "Not Found", VLOOKUP(A1449,'Master List'!A:C,2,FALSE)))</f>
        <v>Name</v>
      </c>
      <c r="D1449" s="19" t="str">
        <f>IF(ISBLANK(A1449), "Email",IF(ISNA(VLOOKUP(A1449,'Master List'!A:C,3,FALSE)), "Not Found", VLOOKUP(A1449,'Master List'!A:C,3,FALSE)))</f>
        <v>Email</v>
      </c>
      <c r="F1449" s="4" t="str">
        <f>IF(OR(A1449="",E1449="","",A1449="?",E1449="?"),"duplicate?",IF(COUNTIFS($A:A,A1449,E:E,E1449)&gt;1,"yes","no"))</f>
        <v>duplicate?</v>
      </c>
      <c r="K1449" s="97" t="str">
        <f ca="1">IF(J1449="","Date",IF(J1449&lt;&gt;"",IF(K1449="Date",NOW(),K1449),""))</f>
        <v>Date</v>
      </c>
    </row>
    <row r="1450" spans="2:11">
      <c r="B1450" s="97" t="str">
        <f ca="1">IF(A1450="","Date",IF(A1450&lt;&gt;"",IF(B1450="Date",NOW(),B1450),""))</f>
        <v>Date</v>
      </c>
      <c r="C1450" s="19" t="str">
        <f>IF(ISBLANK(A1450),"Name",IF(ISNA(VLOOKUP(A1450,'Master List'!A:C,2,FALSE)), "Not Found", VLOOKUP(A1450,'Master List'!A:C,2,FALSE)))</f>
        <v>Name</v>
      </c>
      <c r="D1450" s="19" t="str">
        <f>IF(ISBLANK(A1450), "Email",IF(ISNA(VLOOKUP(A1450,'Master List'!A:C,3,FALSE)), "Not Found", VLOOKUP(A1450,'Master List'!A:C,3,FALSE)))</f>
        <v>Email</v>
      </c>
      <c r="F1450" s="4" t="str">
        <f>IF(OR(A1450="",E1450="","",A1450="?",E1450="?"),"duplicate?",IF(COUNTIFS($A:A,A1450,E:E,E1450)&gt;1,"yes","no"))</f>
        <v>duplicate?</v>
      </c>
      <c r="K1450" s="97" t="str">
        <f ca="1">IF(J1450="","Date",IF(J1450&lt;&gt;"",IF(K1450="Date",NOW(),K1450),""))</f>
        <v>Date</v>
      </c>
    </row>
    <row r="1451" spans="2:11">
      <c r="B1451" s="97" t="str">
        <f ca="1">IF(A1451="","Date",IF(A1451&lt;&gt;"",IF(B1451="Date",NOW(),B1451),""))</f>
        <v>Date</v>
      </c>
      <c r="C1451" s="19" t="str">
        <f>IF(ISBLANK(A1451),"Name",IF(ISNA(VLOOKUP(A1451,'Master List'!A:C,2,FALSE)), "Not Found", VLOOKUP(A1451,'Master List'!A:C,2,FALSE)))</f>
        <v>Name</v>
      </c>
      <c r="D1451" s="19" t="str">
        <f>IF(ISBLANK(A1451), "Email",IF(ISNA(VLOOKUP(A1451,'Master List'!A:C,3,FALSE)), "Not Found", VLOOKUP(A1451,'Master List'!A:C,3,FALSE)))</f>
        <v>Email</v>
      </c>
      <c r="F1451" s="4" t="str">
        <f>IF(OR(A1451="",E1451="","",A1451="?",E1451="?"),"duplicate?",IF(COUNTIFS($A:A,A1451,E:E,E1451)&gt;1,"yes","no"))</f>
        <v>duplicate?</v>
      </c>
      <c r="K1451" s="97" t="str">
        <f ca="1">IF(J1451="","Date",IF(J1451&lt;&gt;"",IF(K1451="Date",NOW(),K1451),""))</f>
        <v>Date</v>
      </c>
    </row>
    <row r="1452" spans="2:11">
      <c r="B1452" s="97" t="str">
        <f ca="1">IF(A1452="","Date",IF(A1452&lt;&gt;"",IF(B1452="Date",NOW(),B1452),""))</f>
        <v>Date</v>
      </c>
      <c r="C1452" s="19" t="str">
        <f>IF(ISBLANK(A1452),"Name",IF(ISNA(VLOOKUP(A1452,'Master List'!A:C,2,FALSE)), "Not Found", VLOOKUP(A1452,'Master List'!A:C,2,FALSE)))</f>
        <v>Name</v>
      </c>
      <c r="D1452" s="19" t="str">
        <f>IF(ISBLANK(A1452), "Email",IF(ISNA(VLOOKUP(A1452,'Master List'!A:C,3,FALSE)), "Not Found", VLOOKUP(A1452,'Master List'!A:C,3,FALSE)))</f>
        <v>Email</v>
      </c>
      <c r="F1452" s="4" t="str">
        <f>IF(OR(A1452="",E1452="","",A1452="?",E1452="?"),"duplicate?",IF(COUNTIFS($A:A,A1452,E:E,E1452)&gt;1,"yes","no"))</f>
        <v>duplicate?</v>
      </c>
      <c r="K1452" s="97" t="str">
        <f ca="1">IF(J1452="","Date",IF(J1452&lt;&gt;"",IF(K1452="Date",NOW(),K1452),""))</f>
        <v>Date</v>
      </c>
    </row>
    <row r="1453" spans="2:11">
      <c r="B1453" s="97" t="str">
        <f ca="1">IF(A1453="","Date",IF(A1453&lt;&gt;"",IF(B1453="Date",NOW(),B1453),""))</f>
        <v>Date</v>
      </c>
      <c r="C1453" s="19" t="str">
        <f>IF(ISBLANK(A1453),"Name",IF(ISNA(VLOOKUP(A1453,'Master List'!A:C,2,FALSE)), "Not Found", VLOOKUP(A1453,'Master List'!A:C,2,FALSE)))</f>
        <v>Name</v>
      </c>
      <c r="D1453" s="19" t="str">
        <f>IF(ISBLANK(A1453), "Email",IF(ISNA(VLOOKUP(A1453,'Master List'!A:C,3,FALSE)), "Not Found", VLOOKUP(A1453,'Master List'!A:C,3,FALSE)))</f>
        <v>Email</v>
      </c>
      <c r="F1453" s="4" t="str">
        <f>IF(OR(A1453="",E1453="","",A1453="?",E1453="?"),"duplicate?",IF(COUNTIFS($A:A,A1453,E:E,E1453)&gt;1,"yes","no"))</f>
        <v>duplicate?</v>
      </c>
      <c r="K1453" s="97" t="str">
        <f ca="1">IF(J1453="","Date",IF(J1453&lt;&gt;"",IF(K1453="Date",NOW(),K1453),""))</f>
        <v>Date</v>
      </c>
    </row>
    <row r="1454" spans="2:11">
      <c r="B1454" s="97" t="str">
        <f ca="1">IF(A1454="","Date",IF(A1454&lt;&gt;"",IF(B1454="Date",NOW(),B1454),""))</f>
        <v>Date</v>
      </c>
      <c r="C1454" s="19" t="str">
        <f>IF(ISBLANK(A1454),"Name",IF(ISNA(VLOOKUP(A1454,'Master List'!A:C,2,FALSE)), "Not Found", VLOOKUP(A1454,'Master List'!A:C,2,FALSE)))</f>
        <v>Name</v>
      </c>
      <c r="D1454" s="19" t="str">
        <f>IF(ISBLANK(A1454), "Email",IF(ISNA(VLOOKUP(A1454,'Master List'!A:C,3,FALSE)), "Not Found", VLOOKUP(A1454,'Master List'!A:C,3,FALSE)))</f>
        <v>Email</v>
      </c>
      <c r="F1454" s="4" t="str">
        <f>IF(OR(A1454="",E1454="","",A1454="?",E1454="?"),"duplicate?",IF(COUNTIFS($A:A,A1454,E:E,E1454)&gt;1,"yes","no"))</f>
        <v>duplicate?</v>
      </c>
      <c r="K1454" s="97" t="str">
        <f ca="1">IF(J1454="","Date",IF(J1454&lt;&gt;"",IF(K1454="Date",NOW(),K1454),""))</f>
        <v>Date</v>
      </c>
    </row>
    <row r="1455" spans="2:11">
      <c r="B1455" s="97" t="str">
        <f ca="1">IF(A1455="","Date",IF(A1455&lt;&gt;"",IF(B1455="Date",NOW(),B1455),""))</f>
        <v>Date</v>
      </c>
      <c r="C1455" s="19" t="str">
        <f>IF(ISBLANK(A1455),"Name",IF(ISNA(VLOOKUP(A1455,'Master List'!A:C,2,FALSE)), "Not Found", VLOOKUP(A1455,'Master List'!A:C,2,FALSE)))</f>
        <v>Name</v>
      </c>
      <c r="D1455" s="19" t="str">
        <f>IF(ISBLANK(A1455), "Email",IF(ISNA(VLOOKUP(A1455,'Master List'!A:C,3,FALSE)), "Not Found", VLOOKUP(A1455,'Master List'!A:C,3,FALSE)))</f>
        <v>Email</v>
      </c>
      <c r="F1455" s="4" t="str">
        <f>IF(OR(A1455="",E1455="","",A1455="?",E1455="?"),"duplicate?",IF(COUNTIFS($A:A,A1455,E:E,E1455)&gt;1,"yes","no"))</f>
        <v>duplicate?</v>
      </c>
      <c r="K1455" s="97" t="str">
        <f ca="1">IF(J1455="","Date",IF(J1455&lt;&gt;"",IF(K1455="Date",NOW(),K1455),""))</f>
        <v>Date</v>
      </c>
    </row>
    <row r="1456" spans="2:11">
      <c r="B1456" s="97" t="str">
        <f ca="1">IF(A1456="","Date",IF(A1456&lt;&gt;"",IF(B1456="Date",NOW(),B1456),""))</f>
        <v>Date</v>
      </c>
      <c r="C1456" s="19" t="str">
        <f>IF(ISBLANK(A1456),"Name",IF(ISNA(VLOOKUP(A1456,'Master List'!A:C,2,FALSE)), "Not Found", VLOOKUP(A1456,'Master List'!A:C,2,FALSE)))</f>
        <v>Name</v>
      </c>
      <c r="D1456" s="19" t="str">
        <f>IF(ISBLANK(A1456), "Email",IF(ISNA(VLOOKUP(A1456,'Master List'!A:C,3,FALSE)), "Not Found", VLOOKUP(A1456,'Master List'!A:C,3,FALSE)))</f>
        <v>Email</v>
      </c>
      <c r="F1456" s="4" t="str">
        <f>IF(OR(A1456="",E1456="","",A1456="?",E1456="?"),"duplicate?",IF(COUNTIFS($A:A,A1456,E:E,E1456)&gt;1,"yes","no"))</f>
        <v>duplicate?</v>
      </c>
      <c r="K1456" s="97" t="str">
        <f ca="1">IF(J1456="","Date",IF(J1456&lt;&gt;"",IF(K1456="Date",NOW(),K1456),""))</f>
        <v>Date</v>
      </c>
    </row>
    <row r="1457" spans="2:11">
      <c r="B1457" s="97" t="str">
        <f ca="1">IF(A1457="","Date",IF(A1457&lt;&gt;"",IF(B1457="Date",NOW(),B1457),""))</f>
        <v>Date</v>
      </c>
      <c r="C1457" s="19" t="str">
        <f>IF(ISBLANK(A1457),"Name",IF(ISNA(VLOOKUP(A1457,'Master List'!A:C,2,FALSE)), "Not Found", VLOOKUP(A1457,'Master List'!A:C,2,FALSE)))</f>
        <v>Name</v>
      </c>
      <c r="D1457" s="19" t="str">
        <f>IF(ISBLANK(A1457), "Email",IF(ISNA(VLOOKUP(A1457,'Master List'!A:C,3,FALSE)), "Not Found", VLOOKUP(A1457,'Master List'!A:C,3,FALSE)))</f>
        <v>Email</v>
      </c>
      <c r="F1457" s="4" t="str">
        <f>IF(OR(A1457="",E1457="","",A1457="?",E1457="?"),"duplicate?",IF(COUNTIFS($A:A,A1457,E:E,E1457)&gt;1,"yes","no"))</f>
        <v>duplicate?</v>
      </c>
      <c r="K1457" s="97" t="str">
        <f ca="1">IF(J1457="","Date",IF(J1457&lt;&gt;"",IF(K1457="Date",NOW(),K1457),""))</f>
        <v>Date</v>
      </c>
    </row>
    <row r="1458" spans="2:11">
      <c r="B1458" s="97" t="str">
        <f ca="1">IF(A1458="","Date",IF(A1458&lt;&gt;"",IF(B1458="Date",NOW(),B1458),""))</f>
        <v>Date</v>
      </c>
      <c r="C1458" s="19" t="str">
        <f>IF(ISBLANK(A1458),"Name",IF(ISNA(VLOOKUP(A1458,'Master List'!A:C,2,FALSE)), "Not Found", VLOOKUP(A1458,'Master List'!A:C,2,FALSE)))</f>
        <v>Name</v>
      </c>
      <c r="D1458" s="19" t="str">
        <f>IF(ISBLANK(A1458), "Email",IF(ISNA(VLOOKUP(A1458,'Master List'!A:C,3,FALSE)), "Not Found", VLOOKUP(A1458,'Master List'!A:C,3,FALSE)))</f>
        <v>Email</v>
      </c>
      <c r="F1458" s="4" t="str">
        <f>IF(OR(A1458="",E1458="","",A1458="?",E1458="?"),"duplicate?",IF(COUNTIFS($A:A,A1458,E:E,E1458)&gt;1,"yes","no"))</f>
        <v>duplicate?</v>
      </c>
      <c r="K1458" s="97" t="str">
        <f ca="1">IF(J1458="","Date",IF(J1458&lt;&gt;"",IF(K1458="Date",NOW(),K1458),""))</f>
        <v>Date</v>
      </c>
    </row>
    <row r="1459" spans="2:11">
      <c r="B1459" s="97" t="str">
        <f ca="1">IF(A1459="","Date",IF(A1459&lt;&gt;"",IF(B1459="Date",NOW(),B1459),""))</f>
        <v>Date</v>
      </c>
      <c r="C1459" s="19" t="str">
        <f>IF(ISBLANK(A1459),"Name",IF(ISNA(VLOOKUP(A1459,'Master List'!A:C,2,FALSE)), "Not Found", VLOOKUP(A1459,'Master List'!A:C,2,FALSE)))</f>
        <v>Name</v>
      </c>
      <c r="D1459" s="19" t="str">
        <f>IF(ISBLANK(A1459), "Email",IF(ISNA(VLOOKUP(A1459,'Master List'!A:C,3,FALSE)), "Not Found", VLOOKUP(A1459,'Master List'!A:C,3,FALSE)))</f>
        <v>Email</v>
      </c>
      <c r="F1459" s="4" t="str">
        <f>IF(OR(A1459="",E1459="","",A1459="?",E1459="?"),"duplicate?",IF(COUNTIFS($A:A,A1459,E:E,E1459)&gt;1,"yes","no"))</f>
        <v>duplicate?</v>
      </c>
      <c r="K1459" s="97" t="str">
        <f ca="1">IF(J1459="","Date",IF(J1459&lt;&gt;"",IF(K1459="Date",NOW(),K1459),""))</f>
        <v>Date</v>
      </c>
    </row>
    <row r="1460" spans="2:11">
      <c r="B1460" s="97" t="str">
        <f ca="1">IF(A1460="","Date",IF(A1460&lt;&gt;"",IF(B1460="Date",NOW(),B1460),""))</f>
        <v>Date</v>
      </c>
      <c r="C1460" s="19" t="str">
        <f>IF(ISBLANK(A1460),"Name",IF(ISNA(VLOOKUP(A1460,'Master List'!A:C,2,FALSE)), "Not Found", VLOOKUP(A1460,'Master List'!A:C,2,FALSE)))</f>
        <v>Name</v>
      </c>
      <c r="D1460" s="19" t="str">
        <f>IF(ISBLANK(A1460), "Email",IF(ISNA(VLOOKUP(A1460,'Master List'!A:C,3,FALSE)), "Not Found", VLOOKUP(A1460,'Master List'!A:C,3,FALSE)))</f>
        <v>Email</v>
      </c>
      <c r="F1460" s="4" t="str">
        <f>IF(OR(A1460="",E1460="","",A1460="?",E1460="?"),"duplicate?",IF(COUNTIFS($A:A,A1460,E:E,E1460)&gt;1,"yes","no"))</f>
        <v>duplicate?</v>
      </c>
      <c r="K1460" s="97" t="str">
        <f ca="1">IF(J1460="","Date",IF(J1460&lt;&gt;"",IF(K1460="Date",NOW(),K1460),""))</f>
        <v>Date</v>
      </c>
    </row>
    <row r="1461" spans="2:11">
      <c r="B1461" s="97" t="str">
        <f ca="1">IF(A1461="","Date",IF(A1461&lt;&gt;"",IF(B1461="Date",NOW(),B1461),""))</f>
        <v>Date</v>
      </c>
      <c r="C1461" s="19" t="str">
        <f>IF(ISBLANK(A1461),"Name",IF(ISNA(VLOOKUP(A1461,'Master List'!A:C,2,FALSE)), "Not Found", VLOOKUP(A1461,'Master List'!A:C,2,FALSE)))</f>
        <v>Name</v>
      </c>
      <c r="D1461" s="19" t="str">
        <f>IF(ISBLANK(A1461), "Email",IF(ISNA(VLOOKUP(A1461,'Master List'!A:C,3,FALSE)), "Not Found", VLOOKUP(A1461,'Master List'!A:C,3,FALSE)))</f>
        <v>Email</v>
      </c>
      <c r="F1461" s="4" t="str">
        <f>IF(OR(A1461="",E1461="","",A1461="?",E1461="?"),"duplicate?",IF(COUNTIFS($A:A,A1461,E:E,E1461)&gt;1,"yes","no"))</f>
        <v>duplicate?</v>
      </c>
      <c r="K1461" s="97" t="str">
        <f ca="1">IF(J1461="","Date",IF(J1461&lt;&gt;"",IF(K1461="Date",NOW(),K1461),""))</f>
        <v>Date</v>
      </c>
    </row>
    <row r="1462" spans="2:11">
      <c r="B1462" s="97" t="str">
        <f ca="1">IF(A1462="","Date",IF(A1462&lt;&gt;"",IF(B1462="Date",NOW(),B1462),""))</f>
        <v>Date</v>
      </c>
      <c r="C1462" s="19" t="str">
        <f>IF(ISBLANK(A1462),"Name",IF(ISNA(VLOOKUP(A1462,'Master List'!A:C,2,FALSE)), "Not Found", VLOOKUP(A1462,'Master List'!A:C,2,FALSE)))</f>
        <v>Name</v>
      </c>
      <c r="D1462" s="19" t="str">
        <f>IF(ISBLANK(A1462), "Email",IF(ISNA(VLOOKUP(A1462,'Master List'!A:C,3,FALSE)), "Not Found", VLOOKUP(A1462,'Master List'!A:C,3,FALSE)))</f>
        <v>Email</v>
      </c>
      <c r="F1462" s="4" t="str">
        <f>IF(OR(A1462="",E1462="","",A1462="?",E1462="?"),"duplicate?",IF(COUNTIFS($A:A,A1462,E:E,E1462)&gt;1,"yes","no"))</f>
        <v>duplicate?</v>
      </c>
      <c r="K1462" s="97" t="str">
        <f ca="1">IF(J1462="","Date",IF(J1462&lt;&gt;"",IF(K1462="Date",NOW(),K1462),""))</f>
        <v>Date</v>
      </c>
    </row>
    <row r="1463" spans="2:11">
      <c r="B1463" s="97" t="str">
        <f ca="1">IF(A1463="","Date",IF(A1463&lt;&gt;"",IF(B1463="Date",NOW(),B1463),""))</f>
        <v>Date</v>
      </c>
      <c r="C1463" s="19" t="str">
        <f>IF(ISBLANK(A1463),"Name",IF(ISNA(VLOOKUP(A1463,'Master List'!A:C,2,FALSE)), "Not Found", VLOOKUP(A1463,'Master List'!A:C,2,FALSE)))</f>
        <v>Name</v>
      </c>
      <c r="D1463" s="19" t="str">
        <f>IF(ISBLANK(A1463), "Email",IF(ISNA(VLOOKUP(A1463,'Master List'!A:C,3,FALSE)), "Not Found", VLOOKUP(A1463,'Master List'!A:C,3,FALSE)))</f>
        <v>Email</v>
      </c>
      <c r="F1463" s="4" t="str">
        <f>IF(OR(A1463="",E1463="","",A1463="?",E1463="?"),"duplicate?",IF(COUNTIFS($A:A,A1463,E:E,E1463)&gt;1,"yes","no"))</f>
        <v>duplicate?</v>
      </c>
      <c r="K1463" s="97" t="str">
        <f ca="1">IF(J1463="","Date",IF(J1463&lt;&gt;"",IF(K1463="Date",NOW(),K1463),""))</f>
        <v>Date</v>
      </c>
    </row>
    <row r="1464" spans="2:11">
      <c r="B1464" s="97" t="str">
        <f ca="1">IF(A1464="","Date",IF(A1464&lt;&gt;"",IF(B1464="Date",NOW(),B1464),""))</f>
        <v>Date</v>
      </c>
      <c r="C1464" s="19" t="str">
        <f>IF(ISBLANK(A1464),"Name",IF(ISNA(VLOOKUP(A1464,'Master List'!A:C,2,FALSE)), "Not Found", VLOOKUP(A1464,'Master List'!A:C,2,FALSE)))</f>
        <v>Name</v>
      </c>
      <c r="D1464" s="19" t="str">
        <f>IF(ISBLANK(A1464), "Email",IF(ISNA(VLOOKUP(A1464,'Master List'!A:C,3,FALSE)), "Not Found", VLOOKUP(A1464,'Master List'!A:C,3,FALSE)))</f>
        <v>Email</v>
      </c>
      <c r="F1464" s="4" t="str">
        <f>IF(OR(A1464="",E1464="","",A1464="?",E1464="?"),"duplicate?",IF(COUNTIFS($A:A,A1464,E:E,E1464)&gt;1,"yes","no"))</f>
        <v>duplicate?</v>
      </c>
      <c r="K1464" s="97" t="str">
        <f ca="1">IF(J1464="","Date",IF(J1464&lt;&gt;"",IF(K1464="Date",NOW(),K1464),""))</f>
        <v>Date</v>
      </c>
    </row>
    <row r="1465" spans="2:11">
      <c r="B1465" s="97" t="str">
        <f ca="1">IF(A1465="","Date",IF(A1465&lt;&gt;"",IF(B1465="Date",NOW(),B1465),""))</f>
        <v>Date</v>
      </c>
      <c r="C1465" s="19" t="str">
        <f>IF(ISBLANK(A1465),"Name",IF(ISNA(VLOOKUP(A1465,'Master List'!A:C,2,FALSE)), "Not Found", VLOOKUP(A1465,'Master List'!A:C,2,FALSE)))</f>
        <v>Name</v>
      </c>
      <c r="D1465" s="19" t="str">
        <f>IF(ISBLANK(A1465), "Email",IF(ISNA(VLOOKUP(A1465,'Master List'!A:C,3,FALSE)), "Not Found", VLOOKUP(A1465,'Master List'!A:C,3,FALSE)))</f>
        <v>Email</v>
      </c>
      <c r="F1465" s="4" t="str">
        <f>IF(OR(A1465="",E1465="","",A1465="?",E1465="?"),"duplicate?",IF(COUNTIFS($A:A,A1465,E:E,E1465)&gt;1,"yes","no"))</f>
        <v>duplicate?</v>
      </c>
      <c r="K1465" s="97" t="str">
        <f ca="1">IF(J1465="","Date",IF(J1465&lt;&gt;"",IF(K1465="Date",NOW(),K1465),""))</f>
        <v>Date</v>
      </c>
    </row>
    <row r="1466" spans="2:11">
      <c r="B1466" s="97" t="str">
        <f ca="1">IF(A1466="","Date",IF(A1466&lt;&gt;"",IF(B1466="Date",NOW(),B1466),""))</f>
        <v>Date</v>
      </c>
      <c r="C1466" s="19" t="str">
        <f>IF(ISBLANK(A1466),"Name",IF(ISNA(VLOOKUP(A1466,'Master List'!A:C,2,FALSE)), "Not Found", VLOOKUP(A1466,'Master List'!A:C,2,FALSE)))</f>
        <v>Name</v>
      </c>
      <c r="D1466" s="19" t="str">
        <f>IF(ISBLANK(A1466), "Email",IF(ISNA(VLOOKUP(A1466,'Master List'!A:C,3,FALSE)), "Not Found", VLOOKUP(A1466,'Master List'!A:C,3,FALSE)))</f>
        <v>Email</v>
      </c>
      <c r="F1466" s="4" t="str">
        <f>IF(OR(A1466="",E1466="","",A1466="?",E1466="?"),"duplicate?",IF(COUNTIFS($A:A,A1466,E:E,E1466)&gt;1,"yes","no"))</f>
        <v>duplicate?</v>
      </c>
      <c r="K1466" s="97" t="str">
        <f ca="1">IF(J1466="","Date",IF(J1466&lt;&gt;"",IF(K1466="Date",NOW(),K1466),""))</f>
        <v>Date</v>
      </c>
    </row>
    <row r="1467" spans="2:11">
      <c r="B1467" s="97" t="str">
        <f ca="1">IF(A1467="","Date",IF(A1467&lt;&gt;"",IF(B1467="Date",NOW(),B1467),""))</f>
        <v>Date</v>
      </c>
      <c r="C1467" s="19" t="str">
        <f>IF(ISBLANK(A1467),"Name",IF(ISNA(VLOOKUP(A1467,'Master List'!A:C,2,FALSE)), "Not Found", VLOOKUP(A1467,'Master List'!A:C,2,FALSE)))</f>
        <v>Name</v>
      </c>
      <c r="D1467" s="19" t="str">
        <f>IF(ISBLANK(A1467), "Email",IF(ISNA(VLOOKUP(A1467,'Master List'!A:C,3,FALSE)), "Not Found", VLOOKUP(A1467,'Master List'!A:C,3,FALSE)))</f>
        <v>Email</v>
      </c>
      <c r="F1467" s="4" t="str">
        <f>IF(OR(A1467="",E1467="","",A1467="?",E1467="?"),"duplicate?",IF(COUNTIFS($A:A,A1467,E:E,E1467)&gt;1,"yes","no"))</f>
        <v>duplicate?</v>
      </c>
      <c r="K1467" s="97" t="str">
        <f ca="1">IF(J1467="","Date",IF(J1467&lt;&gt;"",IF(K1467="Date",NOW(),K1467),""))</f>
        <v>Date</v>
      </c>
    </row>
    <row r="1468" spans="2:11">
      <c r="B1468" s="97" t="str">
        <f ca="1">IF(A1468="","Date",IF(A1468&lt;&gt;"",IF(B1468="Date",NOW(),B1468),""))</f>
        <v>Date</v>
      </c>
      <c r="C1468" s="19" t="str">
        <f>IF(ISBLANK(A1468),"Name",IF(ISNA(VLOOKUP(A1468,'Master List'!A:C,2,FALSE)), "Not Found", VLOOKUP(A1468,'Master List'!A:C,2,FALSE)))</f>
        <v>Name</v>
      </c>
      <c r="D1468" s="19" t="str">
        <f>IF(ISBLANK(A1468), "Email",IF(ISNA(VLOOKUP(A1468,'Master List'!A:C,3,FALSE)), "Not Found", VLOOKUP(A1468,'Master List'!A:C,3,FALSE)))</f>
        <v>Email</v>
      </c>
      <c r="F1468" s="4" t="str">
        <f>IF(OR(A1468="",E1468="","",A1468="?",E1468="?"),"duplicate?",IF(COUNTIFS($A:A,A1468,E:E,E1468)&gt;1,"yes","no"))</f>
        <v>duplicate?</v>
      </c>
      <c r="K1468" s="97" t="str">
        <f ca="1">IF(J1468="","Date",IF(J1468&lt;&gt;"",IF(K1468="Date",NOW(),K1468),""))</f>
        <v>Date</v>
      </c>
    </row>
    <row r="1469" spans="2:11">
      <c r="B1469" s="97" t="str">
        <f ca="1">IF(A1469="","Date",IF(A1469&lt;&gt;"",IF(B1469="Date",NOW(),B1469),""))</f>
        <v>Date</v>
      </c>
      <c r="C1469" s="19" t="str">
        <f>IF(ISBLANK(A1469),"Name",IF(ISNA(VLOOKUP(A1469,'Master List'!A:C,2,FALSE)), "Not Found", VLOOKUP(A1469,'Master List'!A:C,2,FALSE)))</f>
        <v>Name</v>
      </c>
      <c r="D1469" s="19" t="str">
        <f>IF(ISBLANK(A1469), "Email",IF(ISNA(VLOOKUP(A1469,'Master List'!A:C,3,FALSE)), "Not Found", VLOOKUP(A1469,'Master List'!A:C,3,FALSE)))</f>
        <v>Email</v>
      </c>
      <c r="F1469" s="4" t="str">
        <f>IF(OR(A1469="",E1469="","",A1469="?",E1469="?"),"duplicate?",IF(COUNTIFS($A:A,A1469,E:E,E1469)&gt;1,"yes","no"))</f>
        <v>duplicate?</v>
      </c>
      <c r="K1469" s="97" t="str">
        <f ca="1">IF(J1469="","Date",IF(J1469&lt;&gt;"",IF(K1469="Date",NOW(),K1469),""))</f>
        <v>Date</v>
      </c>
    </row>
    <row r="1470" spans="2:11">
      <c r="B1470" s="97" t="str">
        <f ca="1">IF(A1470="","Date",IF(A1470&lt;&gt;"",IF(B1470="Date",NOW(),B1470),""))</f>
        <v>Date</v>
      </c>
      <c r="C1470" s="19" t="str">
        <f>IF(ISBLANK(A1470),"Name",IF(ISNA(VLOOKUP(A1470,'Master List'!A:C,2,FALSE)), "Not Found", VLOOKUP(A1470,'Master List'!A:C,2,FALSE)))</f>
        <v>Name</v>
      </c>
      <c r="D1470" s="19" t="str">
        <f>IF(ISBLANK(A1470), "Email",IF(ISNA(VLOOKUP(A1470,'Master List'!A:C,3,FALSE)), "Not Found", VLOOKUP(A1470,'Master List'!A:C,3,FALSE)))</f>
        <v>Email</v>
      </c>
      <c r="F1470" s="4" t="str">
        <f>IF(OR(A1470="",E1470="","",A1470="?",E1470="?"),"duplicate?",IF(COUNTIFS($A:A,A1470,E:E,E1470)&gt;1,"yes","no"))</f>
        <v>duplicate?</v>
      </c>
      <c r="K1470" s="97" t="str">
        <f ca="1">IF(J1470="","Date",IF(J1470&lt;&gt;"",IF(K1470="Date",NOW(),K1470),""))</f>
        <v>Date</v>
      </c>
    </row>
    <row r="1471" spans="2:11">
      <c r="B1471" s="97" t="str">
        <f ca="1">IF(A1471="","Date",IF(A1471&lt;&gt;"",IF(B1471="Date",NOW(),B1471),""))</f>
        <v>Date</v>
      </c>
      <c r="C1471" s="19" t="str">
        <f>IF(ISBLANK(A1471),"Name",IF(ISNA(VLOOKUP(A1471,'Master List'!A:C,2,FALSE)), "Not Found", VLOOKUP(A1471,'Master List'!A:C,2,FALSE)))</f>
        <v>Name</v>
      </c>
      <c r="D1471" s="19" t="str">
        <f>IF(ISBLANK(A1471), "Email",IF(ISNA(VLOOKUP(A1471,'Master List'!A:C,3,FALSE)), "Not Found", VLOOKUP(A1471,'Master List'!A:C,3,FALSE)))</f>
        <v>Email</v>
      </c>
      <c r="F1471" s="4" t="str">
        <f>IF(OR(A1471="",E1471="","",A1471="?",E1471="?"),"duplicate?",IF(COUNTIFS($A:A,A1471,E:E,E1471)&gt;1,"yes","no"))</f>
        <v>duplicate?</v>
      </c>
      <c r="K1471" s="97" t="str">
        <f ca="1">IF(J1471="","Date",IF(J1471&lt;&gt;"",IF(K1471="Date",NOW(),K1471),""))</f>
        <v>Date</v>
      </c>
    </row>
    <row r="1472" spans="2:11">
      <c r="B1472" s="97" t="str">
        <f ca="1">IF(A1472="","Date",IF(A1472&lt;&gt;"",IF(B1472="Date",NOW(),B1472),""))</f>
        <v>Date</v>
      </c>
      <c r="C1472" s="19" t="str">
        <f>IF(ISBLANK(A1472),"Name",IF(ISNA(VLOOKUP(A1472,'Master List'!A:C,2,FALSE)), "Not Found", VLOOKUP(A1472,'Master List'!A:C,2,FALSE)))</f>
        <v>Name</v>
      </c>
      <c r="D1472" s="19" t="str">
        <f>IF(ISBLANK(A1472), "Email",IF(ISNA(VLOOKUP(A1472,'Master List'!A:C,3,FALSE)), "Not Found", VLOOKUP(A1472,'Master List'!A:C,3,FALSE)))</f>
        <v>Email</v>
      </c>
      <c r="F1472" s="4" t="str">
        <f>IF(OR(A1472="",E1472="","",A1472="?",E1472="?"),"duplicate?",IF(COUNTIFS($A:A,A1472,E:E,E1472)&gt;1,"yes","no"))</f>
        <v>duplicate?</v>
      </c>
      <c r="K1472" s="97" t="str">
        <f ca="1">IF(J1472="","Date",IF(J1472&lt;&gt;"",IF(K1472="Date",NOW(),K1472),""))</f>
        <v>Date</v>
      </c>
    </row>
    <row r="1473" spans="2:11">
      <c r="B1473" s="97" t="str">
        <f ca="1">IF(A1473="","Date",IF(A1473&lt;&gt;"",IF(B1473="Date",NOW(),B1473),""))</f>
        <v>Date</v>
      </c>
      <c r="C1473" s="19" t="str">
        <f>IF(ISBLANK(A1473),"Name",IF(ISNA(VLOOKUP(A1473,'Master List'!A:C,2,FALSE)), "Not Found", VLOOKUP(A1473,'Master List'!A:C,2,FALSE)))</f>
        <v>Name</v>
      </c>
      <c r="D1473" s="19" t="str">
        <f>IF(ISBLANK(A1473), "Email",IF(ISNA(VLOOKUP(A1473,'Master List'!A:C,3,FALSE)), "Not Found", VLOOKUP(A1473,'Master List'!A:C,3,FALSE)))</f>
        <v>Email</v>
      </c>
      <c r="F1473" s="4" t="str">
        <f>IF(OR(A1473="",E1473="","",A1473="?",E1473="?"),"duplicate?",IF(COUNTIFS($A:A,A1473,E:E,E1473)&gt;1,"yes","no"))</f>
        <v>duplicate?</v>
      </c>
      <c r="K1473" s="97" t="str">
        <f ca="1">IF(J1473="","Date",IF(J1473&lt;&gt;"",IF(K1473="Date",NOW(),K1473),""))</f>
        <v>Date</v>
      </c>
    </row>
    <row r="1474" spans="2:11">
      <c r="B1474" s="97" t="str">
        <f ca="1">IF(A1474="","Date",IF(A1474&lt;&gt;"",IF(B1474="Date",NOW(),B1474),""))</f>
        <v>Date</v>
      </c>
      <c r="C1474" s="19" t="str">
        <f>IF(ISBLANK(A1474),"Name",IF(ISNA(VLOOKUP(A1474,'Master List'!A:C,2,FALSE)), "Not Found", VLOOKUP(A1474,'Master List'!A:C,2,FALSE)))</f>
        <v>Name</v>
      </c>
      <c r="D1474" s="19" t="str">
        <f>IF(ISBLANK(A1474), "Email",IF(ISNA(VLOOKUP(A1474,'Master List'!A:C,3,FALSE)), "Not Found", VLOOKUP(A1474,'Master List'!A:C,3,FALSE)))</f>
        <v>Email</v>
      </c>
      <c r="F1474" s="4" t="str">
        <f>IF(OR(A1474="",E1474="","",A1474="?",E1474="?"),"duplicate?",IF(COUNTIFS($A:A,A1474,E:E,E1474)&gt;1,"yes","no"))</f>
        <v>duplicate?</v>
      </c>
      <c r="K1474" s="97" t="str">
        <f ca="1">IF(J1474="","Date",IF(J1474&lt;&gt;"",IF(K1474="Date",NOW(),K1474),""))</f>
        <v>Date</v>
      </c>
    </row>
    <row r="1475" spans="2:11">
      <c r="B1475" s="97" t="str">
        <f ca="1">IF(A1475="","Date",IF(A1475&lt;&gt;"",IF(B1475="Date",NOW(),B1475),""))</f>
        <v>Date</v>
      </c>
      <c r="C1475" s="19" t="str">
        <f>IF(ISBLANK(A1475),"Name",IF(ISNA(VLOOKUP(A1475,'Master List'!A:C,2,FALSE)), "Not Found", VLOOKUP(A1475,'Master List'!A:C,2,FALSE)))</f>
        <v>Name</v>
      </c>
      <c r="D1475" s="19" t="str">
        <f>IF(ISBLANK(A1475), "Email",IF(ISNA(VLOOKUP(A1475,'Master List'!A:C,3,FALSE)), "Not Found", VLOOKUP(A1475,'Master List'!A:C,3,FALSE)))</f>
        <v>Email</v>
      </c>
      <c r="F1475" s="4" t="str">
        <f>IF(OR(A1475="",E1475="","",A1475="?",E1475="?"),"duplicate?",IF(COUNTIFS($A:A,A1475,E:E,E1475)&gt;1,"yes","no"))</f>
        <v>duplicate?</v>
      </c>
      <c r="K1475" s="97" t="str">
        <f ca="1">IF(J1475="","Date",IF(J1475&lt;&gt;"",IF(K1475="Date",NOW(),K1475),""))</f>
        <v>Date</v>
      </c>
    </row>
    <row r="1476" spans="2:11">
      <c r="B1476" s="97" t="str">
        <f ca="1">IF(A1476="","Date",IF(A1476&lt;&gt;"",IF(B1476="Date",NOW(),B1476),""))</f>
        <v>Date</v>
      </c>
      <c r="C1476" s="19" t="str">
        <f>IF(ISBLANK(A1476),"Name",IF(ISNA(VLOOKUP(A1476,'Master List'!A:C,2,FALSE)), "Not Found", VLOOKUP(A1476,'Master List'!A:C,2,FALSE)))</f>
        <v>Name</v>
      </c>
      <c r="D1476" s="19" t="str">
        <f>IF(ISBLANK(A1476), "Email",IF(ISNA(VLOOKUP(A1476,'Master List'!A:C,3,FALSE)), "Not Found", VLOOKUP(A1476,'Master List'!A:C,3,FALSE)))</f>
        <v>Email</v>
      </c>
      <c r="F1476" s="4" t="str">
        <f>IF(OR(A1476="",E1476="","",A1476="?",E1476="?"),"duplicate?",IF(COUNTIFS($A:A,A1476,E:E,E1476)&gt;1,"yes","no"))</f>
        <v>duplicate?</v>
      </c>
      <c r="K1476" s="97" t="str">
        <f ca="1">IF(J1476="","Date",IF(J1476&lt;&gt;"",IF(K1476="Date",NOW(),K1476),""))</f>
        <v>Date</v>
      </c>
    </row>
    <row r="1477" spans="2:11">
      <c r="B1477" s="97" t="str">
        <f ca="1">IF(A1477="","Date",IF(A1477&lt;&gt;"",IF(B1477="Date",NOW(),B1477),""))</f>
        <v>Date</v>
      </c>
      <c r="C1477" s="19" t="str">
        <f>IF(ISBLANK(A1477),"Name",IF(ISNA(VLOOKUP(A1477,'Master List'!A:C,2,FALSE)), "Not Found", VLOOKUP(A1477,'Master List'!A:C,2,FALSE)))</f>
        <v>Name</v>
      </c>
      <c r="D1477" s="19" t="str">
        <f>IF(ISBLANK(A1477), "Email",IF(ISNA(VLOOKUP(A1477,'Master List'!A:C,3,FALSE)), "Not Found", VLOOKUP(A1477,'Master List'!A:C,3,FALSE)))</f>
        <v>Email</v>
      </c>
      <c r="F1477" s="4" t="str">
        <f>IF(OR(A1477="",E1477="","",A1477="?",E1477="?"),"duplicate?",IF(COUNTIFS($A:A,A1477,E:E,E1477)&gt;1,"yes","no"))</f>
        <v>duplicate?</v>
      </c>
      <c r="K1477" s="97" t="str">
        <f ca="1">IF(J1477="","Date",IF(J1477&lt;&gt;"",IF(K1477="Date",NOW(),K1477),""))</f>
        <v>Date</v>
      </c>
    </row>
    <row r="1478" spans="2:11">
      <c r="B1478" s="97" t="str">
        <f ca="1">IF(A1478="","Date",IF(A1478&lt;&gt;"",IF(B1478="Date",NOW(),B1478),""))</f>
        <v>Date</v>
      </c>
      <c r="C1478" s="19" t="str">
        <f>IF(ISBLANK(A1478),"Name",IF(ISNA(VLOOKUP(A1478,'Master List'!A:C,2,FALSE)), "Not Found", VLOOKUP(A1478,'Master List'!A:C,2,FALSE)))</f>
        <v>Name</v>
      </c>
      <c r="D1478" s="19" t="str">
        <f>IF(ISBLANK(A1478), "Email",IF(ISNA(VLOOKUP(A1478,'Master List'!A:C,3,FALSE)), "Not Found", VLOOKUP(A1478,'Master List'!A:C,3,FALSE)))</f>
        <v>Email</v>
      </c>
      <c r="F1478" s="4" t="str">
        <f>IF(OR(A1478="",E1478="","",A1478="?",E1478="?"),"duplicate?",IF(COUNTIFS($A:A,A1478,E:E,E1478)&gt;1,"yes","no"))</f>
        <v>duplicate?</v>
      </c>
      <c r="K1478" s="97" t="str">
        <f ca="1">IF(J1478="","Date",IF(J1478&lt;&gt;"",IF(K1478="Date",NOW(),K1478),""))</f>
        <v>Date</v>
      </c>
    </row>
    <row r="1479" spans="2:11">
      <c r="B1479" s="97" t="str">
        <f ca="1">IF(A1479="","Date",IF(A1479&lt;&gt;"",IF(B1479="Date",NOW(),B1479),""))</f>
        <v>Date</v>
      </c>
      <c r="C1479" s="19" t="str">
        <f>IF(ISBLANK(A1479),"Name",IF(ISNA(VLOOKUP(A1479,'Master List'!A:C,2,FALSE)), "Not Found", VLOOKUP(A1479,'Master List'!A:C,2,FALSE)))</f>
        <v>Name</v>
      </c>
      <c r="D1479" s="19" t="str">
        <f>IF(ISBLANK(A1479), "Email",IF(ISNA(VLOOKUP(A1479,'Master List'!A:C,3,FALSE)), "Not Found", VLOOKUP(A1479,'Master List'!A:C,3,FALSE)))</f>
        <v>Email</v>
      </c>
      <c r="F1479" s="4" t="str">
        <f>IF(OR(A1479="",E1479="","",A1479="?",E1479="?"),"duplicate?",IF(COUNTIFS($A:A,A1479,E:E,E1479)&gt;1,"yes","no"))</f>
        <v>duplicate?</v>
      </c>
      <c r="K1479" s="97" t="str">
        <f ca="1">IF(J1479="","Date",IF(J1479&lt;&gt;"",IF(K1479="Date",NOW(),K1479),""))</f>
        <v>Date</v>
      </c>
    </row>
    <row r="1480" spans="2:11">
      <c r="B1480" s="97" t="str">
        <f ca="1">IF(A1480="","Date",IF(A1480&lt;&gt;"",IF(B1480="Date",NOW(),B1480),""))</f>
        <v>Date</v>
      </c>
      <c r="C1480" s="19" t="str">
        <f>IF(ISBLANK(A1480),"Name",IF(ISNA(VLOOKUP(A1480,'Master List'!A:C,2,FALSE)), "Not Found", VLOOKUP(A1480,'Master List'!A:C,2,FALSE)))</f>
        <v>Name</v>
      </c>
      <c r="D1480" s="19" t="str">
        <f>IF(ISBLANK(A1480), "Email",IF(ISNA(VLOOKUP(A1480,'Master List'!A:C,3,FALSE)), "Not Found", VLOOKUP(A1480,'Master List'!A:C,3,FALSE)))</f>
        <v>Email</v>
      </c>
      <c r="F1480" s="4" t="str">
        <f>IF(OR(A1480="",E1480="","",A1480="?",E1480="?"),"duplicate?",IF(COUNTIFS($A:A,A1480,E:E,E1480)&gt;1,"yes","no"))</f>
        <v>duplicate?</v>
      </c>
      <c r="K1480" s="97" t="str">
        <f ca="1">IF(J1480="","Date",IF(J1480&lt;&gt;"",IF(K1480="Date",NOW(),K1480),""))</f>
        <v>Date</v>
      </c>
    </row>
    <row r="1481" spans="2:11">
      <c r="B1481" s="97" t="str">
        <f ca="1">IF(A1481="","Date",IF(A1481&lt;&gt;"",IF(B1481="Date",NOW(),B1481),""))</f>
        <v>Date</v>
      </c>
      <c r="C1481" s="19" t="str">
        <f>IF(ISBLANK(A1481),"Name",IF(ISNA(VLOOKUP(A1481,'Master List'!A:C,2,FALSE)), "Not Found", VLOOKUP(A1481,'Master List'!A:C,2,FALSE)))</f>
        <v>Name</v>
      </c>
      <c r="D1481" s="19" t="str">
        <f>IF(ISBLANK(A1481), "Email",IF(ISNA(VLOOKUP(A1481,'Master List'!A:C,3,FALSE)), "Not Found", VLOOKUP(A1481,'Master List'!A:C,3,FALSE)))</f>
        <v>Email</v>
      </c>
      <c r="F1481" s="4" t="str">
        <f>IF(OR(A1481="",E1481="","",A1481="?",E1481="?"),"duplicate?",IF(COUNTIFS($A:A,A1481,E:E,E1481)&gt;1,"yes","no"))</f>
        <v>duplicate?</v>
      </c>
      <c r="K1481" s="97" t="str">
        <f ca="1">IF(J1481="","Date",IF(J1481&lt;&gt;"",IF(K1481="Date",NOW(),K1481),""))</f>
        <v>Date</v>
      </c>
    </row>
    <row r="1482" spans="2:11">
      <c r="B1482" s="97" t="str">
        <f ca="1">IF(A1482="","Date",IF(A1482&lt;&gt;"",IF(B1482="Date",NOW(),B1482),""))</f>
        <v>Date</v>
      </c>
      <c r="C1482" s="19" t="str">
        <f>IF(ISBLANK(A1482),"Name",IF(ISNA(VLOOKUP(A1482,'Master List'!A:C,2,FALSE)), "Not Found", VLOOKUP(A1482,'Master List'!A:C,2,FALSE)))</f>
        <v>Name</v>
      </c>
      <c r="D1482" s="19" t="str">
        <f>IF(ISBLANK(A1482), "Email",IF(ISNA(VLOOKUP(A1482,'Master List'!A:C,3,FALSE)), "Not Found", VLOOKUP(A1482,'Master List'!A:C,3,FALSE)))</f>
        <v>Email</v>
      </c>
      <c r="F1482" s="4" t="str">
        <f>IF(OR(A1482="",E1482="","",A1482="?",E1482="?"),"duplicate?",IF(COUNTIFS($A:A,A1482,E:E,E1482)&gt;1,"yes","no"))</f>
        <v>duplicate?</v>
      </c>
      <c r="K1482" s="97" t="str">
        <f ca="1">IF(J1482="","Date",IF(J1482&lt;&gt;"",IF(K1482="Date",NOW(),K1482),""))</f>
        <v>Date</v>
      </c>
    </row>
    <row r="1483" spans="2:11">
      <c r="B1483" s="97" t="str">
        <f ca="1">IF(A1483="","Date",IF(A1483&lt;&gt;"",IF(B1483="Date",NOW(),B1483),""))</f>
        <v>Date</v>
      </c>
      <c r="C1483" s="19" t="str">
        <f>IF(ISBLANK(A1483),"Name",IF(ISNA(VLOOKUP(A1483,'Master List'!A:C,2,FALSE)), "Not Found", VLOOKUP(A1483,'Master List'!A:C,2,FALSE)))</f>
        <v>Name</v>
      </c>
      <c r="D1483" s="19" t="str">
        <f>IF(ISBLANK(A1483), "Email",IF(ISNA(VLOOKUP(A1483,'Master List'!A:C,3,FALSE)), "Not Found", VLOOKUP(A1483,'Master List'!A:C,3,FALSE)))</f>
        <v>Email</v>
      </c>
      <c r="F1483" s="4" t="str">
        <f>IF(OR(A1483="",E1483="","",A1483="?",E1483="?"),"duplicate?",IF(COUNTIFS($A:A,A1483,E:E,E1483)&gt;1,"yes","no"))</f>
        <v>duplicate?</v>
      </c>
      <c r="K1483" s="97" t="str">
        <f ca="1">IF(J1483="","Date",IF(J1483&lt;&gt;"",IF(K1483="Date",NOW(),K1483),""))</f>
        <v>Date</v>
      </c>
    </row>
    <row r="1484" spans="2:11">
      <c r="B1484" s="97" t="str">
        <f ca="1">IF(A1484="","Date",IF(A1484&lt;&gt;"",IF(B1484="Date",NOW(),B1484),""))</f>
        <v>Date</v>
      </c>
      <c r="C1484" s="19" t="str">
        <f>IF(ISBLANK(A1484),"Name",IF(ISNA(VLOOKUP(A1484,'Master List'!A:C,2,FALSE)), "Not Found", VLOOKUP(A1484,'Master List'!A:C,2,FALSE)))</f>
        <v>Name</v>
      </c>
      <c r="D1484" s="19" t="str">
        <f>IF(ISBLANK(A1484), "Email",IF(ISNA(VLOOKUP(A1484,'Master List'!A:C,3,FALSE)), "Not Found", VLOOKUP(A1484,'Master List'!A:C,3,FALSE)))</f>
        <v>Email</v>
      </c>
      <c r="F1484" s="4" t="str">
        <f>IF(OR(A1484="",E1484="","",A1484="?",E1484="?"),"duplicate?",IF(COUNTIFS($A:A,A1484,E:E,E1484)&gt;1,"yes","no"))</f>
        <v>duplicate?</v>
      </c>
      <c r="K1484" s="97" t="str">
        <f ca="1">IF(J1484="","Date",IF(J1484&lt;&gt;"",IF(K1484="Date",NOW(),K1484),""))</f>
        <v>Date</v>
      </c>
    </row>
    <row r="1485" spans="2:11">
      <c r="B1485" s="97" t="str">
        <f ca="1">IF(A1485="","Date",IF(A1485&lt;&gt;"",IF(B1485="Date",NOW(),B1485),""))</f>
        <v>Date</v>
      </c>
      <c r="C1485" s="19" t="str">
        <f>IF(ISBLANK(A1485),"Name",IF(ISNA(VLOOKUP(A1485,'Master List'!A:C,2,FALSE)), "Not Found", VLOOKUP(A1485,'Master List'!A:C,2,FALSE)))</f>
        <v>Name</v>
      </c>
      <c r="D1485" s="19" t="str">
        <f>IF(ISBLANK(A1485), "Email",IF(ISNA(VLOOKUP(A1485,'Master List'!A:C,3,FALSE)), "Not Found", VLOOKUP(A1485,'Master List'!A:C,3,FALSE)))</f>
        <v>Email</v>
      </c>
      <c r="F1485" s="4" t="str">
        <f>IF(OR(A1485="",E1485="","",A1485="?",E1485="?"),"duplicate?",IF(COUNTIFS($A:A,A1485,E:E,E1485)&gt;1,"yes","no"))</f>
        <v>duplicate?</v>
      </c>
      <c r="K1485" s="97" t="str">
        <f ca="1">IF(J1485="","Date",IF(J1485&lt;&gt;"",IF(K1485="Date",NOW(),K1485),""))</f>
        <v>Date</v>
      </c>
    </row>
    <row r="1486" spans="2:11">
      <c r="B1486" s="97" t="str">
        <f ca="1">IF(A1486="","Date",IF(A1486&lt;&gt;"",IF(B1486="Date",NOW(),B1486),""))</f>
        <v>Date</v>
      </c>
      <c r="C1486" s="19" t="str">
        <f>IF(ISBLANK(A1486),"Name",IF(ISNA(VLOOKUP(A1486,'Master List'!A:C,2,FALSE)), "Not Found", VLOOKUP(A1486,'Master List'!A:C,2,FALSE)))</f>
        <v>Name</v>
      </c>
      <c r="D1486" s="19" t="str">
        <f>IF(ISBLANK(A1486), "Email",IF(ISNA(VLOOKUP(A1486,'Master List'!A:C,3,FALSE)), "Not Found", VLOOKUP(A1486,'Master List'!A:C,3,FALSE)))</f>
        <v>Email</v>
      </c>
      <c r="F1486" s="4" t="str">
        <f>IF(OR(A1486="",E1486="","",A1486="?",E1486="?"),"duplicate?",IF(COUNTIFS($A:A,A1486,E:E,E1486)&gt;1,"yes","no"))</f>
        <v>duplicate?</v>
      </c>
      <c r="K1486" s="97" t="str">
        <f ca="1">IF(J1486="","Date",IF(J1486&lt;&gt;"",IF(K1486="Date",NOW(),K1486),""))</f>
        <v>Date</v>
      </c>
    </row>
    <row r="1487" spans="2:11">
      <c r="B1487" s="97" t="str">
        <f ca="1">IF(A1487="","Date",IF(A1487&lt;&gt;"",IF(B1487="Date",NOW(),B1487),""))</f>
        <v>Date</v>
      </c>
      <c r="C1487" s="19" t="str">
        <f>IF(ISBLANK(A1487),"Name",IF(ISNA(VLOOKUP(A1487,'Master List'!A:C,2,FALSE)), "Not Found", VLOOKUP(A1487,'Master List'!A:C,2,FALSE)))</f>
        <v>Name</v>
      </c>
      <c r="D1487" s="19" t="str">
        <f>IF(ISBLANK(A1487), "Email",IF(ISNA(VLOOKUP(A1487,'Master List'!A:C,3,FALSE)), "Not Found", VLOOKUP(A1487,'Master List'!A:C,3,FALSE)))</f>
        <v>Email</v>
      </c>
      <c r="F1487" s="4" t="str">
        <f>IF(OR(A1487="",E1487="","",A1487="?",E1487="?"),"duplicate?",IF(COUNTIFS($A:A,A1487,E:E,E1487)&gt;1,"yes","no"))</f>
        <v>duplicate?</v>
      </c>
      <c r="K1487" s="97" t="str">
        <f ca="1">IF(J1487="","Date",IF(J1487&lt;&gt;"",IF(K1487="Date",NOW(),K1487),""))</f>
        <v>Date</v>
      </c>
    </row>
    <row r="1488" spans="2:11">
      <c r="B1488" s="97" t="str">
        <f ca="1">IF(A1488="","Date",IF(A1488&lt;&gt;"",IF(B1488="Date",NOW(),B1488),""))</f>
        <v>Date</v>
      </c>
      <c r="C1488" s="19" t="str">
        <f>IF(ISBLANK(A1488),"Name",IF(ISNA(VLOOKUP(A1488,'Master List'!A:C,2,FALSE)), "Not Found", VLOOKUP(A1488,'Master List'!A:C,2,FALSE)))</f>
        <v>Name</v>
      </c>
      <c r="D1488" s="19" t="str">
        <f>IF(ISBLANK(A1488), "Email",IF(ISNA(VLOOKUP(A1488,'Master List'!A:C,3,FALSE)), "Not Found", VLOOKUP(A1488,'Master List'!A:C,3,FALSE)))</f>
        <v>Email</v>
      </c>
      <c r="F1488" s="4" t="str">
        <f>IF(OR(A1488="",E1488="","",A1488="?",E1488="?"),"duplicate?",IF(COUNTIFS($A:A,A1488,E:E,E1488)&gt;1,"yes","no"))</f>
        <v>duplicate?</v>
      </c>
      <c r="K1488" s="97" t="str">
        <f ca="1">IF(J1488="","Date",IF(J1488&lt;&gt;"",IF(K1488="Date",NOW(),K1488),""))</f>
        <v>Date</v>
      </c>
    </row>
    <row r="1489" spans="2:11">
      <c r="B1489" s="97" t="str">
        <f ca="1">IF(A1489="","Date",IF(A1489&lt;&gt;"",IF(B1489="Date",NOW(),B1489),""))</f>
        <v>Date</v>
      </c>
      <c r="C1489" s="19" t="str">
        <f>IF(ISBLANK(A1489),"Name",IF(ISNA(VLOOKUP(A1489,'Master List'!A:C,2,FALSE)), "Not Found", VLOOKUP(A1489,'Master List'!A:C,2,FALSE)))</f>
        <v>Name</v>
      </c>
      <c r="D1489" s="19" t="str">
        <f>IF(ISBLANK(A1489), "Email",IF(ISNA(VLOOKUP(A1489,'Master List'!A:C,3,FALSE)), "Not Found", VLOOKUP(A1489,'Master List'!A:C,3,FALSE)))</f>
        <v>Email</v>
      </c>
      <c r="F1489" s="4" t="str">
        <f>IF(OR(A1489="",E1489="","",A1489="?",E1489="?"),"duplicate?",IF(COUNTIFS($A:A,A1489,E:E,E1489)&gt;1,"yes","no"))</f>
        <v>duplicate?</v>
      </c>
      <c r="K1489" s="97" t="str">
        <f ca="1">IF(J1489="","Date",IF(J1489&lt;&gt;"",IF(K1489="Date",NOW(),K1489),""))</f>
        <v>Date</v>
      </c>
    </row>
    <row r="1490" spans="2:11">
      <c r="B1490" s="97" t="str">
        <f ca="1">IF(A1490="","Date",IF(A1490&lt;&gt;"",IF(B1490="Date",NOW(),B1490),""))</f>
        <v>Date</v>
      </c>
      <c r="C1490" s="19" t="str">
        <f>IF(ISBLANK(A1490),"Name",IF(ISNA(VLOOKUP(A1490,'Master List'!A:C,2,FALSE)), "Not Found", VLOOKUP(A1490,'Master List'!A:C,2,FALSE)))</f>
        <v>Name</v>
      </c>
      <c r="D1490" s="19" t="str">
        <f>IF(ISBLANK(A1490), "Email",IF(ISNA(VLOOKUP(A1490,'Master List'!A:C,3,FALSE)), "Not Found", VLOOKUP(A1490,'Master List'!A:C,3,FALSE)))</f>
        <v>Email</v>
      </c>
      <c r="F1490" s="4" t="str">
        <f>IF(OR(A1490="",E1490="","",A1490="?",E1490="?"),"duplicate?",IF(COUNTIFS($A:A,A1490,E:E,E1490)&gt;1,"yes","no"))</f>
        <v>duplicate?</v>
      </c>
      <c r="K1490" s="97" t="str">
        <f ca="1">IF(J1490="","Date",IF(J1490&lt;&gt;"",IF(K1490="Date",NOW(),K1490),""))</f>
        <v>Date</v>
      </c>
    </row>
    <row r="1491" spans="2:11">
      <c r="B1491" s="97" t="str">
        <f ca="1">IF(A1491="","Date",IF(A1491&lt;&gt;"",IF(B1491="Date",NOW(),B1491),""))</f>
        <v>Date</v>
      </c>
      <c r="C1491" s="19" t="str">
        <f>IF(ISBLANK(A1491),"Name",IF(ISNA(VLOOKUP(A1491,'Master List'!A:C,2,FALSE)), "Not Found", VLOOKUP(A1491,'Master List'!A:C,2,FALSE)))</f>
        <v>Name</v>
      </c>
      <c r="D1491" s="19" t="str">
        <f>IF(ISBLANK(A1491), "Email",IF(ISNA(VLOOKUP(A1491,'Master List'!A:C,3,FALSE)), "Not Found", VLOOKUP(A1491,'Master List'!A:C,3,FALSE)))</f>
        <v>Email</v>
      </c>
      <c r="F1491" s="4" t="str">
        <f>IF(OR(A1491="",E1491="","",A1491="?",E1491="?"),"duplicate?",IF(COUNTIFS($A:A,A1491,E:E,E1491)&gt;1,"yes","no"))</f>
        <v>duplicate?</v>
      </c>
      <c r="K1491" s="97" t="str">
        <f ca="1">IF(J1491="","Date",IF(J1491&lt;&gt;"",IF(K1491="Date",NOW(),K1491),""))</f>
        <v>Date</v>
      </c>
    </row>
    <row r="1492" spans="2:11">
      <c r="B1492" s="97" t="str">
        <f ca="1">IF(A1492="","Date",IF(A1492&lt;&gt;"",IF(B1492="Date",NOW(),B1492),""))</f>
        <v>Date</v>
      </c>
      <c r="C1492" s="19" t="str">
        <f>IF(ISBLANK(A1492),"Name",IF(ISNA(VLOOKUP(A1492,'Master List'!A:C,2,FALSE)), "Not Found", VLOOKUP(A1492,'Master List'!A:C,2,FALSE)))</f>
        <v>Name</v>
      </c>
      <c r="D1492" s="19" t="str">
        <f>IF(ISBLANK(A1492), "Email",IF(ISNA(VLOOKUP(A1492,'Master List'!A:C,3,FALSE)), "Not Found", VLOOKUP(A1492,'Master List'!A:C,3,FALSE)))</f>
        <v>Email</v>
      </c>
      <c r="F1492" s="4" t="str">
        <f>IF(OR(A1492="",E1492="","",A1492="?",E1492="?"),"duplicate?",IF(COUNTIFS($A:A,A1492,E:E,E1492)&gt;1,"yes","no"))</f>
        <v>duplicate?</v>
      </c>
      <c r="K1492" s="97" t="str">
        <f ca="1">IF(J1492="","Date",IF(J1492&lt;&gt;"",IF(K1492="Date",NOW(),K1492),""))</f>
        <v>Date</v>
      </c>
    </row>
    <row r="1493" spans="2:11">
      <c r="B1493" s="97" t="str">
        <f ca="1">IF(A1493="","Date",IF(A1493&lt;&gt;"",IF(B1493="Date",NOW(),B1493),""))</f>
        <v>Date</v>
      </c>
      <c r="C1493" s="19" t="str">
        <f>IF(ISBLANK(A1493),"Name",IF(ISNA(VLOOKUP(A1493,'Master List'!A:C,2,FALSE)), "Not Found", VLOOKUP(A1493,'Master List'!A:C,2,FALSE)))</f>
        <v>Name</v>
      </c>
      <c r="D1493" s="19" t="str">
        <f>IF(ISBLANK(A1493), "Email",IF(ISNA(VLOOKUP(A1493,'Master List'!A:C,3,FALSE)), "Not Found", VLOOKUP(A1493,'Master List'!A:C,3,FALSE)))</f>
        <v>Email</v>
      </c>
      <c r="F1493" s="4" t="str">
        <f>IF(OR(A1493="",E1493="","",A1493="?",E1493="?"),"duplicate?",IF(COUNTIFS($A:A,A1493,E:E,E1493)&gt;1,"yes","no"))</f>
        <v>duplicate?</v>
      </c>
      <c r="K1493" s="97" t="str">
        <f ca="1">IF(J1493="","Date",IF(J1493&lt;&gt;"",IF(K1493="Date",NOW(),K1493),""))</f>
        <v>Date</v>
      </c>
    </row>
    <row r="1494" spans="2:11">
      <c r="B1494" s="97" t="str">
        <f ca="1">IF(A1494="","Date",IF(A1494&lt;&gt;"",IF(B1494="Date",NOW(),B1494),""))</f>
        <v>Date</v>
      </c>
      <c r="C1494" s="19" t="str">
        <f>IF(ISBLANK(A1494),"Name",IF(ISNA(VLOOKUP(A1494,'Master List'!A:C,2,FALSE)), "Not Found", VLOOKUP(A1494,'Master List'!A:C,2,FALSE)))</f>
        <v>Name</v>
      </c>
      <c r="D1494" s="19" t="str">
        <f>IF(ISBLANK(A1494), "Email",IF(ISNA(VLOOKUP(A1494,'Master List'!A:C,3,FALSE)), "Not Found", VLOOKUP(A1494,'Master List'!A:C,3,FALSE)))</f>
        <v>Email</v>
      </c>
      <c r="F1494" s="4" t="str">
        <f>IF(OR(A1494="",E1494="","",A1494="?",E1494="?"),"duplicate?",IF(COUNTIFS($A:A,A1494,E:E,E1494)&gt;1,"yes","no"))</f>
        <v>duplicate?</v>
      </c>
      <c r="K1494" s="97" t="str">
        <f ca="1">IF(J1494="","Date",IF(J1494&lt;&gt;"",IF(K1494="Date",NOW(),K1494),""))</f>
        <v>Date</v>
      </c>
    </row>
    <row r="1495" spans="2:11">
      <c r="B1495" s="97" t="str">
        <f ca="1">IF(A1495="","Date",IF(A1495&lt;&gt;"",IF(B1495="Date",NOW(),B1495),""))</f>
        <v>Date</v>
      </c>
      <c r="C1495" s="19" t="str">
        <f>IF(ISBLANK(A1495),"Name",IF(ISNA(VLOOKUP(A1495,'Master List'!A:C,2,FALSE)), "Not Found", VLOOKUP(A1495,'Master List'!A:C,2,FALSE)))</f>
        <v>Name</v>
      </c>
      <c r="D1495" s="19" t="str">
        <f>IF(ISBLANK(A1495), "Email",IF(ISNA(VLOOKUP(A1495,'Master List'!A:C,3,FALSE)), "Not Found", VLOOKUP(A1495,'Master List'!A:C,3,FALSE)))</f>
        <v>Email</v>
      </c>
      <c r="F1495" s="4" t="str">
        <f>IF(OR(A1495="",E1495="","",A1495="?",E1495="?"),"duplicate?",IF(COUNTIFS($A:A,A1495,E:E,E1495)&gt;1,"yes","no"))</f>
        <v>duplicate?</v>
      </c>
      <c r="K1495" s="97" t="str">
        <f ca="1">IF(J1495="","Date",IF(J1495&lt;&gt;"",IF(K1495="Date",NOW(),K1495),""))</f>
        <v>Date</v>
      </c>
    </row>
    <row r="1496" spans="2:11">
      <c r="B1496" s="97" t="str">
        <f ca="1">IF(A1496="","Date",IF(A1496&lt;&gt;"",IF(B1496="Date",NOW(),B1496),""))</f>
        <v>Date</v>
      </c>
      <c r="C1496" s="19" t="str">
        <f>IF(ISBLANK(A1496),"Name",IF(ISNA(VLOOKUP(A1496,'Master List'!A:C,2,FALSE)), "Not Found", VLOOKUP(A1496,'Master List'!A:C,2,FALSE)))</f>
        <v>Name</v>
      </c>
      <c r="D1496" s="19" t="str">
        <f>IF(ISBLANK(A1496), "Email",IF(ISNA(VLOOKUP(A1496,'Master List'!A:C,3,FALSE)), "Not Found", VLOOKUP(A1496,'Master List'!A:C,3,FALSE)))</f>
        <v>Email</v>
      </c>
      <c r="F1496" s="4" t="str">
        <f>IF(OR(A1496="",E1496="","",A1496="?",E1496="?"),"duplicate?",IF(COUNTIFS($A:A,A1496,E:E,E1496)&gt;1,"yes","no"))</f>
        <v>duplicate?</v>
      </c>
      <c r="K1496" s="97" t="str">
        <f ca="1">IF(J1496="","Date",IF(J1496&lt;&gt;"",IF(K1496="Date",NOW(),K1496),""))</f>
        <v>Date</v>
      </c>
    </row>
    <row r="1497" spans="2:11">
      <c r="B1497" s="97" t="str">
        <f ca="1">IF(A1497="","Date",IF(A1497&lt;&gt;"",IF(B1497="Date",NOW(),B1497),""))</f>
        <v>Date</v>
      </c>
      <c r="C1497" s="19" t="str">
        <f>IF(ISBLANK(A1497),"Name",IF(ISNA(VLOOKUP(A1497,'Master List'!A:C,2,FALSE)), "Not Found", VLOOKUP(A1497,'Master List'!A:C,2,FALSE)))</f>
        <v>Name</v>
      </c>
      <c r="D1497" s="19" t="str">
        <f>IF(ISBLANK(A1497), "Email",IF(ISNA(VLOOKUP(A1497,'Master List'!A:C,3,FALSE)), "Not Found", VLOOKUP(A1497,'Master List'!A:C,3,FALSE)))</f>
        <v>Email</v>
      </c>
      <c r="F1497" s="4" t="str">
        <f>IF(OR(A1497="",E1497="","",A1497="?",E1497="?"),"duplicate?",IF(COUNTIFS($A:A,A1497,E:E,E1497)&gt;1,"yes","no"))</f>
        <v>duplicate?</v>
      </c>
      <c r="K1497" s="97" t="str">
        <f ca="1">IF(J1497="","Date",IF(J1497&lt;&gt;"",IF(K1497="Date",NOW(),K1497),""))</f>
        <v>Date</v>
      </c>
    </row>
    <row r="1498" spans="2:11">
      <c r="B1498" s="97" t="str">
        <f ca="1">IF(A1498="","Date",IF(A1498&lt;&gt;"",IF(B1498="Date",NOW(),B1498),""))</f>
        <v>Date</v>
      </c>
      <c r="C1498" s="19" t="str">
        <f>IF(ISBLANK(A1498),"Name",IF(ISNA(VLOOKUP(A1498,'Master List'!A:C,2,FALSE)), "Not Found", VLOOKUP(A1498,'Master List'!A:C,2,FALSE)))</f>
        <v>Name</v>
      </c>
      <c r="D1498" s="19" t="str">
        <f>IF(ISBLANK(A1498), "Email",IF(ISNA(VLOOKUP(A1498,'Master List'!A:C,3,FALSE)), "Not Found", VLOOKUP(A1498,'Master List'!A:C,3,FALSE)))</f>
        <v>Email</v>
      </c>
      <c r="F1498" s="4" t="str">
        <f>IF(OR(A1498="",E1498="","",A1498="?",E1498="?"),"duplicate?",IF(COUNTIFS($A:A,A1498,E:E,E1498)&gt;1,"yes","no"))</f>
        <v>duplicate?</v>
      </c>
      <c r="K1498" s="97" t="str">
        <f ca="1">IF(J1498="","Date",IF(J1498&lt;&gt;"",IF(K1498="Date",NOW(),K1498),""))</f>
        <v>Date</v>
      </c>
    </row>
    <row r="1499" spans="2:11">
      <c r="B1499" s="97" t="str">
        <f ca="1">IF(A1499="","Date",IF(A1499&lt;&gt;"",IF(B1499="Date",NOW(),B1499),""))</f>
        <v>Date</v>
      </c>
      <c r="C1499" s="19" t="str">
        <f>IF(ISBLANK(A1499),"Name",IF(ISNA(VLOOKUP(A1499,'Master List'!A:C,2,FALSE)), "Not Found", VLOOKUP(A1499,'Master List'!A:C,2,FALSE)))</f>
        <v>Name</v>
      </c>
      <c r="D1499" s="19" t="str">
        <f>IF(ISBLANK(A1499), "Email",IF(ISNA(VLOOKUP(A1499,'Master List'!A:C,3,FALSE)), "Not Found", VLOOKUP(A1499,'Master List'!A:C,3,FALSE)))</f>
        <v>Email</v>
      </c>
      <c r="F1499" s="4" t="str">
        <f>IF(OR(A1499="",E1499="","",A1499="?",E1499="?"),"duplicate?",IF(COUNTIFS($A:A,A1499,E:E,E1499)&gt;1,"yes","no"))</f>
        <v>duplicate?</v>
      </c>
      <c r="K1499" s="97" t="str">
        <f ca="1">IF(J1499="","Date",IF(J1499&lt;&gt;"",IF(K1499="Date",NOW(),K1499),""))</f>
        <v>Date</v>
      </c>
    </row>
    <row r="1500" spans="2:11">
      <c r="B1500" s="97" t="str">
        <f ca="1">IF(A1500="","Date",IF(A1500&lt;&gt;"",IF(B1500="Date",NOW(),B1500),""))</f>
        <v>Date</v>
      </c>
      <c r="C1500" s="19" t="str">
        <f>IF(ISBLANK(A1500),"Name",IF(ISNA(VLOOKUP(A1500,'Master List'!A:C,2,FALSE)), "Not Found", VLOOKUP(A1500,'Master List'!A:C,2,FALSE)))</f>
        <v>Name</v>
      </c>
      <c r="D1500" s="19" t="str">
        <f>IF(ISBLANK(A1500), "Email",IF(ISNA(VLOOKUP(A1500,'Master List'!A:C,3,FALSE)), "Not Found", VLOOKUP(A1500,'Master List'!A:C,3,FALSE)))</f>
        <v>Email</v>
      </c>
      <c r="F1500" s="4" t="str">
        <f>IF(OR(A1500="",E1500="","",A1500="?",E1500="?"),"duplicate?",IF(COUNTIFS($A:A,A1500,E:E,E1500)&gt;1,"yes","no"))</f>
        <v>duplicate?</v>
      </c>
      <c r="K1500" s="97" t="str">
        <f ca="1">IF(J1500="","Date",IF(J1500&lt;&gt;"",IF(K1500="Date",NOW(),K1500),""))</f>
        <v>Date</v>
      </c>
    </row>
    <row r="1501" spans="2:11">
      <c r="B1501" s="97" t="str">
        <f ca="1">IF(A1501="","Date",IF(A1501&lt;&gt;"",IF(B1501="Date",NOW(),B1501),""))</f>
        <v>Date</v>
      </c>
      <c r="C1501" s="19" t="str">
        <f>IF(ISBLANK(A1501),"Name",IF(ISNA(VLOOKUP(A1501,'Master List'!A:C,2,FALSE)), "Not Found", VLOOKUP(A1501,'Master List'!A:C,2,FALSE)))</f>
        <v>Name</v>
      </c>
      <c r="D1501" s="19" t="str">
        <f>IF(ISBLANK(A1501), "Email",IF(ISNA(VLOOKUP(A1501,'Master List'!A:C,3,FALSE)), "Not Found", VLOOKUP(A1501,'Master List'!A:C,3,FALSE)))</f>
        <v>Email</v>
      </c>
      <c r="F1501" s="4" t="str">
        <f>IF(OR(A1501="",E1501="","",A1501="?",E1501="?"),"duplicate?",IF(COUNTIFS($A:A,A1501,E:E,E1501)&gt;1,"yes","no"))</f>
        <v>duplicate?</v>
      </c>
      <c r="K1501" s="97" t="str">
        <f ca="1">IF(J1501="","Date",IF(J1501&lt;&gt;"",IF(K1501="Date",NOW(),K1501),""))</f>
        <v>Date</v>
      </c>
    </row>
    <row r="1502" spans="2:11">
      <c r="B1502" s="97" t="str">
        <f ca="1">IF(A1502="","Date",IF(A1502&lt;&gt;"",IF(B1502="Date",NOW(),B1502),""))</f>
        <v>Date</v>
      </c>
      <c r="C1502" s="19" t="str">
        <f>IF(ISBLANK(A1502),"Name",IF(ISNA(VLOOKUP(A1502,'Master List'!A:C,2,FALSE)), "Not Found", VLOOKUP(A1502,'Master List'!A:C,2,FALSE)))</f>
        <v>Name</v>
      </c>
      <c r="D1502" s="19" t="str">
        <f>IF(ISBLANK(A1502), "Email",IF(ISNA(VLOOKUP(A1502,'Master List'!A:C,3,FALSE)), "Not Found", VLOOKUP(A1502,'Master List'!A:C,3,FALSE)))</f>
        <v>Email</v>
      </c>
      <c r="F1502" s="4" t="str">
        <f>IF(OR(A1502="",E1502="","",A1502="?",E1502="?"),"duplicate?",IF(COUNTIFS($A:A,A1502,E:E,E1502)&gt;1,"yes","no"))</f>
        <v>duplicate?</v>
      </c>
      <c r="K1502" s="97" t="str">
        <f ca="1">IF(J1502="","Date",IF(J1502&lt;&gt;"",IF(K1502="Date",NOW(),K1502),""))</f>
        <v>Date</v>
      </c>
    </row>
    <row r="1503" spans="2:11">
      <c r="B1503" s="97" t="str">
        <f ca="1">IF(A1503="","Date",IF(A1503&lt;&gt;"",IF(B1503="Date",NOW(),B1503),""))</f>
        <v>Date</v>
      </c>
      <c r="C1503" s="19" t="str">
        <f>IF(ISBLANK(A1503),"Name",IF(ISNA(VLOOKUP(A1503,'Master List'!A:C,2,FALSE)), "Not Found", VLOOKUP(A1503,'Master List'!A:C,2,FALSE)))</f>
        <v>Name</v>
      </c>
      <c r="D1503" s="19" t="str">
        <f>IF(ISBLANK(A1503), "Email",IF(ISNA(VLOOKUP(A1503,'Master List'!A:C,3,FALSE)), "Not Found", VLOOKUP(A1503,'Master List'!A:C,3,FALSE)))</f>
        <v>Email</v>
      </c>
      <c r="F1503" s="4" t="str">
        <f>IF(OR(A1503="",E1503="","",A1503="?",E1503="?"),"duplicate?",IF(COUNTIFS($A:A,A1503,E:E,E1503)&gt;1,"yes","no"))</f>
        <v>duplicate?</v>
      </c>
      <c r="K1503" s="97" t="str">
        <f ca="1">IF(J1503="","Date",IF(J1503&lt;&gt;"",IF(K1503="Date",NOW(),K1503),""))</f>
        <v>Date</v>
      </c>
    </row>
    <row r="1504" spans="2:11">
      <c r="B1504" s="97" t="str">
        <f ca="1">IF(A1504="","Date",IF(A1504&lt;&gt;"",IF(B1504="Date",NOW(),B1504),""))</f>
        <v>Date</v>
      </c>
      <c r="C1504" s="19" t="str">
        <f>IF(ISBLANK(A1504),"Name",IF(ISNA(VLOOKUP(A1504,'Master List'!A:C,2,FALSE)), "Not Found", VLOOKUP(A1504,'Master List'!A:C,2,FALSE)))</f>
        <v>Name</v>
      </c>
      <c r="D1504" s="19" t="str">
        <f>IF(ISBLANK(A1504), "Email",IF(ISNA(VLOOKUP(A1504,'Master List'!A:C,3,FALSE)), "Not Found", VLOOKUP(A1504,'Master List'!A:C,3,FALSE)))</f>
        <v>Email</v>
      </c>
      <c r="F1504" s="4" t="str">
        <f>IF(OR(A1504="",E1504="","",A1504="?",E1504="?"),"duplicate?",IF(COUNTIFS($A:A,A1504,E:E,E1504)&gt;1,"yes","no"))</f>
        <v>duplicate?</v>
      </c>
      <c r="K1504" s="97" t="str">
        <f ca="1">IF(J1504="","Date",IF(J1504&lt;&gt;"",IF(K1504="Date",NOW(),K1504),""))</f>
        <v>Date</v>
      </c>
    </row>
    <row r="1505" spans="2:11">
      <c r="B1505" s="97" t="str">
        <f ca="1">IF(A1505="","Date",IF(A1505&lt;&gt;"",IF(B1505="Date",NOW(),B1505),""))</f>
        <v>Date</v>
      </c>
      <c r="C1505" s="19" t="str">
        <f>IF(ISBLANK(A1505),"Name",IF(ISNA(VLOOKUP(A1505,'Master List'!A:C,2,FALSE)), "Not Found", VLOOKUP(A1505,'Master List'!A:C,2,FALSE)))</f>
        <v>Name</v>
      </c>
      <c r="D1505" s="19" t="str">
        <f>IF(ISBLANK(A1505), "Email",IF(ISNA(VLOOKUP(A1505,'Master List'!A:C,3,FALSE)), "Not Found", VLOOKUP(A1505,'Master List'!A:C,3,FALSE)))</f>
        <v>Email</v>
      </c>
      <c r="F1505" s="4" t="str">
        <f>IF(OR(A1505="",E1505="","",A1505="?",E1505="?"),"duplicate?",IF(COUNTIFS($A:A,A1505,E:E,E1505)&gt;1,"yes","no"))</f>
        <v>duplicate?</v>
      </c>
      <c r="K1505" s="97" t="str">
        <f ca="1">IF(J1505="","Date",IF(J1505&lt;&gt;"",IF(K1505="Date",NOW(),K1505),""))</f>
        <v>Date</v>
      </c>
    </row>
    <row r="1506" spans="2:11">
      <c r="B1506" s="97" t="str">
        <f ca="1">IF(A1506="","Date",IF(A1506&lt;&gt;"",IF(B1506="Date",NOW(),B1506),""))</f>
        <v>Date</v>
      </c>
      <c r="C1506" s="19" t="str">
        <f>IF(ISBLANK(A1506),"Name",IF(ISNA(VLOOKUP(A1506,'Master List'!A:C,2,FALSE)), "Not Found", VLOOKUP(A1506,'Master List'!A:C,2,FALSE)))</f>
        <v>Name</v>
      </c>
      <c r="D1506" s="19" t="str">
        <f>IF(ISBLANK(A1506), "Email",IF(ISNA(VLOOKUP(A1506,'Master List'!A:C,3,FALSE)), "Not Found", VLOOKUP(A1506,'Master List'!A:C,3,FALSE)))</f>
        <v>Email</v>
      </c>
      <c r="F1506" s="4" t="str">
        <f>IF(OR(A1506="",E1506="","",A1506="?",E1506="?"),"duplicate?",IF(COUNTIFS($A:A,A1506,E:E,E1506)&gt;1,"yes","no"))</f>
        <v>duplicate?</v>
      </c>
      <c r="K1506" s="97" t="str">
        <f ca="1">IF(J1506="","Date",IF(J1506&lt;&gt;"",IF(K1506="Date",NOW(),K1506),""))</f>
        <v>Date</v>
      </c>
    </row>
    <row r="1507" spans="2:11">
      <c r="B1507" s="97" t="str">
        <f ca="1">IF(A1507="","Date",IF(A1507&lt;&gt;"",IF(B1507="Date",NOW(),B1507),""))</f>
        <v>Date</v>
      </c>
      <c r="C1507" s="19" t="str">
        <f>IF(ISBLANK(A1507),"Name",IF(ISNA(VLOOKUP(A1507,'Master List'!A:C,2,FALSE)), "Not Found", VLOOKUP(A1507,'Master List'!A:C,2,FALSE)))</f>
        <v>Name</v>
      </c>
      <c r="D1507" s="19" t="str">
        <f>IF(ISBLANK(A1507), "Email",IF(ISNA(VLOOKUP(A1507,'Master List'!A:C,3,FALSE)), "Not Found", VLOOKUP(A1507,'Master List'!A:C,3,FALSE)))</f>
        <v>Email</v>
      </c>
      <c r="F1507" s="4" t="str">
        <f>IF(OR(A1507="",E1507="","",A1507="?",E1507="?"),"duplicate?",IF(COUNTIFS($A:A,A1507,E:E,E1507)&gt;1,"yes","no"))</f>
        <v>duplicate?</v>
      </c>
      <c r="K1507" s="97" t="str">
        <f ca="1">IF(J1507="","Date",IF(J1507&lt;&gt;"",IF(K1507="Date",NOW(),K1507),""))</f>
        <v>Date</v>
      </c>
    </row>
    <row r="1508" spans="2:11">
      <c r="B1508" s="97" t="str">
        <f ca="1">IF(A1508="","Date",IF(A1508&lt;&gt;"",IF(B1508="Date",NOW(),B1508),""))</f>
        <v>Date</v>
      </c>
      <c r="C1508" s="19" t="str">
        <f>IF(ISBLANK(A1508),"Name",IF(ISNA(VLOOKUP(A1508,'Master List'!A:C,2,FALSE)), "Not Found", VLOOKUP(A1508,'Master List'!A:C,2,FALSE)))</f>
        <v>Name</v>
      </c>
      <c r="D1508" s="19" t="str">
        <f>IF(ISBLANK(A1508), "Email",IF(ISNA(VLOOKUP(A1508,'Master List'!A:C,3,FALSE)), "Not Found", VLOOKUP(A1508,'Master List'!A:C,3,FALSE)))</f>
        <v>Email</v>
      </c>
      <c r="F1508" s="4" t="str">
        <f>IF(OR(A1508="",E1508="","",A1508="?",E1508="?"),"duplicate?",IF(COUNTIFS($A:A,A1508,E:E,E1508)&gt;1,"yes","no"))</f>
        <v>duplicate?</v>
      </c>
      <c r="K1508" s="97" t="str">
        <f ca="1">IF(J1508="","Date",IF(J1508&lt;&gt;"",IF(K1508="Date",NOW(),K1508),""))</f>
        <v>Date</v>
      </c>
    </row>
    <row r="1509" spans="2:11">
      <c r="B1509" s="97" t="str">
        <f ca="1">IF(A1509="","Date",IF(A1509&lt;&gt;"",IF(B1509="Date",NOW(),B1509),""))</f>
        <v>Date</v>
      </c>
      <c r="C1509" s="19" t="str">
        <f>IF(ISBLANK(A1509),"Name",IF(ISNA(VLOOKUP(A1509,'Master List'!A:C,2,FALSE)), "Not Found", VLOOKUP(A1509,'Master List'!A:C,2,FALSE)))</f>
        <v>Name</v>
      </c>
      <c r="D1509" s="19" t="str">
        <f>IF(ISBLANK(A1509), "Email",IF(ISNA(VLOOKUP(A1509,'Master List'!A:C,3,FALSE)), "Not Found", VLOOKUP(A1509,'Master List'!A:C,3,FALSE)))</f>
        <v>Email</v>
      </c>
      <c r="F1509" s="4" t="str">
        <f>IF(OR(A1509="",E1509="","",A1509="?",E1509="?"),"duplicate?",IF(COUNTIFS($A:A,A1509,E:E,E1509)&gt;1,"yes","no"))</f>
        <v>duplicate?</v>
      </c>
      <c r="K1509" s="97" t="str">
        <f ca="1">IF(J1509="","Date",IF(J1509&lt;&gt;"",IF(K1509="Date",NOW(),K1509),""))</f>
        <v>Date</v>
      </c>
    </row>
    <row r="1510" spans="2:11">
      <c r="B1510" s="97" t="str">
        <f ca="1">IF(A1510="","Date",IF(A1510&lt;&gt;"",IF(B1510="Date",NOW(),B1510),""))</f>
        <v>Date</v>
      </c>
      <c r="C1510" s="19" t="str">
        <f>IF(ISBLANK(A1510),"Name",IF(ISNA(VLOOKUP(A1510,'Master List'!A:C,2,FALSE)), "Not Found", VLOOKUP(A1510,'Master List'!A:C,2,FALSE)))</f>
        <v>Name</v>
      </c>
      <c r="D1510" s="19" t="str">
        <f>IF(ISBLANK(A1510), "Email",IF(ISNA(VLOOKUP(A1510,'Master List'!A:C,3,FALSE)), "Not Found", VLOOKUP(A1510,'Master List'!A:C,3,FALSE)))</f>
        <v>Email</v>
      </c>
      <c r="F1510" s="4" t="str">
        <f>IF(OR(A1510="",E1510="","",A1510="?",E1510="?"),"duplicate?",IF(COUNTIFS($A:A,A1510,E:E,E1510)&gt;1,"yes","no"))</f>
        <v>duplicate?</v>
      </c>
      <c r="K1510" s="97" t="str">
        <f ca="1">IF(J1510="","Date",IF(J1510&lt;&gt;"",IF(K1510="Date",NOW(),K1510),""))</f>
        <v>Date</v>
      </c>
    </row>
    <row r="1511" spans="2:11">
      <c r="B1511" s="97" t="str">
        <f ca="1">IF(A1511="","Date",IF(A1511&lt;&gt;"",IF(B1511="Date",NOW(),B1511),""))</f>
        <v>Date</v>
      </c>
      <c r="C1511" s="19" t="str">
        <f>IF(ISBLANK(A1511),"Name",IF(ISNA(VLOOKUP(A1511,'Master List'!A:C,2,FALSE)), "Not Found", VLOOKUP(A1511,'Master List'!A:C,2,FALSE)))</f>
        <v>Name</v>
      </c>
      <c r="D1511" s="19" t="str">
        <f>IF(ISBLANK(A1511), "Email",IF(ISNA(VLOOKUP(A1511,'Master List'!A:C,3,FALSE)), "Not Found", VLOOKUP(A1511,'Master List'!A:C,3,FALSE)))</f>
        <v>Email</v>
      </c>
      <c r="F1511" s="4" t="str">
        <f>IF(OR(A1511="",E1511="","",A1511="?",E1511="?"),"duplicate?",IF(COUNTIFS($A:A,A1511,E:E,E1511)&gt;1,"yes","no"))</f>
        <v>duplicate?</v>
      </c>
      <c r="K1511" s="97" t="str">
        <f ca="1">IF(J1511="","Date",IF(J1511&lt;&gt;"",IF(K1511="Date",NOW(),K1511),""))</f>
        <v>Date</v>
      </c>
    </row>
    <row r="1512" spans="2:11">
      <c r="B1512" s="97" t="str">
        <f ca="1">IF(A1512="","Date",IF(A1512&lt;&gt;"",IF(B1512="Date",NOW(),B1512),""))</f>
        <v>Date</v>
      </c>
      <c r="C1512" s="19" t="str">
        <f>IF(ISBLANK(A1512),"Name",IF(ISNA(VLOOKUP(A1512,'Master List'!A:C,2,FALSE)), "Not Found", VLOOKUP(A1512,'Master List'!A:C,2,FALSE)))</f>
        <v>Name</v>
      </c>
      <c r="D1512" s="19" t="str">
        <f>IF(ISBLANK(A1512), "Email",IF(ISNA(VLOOKUP(A1512,'Master List'!A:C,3,FALSE)), "Not Found", VLOOKUP(A1512,'Master List'!A:C,3,FALSE)))</f>
        <v>Email</v>
      </c>
      <c r="F1512" s="4" t="str">
        <f>IF(OR(A1512="",E1512="","",A1512="?",E1512="?"),"duplicate?",IF(COUNTIFS($A:A,A1512,E:E,E1512)&gt;1,"yes","no"))</f>
        <v>duplicate?</v>
      </c>
      <c r="K1512" s="97" t="str">
        <f ca="1">IF(J1512="","Date",IF(J1512&lt;&gt;"",IF(K1512="Date",NOW(),K1512),""))</f>
        <v>Date</v>
      </c>
    </row>
    <row r="1513" spans="2:11">
      <c r="B1513" s="97" t="str">
        <f ca="1">IF(A1513="","Date",IF(A1513&lt;&gt;"",IF(B1513="Date",NOW(),B1513),""))</f>
        <v>Date</v>
      </c>
      <c r="C1513" s="19" t="str">
        <f>IF(ISBLANK(A1513),"Name",IF(ISNA(VLOOKUP(A1513,'Master List'!A:C,2,FALSE)), "Not Found", VLOOKUP(A1513,'Master List'!A:C,2,FALSE)))</f>
        <v>Name</v>
      </c>
      <c r="D1513" s="19" t="str">
        <f>IF(ISBLANK(A1513), "Email",IF(ISNA(VLOOKUP(A1513,'Master List'!A:C,3,FALSE)), "Not Found", VLOOKUP(A1513,'Master List'!A:C,3,FALSE)))</f>
        <v>Email</v>
      </c>
      <c r="F1513" s="4" t="str">
        <f>IF(OR(A1513="",E1513="","",A1513="?",E1513="?"),"duplicate?",IF(COUNTIFS($A:A,A1513,E:E,E1513)&gt;1,"yes","no"))</f>
        <v>duplicate?</v>
      </c>
      <c r="K1513" s="97" t="str">
        <f ca="1">IF(J1513="","Date",IF(J1513&lt;&gt;"",IF(K1513="Date",NOW(),K1513),""))</f>
        <v>Date</v>
      </c>
    </row>
    <row r="1514" spans="2:11">
      <c r="B1514" s="97" t="str">
        <f ca="1">IF(A1514="","Date",IF(A1514&lt;&gt;"",IF(B1514="Date",NOW(),B1514),""))</f>
        <v>Date</v>
      </c>
      <c r="C1514" s="19" t="str">
        <f>IF(ISBLANK(A1514),"Name",IF(ISNA(VLOOKUP(A1514,'Master List'!A:C,2,FALSE)), "Not Found", VLOOKUP(A1514,'Master List'!A:C,2,FALSE)))</f>
        <v>Name</v>
      </c>
      <c r="D1514" s="19" t="str">
        <f>IF(ISBLANK(A1514), "Email",IF(ISNA(VLOOKUP(A1514,'Master List'!A:C,3,FALSE)), "Not Found", VLOOKUP(A1514,'Master List'!A:C,3,FALSE)))</f>
        <v>Email</v>
      </c>
      <c r="F1514" s="4" t="str">
        <f>IF(OR(A1514="",E1514="","",A1514="?",E1514="?"),"duplicate?",IF(COUNTIFS($A:A,A1514,E:E,E1514)&gt;1,"yes","no"))</f>
        <v>duplicate?</v>
      </c>
      <c r="K1514" s="97" t="str">
        <f ca="1">IF(J1514="","Date",IF(J1514&lt;&gt;"",IF(K1514="Date",NOW(),K1514),""))</f>
        <v>Date</v>
      </c>
    </row>
    <row r="1515" spans="2:11">
      <c r="B1515" s="97" t="str">
        <f ca="1">IF(A1515="","Date",IF(A1515&lt;&gt;"",IF(B1515="Date",NOW(),B1515),""))</f>
        <v>Date</v>
      </c>
      <c r="C1515" s="19" t="str">
        <f>IF(ISBLANK(A1515),"Name",IF(ISNA(VLOOKUP(A1515,'Master List'!A:C,2,FALSE)), "Not Found", VLOOKUP(A1515,'Master List'!A:C,2,FALSE)))</f>
        <v>Name</v>
      </c>
      <c r="D1515" s="19" t="str">
        <f>IF(ISBLANK(A1515), "Email",IF(ISNA(VLOOKUP(A1515,'Master List'!A:C,3,FALSE)), "Not Found", VLOOKUP(A1515,'Master List'!A:C,3,FALSE)))</f>
        <v>Email</v>
      </c>
      <c r="F1515" s="4" t="str">
        <f>IF(OR(A1515="",E1515="","",A1515="?",E1515="?"),"duplicate?",IF(COUNTIFS($A:A,A1515,E:E,E1515)&gt;1,"yes","no"))</f>
        <v>duplicate?</v>
      </c>
      <c r="K1515" s="97" t="str">
        <f ca="1">IF(J1515="","Date",IF(J1515&lt;&gt;"",IF(K1515="Date",NOW(),K1515),""))</f>
        <v>Date</v>
      </c>
    </row>
    <row r="1516" spans="2:11">
      <c r="B1516" s="97" t="str">
        <f ca="1">IF(A1516="","Date",IF(A1516&lt;&gt;"",IF(B1516="Date",NOW(),B1516),""))</f>
        <v>Date</v>
      </c>
      <c r="C1516" s="19" t="str">
        <f>IF(ISBLANK(A1516),"Name",IF(ISNA(VLOOKUP(A1516,'Master List'!A:C,2,FALSE)), "Not Found", VLOOKUP(A1516,'Master List'!A:C,2,FALSE)))</f>
        <v>Name</v>
      </c>
      <c r="D1516" s="19" t="str">
        <f>IF(ISBLANK(A1516), "Email",IF(ISNA(VLOOKUP(A1516,'Master List'!A:C,3,FALSE)), "Not Found", VLOOKUP(A1516,'Master List'!A:C,3,FALSE)))</f>
        <v>Email</v>
      </c>
      <c r="F1516" s="4" t="str">
        <f>IF(OR(A1516="",E1516="","",A1516="?",E1516="?"),"duplicate?",IF(COUNTIFS($A:A,A1516,E:E,E1516)&gt;1,"yes","no"))</f>
        <v>duplicate?</v>
      </c>
      <c r="K1516" s="97" t="str">
        <f ca="1">IF(J1516="","Date",IF(J1516&lt;&gt;"",IF(K1516="Date",NOW(),K1516),""))</f>
        <v>Date</v>
      </c>
    </row>
    <row r="1517" spans="2:11">
      <c r="B1517" s="97" t="str">
        <f ca="1">IF(A1517="","Date",IF(A1517&lt;&gt;"",IF(B1517="Date",NOW(),B1517),""))</f>
        <v>Date</v>
      </c>
      <c r="C1517" s="19" t="str">
        <f>IF(ISBLANK(A1517),"Name",IF(ISNA(VLOOKUP(A1517,'Master List'!A:C,2,FALSE)), "Not Found", VLOOKUP(A1517,'Master List'!A:C,2,FALSE)))</f>
        <v>Name</v>
      </c>
      <c r="D1517" s="19" t="str">
        <f>IF(ISBLANK(A1517), "Email",IF(ISNA(VLOOKUP(A1517,'Master List'!A:C,3,FALSE)), "Not Found", VLOOKUP(A1517,'Master List'!A:C,3,FALSE)))</f>
        <v>Email</v>
      </c>
      <c r="F1517" s="4" t="str">
        <f>IF(OR(A1517="",E1517="","",A1517="?",E1517="?"),"duplicate?",IF(COUNTIFS($A:A,A1517,E:E,E1517)&gt;1,"yes","no"))</f>
        <v>duplicate?</v>
      </c>
      <c r="K1517" s="97" t="str">
        <f ca="1">IF(J1517="","Date",IF(J1517&lt;&gt;"",IF(K1517="Date",NOW(),K1517),""))</f>
        <v>Date</v>
      </c>
    </row>
    <row r="1518" spans="2:11">
      <c r="B1518" s="97" t="str">
        <f ca="1">IF(A1518="","Date",IF(A1518&lt;&gt;"",IF(B1518="Date",NOW(),B1518),""))</f>
        <v>Date</v>
      </c>
      <c r="C1518" s="19" t="str">
        <f>IF(ISBLANK(A1518),"Name",IF(ISNA(VLOOKUP(A1518,'Master List'!A:C,2,FALSE)), "Not Found", VLOOKUP(A1518,'Master List'!A:C,2,FALSE)))</f>
        <v>Name</v>
      </c>
      <c r="D1518" s="19" t="str">
        <f>IF(ISBLANK(A1518), "Email",IF(ISNA(VLOOKUP(A1518,'Master List'!A:C,3,FALSE)), "Not Found", VLOOKUP(A1518,'Master List'!A:C,3,FALSE)))</f>
        <v>Email</v>
      </c>
      <c r="F1518" s="4" t="str">
        <f>IF(OR(A1518="",E1518="","",A1518="?",E1518="?"),"duplicate?",IF(COUNTIFS($A:A,A1518,E:E,E1518)&gt;1,"yes","no"))</f>
        <v>duplicate?</v>
      </c>
      <c r="K1518" s="97" t="str">
        <f ca="1">IF(J1518="","Date",IF(J1518&lt;&gt;"",IF(K1518="Date",NOW(),K1518),""))</f>
        <v>Date</v>
      </c>
    </row>
    <row r="1519" spans="2:11">
      <c r="B1519" s="97" t="str">
        <f ca="1">IF(A1519="","Date",IF(A1519&lt;&gt;"",IF(B1519="Date",NOW(),B1519),""))</f>
        <v>Date</v>
      </c>
      <c r="C1519" s="19" t="str">
        <f>IF(ISBLANK(A1519),"Name",IF(ISNA(VLOOKUP(A1519,'Master List'!A:C,2,FALSE)), "Not Found", VLOOKUP(A1519,'Master List'!A:C,2,FALSE)))</f>
        <v>Name</v>
      </c>
      <c r="D1519" s="19" t="str">
        <f>IF(ISBLANK(A1519), "Email",IF(ISNA(VLOOKUP(A1519,'Master List'!A:C,3,FALSE)), "Not Found", VLOOKUP(A1519,'Master List'!A:C,3,FALSE)))</f>
        <v>Email</v>
      </c>
      <c r="F1519" s="4" t="str">
        <f>IF(OR(A1519="",E1519="","",A1519="?",E1519="?"),"duplicate?",IF(COUNTIFS($A:A,A1519,E:E,E1519)&gt;1,"yes","no"))</f>
        <v>duplicate?</v>
      </c>
      <c r="K1519" s="97" t="str">
        <f ca="1">IF(J1519="","Date",IF(J1519&lt;&gt;"",IF(K1519="Date",NOW(),K1519),""))</f>
        <v>Date</v>
      </c>
    </row>
    <row r="1520" spans="2:11">
      <c r="B1520" s="97" t="str">
        <f ca="1">IF(A1520="","Date",IF(A1520&lt;&gt;"",IF(B1520="Date",NOW(),B1520),""))</f>
        <v>Date</v>
      </c>
      <c r="C1520" s="19" t="str">
        <f>IF(ISBLANK(A1520),"Name",IF(ISNA(VLOOKUP(A1520,'Master List'!A:C,2,FALSE)), "Not Found", VLOOKUP(A1520,'Master List'!A:C,2,FALSE)))</f>
        <v>Name</v>
      </c>
      <c r="D1520" s="19" t="str">
        <f>IF(ISBLANK(A1520), "Email",IF(ISNA(VLOOKUP(A1520,'Master List'!A:C,3,FALSE)), "Not Found", VLOOKUP(A1520,'Master List'!A:C,3,FALSE)))</f>
        <v>Email</v>
      </c>
      <c r="F1520" s="4" t="str">
        <f>IF(OR(A1520="",E1520="","",A1520="?",E1520="?"),"duplicate?",IF(COUNTIFS($A:A,A1520,E:E,E1520)&gt;1,"yes","no"))</f>
        <v>duplicate?</v>
      </c>
      <c r="K1520" s="97" t="str">
        <f ca="1">IF(J1520="","Date",IF(J1520&lt;&gt;"",IF(K1520="Date",NOW(),K1520),""))</f>
        <v>Date</v>
      </c>
    </row>
    <row r="1521" spans="2:11">
      <c r="B1521" s="97" t="str">
        <f ca="1">IF(A1521="","Date",IF(A1521&lt;&gt;"",IF(B1521="Date",NOW(),B1521),""))</f>
        <v>Date</v>
      </c>
      <c r="C1521" s="19" t="str">
        <f>IF(ISBLANK(A1521),"Name",IF(ISNA(VLOOKUP(A1521,'Master List'!A:C,2,FALSE)), "Not Found", VLOOKUP(A1521,'Master List'!A:C,2,FALSE)))</f>
        <v>Name</v>
      </c>
      <c r="D1521" s="19" t="str">
        <f>IF(ISBLANK(A1521), "Email",IF(ISNA(VLOOKUP(A1521,'Master List'!A:C,3,FALSE)), "Not Found", VLOOKUP(A1521,'Master List'!A:C,3,FALSE)))</f>
        <v>Email</v>
      </c>
      <c r="F1521" s="4" t="str">
        <f>IF(OR(A1521="",E1521="","",A1521="?",E1521="?"),"duplicate?",IF(COUNTIFS($A:A,A1521,E:E,E1521)&gt;1,"yes","no"))</f>
        <v>duplicate?</v>
      </c>
      <c r="K1521" s="97" t="str">
        <f ca="1">IF(J1521="","Date",IF(J1521&lt;&gt;"",IF(K1521="Date",NOW(),K1521),""))</f>
        <v>Date</v>
      </c>
    </row>
    <row r="1522" spans="2:11">
      <c r="B1522" s="97" t="str">
        <f ca="1">IF(A1522="","Date",IF(A1522&lt;&gt;"",IF(B1522="Date",NOW(),B1522),""))</f>
        <v>Date</v>
      </c>
      <c r="C1522" s="19" t="str">
        <f>IF(ISBLANK(A1522),"Name",IF(ISNA(VLOOKUP(A1522,'Master List'!A:C,2,FALSE)), "Not Found", VLOOKUP(A1522,'Master List'!A:C,2,FALSE)))</f>
        <v>Name</v>
      </c>
      <c r="D1522" s="19" t="str">
        <f>IF(ISBLANK(A1522), "Email",IF(ISNA(VLOOKUP(A1522,'Master List'!A:C,3,FALSE)), "Not Found", VLOOKUP(A1522,'Master List'!A:C,3,FALSE)))</f>
        <v>Email</v>
      </c>
      <c r="F1522" s="4" t="str">
        <f>IF(OR(A1522="",E1522="","",A1522="?",E1522="?"),"duplicate?",IF(COUNTIFS($A:A,A1522,E:E,E1522)&gt;1,"yes","no"))</f>
        <v>duplicate?</v>
      </c>
      <c r="K1522" s="97" t="str">
        <f ca="1">IF(J1522="","Date",IF(J1522&lt;&gt;"",IF(K1522="Date",NOW(),K1522),""))</f>
        <v>Date</v>
      </c>
    </row>
    <row r="1523" spans="2:11">
      <c r="B1523" s="97" t="str">
        <f ca="1">IF(A1523="","Date",IF(A1523&lt;&gt;"",IF(B1523="Date",NOW(),B1523),""))</f>
        <v>Date</v>
      </c>
      <c r="C1523" s="19" t="str">
        <f>IF(ISBLANK(A1523),"Name",IF(ISNA(VLOOKUP(A1523,'Master List'!A:C,2,FALSE)), "Not Found", VLOOKUP(A1523,'Master List'!A:C,2,FALSE)))</f>
        <v>Name</v>
      </c>
      <c r="D1523" s="19" t="str">
        <f>IF(ISBLANK(A1523), "Email",IF(ISNA(VLOOKUP(A1523,'Master List'!A:C,3,FALSE)), "Not Found", VLOOKUP(A1523,'Master List'!A:C,3,FALSE)))</f>
        <v>Email</v>
      </c>
      <c r="F1523" s="4" t="str">
        <f>IF(OR(A1523="",E1523="","",A1523="?",E1523="?"),"duplicate?",IF(COUNTIFS($A:A,A1523,E:E,E1523)&gt;1,"yes","no"))</f>
        <v>duplicate?</v>
      </c>
      <c r="K1523" s="97" t="str">
        <f ca="1">IF(J1523="","Date",IF(J1523&lt;&gt;"",IF(K1523="Date",NOW(),K1523),""))</f>
        <v>Date</v>
      </c>
    </row>
    <row r="1524" spans="2:11">
      <c r="B1524" s="97" t="str">
        <f ca="1">IF(A1524="","Date",IF(A1524&lt;&gt;"",IF(B1524="Date",NOW(),B1524),""))</f>
        <v>Date</v>
      </c>
      <c r="C1524" s="19" t="str">
        <f>IF(ISBLANK(A1524),"Name",IF(ISNA(VLOOKUP(A1524,'Master List'!A:C,2,FALSE)), "Not Found", VLOOKUP(A1524,'Master List'!A:C,2,FALSE)))</f>
        <v>Name</v>
      </c>
      <c r="D1524" s="19" t="str">
        <f>IF(ISBLANK(A1524), "Email",IF(ISNA(VLOOKUP(A1524,'Master List'!A:C,3,FALSE)), "Not Found", VLOOKUP(A1524,'Master List'!A:C,3,FALSE)))</f>
        <v>Email</v>
      </c>
      <c r="F1524" s="4" t="str">
        <f>IF(OR(A1524="",E1524="","",A1524="?",E1524="?"),"duplicate?",IF(COUNTIFS($A:A,A1524,E:E,E1524)&gt;1,"yes","no"))</f>
        <v>duplicate?</v>
      </c>
      <c r="K1524" s="97" t="str">
        <f ca="1">IF(J1524="","Date",IF(J1524&lt;&gt;"",IF(K1524="Date",NOW(),K1524),""))</f>
        <v>Date</v>
      </c>
    </row>
    <row r="1525" spans="2:11">
      <c r="B1525" s="97" t="str">
        <f ca="1">IF(A1525="","Date",IF(A1525&lt;&gt;"",IF(B1525="Date",NOW(),B1525),""))</f>
        <v>Date</v>
      </c>
      <c r="C1525" s="19" t="str">
        <f>IF(ISBLANK(A1525),"Name",IF(ISNA(VLOOKUP(A1525,'Master List'!A:C,2,FALSE)), "Not Found", VLOOKUP(A1525,'Master List'!A:C,2,FALSE)))</f>
        <v>Name</v>
      </c>
      <c r="D1525" s="19" t="str">
        <f>IF(ISBLANK(A1525), "Email",IF(ISNA(VLOOKUP(A1525,'Master List'!A:C,3,FALSE)), "Not Found", VLOOKUP(A1525,'Master List'!A:C,3,FALSE)))</f>
        <v>Email</v>
      </c>
      <c r="F1525" s="4" t="str">
        <f>IF(OR(A1525="",E1525="","",A1525="?",E1525="?"),"duplicate?",IF(COUNTIFS($A:A,A1525,E:E,E1525)&gt;1,"yes","no"))</f>
        <v>duplicate?</v>
      </c>
      <c r="K1525" s="97" t="str">
        <f ca="1">IF(J1525="","Date",IF(J1525&lt;&gt;"",IF(K1525="Date",NOW(),K1525),""))</f>
        <v>Date</v>
      </c>
    </row>
    <row r="1526" spans="2:11">
      <c r="B1526" s="97" t="str">
        <f ca="1">IF(A1526="","Date",IF(A1526&lt;&gt;"",IF(B1526="Date",NOW(),B1526),""))</f>
        <v>Date</v>
      </c>
      <c r="C1526" s="19" t="str">
        <f>IF(ISBLANK(A1526),"Name",IF(ISNA(VLOOKUP(A1526,'Master List'!A:C,2,FALSE)), "Not Found", VLOOKUP(A1526,'Master List'!A:C,2,FALSE)))</f>
        <v>Name</v>
      </c>
      <c r="D1526" s="19" t="str">
        <f>IF(ISBLANK(A1526), "Email",IF(ISNA(VLOOKUP(A1526,'Master List'!A:C,3,FALSE)), "Not Found", VLOOKUP(A1526,'Master List'!A:C,3,FALSE)))</f>
        <v>Email</v>
      </c>
      <c r="F1526" s="4" t="str">
        <f>IF(OR(A1526="",E1526="","",A1526="?",E1526="?"),"duplicate?",IF(COUNTIFS($A:A,A1526,E:E,E1526)&gt;1,"yes","no"))</f>
        <v>duplicate?</v>
      </c>
      <c r="K1526" s="97" t="str">
        <f ca="1">IF(J1526="","Date",IF(J1526&lt;&gt;"",IF(K1526="Date",NOW(),K1526),""))</f>
        <v>Date</v>
      </c>
    </row>
    <row r="1527" spans="2:11">
      <c r="B1527" s="97" t="str">
        <f ca="1">IF(A1527="","Date",IF(A1527&lt;&gt;"",IF(B1527="Date",NOW(),B1527),""))</f>
        <v>Date</v>
      </c>
      <c r="C1527" s="19" t="str">
        <f>IF(ISBLANK(A1527),"Name",IF(ISNA(VLOOKUP(A1527,'Master List'!A:C,2,FALSE)), "Not Found", VLOOKUP(A1527,'Master List'!A:C,2,FALSE)))</f>
        <v>Name</v>
      </c>
      <c r="D1527" s="19" t="str">
        <f>IF(ISBLANK(A1527), "Email",IF(ISNA(VLOOKUP(A1527,'Master List'!A:C,3,FALSE)), "Not Found", VLOOKUP(A1527,'Master List'!A:C,3,FALSE)))</f>
        <v>Email</v>
      </c>
      <c r="F1527" s="4" t="str">
        <f>IF(OR(A1527="",E1527="","",A1527="?",E1527="?"),"duplicate?",IF(COUNTIFS($A:A,A1527,E:E,E1527)&gt;1,"yes","no"))</f>
        <v>duplicate?</v>
      </c>
      <c r="K1527" s="97" t="str">
        <f ca="1">IF(J1527="","Date",IF(J1527&lt;&gt;"",IF(K1527="Date",NOW(),K1527),""))</f>
        <v>Date</v>
      </c>
    </row>
    <row r="1528" spans="2:11">
      <c r="B1528" s="97" t="str">
        <f ca="1">IF(A1528="","Date",IF(A1528&lt;&gt;"",IF(B1528="Date",NOW(),B1528),""))</f>
        <v>Date</v>
      </c>
      <c r="C1528" s="19" t="str">
        <f>IF(ISBLANK(A1528),"Name",IF(ISNA(VLOOKUP(A1528,'Master List'!A:C,2,FALSE)), "Not Found", VLOOKUP(A1528,'Master List'!A:C,2,FALSE)))</f>
        <v>Name</v>
      </c>
      <c r="D1528" s="19" t="str">
        <f>IF(ISBLANK(A1528), "Email",IF(ISNA(VLOOKUP(A1528,'Master List'!A:C,3,FALSE)), "Not Found", VLOOKUP(A1528,'Master List'!A:C,3,FALSE)))</f>
        <v>Email</v>
      </c>
      <c r="F1528" s="4" t="str">
        <f>IF(OR(A1528="",E1528="","",A1528="?",E1528="?"),"duplicate?",IF(COUNTIFS($A:A,A1528,E:E,E1528)&gt;1,"yes","no"))</f>
        <v>duplicate?</v>
      </c>
      <c r="K1528" s="97" t="str">
        <f ca="1">IF(J1528="","Date",IF(J1528&lt;&gt;"",IF(K1528="Date",NOW(),K1528),""))</f>
        <v>Date</v>
      </c>
    </row>
    <row r="1529" spans="2:11">
      <c r="B1529" s="97" t="str">
        <f ca="1">IF(A1529="","Date",IF(A1529&lt;&gt;"",IF(B1529="Date",NOW(),B1529),""))</f>
        <v>Date</v>
      </c>
      <c r="C1529" s="19" t="str">
        <f>IF(ISBLANK(A1529),"Name",IF(ISNA(VLOOKUP(A1529,'Master List'!A:C,2,FALSE)), "Not Found", VLOOKUP(A1529,'Master List'!A:C,2,FALSE)))</f>
        <v>Name</v>
      </c>
      <c r="D1529" s="19" t="str">
        <f>IF(ISBLANK(A1529), "Email",IF(ISNA(VLOOKUP(A1529,'Master List'!A:C,3,FALSE)), "Not Found", VLOOKUP(A1529,'Master List'!A:C,3,FALSE)))</f>
        <v>Email</v>
      </c>
      <c r="F1529" s="4" t="str">
        <f>IF(OR(A1529="",E1529="","",A1529="?",E1529="?"),"duplicate?",IF(COUNTIFS($A:A,A1529,E:E,E1529)&gt;1,"yes","no"))</f>
        <v>duplicate?</v>
      </c>
      <c r="K1529" s="97" t="str">
        <f ca="1">IF(J1529="","Date",IF(J1529&lt;&gt;"",IF(K1529="Date",NOW(),K1529),""))</f>
        <v>Date</v>
      </c>
    </row>
    <row r="1530" spans="2:11">
      <c r="B1530" s="97" t="str">
        <f ca="1">IF(A1530="","Date",IF(A1530&lt;&gt;"",IF(B1530="Date",NOW(),B1530),""))</f>
        <v>Date</v>
      </c>
      <c r="C1530" s="19" t="str">
        <f>IF(ISBLANK(A1530),"Name",IF(ISNA(VLOOKUP(A1530,'Master List'!A:C,2,FALSE)), "Not Found", VLOOKUP(A1530,'Master List'!A:C,2,FALSE)))</f>
        <v>Name</v>
      </c>
      <c r="D1530" s="19" t="str">
        <f>IF(ISBLANK(A1530), "Email",IF(ISNA(VLOOKUP(A1530,'Master List'!A:C,3,FALSE)), "Not Found", VLOOKUP(A1530,'Master List'!A:C,3,FALSE)))</f>
        <v>Email</v>
      </c>
      <c r="F1530" s="4" t="str">
        <f>IF(OR(A1530="",E1530="","",A1530="?",E1530="?"),"duplicate?",IF(COUNTIFS($A:A,A1530,E:E,E1530)&gt;1,"yes","no"))</f>
        <v>duplicate?</v>
      </c>
      <c r="K1530" s="97" t="str">
        <f ca="1">IF(J1530="","Date",IF(J1530&lt;&gt;"",IF(K1530="Date",NOW(),K1530),""))</f>
        <v>Date</v>
      </c>
    </row>
    <row r="1531" spans="2:11">
      <c r="B1531" s="97" t="str">
        <f ca="1">IF(A1531="","Date",IF(A1531&lt;&gt;"",IF(B1531="Date",NOW(),B1531),""))</f>
        <v>Date</v>
      </c>
      <c r="C1531" s="19" t="str">
        <f>IF(ISBLANK(A1531),"Name",IF(ISNA(VLOOKUP(A1531,'Master List'!A:C,2,FALSE)), "Not Found", VLOOKUP(A1531,'Master List'!A:C,2,FALSE)))</f>
        <v>Name</v>
      </c>
      <c r="D1531" s="19" t="str">
        <f>IF(ISBLANK(A1531), "Email",IF(ISNA(VLOOKUP(A1531,'Master List'!A:C,3,FALSE)), "Not Found", VLOOKUP(A1531,'Master List'!A:C,3,FALSE)))</f>
        <v>Email</v>
      </c>
      <c r="F1531" s="4" t="str">
        <f>IF(OR(A1531="",E1531="","",A1531="?",E1531="?"),"duplicate?",IF(COUNTIFS($A:A,A1531,E:E,E1531)&gt;1,"yes","no"))</f>
        <v>duplicate?</v>
      </c>
      <c r="K1531" s="97" t="str">
        <f ca="1">IF(J1531="","Date",IF(J1531&lt;&gt;"",IF(K1531="Date",NOW(),K1531),""))</f>
        <v>Date</v>
      </c>
    </row>
    <row r="1532" spans="2:11">
      <c r="B1532" s="97" t="str">
        <f ca="1">IF(A1532="","Date",IF(A1532&lt;&gt;"",IF(B1532="Date",NOW(),B1532),""))</f>
        <v>Date</v>
      </c>
      <c r="C1532" s="19" t="str">
        <f>IF(ISBLANK(A1532),"Name",IF(ISNA(VLOOKUP(A1532,'Master List'!A:C,2,FALSE)), "Not Found", VLOOKUP(A1532,'Master List'!A:C,2,FALSE)))</f>
        <v>Name</v>
      </c>
      <c r="D1532" s="19" t="str">
        <f>IF(ISBLANK(A1532), "Email",IF(ISNA(VLOOKUP(A1532,'Master List'!A:C,3,FALSE)), "Not Found", VLOOKUP(A1532,'Master List'!A:C,3,FALSE)))</f>
        <v>Email</v>
      </c>
      <c r="F1532" s="4" t="str">
        <f>IF(OR(A1532="",E1532="","",A1532="?",E1532="?"),"duplicate?",IF(COUNTIFS($A:A,A1532,E:E,E1532)&gt;1,"yes","no"))</f>
        <v>duplicate?</v>
      </c>
      <c r="K1532" s="97" t="str">
        <f ca="1">IF(J1532="","Date",IF(J1532&lt;&gt;"",IF(K1532="Date",NOW(),K1532),""))</f>
        <v>Date</v>
      </c>
    </row>
    <row r="1533" spans="2:11">
      <c r="B1533" s="97" t="str">
        <f ca="1">IF(A1533="","Date",IF(A1533&lt;&gt;"",IF(B1533="Date",NOW(),B1533),""))</f>
        <v>Date</v>
      </c>
      <c r="C1533" s="19" t="str">
        <f>IF(ISBLANK(A1533),"Name",IF(ISNA(VLOOKUP(A1533,'Master List'!A:C,2,FALSE)), "Not Found", VLOOKUP(A1533,'Master List'!A:C,2,FALSE)))</f>
        <v>Name</v>
      </c>
      <c r="D1533" s="19" t="str">
        <f>IF(ISBLANK(A1533), "Email",IF(ISNA(VLOOKUP(A1533,'Master List'!A:C,3,FALSE)), "Not Found", VLOOKUP(A1533,'Master List'!A:C,3,FALSE)))</f>
        <v>Email</v>
      </c>
      <c r="F1533" s="4" t="str">
        <f>IF(OR(A1533="",E1533="","",A1533="?",E1533="?"),"duplicate?",IF(COUNTIFS($A:A,A1533,E:E,E1533)&gt;1,"yes","no"))</f>
        <v>duplicate?</v>
      </c>
      <c r="K1533" s="97" t="str">
        <f ca="1">IF(J1533="","Date",IF(J1533&lt;&gt;"",IF(K1533="Date",NOW(),K1533),""))</f>
        <v>Date</v>
      </c>
    </row>
    <row r="1534" spans="2:11">
      <c r="B1534" s="97" t="str">
        <f ca="1">IF(A1534="","Date",IF(A1534&lt;&gt;"",IF(B1534="Date",NOW(),B1534),""))</f>
        <v>Date</v>
      </c>
      <c r="C1534" s="19" t="str">
        <f>IF(ISBLANK(A1534),"Name",IF(ISNA(VLOOKUP(A1534,'Master List'!A:C,2,FALSE)), "Not Found", VLOOKUP(A1534,'Master List'!A:C,2,FALSE)))</f>
        <v>Name</v>
      </c>
      <c r="D1534" s="19" t="str">
        <f>IF(ISBLANK(A1534), "Email",IF(ISNA(VLOOKUP(A1534,'Master List'!A:C,3,FALSE)), "Not Found", VLOOKUP(A1534,'Master List'!A:C,3,FALSE)))</f>
        <v>Email</v>
      </c>
      <c r="F1534" s="4" t="str">
        <f>IF(OR(A1534="",E1534="","",A1534="?",E1534="?"),"duplicate?",IF(COUNTIFS($A:A,A1534,E:E,E1534)&gt;1,"yes","no"))</f>
        <v>duplicate?</v>
      </c>
      <c r="K1534" s="97" t="str">
        <f ca="1">IF(J1534="","Date",IF(J1534&lt;&gt;"",IF(K1534="Date",NOW(),K1534),""))</f>
        <v>Date</v>
      </c>
    </row>
    <row r="1535" spans="2:11">
      <c r="B1535" s="97" t="str">
        <f ca="1">IF(A1535="","Date",IF(A1535&lt;&gt;"",IF(B1535="Date",NOW(),B1535),""))</f>
        <v>Date</v>
      </c>
      <c r="C1535" s="19" t="str">
        <f>IF(ISBLANK(A1535),"Name",IF(ISNA(VLOOKUP(A1535,'Master List'!A:C,2,FALSE)), "Not Found", VLOOKUP(A1535,'Master List'!A:C,2,FALSE)))</f>
        <v>Name</v>
      </c>
      <c r="D1535" s="19" t="str">
        <f>IF(ISBLANK(A1535), "Email",IF(ISNA(VLOOKUP(A1535,'Master List'!A:C,3,FALSE)), "Not Found", VLOOKUP(A1535,'Master List'!A:C,3,FALSE)))</f>
        <v>Email</v>
      </c>
      <c r="F1535" s="4" t="str">
        <f>IF(OR(A1535="",E1535="","",A1535="?",E1535="?"),"duplicate?",IF(COUNTIFS($A:A,A1535,E:E,E1535)&gt;1,"yes","no"))</f>
        <v>duplicate?</v>
      </c>
      <c r="K1535" s="97" t="str">
        <f ca="1">IF(J1535="","Date",IF(J1535&lt;&gt;"",IF(K1535="Date",NOW(),K1535),""))</f>
        <v>Date</v>
      </c>
    </row>
    <row r="1536" spans="2:11">
      <c r="B1536" s="97" t="str">
        <f ca="1">IF(A1536="","Date",IF(A1536&lt;&gt;"",IF(B1536="Date",NOW(),B1536),""))</f>
        <v>Date</v>
      </c>
      <c r="C1536" s="19" t="str">
        <f>IF(ISBLANK(A1536),"Name",IF(ISNA(VLOOKUP(A1536,'Master List'!A:C,2,FALSE)), "Not Found", VLOOKUP(A1536,'Master List'!A:C,2,FALSE)))</f>
        <v>Name</v>
      </c>
      <c r="D1536" s="19" t="str">
        <f>IF(ISBLANK(A1536), "Email",IF(ISNA(VLOOKUP(A1536,'Master List'!A:C,3,FALSE)), "Not Found", VLOOKUP(A1536,'Master List'!A:C,3,FALSE)))</f>
        <v>Email</v>
      </c>
      <c r="F1536" s="4" t="str">
        <f>IF(OR(A1536="",E1536="","",A1536="?",E1536="?"),"duplicate?",IF(COUNTIFS($A:A,A1536,E:E,E1536)&gt;1,"yes","no"))</f>
        <v>duplicate?</v>
      </c>
      <c r="K1536" s="97" t="str">
        <f ca="1">IF(J1536="","Date",IF(J1536&lt;&gt;"",IF(K1536="Date",NOW(),K1536),""))</f>
        <v>Date</v>
      </c>
    </row>
    <row r="1537" spans="2:11">
      <c r="B1537" s="97" t="str">
        <f ca="1">IF(A1537="","Date",IF(A1537&lt;&gt;"",IF(B1537="Date",NOW(),B1537),""))</f>
        <v>Date</v>
      </c>
      <c r="C1537" s="19" t="str">
        <f>IF(ISBLANK(A1537),"Name",IF(ISNA(VLOOKUP(A1537,'Master List'!A:C,2,FALSE)), "Not Found", VLOOKUP(A1537,'Master List'!A:C,2,FALSE)))</f>
        <v>Name</v>
      </c>
      <c r="D1537" s="19" t="str">
        <f>IF(ISBLANK(A1537), "Email",IF(ISNA(VLOOKUP(A1537,'Master List'!A:C,3,FALSE)), "Not Found", VLOOKUP(A1537,'Master List'!A:C,3,FALSE)))</f>
        <v>Email</v>
      </c>
      <c r="F1537" s="4" t="str">
        <f>IF(OR(A1537="",E1537="","",A1537="?",E1537="?"),"duplicate?",IF(COUNTIFS($A:A,A1537,E:E,E1537)&gt;1,"yes","no"))</f>
        <v>duplicate?</v>
      </c>
      <c r="K1537" s="97" t="str">
        <f ca="1">IF(J1537="","Date",IF(J1537&lt;&gt;"",IF(K1537="Date",NOW(),K1537),""))</f>
        <v>Date</v>
      </c>
    </row>
    <row r="1538" spans="2:11">
      <c r="B1538" s="97" t="str">
        <f ca="1">IF(A1538="","Date",IF(A1538&lt;&gt;"",IF(B1538="Date",NOW(),B1538),""))</f>
        <v>Date</v>
      </c>
      <c r="C1538" s="19" t="str">
        <f>IF(ISBLANK(A1538),"Name",IF(ISNA(VLOOKUP(A1538,'Master List'!A:C,2,FALSE)), "Not Found", VLOOKUP(A1538,'Master List'!A:C,2,FALSE)))</f>
        <v>Name</v>
      </c>
      <c r="D1538" s="19" t="str">
        <f>IF(ISBLANK(A1538), "Email",IF(ISNA(VLOOKUP(A1538,'Master List'!A:C,3,FALSE)), "Not Found", VLOOKUP(A1538,'Master List'!A:C,3,FALSE)))</f>
        <v>Email</v>
      </c>
      <c r="F1538" s="4" t="str">
        <f>IF(OR(A1538="",E1538="","",A1538="?",E1538="?"),"duplicate?",IF(COUNTIFS($A:A,A1538,E:E,E1538)&gt;1,"yes","no"))</f>
        <v>duplicate?</v>
      </c>
      <c r="K1538" s="97" t="str">
        <f ca="1">IF(J1538="","Date",IF(J1538&lt;&gt;"",IF(K1538="Date",NOW(),K1538),""))</f>
        <v>Date</v>
      </c>
    </row>
    <row r="1539" spans="2:11">
      <c r="B1539" s="97" t="str">
        <f ca="1">IF(A1539="","Date",IF(A1539&lt;&gt;"",IF(B1539="Date",NOW(),B1539),""))</f>
        <v>Date</v>
      </c>
      <c r="C1539" s="19" t="str">
        <f>IF(ISBLANK(A1539),"Name",IF(ISNA(VLOOKUP(A1539,'Master List'!A:C,2,FALSE)), "Not Found", VLOOKUP(A1539,'Master List'!A:C,2,FALSE)))</f>
        <v>Name</v>
      </c>
      <c r="D1539" s="19" t="str">
        <f>IF(ISBLANK(A1539), "Email",IF(ISNA(VLOOKUP(A1539,'Master List'!A:C,3,FALSE)), "Not Found", VLOOKUP(A1539,'Master List'!A:C,3,FALSE)))</f>
        <v>Email</v>
      </c>
      <c r="F1539" s="4" t="str">
        <f>IF(OR(A1539="",E1539="","",A1539="?",E1539="?"),"duplicate?",IF(COUNTIFS($A:A,A1539,E:E,E1539)&gt;1,"yes","no"))</f>
        <v>duplicate?</v>
      </c>
      <c r="K1539" s="97" t="str">
        <f ca="1">IF(J1539="","Date",IF(J1539&lt;&gt;"",IF(K1539="Date",NOW(),K1539),""))</f>
        <v>Date</v>
      </c>
    </row>
    <row r="1540" spans="2:11">
      <c r="B1540" s="97" t="str">
        <f ca="1">IF(A1540="","Date",IF(A1540&lt;&gt;"",IF(B1540="Date",NOW(),B1540),""))</f>
        <v>Date</v>
      </c>
      <c r="C1540" s="19" t="str">
        <f>IF(ISBLANK(A1540),"Name",IF(ISNA(VLOOKUP(A1540,'Master List'!A:C,2,FALSE)), "Not Found", VLOOKUP(A1540,'Master List'!A:C,2,FALSE)))</f>
        <v>Name</v>
      </c>
      <c r="D1540" s="19" t="str">
        <f>IF(ISBLANK(A1540), "Email",IF(ISNA(VLOOKUP(A1540,'Master List'!A:C,3,FALSE)), "Not Found", VLOOKUP(A1540,'Master List'!A:C,3,FALSE)))</f>
        <v>Email</v>
      </c>
      <c r="F1540" s="4" t="str">
        <f>IF(OR(A1540="",E1540="","",A1540="?",E1540="?"),"duplicate?",IF(COUNTIFS($A:A,A1540,E:E,E1540)&gt;1,"yes","no"))</f>
        <v>duplicate?</v>
      </c>
      <c r="K1540" s="97" t="str">
        <f ca="1">IF(J1540="","Date",IF(J1540&lt;&gt;"",IF(K1540="Date",NOW(),K1540),""))</f>
        <v>Date</v>
      </c>
    </row>
    <row r="1541" spans="2:11">
      <c r="B1541" s="97" t="str">
        <f ca="1">IF(A1541="","Date",IF(A1541&lt;&gt;"",IF(B1541="Date",NOW(),B1541),""))</f>
        <v>Date</v>
      </c>
      <c r="C1541" s="19" t="str">
        <f>IF(ISBLANK(A1541),"Name",IF(ISNA(VLOOKUP(A1541,'Master List'!A:C,2,FALSE)), "Not Found", VLOOKUP(A1541,'Master List'!A:C,2,FALSE)))</f>
        <v>Name</v>
      </c>
      <c r="D1541" s="19" t="str">
        <f>IF(ISBLANK(A1541), "Email",IF(ISNA(VLOOKUP(A1541,'Master List'!A:C,3,FALSE)), "Not Found", VLOOKUP(A1541,'Master List'!A:C,3,FALSE)))</f>
        <v>Email</v>
      </c>
      <c r="F1541" s="4" t="str">
        <f>IF(OR(A1541="",E1541="","",A1541="?",E1541="?"),"duplicate?",IF(COUNTIFS($A:A,A1541,E:E,E1541)&gt;1,"yes","no"))</f>
        <v>duplicate?</v>
      </c>
      <c r="K1541" s="97" t="str">
        <f ca="1">IF(J1541="","Date",IF(J1541&lt;&gt;"",IF(K1541="Date",NOW(),K1541),""))</f>
        <v>Date</v>
      </c>
    </row>
    <row r="1542" spans="2:11">
      <c r="B1542" s="97" t="str">
        <f ca="1">IF(A1542="","Date",IF(A1542&lt;&gt;"",IF(B1542="Date",NOW(),B1542),""))</f>
        <v>Date</v>
      </c>
      <c r="C1542" s="19" t="str">
        <f>IF(ISBLANK(A1542),"Name",IF(ISNA(VLOOKUP(A1542,'Master List'!A:C,2,FALSE)), "Not Found", VLOOKUP(A1542,'Master List'!A:C,2,FALSE)))</f>
        <v>Name</v>
      </c>
      <c r="D1542" s="19" t="str">
        <f>IF(ISBLANK(A1542), "Email",IF(ISNA(VLOOKUP(A1542,'Master List'!A:C,3,FALSE)), "Not Found", VLOOKUP(A1542,'Master List'!A:C,3,FALSE)))</f>
        <v>Email</v>
      </c>
      <c r="F1542" s="4" t="str">
        <f>IF(OR(A1542="",E1542="","",A1542="?",E1542="?"),"duplicate?",IF(COUNTIFS($A:A,A1542,E:E,E1542)&gt;1,"yes","no"))</f>
        <v>duplicate?</v>
      </c>
      <c r="K1542" s="97" t="str">
        <f ca="1">IF(J1542="","Date",IF(J1542&lt;&gt;"",IF(K1542="Date",NOW(),K1542),""))</f>
        <v>Date</v>
      </c>
    </row>
    <row r="1543" spans="2:11">
      <c r="B1543" s="97" t="str">
        <f ca="1">IF(A1543="","Date",IF(A1543&lt;&gt;"",IF(B1543="Date",NOW(),B1543),""))</f>
        <v>Date</v>
      </c>
      <c r="C1543" s="19" t="str">
        <f>IF(ISBLANK(A1543),"Name",IF(ISNA(VLOOKUP(A1543,'Master List'!A:C,2,FALSE)), "Not Found", VLOOKUP(A1543,'Master List'!A:C,2,FALSE)))</f>
        <v>Name</v>
      </c>
      <c r="D1543" s="19" t="str">
        <f>IF(ISBLANK(A1543), "Email",IF(ISNA(VLOOKUP(A1543,'Master List'!A:C,3,FALSE)), "Not Found", VLOOKUP(A1543,'Master List'!A:C,3,FALSE)))</f>
        <v>Email</v>
      </c>
      <c r="F1543" s="4" t="str">
        <f>IF(OR(A1543="",E1543="","",A1543="?",E1543="?"),"duplicate?",IF(COUNTIFS($A:A,A1543,E:E,E1543)&gt;1,"yes","no"))</f>
        <v>duplicate?</v>
      </c>
      <c r="K1543" s="97" t="str">
        <f ca="1">IF(J1543="","Date",IF(J1543&lt;&gt;"",IF(K1543="Date",NOW(),K1543),""))</f>
        <v>Date</v>
      </c>
    </row>
    <row r="1544" spans="2:11">
      <c r="B1544" s="97" t="str">
        <f ca="1">IF(A1544="","Date",IF(A1544&lt;&gt;"",IF(B1544="Date",NOW(),B1544),""))</f>
        <v>Date</v>
      </c>
      <c r="C1544" s="19" t="str">
        <f>IF(ISBLANK(A1544),"Name",IF(ISNA(VLOOKUP(A1544,'Master List'!A:C,2,FALSE)), "Not Found", VLOOKUP(A1544,'Master List'!A:C,2,FALSE)))</f>
        <v>Name</v>
      </c>
      <c r="D1544" s="19" t="str">
        <f>IF(ISBLANK(A1544), "Email",IF(ISNA(VLOOKUP(A1544,'Master List'!A:C,3,FALSE)), "Not Found", VLOOKUP(A1544,'Master List'!A:C,3,FALSE)))</f>
        <v>Email</v>
      </c>
      <c r="F1544" s="4" t="str">
        <f>IF(OR(A1544="",E1544="","",A1544="?",E1544="?"),"duplicate?",IF(COUNTIFS($A:A,A1544,E:E,E1544)&gt;1,"yes","no"))</f>
        <v>duplicate?</v>
      </c>
      <c r="K1544" s="97" t="str">
        <f ca="1">IF(J1544="","Date",IF(J1544&lt;&gt;"",IF(K1544="Date",NOW(),K1544),""))</f>
        <v>Date</v>
      </c>
    </row>
    <row r="1545" spans="2:11">
      <c r="B1545" s="97" t="str">
        <f ca="1">IF(A1545="","Date",IF(A1545&lt;&gt;"",IF(B1545="Date",NOW(),B1545),""))</f>
        <v>Date</v>
      </c>
      <c r="C1545" s="19" t="str">
        <f>IF(ISBLANK(A1545),"Name",IF(ISNA(VLOOKUP(A1545,'Master List'!A:C,2,FALSE)), "Not Found", VLOOKUP(A1545,'Master List'!A:C,2,FALSE)))</f>
        <v>Name</v>
      </c>
      <c r="D1545" s="19" t="str">
        <f>IF(ISBLANK(A1545), "Email",IF(ISNA(VLOOKUP(A1545,'Master List'!A:C,3,FALSE)), "Not Found", VLOOKUP(A1545,'Master List'!A:C,3,FALSE)))</f>
        <v>Email</v>
      </c>
      <c r="F1545" s="4" t="str">
        <f>IF(OR(A1545="",E1545="","",A1545="?",E1545="?"),"duplicate?",IF(COUNTIFS($A:A,A1545,E:E,E1545)&gt;1,"yes","no"))</f>
        <v>duplicate?</v>
      </c>
      <c r="K1545" s="97" t="str">
        <f ca="1">IF(J1545="","Date",IF(J1545&lt;&gt;"",IF(K1545="Date",NOW(),K1545),""))</f>
        <v>Date</v>
      </c>
    </row>
    <row r="1546" spans="2:11">
      <c r="B1546" s="97" t="str">
        <f ca="1">IF(A1546="","Date",IF(A1546&lt;&gt;"",IF(B1546="Date",NOW(),B1546),""))</f>
        <v>Date</v>
      </c>
      <c r="C1546" s="19" t="str">
        <f>IF(ISBLANK(A1546),"Name",IF(ISNA(VLOOKUP(A1546,'Master List'!A:C,2,FALSE)), "Not Found", VLOOKUP(A1546,'Master List'!A:C,2,FALSE)))</f>
        <v>Name</v>
      </c>
      <c r="D1546" s="19" t="str">
        <f>IF(ISBLANK(A1546), "Email",IF(ISNA(VLOOKUP(A1546,'Master List'!A:C,3,FALSE)), "Not Found", VLOOKUP(A1546,'Master List'!A:C,3,FALSE)))</f>
        <v>Email</v>
      </c>
      <c r="F1546" s="4" t="str">
        <f>IF(OR(A1546="",E1546="","",A1546="?",E1546="?"),"duplicate?",IF(COUNTIFS($A:A,A1546,E:E,E1546)&gt;1,"yes","no"))</f>
        <v>duplicate?</v>
      </c>
      <c r="K1546" s="97" t="str">
        <f ca="1">IF(J1546="","Date",IF(J1546&lt;&gt;"",IF(K1546="Date",NOW(),K1546),""))</f>
        <v>Date</v>
      </c>
    </row>
    <row r="1547" spans="2:11">
      <c r="B1547" s="97" t="str">
        <f ca="1">IF(A1547="","Date",IF(A1547&lt;&gt;"",IF(B1547="Date",NOW(),B1547),""))</f>
        <v>Date</v>
      </c>
      <c r="C1547" s="19" t="str">
        <f>IF(ISBLANK(A1547),"Name",IF(ISNA(VLOOKUP(A1547,'Master List'!A:C,2,FALSE)), "Not Found", VLOOKUP(A1547,'Master List'!A:C,2,FALSE)))</f>
        <v>Name</v>
      </c>
      <c r="D1547" s="19" t="str">
        <f>IF(ISBLANK(A1547), "Email",IF(ISNA(VLOOKUP(A1547,'Master List'!A:C,3,FALSE)), "Not Found", VLOOKUP(A1547,'Master List'!A:C,3,FALSE)))</f>
        <v>Email</v>
      </c>
      <c r="F1547" s="4" t="str">
        <f>IF(OR(A1547="",E1547="","",A1547="?",E1547="?"),"duplicate?",IF(COUNTIFS($A:A,A1547,E:E,E1547)&gt;1,"yes","no"))</f>
        <v>duplicate?</v>
      </c>
      <c r="K1547" s="97" t="str">
        <f ca="1">IF(J1547="","Date",IF(J1547&lt;&gt;"",IF(K1547="Date",NOW(),K1547),""))</f>
        <v>Date</v>
      </c>
    </row>
    <row r="1548" spans="2:11">
      <c r="B1548" s="97" t="str">
        <f ca="1">IF(A1548="","Date",IF(A1548&lt;&gt;"",IF(B1548="Date",NOW(),B1548),""))</f>
        <v>Date</v>
      </c>
      <c r="C1548" s="19" t="str">
        <f>IF(ISBLANK(A1548),"Name",IF(ISNA(VLOOKUP(A1548,'Master List'!A:C,2,FALSE)), "Not Found", VLOOKUP(A1548,'Master List'!A:C,2,FALSE)))</f>
        <v>Name</v>
      </c>
      <c r="D1548" s="19" t="str">
        <f>IF(ISBLANK(A1548), "Email",IF(ISNA(VLOOKUP(A1548,'Master List'!A:C,3,FALSE)), "Not Found", VLOOKUP(A1548,'Master List'!A:C,3,FALSE)))</f>
        <v>Email</v>
      </c>
      <c r="F1548" s="4" t="str">
        <f>IF(OR(A1548="",E1548="","",A1548="?",E1548="?"),"duplicate?",IF(COUNTIFS($A:A,A1548,E:E,E1548)&gt;1,"yes","no"))</f>
        <v>duplicate?</v>
      </c>
      <c r="K1548" s="97" t="str">
        <f ca="1">IF(J1548="","Date",IF(J1548&lt;&gt;"",IF(K1548="Date",NOW(),K1548),""))</f>
        <v>Date</v>
      </c>
    </row>
    <row r="1549" spans="2:11">
      <c r="B1549" s="97" t="str">
        <f ca="1">IF(A1549="","Date",IF(A1549&lt;&gt;"",IF(B1549="Date",NOW(),B1549),""))</f>
        <v>Date</v>
      </c>
      <c r="C1549" s="19" t="str">
        <f>IF(ISBLANK(A1549),"Name",IF(ISNA(VLOOKUP(A1549,'Master List'!A:C,2,FALSE)), "Not Found", VLOOKUP(A1549,'Master List'!A:C,2,FALSE)))</f>
        <v>Name</v>
      </c>
      <c r="D1549" s="19" t="str">
        <f>IF(ISBLANK(A1549), "Email",IF(ISNA(VLOOKUP(A1549,'Master List'!A:C,3,FALSE)), "Not Found", VLOOKUP(A1549,'Master List'!A:C,3,FALSE)))</f>
        <v>Email</v>
      </c>
      <c r="F1549" s="4" t="str">
        <f>IF(OR(A1549="",E1549="","",A1549="?",E1549="?"),"duplicate?",IF(COUNTIFS($A:A,A1549,E:E,E1549)&gt;1,"yes","no"))</f>
        <v>duplicate?</v>
      </c>
      <c r="K1549" s="97" t="str">
        <f ca="1">IF(J1549="","Date",IF(J1549&lt;&gt;"",IF(K1549="Date",NOW(),K1549),""))</f>
        <v>Date</v>
      </c>
    </row>
    <row r="1550" spans="2:11">
      <c r="B1550" s="97" t="str">
        <f ca="1">IF(A1550="","Date",IF(A1550&lt;&gt;"",IF(B1550="Date",NOW(),B1550),""))</f>
        <v>Date</v>
      </c>
      <c r="C1550" s="19" t="str">
        <f>IF(ISBLANK(A1550),"Name",IF(ISNA(VLOOKUP(A1550,'Master List'!A:C,2,FALSE)), "Not Found", VLOOKUP(A1550,'Master List'!A:C,2,FALSE)))</f>
        <v>Name</v>
      </c>
      <c r="D1550" s="19" t="str">
        <f>IF(ISBLANK(A1550), "Email",IF(ISNA(VLOOKUP(A1550,'Master List'!A:C,3,FALSE)), "Not Found", VLOOKUP(A1550,'Master List'!A:C,3,FALSE)))</f>
        <v>Email</v>
      </c>
      <c r="F1550" s="4" t="str">
        <f>IF(OR(A1550="",E1550="","",A1550="?",E1550="?"),"duplicate?",IF(COUNTIFS($A:A,A1550,E:E,E1550)&gt;1,"yes","no"))</f>
        <v>duplicate?</v>
      </c>
      <c r="K1550" s="97" t="str">
        <f ca="1">IF(J1550="","Date",IF(J1550&lt;&gt;"",IF(K1550="Date",NOW(),K1550),""))</f>
        <v>Date</v>
      </c>
    </row>
    <row r="1551" spans="2:11">
      <c r="B1551" s="97" t="str">
        <f ca="1">IF(A1551="","Date",IF(A1551&lt;&gt;"",IF(B1551="Date",NOW(),B1551),""))</f>
        <v>Date</v>
      </c>
      <c r="C1551" s="19" t="str">
        <f>IF(ISBLANK(A1551),"Name",IF(ISNA(VLOOKUP(A1551,'Master List'!A:C,2,FALSE)), "Not Found", VLOOKUP(A1551,'Master List'!A:C,2,FALSE)))</f>
        <v>Name</v>
      </c>
      <c r="D1551" s="19" t="str">
        <f>IF(ISBLANK(A1551), "Email",IF(ISNA(VLOOKUP(A1551,'Master List'!A:C,3,FALSE)), "Not Found", VLOOKUP(A1551,'Master List'!A:C,3,FALSE)))</f>
        <v>Email</v>
      </c>
      <c r="F1551" s="4" t="str">
        <f>IF(OR(A1551="",E1551="","",A1551="?",E1551="?"),"duplicate?",IF(COUNTIFS($A:A,A1551,E:E,E1551)&gt;1,"yes","no"))</f>
        <v>duplicate?</v>
      </c>
      <c r="K1551" s="97" t="str">
        <f ca="1">IF(J1551="","Date",IF(J1551&lt;&gt;"",IF(K1551="Date",NOW(),K1551),""))</f>
        <v>Date</v>
      </c>
    </row>
    <row r="1552" spans="2:11">
      <c r="B1552" s="97" t="str">
        <f ca="1">IF(A1552="","Date",IF(A1552&lt;&gt;"",IF(B1552="Date",NOW(),B1552),""))</f>
        <v>Date</v>
      </c>
      <c r="C1552" s="19" t="str">
        <f>IF(ISBLANK(A1552),"Name",IF(ISNA(VLOOKUP(A1552,'Master List'!A:C,2,FALSE)), "Not Found", VLOOKUP(A1552,'Master List'!A:C,2,FALSE)))</f>
        <v>Name</v>
      </c>
      <c r="D1552" s="19" t="str">
        <f>IF(ISBLANK(A1552), "Email",IF(ISNA(VLOOKUP(A1552,'Master List'!A:C,3,FALSE)), "Not Found", VLOOKUP(A1552,'Master List'!A:C,3,FALSE)))</f>
        <v>Email</v>
      </c>
      <c r="F1552" s="4" t="str">
        <f>IF(OR(A1552="",E1552="","",A1552="?",E1552="?"),"duplicate?",IF(COUNTIFS($A:A,A1552,E:E,E1552)&gt;1,"yes","no"))</f>
        <v>duplicate?</v>
      </c>
      <c r="K1552" s="97" t="str">
        <f ca="1">IF(J1552="","Date",IF(J1552&lt;&gt;"",IF(K1552="Date",NOW(),K1552),""))</f>
        <v>Date</v>
      </c>
    </row>
    <row r="1553" spans="2:11">
      <c r="B1553" s="97" t="str">
        <f ca="1">IF(A1553="","Date",IF(A1553&lt;&gt;"",IF(B1553="Date",NOW(),B1553),""))</f>
        <v>Date</v>
      </c>
      <c r="C1553" s="19" t="str">
        <f>IF(ISBLANK(A1553),"Name",IF(ISNA(VLOOKUP(A1553,'Master List'!A:C,2,FALSE)), "Not Found", VLOOKUP(A1553,'Master List'!A:C,2,FALSE)))</f>
        <v>Name</v>
      </c>
      <c r="D1553" s="19" t="str">
        <f>IF(ISBLANK(A1553), "Email",IF(ISNA(VLOOKUP(A1553,'Master List'!A:C,3,FALSE)), "Not Found", VLOOKUP(A1553,'Master List'!A:C,3,FALSE)))</f>
        <v>Email</v>
      </c>
      <c r="F1553" s="4" t="str">
        <f>IF(OR(A1553="",E1553="","",A1553="?",E1553="?"),"duplicate?",IF(COUNTIFS($A:A,A1553,E:E,E1553)&gt;1,"yes","no"))</f>
        <v>duplicate?</v>
      </c>
      <c r="K1553" s="97" t="str">
        <f ca="1">IF(J1553="","Date",IF(J1553&lt;&gt;"",IF(K1553="Date",NOW(),K1553),""))</f>
        <v>Date</v>
      </c>
    </row>
    <row r="1554" spans="2:11">
      <c r="B1554" s="97" t="str">
        <f ca="1">IF(A1554="","Date",IF(A1554&lt;&gt;"",IF(B1554="Date",NOW(),B1554),""))</f>
        <v>Date</v>
      </c>
      <c r="C1554" s="19" t="str">
        <f>IF(ISBLANK(A1554),"Name",IF(ISNA(VLOOKUP(A1554,'Master List'!A:C,2,FALSE)), "Not Found", VLOOKUP(A1554,'Master List'!A:C,2,FALSE)))</f>
        <v>Name</v>
      </c>
      <c r="D1554" s="19" t="str">
        <f>IF(ISBLANK(A1554), "Email",IF(ISNA(VLOOKUP(A1554,'Master List'!A:C,3,FALSE)), "Not Found", VLOOKUP(A1554,'Master List'!A:C,3,FALSE)))</f>
        <v>Email</v>
      </c>
      <c r="F1554" s="4" t="str">
        <f>IF(OR(A1554="",E1554="","",A1554="?",E1554="?"),"duplicate?",IF(COUNTIFS($A:A,A1554,E:E,E1554)&gt;1,"yes","no"))</f>
        <v>duplicate?</v>
      </c>
      <c r="K1554" s="97" t="str">
        <f ca="1">IF(J1554="","Date",IF(J1554&lt;&gt;"",IF(K1554="Date",NOW(),K1554),""))</f>
        <v>Date</v>
      </c>
    </row>
    <row r="1555" spans="2:11">
      <c r="B1555" s="97" t="str">
        <f ca="1">IF(A1555="","Date",IF(A1555&lt;&gt;"",IF(B1555="Date",NOW(),B1555),""))</f>
        <v>Date</v>
      </c>
      <c r="C1555" s="19" t="str">
        <f>IF(ISBLANK(A1555),"Name",IF(ISNA(VLOOKUP(A1555,'Master List'!A:C,2,FALSE)), "Not Found", VLOOKUP(A1555,'Master List'!A:C,2,FALSE)))</f>
        <v>Name</v>
      </c>
      <c r="D1555" s="19" t="str">
        <f>IF(ISBLANK(A1555), "Email",IF(ISNA(VLOOKUP(A1555,'Master List'!A:C,3,FALSE)), "Not Found", VLOOKUP(A1555,'Master List'!A:C,3,FALSE)))</f>
        <v>Email</v>
      </c>
      <c r="F1555" s="4" t="str">
        <f>IF(OR(A1555="",E1555="","",A1555="?",E1555="?"),"duplicate?",IF(COUNTIFS($A:A,A1555,E:E,E1555)&gt;1,"yes","no"))</f>
        <v>duplicate?</v>
      </c>
      <c r="K1555" s="97" t="str">
        <f ca="1">IF(J1555="","Date",IF(J1555&lt;&gt;"",IF(K1555="Date",NOW(),K1555),""))</f>
        <v>Date</v>
      </c>
    </row>
    <row r="1556" spans="2:11">
      <c r="B1556" s="97" t="str">
        <f ca="1">IF(A1556="","Date",IF(A1556&lt;&gt;"",IF(B1556="Date",NOW(),B1556),""))</f>
        <v>Date</v>
      </c>
      <c r="C1556" s="19" t="str">
        <f>IF(ISBLANK(A1556),"Name",IF(ISNA(VLOOKUP(A1556,'Master List'!A:C,2,FALSE)), "Not Found", VLOOKUP(A1556,'Master List'!A:C,2,FALSE)))</f>
        <v>Name</v>
      </c>
      <c r="D1556" s="19" t="str">
        <f>IF(ISBLANK(A1556), "Email",IF(ISNA(VLOOKUP(A1556,'Master List'!A:C,3,FALSE)), "Not Found", VLOOKUP(A1556,'Master List'!A:C,3,FALSE)))</f>
        <v>Email</v>
      </c>
      <c r="F1556" s="4" t="str">
        <f>IF(OR(A1556="",E1556="","",A1556="?",E1556="?"),"duplicate?",IF(COUNTIFS($A:A,A1556,E:E,E1556)&gt;1,"yes","no"))</f>
        <v>duplicate?</v>
      </c>
      <c r="K1556" s="97" t="str">
        <f ca="1">IF(J1556="","Date",IF(J1556&lt;&gt;"",IF(K1556="Date",NOW(),K1556),""))</f>
        <v>Date</v>
      </c>
    </row>
    <row r="1557" spans="2:11">
      <c r="B1557" s="97" t="str">
        <f ca="1">IF(A1557="","Date",IF(A1557&lt;&gt;"",IF(B1557="Date",NOW(),B1557),""))</f>
        <v>Date</v>
      </c>
      <c r="C1557" s="19" t="str">
        <f>IF(ISBLANK(A1557),"Name",IF(ISNA(VLOOKUP(A1557,'Master List'!A:C,2,FALSE)), "Not Found", VLOOKUP(A1557,'Master List'!A:C,2,FALSE)))</f>
        <v>Name</v>
      </c>
      <c r="D1557" s="19" t="str">
        <f>IF(ISBLANK(A1557), "Email",IF(ISNA(VLOOKUP(A1557,'Master List'!A:C,3,FALSE)), "Not Found", VLOOKUP(A1557,'Master List'!A:C,3,FALSE)))</f>
        <v>Email</v>
      </c>
      <c r="F1557" s="4" t="str">
        <f>IF(OR(A1557="",E1557="","",A1557="?",E1557="?"),"duplicate?",IF(COUNTIFS($A:A,A1557,E:E,E1557)&gt;1,"yes","no"))</f>
        <v>duplicate?</v>
      </c>
      <c r="K1557" s="97" t="str">
        <f ca="1">IF(J1557="","Date",IF(J1557&lt;&gt;"",IF(K1557="Date",NOW(),K1557),""))</f>
        <v>Date</v>
      </c>
    </row>
    <row r="1558" spans="2:11">
      <c r="B1558" s="97" t="str">
        <f ca="1">IF(A1558="","Date",IF(A1558&lt;&gt;"",IF(B1558="Date",NOW(),B1558),""))</f>
        <v>Date</v>
      </c>
      <c r="C1558" s="19" t="str">
        <f>IF(ISBLANK(A1558),"Name",IF(ISNA(VLOOKUP(A1558,'Master List'!A:C,2,FALSE)), "Not Found", VLOOKUP(A1558,'Master List'!A:C,2,FALSE)))</f>
        <v>Name</v>
      </c>
      <c r="D1558" s="19" t="str">
        <f>IF(ISBLANK(A1558), "Email",IF(ISNA(VLOOKUP(A1558,'Master List'!A:C,3,FALSE)), "Not Found", VLOOKUP(A1558,'Master List'!A:C,3,FALSE)))</f>
        <v>Email</v>
      </c>
      <c r="F1558" s="4" t="str">
        <f>IF(OR(A1558="",E1558="","",A1558="?",E1558="?"),"duplicate?",IF(COUNTIFS($A:A,A1558,E:E,E1558)&gt;1,"yes","no"))</f>
        <v>duplicate?</v>
      </c>
      <c r="K1558" s="97" t="str">
        <f ca="1">IF(J1558="","Date",IF(J1558&lt;&gt;"",IF(K1558="Date",NOW(),K1558),""))</f>
        <v>Date</v>
      </c>
    </row>
    <row r="1559" spans="2:11">
      <c r="B1559" s="97" t="str">
        <f ca="1">IF(A1559="","Date",IF(A1559&lt;&gt;"",IF(B1559="Date",NOW(),B1559),""))</f>
        <v>Date</v>
      </c>
      <c r="C1559" s="19" t="str">
        <f>IF(ISBLANK(A1559),"Name",IF(ISNA(VLOOKUP(A1559,'Master List'!A:C,2,FALSE)), "Not Found", VLOOKUP(A1559,'Master List'!A:C,2,FALSE)))</f>
        <v>Name</v>
      </c>
      <c r="D1559" s="19" t="str">
        <f>IF(ISBLANK(A1559), "Email",IF(ISNA(VLOOKUP(A1559,'Master List'!A:C,3,FALSE)), "Not Found", VLOOKUP(A1559,'Master List'!A:C,3,FALSE)))</f>
        <v>Email</v>
      </c>
      <c r="F1559" s="4" t="str">
        <f>IF(OR(A1559="",E1559="","",A1559="?",E1559="?"),"duplicate?",IF(COUNTIFS($A:A,A1559,E:E,E1559)&gt;1,"yes","no"))</f>
        <v>duplicate?</v>
      </c>
      <c r="K1559" s="97" t="str">
        <f ca="1">IF(J1559="","Date",IF(J1559&lt;&gt;"",IF(K1559="Date",NOW(),K1559),""))</f>
        <v>Date</v>
      </c>
    </row>
    <row r="1560" spans="2:11">
      <c r="B1560" s="97" t="str">
        <f ca="1">IF(A1560="","Date",IF(A1560&lt;&gt;"",IF(B1560="Date",NOW(),B1560),""))</f>
        <v>Date</v>
      </c>
      <c r="C1560" s="19" t="str">
        <f>IF(ISBLANK(A1560),"Name",IF(ISNA(VLOOKUP(A1560,'Master List'!A:C,2,FALSE)), "Not Found", VLOOKUP(A1560,'Master List'!A:C,2,FALSE)))</f>
        <v>Name</v>
      </c>
      <c r="D1560" s="19" t="str">
        <f>IF(ISBLANK(A1560), "Email",IF(ISNA(VLOOKUP(A1560,'Master List'!A:C,3,FALSE)), "Not Found", VLOOKUP(A1560,'Master List'!A:C,3,FALSE)))</f>
        <v>Email</v>
      </c>
      <c r="F1560" s="4" t="str">
        <f>IF(OR(A1560="",E1560="","",A1560="?",E1560="?"),"duplicate?",IF(COUNTIFS($A:A,A1560,E:E,E1560)&gt;1,"yes","no"))</f>
        <v>duplicate?</v>
      </c>
      <c r="K1560" s="97" t="str">
        <f ca="1">IF(J1560="","Date",IF(J1560&lt;&gt;"",IF(K1560="Date",NOW(),K1560),""))</f>
        <v>Date</v>
      </c>
    </row>
    <row r="1561" spans="2:11">
      <c r="B1561" s="97" t="str">
        <f ca="1">IF(A1561="","Date",IF(A1561&lt;&gt;"",IF(B1561="Date",NOW(),B1561),""))</f>
        <v>Date</v>
      </c>
      <c r="C1561" s="19" t="str">
        <f>IF(ISBLANK(A1561),"Name",IF(ISNA(VLOOKUP(A1561,'Master List'!A:C,2,FALSE)), "Not Found", VLOOKUP(A1561,'Master List'!A:C,2,FALSE)))</f>
        <v>Name</v>
      </c>
      <c r="D1561" s="19" t="str">
        <f>IF(ISBLANK(A1561), "Email",IF(ISNA(VLOOKUP(A1561,'Master List'!A:C,3,FALSE)), "Not Found", VLOOKUP(A1561,'Master List'!A:C,3,FALSE)))</f>
        <v>Email</v>
      </c>
      <c r="F1561" s="4" t="str">
        <f>IF(OR(A1561="",E1561="","",A1561="?",E1561="?"),"duplicate?",IF(COUNTIFS($A:A,A1561,E:E,E1561)&gt;1,"yes","no"))</f>
        <v>duplicate?</v>
      </c>
      <c r="K1561" s="97" t="str">
        <f ca="1">IF(J1561="","Date",IF(J1561&lt;&gt;"",IF(K1561="Date",NOW(),K1561),""))</f>
        <v>Date</v>
      </c>
    </row>
    <row r="1562" spans="2:11">
      <c r="B1562" s="97" t="str">
        <f ca="1">IF(A1562="","Date",IF(A1562&lt;&gt;"",IF(B1562="Date",NOW(),B1562),""))</f>
        <v>Date</v>
      </c>
      <c r="C1562" s="19" t="str">
        <f>IF(ISBLANK(A1562),"Name",IF(ISNA(VLOOKUP(A1562,'Master List'!A:C,2,FALSE)), "Not Found", VLOOKUP(A1562,'Master List'!A:C,2,FALSE)))</f>
        <v>Name</v>
      </c>
      <c r="D1562" s="19" t="str">
        <f>IF(ISBLANK(A1562), "Email",IF(ISNA(VLOOKUP(A1562,'Master List'!A:C,3,FALSE)), "Not Found", VLOOKUP(A1562,'Master List'!A:C,3,FALSE)))</f>
        <v>Email</v>
      </c>
      <c r="F1562" s="4" t="str">
        <f>IF(OR(A1562="",E1562="","",A1562="?",E1562="?"),"duplicate?",IF(COUNTIFS($A:A,A1562,E:E,E1562)&gt;1,"yes","no"))</f>
        <v>duplicate?</v>
      </c>
      <c r="K1562" s="97" t="str">
        <f ca="1">IF(J1562="","Date",IF(J1562&lt;&gt;"",IF(K1562="Date",NOW(),K1562),""))</f>
        <v>Date</v>
      </c>
    </row>
    <row r="1563" spans="2:11">
      <c r="B1563" s="97" t="str">
        <f ca="1">IF(A1563="","Date",IF(A1563&lt;&gt;"",IF(B1563="Date",NOW(),B1563),""))</f>
        <v>Date</v>
      </c>
      <c r="C1563" s="19" t="str">
        <f>IF(ISBLANK(A1563),"Name",IF(ISNA(VLOOKUP(A1563,'Master List'!A:C,2,FALSE)), "Not Found", VLOOKUP(A1563,'Master List'!A:C,2,FALSE)))</f>
        <v>Name</v>
      </c>
      <c r="D1563" s="19" t="str">
        <f>IF(ISBLANK(A1563), "Email",IF(ISNA(VLOOKUP(A1563,'Master List'!A:C,3,FALSE)), "Not Found", VLOOKUP(A1563,'Master List'!A:C,3,FALSE)))</f>
        <v>Email</v>
      </c>
      <c r="F1563" s="4" t="str">
        <f>IF(OR(A1563="",E1563="","",A1563="?",E1563="?"),"duplicate?",IF(COUNTIFS($A:A,A1563,E:E,E1563)&gt;1,"yes","no"))</f>
        <v>duplicate?</v>
      </c>
      <c r="K1563" s="97" t="str">
        <f ca="1">IF(J1563="","Date",IF(J1563&lt;&gt;"",IF(K1563="Date",NOW(),K1563),""))</f>
        <v>Date</v>
      </c>
    </row>
    <row r="1564" spans="2:11">
      <c r="B1564" s="97" t="str">
        <f ca="1">IF(A1564="","Date",IF(A1564&lt;&gt;"",IF(B1564="Date",NOW(),B1564),""))</f>
        <v>Date</v>
      </c>
      <c r="C1564" s="19" t="str">
        <f>IF(ISBLANK(A1564),"Name",IF(ISNA(VLOOKUP(A1564,'Master List'!A:C,2,FALSE)), "Not Found", VLOOKUP(A1564,'Master List'!A:C,2,FALSE)))</f>
        <v>Name</v>
      </c>
      <c r="D1564" s="19" t="str">
        <f>IF(ISBLANK(A1564), "Email",IF(ISNA(VLOOKUP(A1564,'Master List'!A:C,3,FALSE)), "Not Found", VLOOKUP(A1564,'Master List'!A:C,3,FALSE)))</f>
        <v>Email</v>
      </c>
      <c r="F1564" s="4" t="str">
        <f>IF(OR(A1564="",E1564="","",A1564="?",E1564="?"),"duplicate?",IF(COUNTIFS($A:A,A1564,E:E,E1564)&gt;1,"yes","no"))</f>
        <v>duplicate?</v>
      </c>
      <c r="K1564" s="97" t="str">
        <f ca="1">IF(J1564="","Date",IF(J1564&lt;&gt;"",IF(K1564="Date",NOW(),K1564),""))</f>
        <v>Date</v>
      </c>
    </row>
    <row r="1565" spans="2:11">
      <c r="B1565" s="97" t="str">
        <f ca="1">IF(A1565="","Date",IF(A1565&lt;&gt;"",IF(B1565="Date",NOW(),B1565),""))</f>
        <v>Date</v>
      </c>
      <c r="C1565" s="19" t="str">
        <f>IF(ISBLANK(A1565),"Name",IF(ISNA(VLOOKUP(A1565,'Master List'!A:C,2,FALSE)), "Not Found", VLOOKUP(A1565,'Master List'!A:C,2,FALSE)))</f>
        <v>Name</v>
      </c>
      <c r="D1565" s="19" t="str">
        <f>IF(ISBLANK(A1565), "Email",IF(ISNA(VLOOKUP(A1565,'Master List'!A:C,3,FALSE)), "Not Found", VLOOKUP(A1565,'Master List'!A:C,3,FALSE)))</f>
        <v>Email</v>
      </c>
      <c r="F1565" s="4" t="str">
        <f>IF(OR(A1565="",E1565="","",A1565="?",E1565="?"),"duplicate?",IF(COUNTIFS($A:A,A1565,E:E,E1565)&gt;1,"yes","no"))</f>
        <v>duplicate?</v>
      </c>
      <c r="K1565" s="97" t="str">
        <f ca="1">IF(J1565="","Date",IF(J1565&lt;&gt;"",IF(K1565="Date",NOW(),K1565),""))</f>
        <v>Date</v>
      </c>
    </row>
    <row r="1566" spans="2:11">
      <c r="B1566" s="97" t="str">
        <f ca="1">IF(A1566="","Date",IF(A1566&lt;&gt;"",IF(B1566="Date",NOW(),B1566),""))</f>
        <v>Date</v>
      </c>
      <c r="C1566" s="19" t="str">
        <f>IF(ISBLANK(A1566),"Name",IF(ISNA(VLOOKUP(A1566,'Master List'!A:C,2,FALSE)), "Not Found", VLOOKUP(A1566,'Master List'!A:C,2,FALSE)))</f>
        <v>Name</v>
      </c>
      <c r="D1566" s="19" t="str">
        <f>IF(ISBLANK(A1566), "Email",IF(ISNA(VLOOKUP(A1566,'Master List'!A:C,3,FALSE)), "Not Found", VLOOKUP(A1566,'Master List'!A:C,3,FALSE)))</f>
        <v>Email</v>
      </c>
      <c r="F1566" s="4" t="str">
        <f>IF(OR(A1566="",E1566="","",A1566="?",E1566="?"),"duplicate?",IF(COUNTIFS($A:A,A1566,E:E,E1566)&gt;1,"yes","no"))</f>
        <v>duplicate?</v>
      </c>
      <c r="K1566" s="97" t="str">
        <f ca="1">IF(J1566="","Date",IF(J1566&lt;&gt;"",IF(K1566="Date",NOW(),K1566),""))</f>
        <v>Date</v>
      </c>
    </row>
    <row r="1567" spans="2:11">
      <c r="B1567" s="97" t="str">
        <f ca="1">IF(A1567="","Date",IF(A1567&lt;&gt;"",IF(B1567="Date",NOW(),B1567),""))</f>
        <v>Date</v>
      </c>
      <c r="C1567" s="19" t="str">
        <f>IF(ISBLANK(A1567),"Name",IF(ISNA(VLOOKUP(A1567,'Master List'!A:C,2,FALSE)), "Not Found", VLOOKUP(A1567,'Master List'!A:C,2,FALSE)))</f>
        <v>Name</v>
      </c>
      <c r="D1567" s="19" t="str">
        <f>IF(ISBLANK(A1567), "Email",IF(ISNA(VLOOKUP(A1567,'Master List'!A:C,3,FALSE)), "Not Found", VLOOKUP(A1567,'Master List'!A:C,3,FALSE)))</f>
        <v>Email</v>
      </c>
      <c r="F1567" s="4" t="str">
        <f>IF(OR(A1567="",E1567="","",A1567="?",E1567="?"),"duplicate?",IF(COUNTIFS($A:A,A1567,E:E,E1567)&gt;1,"yes","no"))</f>
        <v>duplicate?</v>
      </c>
      <c r="K1567" s="97" t="str">
        <f ca="1">IF(J1567="","Date",IF(J1567&lt;&gt;"",IF(K1567="Date",NOW(),K1567),""))</f>
        <v>Date</v>
      </c>
    </row>
    <row r="1568" spans="2:11">
      <c r="B1568" s="97" t="str">
        <f ca="1">IF(A1568="","Date",IF(A1568&lt;&gt;"",IF(B1568="Date",NOW(),B1568),""))</f>
        <v>Date</v>
      </c>
      <c r="C1568" s="19" t="str">
        <f>IF(ISBLANK(A1568),"Name",IF(ISNA(VLOOKUP(A1568,'Master List'!A:C,2,FALSE)), "Not Found", VLOOKUP(A1568,'Master List'!A:C,2,FALSE)))</f>
        <v>Name</v>
      </c>
      <c r="D1568" s="19" t="str">
        <f>IF(ISBLANK(A1568), "Email",IF(ISNA(VLOOKUP(A1568,'Master List'!A:C,3,FALSE)), "Not Found", VLOOKUP(A1568,'Master List'!A:C,3,FALSE)))</f>
        <v>Email</v>
      </c>
      <c r="F1568" s="4" t="str">
        <f>IF(OR(A1568="",E1568="","",A1568="?",E1568="?"),"duplicate?",IF(COUNTIFS($A:A,A1568,E:E,E1568)&gt;1,"yes","no"))</f>
        <v>duplicate?</v>
      </c>
      <c r="K1568" s="97" t="str">
        <f ca="1">IF(J1568="","Date",IF(J1568&lt;&gt;"",IF(K1568="Date",NOW(),K1568),""))</f>
        <v>Date</v>
      </c>
    </row>
    <row r="1569" spans="2:11">
      <c r="B1569" s="97" t="str">
        <f ca="1">IF(A1569="","Date",IF(A1569&lt;&gt;"",IF(B1569="Date",NOW(),B1569),""))</f>
        <v>Date</v>
      </c>
      <c r="C1569" s="19" t="str">
        <f>IF(ISBLANK(A1569),"Name",IF(ISNA(VLOOKUP(A1569,'Master List'!A:C,2,FALSE)), "Not Found", VLOOKUP(A1569,'Master List'!A:C,2,FALSE)))</f>
        <v>Name</v>
      </c>
      <c r="D1569" s="19" t="str">
        <f>IF(ISBLANK(A1569), "Email",IF(ISNA(VLOOKUP(A1569,'Master List'!A:C,3,FALSE)), "Not Found", VLOOKUP(A1569,'Master List'!A:C,3,FALSE)))</f>
        <v>Email</v>
      </c>
      <c r="F1569" s="4" t="str">
        <f>IF(OR(A1569="",E1569="","",A1569="?",E1569="?"),"duplicate?",IF(COUNTIFS($A:A,A1569,E:E,E1569)&gt;1,"yes","no"))</f>
        <v>duplicate?</v>
      </c>
      <c r="K1569" s="97" t="str">
        <f ca="1">IF(J1569="","Date",IF(J1569&lt;&gt;"",IF(K1569="Date",NOW(),K1569),""))</f>
        <v>Date</v>
      </c>
    </row>
    <row r="1570" spans="2:11">
      <c r="B1570" s="97" t="str">
        <f ca="1">IF(A1570="","Date",IF(A1570&lt;&gt;"",IF(B1570="Date",NOW(),B1570),""))</f>
        <v>Date</v>
      </c>
      <c r="C1570" s="19" t="str">
        <f>IF(ISBLANK(A1570),"Name",IF(ISNA(VLOOKUP(A1570,'Master List'!A:C,2,FALSE)), "Not Found", VLOOKUP(A1570,'Master List'!A:C,2,FALSE)))</f>
        <v>Name</v>
      </c>
      <c r="D1570" s="19" t="str">
        <f>IF(ISBLANK(A1570), "Email",IF(ISNA(VLOOKUP(A1570,'Master List'!A:C,3,FALSE)), "Not Found", VLOOKUP(A1570,'Master List'!A:C,3,FALSE)))</f>
        <v>Email</v>
      </c>
      <c r="F1570" s="4" t="str">
        <f>IF(OR(A1570="",E1570="","",A1570="?",E1570="?"),"duplicate?",IF(COUNTIFS($A:A,A1570,E:E,E1570)&gt;1,"yes","no"))</f>
        <v>duplicate?</v>
      </c>
      <c r="K1570" s="97" t="str">
        <f ca="1">IF(J1570="","Date",IF(J1570&lt;&gt;"",IF(K1570="Date",NOW(),K1570),""))</f>
        <v>Date</v>
      </c>
    </row>
    <row r="1571" spans="2:11">
      <c r="B1571" s="97" t="str">
        <f ca="1">IF(A1571="","Date",IF(A1571&lt;&gt;"",IF(B1571="Date",NOW(),B1571),""))</f>
        <v>Date</v>
      </c>
      <c r="C1571" s="19" t="str">
        <f>IF(ISBLANK(A1571),"Name",IF(ISNA(VLOOKUP(A1571,'Master List'!A:C,2,FALSE)), "Not Found", VLOOKUP(A1571,'Master List'!A:C,2,FALSE)))</f>
        <v>Name</v>
      </c>
      <c r="D1571" s="19" t="str">
        <f>IF(ISBLANK(A1571), "Email",IF(ISNA(VLOOKUP(A1571,'Master List'!A:C,3,FALSE)), "Not Found", VLOOKUP(A1571,'Master List'!A:C,3,FALSE)))</f>
        <v>Email</v>
      </c>
      <c r="F1571" s="4" t="str">
        <f>IF(OR(A1571="",E1571="","",A1571="?",E1571="?"),"duplicate?",IF(COUNTIFS($A:A,A1571,E:E,E1571)&gt;1,"yes","no"))</f>
        <v>duplicate?</v>
      </c>
      <c r="K1571" s="97" t="str">
        <f ca="1">IF(J1571="","Date",IF(J1571&lt;&gt;"",IF(K1571="Date",NOW(),K1571),""))</f>
        <v>Date</v>
      </c>
    </row>
    <row r="1572" spans="2:11">
      <c r="B1572" s="97" t="str">
        <f ca="1">IF(A1572="","Date",IF(A1572&lt;&gt;"",IF(B1572="Date",NOW(),B1572),""))</f>
        <v>Date</v>
      </c>
      <c r="C1572" s="19" t="str">
        <f>IF(ISBLANK(A1572),"Name",IF(ISNA(VLOOKUP(A1572,'Master List'!A:C,2,FALSE)), "Not Found", VLOOKUP(A1572,'Master List'!A:C,2,FALSE)))</f>
        <v>Name</v>
      </c>
      <c r="D1572" s="19" t="str">
        <f>IF(ISBLANK(A1572), "Email",IF(ISNA(VLOOKUP(A1572,'Master List'!A:C,3,FALSE)), "Not Found", VLOOKUP(A1572,'Master List'!A:C,3,FALSE)))</f>
        <v>Email</v>
      </c>
      <c r="F1572" s="4" t="str">
        <f>IF(OR(A1572="",E1572="","",A1572="?",E1572="?"),"duplicate?",IF(COUNTIFS($A:A,A1572,E:E,E1572)&gt;1,"yes","no"))</f>
        <v>duplicate?</v>
      </c>
      <c r="K1572" s="97" t="str">
        <f ca="1">IF(J1572="","Date",IF(J1572&lt;&gt;"",IF(K1572="Date",NOW(),K1572),""))</f>
        <v>Date</v>
      </c>
    </row>
    <row r="1573" spans="2:11">
      <c r="B1573" s="97" t="str">
        <f ca="1">IF(A1573="","Date",IF(A1573&lt;&gt;"",IF(B1573="Date",NOW(),B1573),""))</f>
        <v>Date</v>
      </c>
      <c r="C1573" s="19" t="str">
        <f>IF(ISBLANK(A1573),"Name",IF(ISNA(VLOOKUP(A1573,'Master List'!A:C,2,FALSE)), "Not Found", VLOOKUP(A1573,'Master List'!A:C,2,FALSE)))</f>
        <v>Name</v>
      </c>
      <c r="D1573" s="19" t="str">
        <f>IF(ISBLANK(A1573), "Email",IF(ISNA(VLOOKUP(A1573,'Master List'!A:C,3,FALSE)), "Not Found", VLOOKUP(A1573,'Master List'!A:C,3,FALSE)))</f>
        <v>Email</v>
      </c>
      <c r="F1573" s="4" t="str">
        <f>IF(OR(A1573="",E1573="","",A1573="?",E1573="?"),"duplicate?",IF(COUNTIFS($A:A,A1573,E:E,E1573)&gt;1,"yes","no"))</f>
        <v>duplicate?</v>
      </c>
      <c r="K1573" s="97" t="str">
        <f ca="1">IF(J1573="","Date",IF(J1573&lt;&gt;"",IF(K1573="Date",NOW(),K1573),""))</f>
        <v>Date</v>
      </c>
    </row>
    <row r="1574" spans="2:11">
      <c r="B1574" s="97" t="str">
        <f ca="1">IF(A1574="","Date",IF(A1574&lt;&gt;"",IF(B1574="Date",NOW(),B1574),""))</f>
        <v>Date</v>
      </c>
      <c r="C1574" s="19" t="str">
        <f>IF(ISBLANK(A1574),"Name",IF(ISNA(VLOOKUP(A1574,'Master List'!A:C,2,FALSE)), "Not Found", VLOOKUP(A1574,'Master List'!A:C,2,FALSE)))</f>
        <v>Name</v>
      </c>
      <c r="D1574" s="19" t="str">
        <f>IF(ISBLANK(A1574), "Email",IF(ISNA(VLOOKUP(A1574,'Master List'!A:C,3,FALSE)), "Not Found", VLOOKUP(A1574,'Master List'!A:C,3,FALSE)))</f>
        <v>Email</v>
      </c>
      <c r="F1574" s="4" t="str">
        <f>IF(OR(A1574="",E1574="","",A1574="?",E1574="?"),"duplicate?",IF(COUNTIFS($A:A,A1574,E:E,E1574)&gt;1,"yes","no"))</f>
        <v>duplicate?</v>
      </c>
      <c r="K1574" s="97" t="str">
        <f ca="1">IF(J1574="","Date",IF(J1574&lt;&gt;"",IF(K1574="Date",NOW(),K1574),""))</f>
        <v>Date</v>
      </c>
    </row>
    <row r="1575" spans="2:11">
      <c r="B1575" s="97" t="str">
        <f ca="1">IF(A1575="","Date",IF(A1575&lt;&gt;"",IF(B1575="Date",NOW(),B1575),""))</f>
        <v>Date</v>
      </c>
      <c r="C1575" s="19" t="str">
        <f>IF(ISBLANK(A1575),"Name",IF(ISNA(VLOOKUP(A1575,'Master List'!A:C,2,FALSE)), "Not Found", VLOOKUP(A1575,'Master List'!A:C,2,FALSE)))</f>
        <v>Name</v>
      </c>
      <c r="D1575" s="19" t="str">
        <f>IF(ISBLANK(A1575), "Email",IF(ISNA(VLOOKUP(A1575,'Master List'!A:C,3,FALSE)), "Not Found", VLOOKUP(A1575,'Master List'!A:C,3,FALSE)))</f>
        <v>Email</v>
      </c>
      <c r="F1575" s="4" t="str">
        <f>IF(OR(A1575="",E1575="","",A1575="?",E1575="?"),"duplicate?",IF(COUNTIFS($A:A,A1575,E:E,E1575)&gt;1,"yes","no"))</f>
        <v>duplicate?</v>
      </c>
      <c r="K1575" s="97" t="str">
        <f ca="1">IF(J1575="","Date",IF(J1575&lt;&gt;"",IF(K1575="Date",NOW(),K1575),""))</f>
        <v>Date</v>
      </c>
    </row>
    <row r="1576" spans="2:11">
      <c r="B1576" s="97" t="str">
        <f ca="1">IF(A1576="","Date",IF(A1576&lt;&gt;"",IF(B1576="Date",NOW(),B1576),""))</f>
        <v>Date</v>
      </c>
      <c r="C1576" s="19" t="str">
        <f>IF(ISBLANK(A1576),"Name",IF(ISNA(VLOOKUP(A1576,'Master List'!A:C,2,FALSE)), "Not Found", VLOOKUP(A1576,'Master List'!A:C,2,FALSE)))</f>
        <v>Name</v>
      </c>
      <c r="D1576" s="19" t="str">
        <f>IF(ISBLANK(A1576), "Email",IF(ISNA(VLOOKUP(A1576,'Master List'!A:C,3,FALSE)), "Not Found", VLOOKUP(A1576,'Master List'!A:C,3,FALSE)))</f>
        <v>Email</v>
      </c>
      <c r="F1576" s="4" t="str">
        <f>IF(OR(A1576="",E1576="","",A1576="?",E1576="?"),"duplicate?",IF(COUNTIFS($A:A,A1576,E:E,E1576)&gt;1,"yes","no"))</f>
        <v>duplicate?</v>
      </c>
      <c r="K1576" s="97" t="str">
        <f ca="1">IF(J1576="","Date",IF(J1576&lt;&gt;"",IF(K1576="Date",NOW(),K1576),""))</f>
        <v>Date</v>
      </c>
    </row>
    <row r="1577" spans="2:11">
      <c r="B1577" s="97" t="str">
        <f ca="1">IF(A1577="","Date",IF(A1577&lt;&gt;"",IF(B1577="Date",NOW(),B1577),""))</f>
        <v>Date</v>
      </c>
      <c r="C1577" s="19" t="str">
        <f>IF(ISBLANK(A1577),"Name",IF(ISNA(VLOOKUP(A1577,'Master List'!A:C,2,FALSE)), "Not Found", VLOOKUP(A1577,'Master List'!A:C,2,FALSE)))</f>
        <v>Name</v>
      </c>
      <c r="D1577" s="19" t="str">
        <f>IF(ISBLANK(A1577), "Email",IF(ISNA(VLOOKUP(A1577,'Master List'!A:C,3,FALSE)), "Not Found", VLOOKUP(A1577,'Master List'!A:C,3,FALSE)))</f>
        <v>Email</v>
      </c>
      <c r="F1577" s="4" t="str">
        <f>IF(OR(A1577="",E1577="","",A1577="?",E1577="?"),"duplicate?",IF(COUNTIFS($A:A,A1577,E:E,E1577)&gt;1,"yes","no"))</f>
        <v>duplicate?</v>
      </c>
      <c r="K1577" s="97" t="str">
        <f ca="1">IF(J1577="","Date",IF(J1577&lt;&gt;"",IF(K1577="Date",NOW(),K1577),""))</f>
        <v>Date</v>
      </c>
    </row>
    <row r="1578" spans="2:11">
      <c r="B1578" s="97" t="str">
        <f ca="1">IF(A1578="","Date",IF(A1578&lt;&gt;"",IF(B1578="Date",NOW(),B1578),""))</f>
        <v>Date</v>
      </c>
      <c r="C1578" s="19" t="str">
        <f>IF(ISBLANK(A1578),"Name",IF(ISNA(VLOOKUP(A1578,'Master List'!A:C,2,FALSE)), "Not Found", VLOOKUP(A1578,'Master List'!A:C,2,FALSE)))</f>
        <v>Name</v>
      </c>
      <c r="D1578" s="19" t="str">
        <f>IF(ISBLANK(A1578), "Email",IF(ISNA(VLOOKUP(A1578,'Master List'!A:C,3,FALSE)), "Not Found", VLOOKUP(A1578,'Master List'!A:C,3,FALSE)))</f>
        <v>Email</v>
      </c>
      <c r="F1578" s="4" t="str">
        <f>IF(OR(A1578="",E1578="","",A1578="?",E1578="?"),"duplicate?",IF(COUNTIFS($A:A,A1578,E:E,E1578)&gt;1,"yes","no"))</f>
        <v>duplicate?</v>
      </c>
      <c r="K1578" s="97" t="str">
        <f ca="1">IF(J1578="","Date",IF(J1578&lt;&gt;"",IF(K1578="Date",NOW(),K1578),""))</f>
        <v>Date</v>
      </c>
    </row>
    <row r="1579" spans="2:11">
      <c r="B1579" s="97" t="str">
        <f ca="1">IF(A1579="","Date",IF(A1579&lt;&gt;"",IF(B1579="Date",NOW(),B1579),""))</f>
        <v>Date</v>
      </c>
      <c r="C1579" s="19" t="str">
        <f>IF(ISBLANK(A1579),"Name",IF(ISNA(VLOOKUP(A1579,'Master List'!A:C,2,FALSE)), "Not Found", VLOOKUP(A1579,'Master List'!A:C,2,FALSE)))</f>
        <v>Name</v>
      </c>
      <c r="D1579" s="19" t="str">
        <f>IF(ISBLANK(A1579), "Email",IF(ISNA(VLOOKUP(A1579,'Master List'!A:C,3,FALSE)), "Not Found", VLOOKUP(A1579,'Master List'!A:C,3,FALSE)))</f>
        <v>Email</v>
      </c>
      <c r="F1579" s="4" t="str">
        <f>IF(OR(A1579="",E1579="","",A1579="?",E1579="?"),"duplicate?",IF(COUNTIFS($A:A,A1579,E:E,E1579)&gt;1,"yes","no"))</f>
        <v>duplicate?</v>
      </c>
      <c r="K1579" s="97" t="str">
        <f ca="1">IF(J1579="","Date",IF(J1579&lt;&gt;"",IF(K1579="Date",NOW(),K1579),""))</f>
        <v>Date</v>
      </c>
    </row>
    <row r="1580" spans="2:11">
      <c r="B1580" s="97" t="str">
        <f ca="1">IF(A1580="","Date",IF(A1580&lt;&gt;"",IF(B1580="Date",NOW(),B1580),""))</f>
        <v>Date</v>
      </c>
      <c r="C1580" s="19" t="str">
        <f>IF(ISBLANK(A1580),"Name",IF(ISNA(VLOOKUP(A1580,'Master List'!A:C,2,FALSE)), "Not Found", VLOOKUP(A1580,'Master List'!A:C,2,FALSE)))</f>
        <v>Name</v>
      </c>
      <c r="D1580" s="19" t="str">
        <f>IF(ISBLANK(A1580), "Email",IF(ISNA(VLOOKUP(A1580,'Master List'!A:C,3,FALSE)), "Not Found", VLOOKUP(A1580,'Master List'!A:C,3,FALSE)))</f>
        <v>Email</v>
      </c>
      <c r="F1580" s="4" t="str">
        <f>IF(OR(A1580="",E1580="","",A1580="?",E1580="?"),"duplicate?",IF(COUNTIFS($A:A,A1580,E:E,E1580)&gt;1,"yes","no"))</f>
        <v>duplicate?</v>
      </c>
      <c r="K1580" s="97" t="str">
        <f ca="1">IF(J1580="","Date",IF(J1580&lt;&gt;"",IF(K1580="Date",NOW(),K1580),""))</f>
        <v>Date</v>
      </c>
    </row>
    <row r="1581" spans="2:11">
      <c r="B1581" s="97" t="str">
        <f ca="1">IF(A1581="","Date",IF(A1581&lt;&gt;"",IF(B1581="Date",NOW(),B1581),""))</f>
        <v>Date</v>
      </c>
      <c r="C1581" s="19" t="str">
        <f>IF(ISBLANK(A1581),"Name",IF(ISNA(VLOOKUP(A1581,'Master List'!A:C,2,FALSE)), "Not Found", VLOOKUP(A1581,'Master List'!A:C,2,FALSE)))</f>
        <v>Name</v>
      </c>
      <c r="D1581" s="19" t="str">
        <f>IF(ISBLANK(A1581), "Email",IF(ISNA(VLOOKUP(A1581,'Master List'!A:C,3,FALSE)), "Not Found", VLOOKUP(A1581,'Master List'!A:C,3,FALSE)))</f>
        <v>Email</v>
      </c>
      <c r="F1581" s="4" t="str">
        <f>IF(OR(A1581="",E1581="","",A1581="?",E1581="?"),"duplicate?",IF(COUNTIFS($A:A,A1581,E:E,E1581)&gt;1,"yes","no"))</f>
        <v>duplicate?</v>
      </c>
      <c r="K1581" s="97" t="str">
        <f ca="1">IF(J1581="","Date",IF(J1581&lt;&gt;"",IF(K1581="Date",NOW(),K1581),""))</f>
        <v>Date</v>
      </c>
    </row>
    <row r="1582" spans="2:11">
      <c r="B1582" s="97" t="str">
        <f ca="1">IF(A1582="","Date",IF(A1582&lt;&gt;"",IF(B1582="Date",NOW(),B1582),""))</f>
        <v>Date</v>
      </c>
      <c r="C1582" s="19" t="str">
        <f>IF(ISBLANK(A1582),"Name",IF(ISNA(VLOOKUP(A1582,'Master List'!A:C,2,FALSE)), "Not Found", VLOOKUP(A1582,'Master List'!A:C,2,FALSE)))</f>
        <v>Name</v>
      </c>
      <c r="D1582" s="19" t="str">
        <f>IF(ISBLANK(A1582), "Email",IF(ISNA(VLOOKUP(A1582,'Master List'!A:C,3,FALSE)), "Not Found", VLOOKUP(A1582,'Master List'!A:C,3,FALSE)))</f>
        <v>Email</v>
      </c>
      <c r="F1582" s="4" t="str">
        <f>IF(OR(A1582="",E1582="","",A1582="?",E1582="?"),"duplicate?",IF(COUNTIFS($A:A,A1582,E:E,E1582)&gt;1,"yes","no"))</f>
        <v>duplicate?</v>
      </c>
      <c r="K1582" s="97" t="str">
        <f ca="1">IF(J1582="","Date",IF(J1582&lt;&gt;"",IF(K1582="Date",NOW(),K1582),""))</f>
        <v>Date</v>
      </c>
    </row>
    <row r="1583" spans="2:11">
      <c r="B1583" s="97" t="str">
        <f ca="1">IF(A1583="","Date",IF(A1583&lt;&gt;"",IF(B1583="Date",NOW(),B1583),""))</f>
        <v>Date</v>
      </c>
      <c r="C1583" s="19" t="str">
        <f>IF(ISBLANK(A1583),"Name",IF(ISNA(VLOOKUP(A1583,'Master List'!A:C,2,FALSE)), "Not Found", VLOOKUP(A1583,'Master List'!A:C,2,FALSE)))</f>
        <v>Name</v>
      </c>
      <c r="D1583" s="19" t="str">
        <f>IF(ISBLANK(A1583), "Email",IF(ISNA(VLOOKUP(A1583,'Master List'!A:C,3,FALSE)), "Not Found", VLOOKUP(A1583,'Master List'!A:C,3,FALSE)))</f>
        <v>Email</v>
      </c>
      <c r="F1583" s="4" t="str">
        <f>IF(OR(A1583="",E1583="","",A1583="?",E1583="?"),"duplicate?",IF(COUNTIFS($A:A,A1583,E:E,E1583)&gt;1,"yes","no"))</f>
        <v>duplicate?</v>
      </c>
      <c r="K1583" s="97" t="str">
        <f ca="1">IF(J1583="","Date",IF(J1583&lt;&gt;"",IF(K1583="Date",NOW(),K1583),""))</f>
        <v>Date</v>
      </c>
    </row>
    <row r="1584" spans="2:11">
      <c r="B1584" s="97" t="str">
        <f ca="1">IF(A1584="","Date",IF(A1584&lt;&gt;"",IF(B1584="Date",NOW(),B1584),""))</f>
        <v>Date</v>
      </c>
      <c r="C1584" s="19" t="str">
        <f>IF(ISBLANK(A1584),"Name",IF(ISNA(VLOOKUP(A1584,'Master List'!A:C,2,FALSE)), "Not Found", VLOOKUP(A1584,'Master List'!A:C,2,FALSE)))</f>
        <v>Name</v>
      </c>
      <c r="D1584" s="19" t="str">
        <f>IF(ISBLANK(A1584), "Email",IF(ISNA(VLOOKUP(A1584,'Master List'!A:C,3,FALSE)), "Not Found", VLOOKUP(A1584,'Master List'!A:C,3,FALSE)))</f>
        <v>Email</v>
      </c>
      <c r="F1584" s="4" t="str">
        <f>IF(OR(A1584="",E1584="","",A1584="?",E1584="?"),"duplicate?",IF(COUNTIFS($A:A,A1584,E:E,E1584)&gt;1,"yes","no"))</f>
        <v>duplicate?</v>
      </c>
      <c r="K1584" s="97" t="str">
        <f ca="1">IF(J1584="","Date",IF(J1584&lt;&gt;"",IF(K1584="Date",NOW(),K1584),""))</f>
        <v>Date</v>
      </c>
    </row>
    <row r="1585" spans="2:11">
      <c r="B1585" s="97" t="str">
        <f ca="1">IF(A1585="","Date",IF(A1585&lt;&gt;"",IF(B1585="Date",NOW(),B1585),""))</f>
        <v>Date</v>
      </c>
      <c r="C1585" s="19" t="str">
        <f>IF(ISBLANK(A1585),"Name",IF(ISNA(VLOOKUP(A1585,'Master List'!A:C,2,FALSE)), "Not Found", VLOOKUP(A1585,'Master List'!A:C,2,FALSE)))</f>
        <v>Name</v>
      </c>
      <c r="D1585" s="19" t="str">
        <f>IF(ISBLANK(A1585), "Email",IF(ISNA(VLOOKUP(A1585,'Master List'!A:C,3,FALSE)), "Not Found", VLOOKUP(A1585,'Master List'!A:C,3,FALSE)))</f>
        <v>Email</v>
      </c>
      <c r="F1585" s="4" t="str">
        <f>IF(OR(A1585="",E1585="","",A1585="?",E1585="?"),"duplicate?",IF(COUNTIFS($A:A,A1585,E:E,E1585)&gt;1,"yes","no"))</f>
        <v>duplicate?</v>
      </c>
      <c r="K1585" s="97" t="str">
        <f ca="1">IF(J1585="","Date",IF(J1585&lt;&gt;"",IF(K1585="Date",NOW(),K1585),""))</f>
        <v>Date</v>
      </c>
    </row>
    <row r="1586" spans="2:11">
      <c r="B1586" s="97" t="str">
        <f ca="1">IF(A1586="","Date",IF(A1586&lt;&gt;"",IF(B1586="Date",NOW(),B1586),""))</f>
        <v>Date</v>
      </c>
      <c r="C1586" s="19" t="str">
        <f>IF(ISBLANK(A1586),"Name",IF(ISNA(VLOOKUP(A1586,'Master List'!A:C,2,FALSE)), "Not Found", VLOOKUP(A1586,'Master List'!A:C,2,FALSE)))</f>
        <v>Name</v>
      </c>
      <c r="D1586" s="19" t="str">
        <f>IF(ISBLANK(A1586), "Email",IF(ISNA(VLOOKUP(A1586,'Master List'!A:C,3,FALSE)), "Not Found", VLOOKUP(A1586,'Master List'!A:C,3,FALSE)))</f>
        <v>Email</v>
      </c>
      <c r="F1586" s="4" t="str">
        <f>IF(OR(A1586="",E1586="","",A1586="?",E1586="?"),"duplicate?",IF(COUNTIFS($A:A,A1586,E:E,E1586)&gt;1,"yes","no"))</f>
        <v>duplicate?</v>
      </c>
      <c r="K1586" s="97" t="str">
        <f ca="1">IF(J1586="","Date",IF(J1586&lt;&gt;"",IF(K1586="Date",NOW(),K1586),""))</f>
        <v>Date</v>
      </c>
    </row>
    <row r="1587" spans="2:11">
      <c r="B1587" s="97" t="str">
        <f ca="1">IF(A1587="","Date",IF(A1587&lt;&gt;"",IF(B1587="Date",NOW(),B1587),""))</f>
        <v>Date</v>
      </c>
      <c r="C1587" s="19" t="str">
        <f>IF(ISBLANK(A1587),"Name",IF(ISNA(VLOOKUP(A1587,'Master List'!A:C,2,FALSE)), "Not Found", VLOOKUP(A1587,'Master List'!A:C,2,FALSE)))</f>
        <v>Name</v>
      </c>
      <c r="D1587" s="19" t="str">
        <f>IF(ISBLANK(A1587), "Email",IF(ISNA(VLOOKUP(A1587,'Master List'!A:C,3,FALSE)), "Not Found", VLOOKUP(A1587,'Master List'!A:C,3,FALSE)))</f>
        <v>Email</v>
      </c>
      <c r="F1587" s="4" t="str">
        <f>IF(OR(A1587="",E1587="","",A1587="?",E1587="?"),"duplicate?",IF(COUNTIFS($A:A,A1587,E:E,E1587)&gt;1,"yes","no"))</f>
        <v>duplicate?</v>
      </c>
      <c r="K1587" s="97" t="str">
        <f ca="1">IF(J1587="","Date",IF(J1587&lt;&gt;"",IF(K1587="Date",NOW(),K1587),""))</f>
        <v>Date</v>
      </c>
    </row>
    <row r="1588" spans="2:11">
      <c r="B1588" s="97" t="str">
        <f ca="1">IF(A1588="","Date",IF(A1588&lt;&gt;"",IF(B1588="Date",NOW(),B1588),""))</f>
        <v>Date</v>
      </c>
      <c r="C1588" s="19" t="str">
        <f>IF(ISBLANK(A1588),"Name",IF(ISNA(VLOOKUP(A1588,'Master List'!A:C,2,FALSE)), "Not Found", VLOOKUP(A1588,'Master List'!A:C,2,FALSE)))</f>
        <v>Name</v>
      </c>
      <c r="D1588" s="19" t="str">
        <f>IF(ISBLANK(A1588), "Email",IF(ISNA(VLOOKUP(A1588,'Master List'!A:C,3,FALSE)), "Not Found", VLOOKUP(A1588,'Master List'!A:C,3,FALSE)))</f>
        <v>Email</v>
      </c>
      <c r="F1588" s="4" t="str">
        <f>IF(OR(A1588="",E1588="","",A1588="?",E1588="?"),"duplicate?",IF(COUNTIFS($A:A,A1588,E:E,E1588)&gt;1,"yes","no"))</f>
        <v>duplicate?</v>
      </c>
      <c r="K1588" s="97" t="str">
        <f ca="1">IF(J1588="","Date",IF(J1588&lt;&gt;"",IF(K1588="Date",NOW(),K1588),""))</f>
        <v>Date</v>
      </c>
    </row>
    <row r="1589" spans="2:11">
      <c r="B1589" s="97" t="str">
        <f ca="1">IF(A1589="","Date",IF(A1589&lt;&gt;"",IF(B1589="Date",NOW(),B1589),""))</f>
        <v>Date</v>
      </c>
      <c r="C1589" s="19" t="str">
        <f>IF(ISBLANK(A1589),"Name",IF(ISNA(VLOOKUP(A1589,'Master List'!A:C,2,FALSE)), "Not Found", VLOOKUP(A1589,'Master List'!A:C,2,FALSE)))</f>
        <v>Name</v>
      </c>
      <c r="D1589" s="19" t="str">
        <f>IF(ISBLANK(A1589), "Email",IF(ISNA(VLOOKUP(A1589,'Master List'!A:C,3,FALSE)), "Not Found", VLOOKUP(A1589,'Master List'!A:C,3,FALSE)))</f>
        <v>Email</v>
      </c>
      <c r="F1589" s="4" t="str">
        <f>IF(OR(A1589="",E1589="","",A1589="?",E1589="?"),"duplicate?",IF(COUNTIFS($A:A,A1589,E:E,E1589)&gt;1,"yes","no"))</f>
        <v>duplicate?</v>
      </c>
      <c r="K1589" s="97" t="str">
        <f ca="1">IF(J1589="","Date",IF(J1589&lt;&gt;"",IF(K1589="Date",NOW(),K1589),""))</f>
        <v>Date</v>
      </c>
    </row>
    <row r="1590" spans="2:11">
      <c r="B1590" s="97" t="str">
        <f ca="1">IF(A1590="","Date",IF(A1590&lt;&gt;"",IF(B1590="Date",NOW(),B1590),""))</f>
        <v>Date</v>
      </c>
      <c r="C1590" s="19" t="str">
        <f>IF(ISBLANK(A1590),"Name",IF(ISNA(VLOOKUP(A1590,'Master List'!A:C,2,FALSE)), "Not Found", VLOOKUP(A1590,'Master List'!A:C,2,FALSE)))</f>
        <v>Name</v>
      </c>
      <c r="D1590" s="19" t="str">
        <f>IF(ISBLANK(A1590), "Email",IF(ISNA(VLOOKUP(A1590,'Master List'!A:C,3,FALSE)), "Not Found", VLOOKUP(A1590,'Master List'!A:C,3,FALSE)))</f>
        <v>Email</v>
      </c>
      <c r="F1590" s="4" t="str">
        <f>IF(OR(A1590="",E1590="","",A1590="?",E1590="?"),"duplicate?",IF(COUNTIFS($A:A,A1590,E:E,E1590)&gt;1,"yes","no"))</f>
        <v>duplicate?</v>
      </c>
      <c r="K1590" s="97" t="str">
        <f ca="1">IF(J1590="","Date",IF(J1590&lt;&gt;"",IF(K1590="Date",NOW(),K1590),""))</f>
        <v>Date</v>
      </c>
    </row>
    <row r="1591" spans="2:11">
      <c r="B1591" s="97" t="str">
        <f ca="1">IF(A1591="","Date",IF(A1591&lt;&gt;"",IF(B1591="Date",NOW(),B1591),""))</f>
        <v>Date</v>
      </c>
      <c r="C1591" s="19" t="str">
        <f>IF(ISBLANK(A1591),"Name",IF(ISNA(VLOOKUP(A1591,'Master List'!A:C,2,FALSE)), "Not Found", VLOOKUP(A1591,'Master List'!A:C,2,FALSE)))</f>
        <v>Name</v>
      </c>
      <c r="D1591" s="19" t="str">
        <f>IF(ISBLANK(A1591), "Email",IF(ISNA(VLOOKUP(A1591,'Master List'!A:C,3,FALSE)), "Not Found", VLOOKUP(A1591,'Master List'!A:C,3,FALSE)))</f>
        <v>Email</v>
      </c>
      <c r="F1591" s="4" t="str">
        <f>IF(OR(A1591="",E1591="","",A1591="?",E1591="?"),"duplicate?",IF(COUNTIFS($A:A,A1591,E:E,E1591)&gt;1,"yes","no"))</f>
        <v>duplicate?</v>
      </c>
      <c r="K1591" s="97" t="str">
        <f ca="1">IF(J1591="","Date",IF(J1591&lt;&gt;"",IF(K1591="Date",NOW(),K1591),""))</f>
        <v>Date</v>
      </c>
    </row>
    <row r="1592" spans="2:11">
      <c r="B1592" s="97" t="str">
        <f ca="1">IF(A1592="","Date",IF(A1592&lt;&gt;"",IF(B1592="Date",NOW(),B1592),""))</f>
        <v>Date</v>
      </c>
      <c r="C1592" s="19" t="str">
        <f>IF(ISBLANK(A1592),"Name",IF(ISNA(VLOOKUP(A1592,'Master List'!A:C,2,FALSE)), "Not Found", VLOOKUP(A1592,'Master List'!A:C,2,FALSE)))</f>
        <v>Name</v>
      </c>
      <c r="D1592" s="19" t="str">
        <f>IF(ISBLANK(A1592), "Email",IF(ISNA(VLOOKUP(A1592,'Master List'!A:C,3,FALSE)), "Not Found", VLOOKUP(A1592,'Master List'!A:C,3,FALSE)))</f>
        <v>Email</v>
      </c>
      <c r="F1592" s="4" t="str">
        <f>IF(OR(A1592="",E1592="","",A1592="?",E1592="?"),"duplicate?",IF(COUNTIFS($A:A,A1592,E:E,E1592)&gt;1,"yes","no"))</f>
        <v>duplicate?</v>
      </c>
      <c r="K1592" s="97" t="str">
        <f ca="1">IF(J1592="","Date",IF(J1592&lt;&gt;"",IF(K1592="Date",NOW(),K1592),""))</f>
        <v>Date</v>
      </c>
    </row>
    <row r="1593" spans="2:11">
      <c r="B1593" s="97" t="str">
        <f ca="1">IF(A1593="","Date",IF(A1593&lt;&gt;"",IF(B1593="Date",NOW(),B1593),""))</f>
        <v>Date</v>
      </c>
      <c r="C1593" s="19" t="str">
        <f>IF(ISBLANK(A1593),"Name",IF(ISNA(VLOOKUP(A1593,'Master List'!A:C,2,FALSE)), "Not Found", VLOOKUP(A1593,'Master List'!A:C,2,FALSE)))</f>
        <v>Name</v>
      </c>
      <c r="D1593" s="19" t="str">
        <f>IF(ISBLANK(A1593), "Email",IF(ISNA(VLOOKUP(A1593,'Master List'!A:C,3,FALSE)), "Not Found", VLOOKUP(A1593,'Master List'!A:C,3,FALSE)))</f>
        <v>Email</v>
      </c>
      <c r="F1593" s="4" t="str">
        <f>IF(OR(A1593="",E1593="","",A1593="?",E1593="?"),"duplicate?",IF(COUNTIFS($A:A,A1593,E:E,E1593)&gt;1,"yes","no"))</f>
        <v>duplicate?</v>
      </c>
      <c r="K1593" s="97" t="str">
        <f ca="1">IF(J1593="","Date",IF(J1593&lt;&gt;"",IF(K1593="Date",NOW(),K1593),""))</f>
        <v>Date</v>
      </c>
    </row>
    <row r="1594" spans="2:11">
      <c r="B1594" s="97" t="str">
        <f ca="1">IF(A1594="","Date",IF(A1594&lt;&gt;"",IF(B1594="Date",NOW(),B1594),""))</f>
        <v>Date</v>
      </c>
      <c r="C1594" s="19" t="str">
        <f>IF(ISBLANK(A1594),"Name",IF(ISNA(VLOOKUP(A1594,'Master List'!A:C,2,FALSE)), "Not Found", VLOOKUP(A1594,'Master List'!A:C,2,FALSE)))</f>
        <v>Name</v>
      </c>
      <c r="D1594" s="19" t="str">
        <f>IF(ISBLANK(A1594), "Email",IF(ISNA(VLOOKUP(A1594,'Master List'!A:C,3,FALSE)), "Not Found", VLOOKUP(A1594,'Master List'!A:C,3,FALSE)))</f>
        <v>Email</v>
      </c>
      <c r="F1594" s="4" t="str">
        <f>IF(OR(A1594="",E1594="","",A1594="?",E1594="?"),"duplicate?",IF(COUNTIFS($A:A,A1594,E:E,E1594)&gt;1,"yes","no"))</f>
        <v>duplicate?</v>
      </c>
      <c r="K1594" s="97" t="str">
        <f ca="1">IF(J1594="","Date",IF(J1594&lt;&gt;"",IF(K1594="Date",NOW(),K1594),""))</f>
        <v>Date</v>
      </c>
    </row>
    <row r="1595" spans="2:11">
      <c r="B1595" s="97" t="str">
        <f ca="1">IF(A1595="","Date",IF(A1595&lt;&gt;"",IF(B1595="Date",NOW(),B1595),""))</f>
        <v>Date</v>
      </c>
      <c r="C1595" s="19" t="str">
        <f>IF(ISBLANK(A1595),"Name",IF(ISNA(VLOOKUP(A1595,'Master List'!A:C,2,FALSE)), "Not Found", VLOOKUP(A1595,'Master List'!A:C,2,FALSE)))</f>
        <v>Name</v>
      </c>
      <c r="D1595" s="19" t="str">
        <f>IF(ISBLANK(A1595), "Email",IF(ISNA(VLOOKUP(A1595,'Master List'!A:C,3,FALSE)), "Not Found", VLOOKUP(A1595,'Master List'!A:C,3,FALSE)))</f>
        <v>Email</v>
      </c>
      <c r="F1595" s="4" t="str">
        <f>IF(OR(A1595="",E1595="","",A1595="?",E1595="?"),"duplicate?",IF(COUNTIFS($A:A,A1595,E:E,E1595)&gt;1,"yes","no"))</f>
        <v>duplicate?</v>
      </c>
      <c r="K1595" s="97" t="str">
        <f ca="1">IF(J1595="","Date",IF(J1595&lt;&gt;"",IF(K1595="Date",NOW(),K1595),""))</f>
        <v>Date</v>
      </c>
    </row>
    <row r="1596" spans="2:11">
      <c r="B1596" s="97" t="str">
        <f ca="1">IF(A1596="","Date",IF(A1596&lt;&gt;"",IF(B1596="Date",NOW(),B1596),""))</f>
        <v>Date</v>
      </c>
      <c r="C1596" s="19" t="str">
        <f>IF(ISBLANK(A1596),"Name",IF(ISNA(VLOOKUP(A1596,'Master List'!A:C,2,FALSE)), "Not Found", VLOOKUP(A1596,'Master List'!A:C,2,FALSE)))</f>
        <v>Name</v>
      </c>
      <c r="D1596" s="19" t="str">
        <f>IF(ISBLANK(A1596), "Email",IF(ISNA(VLOOKUP(A1596,'Master List'!A:C,3,FALSE)), "Not Found", VLOOKUP(A1596,'Master List'!A:C,3,FALSE)))</f>
        <v>Email</v>
      </c>
      <c r="F1596" s="4" t="str">
        <f>IF(OR(A1596="",E1596="","",A1596="?",E1596="?"),"duplicate?",IF(COUNTIFS($A:A,A1596,E:E,E1596)&gt;1,"yes","no"))</f>
        <v>duplicate?</v>
      </c>
      <c r="K1596" s="97" t="str">
        <f ca="1">IF(J1596="","Date",IF(J1596&lt;&gt;"",IF(K1596="Date",NOW(),K1596),""))</f>
        <v>Date</v>
      </c>
    </row>
    <row r="1597" spans="2:11">
      <c r="B1597" s="97" t="str">
        <f ca="1">IF(A1597="","Date",IF(A1597&lt;&gt;"",IF(B1597="Date",NOW(),B1597),""))</f>
        <v>Date</v>
      </c>
      <c r="C1597" s="19" t="str">
        <f>IF(ISBLANK(A1597),"Name",IF(ISNA(VLOOKUP(A1597,'Master List'!A:C,2,FALSE)), "Not Found", VLOOKUP(A1597,'Master List'!A:C,2,FALSE)))</f>
        <v>Name</v>
      </c>
      <c r="D1597" s="19" t="str">
        <f>IF(ISBLANK(A1597), "Email",IF(ISNA(VLOOKUP(A1597,'Master List'!A:C,3,FALSE)), "Not Found", VLOOKUP(A1597,'Master List'!A:C,3,FALSE)))</f>
        <v>Email</v>
      </c>
      <c r="F1597" s="4" t="str">
        <f>IF(OR(A1597="",E1597="","",A1597="?",E1597="?"),"duplicate?",IF(COUNTIFS($A:A,A1597,E:E,E1597)&gt;1,"yes","no"))</f>
        <v>duplicate?</v>
      </c>
      <c r="K1597" s="97" t="str">
        <f ca="1">IF(J1597="","Date",IF(J1597&lt;&gt;"",IF(K1597="Date",NOW(),K1597),""))</f>
        <v>Date</v>
      </c>
    </row>
    <row r="1598" spans="2:11">
      <c r="B1598" s="97" t="str">
        <f ca="1">IF(A1598="","Date",IF(A1598&lt;&gt;"",IF(B1598="Date",NOW(),B1598),""))</f>
        <v>Date</v>
      </c>
      <c r="C1598" s="19" t="str">
        <f>IF(ISBLANK(A1598),"Name",IF(ISNA(VLOOKUP(A1598,'Master List'!A:C,2,FALSE)), "Not Found", VLOOKUP(A1598,'Master List'!A:C,2,FALSE)))</f>
        <v>Name</v>
      </c>
      <c r="D1598" s="19" t="str">
        <f>IF(ISBLANK(A1598), "Email",IF(ISNA(VLOOKUP(A1598,'Master List'!A:C,3,FALSE)), "Not Found", VLOOKUP(A1598,'Master List'!A:C,3,FALSE)))</f>
        <v>Email</v>
      </c>
      <c r="F1598" s="4" t="str">
        <f>IF(OR(A1598="",E1598="","",A1598="?",E1598="?"),"duplicate?",IF(COUNTIFS($A:A,A1598,E:E,E1598)&gt;1,"yes","no"))</f>
        <v>duplicate?</v>
      </c>
      <c r="K1598" s="97" t="str">
        <f ca="1">IF(J1598="","Date",IF(J1598&lt;&gt;"",IF(K1598="Date",NOW(),K1598),""))</f>
        <v>Date</v>
      </c>
    </row>
    <row r="1599" spans="2:11">
      <c r="B1599" s="97" t="str">
        <f ca="1">IF(A1599="","Date",IF(A1599&lt;&gt;"",IF(B1599="Date",NOW(),B1599),""))</f>
        <v>Date</v>
      </c>
      <c r="C1599" s="19" t="str">
        <f>IF(ISBLANK(A1599),"Name",IF(ISNA(VLOOKUP(A1599,'Master List'!A:C,2,FALSE)), "Not Found", VLOOKUP(A1599,'Master List'!A:C,2,FALSE)))</f>
        <v>Name</v>
      </c>
      <c r="D1599" s="19" t="str">
        <f>IF(ISBLANK(A1599), "Email",IF(ISNA(VLOOKUP(A1599,'Master List'!A:C,3,FALSE)), "Not Found", VLOOKUP(A1599,'Master List'!A:C,3,FALSE)))</f>
        <v>Email</v>
      </c>
      <c r="F1599" s="4" t="str">
        <f>IF(OR(A1599="",E1599="","",A1599="?",E1599="?"),"duplicate?",IF(COUNTIFS($A:A,A1599,E:E,E1599)&gt;1,"yes","no"))</f>
        <v>duplicate?</v>
      </c>
      <c r="K1599" s="97" t="str">
        <f ca="1">IF(J1599="","Date",IF(J1599&lt;&gt;"",IF(K1599="Date",NOW(),K1599),""))</f>
        <v>Date</v>
      </c>
    </row>
    <row r="1600" spans="2:11">
      <c r="B1600" s="97" t="str">
        <f ca="1">IF(A1600="","Date",IF(A1600&lt;&gt;"",IF(B1600="Date",NOW(),B1600),""))</f>
        <v>Date</v>
      </c>
      <c r="C1600" s="19" t="str">
        <f>IF(ISBLANK(A1600),"Name",IF(ISNA(VLOOKUP(A1600,'Master List'!A:C,2,FALSE)), "Not Found", VLOOKUP(A1600,'Master List'!A:C,2,FALSE)))</f>
        <v>Name</v>
      </c>
      <c r="D1600" s="19" t="str">
        <f>IF(ISBLANK(A1600), "Email",IF(ISNA(VLOOKUP(A1600,'Master List'!A:C,3,FALSE)), "Not Found", VLOOKUP(A1600,'Master List'!A:C,3,FALSE)))</f>
        <v>Email</v>
      </c>
      <c r="F1600" s="4" t="str">
        <f>IF(OR(A1600="",E1600="","",A1600="?",E1600="?"),"duplicate?",IF(COUNTIFS($A:A,A1600,E:E,E1600)&gt;1,"yes","no"))</f>
        <v>duplicate?</v>
      </c>
      <c r="K1600" s="97" t="str">
        <f ca="1">IF(J1600="","Date",IF(J1600&lt;&gt;"",IF(K1600="Date",NOW(),K1600),""))</f>
        <v>Date</v>
      </c>
    </row>
    <row r="1601" spans="2:11">
      <c r="B1601" s="97" t="str">
        <f ca="1">IF(A1601="","Date",IF(A1601&lt;&gt;"",IF(B1601="Date",NOW(),B1601),""))</f>
        <v>Date</v>
      </c>
      <c r="C1601" s="19" t="str">
        <f>IF(ISBLANK(A1601),"Name",IF(ISNA(VLOOKUP(A1601,'Master List'!A:C,2,FALSE)), "Not Found", VLOOKUP(A1601,'Master List'!A:C,2,FALSE)))</f>
        <v>Name</v>
      </c>
      <c r="D1601" s="19" t="str">
        <f>IF(ISBLANK(A1601), "Email",IF(ISNA(VLOOKUP(A1601,'Master List'!A:C,3,FALSE)), "Not Found", VLOOKUP(A1601,'Master List'!A:C,3,FALSE)))</f>
        <v>Email</v>
      </c>
      <c r="F1601" s="4" t="str">
        <f>IF(OR(A1601="",E1601="","",A1601="?",E1601="?"),"duplicate?",IF(COUNTIFS($A:A,A1601,E:E,E1601)&gt;1,"yes","no"))</f>
        <v>duplicate?</v>
      </c>
      <c r="K1601" s="97" t="str">
        <f ca="1">IF(J1601="","Date",IF(J1601&lt;&gt;"",IF(K1601="Date",NOW(),K1601),""))</f>
        <v>Date</v>
      </c>
    </row>
    <row r="1602" spans="2:11">
      <c r="B1602" s="97" t="str">
        <f ca="1">IF(A1602="","Date",IF(A1602&lt;&gt;"",IF(B1602="Date",NOW(),B1602),""))</f>
        <v>Date</v>
      </c>
      <c r="C1602" s="19" t="str">
        <f>IF(ISBLANK(A1602),"Name",IF(ISNA(VLOOKUP(A1602,'Master List'!A:C,2,FALSE)), "Not Found", VLOOKUP(A1602,'Master List'!A:C,2,FALSE)))</f>
        <v>Name</v>
      </c>
      <c r="D1602" s="19" t="str">
        <f>IF(ISBLANK(A1602), "Email",IF(ISNA(VLOOKUP(A1602,'Master List'!A:C,3,FALSE)), "Not Found", VLOOKUP(A1602,'Master List'!A:C,3,FALSE)))</f>
        <v>Email</v>
      </c>
      <c r="F1602" s="4" t="str">
        <f>IF(OR(A1602="",E1602="","",A1602="?",E1602="?"),"duplicate?",IF(COUNTIFS($A:A,A1602,E:E,E1602)&gt;1,"yes","no"))</f>
        <v>duplicate?</v>
      </c>
      <c r="K1602" s="97" t="str">
        <f ca="1">IF(J1602="","Date",IF(J1602&lt;&gt;"",IF(K1602="Date",NOW(),K1602),""))</f>
        <v>Date</v>
      </c>
    </row>
    <row r="1603" spans="2:11">
      <c r="B1603" s="97" t="str">
        <f ca="1">IF(A1603="","Date",IF(A1603&lt;&gt;"",IF(B1603="Date",NOW(),B1603),""))</f>
        <v>Date</v>
      </c>
      <c r="C1603" s="19" t="str">
        <f>IF(ISBLANK(A1603),"Name",IF(ISNA(VLOOKUP(A1603,'Master List'!A:C,2,FALSE)), "Not Found", VLOOKUP(A1603,'Master List'!A:C,2,FALSE)))</f>
        <v>Name</v>
      </c>
      <c r="D1603" s="19" t="str">
        <f>IF(ISBLANK(A1603), "Email",IF(ISNA(VLOOKUP(A1603,'Master List'!A:C,3,FALSE)), "Not Found", VLOOKUP(A1603,'Master List'!A:C,3,FALSE)))</f>
        <v>Email</v>
      </c>
      <c r="F1603" s="4" t="str">
        <f>IF(OR(A1603="",E1603="","",A1603="?",E1603="?"),"duplicate?",IF(COUNTIFS($A:A,A1603,E:E,E1603)&gt;1,"yes","no"))</f>
        <v>duplicate?</v>
      </c>
      <c r="K1603" s="97" t="str">
        <f ca="1">IF(J1603="","Date",IF(J1603&lt;&gt;"",IF(K1603="Date",NOW(),K1603),""))</f>
        <v>Date</v>
      </c>
    </row>
    <row r="1604" spans="2:11">
      <c r="B1604" s="97" t="str">
        <f ca="1">IF(A1604="","Date",IF(A1604&lt;&gt;"",IF(B1604="Date",NOW(),B1604),""))</f>
        <v>Date</v>
      </c>
      <c r="C1604" s="19" t="str">
        <f>IF(ISBLANK(A1604),"Name",IF(ISNA(VLOOKUP(A1604,'Master List'!A:C,2,FALSE)), "Not Found", VLOOKUP(A1604,'Master List'!A:C,2,FALSE)))</f>
        <v>Name</v>
      </c>
      <c r="D1604" s="19" t="str">
        <f>IF(ISBLANK(A1604), "Email",IF(ISNA(VLOOKUP(A1604,'Master List'!A:C,3,FALSE)), "Not Found", VLOOKUP(A1604,'Master List'!A:C,3,FALSE)))</f>
        <v>Email</v>
      </c>
      <c r="F1604" s="4" t="str">
        <f>IF(OR(A1604="",E1604="","",A1604="?",E1604="?"),"duplicate?",IF(COUNTIFS($A:A,A1604,E:E,E1604)&gt;1,"yes","no"))</f>
        <v>duplicate?</v>
      </c>
      <c r="K1604" s="97" t="str">
        <f ca="1">IF(J1604="","Date",IF(J1604&lt;&gt;"",IF(K1604="Date",NOW(),K1604),""))</f>
        <v>Date</v>
      </c>
    </row>
    <row r="1605" spans="2:11">
      <c r="B1605" s="97" t="str">
        <f ca="1">IF(A1605="","Date",IF(A1605&lt;&gt;"",IF(B1605="Date",NOW(),B1605),""))</f>
        <v>Date</v>
      </c>
      <c r="C1605" s="19" t="str">
        <f>IF(ISBLANK(A1605),"Name",IF(ISNA(VLOOKUP(A1605,'Master List'!A:C,2,FALSE)), "Not Found", VLOOKUP(A1605,'Master List'!A:C,2,FALSE)))</f>
        <v>Name</v>
      </c>
      <c r="D1605" s="19" t="str">
        <f>IF(ISBLANK(A1605), "Email",IF(ISNA(VLOOKUP(A1605,'Master List'!A:C,3,FALSE)), "Not Found", VLOOKUP(A1605,'Master List'!A:C,3,FALSE)))</f>
        <v>Email</v>
      </c>
      <c r="F1605" s="4" t="str">
        <f>IF(OR(A1605="",E1605="","",A1605="?",E1605="?"),"duplicate?",IF(COUNTIFS($A:A,A1605,E:E,E1605)&gt;1,"yes","no"))</f>
        <v>duplicate?</v>
      </c>
      <c r="K1605" s="97" t="str">
        <f ca="1">IF(J1605="","Date",IF(J1605&lt;&gt;"",IF(K1605="Date",NOW(),K1605),""))</f>
        <v>Date</v>
      </c>
    </row>
    <row r="1606" spans="2:11">
      <c r="B1606" s="97" t="str">
        <f ca="1">IF(A1606="","Date",IF(A1606&lt;&gt;"",IF(B1606="Date",NOW(),B1606),""))</f>
        <v>Date</v>
      </c>
      <c r="C1606" s="19" t="str">
        <f>IF(ISBLANK(A1606),"Name",IF(ISNA(VLOOKUP(A1606,'Master List'!A:C,2,FALSE)), "Not Found", VLOOKUP(A1606,'Master List'!A:C,2,FALSE)))</f>
        <v>Name</v>
      </c>
      <c r="D1606" s="19" t="str">
        <f>IF(ISBLANK(A1606), "Email",IF(ISNA(VLOOKUP(A1606,'Master List'!A:C,3,FALSE)), "Not Found", VLOOKUP(A1606,'Master List'!A:C,3,FALSE)))</f>
        <v>Email</v>
      </c>
      <c r="F1606" s="4" t="str">
        <f>IF(OR(A1606="",E1606="","",A1606="?",E1606="?"),"duplicate?",IF(COUNTIFS($A:A,A1606,E:E,E1606)&gt;1,"yes","no"))</f>
        <v>duplicate?</v>
      </c>
      <c r="K1606" s="97" t="str">
        <f ca="1">IF(J1606="","Date",IF(J1606&lt;&gt;"",IF(K1606="Date",NOW(),K1606),""))</f>
        <v>Date</v>
      </c>
    </row>
    <row r="1607" spans="2:11">
      <c r="B1607" s="97" t="str">
        <f ca="1">IF(A1607="","Date",IF(A1607&lt;&gt;"",IF(B1607="Date",NOW(),B1607),""))</f>
        <v>Date</v>
      </c>
      <c r="C1607" s="19" t="str">
        <f>IF(ISBLANK(A1607),"Name",IF(ISNA(VLOOKUP(A1607,'Master List'!A:C,2,FALSE)), "Not Found", VLOOKUP(A1607,'Master List'!A:C,2,FALSE)))</f>
        <v>Name</v>
      </c>
      <c r="D1607" s="19" t="str">
        <f>IF(ISBLANK(A1607), "Email",IF(ISNA(VLOOKUP(A1607,'Master List'!A:C,3,FALSE)), "Not Found", VLOOKUP(A1607,'Master List'!A:C,3,FALSE)))</f>
        <v>Email</v>
      </c>
      <c r="F1607" s="4" t="str">
        <f>IF(OR(A1607="",E1607="","",A1607="?",E1607="?"),"duplicate?",IF(COUNTIFS($A:A,A1607,E:E,E1607)&gt;1,"yes","no"))</f>
        <v>duplicate?</v>
      </c>
      <c r="K1607" s="97" t="str">
        <f ca="1">IF(J1607="","Date",IF(J1607&lt;&gt;"",IF(K1607="Date",NOW(),K1607),""))</f>
        <v>Date</v>
      </c>
    </row>
    <row r="1608" spans="2:11">
      <c r="B1608" s="97" t="str">
        <f ca="1">IF(A1608="","Date",IF(A1608&lt;&gt;"",IF(B1608="Date",NOW(),B1608),""))</f>
        <v>Date</v>
      </c>
      <c r="C1608" s="19" t="str">
        <f>IF(ISBLANK(A1608),"Name",IF(ISNA(VLOOKUP(A1608,'Master List'!A:C,2,FALSE)), "Not Found", VLOOKUP(A1608,'Master List'!A:C,2,FALSE)))</f>
        <v>Name</v>
      </c>
      <c r="D1608" s="19" t="str">
        <f>IF(ISBLANK(A1608), "Email",IF(ISNA(VLOOKUP(A1608,'Master List'!A:C,3,FALSE)), "Not Found", VLOOKUP(A1608,'Master List'!A:C,3,FALSE)))</f>
        <v>Email</v>
      </c>
      <c r="F1608" s="4" t="str">
        <f>IF(OR(A1608="",E1608="","",A1608="?",E1608="?"),"duplicate?",IF(COUNTIFS($A:A,A1608,E:E,E1608)&gt;1,"yes","no"))</f>
        <v>duplicate?</v>
      </c>
      <c r="K1608" s="97" t="str">
        <f ca="1">IF(J1608="","Date",IF(J1608&lt;&gt;"",IF(K1608="Date",NOW(),K1608),""))</f>
        <v>Date</v>
      </c>
    </row>
    <row r="1609" spans="2:11">
      <c r="B1609" s="97" t="str">
        <f ca="1">IF(A1609="","Date",IF(A1609&lt;&gt;"",IF(B1609="Date",NOW(),B1609),""))</f>
        <v>Date</v>
      </c>
      <c r="C1609" s="19" t="str">
        <f>IF(ISBLANK(A1609),"Name",IF(ISNA(VLOOKUP(A1609,'Master List'!A:C,2,FALSE)), "Not Found", VLOOKUP(A1609,'Master List'!A:C,2,FALSE)))</f>
        <v>Name</v>
      </c>
      <c r="D1609" s="19" t="str">
        <f>IF(ISBLANK(A1609), "Email",IF(ISNA(VLOOKUP(A1609,'Master List'!A:C,3,FALSE)), "Not Found", VLOOKUP(A1609,'Master List'!A:C,3,FALSE)))</f>
        <v>Email</v>
      </c>
      <c r="F1609" s="4" t="str">
        <f>IF(OR(A1609="",E1609="","",A1609="?",E1609="?"),"duplicate?",IF(COUNTIFS($A:A,A1609,E:E,E1609)&gt;1,"yes","no"))</f>
        <v>duplicate?</v>
      </c>
      <c r="K1609" s="97" t="str">
        <f ca="1">IF(J1609="","Date",IF(J1609&lt;&gt;"",IF(K1609="Date",NOW(),K1609),""))</f>
        <v>Date</v>
      </c>
    </row>
    <row r="1610" spans="2:11">
      <c r="B1610" s="97" t="str">
        <f ca="1">IF(A1610="","Date",IF(A1610&lt;&gt;"",IF(B1610="Date",NOW(),B1610),""))</f>
        <v>Date</v>
      </c>
      <c r="C1610" s="19" t="str">
        <f>IF(ISBLANK(A1610),"Name",IF(ISNA(VLOOKUP(A1610,'Master List'!A:C,2,FALSE)), "Not Found", VLOOKUP(A1610,'Master List'!A:C,2,FALSE)))</f>
        <v>Name</v>
      </c>
      <c r="D1610" s="19" t="str">
        <f>IF(ISBLANK(A1610), "Email",IF(ISNA(VLOOKUP(A1610,'Master List'!A:C,3,FALSE)), "Not Found", VLOOKUP(A1610,'Master List'!A:C,3,FALSE)))</f>
        <v>Email</v>
      </c>
      <c r="F1610" s="4" t="str">
        <f>IF(OR(A1610="",E1610="","",A1610="?",E1610="?"),"duplicate?",IF(COUNTIFS($A:A,A1610,E:E,E1610)&gt;1,"yes","no"))</f>
        <v>duplicate?</v>
      </c>
      <c r="K1610" s="97" t="str">
        <f ca="1">IF(J1610="","Date",IF(J1610&lt;&gt;"",IF(K1610="Date",NOW(),K1610),""))</f>
        <v>Date</v>
      </c>
    </row>
    <row r="1611" spans="2:11">
      <c r="B1611" s="97" t="str">
        <f ca="1">IF(A1611="","Date",IF(A1611&lt;&gt;"",IF(B1611="Date",NOW(),B1611),""))</f>
        <v>Date</v>
      </c>
      <c r="C1611" s="19" t="str">
        <f>IF(ISBLANK(A1611),"Name",IF(ISNA(VLOOKUP(A1611,'Master List'!A:C,2,FALSE)), "Not Found", VLOOKUP(A1611,'Master List'!A:C,2,FALSE)))</f>
        <v>Name</v>
      </c>
      <c r="D1611" s="19" t="str">
        <f>IF(ISBLANK(A1611), "Email",IF(ISNA(VLOOKUP(A1611,'Master List'!A:C,3,FALSE)), "Not Found", VLOOKUP(A1611,'Master List'!A:C,3,FALSE)))</f>
        <v>Email</v>
      </c>
      <c r="F1611" s="4" t="str">
        <f>IF(OR(A1611="",E1611="","",A1611="?",E1611="?"),"duplicate?",IF(COUNTIFS($A:A,A1611,E:E,E1611)&gt;1,"yes","no"))</f>
        <v>duplicate?</v>
      </c>
      <c r="K1611" s="97" t="str">
        <f ca="1">IF(J1611="","Date",IF(J1611&lt;&gt;"",IF(K1611="Date",NOW(),K1611),""))</f>
        <v>Date</v>
      </c>
    </row>
    <row r="1612" spans="2:11">
      <c r="B1612" s="97" t="str">
        <f ca="1">IF(A1612="","Date",IF(A1612&lt;&gt;"",IF(B1612="Date",NOW(),B1612),""))</f>
        <v>Date</v>
      </c>
      <c r="C1612" s="19" t="str">
        <f>IF(ISBLANK(A1612),"Name",IF(ISNA(VLOOKUP(A1612,'Master List'!A:C,2,FALSE)), "Not Found", VLOOKUP(A1612,'Master List'!A:C,2,FALSE)))</f>
        <v>Name</v>
      </c>
      <c r="D1612" s="19" t="str">
        <f>IF(ISBLANK(A1612), "Email",IF(ISNA(VLOOKUP(A1612,'Master List'!A:C,3,FALSE)), "Not Found", VLOOKUP(A1612,'Master List'!A:C,3,FALSE)))</f>
        <v>Email</v>
      </c>
      <c r="F1612" s="4" t="str">
        <f>IF(OR(A1612="",E1612="","",A1612="?",E1612="?"),"duplicate?",IF(COUNTIFS($A:A,A1612,E:E,E1612)&gt;1,"yes","no"))</f>
        <v>duplicate?</v>
      </c>
      <c r="K1612" s="97" t="str">
        <f ca="1">IF(J1612="","Date",IF(J1612&lt;&gt;"",IF(K1612="Date",NOW(),K1612),""))</f>
        <v>Date</v>
      </c>
    </row>
    <row r="1613" spans="2:11">
      <c r="B1613" s="97" t="str">
        <f ca="1">IF(A1613="","Date",IF(A1613&lt;&gt;"",IF(B1613="Date",NOW(),B1613),""))</f>
        <v>Date</v>
      </c>
      <c r="C1613" s="19" t="str">
        <f>IF(ISBLANK(A1613),"Name",IF(ISNA(VLOOKUP(A1613,'Master List'!A:C,2,FALSE)), "Not Found", VLOOKUP(A1613,'Master List'!A:C,2,FALSE)))</f>
        <v>Name</v>
      </c>
      <c r="D1613" s="19" t="str">
        <f>IF(ISBLANK(A1613), "Email",IF(ISNA(VLOOKUP(A1613,'Master List'!A:C,3,FALSE)), "Not Found", VLOOKUP(A1613,'Master List'!A:C,3,FALSE)))</f>
        <v>Email</v>
      </c>
      <c r="F1613" s="4" t="str">
        <f>IF(OR(A1613="",E1613="","",A1613="?",E1613="?"),"duplicate?",IF(COUNTIFS($A:A,A1613,E:E,E1613)&gt;1,"yes","no"))</f>
        <v>duplicate?</v>
      </c>
      <c r="K1613" s="97" t="str">
        <f ca="1">IF(J1613="","Date",IF(J1613&lt;&gt;"",IF(K1613="Date",NOW(),K1613),""))</f>
        <v>Date</v>
      </c>
    </row>
    <row r="1614" spans="2:11">
      <c r="B1614" s="97" t="str">
        <f ca="1">IF(A1614="","Date",IF(A1614&lt;&gt;"",IF(B1614="Date",NOW(),B1614),""))</f>
        <v>Date</v>
      </c>
      <c r="C1614" s="19" t="str">
        <f>IF(ISBLANK(A1614),"Name",IF(ISNA(VLOOKUP(A1614,'Master List'!A:C,2,FALSE)), "Not Found", VLOOKUP(A1614,'Master List'!A:C,2,FALSE)))</f>
        <v>Name</v>
      </c>
      <c r="D1614" s="19" t="str">
        <f>IF(ISBLANK(A1614), "Email",IF(ISNA(VLOOKUP(A1614,'Master List'!A:C,3,FALSE)), "Not Found", VLOOKUP(A1614,'Master List'!A:C,3,FALSE)))</f>
        <v>Email</v>
      </c>
      <c r="F1614" s="4" t="str">
        <f>IF(OR(A1614="",E1614="","",A1614="?",E1614="?"),"duplicate?",IF(COUNTIFS($A:A,A1614,E:E,E1614)&gt;1,"yes","no"))</f>
        <v>duplicate?</v>
      </c>
      <c r="K1614" s="97" t="str">
        <f ca="1">IF(J1614="","Date",IF(J1614&lt;&gt;"",IF(K1614="Date",NOW(),K1614),""))</f>
        <v>Date</v>
      </c>
    </row>
    <row r="1615" spans="2:11">
      <c r="B1615" s="97" t="str">
        <f ca="1">IF(A1615="","Date",IF(A1615&lt;&gt;"",IF(B1615="Date",NOW(),B1615),""))</f>
        <v>Date</v>
      </c>
      <c r="C1615" s="19" t="str">
        <f>IF(ISBLANK(A1615),"Name",IF(ISNA(VLOOKUP(A1615,'Master List'!A:C,2,FALSE)), "Not Found", VLOOKUP(A1615,'Master List'!A:C,2,FALSE)))</f>
        <v>Name</v>
      </c>
      <c r="D1615" s="19" t="str">
        <f>IF(ISBLANK(A1615), "Email",IF(ISNA(VLOOKUP(A1615,'Master List'!A:C,3,FALSE)), "Not Found", VLOOKUP(A1615,'Master List'!A:C,3,FALSE)))</f>
        <v>Email</v>
      </c>
      <c r="F1615" s="4" t="str">
        <f>IF(OR(A1615="",E1615="","",A1615="?",E1615="?"),"duplicate?",IF(COUNTIFS($A:A,A1615,E:E,E1615)&gt;1,"yes","no"))</f>
        <v>duplicate?</v>
      </c>
      <c r="K1615" s="97" t="str">
        <f ca="1">IF(J1615="","Date",IF(J1615&lt;&gt;"",IF(K1615="Date",NOW(),K1615),""))</f>
        <v>Date</v>
      </c>
    </row>
    <row r="1616" spans="2:11">
      <c r="B1616" s="97" t="str">
        <f ca="1">IF(A1616="","Date",IF(A1616&lt;&gt;"",IF(B1616="Date",NOW(),B1616),""))</f>
        <v>Date</v>
      </c>
      <c r="C1616" s="19" t="str">
        <f>IF(ISBLANK(A1616),"Name",IF(ISNA(VLOOKUP(A1616,'Master List'!A:C,2,FALSE)), "Not Found", VLOOKUP(A1616,'Master List'!A:C,2,FALSE)))</f>
        <v>Name</v>
      </c>
      <c r="D1616" s="19" t="str">
        <f>IF(ISBLANK(A1616), "Email",IF(ISNA(VLOOKUP(A1616,'Master List'!A:C,3,FALSE)), "Not Found", VLOOKUP(A1616,'Master List'!A:C,3,FALSE)))</f>
        <v>Email</v>
      </c>
      <c r="F1616" s="4" t="str">
        <f>IF(OR(A1616="",E1616="","",A1616="?",E1616="?"),"duplicate?",IF(COUNTIFS($A:A,A1616,E:E,E1616)&gt;1,"yes","no"))</f>
        <v>duplicate?</v>
      </c>
      <c r="K1616" s="97" t="str">
        <f ca="1">IF(J1616="","Date",IF(J1616&lt;&gt;"",IF(K1616="Date",NOW(),K1616),""))</f>
        <v>Date</v>
      </c>
    </row>
    <row r="1617" spans="2:11">
      <c r="B1617" s="97" t="str">
        <f ca="1">IF(A1617="","Date",IF(A1617&lt;&gt;"",IF(B1617="Date",NOW(),B1617),""))</f>
        <v>Date</v>
      </c>
      <c r="C1617" s="19" t="str">
        <f>IF(ISBLANK(A1617),"Name",IF(ISNA(VLOOKUP(A1617,'Master List'!A:C,2,FALSE)), "Not Found", VLOOKUP(A1617,'Master List'!A:C,2,FALSE)))</f>
        <v>Name</v>
      </c>
      <c r="D1617" s="19" t="str">
        <f>IF(ISBLANK(A1617), "Email",IF(ISNA(VLOOKUP(A1617,'Master List'!A:C,3,FALSE)), "Not Found", VLOOKUP(A1617,'Master List'!A:C,3,FALSE)))</f>
        <v>Email</v>
      </c>
      <c r="F1617" s="4" t="str">
        <f>IF(OR(A1617="",E1617="","",A1617="?",E1617="?"),"duplicate?",IF(COUNTIFS($A:A,A1617,E:E,E1617)&gt;1,"yes","no"))</f>
        <v>duplicate?</v>
      </c>
      <c r="K1617" s="97" t="str">
        <f ca="1">IF(J1617="","Date",IF(J1617&lt;&gt;"",IF(K1617="Date",NOW(),K1617),""))</f>
        <v>Date</v>
      </c>
    </row>
    <row r="1618" spans="2:11">
      <c r="B1618" s="97" t="str">
        <f ca="1">IF(A1618="","Date",IF(A1618&lt;&gt;"",IF(B1618="Date",NOW(),B1618),""))</f>
        <v>Date</v>
      </c>
      <c r="C1618" s="19" t="str">
        <f>IF(ISBLANK(A1618),"Name",IF(ISNA(VLOOKUP(A1618,'Master List'!A:C,2,FALSE)), "Not Found", VLOOKUP(A1618,'Master List'!A:C,2,FALSE)))</f>
        <v>Name</v>
      </c>
      <c r="D1618" s="19" t="str">
        <f>IF(ISBLANK(A1618), "Email",IF(ISNA(VLOOKUP(A1618,'Master List'!A:C,3,FALSE)), "Not Found", VLOOKUP(A1618,'Master List'!A:C,3,FALSE)))</f>
        <v>Email</v>
      </c>
      <c r="F1618" s="4" t="str">
        <f>IF(OR(A1618="",E1618="","",A1618="?",E1618="?"),"duplicate?",IF(COUNTIFS($A:A,A1618,E:E,E1618)&gt;1,"yes","no"))</f>
        <v>duplicate?</v>
      </c>
      <c r="K1618" s="97" t="str">
        <f ca="1">IF(J1618="","Date",IF(J1618&lt;&gt;"",IF(K1618="Date",NOW(),K1618),""))</f>
        <v>Date</v>
      </c>
    </row>
    <row r="1619" spans="2:11">
      <c r="B1619" s="97" t="str">
        <f ca="1">IF(A1619="","Date",IF(A1619&lt;&gt;"",IF(B1619="Date",NOW(),B1619),""))</f>
        <v>Date</v>
      </c>
      <c r="C1619" s="19" t="str">
        <f>IF(ISBLANK(A1619),"Name",IF(ISNA(VLOOKUP(A1619,'Master List'!A:C,2,FALSE)), "Not Found", VLOOKUP(A1619,'Master List'!A:C,2,FALSE)))</f>
        <v>Name</v>
      </c>
      <c r="D1619" s="19" t="str">
        <f>IF(ISBLANK(A1619), "Email",IF(ISNA(VLOOKUP(A1619,'Master List'!A:C,3,FALSE)), "Not Found", VLOOKUP(A1619,'Master List'!A:C,3,FALSE)))</f>
        <v>Email</v>
      </c>
      <c r="F1619" s="4" t="str">
        <f>IF(OR(A1619="",E1619="","",A1619="?",E1619="?"),"duplicate?",IF(COUNTIFS($A:A,A1619,E:E,E1619)&gt;1,"yes","no"))</f>
        <v>duplicate?</v>
      </c>
      <c r="K1619" s="97" t="str">
        <f ca="1">IF(J1619="","Date",IF(J1619&lt;&gt;"",IF(K1619="Date",NOW(),K1619),""))</f>
        <v>Date</v>
      </c>
    </row>
    <row r="1620" spans="2:11">
      <c r="B1620" s="97" t="str">
        <f ca="1">IF(A1620="","Date",IF(A1620&lt;&gt;"",IF(B1620="Date",NOW(),B1620),""))</f>
        <v>Date</v>
      </c>
      <c r="C1620" s="19" t="str">
        <f>IF(ISBLANK(A1620),"Name",IF(ISNA(VLOOKUP(A1620,'Master List'!A:C,2,FALSE)), "Not Found", VLOOKUP(A1620,'Master List'!A:C,2,FALSE)))</f>
        <v>Name</v>
      </c>
      <c r="D1620" s="19" t="str">
        <f>IF(ISBLANK(A1620), "Email",IF(ISNA(VLOOKUP(A1620,'Master List'!A:C,3,FALSE)), "Not Found", VLOOKUP(A1620,'Master List'!A:C,3,FALSE)))</f>
        <v>Email</v>
      </c>
      <c r="F1620" s="4" t="str">
        <f>IF(OR(A1620="",E1620="","",A1620="?",E1620="?"),"duplicate?",IF(COUNTIFS($A:A,A1620,E:E,E1620)&gt;1,"yes","no"))</f>
        <v>duplicate?</v>
      </c>
      <c r="K1620" s="97" t="str">
        <f ca="1">IF(J1620="","Date",IF(J1620&lt;&gt;"",IF(K1620="Date",NOW(),K1620),""))</f>
        <v>Date</v>
      </c>
    </row>
    <row r="1621" spans="2:11">
      <c r="B1621" s="97" t="str">
        <f ca="1">IF(A1621="","Date",IF(A1621&lt;&gt;"",IF(B1621="Date",NOW(),B1621),""))</f>
        <v>Date</v>
      </c>
      <c r="C1621" s="19" t="str">
        <f>IF(ISBLANK(A1621),"Name",IF(ISNA(VLOOKUP(A1621,'Master List'!A:C,2,FALSE)), "Not Found", VLOOKUP(A1621,'Master List'!A:C,2,FALSE)))</f>
        <v>Name</v>
      </c>
      <c r="D1621" s="19" t="str">
        <f>IF(ISBLANK(A1621), "Email",IF(ISNA(VLOOKUP(A1621,'Master List'!A:C,3,FALSE)), "Not Found", VLOOKUP(A1621,'Master List'!A:C,3,FALSE)))</f>
        <v>Email</v>
      </c>
      <c r="F1621" s="4" t="str">
        <f>IF(OR(A1621="",E1621="","",A1621="?",E1621="?"),"duplicate?",IF(COUNTIFS($A:A,A1621,E:E,E1621)&gt;1,"yes","no"))</f>
        <v>duplicate?</v>
      </c>
      <c r="K1621" s="97" t="str">
        <f ca="1">IF(J1621="","Date",IF(J1621&lt;&gt;"",IF(K1621="Date",NOW(),K1621),""))</f>
        <v>Date</v>
      </c>
    </row>
    <row r="1622" spans="2:11">
      <c r="B1622" s="97" t="str">
        <f ca="1">IF(A1622="","Date",IF(A1622&lt;&gt;"",IF(B1622="Date",NOW(),B1622),""))</f>
        <v>Date</v>
      </c>
      <c r="C1622" s="19" t="str">
        <f>IF(ISBLANK(A1622),"Name",IF(ISNA(VLOOKUP(A1622,'Master List'!A:C,2,FALSE)), "Not Found", VLOOKUP(A1622,'Master List'!A:C,2,FALSE)))</f>
        <v>Name</v>
      </c>
      <c r="D1622" s="19" t="str">
        <f>IF(ISBLANK(A1622), "Email",IF(ISNA(VLOOKUP(A1622,'Master List'!A:C,3,FALSE)), "Not Found", VLOOKUP(A1622,'Master List'!A:C,3,FALSE)))</f>
        <v>Email</v>
      </c>
      <c r="F1622" s="4" t="str">
        <f>IF(OR(A1622="",E1622="","",A1622="?",E1622="?"),"duplicate?",IF(COUNTIFS($A:A,A1622,E:E,E1622)&gt;1,"yes","no"))</f>
        <v>duplicate?</v>
      </c>
      <c r="K1622" s="97" t="str">
        <f ca="1">IF(J1622="","Date",IF(J1622&lt;&gt;"",IF(K1622="Date",NOW(),K1622),""))</f>
        <v>Date</v>
      </c>
    </row>
    <row r="1623" spans="2:11">
      <c r="B1623" s="97" t="str">
        <f ca="1">IF(A1623="","Date",IF(A1623&lt;&gt;"",IF(B1623="Date",NOW(),B1623),""))</f>
        <v>Date</v>
      </c>
      <c r="C1623" s="19" t="str">
        <f>IF(ISBLANK(A1623),"Name",IF(ISNA(VLOOKUP(A1623,'Master List'!A:C,2,FALSE)), "Not Found", VLOOKUP(A1623,'Master List'!A:C,2,FALSE)))</f>
        <v>Name</v>
      </c>
      <c r="D1623" s="19" t="str">
        <f>IF(ISBLANK(A1623), "Email",IF(ISNA(VLOOKUP(A1623,'Master List'!A:C,3,FALSE)), "Not Found", VLOOKUP(A1623,'Master List'!A:C,3,FALSE)))</f>
        <v>Email</v>
      </c>
      <c r="F1623" s="4" t="str">
        <f>IF(OR(A1623="",E1623="","",A1623="?",E1623="?"),"duplicate?",IF(COUNTIFS($A:A,A1623,E:E,E1623)&gt;1,"yes","no"))</f>
        <v>duplicate?</v>
      </c>
      <c r="K1623" s="97" t="str">
        <f ca="1">IF(J1623="","Date",IF(J1623&lt;&gt;"",IF(K1623="Date",NOW(),K1623),""))</f>
        <v>Date</v>
      </c>
    </row>
    <row r="1624" spans="2:11">
      <c r="B1624" s="97" t="str">
        <f ca="1">IF(A1624="","Date",IF(A1624&lt;&gt;"",IF(B1624="Date",NOW(),B1624),""))</f>
        <v>Date</v>
      </c>
      <c r="C1624" s="19" t="str">
        <f>IF(ISBLANK(A1624),"Name",IF(ISNA(VLOOKUP(A1624,'Master List'!A:C,2,FALSE)), "Not Found", VLOOKUP(A1624,'Master List'!A:C,2,FALSE)))</f>
        <v>Name</v>
      </c>
      <c r="D1624" s="19" t="str">
        <f>IF(ISBLANK(A1624), "Email",IF(ISNA(VLOOKUP(A1624,'Master List'!A:C,3,FALSE)), "Not Found", VLOOKUP(A1624,'Master List'!A:C,3,FALSE)))</f>
        <v>Email</v>
      </c>
      <c r="F1624" s="4" t="str">
        <f>IF(OR(A1624="",E1624="","",A1624="?",E1624="?"),"duplicate?",IF(COUNTIFS($A:A,A1624,E:E,E1624)&gt;1,"yes","no"))</f>
        <v>duplicate?</v>
      </c>
      <c r="K1624" s="97" t="str">
        <f ca="1">IF(J1624="","Date",IF(J1624&lt;&gt;"",IF(K1624="Date",NOW(),K1624),""))</f>
        <v>Date</v>
      </c>
    </row>
    <row r="1625" spans="2:11">
      <c r="B1625" s="97" t="str">
        <f ca="1">IF(A1625="","Date",IF(A1625&lt;&gt;"",IF(B1625="Date",NOW(),B1625),""))</f>
        <v>Date</v>
      </c>
      <c r="C1625" s="19" t="str">
        <f>IF(ISBLANK(A1625),"Name",IF(ISNA(VLOOKUP(A1625,'Master List'!A:C,2,FALSE)), "Not Found", VLOOKUP(A1625,'Master List'!A:C,2,FALSE)))</f>
        <v>Name</v>
      </c>
      <c r="D1625" s="19" t="str">
        <f>IF(ISBLANK(A1625), "Email",IF(ISNA(VLOOKUP(A1625,'Master List'!A:C,3,FALSE)), "Not Found", VLOOKUP(A1625,'Master List'!A:C,3,FALSE)))</f>
        <v>Email</v>
      </c>
      <c r="F1625" s="4" t="str">
        <f>IF(OR(A1625="",E1625="","",A1625="?",E1625="?"),"duplicate?",IF(COUNTIFS($A:A,A1625,E:E,E1625)&gt;1,"yes","no"))</f>
        <v>duplicate?</v>
      </c>
      <c r="K1625" s="97" t="str">
        <f ca="1">IF(J1625="","Date",IF(J1625&lt;&gt;"",IF(K1625="Date",NOW(),K1625),""))</f>
        <v>Date</v>
      </c>
    </row>
    <row r="1626" spans="2:11">
      <c r="B1626" s="97" t="str">
        <f ca="1">IF(A1626="","Date",IF(A1626&lt;&gt;"",IF(B1626="Date",NOW(),B1626),""))</f>
        <v>Date</v>
      </c>
      <c r="C1626" s="19" t="str">
        <f>IF(ISBLANK(A1626),"Name",IF(ISNA(VLOOKUP(A1626,'Master List'!A:C,2,FALSE)), "Not Found", VLOOKUP(A1626,'Master List'!A:C,2,FALSE)))</f>
        <v>Name</v>
      </c>
      <c r="D1626" s="19" t="str">
        <f>IF(ISBLANK(A1626), "Email",IF(ISNA(VLOOKUP(A1626,'Master List'!A:C,3,FALSE)), "Not Found", VLOOKUP(A1626,'Master List'!A:C,3,FALSE)))</f>
        <v>Email</v>
      </c>
      <c r="F1626" s="4" t="str">
        <f>IF(OR(A1626="",E1626="","",A1626="?",E1626="?"),"duplicate?",IF(COUNTIFS($A:A,A1626,E:E,E1626)&gt;1,"yes","no"))</f>
        <v>duplicate?</v>
      </c>
      <c r="K1626" s="97" t="str">
        <f ca="1">IF(J1626="","Date",IF(J1626&lt;&gt;"",IF(K1626="Date",NOW(),K1626),""))</f>
        <v>Date</v>
      </c>
    </row>
    <row r="1627" spans="2:11">
      <c r="B1627" s="97" t="str">
        <f ca="1">IF(A1627="","Date",IF(A1627&lt;&gt;"",IF(B1627="Date",NOW(),B1627),""))</f>
        <v>Date</v>
      </c>
      <c r="C1627" s="19" t="str">
        <f>IF(ISBLANK(A1627),"Name",IF(ISNA(VLOOKUP(A1627,'Master List'!A:C,2,FALSE)), "Not Found", VLOOKUP(A1627,'Master List'!A:C,2,FALSE)))</f>
        <v>Name</v>
      </c>
      <c r="D1627" s="19" t="str">
        <f>IF(ISBLANK(A1627), "Email",IF(ISNA(VLOOKUP(A1627,'Master List'!A:C,3,FALSE)), "Not Found", VLOOKUP(A1627,'Master List'!A:C,3,FALSE)))</f>
        <v>Email</v>
      </c>
      <c r="F1627" s="4" t="str">
        <f>IF(OR(A1627="",E1627="","",A1627="?",E1627="?"),"duplicate?",IF(COUNTIFS($A:A,A1627,E:E,E1627)&gt;1,"yes","no"))</f>
        <v>duplicate?</v>
      </c>
      <c r="K1627" s="97" t="str">
        <f ca="1">IF(J1627="","Date",IF(J1627&lt;&gt;"",IF(K1627="Date",NOW(),K1627),""))</f>
        <v>Date</v>
      </c>
    </row>
    <row r="1628" spans="2:11">
      <c r="B1628" s="97" t="str">
        <f ca="1">IF(A1628="","Date",IF(A1628&lt;&gt;"",IF(B1628="Date",NOW(),B1628),""))</f>
        <v>Date</v>
      </c>
      <c r="C1628" s="19" t="str">
        <f>IF(ISBLANK(A1628),"Name",IF(ISNA(VLOOKUP(A1628,'Master List'!A:C,2,FALSE)), "Not Found", VLOOKUP(A1628,'Master List'!A:C,2,FALSE)))</f>
        <v>Name</v>
      </c>
      <c r="D1628" s="19" t="str">
        <f>IF(ISBLANK(A1628), "Email",IF(ISNA(VLOOKUP(A1628,'Master List'!A:C,3,FALSE)), "Not Found", VLOOKUP(A1628,'Master List'!A:C,3,FALSE)))</f>
        <v>Email</v>
      </c>
      <c r="F1628" s="4" t="str">
        <f>IF(OR(A1628="",E1628="","",A1628="?",E1628="?"),"duplicate?",IF(COUNTIFS($A:A,A1628,E:E,E1628)&gt;1,"yes","no"))</f>
        <v>duplicate?</v>
      </c>
      <c r="K1628" s="97" t="str">
        <f ca="1">IF(J1628="","Date",IF(J1628&lt;&gt;"",IF(K1628="Date",NOW(),K1628),""))</f>
        <v>Date</v>
      </c>
    </row>
    <row r="1629" spans="2:11">
      <c r="B1629" s="97" t="str">
        <f ca="1">IF(A1629="","Date",IF(A1629&lt;&gt;"",IF(B1629="Date",NOW(),B1629),""))</f>
        <v>Date</v>
      </c>
      <c r="C1629" s="19" t="str">
        <f>IF(ISBLANK(A1629),"Name",IF(ISNA(VLOOKUP(A1629,'Master List'!A:C,2,FALSE)), "Not Found", VLOOKUP(A1629,'Master List'!A:C,2,FALSE)))</f>
        <v>Name</v>
      </c>
      <c r="D1629" s="19" t="str">
        <f>IF(ISBLANK(A1629), "Email",IF(ISNA(VLOOKUP(A1629,'Master List'!A:C,3,FALSE)), "Not Found", VLOOKUP(A1629,'Master List'!A:C,3,FALSE)))</f>
        <v>Email</v>
      </c>
      <c r="F1629" s="4" t="str">
        <f>IF(OR(A1629="",E1629="","",A1629="?",E1629="?"),"duplicate?",IF(COUNTIFS($A:A,A1629,E:E,E1629)&gt;1,"yes","no"))</f>
        <v>duplicate?</v>
      </c>
      <c r="K1629" s="97" t="str">
        <f ca="1">IF(J1629="","Date",IF(J1629&lt;&gt;"",IF(K1629="Date",NOW(),K1629),""))</f>
        <v>Date</v>
      </c>
    </row>
    <row r="1630" spans="2:11">
      <c r="B1630" s="97" t="str">
        <f ca="1">IF(A1630="","Date",IF(A1630&lt;&gt;"",IF(B1630="Date",NOW(),B1630),""))</f>
        <v>Date</v>
      </c>
      <c r="C1630" s="19" t="str">
        <f>IF(ISBLANK(A1630),"Name",IF(ISNA(VLOOKUP(A1630,'Master List'!A:C,2,FALSE)), "Not Found", VLOOKUP(A1630,'Master List'!A:C,2,FALSE)))</f>
        <v>Name</v>
      </c>
      <c r="D1630" s="19" t="str">
        <f>IF(ISBLANK(A1630), "Email",IF(ISNA(VLOOKUP(A1630,'Master List'!A:C,3,FALSE)), "Not Found", VLOOKUP(A1630,'Master List'!A:C,3,FALSE)))</f>
        <v>Email</v>
      </c>
      <c r="F1630" s="4" t="str">
        <f>IF(OR(A1630="",E1630="","",A1630="?",E1630="?"),"duplicate?",IF(COUNTIFS($A:A,A1630,E:E,E1630)&gt;1,"yes","no"))</f>
        <v>duplicate?</v>
      </c>
      <c r="K1630" s="97" t="str">
        <f ca="1">IF(J1630="","Date",IF(J1630&lt;&gt;"",IF(K1630="Date",NOW(),K1630),""))</f>
        <v>Date</v>
      </c>
    </row>
    <row r="1631" spans="2:11">
      <c r="B1631" s="97" t="str">
        <f ca="1">IF(A1631="","Date",IF(A1631&lt;&gt;"",IF(B1631="Date",NOW(),B1631),""))</f>
        <v>Date</v>
      </c>
      <c r="C1631" s="19" t="str">
        <f>IF(ISBLANK(A1631),"Name",IF(ISNA(VLOOKUP(A1631,'Master List'!A:C,2,FALSE)), "Not Found", VLOOKUP(A1631,'Master List'!A:C,2,FALSE)))</f>
        <v>Name</v>
      </c>
      <c r="D1631" s="19" t="str">
        <f>IF(ISBLANK(A1631), "Email",IF(ISNA(VLOOKUP(A1631,'Master List'!A:C,3,FALSE)), "Not Found", VLOOKUP(A1631,'Master List'!A:C,3,FALSE)))</f>
        <v>Email</v>
      </c>
      <c r="F1631" s="4" t="str">
        <f>IF(OR(A1631="",E1631="","",A1631="?",E1631="?"),"duplicate?",IF(COUNTIFS($A:A,A1631,E:E,E1631)&gt;1,"yes","no"))</f>
        <v>duplicate?</v>
      </c>
      <c r="K1631" s="97" t="str">
        <f ca="1">IF(J1631="","Date",IF(J1631&lt;&gt;"",IF(K1631="Date",NOW(),K1631),""))</f>
        <v>Date</v>
      </c>
    </row>
    <row r="1632" spans="2:11">
      <c r="B1632" s="97" t="str">
        <f ca="1">IF(A1632="","Date",IF(A1632&lt;&gt;"",IF(B1632="Date",NOW(),B1632),""))</f>
        <v>Date</v>
      </c>
      <c r="C1632" s="19" t="str">
        <f>IF(ISBLANK(A1632),"Name",IF(ISNA(VLOOKUP(A1632,'Master List'!A:C,2,FALSE)), "Not Found", VLOOKUP(A1632,'Master List'!A:C,2,FALSE)))</f>
        <v>Name</v>
      </c>
      <c r="D1632" s="19" t="str">
        <f>IF(ISBLANK(A1632), "Email",IF(ISNA(VLOOKUP(A1632,'Master List'!A:C,3,FALSE)), "Not Found", VLOOKUP(A1632,'Master List'!A:C,3,FALSE)))</f>
        <v>Email</v>
      </c>
      <c r="F1632" s="4" t="str">
        <f>IF(OR(A1632="",E1632="","",A1632="?",E1632="?"),"duplicate?",IF(COUNTIFS($A:A,A1632,E:E,E1632)&gt;1,"yes","no"))</f>
        <v>duplicate?</v>
      </c>
      <c r="K1632" s="97" t="str">
        <f ca="1">IF(J1632="","Date",IF(J1632&lt;&gt;"",IF(K1632="Date",NOW(),K1632),""))</f>
        <v>Date</v>
      </c>
    </row>
    <row r="1633" spans="2:11">
      <c r="B1633" s="97" t="str">
        <f ca="1">IF(A1633="","Date",IF(A1633&lt;&gt;"",IF(B1633="Date",NOW(),B1633),""))</f>
        <v>Date</v>
      </c>
      <c r="C1633" s="19" t="str">
        <f>IF(ISBLANK(A1633),"Name",IF(ISNA(VLOOKUP(A1633,'Master List'!A:C,2,FALSE)), "Not Found", VLOOKUP(A1633,'Master List'!A:C,2,FALSE)))</f>
        <v>Name</v>
      </c>
      <c r="D1633" s="19" t="str">
        <f>IF(ISBLANK(A1633), "Email",IF(ISNA(VLOOKUP(A1633,'Master List'!A:C,3,FALSE)), "Not Found", VLOOKUP(A1633,'Master List'!A:C,3,FALSE)))</f>
        <v>Email</v>
      </c>
      <c r="F1633" s="4" t="str">
        <f>IF(OR(A1633="",E1633="","",A1633="?",E1633="?"),"duplicate?",IF(COUNTIFS($A:A,A1633,E:E,E1633)&gt;1,"yes","no"))</f>
        <v>duplicate?</v>
      </c>
      <c r="K1633" s="97" t="str">
        <f ca="1">IF(J1633="","Date",IF(J1633&lt;&gt;"",IF(K1633="Date",NOW(),K1633),""))</f>
        <v>Date</v>
      </c>
    </row>
    <row r="1634" spans="2:11">
      <c r="B1634" s="97" t="str">
        <f ca="1">IF(A1634="","Date",IF(A1634&lt;&gt;"",IF(B1634="Date",NOW(),B1634),""))</f>
        <v>Date</v>
      </c>
      <c r="C1634" s="19" t="str">
        <f>IF(ISBLANK(A1634),"Name",IF(ISNA(VLOOKUP(A1634,'Master List'!A:C,2,FALSE)), "Not Found", VLOOKUP(A1634,'Master List'!A:C,2,FALSE)))</f>
        <v>Name</v>
      </c>
      <c r="D1634" s="19" t="str">
        <f>IF(ISBLANK(A1634), "Email",IF(ISNA(VLOOKUP(A1634,'Master List'!A:C,3,FALSE)), "Not Found", VLOOKUP(A1634,'Master List'!A:C,3,FALSE)))</f>
        <v>Email</v>
      </c>
      <c r="F1634" s="4" t="str">
        <f>IF(OR(A1634="",E1634="","",A1634="?",E1634="?"),"duplicate?",IF(COUNTIFS($A:A,A1634,E:E,E1634)&gt;1,"yes","no"))</f>
        <v>duplicate?</v>
      </c>
      <c r="K1634" s="97" t="str">
        <f ca="1">IF(J1634="","Date",IF(J1634&lt;&gt;"",IF(K1634="Date",NOW(),K1634),""))</f>
        <v>Date</v>
      </c>
    </row>
    <row r="1635" spans="2:11">
      <c r="B1635" s="97" t="str">
        <f ca="1">IF(A1635="","Date",IF(A1635&lt;&gt;"",IF(B1635="Date",NOW(),B1635),""))</f>
        <v>Date</v>
      </c>
      <c r="C1635" s="19" t="str">
        <f>IF(ISBLANK(A1635),"Name",IF(ISNA(VLOOKUP(A1635,'Master List'!A:C,2,FALSE)), "Not Found", VLOOKUP(A1635,'Master List'!A:C,2,FALSE)))</f>
        <v>Name</v>
      </c>
      <c r="D1635" s="19" t="str">
        <f>IF(ISBLANK(A1635), "Email",IF(ISNA(VLOOKUP(A1635,'Master List'!A:C,3,FALSE)), "Not Found", VLOOKUP(A1635,'Master List'!A:C,3,FALSE)))</f>
        <v>Email</v>
      </c>
      <c r="F1635" s="4" t="str">
        <f>IF(OR(A1635="",E1635="","",A1635="?",E1635="?"),"duplicate?",IF(COUNTIFS($A:A,A1635,E:E,E1635)&gt;1,"yes","no"))</f>
        <v>duplicate?</v>
      </c>
      <c r="K1635" s="97" t="str">
        <f ca="1">IF(J1635="","Date",IF(J1635&lt;&gt;"",IF(K1635="Date",NOW(),K1635),""))</f>
        <v>Date</v>
      </c>
    </row>
    <row r="1636" spans="2:11">
      <c r="B1636" s="97" t="str">
        <f ca="1">IF(A1636="","Date",IF(A1636&lt;&gt;"",IF(B1636="Date",NOW(),B1636),""))</f>
        <v>Date</v>
      </c>
      <c r="C1636" s="19" t="str">
        <f>IF(ISBLANK(A1636),"Name",IF(ISNA(VLOOKUP(A1636,'Master List'!A:C,2,FALSE)), "Not Found", VLOOKUP(A1636,'Master List'!A:C,2,FALSE)))</f>
        <v>Name</v>
      </c>
      <c r="D1636" s="19" t="str">
        <f>IF(ISBLANK(A1636), "Email",IF(ISNA(VLOOKUP(A1636,'Master List'!A:C,3,FALSE)), "Not Found", VLOOKUP(A1636,'Master List'!A:C,3,FALSE)))</f>
        <v>Email</v>
      </c>
      <c r="F1636" s="4" t="str">
        <f>IF(OR(A1636="",E1636="","",A1636="?",E1636="?"),"duplicate?",IF(COUNTIFS($A:A,A1636,E:E,E1636)&gt;1,"yes","no"))</f>
        <v>duplicate?</v>
      </c>
      <c r="K1636" s="97" t="str">
        <f ca="1">IF(J1636="","Date",IF(J1636&lt;&gt;"",IF(K1636="Date",NOW(),K1636),""))</f>
        <v>Date</v>
      </c>
    </row>
    <row r="1637" spans="2:11">
      <c r="B1637" s="97" t="str">
        <f ca="1">IF(A1637="","Date",IF(A1637&lt;&gt;"",IF(B1637="Date",NOW(),B1637),""))</f>
        <v>Date</v>
      </c>
      <c r="C1637" s="19" t="str">
        <f>IF(ISBLANK(A1637),"Name",IF(ISNA(VLOOKUP(A1637,'Master List'!A:C,2,FALSE)), "Not Found", VLOOKUP(A1637,'Master List'!A:C,2,FALSE)))</f>
        <v>Name</v>
      </c>
      <c r="D1637" s="19" t="str">
        <f>IF(ISBLANK(A1637), "Email",IF(ISNA(VLOOKUP(A1637,'Master List'!A:C,3,FALSE)), "Not Found", VLOOKUP(A1637,'Master List'!A:C,3,FALSE)))</f>
        <v>Email</v>
      </c>
      <c r="F1637" s="4" t="str">
        <f>IF(OR(A1637="",E1637="","",A1637="?",E1637="?"),"duplicate?",IF(COUNTIFS($A:A,A1637,E:E,E1637)&gt;1,"yes","no"))</f>
        <v>duplicate?</v>
      </c>
      <c r="K1637" s="97" t="str">
        <f ca="1">IF(J1637="","Date",IF(J1637&lt;&gt;"",IF(K1637="Date",NOW(),K1637),""))</f>
        <v>Date</v>
      </c>
    </row>
    <row r="1638" spans="2:11">
      <c r="B1638" s="97" t="str">
        <f ca="1">IF(A1638="","Date",IF(A1638&lt;&gt;"",IF(B1638="Date",NOW(),B1638),""))</f>
        <v>Date</v>
      </c>
      <c r="C1638" s="19" t="str">
        <f>IF(ISBLANK(A1638),"Name",IF(ISNA(VLOOKUP(A1638,'Master List'!A:C,2,FALSE)), "Not Found", VLOOKUP(A1638,'Master List'!A:C,2,FALSE)))</f>
        <v>Name</v>
      </c>
      <c r="D1638" s="19" t="str">
        <f>IF(ISBLANK(A1638), "Email",IF(ISNA(VLOOKUP(A1638,'Master List'!A:C,3,FALSE)), "Not Found", VLOOKUP(A1638,'Master List'!A:C,3,FALSE)))</f>
        <v>Email</v>
      </c>
      <c r="F1638" s="4" t="str">
        <f>IF(OR(A1638="",E1638="","",A1638="?",E1638="?"),"duplicate?",IF(COUNTIFS($A:A,A1638,E:E,E1638)&gt;1,"yes","no"))</f>
        <v>duplicate?</v>
      </c>
      <c r="K1638" s="97" t="str">
        <f ca="1">IF(J1638="","Date",IF(J1638&lt;&gt;"",IF(K1638="Date",NOW(),K1638),""))</f>
        <v>Date</v>
      </c>
    </row>
    <row r="1639" spans="2:11">
      <c r="B1639" s="97" t="str">
        <f ca="1">IF(A1639="","Date",IF(A1639&lt;&gt;"",IF(B1639="Date",NOW(),B1639),""))</f>
        <v>Date</v>
      </c>
      <c r="C1639" s="19" t="str">
        <f>IF(ISBLANK(A1639),"Name",IF(ISNA(VLOOKUP(A1639,'Master List'!A:C,2,FALSE)), "Not Found", VLOOKUP(A1639,'Master List'!A:C,2,FALSE)))</f>
        <v>Name</v>
      </c>
      <c r="D1639" s="19" t="str">
        <f>IF(ISBLANK(A1639), "Email",IF(ISNA(VLOOKUP(A1639,'Master List'!A:C,3,FALSE)), "Not Found", VLOOKUP(A1639,'Master List'!A:C,3,FALSE)))</f>
        <v>Email</v>
      </c>
      <c r="F1639" s="4" t="str">
        <f>IF(OR(A1639="",E1639="","",A1639="?",E1639="?"),"duplicate?",IF(COUNTIFS($A:A,A1639,E:E,E1639)&gt;1,"yes","no"))</f>
        <v>duplicate?</v>
      </c>
      <c r="K1639" s="97" t="str">
        <f ca="1">IF(J1639="","Date",IF(J1639&lt;&gt;"",IF(K1639="Date",NOW(),K1639),""))</f>
        <v>Date</v>
      </c>
    </row>
    <row r="1640" spans="2:11">
      <c r="B1640" s="97" t="str">
        <f ca="1">IF(A1640="","Date",IF(A1640&lt;&gt;"",IF(B1640="Date",NOW(),B1640),""))</f>
        <v>Date</v>
      </c>
      <c r="C1640" s="19" t="str">
        <f>IF(ISBLANK(A1640),"Name",IF(ISNA(VLOOKUP(A1640,'Master List'!A:C,2,FALSE)), "Not Found", VLOOKUP(A1640,'Master List'!A:C,2,FALSE)))</f>
        <v>Name</v>
      </c>
      <c r="D1640" s="19" t="str">
        <f>IF(ISBLANK(A1640), "Email",IF(ISNA(VLOOKUP(A1640,'Master List'!A:C,3,FALSE)), "Not Found", VLOOKUP(A1640,'Master List'!A:C,3,FALSE)))</f>
        <v>Email</v>
      </c>
      <c r="F1640" s="4" t="str">
        <f>IF(OR(A1640="",E1640="","",A1640="?",E1640="?"),"duplicate?",IF(COUNTIFS($A:A,A1640,E:E,E1640)&gt;1,"yes","no"))</f>
        <v>duplicate?</v>
      </c>
      <c r="K1640" s="97" t="str">
        <f ca="1">IF(J1640="","Date",IF(J1640&lt;&gt;"",IF(K1640="Date",NOW(),K1640),""))</f>
        <v>Date</v>
      </c>
    </row>
    <row r="1641" spans="2:11">
      <c r="B1641" s="97" t="str">
        <f ca="1">IF(A1641="","Date",IF(A1641&lt;&gt;"",IF(B1641="Date",NOW(),B1641),""))</f>
        <v>Date</v>
      </c>
      <c r="C1641" s="19" t="str">
        <f>IF(ISBLANK(A1641),"Name",IF(ISNA(VLOOKUP(A1641,'Master List'!A:C,2,FALSE)), "Not Found", VLOOKUP(A1641,'Master List'!A:C,2,FALSE)))</f>
        <v>Name</v>
      </c>
      <c r="D1641" s="19" t="str">
        <f>IF(ISBLANK(A1641), "Email",IF(ISNA(VLOOKUP(A1641,'Master List'!A:C,3,FALSE)), "Not Found", VLOOKUP(A1641,'Master List'!A:C,3,FALSE)))</f>
        <v>Email</v>
      </c>
      <c r="F1641" s="4" t="str">
        <f>IF(OR(A1641="",E1641="","",A1641="?",E1641="?"),"duplicate?",IF(COUNTIFS($A:A,A1641,E:E,E1641)&gt;1,"yes","no"))</f>
        <v>duplicate?</v>
      </c>
      <c r="K1641" s="97" t="str">
        <f ca="1">IF(J1641="","Date",IF(J1641&lt;&gt;"",IF(K1641="Date",NOW(),K1641),""))</f>
        <v>Date</v>
      </c>
    </row>
    <row r="1642" spans="2:11">
      <c r="B1642" s="97" t="str">
        <f ca="1">IF(A1642="","Date",IF(A1642&lt;&gt;"",IF(B1642="Date",NOW(),B1642),""))</f>
        <v>Date</v>
      </c>
      <c r="C1642" s="19" t="str">
        <f>IF(ISBLANK(A1642),"Name",IF(ISNA(VLOOKUP(A1642,'Master List'!A:C,2,FALSE)), "Not Found", VLOOKUP(A1642,'Master List'!A:C,2,FALSE)))</f>
        <v>Name</v>
      </c>
      <c r="D1642" s="19" t="str">
        <f>IF(ISBLANK(A1642), "Email",IF(ISNA(VLOOKUP(A1642,'Master List'!A:C,3,FALSE)), "Not Found", VLOOKUP(A1642,'Master List'!A:C,3,FALSE)))</f>
        <v>Email</v>
      </c>
      <c r="F1642" s="4" t="str">
        <f>IF(OR(A1642="",E1642="","",A1642="?",E1642="?"),"duplicate?",IF(COUNTIFS($A:A,A1642,E:E,E1642)&gt;1,"yes","no"))</f>
        <v>duplicate?</v>
      </c>
      <c r="K1642" s="97" t="str">
        <f ca="1">IF(J1642="","Date",IF(J1642&lt;&gt;"",IF(K1642="Date",NOW(),K1642),""))</f>
        <v>Date</v>
      </c>
    </row>
    <row r="1643" spans="2:11">
      <c r="B1643" s="97" t="str">
        <f ca="1">IF(A1643="","Date",IF(A1643&lt;&gt;"",IF(B1643="Date",NOW(),B1643),""))</f>
        <v>Date</v>
      </c>
      <c r="C1643" s="19" t="str">
        <f>IF(ISBLANK(A1643),"Name",IF(ISNA(VLOOKUP(A1643,'Master List'!A:C,2,FALSE)), "Not Found", VLOOKUP(A1643,'Master List'!A:C,2,FALSE)))</f>
        <v>Name</v>
      </c>
      <c r="D1643" s="19" t="str">
        <f>IF(ISBLANK(A1643), "Email",IF(ISNA(VLOOKUP(A1643,'Master List'!A:C,3,FALSE)), "Not Found", VLOOKUP(A1643,'Master List'!A:C,3,FALSE)))</f>
        <v>Email</v>
      </c>
      <c r="F1643" s="4" t="str">
        <f>IF(OR(A1643="",E1643="","",A1643="?",E1643="?"),"duplicate?",IF(COUNTIFS($A:A,A1643,E:E,E1643)&gt;1,"yes","no"))</f>
        <v>duplicate?</v>
      </c>
      <c r="K1643" s="97" t="str">
        <f ca="1">IF(J1643="","Date",IF(J1643&lt;&gt;"",IF(K1643="Date",NOW(),K1643),""))</f>
        <v>Date</v>
      </c>
    </row>
    <row r="1644" spans="2:11">
      <c r="B1644" s="97" t="str">
        <f ca="1">IF(A1644="","Date",IF(A1644&lt;&gt;"",IF(B1644="Date",NOW(),B1644),""))</f>
        <v>Date</v>
      </c>
      <c r="C1644" s="19" t="str">
        <f>IF(ISBLANK(A1644),"Name",IF(ISNA(VLOOKUP(A1644,'Master List'!A:C,2,FALSE)), "Not Found", VLOOKUP(A1644,'Master List'!A:C,2,FALSE)))</f>
        <v>Name</v>
      </c>
      <c r="D1644" s="19" t="str">
        <f>IF(ISBLANK(A1644), "Email",IF(ISNA(VLOOKUP(A1644,'Master List'!A:C,3,FALSE)), "Not Found", VLOOKUP(A1644,'Master List'!A:C,3,FALSE)))</f>
        <v>Email</v>
      </c>
      <c r="F1644" s="4" t="str">
        <f>IF(OR(A1644="",E1644="","",A1644="?",E1644="?"),"duplicate?",IF(COUNTIFS($A:A,A1644,E:E,E1644)&gt;1,"yes","no"))</f>
        <v>duplicate?</v>
      </c>
      <c r="K1644" s="97" t="str">
        <f ca="1">IF(J1644="","Date",IF(J1644&lt;&gt;"",IF(K1644="Date",NOW(),K1644),""))</f>
        <v>Date</v>
      </c>
    </row>
    <row r="1645" spans="2:11">
      <c r="B1645" s="97" t="str">
        <f ca="1">IF(A1645="","Date",IF(A1645&lt;&gt;"",IF(B1645="Date",NOW(),B1645),""))</f>
        <v>Date</v>
      </c>
      <c r="C1645" s="19" t="str">
        <f>IF(ISBLANK(A1645),"Name",IF(ISNA(VLOOKUP(A1645,'Master List'!A:C,2,FALSE)), "Not Found", VLOOKUP(A1645,'Master List'!A:C,2,FALSE)))</f>
        <v>Name</v>
      </c>
      <c r="D1645" s="19" t="str">
        <f>IF(ISBLANK(A1645), "Email",IF(ISNA(VLOOKUP(A1645,'Master List'!A:C,3,FALSE)), "Not Found", VLOOKUP(A1645,'Master List'!A:C,3,FALSE)))</f>
        <v>Email</v>
      </c>
      <c r="F1645" s="4" t="str">
        <f>IF(OR(A1645="",E1645="","",A1645="?",E1645="?"),"duplicate?",IF(COUNTIFS($A:A,A1645,E:E,E1645)&gt;1,"yes","no"))</f>
        <v>duplicate?</v>
      </c>
      <c r="K1645" s="97" t="str">
        <f ca="1">IF(J1645="","Date",IF(J1645&lt;&gt;"",IF(K1645="Date",NOW(),K1645),""))</f>
        <v>Date</v>
      </c>
    </row>
    <row r="1646" spans="2:11">
      <c r="B1646" s="97" t="str">
        <f ca="1">IF(A1646="","Date",IF(A1646&lt;&gt;"",IF(B1646="Date",NOW(),B1646),""))</f>
        <v>Date</v>
      </c>
      <c r="C1646" s="19" t="str">
        <f>IF(ISBLANK(A1646),"Name",IF(ISNA(VLOOKUP(A1646,'Master List'!A:C,2,FALSE)), "Not Found", VLOOKUP(A1646,'Master List'!A:C,2,FALSE)))</f>
        <v>Name</v>
      </c>
      <c r="D1646" s="19" t="str">
        <f>IF(ISBLANK(A1646), "Email",IF(ISNA(VLOOKUP(A1646,'Master List'!A:C,3,FALSE)), "Not Found", VLOOKUP(A1646,'Master List'!A:C,3,FALSE)))</f>
        <v>Email</v>
      </c>
      <c r="F1646" s="4" t="str">
        <f>IF(OR(A1646="",E1646="","",A1646="?",E1646="?"),"duplicate?",IF(COUNTIFS($A:A,A1646,E:E,E1646)&gt;1,"yes","no"))</f>
        <v>duplicate?</v>
      </c>
      <c r="K1646" s="97" t="str">
        <f ca="1">IF(J1646="","Date",IF(J1646&lt;&gt;"",IF(K1646="Date",NOW(),K1646),""))</f>
        <v>Date</v>
      </c>
    </row>
    <row r="1647" spans="2:11">
      <c r="B1647" s="97" t="str">
        <f ca="1">IF(A1647="","Date",IF(A1647&lt;&gt;"",IF(B1647="Date",NOW(),B1647),""))</f>
        <v>Date</v>
      </c>
      <c r="C1647" s="19" t="str">
        <f>IF(ISBLANK(A1647),"Name",IF(ISNA(VLOOKUP(A1647,'Master List'!A:C,2,FALSE)), "Not Found", VLOOKUP(A1647,'Master List'!A:C,2,FALSE)))</f>
        <v>Name</v>
      </c>
      <c r="D1647" s="19" t="str">
        <f>IF(ISBLANK(A1647), "Email",IF(ISNA(VLOOKUP(A1647,'Master List'!A:C,3,FALSE)), "Not Found", VLOOKUP(A1647,'Master List'!A:C,3,FALSE)))</f>
        <v>Email</v>
      </c>
      <c r="F1647" s="4" t="str">
        <f>IF(OR(A1647="",E1647="","",A1647="?",E1647="?"),"duplicate?",IF(COUNTIFS($A:A,A1647,E:E,E1647)&gt;1,"yes","no"))</f>
        <v>duplicate?</v>
      </c>
      <c r="K1647" s="97" t="str">
        <f ca="1">IF(J1647="","Date",IF(J1647&lt;&gt;"",IF(K1647="Date",NOW(),K1647),""))</f>
        <v>Date</v>
      </c>
    </row>
    <row r="1648" spans="2:11">
      <c r="B1648" s="97" t="str">
        <f ca="1">IF(A1648="","Date",IF(A1648&lt;&gt;"",IF(B1648="Date",NOW(),B1648),""))</f>
        <v>Date</v>
      </c>
      <c r="C1648" s="19" t="str">
        <f>IF(ISBLANK(A1648),"Name",IF(ISNA(VLOOKUP(A1648,'Master List'!A:C,2,FALSE)), "Not Found", VLOOKUP(A1648,'Master List'!A:C,2,FALSE)))</f>
        <v>Name</v>
      </c>
      <c r="D1648" s="19" t="str">
        <f>IF(ISBLANK(A1648), "Email",IF(ISNA(VLOOKUP(A1648,'Master List'!A:C,3,FALSE)), "Not Found", VLOOKUP(A1648,'Master List'!A:C,3,FALSE)))</f>
        <v>Email</v>
      </c>
      <c r="F1648" s="4" t="str">
        <f>IF(OR(A1648="",E1648="","",A1648="?",E1648="?"),"duplicate?",IF(COUNTIFS($A:A,A1648,E:E,E1648)&gt;1,"yes","no"))</f>
        <v>duplicate?</v>
      </c>
      <c r="K1648" s="97" t="str">
        <f ca="1">IF(J1648="","Date",IF(J1648&lt;&gt;"",IF(K1648="Date",NOW(),K1648),""))</f>
        <v>Date</v>
      </c>
    </row>
    <row r="1649" spans="2:11">
      <c r="B1649" s="97" t="str">
        <f ca="1">IF(A1649="","Date",IF(A1649&lt;&gt;"",IF(B1649="Date",NOW(),B1649),""))</f>
        <v>Date</v>
      </c>
      <c r="C1649" s="19" t="str">
        <f>IF(ISBLANK(A1649),"Name",IF(ISNA(VLOOKUP(A1649,'Master List'!A:C,2,FALSE)), "Not Found", VLOOKUP(A1649,'Master List'!A:C,2,FALSE)))</f>
        <v>Name</v>
      </c>
      <c r="D1649" s="19" t="str">
        <f>IF(ISBLANK(A1649), "Email",IF(ISNA(VLOOKUP(A1649,'Master List'!A:C,3,FALSE)), "Not Found", VLOOKUP(A1649,'Master List'!A:C,3,FALSE)))</f>
        <v>Email</v>
      </c>
      <c r="F1649" s="4" t="str">
        <f>IF(OR(A1649="",E1649="","",A1649="?",E1649="?"),"duplicate?",IF(COUNTIFS($A:A,A1649,E:E,E1649)&gt;1,"yes","no"))</f>
        <v>duplicate?</v>
      </c>
      <c r="K1649" s="97" t="str">
        <f ca="1">IF(J1649="","Date",IF(J1649&lt;&gt;"",IF(K1649="Date",NOW(),K1649),""))</f>
        <v>Date</v>
      </c>
    </row>
    <row r="1650" spans="2:11">
      <c r="B1650" s="97" t="str">
        <f ca="1">IF(A1650="","Date",IF(A1650&lt;&gt;"",IF(B1650="Date",NOW(),B1650),""))</f>
        <v>Date</v>
      </c>
      <c r="C1650" s="19" t="str">
        <f>IF(ISBLANK(A1650),"Name",IF(ISNA(VLOOKUP(A1650,'Master List'!A:C,2,FALSE)), "Not Found", VLOOKUP(A1650,'Master List'!A:C,2,FALSE)))</f>
        <v>Name</v>
      </c>
      <c r="D1650" s="19" t="str">
        <f>IF(ISBLANK(A1650), "Email",IF(ISNA(VLOOKUP(A1650,'Master List'!A:C,3,FALSE)), "Not Found", VLOOKUP(A1650,'Master List'!A:C,3,FALSE)))</f>
        <v>Email</v>
      </c>
      <c r="F1650" s="4" t="str">
        <f>IF(OR(A1650="",E1650="","",A1650="?",E1650="?"),"duplicate?",IF(COUNTIFS($A:A,A1650,E:E,E1650)&gt;1,"yes","no"))</f>
        <v>duplicate?</v>
      </c>
      <c r="K1650" s="97" t="str">
        <f ca="1">IF(J1650="","Date",IF(J1650&lt;&gt;"",IF(K1650="Date",NOW(),K1650),""))</f>
        <v>Date</v>
      </c>
    </row>
    <row r="1651" spans="2:11">
      <c r="B1651" s="97" t="str">
        <f ca="1">IF(A1651="","Date",IF(A1651&lt;&gt;"",IF(B1651="Date",NOW(),B1651),""))</f>
        <v>Date</v>
      </c>
      <c r="C1651" s="19" t="str">
        <f>IF(ISBLANK(A1651),"Name",IF(ISNA(VLOOKUP(A1651,'Master List'!A:C,2,FALSE)), "Not Found", VLOOKUP(A1651,'Master List'!A:C,2,FALSE)))</f>
        <v>Name</v>
      </c>
      <c r="D1651" s="19" t="str">
        <f>IF(ISBLANK(A1651), "Email",IF(ISNA(VLOOKUP(A1651,'Master List'!A:C,3,FALSE)), "Not Found", VLOOKUP(A1651,'Master List'!A:C,3,FALSE)))</f>
        <v>Email</v>
      </c>
      <c r="F1651" s="4" t="str">
        <f>IF(OR(A1651="",E1651="","",A1651="?",E1651="?"),"duplicate?",IF(COUNTIFS($A:A,A1651,E:E,E1651)&gt;1,"yes","no"))</f>
        <v>duplicate?</v>
      </c>
      <c r="K1651" s="97" t="str">
        <f ca="1">IF(J1651="","Date",IF(J1651&lt;&gt;"",IF(K1651="Date",NOW(),K1651),""))</f>
        <v>Date</v>
      </c>
    </row>
    <row r="1652" spans="2:11">
      <c r="B1652" s="97" t="str">
        <f ca="1">IF(A1652="","Date",IF(A1652&lt;&gt;"",IF(B1652="Date",NOW(),B1652),""))</f>
        <v>Date</v>
      </c>
      <c r="C1652" s="19" t="str">
        <f>IF(ISBLANK(A1652),"Name",IF(ISNA(VLOOKUP(A1652,'Master List'!A:C,2,FALSE)), "Not Found", VLOOKUP(A1652,'Master List'!A:C,2,FALSE)))</f>
        <v>Name</v>
      </c>
      <c r="D1652" s="19" t="str">
        <f>IF(ISBLANK(A1652), "Email",IF(ISNA(VLOOKUP(A1652,'Master List'!A:C,3,FALSE)), "Not Found", VLOOKUP(A1652,'Master List'!A:C,3,FALSE)))</f>
        <v>Email</v>
      </c>
      <c r="F1652" s="4" t="str">
        <f>IF(OR(A1652="",E1652="","",A1652="?",E1652="?"),"duplicate?",IF(COUNTIFS($A:A,A1652,E:E,E1652)&gt;1,"yes","no"))</f>
        <v>duplicate?</v>
      </c>
      <c r="K1652" s="97" t="str">
        <f ca="1">IF(J1652="","Date",IF(J1652&lt;&gt;"",IF(K1652="Date",NOW(),K1652),""))</f>
        <v>Date</v>
      </c>
    </row>
    <row r="1653" spans="2:11">
      <c r="B1653" s="97" t="str">
        <f ca="1">IF(A1653="","Date",IF(A1653&lt;&gt;"",IF(B1653="Date",NOW(),B1653),""))</f>
        <v>Date</v>
      </c>
      <c r="C1653" s="19" t="str">
        <f>IF(ISBLANK(A1653),"Name",IF(ISNA(VLOOKUP(A1653,'Master List'!A:C,2,FALSE)), "Not Found", VLOOKUP(A1653,'Master List'!A:C,2,FALSE)))</f>
        <v>Name</v>
      </c>
      <c r="D1653" s="19" t="str">
        <f>IF(ISBLANK(A1653), "Email",IF(ISNA(VLOOKUP(A1653,'Master List'!A:C,3,FALSE)), "Not Found", VLOOKUP(A1653,'Master List'!A:C,3,FALSE)))</f>
        <v>Email</v>
      </c>
      <c r="F1653" s="4" t="str">
        <f>IF(OR(A1653="",E1653="","",A1653="?",E1653="?"),"duplicate?",IF(COUNTIFS($A:A,A1653,E:E,E1653)&gt;1,"yes","no"))</f>
        <v>duplicate?</v>
      </c>
      <c r="K1653" s="97" t="str">
        <f ca="1">IF(J1653="","Date",IF(J1653&lt;&gt;"",IF(K1653="Date",NOW(),K1653),""))</f>
        <v>Date</v>
      </c>
    </row>
    <row r="1654" spans="2:11">
      <c r="B1654" s="97" t="str">
        <f ca="1">IF(A1654="","Date",IF(A1654&lt;&gt;"",IF(B1654="Date",NOW(),B1654),""))</f>
        <v>Date</v>
      </c>
      <c r="C1654" s="19" t="str">
        <f>IF(ISBLANK(A1654),"Name",IF(ISNA(VLOOKUP(A1654,'Master List'!A:C,2,FALSE)), "Not Found", VLOOKUP(A1654,'Master List'!A:C,2,FALSE)))</f>
        <v>Name</v>
      </c>
      <c r="D1654" s="19" t="str">
        <f>IF(ISBLANK(A1654), "Email",IF(ISNA(VLOOKUP(A1654,'Master List'!A:C,3,FALSE)), "Not Found", VLOOKUP(A1654,'Master List'!A:C,3,FALSE)))</f>
        <v>Email</v>
      </c>
      <c r="F1654" s="4" t="str">
        <f>IF(OR(A1654="",E1654="","",A1654="?",E1654="?"),"duplicate?",IF(COUNTIFS($A:A,A1654,E:E,E1654)&gt;1,"yes","no"))</f>
        <v>duplicate?</v>
      </c>
      <c r="K1654" s="97" t="str">
        <f ca="1">IF(J1654="","Date",IF(J1654&lt;&gt;"",IF(K1654="Date",NOW(),K1654),""))</f>
        <v>Date</v>
      </c>
    </row>
    <row r="1655" spans="2:11">
      <c r="B1655" s="97" t="str">
        <f ca="1">IF(A1655="","Date",IF(A1655&lt;&gt;"",IF(B1655="Date",NOW(),B1655),""))</f>
        <v>Date</v>
      </c>
      <c r="C1655" s="19" t="str">
        <f>IF(ISBLANK(A1655),"Name",IF(ISNA(VLOOKUP(A1655,'Master List'!A:C,2,FALSE)), "Not Found", VLOOKUP(A1655,'Master List'!A:C,2,FALSE)))</f>
        <v>Name</v>
      </c>
      <c r="D1655" s="19" t="str">
        <f>IF(ISBLANK(A1655), "Email",IF(ISNA(VLOOKUP(A1655,'Master List'!A:C,3,FALSE)), "Not Found", VLOOKUP(A1655,'Master List'!A:C,3,FALSE)))</f>
        <v>Email</v>
      </c>
      <c r="F1655" s="4" t="str">
        <f>IF(OR(A1655="",E1655="","",A1655="?",E1655="?"),"duplicate?",IF(COUNTIFS($A:A,A1655,E:E,E1655)&gt;1,"yes","no"))</f>
        <v>duplicate?</v>
      </c>
      <c r="K1655" s="97" t="str">
        <f ca="1">IF(J1655="","Date",IF(J1655&lt;&gt;"",IF(K1655="Date",NOW(),K1655),""))</f>
        <v>Date</v>
      </c>
    </row>
    <row r="1656" spans="2:11">
      <c r="B1656" s="97" t="str">
        <f ca="1">IF(A1656="","Date",IF(A1656&lt;&gt;"",IF(B1656="Date",NOW(),B1656),""))</f>
        <v>Date</v>
      </c>
      <c r="C1656" s="19" t="str">
        <f>IF(ISBLANK(A1656),"Name",IF(ISNA(VLOOKUP(A1656,'Master List'!A:C,2,FALSE)), "Not Found", VLOOKUP(A1656,'Master List'!A:C,2,FALSE)))</f>
        <v>Name</v>
      </c>
      <c r="D1656" s="19" t="str">
        <f>IF(ISBLANK(A1656), "Email",IF(ISNA(VLOOKUP(A1656,'Master List'!A:C,3,FALSE)), "Not Found", VLOOKUP(A1656,'Master List'!A:C,3,FALSE)))</f>
        <v>Email</v>
      </c>
      <c r="F1656" s="4" t="str">
        <f>IF(OR(A1656="",E1656="","",A1656="?",E1656="?"),"duplicate?",IF(COUNTIFS($A:A,A1656,E:E,E1656)&gt;1,"yes","no"))</f>
        <v>duplicate?</v>
      </c>
      <c r="K1656" s="97" t="str">
        <f ca="1">IF(J1656="","Date",IF(J1656&lt;&gt;"",IF(K1656="Date",NOW(),K1656),""))</f>
        <v>Date</v>
      </c>
    </row>
    <row r="1657" spans="2:11">
      <c r="B1657" s="97" t="str">
        <f ca="1">IF(A1657="","Date",IF(A1657&lt;&gt;"",IF(B1657="Date",NOW(),B1657),""))</f>
        <v>Date</v>
      </c>
      <c r="C1657" s="19" t="str">
        <f>IF(ISBLANK(A1657),"Name",IF(ISNA(VLOOKUP(A1657,'Master List'!A:C,2,FALSE)), "Not Found", VLOOKUP(A1657,'Master List'!A:C,2,FALSE)))</f>
        <v>Name</v>
      </c>
      <c r="D1657" s="19" t="str">
        <f>IF(ISBLANK(A1657), "Email",IF(ISNA(VLOOKUP(A1657,'Master List'!A:C,3,FALSE)), "Not Found", VLOOKUP(A1657,'Master List'!A:C,3,FALSE)))</f>
        <v>Email</v>
      </c>
      <c r="F1657" s="4" t="str">
        <f>IF(OR(A1657="",E1657="","",A1657="?",E1657="?"),"duplicate?",IF(COUNTIFS($A:A,A1657,E:E,E1657)&gt;1,"yes","no"))</f>
        <v>duplicate?</v>
      </c>
      <c r="K1657" s="97" t="str">
        <f ca="1">IF(J1657="","Date",IF(J1657&lt;&gt;"",IF(K1657="Date",NOW(),K1657),""))</f>
        <v>Date</v>
      </c>
    </row>
    <row r="1658" spans="2:11">
      <c r="B1658" s="97" t="str">
        <f ca="1">IF(A1658="","Date",IF(A1658&lt;&gt;"",IF(B1658="Date",NOW(),B1658),""))</f>
        <v>Date</v>
      </c>
      <c r="C1658" s="19" t="str">
        <f>IF(ISBLANK(A1658),"Name",IF(ISNA(VLOOKUP(A1658,'Master List'!A:C,2,FALSE)), "Not Found", VLOOKUP(A1658,'Master List'!A:C,2,FALSE)))</f>
        <v>Name</v>
      </c>
      <c r="D1658" s="19" t="str">
        <f>IF(ISBLANK(A1658), "Email",IF(ISNA(VLOOKUP(A1658,'Master List'!A:C,3,FALSE)), "Not Found", VLOOKUP(A1658,'Master List'!A:C,3,FALSE)))</f>
        <v>Email</v>
      </c>
      <c r="F1658" s="4" t="str">
        <f>IF(OR(A1658="",E1658="","",A1658="?",E1658="?"),"duplicate?",IF(COUNTIFS($A:A,A1658,E:E,E1658)&gt;1,"yes","no"))</f>
        <v>duplicate?</v>
      </c>
      <c r="K1658" s="97" t="str">
        <f ca="1">IF(J1658="","Date",IF(J1658&lt;&gt;"",IF(K1658="Date",NOW(),K1658),""))</f>
        <v>Date</v>
      </c>
    </row>
    <row r="1659" spans="2:11">
      <c r="B1659" s="97" t="str">
        <f ca="1">IF(A1659="","Date",IF(A1659&lt;&gt;"",IF(B1659="Date",NOW(),B1659),""))</f>
        <v>Date</v>
      </c>
      <c r="C1659" s="19" t="str">
        <f>IF(ISBLANK(A1659),"Name",IF(ISNA(VLOOKUP(A1659,'Master List'!A:C,2,FALSE)), "Not Found", VLOOKUP(A1659,'Master List'!A:C,2,FALSE)))</f>
        <v>Name</v>
      </c>
      <c r="D1659" s="19" t="str">
        <f>IF(ISBLANK(A1659), "Email",IF(ISNA(VLOOKUP(A1659,'Master List'!A:C,3,FALSE)), "Not Found", VLOOKUP(A1659,'Master List'!A:C,3,FALSE)))</f>
        <v>Email</v>
      </c>
      <c r="F1659" s="4" t="str">
        <f>IF(OR(A1659="",E1659="","",A1659="?",E1659="?"),"duplicate?",IF(COUNTIFS($A:A,A1659,E:E,E1659)&gt;1,"yes","no"))</f>
        <v>duplicate?</v>
      </c>
      <c r="K1659" s="97" t="str">
        <f ca="1">IF(J1659="","Date",IF(J1659&lt;&gt;"",IF(K1659="Date",NOW(),K1659),""))</f>
        <v>Date</v>
      </c>
    </row>
    <row r="1660" spans="2:11">
      <c r="B1660" s="97" t="str">
        <f ca="1">IF(A1660="","Date",IF(A1660&lt;&gt;"",IF(B1660="Date",NOW(),B1660),""))</f>
        <v>Date</v>
      </c>
      <c r="C1660" s="19" t="str">
        <f>IF(ISBLANK(A1660),"Name",IF(ISNA(VLOOKUP(A1660,'Master List'!A:C,2,FALSE)), "Not Found", VLOOKUP(A1660,'Master List'!A:C,2,FALSE)))</f>
        <v>Name</v>
      </c>
      <c r="D1660" s="19" t="str">
        <f>IF(ISBLANK(A1660), "Email",IF(ISNA(VLOOKUP(A1660,'Master List'!A:C,3,FALSE)), "Not Found", VLOOKUP(A1660,'Master List'!A:C,3,FALSE)))</f>
        <v>Email</v>
      </c>
      <c r="F1660" s="4" t="str">
        <f>IF(OR(A1660="",E1660="","",A1660="?",E1660="?"),"duplicate?",IF(COUNTIFS($A:A,A1660,E:E,E1660)&gt;1,"yes","no"))</f>
        <v>duplicate?</v>
      </c>
      <c r="K1660" s="97" t="str">
        <f ca="1">IF(J1660="","Date",IF(J1660&lt;&gt;"",IF(K1660="Date",NOW(),K1660),""))</f>
        <v>Date</v>
      </c>
    </row>
    <row r="1661" spans="2:11">
      <c r="B1661" s="97" t="str">
        <f ca="1">IF(A1661="","Date",IF(A1661&lt;&gt;"",IF(B1661="Date",NOW(),B1661),""))</f>
        <v>Date</v>
      </c>
      <c r="C1661" s="19" t="str">
        <f>IF(ISBLANK(A1661),"Name",IF(ISNA(VLOOKUP(A1661,'Master List'!A:C,2,FALSE)), "Not Found", VLOOKUP(A1661,'Master List'!A:C,2,FALSE)))</f>
        <v>Name</v>
      </c>
      <c r="D1661" s="19" t="str">
        <f>IF(ISBLANK(A1661), "Email",IF(ISNA(VLOOKUP(A1661,'Master List'!A:C,3,FALSE)), "Not Found", VLOOKUP(A1661,'Master List'!A:C,3,FALSE)))</f>
        <v>Email</v>
      </c>
      <c r="F1661" s="4" t="str">
        <f>IF(OR(A1661="",E1661="","",A1661="?",E1661="?"),"duplicate?",IF(COUNTIFS($A:A,A1661,E:E,E1661)&gt;1,"yes","no"))</f>
        <v>duplicate?</v>
      </c>
      <c r="K1661" s="97" t="str">
        <f ca="1">IF(J1661="","Date",IF(J1661&lt;&gt;"",IF(K1661="Date",NOW(),K1661),""))</f>
        <v>Date</v>
      </c>
    </row>
    <row r="1662" spans="2:11">
      <c r="B1662" s="97" t="str">
        <f ca="1">IF(A1662="","Date",IF(A1662&lt;&gt;"",IF(B1662="Date",NOW(),B1662),""))</f>
        <v>Date</v>
      </c>
      <c r="C1662" s="19" t="str">
        <f>IF(ISBLANK(A1662),"Name",IF(ISNA(VLOOKUP(A1662,'Master List'!A:C,2,FALSE)), "Not Found", VLOOKUP(A1662,'Master List'!A:C,2,FALSE)))</f>
        <v>Name</v>
      </c>
      <c r="D1662" s="19" t="str">
        <f>IF(ISBLANK(A1662), "Email",IF(ISNA(VLOOKUP(A1662,'Master List'!A:C,3,FALSE)), "Not Found", VLOOKUP(A1662,'Master List'!A:C,3,FALSE)))</f>
        <v>Email</v>
      </c>
      <c r="F1662" s="4" t="str">
        <f>IF(OR(A1662="",E1662="","",A1662="?",E1662="?"),"duplicate?",IF(COUNTIFS($A:A,A1662,E:E,E1662)&gt;1,"yes","no"))</f>
        <v>duplicate?</v>
      </c>
      <c r="K1662" s="97" t="str">
        <f ca="1">IF(J1662="","Date",IF(J1662&lt;&gt;"",IF(K1662="Date",NOW(),K1662),""))</f>
        <v>Date</v>
      </c>
    </row>
    <row r="1663" spans="2:11">
      <c r="B1663" s="97" t="str">
        <f ca="1">IF(A1663="","Date",IF(A1663&lt;&gt;"",IF(B1663="Date",NOW(),B1663),""))</f>
        <v>Date</v>
      </c>
      <c r="C1663" s="19" t="str">
        <f>IF(ISBLANK(A1663),"Name",IF(ISNA(VLOOKUP(A1663,'Master List'!A:C,2,FALSE)), "Not Found", VLOOKUP(A1663,'Master List'!A:C,2,FALSE)))</f>
        <v>Name</v>
      </c>
      <c r="D1663" s="19" t="str">
        <f>IF(ISBLANK(A1663), "Email",IF(ISNA(VLOOKUP(A1663,'Master List'!A:C,3,FALSE)), "Not Found", VLOOKUP(A1663,'Master List'!A:C,3,FALSE)))</f>
        <v>Email</v>
      </c>
      <c r="F1663" s="4" t="str">
        <f>IF(OR(A1663="",E1663="","",A1663="?",E1663="?"),"duplicate?",IF(COUNTIFS($A:A,A1663,E:E,E1663)&gt;1,"yes","no"))</f>
        <v>duplicate?</v>
      </c>
      <c r="K1663" s="97" t="str">
        <f ca="1">IF(J1663="","Date",IF(J1663&lt;&gt;"",IF(K1663="Date",NOW(),K1663),""))</f>
        <v>Date</v>
      </c>
    </row>
    <row r="1664" spans="2:11">
      <c r="B1664" s="97" t="str">
        <f ca="1">IF(A1664="","Date",IF(A1664&lt;&gt;"",IF(B1664="Date",NOW(),B1664),""))</f>
        <v>Date</v>
      </c>
      <c r="C1664" s="19" t="str">
        <f>IF(ISBLANK(A1664),"Name",IF(ISNA(VLOOKUP(A1664,'Master List'!A:C,2,FALSE)), "Not Found", VLOOKUP(A1664,'Master List'!A:C,2,FALSE)))</f>
        <v>Name</v>
      </c>
      <c r="D1664" s="19" t="str">
        <f>IF(ISBLANK(A1664), "Email",IF(ISNA(VLOOKUP(A1664,'Master List'!A:C,3,FALSE)), "Not Found", VLOOKUP(A1664,'Master List'!A:C,3,FALSE)))</f>
        <v>Email</v>
      </c>
      <c r="F1664" s="4" t="str">
        <f>IF(OR(A1664="",E1664="","",A1664="?",E1664="?"),"duplicate?",IF(COUNTIFS($A:A,A1664,E:E,E1664)&gt;1,"yes","no"))</f>
        <v>duplicate?</v>
      </c>
      <c r="K1664" s="97" t="str">
        <f ca="1">IF(J1664="","Date",IF(J1664&lt;&gt;"",IF(K1664="Date",NOW(),K1664),""))</f>
        <v>Date</v>
      </c>
    </row>
    <row r="1665" spans="2:11">
      <c r="B1665" s="97" t="str">
        <f ca="1">IF(A1665="","Date",IF(A1665&lt;&gt;"",IF(B1665="Date",NOW(),B1665),""))</f>
        <v>Date</v>
      </c>
      <c r="C1665" s="19" t="str">
        <f>IF(ISBLANK(A1665),"Name",IF(ISNA(VLOOKUP(A1665,'Master List'!A:C,2,FALSE)), "Not Found", VLOOKUP(A1665,'Master List'!A:C,2,FALSE)))</f>
        <v>Name</v>
      </c>
      <c r="D1665" s="19" t="str">
        <f>IF(ISBLANK(A1665), "Email",IF(ISNA(VLOOKUP(A1665,'Master List'!A:C,3,FALSE)), "Not Found", VLOOKUP(A1665,'Master List'!A:C,3,FALSE)))</f>
        <v>Email</v>
      </c>
      <c r="F1665" s="4" t="str">
        <f>IF(OR(A1665="",E1665="","",A1665="?",E1665="?"),"duplicate?",IF(COUNTIFS($A:A,A1665,E:E,E1665)&gt;1,"yes","no"))</f>
        <v>duplicate?</v>
      </c>
      <c r="K1665" s="97" t="str">
        <f ca="1">IF(J1665="","Date",IF(J1665&lt;&gt;"",IF(K1665="Date",NOW(),K1665),""))</f>
        <v>Date</v>
      </c>
    </row>
    <row r="1666" spans="2:11">
      <c r="B1666" s="97" t="str">
        <f ca="1">IF(A1666="","Date",IF(A1666&lt;&gt;"",IF(B1666="Date",NOW(),B1666),""))</f>
        <v>Date</v>
      </c>
      <c r="C1666" s="19" t="str">
        <f>IF(ISBLANK(A1666),"Name",IF(ISNA(VLOOKUP(A1666,'Master List'!A:C,2,FALSE)), "Not Found", VLOOKUP(A1666,'Master List'!A:C,2,FALSE)))</f>
        <v>Name</v>
      </c>
      <c r="D1666" s="19" t="str">
        <f>IF(ISBLANK(A1666), "Email",IF(ISNA(VLOOKUP(A1666,'Master List'!A:C,3,FALSE)), "Not Found", VLOOKUP(A1666,'Master List'!A:C,3,FALSE)))</f>
        <v>Email</v>
      </c>
      <c r="F1666" s="4" t="str">
        <f>IF(OR(A1666="",E1666="","",A1666="?",E1666="?"),"duplicate?",IF(COUNTIFS($A:A,A1666,E:E,E1666)&gt;1,"yes","no"))</f>
        <v>duplicate?</v>
      </c>
      <c r="K1666" s="97" t="str">
        <f ca="1">IF(J1666="","Date",IF(J1666&lt;&gt;"",IF(K1666="Date",NOW(),K1666),""))</f>
        <v>Date</v>
      </c>
    </row>
    <row r="1667" spans="2:11">
      <c r="B1667" s="97" t="str">
        <f ca="1">IF(A1667="","Date",IF(A1667&lt;&gt;"",IF(B1667="Date",NOW(),B1667),""))</f>
        <v>Date</v>
      </c>
      <c r="C1667" s="19" t="str">
        <f>IF(ISBLANK(A1667),"Name",IF(ISNA(VLOOKUP(A1667,'Master List'!A:C,2,FALSE)), "Not Found", VLOOKUP(A1667,'Master List'!A:C,2,FALSE)))</f>
        <v>Name</v>
      </c>
      <c r="D1667" s="19" t="str">
        <f>IF(ISBLANK(A1667), "Email",IF(ISNA(VLOOKUP(A1667,'Master List'!A:C,3,FALSE)), "Not Found", VLOOKUP(A1667,'Master List'!A:C,3,FALSE)))</f>
        <v>Email</v>
      </c>
      <c r="F1667" s="4" t="str">
        <f>IF(OR(A1667="",E1667="","",A1667="?",E1667="?"),"duplicate?",IF(COUNTIFS($A:A,A1667,E:E,E1667)&gt;1,"yes","no"))</f>
        <v>duplicate?</v>
      </c>
      <c r="K1667" s="97" t="str">
        <f ca="1">IF(J1667="","Date",IF(J1667&lt;&gt;"",IF(K1667="Date",NOW(),K1667),""))</f>
        <v>Date</v>
      </c>
    </row>
    <row r="1668" spans="2:11">
      <c r="B1668" s="97" t="str">
        <f ca="1">IF(A1668="","Date",IF(A1668&lt;&gt;"",IF(B1668="Date",NOW(),B1668),""))</f>
        <v>Date</v>
      </c>
      <c r="C1668" s="19" t="str">
        <f>IF(ISBLANK(A1668),"Name",IF(ISNA(VLOOKUP(A1668,'Master List'!A:C,2,FALSE)), "Not Found", VLOOKUP(A1668,'Master List'!A:C,2,FALSE)))</f>
        <v>Name</v>
      </c>
      <c r="D1668" s="19" t="str">
        <f>IF(ISBLANK(A1668), "Email",IF(ISNA(VLOOKUP(A1668,'Master List'!A:C,3,FALSE)), "Not Found", VLOOKUP(A1668,'Master List'!A:C,3,FALSE)))</f>
        <v>Email</v>
      </c>
      <c r="F1668" s="4" t="str">
        <f>IF(OR(A1668="",E1668="","",A1668="?",E1668="?"),"duplicate?",IF(COUNTIFS($A:A,A1668,E:E,E1668)&gt;1,"yes","no"))</f>
        <v>duplicate?</v>
      </c>
      <c r="K1668" s="97" t="str">
        <f ca="1">IF(J1668="","Date",IF(J1668&lt;&gt;"",IF(K1668="Date",NOW(),K1668),""))</f>
        <v>Date</v>
      </c>
    </row>
    <row r="1669" spans="2:11">
      <c r="B1669" s="97" t="str">
        <f ca="1">IF(A1669="","Date",IF(A1669&lt;&gt;"",IF(B1669="Date",NOW(),B1669),""))</f>
        <v>Date</v>
      </c>
      <c r="C1669" s="19" t="str">
        <f>IF(ISBLANK(A1669),"Name",IF(ISNA(VLOOKUP(A1669,'Master List'!A:C,2,FALSE)), "Not Found", VLOOKUP(A1669,'Master List'!A:C,2,FALSE)))</f>
        <v>Name</v>
      </c>
      <c r="D1669" s="19" t="str">
        <f>IF(ISBLANK(A1669), "Email",IF(ISNA(VLOOKUP(A1669,'Master List'!A:C,3,FALSE)), "Not Found", VLOOKUP(A1669,'Master List'!A:C,3,FALSE)))</f>
        <v>Email</v>
      </c>
      <c r="F1669" s="4" t="str">
        <f>IF(OR(A1669="",E1669="","",A1669="?",E1669="?"),"duplicate?",IF(COUNTIFS($A:A,A1669,E:E,E1669)&gt;1,"yes","no"))</f>
        <v>duplicate?</v>
      </c>
      <c r="K1669" s="97" t="str">
        <f ca="1">IF(J1669="","Date",IF(J1669&lt;&gt;"",IF(K1669="Date",NOW(),K1669),""))</f>
        <v>Date</v>
      </c>
    </row>
    <row r="1670" spans="2:11">
      <c r="B1670" s="97" t="str">
        <f ca="1">IF(A1670="","Date",IF(A1670&lt;&gt;"",IF(B1670="Date",NOW(),B1670),""))</f>
        <v>Date</v>
      </c>
      <c r="C1670" s="19" t="str">
        <f>IF(ISBLANK(A1670),"Name",IF(ISNA(VLOOKUP(A1670,'Master List'!A:C,2,FALSE)), "Not Found", VLOOKUP(A1670,'Master List'!A:C,2,FALSE)))</f>
        <v>Name</v>
      </c>
      <c r="D1670" s="19" t="str">
        <f>IF(ISBLANK(A1670), "Email",IF(ISNA(VLOOKUP(A1670,'Master List'!A:C,3,FALSE)), "Not Found", VLOOKUP(A1670,'Master List'!A:C,3,FALSE)))</f>
        <v>Email</v>
      </c>
      <c r="F1670" s="4" t="str">
        <f>IF(OR(A1670="",E1670="","",A1670="?",E1670="?"),"duplicate?",IF(COUNTIFS($A:A,A1670,E:E,E1670)&gt;1,"yes","no"))</f>
        <v>duplicate?</v>
      </c>
      <c r="K1670" s="97" t="str">
        <f ca="1">IF(J1670="","Date",IF(J1670&lt;&gt;"",IF(K1670="Date",NOW(),K1670),""))</f>
        <v>Date</v>
      </c>
    </row>
    <row r="1671" spans="2:11">
      <c r="B1671" s="97" t="str">
        <f ca="1">IF(A1671="","Date",IF(A1671&lt;&gt;"",IF(B1671="Date",NOW(),B1671),""))</f>
        <v>Date</v>
      </c>
      <c r="C1671" s="19" t="str">
        <f>IF(ISBLANK(A1671),"Name",IF(ISNA(VLOOKUP(A1671,'Master List'!A:C,2,FALSE)), "Not Found", VLOOKUP(A1671,'Master List'!A:C,2,FALSE)))</f>
        <v>Name</v>
      </c>
      <c r="D1671" s="19" t="str">
        <f>IF(ISBLANK(A1671), "Email",IF(ISNA(VLOOKUP(A1671,'Master List'!A:C,3,FALSE)), "Not Found", VLOOKUP(A1671,'Master List'!A:C,3,FALSE)))</f>
        <v>Email</v>
      </c>
      <c r="F1671" s="4" t="str">
        <f>IF(OR(A1671="",E1671="","",A1671="?",E1671="?"),"duplicate?",IF(COUNTIFS($A:A,A1671,E:E,E1671)&gt;1,"yes","no"))</f>
        <v>duplicate?</v>
      </c>
      <c r="K1671" s="97" t="str">
        <f ca="1">IF(J1671="","Date",IF(J1671&lt;&gt;"",IF(K1671="Date",NOW(),K1671),""))</f>
        <v>Date</v>
      </c>
    </row>
    <row r="1672" spans="2:11">
      <c r="B1672" s="97" t="str">
        <f ca="1">IF(A1672="","Date",IF(A1672&lt;&gt;"",IF(B1672="Date",NOW(),B1672),""))</f>
        <v>Date</v>
      </c>
      <c r="C1672" s="19" t="str">
        <f>IF(ISBLANK(A1672),"Name",IF(ISNA(VLOOKUP(A1672,'Master List'!A:C,2,FALSE)), "Not Found", VLOOKUP(A1672,'Master List'!A:C,2,FALSE)))</f>
        <v>Name</v>
      </c>
      <c r="D1672" s="19" t="str">
        <f>IF(ISBLANK(A1672), "Email",IF(ISNA(VLOOKUP(A1672,'Master List'!A:C,3,FALSE)), "Not Found", VLOOKUP(A1672,'Master List'!A:C,3,FALSE)))</f>
        <v>Email</v>
      </c>
      <c r="F1672" s="4" t="str">
        <f>IF(OR(A1672="",E1672="","",A1672="?",E1672="?"),"duplicate?",IF(COUNTIFS($A:A,A1672,E:E,E1672)&gt;1,"yes","no"))</f>
        <v>duplicate?</v>
      </c>
      <c r="K1672" s="97" t="str">
        <f ca="1">IF(J1672="","Date",IF(J1672&lt;&gt;"",IF(K1672="Date",NOW(),K1672),""))</f>
        <v>Date</v>
      </c>
    </row>
    <row r="1673" spans="2:11">
      <c r="B1673" s="97" t="str">
        <f ca="1">IF(A1673="","Date",IF(A1673&lt;&gt;"",IF(B1673="Date",NOW(),B1673),""))</f>
        <v>Date</v>
      </c>
      <c r="C1673" s="19" t="str">
        <f>IF(ISBLANK(A1673),"Name",IF(ISNA(VLOOKUP(A1673,'Master List'!A:C,2,FALSE)), "Not Found", VLOOKUP(A1673,'Master List'!A:C,2,FALSE)))</f>
        <v>Name</v>
      </c>
      <c r="D1673" s="19" t="str">
        <f>IF(ISBLANK(A1673), "Email",IF(ISNA(VLOOKUP(A1673,'Master List'!A:C,3,FALSE)), "Not Found", VLOOKUP(A1673,'Master List'!A:C,3,FALSE)))</f>
        <v>Email</v>
      </c>
      <c r="F1673" s="4" t="str">
        <f>IF(OR(A1673="",E1673="","",A1673="?",E1673="?"),"duplicate?",IF(COUNTIFS($A:A,A1673,E:E,E1673)&gt;1,"yes","no"))</f>
        <v>duplicate?</v>
      </c>
      <c r="K1673" s="97" t="str">
        <f ca="1">IF(J1673="","Date",IF(J1673&lt;&gt;"",IF(K1673="Date",NOW(),K1673),""))</f>
        <v>Date</v>
      </c>
    </row>
    <row r="1674" spans="2:11">
      <c r="B1674" s="97" t="str">
        <f ca="1">IF(A1674="","Date",IF(A1674&lt;&gt;"",IF(B1674="Date",NOW(),B1674),""))</f>
        <v>Date</v>
      </c>
      <c r="C1674" s="19" t="str">
        <f>IF(ISBLANK(A1674),"Name",IF(ISNA(VLOOKUP(A1674,'Master List'!A:C,2,FALSE)), "Not Found", VLOOKUP(A1674,'Master List'!A:C,2,FALSE)))</f>
        <v>Name</v>
      </c>
      <c r="D1674" s="19" t="str">
        <f>IF(ISBLANK(A1674), "Email",IF(ISNA(VLOOKUP(A1674,'Master List'!A:C,3,FALSE)), "Not Found", VLOOKUP(A1674,'Master List'!A:C,3,FALSE)))</f>
        <v>Email</v>
      </c>
      <c r="F1674" s="4" t="str">
        <f>IF(OR(A1674="",E1674="","",A1674="?",E1674="?"),"duplicate?",IF(COUNTIFS($A:A,A1674,E:E,E1674)&gt;1,"yes","no"))</f>
        <v>duplicate?</v>
      </c>
      <c r="K1674" s="97" t="str">
        <f ca="1">IF(J1674="","Date",IF(J1674&lt;&gt;"",IF(K1674="Date",NOW(),K1674),""))</f>
        <v>Date</v>
      </c>
    </row>
    <row r="1675" spans="2:11">
      <c r="B1675" s="97" t="str">
        <f ca="1">IF(A1675="","Date",IF(A1675&lt;&gt;"",IF(B1675="Date",NOW(),B1675),""))</f>
        <v>Date</v>
      </c>
      <c r="C1675" s="19" t="str">
        <f>IF(ISBLANK(A1675),"Name",IF(ISNA(VLOOKUP(A1675,'Master List'!A:C,2,FALSE)), "Not Found", VLOOKUP(A1675,'Master List'!A:C,2,FALSE)))</f>
        <v>Name</v>
      </c>
      <c r="D1675" s="19" t="str">
        <f>IF(ISBLANK(A1675), "Email",IF(ISNA(VLOOKUP(A1675,'Master List'!A:C,3,FALSE)), "Not Found", VLOOKUP(A1675,'Master List'!A:C,3,FALSE)))</f>
        <v>Email</v>
      </c>
      <c r="F1675" s="4" t="str">
        <f>IF(OR(A1675="",E1675="","",A1675="?",E1675="?"),"duplicate?",IF(COUNTIFS($A:A,A1675,E:E,E1675)&gt;1,"yes","no"))</f>
        <v>duplicate?</v>
      </c>
      <c r="K1675" s="97" t="str">
        <f ca="1">IF(J1675="","Date",IF(J1675&lt;&gt;"",IF(K1675="Date",NOW(),K1675),""))</f>
        <v>Date</v>
      </c>
    </row>
    <row r="1676" spans="2:11">
      <c r="B1676" s="97" t="str">
        <f ca="1">IF(A1676="","Date",IF(A1676&lt;&gt;"",IF(B1676="Date",NOW(),B1676),""))</f>
        <v>Date</v>
      </c>
      <c r="C1676" s="19" t="str">
        <f>IF(ISBLANK(A1676),"Name",IF(ISNA(VLOOKUP(A1676,'Master List'!A:C,2,FALSE)), "Not Found", VLOOKUP(A1676,'Master List'!A:C,2,FALSE)))</f>
        <v>Name</v>
      </c>
      <c r="D1676" s="19" t="str">
        <f>IF(ISBLANK(A1676), "Email",IF(ISNA(VLOOKUP(A1676,'Master List'!A:C,3,FALSE)), "Not Found", VLOOKUP(A1676,'Master List'!A:C,3,FALSE)))</f>
        <v>Email</v>
      </c>
      <c r="F1676" s="4" t="str">
        <f>IF(OR(A1676="",E1676="","",A1676="?",E1676="?"),"duplicate?",IF(COUNTIFS($A:A,A1676,E:E,E1676)&gt;1,"yes","no"))</f>
        <v>duplicate?</v>
      </c>
      <c r="K1676" s="97" t="str">
        <f ca="1">IF(J1676="","Date",IF(J1676&lt;&gt;"",IF(K1676="Date",NOW(),K1676),""))</f>
        <v>Date</v>
      </c>
    </row>
    <row r="1677" spans="2:11">
      <c r="B1677" s="97" t="str">
        <f ca="1">IF(A1677="","Date",IF(A1677&lt;&gt;"",IF(B1677="Date",NOW(),B1677),""))</f>
        <v>Date</v>
      </c>
      <c r="C1677" s="19" t="str">
        <f>IF(ISBLANK(A1677),"Name",IF(ISNA(VLOOKUP(A1677,'Master List'!A:C,2,FALSE)), "Not Found", VLOOKUP(A1677,'Master List'!A:C,2,FALSE)))</f>
        <v>Name</v>
      </c>
      <c r="D1677" s="19" t="str">
        <f>IF(ISBLANK(A1677), "Email",IF(ISNA(VLOOKUP(A1677,'Master List'!A:C,3,FALSE)), "Not Found", VLOOKUP(A1677,'Master List'!A:C,3,FALSE)))</f>
        <v>Email</v>
      </c>
      <c r="F1677" s="4" t="str">
        <f>IF(OR(A1677="",E1677="","",A1677="?",E1677="?"),"duplicate?",IF(COUNTIFS($A:A,A1677,E:E,E1677)&gt;1,"yes","no"))</f>
        <v>duplicate?</v>
      </c>
      <c r="K1677" s="97" t="str">
        <f ca="1">IF(J1677="","Date",IF(J1677&lt;&gt;"",IF(K1677="Date",NOW(),K1677),""))</f>
        <v>Date</v>
      </c>
    </row>
    <row r="1678" spans="2:11">
      <c r="B1678" s="97" t="str">
        <f ca="1">IF(A1678="","Date",IF(A1678&lt;&gt;"",IF(B1678="Date",NOW(),B1678),""))</f>
        <v>Date</v>
      </c>
      <c r="C1678" s="19" t="str">
        <f>IF(ISBLANK(A1678),"Name",IF(ISNA(VLOOKUP(A1678,'Master List'!A:C,2,FALSE)), "Not Found", VLOOKUP(A1678,'Master List'!A:C,2,FALSE)))</f>
        <v>Name</v>
      </c>
      <c r="D1678" s="19" t="str">
        <f>IF(ISBLANK(A1678), "Email",IF(ISNA(VLOOKUP(A1678,'Master List'!A:C,3,FALSE)), "Not Found", VLOOKUP(A1678,'Master List'!A:C,3,FALSE)))</f>
        <v>Email</v>
      </c>
      <c r="F1678" s="4" t="str">
        <f>IF(OR(A1678="",E1678="","",A1678="?",E1678="?"),"duplicate?",IF(COUNTIFS($A:A,A1678,E:E,E1678)&gt;1,"yes","no"))</f>
        <v>duplicate?</v>
      </c>
      <c r="K1678" s="97" t="str">
        <f ca="1">IF(J1678="","Date",IF(J1678&lt;&gt;"",IF(K1678="Date",NOW(),K1678),""))</f>
        <v>Date</v>
      </c>
    </row>
    <row r="1679" spans="2:11">
      <c r="B1679" s="97" t="str">
        <f ca="1">IF(A1679="","Date",IF(A1679&lt;&gt;"",IF(B1679="Date",NOW(),B1679),""))</f>
        <v>Date</v>
      </c>
      <c r="C1679" s="19" t="str">
        <f>IF(ISBLANK(A1679),"Name",IF(ISNA(VLOOKUP(A1679,'Master List'!A:C,2,FALSE)), "Not Found", VLOOKUP(A1679,'Master List'!A:C,2,FALSE)))</f>
        <v>Name</v>
      </c>
      <c r="D1679" s="19" t="str">
        <f>IF(ISBLANK(A1679), "Email",IF(ISNA(VLOOKUP(A1679,'Master List'!A:C,3,FALSE)), "Not Found", VLOOKUP(A1679,'Master List'!A:C,3,FALSE)))</f>
        <v>Email</v>
      </c>
      <c r="F1679" s="4" t="str">
        <f>IF(OR(A1679="",E1679="","",A1679="?",E1679="?"),"duplicate?",IF(COUNTIFS($A:A,A1679,E:E,E1679)&gt;1,"yes","no"))</f>
        <v>duplicate?</v>
      </c>
      <c r="K1679" s="97" t="str">
        <f ca="1">IF(J1679="","Date",IF(J1679&lt;&gt;"",IF(K1679="Date",NOW(),K1679),""))</f>
        <v>Date</v>
      </c>
    </row>
    <row r="1680" spans="2:11">
      <c r="B1680" s="97" t="str">
        <f ca="1">IF(A1680="","Date",IF(A1680&lt;&gt;"",IF(B1680="Date",NOW(),B1680),""))</f>
        <v>Date</v>
      </c>
      <c r="C1680" s="19" t="str">
        <f>IF(ISBLANK(A1680),"Name",IF(ISNA(VLOOKUP(A1680,'Master List'!A:C,2,FALSE)), "Not Found", VLOOKUP(A1680,'Master List'!A:C,2,FALSE)))</f>
        <v>Name</v>
      </c>
      <c r="D1680" s="19" t="str">
        <f>IF(ISBLANK(A1680), "Email",IF(ISNA(VLOOKUP(A1680,'Master List'!A:C,3,FALSE)), "Not Found", VLOOKUP(A1680,'Master List'!A:C,3,FALSE)))</f>
        <v>Email</v>
      </c>
      <c r="F1680" s="4" t="str">
        <f>IF(OR(A1680="",E1680="","",A1680="?",E1680="?"),"duplicate?",IF(COUNTIFS($A:A,A1680,E:E,E1680)&gt;1,"yes","no"))</f>
        <v>duplicate?</v>
      </c>
      <c r="K1680" s="97" t="str">
        <f ca="1">IF(J1680="","Date",IF(J1680&lt;&gt;"",IF(K1680="Date",NOW(),K1680),""))</f>
        <v>Date</v>
      </c>
    </row>
    <row r="1681" spans="2:11">
      <c r="B1681" s="97" t="str">
        <f ca="1">IF(A1681="","Date",IF(A1681&lt;&gt;"",IF(B1681="Date",NOW(),B1681),""))</f>
        <v>Date</v>
      </c>
      <c r="C1681" s="19" t="str">
        <f>IF(ISBLANK(A1681),"Name",IF(ISNA(VLOOKUP(A1681,'Master List'!A:C,2,FALSE)), "Not Found", VLOOKUP(A1681,'Master List'!A:C,2,FALSE)))</f>
        <v>Name</v>
      </c>
      <c r="D1681" s="19" t="str">
        <f>IF(ISBLANK(A1681), "Email",IF(ISNA(VLOOKUP(A1681,'Master List'!A:C,3,FALSE)), "Not Found", VLOOKUP(A1681,'Master List'!A:C,3,FALSE)))</f>
        <v>Email</v>
      </c>
      <c r="F1681" s="4" t="str">
        <f>IF(OR(A1681="",E1681="","",A1681="?",E1681="?"),"duplicate?",IF(COUNTIFS($A:A,A1681,E:E,E1681)&gt;1,"yes","no"))</f>
        <v>duplicate?</v>
      </c>
      <c r="K1681" s="97" t="str">
        <f ca="1">IF(J1681="","Date",IF(J1681&lt;&gt;"",IF(K1681="Date",NOW(),K1681),""))</f>
        <v>Date</v>
      </c>
    </row>
    <row r="1682" spans="2:11">
      <c r="B1682" s="97" t="str">
        <f ca="1">IF(A1682="","Date",IF(A1682&lt;&gt;"",IF(B1682="Date",NOW(),B1682),""))</f>
        <v>Date</v>
      </c>
      <c r="C1682" s="19" t="str">
        <f>IF(ISBLANK(A1682),"Name",IF(ISNA(VLOOKUP(A1682,'Master List'!A:C,2,FALSE)), "Not Found", VLOOKUP(A1682,'Master List'!A:C,2,FALSE)))</f>
        <v>Name</v>
      </c>
      <c r="D1682" s="19" t="str">
        <f>IF(ISBLANK(A1682), "Email",IF(ISNA(VLOOKUP(A1682,'Master List'!A:C,3,FALSE)), "Not Found", VLOOKUP(A1682,'Master List'!A:C,3,FALSE)))</f>
        <v>Email</v>
      </c>
      <c r="F1682" s="4" t="str">
        <f>IF(OR(A1682="",E1682="","",A1682="?",E1682="?"),"duplicate?",IF(COUNTIFS($A:A,A1682,E:E,E1682)&gt;1,"yes","no"))</f>
        <v>duplicate?</v>
      </c>
      <c r="K1682" s="97" t="str">
        <f ca="1">IF(J1682="","Date",IF(J1682&lt;&gt;"",IF(K1682="Date",NOW(),K1682),""))</f>
        <v>Date</v>
      </c>
    </row>
    <row r="1683" spans="2:11">
      <c r="B1683" s="97" t="str">
        <f ca="1">IF(A1683="","Date",IF(A1683&lt;&gt;"",IF(B1683="Date",NOW(),B1683),""))</f>
        <v>Date</v>
      </c>
      <c r="C1683" s="19" t="str">
        <f>IF(ISBLANK(A1683),"Name",IF(ISNA(VLOOKUP(A1683,'Master List'!A:C,2,FALSE)), "Not Found", VLOOKUP(A1683,'Master List'!A:C,2,FALSE)))</f>
        <v>Name</v>
      </c>
      <c r="D1683" s="19" t="str">
        <f>IF(ISBLANK(A1683), "Email",IF(ISNA(VLOOKUP(A1683,'Master List'!A:C,3,FALSE)), "Not Found", VLOOKUP(A1683,'Master List'!A:C,3,FALSE)))</f>
        <v>Email</v>
      </c>
      <c r="F1683" s="4" t="str">
        <f>IF(OR(A1683="",E1683="","",A1683="?",E1683="?"),"duplicate?",IF(COUNTIFS($A:A,A1683,E:E,E1683)&gt;1,"yes","no"))</f>
        <v>duplicate?</v>
      </c>
      <c r="K1683" s="97" t="str">
        <f ca="1">IF(J1683="","Date",IF(J1683&lt;&gt;"",IF(K1683="Date",NOW(),K1683),""))</f>
        <v>Date</v>
      </c>
    </row>
    <row r="1684" spans="2:11">
      <c r="B1684" s="97" t="str">
        <f ca="1">IF(A1684="","Date",IF(A1684&lt;&gt;"",IF(B1684="Date",NOW(),B1684),""))</f>
        <v>Date</v>
      </c>
      <c r="C1684" s="19" t="str">
        <f>IF(ISBLANK(A1684),"Name",IF(ISNA(VLOOKUP(A1684,'Master List'!A:C,2,FALSE)), "Not Found", VLOOKUP(A1684,'Master List'!A:C,2,FALSE)))</f>
        <v>Name</v>
      </c>
      <c r="D1684" s="19" t="str">
        <f>IF(ISBLANK(A1684), "Email",IF(ISNA(VLOOKUP(A1684,'Master List'!A:C,3,FALSE)), "Not Found", VLOOKUP(A1684,'Master List'!A:C,3,FALSE)))</f>
        <v>Email</v>
      </c>
      <c r="F1684" s="4" t="str">
        <f>IF(OR(A1684="",E1684="","",A1684="?",E1684="?"),"duplicate?",IF(COUNTIFS($A:A,A1684,E:E,E1684)&gt;1,"yes","no"))</f>
        <v>duplicate?</v>
      </c>
      <c r="K1684" s="97" t="str">
        <f ca="1">IF(J1684="","Date",IF(J1684&lt;&gt;"",IF(K1684="Date",NOW(),K1684),""))</f>
        <v>Date</v>
      </c>
    </row>
    <row r="1685" spans="2:11">
      <c r="B1685" s="97" t="str">
        <f ca="1">IF(A1685="","Date",IF(A1685&lt;&gt;"",IF(B1685="Date",NOW(),B1685),""))</f>
        <v>Date</v>
      </c>
      <c r="C1685" s="19" t="str">
        <f>IF(ISBLANK(A1685),"Name",IF(ISNA(VLOOKUP(A1685,'Master List'!A:C,2,FALSE)), "Not Found", VLOOKUP(A1685,'Master List'!A:C,2,FALSE)))</f>
        <v>Name</v>
      </c>
      <c r="D1685" s="19" t="str">
        <f>IF(ISBLANK(A1685), "Email",IF(ISNA(VLOOKUP(A1685,'Master List'!A:C,3,FALSE)), "Not Found", VLOOKUP(A1685,'Master List'!A:C,3,FALSE)))</f>
        <v>Email</v>
      </c>
      <c r="F1685" s="4" t="str">
        <f>IF(OR(A1685="",E1685="","",A1685="?",E1685="?"),"duplicate?",IF(COUNTIFS($A:A,A1685,E:E,E1685)&gt;1,"yes","no"))</f>
        <v>duplicate?</v>
      </c>
      <c r="K1685" s="97" t="str">
        <f ca="1">IF(J1685="","Date",IF(J1685&lt;&gt;"",IF(K1685="Date",NOW(),K1685),""))</f>
        <v>Date</v>
      </c>
    </row>
    <row r="1686" spans="2:11">
      <c r="B1686" s="97" t="str">
        <f ca="1">IF(A1686="","Date",IF(A1686&lt;&gt;"",IF(B1686="Date",NOW(),B1686),""))</f>
        <v>Date</v>
      </c>
      <c r="C1686" s="19" t="str">
        <f>IF(ISBLANK(A1686),"Name",IF(ISNA(VLOOKUP(A1686,'Master List'!A:C,2,FALSE)), "Not Found", VLOOKUP(A1686,'Master List'!A:C,2,FALSE)))</f>
        <v>Name</v>
      </c>
      <c r="D1686" s="19" t="str">
        <f>IF(ISBLANK(A1686), "Email",IF(ISNA(VLOOKUP(A1686,'Master List'!A:C,3,FALSE)), "Not Found", VLOOKUP(A1686,'Master List'!A:C,3,FALSE)))</f>
        <v>Email</v>
      </c>
      <c r="F1686" s="4" t="str">
        <f>IF(OR(A1686="",E1686="","",A1686="?",E1686="?"),"duplicate?",IF(COUNTIFS($A:A,A1686,E:E,E1686)&gt;1,"yes","no"))</f>
        <v>duplicate?</v>
      </c>
      <c r="K1686" s="97" t="str">
        <f ca="1">IF(J1686="","Date",IF(J1686&lt;&gt;"",IF(K1686="Date",NOW(),K1686),""))</f>
        <v>Date</v>
      </c>
    </row>
    <row r="1687" spans="2:11">
      <c r="B1687" s="97" t="str">
        <f ca="1">IF(A1687="","Date",IF(A1687&lt;&gt;"",IF(B1687="Date",NOW(),B1687),""))</f>
        <v>Date</v>
      </c>
      <c r="C1687" s="19" t="str">
        <f>IF(ISBLANK(A1687),"Name",IF(ISNA(VLOOKUP(A1687,'Master List'!A:C,2,FALSE)), "Not Found", VLOOKUP(A1687,'Master List'!A:C,2,FALSE)))</f>
        <v>Name</v>
      </c>
      <c r="D1687" s="19" t="str">
        <f>IF(ISBLANK(A1687), "Email",IF(ISNA(VLOOKUP(A1687,'Master List'!A:C,3,FALSE)), "Not Found", VLOOKUP(A1687,'Master List'!A:C,3,FALSE)))</f>
        <v>Email</v>
      </c>
      <c r="F1687" s="4" t="str">
        <f>IF(OR(A1687="",E1687="","",A1687="?",E1687="?"),"duplicate?",IF(COUNTIFS($A:A,A1687,E:E,E1687)&gt;1,"yes","no"))</f>
        <v>duplicate?</v>
      </c>
      <c r="K1687" s="97" t="str">
        <f ca="1">IF(J1687="","Date",IF(J1687&lt;&gt;"",IF(K1687="Date",NOW(),K1687),""))</f>
        <v>Date</v>
      </c>
    </row>
    <row r="1688" spans="2:11">
      <c r="B1688" s="97" t="str">
        <f ca="1">IF(A1688="","Date",IF(A1688&lt;&gt;"",IF(B1688="Date",NOW(),B1688),""))</f>
        <v>Date</v>
      </c>
      <c r="C1688" s="19" t="str">
        <f>IF(ISBLANK(A1688),"Name",IF(ISNA(VLOOKUP(A1688,'Master List'!A:C,2,FALSE)), "Not Found", VLOOKUP(A1688,'Master List'!A:C,2,FALSE)))</f>
        <v>Name</v>
      </c>
      <c r="D1688" s="19" t="str">
        <f>IF(ISBLANK(A1688), "Email",IF(ISNA(VLOOKUP(A1688,'Master List'!A:C,3,FALSE)), "Not Found", VLOOKUP(A1688,'Master List'!A:C,3,FALSE)))</f>
        <v>Email</v>
      </c>
      <c r="F1688" s="4" t="str">
        <f>IF(OR(A1688="",E1688="","",A1688="?",E1688="?"),"duplicate?",IF(COUNTIFS($A:A,A1688,E:E,E1688)&gt;1,"yes","no"))</f>
        <v>duplicate?</v>
      </c>
      <c r="K1688" s="97" t="str">
        <f ca="1">IF(J1688="","Date",IF(J1688&lt;&gt;"",IF(K1688="Date",NOW(),K1688),""))</f>
        <v>Date</v>
      </c>
    </row>
    <row r="1689" spans="2:11">
      <c r="B1689" s="97" t="str">
        <f ca="1">IF(A1689="","Date",IF(A1689&lt;&gt;"",IF(B1689="Date",NOW(),B1689),""))</f>
        <v>Date</v>
      </c>
      <c r="C1689" s="19" t="str">
        <f>IF(ISBLANK(A1689),"Name",IF(ISNA(VLOOKUP(A1689,'Master List'!A:C,2,FALSE)), "Not Found", VLOOKUP(A1689,'Master List'!A:C,2,FALSE)))</f>
        <v>Name</v>
      </c>
      <c r="D1689" s="19" t="str">
        <f>IF(ISBLANK(A1689), "Email",IF(ISNA(VLOOKUP(A1689,'Master List'!A:C,3,FALSE)), "Not Found", VLOOKUP(A1689,'Master List'!A:C,3,FALSE)))</f>
        <v>Email</v>
      </c>
      <c r="F1689" s="4" t="str">
        <f>IF(OR(A1689="",E1689="","",A1689="?",E1689="?"),"duplicate?",IF(COUNTIFS($A:A,A1689,E:E,E1689)&gt;1,"yes","no"))</f>
        <v>duplicate?</v>
      </c>
      <c r="K1689" s="97" t="str">
        <f ca="1">IF(J1689="","Date",IF(J1689&lt;&gt;"",IF(K1689="Date",NOW(),K1689),""))</f>
        <v>Date</v>
      </c>
    </row>
    <row r="1690" spans="2:11">
      <c r="B1690" s="97" t="str">
        <f ca="1">IF(A1690="","Date",IF(A1690&lt;&gt;"",IF(B1690="Date",NOW(),B1690),""))</f>
        <v>Date</v>
      </c>
      <c r="C1690" s="19" t="str">
        <f>IF(ISBLANK(A1690),"Name",IF(ISNA(VLOOKUP(A1690,'Master List'!A:C,2,FALSE)), "Not Found", VLOOKUP(A1690,'Master List'!A:C,2,FALSE)))</f>
        <v>Name</v>
      </c>
      <c r="D1690" s="19" t="str">
        <f>IF(ISBLANK(A1690), "Email",IF(ISNA(VLOOKUP(A1690,'Master List'!A:C,3,FALSE)), "Not Found", VLOOKUP(A1690,'Master List'!A:C,3,FALSE)))</f>
        <v>Email</v>
      </c>
      <c r="F1690" s="4" t="str">
        <f>IF(OR(A1690="",E1690="","",A1690="?",E1690="?"),"duplicate?",IF(COUNTIFS($A:A,A1690,E:E,E1690)&gt;1,"yes","no"))</f>
        <v>duplicate?</v>
      </c>
      <c r="K1690" s="97" t="str">
        <f ca="1">IF(J1690="","Date",IF(J1690&lt;&gt;"",IF(K1690="Date",NOW(),K1690),""))</f>
        <v>Date</v>
      </c>
    </row>
    <row r="1691" spans="2:11">
      <c r="B1691" s="97" t="str">
        <f ca="1">IF(A1691="","Date",IF(A1691&lt;&gt;"",IF(B1691="Date",NOW(),B1691),""))</f>
        <v>Date</v>
      </c>
      <c r="C1691" s="19" t="str">
        <f>IF(ISBLANK(A1691),"Name",IF(ISNA(VLOOKUP(A1691,'Master List'!A:C,2,FALSE)), "Not Found", VLOOKUP(A1691,'Master List'!A:C,2,FALSE)))</f>
        <v>Name</v>
      </c>
      <c r="D1691" s="19" t="str">
        <f>IF(ISBLANK(A1691), "Email",IF(ISNA(VLOOKUP(A1691,'Master List'!A:C,3,FALSE)), "Not Found", VLOOKUP(A1691,'Master List'!A:C,3,FALSE)))</f>
        <v>Email</v>
      </c>
      <c r="F1691" s="4" t="str">
        <f>IF(OR(A1691="",E1691="","",A1691="?",E1691="?"),"duplicate?",IF(COUNTIFS($A:A,A1691,E:E,E1691)&gt;1,"yes","no"))</f>
        <v>duplicate?</v>
      </c>
      <c r="K1691" s="97" t="str">
        <f ca="1">IF(J1691="","Date",IF(J1691&lt;&gt;"",IF(K1691="Date",NOW(),K1691),""))</f>
        <v>Date</v>
      </c>
    </row>
    <row r="1692" spans="2:11">
      <c r="B1692" s="97" t="str">
        <f ca="1">IF(A1692="","Date",IF(A1692&lt;&gt;"",IF(B1692="Date",NOW(),B1692),""))</f>
        <v>Date</v>
      </c>
      <c r="C1692" s="19" t="str">
        <f>IF(ISBLANK(A1692),"Name",IF(ISNA(VLOOKUP(A1692,'Master List'!A:C,2,FALSE)), "Not Found", VLOOKUP(A1692,'Master List'!A:C,2,FALSE)))</f>
        <v>Name</v>
      </c>
      <c r="D1692" s="19" t="str">
        <f>IF(ISBLANK(A1692), "Email",IF(ISNA(VLOOKUP(A1692,'Master List'!A:C,3,FALSE)), "Not Found", VLOOKUP(A1692,'Master List'!A:C,3,FALSE)))</f>
        <v>Email</v>
      </c>
      <c r="F1692" s="4" t="str">
        <f>IF(OR(A1692="",E1692="","",A1692="?",E1692="?"),"duplicate?",IF(COUNTIFS($A:A,A1692,E:E,E1692)&gt;1,"yes","no"))</f>
        <v>duplicate?</v>
      </c>
      <c r="K1692" s="97" t="str">
        <f ca="1">IF(J1692="","Date",IF(J1692&lt;&gt;"",IF(K1692="Date",NOW(),K1692),""))</f>
        <v>Date</v>
      </c>
    </row>
    <row r="1693" spans="2:11">
      <c r="B1693" s="97" t="str">
        <f ca="1">IF(A1693="","Date",IF(A1693&lt;&gt;"",IF(B1693="Date",NOW(),B1693),""))</f>
        <v>Date</v>
      </c>
      <c r="C1693" s="19" t="str">
        <f>IF(ISBLANK(A1693),"Name",IF(ISNA(VLOOKUP(A1693,'Master List'!A:C,2,FALSE)), "Not Found", VLOOKUP(A1693,'Master List'!A:C,2,FALSE)))</f>
        <v>Name</v>
      </c>
      <c r="D1693" s="19" t="str">
        <f>IF(ISBLANK(A1693), "Email",IF(ISNA(VLOOKUP(A1693,'Master List'!A:C,3,FALSE)), "Not Found", VLOOKUP(A1693,'Master List'!A:C,3,FALSE)))</f>
        <v>Email</v>
      </c>
      <c r="F1693" s="4" t="str">
        <f>IF(OR(A1693="",E1693="","",A1693="?",E1693="?"),"duplicate?",IF(COUNTIFS($A:A,A1693,E:E,E1693)&gt;1,"yes","no"))</f>
        <v>duplicate?</v>
      </c>
      <c r="K1693" s="97" t="str">
        <f ca="1">IF(J1693="","Date",IF(J1693&lt;&gt;"",IF(K1693="Date",NOW(),K1693),""))</f>
        <v>Date</v>
      </c>
    </row>
    <row r="1694" spans="2:11">
      <c r="B1694" s="97" t="str">
        <f ca="1">IF(A1694="","Date",IF(A1694&lt;&gt;"",IF(B1694="Date",NOW(),B1694),""))</f>
        <v>Date</v>
      </c>
      <c r="C1694" s="19" t="str">
        <f>IF(ISBLANK(A1694),"Name",IF(ISNA(VLOOKUP(A1694,'Master List'!A:C,2,FALSE)), "Not Found", VLOOKUP(A1694,'Master List'!A:C,2,FALSE)))</f>
        <v>Name</v>
      </c>
      <c r="D1694" s="19" t="str">
        <f>IF(ISBLANK(A1694), "Email",IF(ISNA(VLOOKUP(A1694,'Master List'!A:C,3,FALSE)), "Not Found", VLOOKUP(A1694,'Master List'!A:C,3,FALSE)))</f>
        <v>Email</v>
      </c>
      <c r="F1694" s="4" t="str">
        <f>IF(OR(A1694="",E1694="","",A1694="?",E1694="?"),"duplicate?",IF(COUNTIFS($A:A,A1694,E:E,E1694)&gt;1,"yes","no"))</f>
        <v>duplicate?</v>
      </c>
      <c r="K1694" s="97" t="str">
        <f ca="1">IF(J1694="","Date",IF(J1694&lt;&gt;"",IF(K1694="Date",NOW(),K1694),""))</f>
        <v>Date</v>
      </c>
    </row>
    <row r="1695" spans="2:11">
      <c r="B1695" s="97" t="str">
        <f ca="1">IF(A1695="","Date",IF(A1695&lt;&gt;"",IF(B1695="Date",NOW(),B1695),""))</f>
        <v>Date</v>
      </c>
      <c r="C1695" s="19" t="str">
        <f>IF(ISBLANK(A1695),"Name",IF(ISNA(VLOOKUP(A1695,'Master List'!A:C,2,FALSE)), "Not Found", VLOOKUP(A1695,'Master List'!A:C,2,FALSE)))</f>
        <v>Name</v>
      </c>
      <c r="D1695" s="19" t="str">
        <f>IF(ISBLANK(A1695), "Email",IF(ISNA(VLOOKUP(A1695,'Master List'!A:C,3,FALSE)), "Not Found", VLOOKUP(A1695,'Master List'!A:C,3,FALSE)))</f>
        <v>Email</v>
      </c>
      <c r="F1695" s="4" t="str">
        <f>IF(OR(A1695="",E1695="","",A1695="?",E1695="?"),"duplicate?",IF(COUNTIFS($A:A,A1695,E:E,E1695)&gt;1,"yes","no"))</f>
        <v>duplicate?</v>
      </c>
      <c r="K1695" s="97" t="str">
        <f ca="1">IF(J1695="","Date",IF(J1695&lt;&gt;"",IF(K1695="Date",NOW(),K1695),""))</f>
        <v>Date</v>
      </c>
    </row>
    <row r="1696" spans="2:11">
      <c r="B1696" s="97" t="str">
        <f ca="1">IF(A1696="","Date",IF(A1696&lt;&gt;"",IF(B1696="Date",NOW(),B1696),""))</f>
        <v>Date</v>
      </c>
      <c r="C1696" s="19" t="str">
        <f>IF(ISBLANK(A1696),"Name",IF(ISNA(VLOOKUP(A1696,'Master List'!A:C,2,FALSE)), "Not Found", VLOOKUP(A1696,'Master List'!A:C,2,FALSE)))</f>
        <v>Name</v>
      </c>
      <c r="D1696" s="19" t="str">
        <f>IF(ISBLANK(A1696), "Email",IF(ISNA(VLOOKUP(A1696,'Master List'!A:C,3,FALSE)), "Not Found", VLOOKUP(A1696,'Master List'!A:C,3,FALSE)))</f>
        <v>Email</v>
      </c>
      <c r="F1696" s="4" t="str">
        <f>IF(OR(A1696="",E1696="","",A1696="?",E1696="?"),"duplicate?",IF(COUNTIFS($A:A,A1696,E:E,E1696)&gt;1,"yes","no"))</f>
        <v>duplicate?</v>
      </c>
      <c r="K1696" s="97" t="str">
        <f ca="1">IF(J1696="","Date",IF(J1696&lt;&gt;"",IF(K1696="Date",NOW(),K1696),""))</f>
        <v>Date</v>
      </c>
    </row>
    <row r="1697" spans="2:11">
      <c r="B1697" s="97" t="str">
        <f ca="1">IF(A1697="","Date",IF(A1697&lt;&gt;"",IF(B1697="Date",NOW(),B1697),""))</f>
        <v>Date</v>
      </c>
      <c r="C1697" s="19" t="str">
        <f>IF(ISBLANK(A1697),"Name",IF(ISNA(VLOOKUP(A1697,'Master List'!A:C,2,FALSE)), "Not Found", VLOOKUP(A1697,'Master List'!A:C,2,FALSE)))</f>
        <v>Name</v>
      </c>
      <c r="D1697" s="19" t="str">
        <f>IF(ISBLANK(A1697), "Email",IF(ISNA(VLOOKUP(A1697,'Master List'!A:C,3,FALSE)), "Not Found", VLOOKUP(A1697,'Master List'!A:C,3,FALSE)))</f>
        <v>Email</v>
      </c>
      <c r="F1697" s="4" t="str">
        <f>IF(OR(A1697="",E1697="","",A1697="?",E1697="?"),"duplicate?",IF(COUNTIFS($A:A,A1697,E:E,E1697)&gt;1,"yes","no"))</f>
        <v>duplicate?</v>
      </c>
      <c r="K1697" s="97" t="str">
        <f ca="1">IF(J1697="","Date",IF(J1697&lt;&gt;"",IF(K1697="Date",NOW(),K1697),""))</f>
        <v>Date</v>
      </c>
    </row>
    <row r="1698" spans="2:11">
      <c r="B1698" s="97" t="str">
        <f ca="1">IF(A1698="","Date",IF(A1698&lt;&gt;"",IF(B1698="Date",NOW(),B1698),""))</f>
        <v>Date</v>
      </c>
      <c r="C1698" s="19" t="str">
        <f>IF(ISBLANK(A1698),"Name",IF(ISNA(VLOOKUP(A1698,'Master List'!A:C,2,FALSE)), "Not Found", VLOOKUP(A1698,'Master List'!A:C,2,FALSE)))</f>
        <v>Name</v>
      </c>
      <c r="D1698" s="19" t="str">
        <f>IF(ISBLANK(A1698), "Email",IF(ISNA(VLOOKUP(A1698,'Master List'!A:C,3,FALSE)), "Not Found", VLOOKUP(A1698,'Master List'!A:C,3,FALSE)))</f>
        <v>Email</v>
      </c>
      <c r="F1698" s="4" t="str">
        <f>IF(OR(A1698="",E1698="","",A1698="?",E1698="?"),"duplicate?",IF(COUNTIFS($A:A,A1698,E:E,E1698)&gt;1,"yes","no"))</f>
        <v>duplicate?</v>
      </c>
      <c r="K1698" s="97" t="str">
        <f ca="1">IF(J1698="","Date",IF(J1698&lt;&gt;"",IF(K1698="Date",NOW(),K1698),""))</f>
        <v>Date</v>
      </c>
    </row>
    <row r="1699" spans="2:11">
      <c r="B1699" s="97" t="str">
        <f ca="1">IF(A1699="","Date",IF(A1699&lt;&gt;"",IF(B1699="Date",NOW(),B1699),""))</f>
        <v>Date</v>
      </c>
      <c r="C1699" s="19" t="str">
        <f>IF(ISBLANK(A1699),"Name",IF(ISNA(VLOOKUP(A1699,'Master List'!A:C,2,FALSE)), "Not Found", VLOOKUP(A1699,'Master List'!A:C,2,FALSE)))</f>
        <v>Name</v>
      </c>
      <c r="D1699" s="19" t="str">
        <f>IF(ISBLANK(A1699), "Email",IF(ISNA(VLOOKUP(A1699,'Master List'!A:C,3,FALSE)), "Not Found", VLOOKUP(A1699,'Master List'!A:C,3,FALSE)))</f>
        <v>Email</v>
      </c>
      <c r="F1699" s="4" t="str">
        <f>IF(OR(A1699="",E1699="","",A1699="?",E1699="?"),"duplicate?",IF(COUNTIFS($A:A,A1699,E:E,E1699)&gt;1,"yes","no"))</f>
        <v>duplicate?</v>
      </c>
      <c r="K1699" s="97" t="str">
        <f ca="1">IF(J1699="","Date",IF(J1699&lt;&gt;"",IF(K1699="Date",NOW(),K1699),""))</f>
        <v>Date</v>
      </c>
    </row>
    <row r="1700" spans="2:11">
      <c r="B1700" s="97" t="str">
        <f ca="1">IF(A1700="","Date",IF(A1700&lt;&gt;"",IF(B1700="Date",NOW(),B1700),""))</f>
        <v>Date</v>
      </c>
      <c r="C1700" s="19" t="str">
        <f>IF(ISBLANK(A1700),"Name",IF(ISNA(VLOOKUP(A1700,'Master List'!A:C,2,FALSE)), "Not Found", VLOOKUP(A1700,'Master List'!A:C,2,FALSE)))</f>
        <v>Name</v>
      </c>
      <c r="D1700" s="19" t="str">
        <f>IF(ISBLANK(A1700), "Email",IF(ISNA(VLOOKUP(A1700,'Master List'!A:C,3,FALSE)), "Not Found", VLOOKUP(A1700,'Master List'!A:C,3,FALSE)))</f>
        <v>Email</v>
      </c>
      <c r="F1700" s="4" t="str">
        <f>IF(OR(A1700="",E1700="","",A1700="?",E1700="?"),"duplicate?",IF(COUNTIFS($A:A,A1700,E:E,E1700)&gt;1,"yes","no"))</f>
        <v>duplicate?</v>
      </c>
      <c r="K1700" s="97" t="str">
        <f ca="1">IF(J1700="","Date",IF(J1700&lt;&gt;"",IF(K1700="Date",NOW(),K1700),""))</f>
        <v>Date</v>
      </c>
    </row>
    <row r="1701" spans="2:11">
      <c r="B1701" s="97" t="str">
        <f ca="1">IF(A1701="","Date",IF(A1701&lt;&gt;"",IF(B1701="Date",NOW(),B1701),""))</f>
        <v>Date</v>
      </c>
      <c r="C1701" s="19" t="str">
        <f>IF(ISBLANK(A1701),"Name",IF(ISNA(VLOOKUP(A1701,'Master List'!A:C,2,FALSE)), "Not Found", VLOOKUP(A1701,'Master List'!A:C,2,FALSE)))</f>
        <v>Name</v>
      </c>
      <c r="D1701" s="19" t="str">
        <f>IF(ISBLANK(A1701), "Email",IF(ISNA(VLOOKUP(A1701,'Master List'!A:C,3,FALSE)), "Not Found", VLOOKUP(A1701,'Master List'!A:C,3,FALSE)))</f>
        <v>Email</v>
      </c>
      <c r="F1701" s="4" t="str">
        <f>IF(OR(A1701="",E1701="","",A1701="?",E1701="?"),"duplicate?",IF(COUNTIFS($A:A,A1701,E:E,E1701)&gt;1,"yes","no"))</f>
        <v>duplicate?</v>
      </c>
      <c r="K1701" s="97" t="str">
        <f ca="1">IF(J1701="","Date",IF(J1701&lt;&gt;"",IF(K1701="Date",NOW(),K1701),""))</f>
        <v>Date</v>
      </c>
    </row>
    <row r="1702" spans="2:11">
      <c r="B1702" s="97" t="str">
        <f ca="1">IF(A1702="","Date",IF(A1702&lt;&gt;"",IF(B1702="Date",NOW(),B1702),""))</f>
        <v>Date</v>
      </c>
      <c r="C1702" s="19" t="str">
        <f>IF(ISBLANK(A1702),"Name",IF(ISNA(VLOOKUP(A1702,'Master List'!A:C,2,FALSE)), "Not Found", VLOOKUP(A1702,'Master List'!A:C,2,FALSE)))</f>
        <v>Name</v>
      </c>
      <c r="D1702" s="19" t="str">
        <f>IF(ISBLANK(A1702), "Email",IF(ISNA(VLOOKUP(A1702,'Master List'!A:C,3,FALSE)), "Not Found", VLOOKUP(A1702,'Master List'!A:C,3,FALSE)))</f>
        <v>Email</v>
      </c>
      <c r="F1702" s="4" t="str">
        <f>IF(OR(A1702="",E1702="","",A1702="?",E1702="?"),"duplicate?",IF(COUNTIFS($A:A,A1702,E:E,E1702)&gt;1,"yes","no"))</f>
        <v>duplicate?</v>
      </c>
      <c r="K1702" s="97" t="str">
        <f ca="1">IF(J1702="","Date",IF(J1702&lt;&gt;"",IF(K1702="Date",NOW(),K1702),""))</f>
        <v>Date</v>
      </c>
    </row>
    <row r="1703" spans="2:11">
      <c r="B1703" s="97" t="str">
        <f ca="1">IF(A1703="","Date",IF(A1703&lt;&gt;"",IF(B1703="Date",NOW(),B1703),""))</f>
        <v>Date</v>
      </c>
      <c r="C1703" s="19" t="str">
        <f>IF(ISBLANK(A1703),"Name",IF(ISNA(VLOOKUP(A1703,'Master List'!A:C,2,FALSE)), "Not Found", VLOOKUP(A1703,'Master List'!A:C,2,FALSE)))</f>
        <v>Name</v>
      </c>
      <c r="D1703" s="19" t="str">
        <f>IF(ISBLANK(A1703), "Email",IF(ISNA(VLOOKUP(A1703,'Master List'!A:C,3,FALSE)), "Not Found", VLOOKUP(A1703,'Master List'!A:C,3,FALSE)))</f>
        <v>Email</v>
      </c>
      <c r="F1703" s="4" t="str">
        <f>IF(OR(A1703="",E1703="","",A1703="?",E1703="?"),"duplicate?",IF(COUNTIFS($A:A,A1703,E:E,E1703)&gt;1,"yes","no"))</f>
        <v>duplicate?</v>
      </c>
      <c r="K1703" s="97" t="str">
        <f ca="1">IF(J1703="","Date",IF(J1703&lt;&gt;"",IF(K1703="Date",NOW(),K1703),""))</f>
        <v>Date</v>
      </c>
    </row>
    <row r="1704" spans="2:11">
      <c r="B1704" s="97" t="str">
        <f ca="1">IF(A1704="","Date",IF(A1704&lt;&gt;"",IF(B1704="Date",NOW(),B1704),""))</f>
        <v>Date</v>
      </c>
      <c r="C1704" s="19" t="str">
        <f>IF(ISBLANK(A1704),"Name",IF(ISNA(VLOOKUP(A1704,'Master List'!A:C,2,FALSE)), "Not Found", VLOOKUP(A1704,'Master List'!A:C,2,FALSE)))</f>
        <v>Name</v>
      </c>
      <c r="D1704" s="19" t="str">
        <f>IF(ISBLANK(A1704), "Email",IF(ISNA(VLOOKUP(A1704,'Master List'!A:C,3,FALSE)), "Not Found", VLOOKUP(A1704,'Master List'!A:C,3,FALSE)))</f>
        <v>Email</v>
      </c>
      <c r="F1704" s="4" t="str">
        <f>IF(OR(A1704="",E1704="","",A1704="?",E1704="?"),"duplicate?",IF(COUNTIFS($A:A,A1704,E:E,E1704)&gt;1,"yes","no"))</f>
        <v>duplicate?</v>
      </c>
      <c r="K1704" s="97" t="str">
        <f ca="1">IF(J1704="","Date",IF(J1704&lt;&gt;"",IF(K1704="Date",NOW(),K1704),""))</f>
        <v>Date</v>
      </c>
    </row>
    <row r="1705" spans="2:11">
      <c r="B1705" s="97" t="str">
        <f ca="1">IF(A1705="","Date",IF(A1705&lt;&gt;"",IF(B1705="Date",NOW(),B1705),""))</f>
        <v>Date</v>
      </c>
      <c r="C1705" s="19" t="str">
        <f>IF(ISBLANK(A1705),"Name",IF(ISNA(VLOOKUP(A1705,'Master List'!A:C,2,FALSE)), "Not Found", VLOOKUP(A1705,'Master List'!A:C,2,FALSE)))</f>
        <v>Name</v>
      </c>
      <c r="D1705" s="19" t="str">
        <f>IF(ISBLANK(A1705), "Email",IF(ISNA(VLOOKUP(A1705,'Master List'!A:C,3,FALSE)), "Not Found", VLOOKUP(A1705,'Master List'!A:C,3,FALSE)))</f>
        <v>Email</v>
      </c>
      <c r="F1705" s="4" t="str">
        <f>IF(OR(A1705="",E1705="","",A1705="?",E1705="?"),"duplicate?",IF(COUNTIFS($A:A,A1705,E:E,E1705)&gt;1,"yes","no"))</f>
        <v>duplicate?</v>
      </c>
      <c r="K1705" s="97" t="str">
        <f ca="1">IF(J1705="","Date",IF(J1705&lt;&gt;"",IF(K1705="Date",NOW(),K1705),""))</f>
        <v>Date</v>
      </c>
    </row>
    <row r="1706" spans="2:11">
      <c r="B1706" s="97" t="str">
        <f ca="1">IF(A1706="","Date",IF(A1706&lt;&gt;"",IF(B1706="Date",NOW(),B1706),""))</f>
        <v>Date</v>
      </c>
      <c r="C1706" s="19" t="str">
        <f>IF(ISBLANK(A1706),"Name",IF(ISNA(VLOOKUP(A1706,'Master List'!A:C,2,FALSE)), "Not Found", VLOOKUP(A1706,'Master List'!A:C,2,FALSE)))</f>
        <v>Name</v>
      </c>
      <c r="D1706" s="19" t="str">
        <f>IF(ISBLANK(A1706), "Email",IF(ISNA(VLOOKUP(A1706,'Master List'!A:C,3,FALSE)), "Not Found", VLOOKUP(A1706,'Master List'!A:C,3,FALSE)))</f>
        <v>Email</v>
      </c>
      <c r="F1706" s="4" t="str">
        <f>IF(OR(A1706="",E1706="","",A1706="?",E1706="?"),"duplicate?",IF(COUNTIFS($A:A,A1706,E:E,E1706)&gt;1,"yes","no"))</f>
        <v>duplicate?</v>
      </c>
      <c r="K1706" s="97" t="str">
        <f ca="1">IF(J1706="","Date",IF(J1706&lt;&gt;"",IF(K1706="Date",NOW(),K1706),""))</f>
        <v>Date</v>
      </c>
    </row>
    <row r="1707" spans="2:11">
      <c r="B1707" s="97" t="str">
        <f ca="1">IF(A1707="","Date",IF(A1707&lt;&gt;"",IF(B1707="Date",NOW(),B1707),""))</f>
        <v>Date</v>
      </c>
      <c r="C1707" s="19" t="str">
        <f>IF(ISBLANK(A1707),"Name",IF(ISNA(VLOOKUP(A1707,'Master List'!A:C,2,FALSE)), "Not Found", VLOOKUP(A1707,'Master List'!A:C,2,FALSE)))</f>
        <v>Name</v>
      </c>
      <c r="D1707" s="19" t="str">
        <f>IF(ISBLANK(A1707), "Email",IF(ISNA(VLOOKUP(A1707,'Master List'!A:C,3,FALSE)), "Not Found", VLOOKUP(A1707,'Master List'!A:C,3,FALSE)))</f>
        <v>Email</v>
      </c>
      <c r="F1707" s="4" t="str">
        <f>IF(OR(A1707="",E1707="","",A1707="?",E1707="?"),"duplicate?",IF(COUNTIFS($A:A,A1707,E:E,E1707)&gt;1,"yes","no"))</f>
        <v>duplicate?</v>
      </c>
      <c r="K1707" s="97" t="str">
        <f ca="1">IF(J1707="","Date",IF(J1707&lt;&gt;"",IF(K1707="Date",NOW(),K1707),""))</f>
        <v>Date</v>
      </c>
    </row>
    <row r="1708" spans="2:11">
      <c r="B1708" s="97" t="str">
        <f ca="1">IF(A1708="","Date",IF(A1708&lt;&gt;"",IF(B1708="Date",NOW(),B1708),""))</f>
        <v>Date</v>
      </c>
      <c r="C1708" s="19" t="str">
        <f>IF(ISBLANK(A1708),"Name",IF(ISNA(VLOOKUP(A1708,'Master List'!A:C,2,FALSE)), "Not Found", VLOOKUP(A1708,'Master List'!A:C,2,FALSE)))</f>
        <v>Name</v>
      </c>
      <c r="D1708" s="19" t="str">
        <f>IF(ISBLANK(A1708), "Email",IF(ISNA(VLOOKUP(A1708,'Master List'!A:C,3,FALSE)), "Not Found", VLOOKUP(A1708,'Master List'!A:C,3,FALSE)))</f>
        <v>Email</v>
      </c>
      <c r="F1708" s="4" t="str">
        <f>IF(OR(A1708="",E1708="","",A1708="?",E1708="?"),"duplicate?",IF(COUNTIFS($A:A,A1708,E:E,E1708)&gt;1,"yes","no"))</f>
        <v>duplicate?</v>
      </c>
      <c r="K1708" s="97" t="str">
        <f ca="1">IF(J1708="","Date",IF(J1708&lt;&gt;"",IF(K1708="Date",NOW(),K1708),""))</f>
        <v>Date</v>
      </c>
    </row>
    <row r="1709" spans="2:11">
      <c r="B1709" s="97" t="str">
        <f ca="1">IF(A1709="","Date",IF(A1709&lt;&gt;"",IF(B1709="Date",NOW(),B1709),""))</f>
        <v>Date</v>
      </c>
      <c r="C1709" s="19" t="str">
        <f>IF(ISBLANK(A1709),"Name",IF(ISNA(VLOOKUP(A1709,'Master List'!A:C,2,FALSE)), "Not Found", VLOOKUP(A1709,'Master List'!A:C,2,FALSE)))</f>
        <v>Name</v>
      </c>
      <c r="D1709" s="19" t="str">
        <f>IF(ISBLANK(A1709), "Email",IF(ISNA(VLOOKUP(A1709,'Master List'!A:C,3,FALSE)), "Not Found", VLOOKUP(A1709,'Master List'!A:C,3,FALSE)))</f>
        <v>Email</v>
      </c>
      <c r="F1709" s="4" t="str">
        <f>IF(OR(A1709="",E1709="","",A1709="?",E1709="?"),"duplicate?",IF(COUNTIFS($A:A,A1709,E:E,E1709)&gt;1,"yes","no"))</f>
        <v>duplicate?</v>
      </c>
      <c r="K1709" s="97" t="str">
        <f ca="1">IF(J1709="","Date",IF(J1709&lt;&gt;"",IF(K1709="Date",NOW(),K1709),""))</f>
        <v>Date</v>
      </c>
    </row>
    <row r="1710" spans="2:11">
      <c r="B1710" s="97" t="str">
        <f ca="1">IF(A1710="","Date",IF(A1710&lt;&gt;"",IF(B1710="Date",NOW(),B1710),""))</f>
        <v>Date</v>
      </c>
      <c r="C1710" s="19" t="str">
        <f>IF(ISBLANK(A1710),"Name",IF(ISNA(VLOOKUP(A1710,'Master List'!A:C,2,FALSE)), "Not Found", VLOOKUP(A1710,'Master List'!A:C,2,FALSE)))</f>
        <v>Name</v>
      </c>
      <c r="D1710" s="19" t="str">
        <f>IF(ISBLANK(A1710), "Email",IF(ISNA(VLOOKUP(A1710,'Master List'!A:C,3,FALSE)), "Not Found", VLOOKUP(A1710,'Master List'!A:C,3,FALSE)))</f>
        <v>Email</v>
      </c>
      <c r="F1710" s="4" t="str">
        <f>IF(OR(A1710="",E1710="","",A1710="?",E1710="?"),"duplicate?",IF(COUNTIFS($A:A,A1710,E:E,E1710)&gt;1,"yes","no"))</f>
        <v>duplicate?</v>
      </c>
      <c r="K1710" s="97" t="str">
        <f ca="1">IF(J1710="","Date",IF(J1710&lt;&gt;"",IF(K1710="Date",NOW(),K1710),""))</f>
        <v>Date</v>
      </c>
    </row>
    <row r="1711" spans="2:11">
      <c r="B1711" s="97" t="str">
        <f ca="1">IF(A1711="","Date",IF(A1711&lt;&gt;"",IF(B1711="Date",NOW(),B1711),""))</f>
        <v>Date</v>
      </c>
      <c r="C1711" s="19" t="str">
        <f>IF(ISBLANK(A1711),"Name",IF(ISNA(VLOOKUP(A1711,'Master List'!A:C,2,FALSE)), "Not Found", VLOOKUP(A1711,'Master List'!A:C,2,FALSE)))</f>
        <v>Name</v>
      </c>
      <c r="D1711" s="19" t="str">
        <f>IF(ISBLANK(A1711), "Email",IF(ISNA(VLOOKUP(A1711,'Master List'!A:C,3,FALSE)), "Not Found", VLOOKUP(A1711,'Master List'!A:C,3,FALSE)))</f>
        <v>Email</v>
      </c>
      <c r="F1711" s="4" t="str">
        <f>IF(OR(A1711="",E1711="","",A1711="?",E1711="?"),"duplicate?",IF(COUNTIFS($A:A,A1711,E:E,E1711)&gt;1,"yes","no"))</f>
        <v>duplicate?</v>
      </c>
      <c r="K1711" s="97" t="str">
        <f ca="1">IF(J1711="","Date",IF(J1711&lt;&gt;"",IF(K1711="Date",NOW(),K1711),""))</f>
        <v>Date</v>
      </c>
    </row>
    <row r="1712" spans="2:11">
      <c r="B1712" s="97" t="str">
        <f ca="1">IF(A1712="","Date",IF(A1712&lt;&gt;"",IF(B1712="Date",NOW(),B1712),""))</f>
        <v>Date</v>
      </c>
      <c r="C1712" s="19" t="str">
        <f>IF(ISBLANK(A1712),"Name",IF(ISNA(VLOOKUP(A1712,'Master List'!A:C,2,FALSE)), "Not Found", VLOOKUP(A1712,'Master List'!A:C,2,FALSE)))</f>
        <v>Name</v>
      </c>
      <c r="D1712" s="19" t="str">
        <f>IF(ISBLANK(A1712), "Email",IF(ISNA(VLOOKUP(A1712,'Master List'!A:C,3,FALSE)), "Not Found", VLOOKUP(A1712,'Master List'!A:C,3,FALSE)))</f>
        <v>Email</v>
      </c>
      <c r="F1712" s="4" t="str">
        <f>IF(OR(A1712="",E1712="","",A1712="?",E1712="?"),"duplicate?",IF(COUNTIFS($A:A,A1712,E:E,E1712)&gt;1,"yes","no"))</f>
        <v>duplicate?</v>
      </c>
      <c r="K1712" s="97" t="str">
        <f ca="1">IF(J1712="","Date",IF(J1712&lt;&gt;"",IF(K1712="Date",NOW(),K1712),""))</f>
        <v>Date</v>
      </c>
    </row>
    <row r="1713" spans="2:11">
      <c r="B1713" s="97" t="str">
        <f ca="1">IF(A1713="","Date",IF(A1713&lt;&gt;"",IF(B1713="Date",NOW(),B1713),""))</f>
        <v>Date</v>
      </c>
      <c r="C1713" s="19" t="str">
        <f>IF(ISBLANK(A1713),"Name",IF(ISNA(VLOOKUP(A1713,'Master List'!A:C,2,FALSE)), "Not Found", VLOOKUP(A1713,'Master List'!A:C,2,FALSE)))</f>
        <v>Name</v>
      </c>
      <c r="D1713" s="19" t="str">
        <f>IF(ISBLANK(A1713), "Email",IF(ISNA(VLOOKUP(A1713,'Master List'!A:C,3,FALSE)), "Not Found", VLOOKUP(A1713,'Master List'!A:C,3,FALSE)))</f>
        <v>Email</v>
      </c>
      <c r="F1713" s="4" t="str">
        <f>IF(OR(A1713="",E1713="","",A1713="?",E1713="?"),"duplicate?",IF(COUNTIFS($A:A,A1713,E:E,E1713)&gt;1,"yes","no"))</f>
        <v>duplicate?</v>
      </c>
      <c r="K1713" s="97" t="str">
        <f ca="1">IF(J1713="","Date",IF(J1713&lt;&gt;"",IF(K1713="Date",NOW(),K1713),""))</f>
        <v>Date</v>
      </c>
    </row>
    <row r="1714" spans="2:11">
      <c r="B1714" s="97" t="str">
        <f ca="1">IF(A1714="","Date",IF(A1714&lt;&gt;"",IF(B1714="Date",NOW(),B1714),""))</f>
        <v>Date</v>
      </c>
      <c r="C1714" s="19" t="str">
        <f>IF(ISBLANK(A1714),"Name",IF(ISNA(VLOOKUP(A1714,'Master List'!A:C,2,FALSE)), "Not Found", VLOOKUP(A1714,'Master List'!A:C,2,FALSE)))</f>
        <v>Name</v>
      </c>
      <c r="D1714" s="19" t="str">
        <f>IF(ISBLANK(A1714), "Email",IF(ISNA(VLOOKUP(A1714,'Master List'!A:C,3,FALSE)), "Not Found", VLOOKUP(A1714,'Master List'!A:C,3,FALSE)))</f>
        <v>Email</v>
      </c>
      <c r="F1714" s="4" t="str">
        <f>IF(OR(A1714="",E1714="","",A1714="?",E1714="?"),"duplicate?",IF(COUNTIFS($A:A,A1714,E:E,E1714)&gt;1,"yes","no"))</f>
        <v>duplicate?</v>
      </c>
      <c r="K1714" s="97" t="str">
        <f ca="1">IF(J1714="","Date",IF(J1714&lt;&gt;"",IF(K1714="Date",NOW(),K1714),""))</f>
        <v>Date</v>
      </c>
    </row>
    <row r="1715" spans="2:11">
      <c r="B1715" s="97" t="str">
        <f ca="1">IF(A1715="","Date",IF(A1715&lt;&gt;"",IF(B1715="Date",NOW(),B1715),""))</f>
        <v>Date</v>
      </c>
      <c r="C1715" s="19" t="str">
        <f>IF(ISBLANK(A1715),"Name",IF(ISNA(VLOOKUP(A1715,'Master List'!A:C,2,FALSE)), "Not Found", VLOOKUP(A1715,'Master List'!A:C,2,FALSE)))</f>
        <v>Name</v>
      </c>
      <c r="D1715" s="19" t="str">
        <f>IF(ISBLANK(A1715), "Email",IF(ISNA(VLOOKUP(A1715,'Master List'!A:C,3,FALSE)), "Not Found", VLOOKUP(A1715,'Master List'!A:C,3,FALSE)))</f>
        <v>Email</v>
      </c>
      <c r="F1715" s="4" t="str">
        <f>IF(OR(A1715="",E1715="","",A1715="?",E1715="?"),"duplicate?",IF(COUNTIFS($A:A,A1715,E:E,E1715)&gt;1,"yes","no"))</f>
        <v>duplicate?</v>
      </c>
      <c r="K1715" s="97" t="str">
        <f ca="1">IF(J1715="","Date",IF(J1715&lt;&gt;"",IF(K1715="Date",NOW(),K1715),""))</f>
        <v>Date</v>
      </c>
    </row>
    <row r="1716" spans="2:11">
      <c r="B1716" s="97" t="str">
        <f ca="1">IF(A1716="","Date",IF(A1716&lt;&gt;"",IF(B1716="Date",NOW(),B1716),""))</f>
        <v>Date</v>
      </c>
      <c r="C1716" s="19" t="str">
        <f>IF(ISBLANK(A1716),"Name",IF(ISNA(VLOOKUP(A1716,'Master List'!A:C,2,FALSE)), "Not Found", VLOOKUP(A1716,'Master List'!A:C,2,FALSE)))</f>
        <v>Name</v>
      </c>
      <c r="D1716" s="19" t="str">
        <f>IF(ISBLANK(A1716), "Email",IF(ISNA(VLOOKUP(A1716,'Master List'!A:C,3,FALSE)), "Not Found", VLOOKUP(A1716,'Master List'!A:C,3,FALSE)))</f>
        <v>Email</v>
      </c>
      <c r="F1716" s="4" t="str">
        <f>IF(OR(A1716="",E1716="","",A1716="?",E1716="?"),"duplicate?",IF(COUNTIFS($A:A,A1716,E:E,E1716)&gt;1,"yes","no"))</f>
        <v>duplicate?</v>
      </c>
      <c r="K1716" s="97" t="str">
        <f ca="1">IF(J1716="","Date",IF(J1716&lt;&gt;"",IF(K1716="Date",NOW(),K1716),""))</f>
        <v>Date</v>
      </c>
    </row>
    <row r="1717" spans="2:11">
      <c r="B1717" s="97" t="str">
        <f ca="1">IF(A1717="","Date",IF(A1717&lt;&gt;"",IF(B1717="Date",NOW(),B1717),""))</f>
        <v>Date</v>
      </c>
      <c r="C1717" s="19" t="str">
        <f>IF(ISBLANK(A1717),"Name",IF(ISNA(VLOOKUP(A1717,'Master List'!A:C,2,FALSE)), "Not Found", VLOOKUP(A1717,'Master List'!A:C,2,FALSE)))</f>
        <v>Name</v>
      </c>
      <c r="D1717" s="19" t="str">
        <f>IF(ISBLANK(A1717), "Email",IF(ISNA(VLOOKUP(A1717,'Master List'!A:C,3,FALSE)), "Not Found", VLOOKUP(A1717,'Master List'!A:C,3,FALSE)))</f>
        <v>Email</v>
      </c>
      <c r="F1717" s="4" t="str">
        <f>IF(OR(A1717="",E1717="","",A1717="?",E1717="?"),"duplicate?",IF(COUNTIFS($A:A,A1717,E:E,E1717)&gt;1,"yes","no"))</f>
        <v>duplicate?</v>
      </c>
      <c r="K1717" s="97" t="str">
        <f ca="1">IF(J1717="","Date",IF(J1717&lt;&gt;"",IF(K1717="Date",NOW(),K1717),""))</f>
        <v>Date</v>
      </c>
    </row>
    <row r="1718" spans="2:11">
      <c r="B1718" s="97" t="str">
        <f ca="1">IF(A1718="","Date",IF(A1718&lt;&gt;"",IF(B1718="Date",NOW(),B1718),""))</f>
        <v>Date</v>
      </c>
      <c r="C1718" s="19" t="str">
        <f>IF(ISBLANK(A1718),"Name",IF(ISNA(VLOOKUP(A1718,'Master List'!A:C,2,FALSE)), "Not Found", VLOOKUP(A1718,'Master List'!A:C,2,FALSE)))</f>
        <v>Name</v>
      </c>
      <c r="D1718" s="19" t="str">
        <f>IF(ISBLANK(A1718), "Email",IF(ISNA(VLOOKUP(A1718,'Master List'!A:C,3,FALSE)), "Not Found", VLOOKUP(A1718,'Master List'!A:C,3,FALSE)))</f>
        <v>Email</v>
      </c>
      <c r="F1718" s="4" t="str">
        <f>IF(OR(A1718="",E1718="","",A1718="?",E1718="?"),"duplicate?",IF(COUNTIFS($A:A,A1718,E:E,E1718)&gt;1,"yes","no"))</f>
        <v>duplicate?</v>
      </c>
      <c r="K1718" s="97" t="str">
        <f ca="1">IF(J1718="","Date",IF(J1718&lt;&gt;"",IF(K1718="Date",NOW(),K1718),""))</f>
        <v>Date</v>
      </c>
    </row>
    <row r="1719" spans="2:11">
      <c r="B1719" s="97" t="str">
        <f ca="1">IF(A1719="","Date",IF(A1719&lt;&gt;"",IF(B1719="Date",NOW(),B1719),""))</f>
        <v>Date</v>
      </c>
      <c r="C1719" s="19" t="str">
        <f>IF(ISBLANK(A1719),"Name",IF(ISNA(VLOOKUP(A1719,'Master List'!A:C,2,FALSE)), "Not Found", VLOOKUP(A1719,'Master List'!A:C,2,FALSE)))</f>
        <v>Name</v>
      </c>
      <c r="D1719" s="19" t="str">
        <f>IF(ISBLANK(A1719), "Email",IF(ISNA(VLOOKUP(A1719,'Master List'!A:C,3,FALSE)), "Not Found", VLOOKUP(A1719,'Master List'!A:C,3,FALSE)))</f>
        <v>Email</v>
      </c>
      <c r="F1719" s="4" t="str">
        <f>IF(OR(A1719="",E1719="","",A1719="?",E1719="?"),"duplicate?",IF(COUNTIFS($A:A,A1719,E:E,E1719)&gt;1,"yes","no"))</f>
        <v>duplicate?</v>
      </c>
      <c r="K1719" s="97" t="str">
        <f ca="1">IF(J1719="","Date",IF(J1719&lt;&gt;"",IF(K1719="Date",NOW(),K1719),""))</f>
        <v>Date</v>
      </c>
    </row>
    <row r="1720" spans="2:11">
      <c r="B1720" s="97" t="str">
        <f ca="1">IF(A1720="","Date",IF(A1720&lt;&gt;"",IF(B1720="Date",NOW(),B1720),""))</f>
        <v>Date</v>
      </c>
      <c r="C1720" s="19" t="str">
        <f>IF(ISBLANK(A1720),"Name",IF(ISNA(VLOOKUP(A1720,'Master List'!A:C,2,FALSE)), "Not Found", VLOOKUP(A1720,'Master List'!A:C,2,FALSE)))</f>
        <v>Name</v>
      </c>
      <c r="D1720" s="19" t="str">
        <f>IF(ISBLANK(A1720), "Email",IF(ISNA(VLOOKUP(A1720,'Master List'!A:C,3,FALSE)), "Not Found", VLOOKUP(A1720,'Master List'!A:C,3,FALSE)))</f>
        <v>Email</v>
      </c>
      <c r="F1720" s="4" t="str">
        <f>IF(OR(A1720="",E1720="","",A1720="?",E1720="?"),"duplicate?",IF(COUNTIFS($A:A,A1720,E:E,E1720)&gt;1,"yes","no"))</f>
        <v>duplicate?</v>
      </c>
      <c r="K1720" s="97" t="str">
        <f ca="1">IF(J1720="","Date",IF(J1720&lt;&gt;"",IF(K1720="Date",NOW(),K1720),""))</f>
        <v>Date</v>
      </c>
    </row>
    <row r="1721" spans="2:11">
      <c r="B1721" s="97" t="str">
        <f ca="1">IF(A1721="","Date",IF(A1721&lt;&gt;"",IF(B1721="Date",NOW(),B1721),""))</f>
        <v>Date</v>
      </c>
      <c r="C1721" s="19" t="str">
        <f>IF(ISBLANK(A1721),"Name",IF(ISNA(VLOOKUP(A1721,'Master List'!A:C,2,FALSE)), "Not Found", VLOOKUP(A1721,'Master List'!A:C,2,FALSE)))</f>
        <v>Name</v>
      </c>
      <c r="D1721" s="19" t="str">
        <f>IF(ISBLANK(A1721), "Email",IF(ISNA(VLOOKUP(A1721,'Master List'!A:C,3,FALSE)), "Not Found", VLOOKUP(A1721,'Master List'!A:C,3,FALSE)))</f>
        <v>Email</v>
      </c>
      <c r="F1721" s="4" t="str">
        <f>IF(OR(A1721="",E1721="","",A1721="?",E1721="?"),"duplicate?",IF(COUNTIFS($A:A,A1721,E:E,E1721)&gt;1,"yes","no"))</f>
        <v>duplicate?</v>
      </c>
      <c r="K1721" s="97" t="str">
        <f ca="1">IF(J1721="","Date",IF(J1721&lt;&gt;"",IF(K1721="Date",NOW(),K1721),""))</f>
        <v>Date</v>
      </c>
    </row>
    <row r="1722" spans="2:11">
      <c r="B1722" s="97" t="str">
        <f ca="1">IF(A1722="","Date",IF(A1722&lt;&gt;"",IF(B1722="Date",NOW(),B1722),""))</f>
        <v>Date</v>
      </c>
      <c r="C1722" s="19" t="str">
        <f>IF(ISBLANK(A1722),"Name",IF(ISNA(VLOOKUP(A1722,'Master List'!A:C,2,FALSE)), "Not Found", VLOOKUP(A1722,'Master List'!A:C,2,FALSE)))</f>
        <v>Name</v>
      </c>
      <c r="D1722" s="19" t="str">
        <f>IF(ISBLANK(A1722), "Email",IF(ISNA(VLOOKUP(A1722,'Master List'!A:C,3,FALSE)), "Not Found", VLOOKUP(A1722,'Master List'!A:C,3,FALSE)))</f>
        <v>Email</v>
      </c>
      <c r="F1722" s="4" t="str">
        <f>IF(OR(A1722="",E1722="","",A1722="?",E1722="?"),"duplicate?",IF(COUNTIFS($A:A,A1722,E:E,E1722)&gt;1,"yes","no"))</f>
        <v>duplicate?</v>
      </c>
      <c r="K1722" s="97" t="str">
        <f ca="1">IF(J1722="","Date",IF(J1722&lt;&gt;"",IF(K1722="Date",NOW(),K1722),""))</f>
        <v>Date</v>
      </c>
    </row>
    <row r="1723" spans="2:11">
      <c r="B1723" s="97" t="str">
        <f ca="1">IF(A1723="","Date",IF(A1723&lt;&gt;"",IF(B1723="Date",NOW(),B1723),""))</f>
        <v>Date</v>
      </c>
      <c r="C1723" s="19" t="str">
        <f>IF(ISBLANK(A1723),"Name",IF(ISNA(VLOOKUP(A1723,'Master List'!A:C,2,FALSE)), "Not Found", VLOOKUP(A1723,'Master List'!A:C,2,FALSE)))</f>
        <v>Name</v>
      </c>
      <c r="D1723" s="19" t="str">
        <f>IF(ISBLANK(A1723), "Email",IF(ISNA(VLOOKUP(A1723,'Master List'!A:C,3,FALSE)), "Not Found", VLOOKUP(A1723,'Master List'!A:C,3,FALSE)))</f>
        <v>Email</v>
      </c>
      <c r="F1723" s="4" t="str">
        <f>IF(OR(A1723="",E1723="","",A1723="?",E1723="?"),"duplicate?",IF(COUNTIFS($A:A,A1723,E:E,E1723)&gt;1,"yes","no"))</f>
        <v>duplicate?</v>
      </c>
      <c r="K1723" s="97" t="str">
        <f ca="1">IF(J1723="","Date",IF(J1723&lt;&gt;"",IF(K1723="Date",NOW(),K1723),""))</f>
        <v>Date</v>
      </c>
    </row>
    <row r="1724" spans="2:11">
      <c r="B1724" s="97" t="str">
        <f ca="1">IF(A1724="","Date",IF(A1724&lt;&gt;"",IF(B1724="Date",NOW(),B1724),""))</f>
        <v>Date</v>
      </c>
      <c r="C1724" s="19" t="str">
        <f>IF(ISBLANK(A1724),"Name",IF(ISNA(VLOOKUP(A1724,'Master List'!A:C,2,FALSE)), "Not Found", VLOOKUP(A1724,'Master List'!A:C,2,FALSE)))</f>
        <v>Name</v>
      </c>
      <c r="D1724" s="19" t="str">
        <f>IF(ISBLANK(A1724), "Email",IF(ISNA(VLOOKUP(A1724,'Master List'!A:C,3,FALSE)), "Not Found", VLOOKUP(A1724,'Master List'!A:C,3,FALSE)))</f>
        <v>Email</v>
      </c>
      <c r="F1724" s="4" t="str">
        <f>IF(OR(A1724="",E1724="","",A1724="?",E1724="?"),"duplicate?",IF(COUNTIFS($A:A,A1724,E:E,E1724)&gt;1,"yes","no"))</f>
        <v>duplicate?</v>
      </c>
      <c r="K1724" s="97" t="str">
        <f ca="1">IF(J1724="","Date",IF(J1724&lt;&gt;"",IF(K1724="Date",NOW(),K1724),""))</f>
        <v>Date</v>
      </c>
    </row>
    <row r="1725" spans="2:11">
      <c r="B1725" s="97" t="str">
        <f ca="1">IF(A1725="","Date",IF(A1725&lt;&gt;"",IF(B1725="Date",NOW(),B1725),""))</f>
        <v>Date</v>
      </c>
      <c r="C1725" s="19" t="str">
        <f>IF(ISBLANK(A1725),"Name",IF(ISNA(VLOOKUP(A1725,'Master List'!A:C,2,FALSE)), "Not Found", VLOOKUP(A1725,'Master List'!A:C,2,FALSE)))</f>
        <v>Name</v>
      </c>
      <c r="D1725" s="19" t="str">
        <f>IF(ISBLANK(A1725), "Email",IF(ISNA(VLOOKUP(A1725,'Master List'!A:C,3,FALSE)), "Not Found", VLOOKUP(A1725,'Master List'!A:C,3,FALSE)))</f>
        <v>Email</v>
      </c>
      <c r="F1725" s="4" t="str">
        <f>IF(OR(A1725="",E1725="","",A1725="?",E1725="?"),"duplicate?",IF(COUNTIFS($A:A,A1725,E:E,E1725)&gt;1,"yes","no"))</f>
        <v>duplicate?</v>
      </c>
      <c r="K1725" s="97" t="str">
        <f ca="1">IF(J1725="","Date",IF(J1725&lt;&gt;"",IF(K1725="Date",NOW(),K1725),""))</f>
        <v>Date</v>
      </c>
    </row>
    <row r="1726" spans="2:11">
      <c r="B1726" s="97" t="str">
        <f ca="1">IF(A1726="","Date",IF(A1726&lt;&gt;"",IF(B1726="Date",NOW(),B1726),""))</f>
        <v>Date</v>
      </c>
      <c r="C1726" s="19" t="str">
        <f>IF(ISBLANK(A1726),"Name",IF(ISNA(VLOOKUP(A1726,'Master List'!A:C,2,FALSE)), "Not Found", VLOOKUP(A1726,'Master List'!A:C,2,FALSE)))</f>
        <v>Name</v>
      </c>
      <c r="D1726" s="19" t="str">
        <f>IF(ISBLANK(A1726), "Email",IF(ISNA(VLOOKUP(A1726,'Master List'!A:C,3,FALSE)), "Not Found", VLOOKUP(A1726,'Master List'!A:C,3,FALSE)))</f>
        <v>Email</v>
      </c>
      <c r="F1726" s="4" t="str">
        <f>IF(OR(A1726="",E1726="","",A1726="?",E1726="?"),"duplicate?",IF(COUNTIFS($A:A,A1726,E:E,E1726)&gt;1,"yes","no"))</f>
        <v>duplicate?</v>
      </c>
      <c r="K1726" s="97" t="str">
        <f ca="1">IF(J1726="","Date",IF(J1726&lt;&gt;"",IF(K1726="Date",NOW(),K1726),""))</f>
        <v>Date</v>
      </c>
    </row>
    <row r="1727" spans="2:11">
      <c r="B1727" s="97" t="str">
        <f ca="1">IF(A1727="","Date",IF(A1727&lt;&gt;"",IF(B1727="Date",NOW(),B1727),""))</f>
        <v>Date</v>
      </c>
      <c r="C1727" s="19" t="str">
        <f>IF(ISBLANK(A1727),"Name",IF(ISNA(VLOOKUP(A1727,'Master List'!A:C,2,FALSE)), "Not Found", VLOOKUP(A1727,'Master List'!A:C,2,FALSE)))</f>
        <v>Name</v>
      </c>
      <c r="D1727" s="19" t="str">
        <f>IF(ISBLANK(A1727), "Email",IF(ISNA(VLOOKUP(A1727,'Master List'!A:C,3,FALSE)), "Not Found", VLOOKUP(A1727,'Master List'!A:C,3,FALSE)))</f>
        <v>Email</v>
      </c>
      <c r="F1727" s="4" t="str">
        <f>IF(OR(A1727="",E1727="","",A1727="?",E1727="?"),"duplicate?",IF(COUNTIFS($A:A,A1727,E:E,E1727)&gt;1,"yes","no"))</f>
        <v>duplicate?</v>
      </c>
      <c r="K1727" s="97" t="str">
        <f ca="1">IF(J1727="","Date",IF(J1727&lt;&gt;"",IF(K1727="Date",NOW(),K1727),""))</f>
        <v>Date</v>
      </c>
    </row>
    <row r="1728" spans="2:11">
      <c r="B1728" s="97" t="str">
        <f ca="1">IF(A1728="","Date",IF(A1728&lt;&gt;"",IF(B1728="Date",NOW(),B1728),""))</f>
        <v>Date</v>
      </c>
      <c r="C1728" s="19" t="str">
        <f>IF(ISBLANK(A1728),"Name",IF(ISNA(VLOOKUP(A1728,'Master List'!A:C,2,FALSE)), "Not Found", VLOOKUP(A1728,'Master List'!A:C,2,FALSE)))</f>
        <v>Name</v>
      </c>
      <c r="D1728" s="19" t="str">
        <f>IF(ISBLANK(A1728), "Email",IF(ISNA(VLOOKUP(A1728,'Master List'!A:C,3,FALSE)), "Not Found", VLOOKUP(A1728,'Master List'!A:C,3,FALSE)))</f>
        <v>Email</v>
      </c>
      <c r="F1728" s="4" t="str">
        <f>IF(OR(A1728="",E1728="","",A1728="?",E1728="?"),"duplicate?",IF(COUNTIFS($A:A,A1728,E:E,E1728)&gt;1,"yes","no"))</f>
        <v>duplicate?</v>
      </c>
      <c r="K1728" s="97" t="str">
        <f ca="1">IF(J1728="","Date",IF(J1728&lt;&gt;"",IF(K1728="Date",NOW(),K1728),""))</f>
        <v>Date</v>
      </c>
    </row>
    <row r="1729" spans="2:11">
      <c r="B1729" s="97" t="str">
        <f ca="1">IF(A1729="","Date",IF(A1729&lt;&gt;"",IF(B1729="Date",NOW(),B1729),""))</f>
        <v>Date</v>
      </c>
      <c r="C1729" s="19" t="str">
        <f>IF(ISBLANK(A1729),"Name",IF(ISNA(VLOOKUP(A1729,'Master List'!A:C,2,FALSE)), "Not Found", VLOOKUP(A1729,'Master List'!A:C,2,FALSE)))</f>
        <v>Name</v>
      </c>
      <c r="D1729" s="19" t="str">
        <f>IF(ISBLANK(A1729), "Email",IF(ISNA(VLOOKUP(A1729,'Master List'!A:C,3,FALSE)), "Not Found", VLOOKUP(A1729,'Master List'!A:C,3,FALSE)))</f>
        <v>Email</v>
      </c>
      <c r="F1729" s="4" t="str">
        <f>IF(OR(A1729="",E1729="","",A1729="?",E1729="?"),"duplicate?",IF(COUNTIFS($A:A,A1729,E:E,E1729)&gt;1,"yes","no"))</f>
        <v>duplicate?</v>
      </c>
      <c r="K1729" s="97" t="str">
        <f ca="1">IF(J1729="","Date",IF(J1729&lt;&gt;"",IF(K1729="Date",NOW(),K1729),""))</f>
        <v>Date</v>
      </c>
    </row>
    <row r="1730" spans="2:11">
      <c r="B1730" s="97" t="str">
        <f ca="1">IF(A1730="","Date",IF(A1730&lt;&gt;"",IF(B1730="Date",NOW(),B1730),""))</f>
        <v>Date</v>
      </c>
      <c r="C1730" s="19" t="str">
        <f>IF(ISBLANK(A1730),"Name",IF(ISNA(VLOOKUP(A1730,'Master List'!A:C,2,FALSE)), "Not Found", VLOOKUP(A1730,'Master List'!A:C,2,FALSE)))</f>
        <v>Name</v>
      </c>
      <c r="D1730" s="19" t="str">
        <f>IF(ISBLANK(A1730), "Email",IF(ISNA(VLOOKUP(A1730,'Master List'!A:C,3,FALSE)), "Not Found", VLOOKUP(A1730,'Master List'!A:C,3,FALSE)))</f>
        <v>Email</v>
      </c>
      <c r="F1730" s="4" t="str">
        <f>IF(OR(A1730="",E1730="","",A1730="?",E1730="?"),"duplicate?",IF(COUNTIFS($A:A,A1730,E:E,E1730)&gt;1,"yes","no"))</f>
        <v>duplicate?</v>
      </c>
      <c r="K1730" s="97" t="str">
        <f ca="1">IF(J1730="","Date",IF(J1730&lt;&gt;"",IF(K1730="Date",NOW(),K1730),""))</f>
        <v>Date</v>
      </c>
    </row>
    <row r="1731" spans="2:11">
      <c r="B1731" s="97" t="str">
        <f ca="1">IF(A1731="","Date",IF(A1731&lt;&gt;"",IF(B1731="Date",NOW(),B1731),""))</f>
        <v>Date</v>
      </c>
      <c r="C1731" s="19" t="str">
        <f>IF(ISBLANK(A1731),"Name",IF(ISNA(VLOOKUP(A1731,'Master List'!A:C,2,FALSE)), "Not Found", VLOOKUP(A1731,'Master List'!A:C,2,FALSE)))</f>
        <v>Name</v>
      </c>
      <c r="D1731" s="19" t="str">
        <f>IF(ISBLANK(A1731), "Email",IF(ISNA(VLOOKUP(A1731,'Master List'!A:C,3,FALSE)), "Not Found", VLOOKUP(A1731,'Master List'!A:C,3,FALSE)))</f>
        <v>Email</v>
      </c>
      <c r="F1731" s="4" t="str">
        <f>IF(OR(A1731="",E1731="","",A1731="?",E1731="?"),"duplicate?",IF(COUNTIFS($A:A,A1731,E:E,E1731)&gt;1,"yes","no"))</f>
        <v>duplicate?</v>
      </c>
      <c r="K1731" s="97" t="str">
        <f ca="1">IF(J1731="","Date",IF(J1731&lt;&gt;"",IF(K1731="Date",NOW(),K1731),""))</f>
        <v>Date</v>
      </c>
    </row>
    <row r="1732" spans="2:11">
      <c r="B1732" s="97" t="str">
        <f ca="1">IF(A1732="","Date",IF(A1732&lt;&gt;"",IF(B1732="Date",NOW(),B1732),""))</f>
        <v>Date</v>
      </c>
      <c r="C1732" s="19" t="str">
        <f>IF(ISBLANK(A1732),"Name",IF(ISNA(VLOOKUP(A1732,'Master List'!A:C,2,FALSE)), "Not Found", VLOOKUP(A1732,'Master List'!A:C,2,FALSE)))</f>
        <v>Name</v>
      </c>
      <c r="D1732" s="19" t="str">
        <f>IF(ISBLANK(A1732), "Email",IF(ISNA(VLOOKUP(A1732,'Master List'!A:C,3,FALSE)), "Not Found", VLOOKUP(A1732,'Master List'!A:C,3,FALSE)))</f>
        <v>Email</v>
      </c>
      <c r="F1732" s="4" t="str">
        <f>IF(OR(A1732="",E1732="","",A1732="?",E1732="?"),"duplicate?",IF(COUNTIFS($A:A,A1732,E:E,E1732)&gt;1,"yes","no"))</f>
        <v>duplicate?</v>
      </c>
      <c r="K1732" s="97" t="str">
        <f ca="1">IF(J1732="","Date",IF(J1732&lt;&gt;"",IF(K1732="Date",NOW(),K1732),""))</f>
        <v>Date</v>
      </c>
    </row>
    <row r="1733" spans="2:11">
      <c r="B1733" s="97" t="str">
        <f ca="1">IF(A1733="","Date",IF(A1733&lt;&gt;"",IF(B1733="Date",NOW(),B1733),""))</f>
        <v>Date</v>
      </c>
      <c r="C1733" s="19" t="str">
        <f>IF(ISBLANK(A1733),"Name",IF(ISNA(VLOOKUP(A1733,'Master List'!A:C,2,FALSE)), "Not Found", VLOOKUP(A1733,'Master List'!A:C,2,FALSE)))</f>
        <v>Name</v>
      </c>
      <c r="D1733" s="19" t="str">
        <f>IF(ISBLANK(A1733), "Email",IF(ISNA(VLOOKUP(A1733,'Master List'!A:C,3,FALSE)), "Not Found", VLOOKUP(A1733,'Master List'!A:C,3,FALSE)))</f>
        <v>Email</v>
      </c>
      <c r="F1733" s="4" t="str">
        <f>IF(OR(A1733="",E1733="","",A1733="?",E1733="?"),"duplicate?",IF(COUNTIFS($A:A,A1733,E:E,E1733)&gt;1,"yes","no"))</f>
        <v>duplicate?</v>
      </c>
      <c r="K1733" s="97" t="str">
        <f ca="1">IF(J1733="","Date",IF(J1733&lt;&gt;"",IF(K1733="Date",NOW(),K1733),""))</f>
        <v>Date</v>
      </c>
    </row>
    <row r="1734" spans="2:11">
      <c r="B1734" s="97" t="str">
        <f ca="1">IF(A1734="","Date",IF(A1734&lt;&gt;"",IF(B1734="Date",NOW(),B1734),""))</f>
        <v>Date</v>
      </c>
      <c r="C1734" s="19" t="str">
        <f>IF(ISBLANK(A1734),"Name",IF(ISNA(VLOOKUP(A1734,'Master List'!A:C,2,FALSE)), "Not Found", VLOOKUP(A1734,'Master List'!A:C,2,FALSE)))</f>
        <v>Name</v>
      </c>
      <c r="D1734" s="19" t="str">
        <f>IF(ISBLANK(A1734), "Email",IF(ISNA(VLOOKUP(A1734,'Master List'!A:C,3,FALSE)), "Not Found", VLOOKUP(A1734,'Master List'!A:C,3,FALSE)))</f>
        <v>Email</v>
      </c>
      <c r="F1734" s="4" t="str">
        <f>IF(OR(A1734="",E1734="","",A1734="?",E1734="?"),"duplicate?",IF(COUNTIFS($A:A,A1734,E:E,E1734)&gt;1,"yes","no"))</f>
        <v>duplicate?</v>
      </c>
      <c r="K1734" s="97" t="str">
        <f ca="1">IF(J1734="","Date",IF(J1734&lt;&gt;"",IF(K1734="Date",NOW(),K1734),""))</f>
        <v>Date</v>
      </c>
    </row>
    <row r="1735" spans="2:11">
      <c r="B1735" s="97" t="str">
        <f ca="1">IF(A1735="","Date",IF(A1735&lt;&gt;"",IF(B1735="Date",NOW(),B1735),""))</f>
        <v>Date</v>
      </c>
      <c r="C1735" s="19" t="str">
        <f>IF(ISBLANK(A1735),"Name",IF(ISNA(VLOOKUP(A1735,'Master List'!A:C,2,FALSE)), "Not Found", VLOOKUP(A1735,'Master List'!A:C,2,FALSE)))</f>
        <v>Name</v>
      </c>
      <c r="D1735" s="19" t="str">
        <f>IF(ISBLANK(A1735), "Email",IF(ISNA(VLOOKUP(A1735,'Master List'!A:C,3,FALSE)), "Not Found", VLOOKUP(A1735,'Master List'!A:C,3,FALSE)))</f>
        <v>Email</v>
      </c>
      <c r="F1735" s="4" t="str">
        <f>IF(OR(A1735="",E1735="","",A1735="?",E1735="?"),"duplicate?",IF(COUNTIFS($A:A,A1735,E:E,E1735)&gt;1,"yes","no"))</f>
        <v>duplicate?</v>
      </c>
      <c r="K1735" s="97" t="str">
        <f ca="1">IF(J1735="","Date",IF(J1735&lt;&gt;"",IF(K1735="Date",NOW(),K1735),""))</f>
        <v>Date</v>
      </c>
    </row>
    <row r="1736" spans="2:11">
      <c r="B1736" s="97" t="str">
        <f ca="1">IF(A1736="","Date",IF(A1736&lt;&gt;"",IF(B1736="Date",NOW(),B1736),""))</f>
        <v>Date</v>
      </c>
      <c r="C1736" s="19" t="str">
        <f>IF(ISBLANK(A1736),"Name",IF(ISNA(VLOOKUP(A1736,'Master List'!A:C,2,FALSE)), "Not Found", VLOOKUP(A1736,'Master List'!A:C,2,FALSE)))</f>
        <v>Name</v>
      </c>
      <c r="D1736" s="19" t="str">
        <f>IF(ISBLANK(A1736), "Email",IF(ISNA(VLOOKUP(A1736,'Master List'!A:C,3,FALSE)), "Not Found", VLOOKUP(A1736,'Master List'!A:C,3,FALSE)))</f>
        <v>Email</v>
      </c>
      <c r="F1736" s="4" t="str">
        <f>IF(OR(A1736="",E1736="","",A1736="?",E1736="?"),"duplicate?",IF(COUNTIFS($A:A,A1736,E:E,E1736)&gt;1,"yes","no"))</f>
        <v>duplicate?</v>
      </c>
      <c r="K1736" s="97" t="str">
        <f ca="1">IF(J1736="","Date",IF(J1736&lt;&gt;"",IF(K1736="Date",NOW(),K1736),""))</f>
        <v>Date</v>
      </c>
    </row>
    <row r="1737" spans="2:11">
      <c r="B1737" s="97" t="str">
        <f ca="1">IF(A1737="","Date",IF(A1737&lt;&gt;"",IF(B1737="Date",NOW(),B1737),""))</f>
        <v>Date</v>
      </c>
      <c r="C1737" s="19" t="str">
        <f>IF(ISBLANK(A1737),"Name",IF(ISNA(VLOOKUP(A1737,'Master List'!A:C,2,FALSE)), "Not Found", VLOOKUP(A1737,'Master List'!A:C,2,FALSE)))</f>
        <v>Name</v>
      </c>
      <c r="D1737" s="19" t="str">
        <f>IF(ISBLANK(A1737), "Email",IF(ISNA(VLOOKUP(A1737,'Master List'!A:C,3,FALSE)), "Not Found", VLOOKUP(A1737,'Master List'!A:C,3,FALSE)))</f>
        <v>Email</v>
      </c>
      <c r="F1737" s="4" t="str">
        <f>IF(OR(A1737="",E1737="","",A1737="?",E1737="?"),"duplicate?",IF(COUNTIFS($A:A,A1737,E:E,E1737)&gt;1,"yes","no"))</f>
        <v>duplicate?</v>
      </c>
      <c r="K1737" s="97" t="str">
        <f ca="1">IF(J1737="","Date",IF(J1737&lt;&gt;"",IF(K1737="Date",NOW(),K1737),""))</f>
        <v>Date</v>
      </c>
    </row>
    <row r="1738" spans="2:11">
      <c r="B1738" s="97" t="str">
        <f ca="1">IF(A1738="","Date",IF(A1738&lt;&gt;"",IF(B1738="Date",NOW(),B1738),""))</f>
        <v>Date</v>
      </c>
      <c r="C1738" s="19" t="str">
        <f>IF(ISBLANK(A1738),"Name",IF(ISNA(VLOOKUP(A1738,'Master List'!A:C,2,FALSE)), "Not Found", VLOOKUP(A1738,'Master List'!A:C,2,FALSE)))</f>
        <v>Name</v>
      </c>
      <c r="D1738" s="19" t="str">
        <f>IF(ISBLANK(A1738), "Email",IF(ISNA(VLOOKUP(A1738,'Master List'!A:C,3,FALSE)), "Not Found", VLOOKUP(A1738,'Master List'!A:C,3,FALSE)))</f>
        <v>Email</v>
      </c>
      <c r="F1738" s="4" t="str">
        <f>IF(OR(A1738="",E1738="","",A1738="?",E1738="?"),"duplicate?",IF(COUNTIFS($A:A,A1738,E:E,E1738)&gt;1,"yes","no"))</f>
        <v>duplicate?</v>
      </c>
      <c r="K1738" s="97" t="str">
        <f ca="1">IF(J1738="","Date",IF(J1738&lt;&gt;"",IF(K1738="Date",NOW(),K1738),""))</f>
        <v>Date</v>
      </c>
    </row>
    <row r="1739" spans="2:11">
      <c r="B1739" s="97" t="str">
        <f ca="1">IF(A1739="","Date",IF(A1739&lt;&gt;"",IF(B1739="Date",NOW(),B1739),""))</f>
        <v>Date</v>
      </c>
      <c r="C1739" s="19" t="str">
        <f>IF(ISBLANK(A1739),"Name",IF(ISNA(VLOOKUP(A1739,'Master List'!A:C,2,FALSE)), "Not Found", VLOOKUP(A1739,'Master List'!A:C,2,FALSE)))</f>
        <v>Name</v>
      </c>
      <c r="D1739" s="19" t="str">
        <f>IF(ISBLANK(A1739), "Email",IF(ISNA(VLOOKUP(A1739,'Master List'!A:C,3,FALSE)), "Not Found", VLOOKUP(A1739,'Master List'!A:C,3,FALSE)))</f>
        <v>Email</v>
      </c>
      <c r="F1739" s="4" t="str">
        <f>IF(OR(A1739="",E1739="","",A1739="?",E1739="?"),"duplicate?",IF(COUNTIFS($A:A,A1739,E:E,E1739)&gt;1,"yes","no"))</f>
        <v>duplicate?</v>
      </c>
      <c r="K1739" s="97" t="str">
        <f ca="1">IF(J1739="","Date",IF(J1739&lt;&gt;"",IF(K1739="Date",NOW(),K1739),""))</f>
        <v>Date</v>
      </c>
    </row>
    <row r="1740" spans="2:11">
      <c r="B1740" s="97" t="str">
        <f ca="1">IF(A1740="","Date",IF(A1740&lt;&gt;"",IF(B1740="Date",NOW(),B1740),""))</f>
        <v>Date</v>
      </c>
      <c r="C1740" s="19" t="str">
        <f>IF(ISBLANK(A1740),"Name",IF(ISNA(VLOOKUP(A1740,'Master List'!A:C,2,FALSE)), "Not Found", VLOOKUP(A1740,'Master List'!A:C,2,FALSE)))</f>
        <v>Name</v>
      </c>
      <c r="D1740" s="19" t="str">
        <f>IF(ISBLANK(A1740), "Email",IF(ISNA(VLOOKUP(A1740,'Master List'!A:C,3,FALSE)), "Not Found", VLOOKUP(A1740,'Master List'!A:C,3,FALSE)))</f>
        <v>Email</v>
      </c>
      <c r="F1740" s="4" t="str">
        <f>IF(OR(A1740="",E1740="","",A1740="?",E1740="?"),"duplicate?",IF(COUNTIFS($A:A,A1740,E:E,E1740)&gt;1,"yes","no"))</f>
        <v>duplicate?</v>
      </c>
      <c r="K1740" s="97" t="str">
        <f ca="1">IF(J1740="","Date",IF(J1740&lt;&gt;"",IF(K1740="Date",NOW(),K1740),""))</f>
        <v>Date</v>
      </c>
    </row>
    <row r="1741" spans="2:11">
      <c r="B1741" s="97" t="str">
        <f ca="1">IF(A1741="","Date",IF(A1741&lt;&gt;"",IF(B1741="Date",NOW(),B1741),""))</f>
        <v>Date</v>
      </c>
      <c r="C1741" s="19" t="str">
        <f>IF(ISBLANK(A1741),"Name",IF(ISNA(VLOOKUP(A1741,'Master List'!A:C,2,FALSE)), "Not Found", VLOOKUP(A1741,'Master List'!A:C,2,FALSE)))</f>
        <v>Name</v>
      </c>
      <c r="D1741" s="19" t="str">
        <f>IF(ISBLANK(A1741), "Email",IF(ISNA(VLOOKUP(A1741,'Master List'!A:C,3,FALSE)), "Not Found", VLOOKUP(A1741,'Master List'!A:C,3,FALSE)))</f>
        <v>Email</v>
      </c>
      <c r="F1741" s="4" t="str">
        <f>IF(OR(A1741="",E1741="","",A1741="?",E1741="?"),"duplicate?",IF(COUNTIFS($A:A,A1741,E:E,E1741)&gt;1,"yes","no"))</f>
        <v>duplicate?</v>
      </c>
      <c r="K1741" s="97" t="str">
        <f ca="1">IF(J1741="","Date",IF(J1741&lt;&gt;"",IF(K1741="Date",NOW(),K1741),""))</f>
        <v>Date</v>
      </c>
    </row>
    <row r="1742" spans="2:11">
      <c r="B1742" s="97" t="str">
        <f ca="1">IF(A1742="","Date",IF(A1742&lt;&gt;"",IF(B1742="Date",NOW(),B1742),""))</f>
        <v>Date</v>
      </c>
      <c r="C1742" s="19" t="str">
        <f>IF(ISBLANK(A1742),"Name",IF(ISNA(VLOOKUP(A1742,'Master List'!A:C,2,FALSE)), "Not Found", VLOOKUP(A1742,'Master List'!A:C,2,FALSE)))</f>
        <v>Name</v>
      </c>
      <c r="D1742" s="19" t="str">
        <f>IF(ISBLANK(A1742), "Email",IF(ISNA(VLOOKUP(A1742,'Master List'!A:C,3,FALSE)), "Not Found", VLOOKUP(A1742,'Master List'!A:C,3,FALSE)))</f>
        <v>Email</v>
      </c>
      <c r="F1742" s="4" t="str">
        <f>IF(OR(A1742="",E1742="","",A1742="?",E1742="?"),"duplicate?",IF(COUNTIFS($A:A,A1742,E:E,E1742)&gt;1,"yes","no"))</f>
        <v>duplicate?</v>
      </c>
      <c r="K1742" s="97" t="str">
        <f ca="1">IF(J1742="","Date",IF(J1742&lt;&gt;"",IF(K1742="Date",NOW(),K1742),""))</f>
        <v>Date</v>
      </c>
    </row>
    <row r="1743" spans="2:11">
      <c r="B1743" s="97" t="str">
        <f ca="1">IF(A1743="","Date",IF(A1743&lt;&gt;"",IF(B1743="Date",NOW(),B1743),""))</f>
        <v>Date</v>
      </c>
      <c r="C1743" s="19" t="str">
        <f>IF(ISBLANK(A1743),"Name",IF(ISNA(VLOOKUP(A1743,'Master List'!A:C,2,FALSE)), "Not Found", VLOOKUP(A1743,'Master List'!A:C,2,FALSE)))</f>
        <v>Name</v>
      </c>
      <c r="D1743" s="19" t="str">
        <f>IF(ISBLANK(A1743), "Email",IF(ISNA(VLOOKUP(A1743,'Master List'!A:C,3,FALSE)), "Not Found", VLOOKUP(A1743,'Master List'!A:C,3,FALSE)))</f>
        <v>Email</v>
      </c>
      <c r="F1743" s="4" t="str">
        <f>IF(OR(A1743="",E1743="","",A1743="?",E1743="?"),"duplicate?",IF(COUNTIFS($A:A,A1743,E:E,E1743)&gt;1,"yes","no"))</f>
        <v>duplicate?</v>
      </c>
      <c r="K1743" s="97" t="str">
        <f ca="1">IF(J1743="","Date",IF(J1743&lt;&gt;"",IF(K1743="Date",NOW(),K1743),""))</f>
        <v>Date</v>
      </c>
    </row>
    <row r="1744" spans="2:11">
      <c r="B1744" s="97" t="str">
        <f ca="1">IF(A1744="","Date",IF(A1744&lt;&gt;"",IF(B1744="Date",NOW(),B1744),""))</f>
        <v>Date</v>
      </c>
      <c r="C1744" s="19" t="str">
        <f>IF(ISBLANK(A1744),"Name",IF(ISNA(VLOOKUP(A1744,'Master List'!A:C,2,FALSE)), "Not Found", VLOOKUP(A1744,'Master List'!A:C,2,FALSE)))</f>
        <v>Name</v>
      </c>
      <c r="D1744" s="19" t="str">
        <f>IF(ISBLANK(A1744), "Email",IF(ISNA(VLOOKUP(A1744,'Master List'!A:C,3,FALSE)), "Not Found", VLOOKUP(A1744,'Master List'!A:C,3,FALSE)))</f>
        <v>Email</v>
      </c>
      <c r="F1744" s="4" t="str">
        <f>IF(OR(A1744="",E1744="","",A1744="?",E1744="?"),"duplicate?",IF(COUNTIFS($A:A,A1744,E:E,E1744)&gt;1,"yes","no"))</f>
        <v>duplicate?</v>
      </c>
      <c r="K1744" s="97" t="str">
        <f ca="1">IF(J1744="","Date",IF(J1744&lt;&gt;"",IF(K1744="Date",NOW(),K1744),""))</f>
        <v>Date</v>
      </c>
    </row>
    <row r="1745" spans="2:11">
      <c r="B1745" s="97" t="str">
        <f ca="1">IF(A1745="","Date",IF(A1745&lt;&gt;"",IF(B1745="Date",NOW(),B1745),""))</f>
        <v>Date</v>
      </c>
      <c r="C1745" s="19" t="str">
        <f>IF(ISBLANK(A1745),"Name",IF(ISNA(VLOOKUP(A1745,'Master List'!A:C,2,FALSE)), "Not Found", VLOOKUP(A1745,'Master List'!A:C,2,FALSE)))</f>
        <v>Name</v>
      </c>
      <c r="D1745" s="19" t="str">
        <f>IF(ISBLANK(A1745), "Email",IF(ISNA(VLOOKUP(A1745,'Master List'!A:C,3,FALSE)), "Not Found", VLOOKUP(A1745,'Master List'!A:C,3,FALSE)))</f>
        <v>Email</v>
      </c>
      <c r="F1745" s="4" t="str">
        <f>IF(OR(A1745="",E1745="","",A1745="?",E1745="?"),"duplicate?",IF(COUNTIFS($A:A,A1745,E:E,E1745)&gt;1,"yes","no"))</f>
        <v>duplicate?</v>
      </c>
      <c r="K1745" s="97" t="str">
        <f ca="1">IF(J1745="","Date",IF(J1745&lt;&gt;"",IF(K1745="Date",NOW(),K1745),""))</f>
        <v>Date</v>
      </c>
    </row>
    <row r="1746" spans="2:11">
      <c r="B1746" s="97" t="str">
        <f ca="1">IF(A1746="","Date",IF(A1746&lt;&gt;"",IF(B1746="Date",NOW(),B1746),""))</f>
        <v>Date</v>
      </c>
      <c r="C1746" s="19" t="str">
        <f>IF(ISBLANK(A1746),"Name",IF(ISNA(VLOOKUP(A1746,'Master List'!A:C,2,FALSE)), "Not Found", VLOOKUP(A1746,'Master List'!A:C,2,FALSE)))</f>
        <v>Name</v>
      </c>
      <c r="D1746" s="19" t="str">
        <f>IF(ISBLANK(A1746), "Email",IF(ISNA(VLOOKUP(A1746,'Master List'!A:C,3,FALSE)), "Not Found", VLOOKUP(A1746,'Master List'!A:C,3,FALSE)))</f>
        <v>Email</v>
      </c>
      <c r="F1746" s="4" t="str">
        <f>IF(OR(A1746="",E1746="","",A1746="?",E1746="?"),"duplicate?",IF(COUNTIFS($A:A,A1746,E:E,E1746)&gt;1,"yes","no"))</f>
        <v>duplicate?</v>
      </c>
      <c r="K1746" s="97" t="str">
        <f ca="1">IF(J1746="","Date",IF(J1746&lt;&gt;"",IF(K1746="Date",NOW(),K1746),""))</f>
        <v>Date</v>
      </c>
    </row>
    <row r="1747" spans="2:11">
      <c r="B1747" s="97" t="str">
        <f ca="1">IF(A1747="","Date",IF(A1747&lt;&gt;"",IF(B1747="Date",NOW(),B1747),""))</f>
        <v>Date</v>
      </c>
      <c r="C1747" s="19" t="str">
        <f>IF(ISBLANK(A1747),"Name",IF(ISNA(VLOOKUP(A1747,'Master List'!A:C,2,FALSE)), "Not Found", VLOOKUP(A1747,'Master List'!A:C,2,FALSE)))</f>
        <v>Name</v>
      </c>
      <c r="D1747" s="19" t="str">
        <f>IF(ISBLANK(A1747), "Email",IF(ISNA(VLOOKUP(A1747,'Master List'!A:C,3,FALSE)), "Not Found", VLOOKUP(A1747,'Master List'!A:C,3,FALSE)))</f>
        <v>Email</v>
      </c>
      <c r="F1747" s="4" t="str">
        <f>IF(OR(A1747="",E1747="","",A1747="?",E1747="?"),"duplicate?",IF(COUNTIFS($A:A,A1747,E:E,E1747)&gt;1,"yes","no"))</f>
        <v>duplicate?</v>
      </c>
      <c r="K1747" s="97" t="str">
        <f ca="1">IF(J1747="","Date",IF(J1747&lt;&gt;"",IF(K1747="Date",NOW(),K1747),""))</f>
        <v>Date</v>
      </c>
    </row>
    <row r="1748" spans="2:11">
      <c r="B1748" s="97" t="str">
        <f ca="1">IF(A1748="","Date",IF(A1748&lt;&gt;"",IF(B1748="Date",NOW(),B1748),""))</f>
        <v>Date</v>
      </c>
      <c r="C1748" s="19" t="str">
        <f>IF(ISBLANK(A1748),"Name",IF(ISNA(VLOOKUP(A1748,'Master List'!A:C,2,FALSE)), "Not Found", VLOOKUP(A1748,'Master List'!A:C,2,FALSE)))</f>
        <v>Name</v>
      </c>
      <c r="D1748" s="19" t="str">
        <f>IF(ISBLANK(A1748), "Email",IF(ISNA(VLOOKUP(A1748,'Master List'!A:C,3,FALSE)), "Not Found", VLOOKUP(A1748,'Master List'!A:C,3,FALSE)))</f>
        <v>Email</v>
      </c>
      <c r="F1748" s="4" t="str">
        <f>IF(OR(A1748="",E1748="","",A1748="?",E1748="?"),"duplicate?",IF(COUNTIFS($A:A,A1748,E:E,E1748)&gt;1,"yes","no"))</f>
        <v>duplicate?</v>
      </c>
      <c r="K1748" s="97" t="str">
        <f ca="1">IF(J1748="","Date",IF(J1748&lt;&gt;"",IF(K1748="Date",NOW(),K1748),""))</f>
        <v>Date</v>
      </c>
    </row>
    <row r="1749" spans="2:11">
      <c r="B1749" s="97" t="str">
        <f ca="1">IF(A1749="","Date",IF(A1749&lt;&gt;"",IF(B1749="Date",NOW(),B1749),""))</f>
        <v>Date</v>
      </c>
      <c r="C1749" s="19" t="str">
        <f>IF(ISBLANK(A1749),"Name",IF(ISNA(VLOOKUP(A1749,'Master List'!A:C,2,FALSE)), "Not Found", VLOOKUP(A1749,'Master List'!A:C,2,FALSE)))</f>
        <v>Name</v>
      </c>
      <c r="D1749" s="19" t="str">
        <f>IF(ISBLANK(A1749), "Email",IF(ISNA(VLOOKUP(A1749,'Master List'!A:C,3,FALSE)), "Not Found", VLOOKUP(A1749,'Master List'!A:C,3,FALSE)))</f>
        <v>Email</v>
      </c>
      <c r="F1749" s="4" t="str">
        <f>IF(OR(A1749="",E1749="","",A1749="?",E1749="?"),"duplicate?",IF(COUNTIFS($A:A,A1749,E:E,E1749)&gt;1,"yes","no"))</f>
        <v>duplicate?</v>
      </c>
      <c r="K1749" s="97" t="str">
        <f ca="1">IF(J1749="","Date",IF(J1749&lt;&gt;"",IF(K1749="Date",NOW(),K1749),""))</f>
        <v>Date</v>
      </c>
    </row>
    <row r="1750" spans="2:11">
      <c r="B1750" s="97" t="str">
        <f ca="1">IF(A1750="","Date",IF(A1750&lt;&gt;"",IF(B1750="Date",NOW(),B1750),""))</f>
        <v>Date</v>
      </c>
      <c r="C1750" s="19" t="str">
        <f>IF(ISBLANK(A1750),"Name",IF(ISNA(VLOOKUP(A1750,'Master List'!A:C,2,FALSE)), "Not Found", VLOOKUP(A1750,'Master List'!A:C,2,FALSE)))</f>
        <v>Name</v>
      </c>
      <c r="D1750" s="19" t="str">
        <f>IF(ISBLANK(A1750), "Email",IF(ISNA(VLOOKUP(A1750,'Master List'!A:C,3,FALSE)), "Not Found", VLOOKUP(A1750,'Master List'!A:C,3,FALSE)))</f>
        <v>Email</v>
      </c>
      <c r="F1750" s="4" t="str">
        <f>IF(OR(A1750="",E1750="","",A1750="?",E1750="?"),"duplicate?",IF(COUNTIFS($A:A,A1750,E:E,E1750)&gt;1,"yes","no"))</f>
        <v>duplicate?</v>
      </c>
      <c r="K1750" s="97" t="str">
        <f ca="1">IF(J1750="","Date",IF(J1750&lt;&gt;"",IF(K1750="Date",NOW(),K1750),""))</f>
        <v>Date</v>
      </c>
    </row>
    <row r="1751" spans="2:11">
      <c r="B1751" s="97" t="str">
        <f ca="1">IF(A1751="","Date",IF(A1751&lt;&gt;"",IF(B1751="Date",NOW(),B1751),""))</f>
        <v>Date</v>
      </c>
      <c r="C1751" s="19" t="str">
        <f>IF(ISBLANK(A1751),"Name",IF(ISNA(VLOOKUP(A1751,'Master List'!A:C,2,FALSE)), "Not Found", VLOOKUP(A1751,'Master List'!A:C,2,FALSE)))</f>
        <v>Name</v>
      </c>
      <c r="D1751" s="19" t="str">
        <f>IF(ISBLANK(A1751), "Email",IF(ISNA(VLOOKUP(A1751,'Master List'!A:C,3,FALSE)), "Not Found", VLOOKUP(A1751,'Master List'!A:C,3,FALSE)))</f>
        <v>Email</v>
      </c>
      <c r="F1751" s="4" t="str">
        <f>IF(OR(A1751="",E1751="","",A1751="?",E1751="?"),"duplicate?",IF(COUNTIFS($A:A,A1751,E:E,E1751)&gt;1,"yes","no"))</f>
        <v>duplicate?</v>
      </c>
      <c r="K1751" s="97" t="str">
        <f ca="1">IF(J1751="","Date",IF(J1751&lt;&gt;"",IF(K1751="Date",NOW(),K1751),""))</f>
        <v>Date</v>
      </c>
    </row>
    <row r="1752" spans="2:11">
      <c r="B1752" s="97" t="str">
        <f ca="1">IF(A1752="","Date",IF(A1752&lt;&gt;"",IF(B1752="Date",NOW(),B1752),""))</f>
        <v>Date</v>
      </c>
      <c r="C1752" s="19" t="str">
        <f>IF(ISBLANK(A1752),"Name",IF(ISNA(VLOOKUP(A1752,'Master List'!A:C,2,FALSE)), "Not Found", VLOOKUP(A1752,'Master List'!A:C,2,FALSE)))</f>
        <v>Name</v>
      </c>
      <c r="D1752" s="19" t="str">
        <f>IF(ISBLANK(A1752), "Email",IF(ISNA(VLOOKUP(A1752,'Master List'!A:C,3,FALSE)), "Not Found", VLOOKUP(A1752,'Master List'!A:C,3,FALSE)))</f>
        <v>Email</v>
      </c>
      <c r="F1752" s="4" t="str">
        <f>IF(OR(A1752="",E1752="","",A1752="?",E1752="?"),"duplicate?",IF(COUNTIFS($A:A,A1752,E:E,E1752)&gt;1,"yes","no"))</f>
        <v>duplicate?</v>
      </c>
      <c r="K1752" s="97" t="str">
        <f ca="1">IF(J1752="","Date",IF(J1752&lt;&gt;"",IF(K1752="Date",NOW(),K1752),""))</f>
        <v>Date</v>
      </c>
    </row>
    <row r="1753" spans="2:11">
      <c r="B1753" s="97" t="str">
        <f ca="1">IF(A1753="","Date",IF(A1753&lt;&gt;"",IF(B1753="Date",NOW(),B1753),""))</f>
        <v>Date</v>
      </c>
      <c r="C1753" s="19" t="str">
        <f>IF(ISBLANK(A1753),"Name",IF(ISNA(VLOOKUP(A1753,'Master List'!A:C,2,FALSE)), "Not Found", VLOOKUP(A1753,'Master List'!A:C,2,FALSE)))</f>
        <v>Name</v>
      </c>
      <c r="D1753" s="19" t="str">
        <f>IF(ISBLANK(A1753), "Email",IF(ISNA(VLOOKUP(A1753,'Master List'!A:C,3,FALSE)), "Not Found", VLOOKUP(A1753,'Master List'!A:C,3,FALSE)))</f>
        <v>Email</v>
      </c>
      <c r="F1753" s="4" t="str">
        <f>IF(OR(A1753="",E1753="","",A1753="?",E1753="?"),"duplicate?",IF(COUNTIFS($A:A,A1753,E:E,E1753)&gt;1,"yes","no"))</f>
        <v>duplicate?</v>
      </c>
      <c r="K1753" s="97" t="str">
        <f ca="1">IF(J1753="","Date",IF(J1753&lt;&gt;"",IF(K1753="Date",NOW(),K1753),""))</f>
        <v>Date</v>
      </c>
    </row>
    <row r="1754" spans="2:11">
      <c r="B1754" s="97" t="str">
        <f ca="1">IF(A1754="","Date",IF(A1754&lt;&gt;"",IF(B1754="Date",NOW(),B1754),""))</f>
        <v>Date</v>
      </c>
      <c r="C1754" s="19" t="str">
        <f>IF(ISBLANK(A1754),"Name",IF(ISNA(VLOOKUP(A1754,'Master List'!A:C,2,FALSE)), "Not Found", VLOOKUP(A1754,'Master List'!A:C,2,FALSE)))</f>
        <v>Name</v>
      </c>
      <c r="D1754" s="19" t="str">
        <f>IF(ISBLANK(A1754), "Email",IF(ISNA(VLOOKUP(A1754,'Master List'!A:C,3,FALSE)), "Not Found", VLOOKUP(A1754,'Master List'!A:C,3,FALSE)))</f>
        <v>Email</v>
      </c>
      <c r="F1754" s="4" t="str">
        <f>IF(OR(A1754="",E1754="","",A1754="?",E1754="?"),"duplicate?",IF(COUNTIFS($A:A,A1754,E:E,E1754)&gt;1,"yes","no"))</f>
        <v>duplicate?</v>
      </c>
      <c r="K1754" s="97" t="str">
        <f ca="1">IF(J1754="","Date",IF(J1754&lt;&gt;"",IF(K1754="Date",NOW(),K1754),""))</f>
        <v>Date</v>
      </c>
    </row>
    <row r="1755" spans="2:11">
      <c r="B1755" s="97" t="str">
        <f ca="1">IF(A1755="","Date",IF(A1755&lt;&gt;"",IF(B1755="Date",NOW(),B1755),""))</f>
        <v>Date</v>
      </c>
      <c r="C1755" s="19" t="str">
        <f>IF(ISBLANK(A1755),"Name",IF(ISNA(VLOOKUP(A1755,'Master List'!A:C,2,FALSE)), "Not Found", VLOOKUP(A1755,'Master List'!A:C,2,FALSE)))</f>
        <v>Name</v>
      </c>
      <c r="D1755" s="19" t="str">
        <f>IF(ISBLANK(A1755), "Email",IF(ISNA(VLOOKUP(A1755,'Master List'!A:C,3,FALSE)), "Not Found", VLOOKUP(A1755,'Master List'!A:C,3,FALSE)))</f>
        <v>Email</v>
      </c>
      <c r="F1755" s="4" t="str">
        <f>IF(OR(A1755="",E1755="","",A1755="?",E1755="?"),"duplicate?",IF(COUNTIFS($A:A,A1755,E:E,E1755)&gt;1,"yes","no"))</f>
        <v>duplicate?</v>
      </c>
      <c r="K1755" s="97" t="str">
        <f ca="1">IF(J1755="","Date",IF(J1755&lt;&gt;"",IF(K1755="Date",NOW(),K1755),""))</f>
        <v>Date</v>
      </c>
    </row>
    <row r="1756" spans="2:11">
      <c r="B1756" s="97" t="str">
        <f ca="1">IF(A1756="","Date",IF(A1756&lt;&gt;"",IF(B1756="Date",NOW(),B1756),""))</f>
        <v>Date</v>
      </c>
      <c r="C1756" s="19" t="str">
        <f>IF(ISBLANK(A1756),"Name",IF(ISNA(VLOOKUP(A1756,'Master List'!A:C,2,FALSE)), "Not Found", VLOOKUP(A1756,'Master List'!A:C,2,FALSE)))</f>
        <v>Name</v>
      </c>
      <c r="D1756" s="19" t="str">
        <f>IF(ISBLANK(A1756), "Email",IF(ISNA(VLOOKUP(A1756,'Master List'!A:C,3,FALSE)), "Not Found", VLOOKUP(A1756,'Master List'!A:C,3,FALSE)))</f>
        <v>Email</v>
      </c>
      <c r="F1756" s="4" t="str">
        <f>IF(OR(A1756="",E1756="","",A1756="?",E1756="?"),"duplicate?",IF(COUNTIFS($A:A,A1756,E:E,E1756)&gt;1,"yes","no"))</f>
        <v>duplicate?</v>
      </c>
      <c r="K1756" s="97" t="str">
        <f ca="1">IF(J1756="","Date",IF(J1756&lt;&gt;"",IF(K1756="Date",NOW(),K1756),""))</f>
        <v>Date</v>
      </c>
    </row>
    <row r="1757" spans="2:11">
      <c r="B1757" s="97" t="str">
        <f ca="1">IF(A1757="","Date",IF(A1757&lt;&gt;"",IF(B1757="Date",NOW(),B1757),""))</f>
        <v>Date</v>
      </c>
      <c r="C1757" s="19" t="str">
        <f>IF(ISBLANK(A1757),"Name",IF(ISNA(VLOOKUP(A1757,'Master List'!A:C,2,FALSE)), "Not Found", VLOOKUP(A1757,'Master List'!A:C,2,FALSE)))</f>
        <v>Name</v>
      </c>
      <c r="D1757" s="19" t="str">
        <f>IF(ISBLANK(A1757), "Email",IF(ISNA(VLOOKUP(A1757,'Master List'!A:C,3,FALSE)), "Not Found", VLOOKUP(A1757,'Master List'!A:C,3,FALSE)))</f>
        <v>Email</v>
      </c>
      <c r="F1757" s="4" t="str">
        <f>IF(OR(A1757="",E1757="","",A1757="?",E1757="?"),"duplicate?",IF(COUNTIFS($A:A,A1757,E:E,E1757)&gt;1,"yes","no"))</f>
        <v>duplicate?</v>
      </c>
      <c r="K1757" s="97" t="str">
        <f ca="1">IF(J1757="","Date",IF(J1757&lt;&gt;"",IF(K1757="Date",NOW(),K1757),""))</f>
        <v>Date</v>
      </c>
    </row>
    <row r="1758" spans="2:11">
      <c r="B1758" s="97" t="str">
        <f ca="1">IF(A1758="","Date",IF(A1758&lt;&gt;"",IF(B1758="Date",NOW(),B1758),""))</f>
        <v>Date</v>
      </c>
      <c r="C1758" s="19" t="str">
        <f>IF(ISBLANK(A1758),"Name",IF(ISNA(VLOOKUP(A1758,'Master List'!A:C,2,FALSE)), "Not Found", VLOOKUP(A1758,'Master List'!A:C,2,FALSE)))</f>
        <v>Name</v>
      </c>
      <c r="D1758" s="19" t="str">
        <f>IF(ISBLANK(A1758), "Email",IF(ISNA(VLOOKUP(A1758,'Master List'!A:C,3,FALSE)), "Not Found", VLOOKUP(A1758,'Master List'!A:C,3,FALSE)))</f>
        <v>Email</v>
      </c>
      <c r="F1758" s="4" t="str">
        <f>IF(OR(A1758="",E1758="","",A1758="?",E1758="?"),"duplicate?",IF(COUNTIFS($A:A,A1758,E:E,E1758)&gt;1,"yes","no"))</f>
        <v>duplicate?</v>
      </c>
      <c r="K1758" s="97" t="str">
        <f ca="1">IF(J1758="","Date",IF(J1758&lt;&gt;"",IF(K1758="Date",NOW(),K1758),""))</f>
        <v>Date</v>
      </c>
    </row>
    <row r="1759" spans="2:11">
      <c r="B1759" s="97" t="str">
        <f ca="1">IF(A1759="","Date",IF(A1759&lt;&gt;"",IF(B1759="Date",NOW(),B1759),""))</f>
        <v>Date</v>
      </c>
      <c r="C1759" s="19" t="str">
        <f>IF(ISBLANK(A1759),"Name",IF(ISNA(VLOOKUP(A1759,'Master List'!A:C,2,FALSE)), "Not Found", VLOOKUP(A1759,'Master List'!A:C,2,FALSE)))</f>
        <v>Name</v>
      </c>
      <c r="D1759" s="19" t="str">
        <f>IF(ISBLANK(A1759), "Email",IF(ISNA(VLOOKUP(A1759,'Master List'!A:C,3,FALSE)), "Not Found", VLOOKUP(A1759,'Master List'!A:C,3,FALSE)))</f>
        <v>Email</v>
      </c>
      <c r="F1759" s="4" t="str">
        <f>IF(OR(A1759="",E1759="","",A1759="?",E1759="?"),"duplicate?",IF(COUNTIFS($A:A,A1759,E:E,E1759)&gt;1,"yes","no"))</f>
        <v>duplicate?</v>
      </c>
      <c r="K1759" s="97" t="str">
        <f ca="1">IF(J1759="","Date",IF(J1759&lt;&gt;"",IF(K1759="Date",NOW(),K1759),""))</f>
        <v>Date</v>
      </c>
    </row>
    <row r="1760" spans="2:11">
      <c r="B1760" s="97" t="str">
        <f ca="1">IF(A1760="","Date",IF(A1760&lt;&gt;"",IF(B1760="Date",NOW(),B1760),""))</f>
        <v>Date</v>
      </c>
      <c r="C1760" s="19" t="str">
        <f>IF(ISBLANK(A1760),"Name",IF(ISNA(VLOOKUP(A1760,'Master List'!A:C,2,FALSE)), "Not Found", VLOOKUP(A1760,'Master List'!A:C,2,FALSE)))</f>
        <v>Name</v>
      </c>
      <c r="D1760" s="19" t="str">
        <f>IF(ISBLANK(A1760), "Email",IF(ISNA(VLOOKUP(A1760,'Master List'!A:C,3,FALSE)), "Not Found", VLOOKUP(A1760,'Master List'!A:C,3,FALSE)))</f>
        <v>Email</v>
      </c>
      <c r="F1760" s="4" t="str">
        <f>IF(OR(A1760="",E1760="","",A1760="?",E1760="?"),"duplicate?",IF(COUNTIFS($A:A,A1760,E:E,E1760)&gt;1,"yes","no"))</f>
        <v>duplicate?</v>
      </c>
      <c r="K1760" s="97" t="str">
        <f ca="1">IF(J1760="","Date",IF(J1760&lt;&gt;"",IF(K1760="Date",NOW(),K1760),""))</f>
        <v>Date</v>
      </c>
    </row>
    <row r="1761" spans="2:11">
      <c r="B1761" s="97" t="str">
        <f ca="1">IF(A1761="","Date",IF(A1761&lt;&gt;"",IF(B1761="Date",NOW(),B1761),""))</f>
        <v>Date</v>
      </c>
      <c r="C1761" s="19" t="str">
        <f>IF(ISBLANK(A1761),"Name",IF(ISNA(VLOOKUP(A1761,'Master List'!A:C,2,FALSE)), "Not Found", VLOOKUP(A1761,'Master List'!A:C,2,FALSE)))</f>
        <v>Name</v>
      </c>
      <c r="D1761" s="19" t="str">
        <f>IF(ISBLANK(A1761), "Email",IF(ISNA(VLOOKUP(A1761,'Master List'!A:C,3,FALSE)), "Not Found", VLOOKUP(A1761,'Master List'!A:C,3,FALSE)))</f>
        <v>Email</v>
      </c>
      <c r="F1761" s="4" t="str">
        <f>IF(OR(A1761="",E1761="","",A1761="?",E1761="?"),"duplicate?",IF(COUNTIFS($A:A,A1761,E:E,E1761)&gt;1,"yes","no"))</f>
        <v>duplicate?</v>
      </c>
      <c r="K1761" s="97" t="str">
        <f ca="1">IF(J1761="","Date",IF(J1761&lt;&gt;"",IF(K1761="Date",NOW(),K1761),""))</f>
        <v>Date</v>
      </c>
    </row>
    <row r="1762" spans="2:11">
      <c r="B1762" s="97" t="str">
        <f ca="1">IF(A1762="","Date",IF(A1762&lt;&gt;"",IF(B1762="Date",NOW(),B1762),""))</f>
        <v>Date</v>
      </c>
      <c r="C1762" s="19" t="str">
        <f>IF(ISBLANK(A1762),"Name",IF(ISNA(VLOOKUP(A1762,'Master List'!A:C,2,FALSE)), "Not Found", VLOOKUP(A1762,'Master List'!A:C,2,FALSE)))</f>
        <v>Name</v>
      </c>
      <c r="D1762" s="19" t="str">
        <f>IF(ISBLANK(A1762), "Email",IF(ISNA(VLOOKUP(A1762,'Master List'!A:C,3,FALSE)), "Not Found", VLOOKUP(A1762,'Master List'!A:C,3,FALSE)))</f>
        <v>Email</v>
      </c>
      <c r="F1762" s="4" t="str">
        <f>IF(OR(A1762="",E1762="","",A1762="?",E1762="?"),"duplicate?",IF(COUNTIFS($A:A,A1762,E:E,E1762)&gt;1,"yes","no"))</f>
        <v>duplicate?</v>
      </c>
      <c r="K1762" s="97" t="str">
        <f ca="1">IF(J1762="","Date",IF(J1762&lt;&gt;"",IF(K1762="Date",NOW(),K1762),""))</f>
        <v>Date</v>
      </c>
    </row>
    <row r="1763" spans="2:11">
      <c r="B1763" s="97" t="str">
        <f ca="1">IF(A1763="","Date",IF(A1763&lt;&gt;"",IF(B1763="Date",NOW(),B1763),""))</f>
        <v>Date</v>
      </c>
      <c r="C1763" s="19" t="str">
        <f>IF(ISBLANK(A1763),"Name",IF(ISNA(VLOOKUP(A1763,'Master List'!A:C,2,FALSE)), "Not Found", VLOOKUP(A1763,'Master List'!A:C,2,FALSE)))</f>
        <v>Name</v>
      </c>
      <c r="D1763" s="19" t="str">
        <f>IF(ISBLANK(A1763), "Email",IF(ISNA(VLOOKUP(A1763,'Master List'!A:C,3,FALSE)), "Not Found", VLOOKUP(A1763,'Master List'!A:C,3,FALSE)))</f>
        <v>Email</v>
      </c>
      <c r="F1763" s="4" t="str">
        <f>IF(OR(A1763="",E1763="","",A1763="?",E1763="?"),"duplicate?",IF(COUNTIFS($A:A,A1763,E:E,E1763)&gt;1,"yes","no"))</f>
        <v>duplicate?</v>
      </c>
      <c r="K1763" s="97" t="str">
        <f ca="1">IF(J1763="","Date",IF(J1763&lt;&gt;"",IF(K1763="Date",NOW(),K1763),""))</f>
        <v>Date</v>
      </c>
    </row>
    <row r="1764" spans="2:11">
      <c r="B1764" s="97" t="str">
        <f ca="1">IF(A1764="","Date",IF(A1764&lt;&gt;"",IF(B1764="Date",NOW(),B1764),""))</f>
        <v>Date</v>
      </c>
      <c r="C1764" s="19" t="str">
        <f>IF(ISBLANK(A1764),"Name",IF(ISNA(VLOOKUP(A1764,'Master List'!A:C,2,FALSE)), "Not Found", VLOOKUP(A1764,'Master List'!A:C,2,FALSE)))</f>
        <v>Name</v>
      </c>
      <c r="D1764" s="19" t="str">
        <f>IF(ISBLANK(A1764), "Email",IF(ISNA(VLOOKUP(A1764,'Master List'!A:C,3,FALSE)), "Not Found", VLOOKUP(A1764,'Master List'!A:C,3,FALSE)))</f>
        <v>Email</v>
      </c>
      <c r="F1764" s="4" t="str">
        <f>IF(OR(A1764="",E1764="","",A1764="?",E1764="?"),"duplicate?",IF(COUNTIFS($A:A,A1764,E:E,E1764)&gt;1,"yes","no"))</f>
        <v>duplicate?</v>
      </c>
      <c r="K1764" s="97" t="str">
        <f ca="1">IF(J1764="","Date",IF(J1764&lt;&gt;"",IF(K1764="Date",NOW(),K1764),""))</f>
        <v>Date</v>
      </c>
    </row>
    <row r="1765" spans="2:11">
      <c r="B1765" s="97" t="str">
        <f ca="1">IF(A1765="","Date",IF(A1765&lt;&gt;"",IF(B1765="Date",NOW(),B1765),""))</f>
        <v>Date</v>
      </c>
      <c r="C1765" s="19" t="str">
        <f>IF(ISBLANK(A1765),"Name",IF(ISNA(VLOOKUP(A1765,'Master List'!A:C,2,FALSE)), "Not Found", VLOOKUP(A1765,'Master List'!A:C,2,FALSE)))</f>
        <v>Name</v>
      </c>
      <c r="D1765" s="19" t="str">
        <f>IF(ISBLANK(A1765), "Email",IF(ISNA(VLOOKUP(A1765,'Master List'!A:C,3,FALSE)), "Not Found", VLOOKUP(A1765,'Master List'!A:C,3,FALSE)))</f>
        <v>Email</v>
      </c>
      <c r="F1765" s="4" t="str">
        <f>IF(OR(A1765="",E1765="","",A1765="?",E1765="?"),"duplicate?",IF(COUNTIFS($A:A,A1765,E:E,E1765)&gt;1,"yes","no"))</f>
        <v>duplicate?</v>
      </c>
      <c r="K1765" s="97" t="str">
        <f ca="1">IF(J1765="","Date",IF(J1765&lt;&gt;"",IF(K1765="Date",NOW(),K1765),""))</f>
        <v>Date</v>
      </c>
    </row>
    <row r="1766" spans="2:11">
      <c r="B1766" s="97" t="str">
        <f ca="1">IF(A1766="","Date",IF(A1766&lt;&gt;"",IF(B1766="Date",NOW(),B1766),""))</f>
        <v>Date</v>
      </c>
      <c r="C1766" s="19" t="str">
        <f>IF(ISBLANK(A1766),"Name",IF(ISNA(VLOOKUP(A1766,'Master List'!A:C,2,FALSE)), "Not Found", VLOOKUP(A1766,'Master List'!A:C,2,FALSE)))</f>
        <v>Name</v>
      </c>
      <c r="D1766" s="19" t="str">
        <f>IF(ISBLANK(A1766), "Email",IF(ISNA(VLOOKUP(A1766,'Master List'!A:C,3,FALSE)), "Not Found", VLOOKUP(A1766,'Master List'!A:C,3,FALSE)))</f>
        <v>Email</v>
      </c>
      <c r="F1766" s="4" t="str">
        <f>IF(OR(A1766="",E1766="","",A1766="?",E1766="?"),"duplicate?",IF(COUNTIFS($A:A,A1766,E:E,E1766)&gt;1,"yes","no"))</f>
        <v>duplicate?</v>
      </c>
      <c r="K1766" s="97" t="str">
        <f ca="1">IF(J1766="","Date",IF(J1766&lt;&gt;"",IF(K1766="Date",NOW(),K1766),""))</f>
        <v>Date</v>
      </c>
    </row>
    <row r="1767" spans="2:11">
      <c r="B1767" s="97" t="str">
        <f ca="1">IF(A1767="","Date",IF(A1767&lt;&gt;"",IF(B1767="Date",NOW(),B1767),""))</f>
        <v>Date</v>
      </c>
      <c r="C1767" s="19" t="str">
        <f>IF(ISBLANK(A1767),"Name",IF(ISNA(VLOOKUP(A1767,'Master List'!A:C,2,FALSE)), "Not Found", VLOOKUP(A1767,'Master List'!A:C,2,FALSE)))</f>
        <v>Name</v>
      </c>
      <c r="D1767" s="19" t="str">
        <f>IF(ISBLANK(A1767), "Email",IF(ISNA(VLOOKUP(A1767,'Master List'!A:C,3,FALSE)), "Not Found", VLOOKUP(A1767,'Master List'!A:C,3,FALSE)))</f>
        <v>Email</v>
      </c>
      <c r="F1767" s="4" t="str">
        <f>IF(OR(A1767="",E1767="","",A1767="?",E1767="?"),"duplicate?",IF(COUNTIFS($A:A,A1767,E:E,E1767)&gt;1,"yes","no"))</f>
        <v>duplicate?</v>
      </c>
      <c r="K1767" s="97" t="str">
        <f ca="1">IF(J1767="","Date",IF(J1767&lt;&gt;"",IF(K1767="Date",NOW(),K1767),""))</f>
        <v>Date</v>
      </c>
    </row>
    <row r="1768" spans="2:11">
      <c r="B1768" s="97" t="str">
        <f ca="1">IF(A1768="","Date",IF(A1768&lt;&gt;"",IF(B1768="Date",NOW(),B1768),""))</f>
        <v>Date</v>
      </c>
      <c r="C1768" s="19" t="str">
        <f>IF(ISBLANK(A1768),"Name",IF(ISNA(VLOOKUP(A1768,'Master List'!A:C,2,FALSE)), "Not Found", VLOOKUP(A1768,'Master List'!A:C,2,FALSE)))</f>
        <v>Name</v>
      </c>
      <c r="D1768" s="19" t="str">
        <f>IF(ISBLANK(A1768), "Email",IF(ISNA(VLOOKUP(A1768,'Master List'!A:C,3,FALSE)), "Not Found", VLOOKUP(A1768,'Master List'!A:C,3,FALSE)))</f>
        <v>Email</v>
      </c>
      <c r="F1768" s="4" t="str">
        <f>IF(OR(A1768="",E1768="","",A1768="?",E1768="?"),"duplicate?",IF(COUNTIFS($A:A,A1768,E:E,E1768)&gt;1,"yes","no"))</f>
        <v>duplicate?</v>
      </c>
      <c r="K1768" s="97" t="str">
        <f ca="1">IF(J1768="","Date",IF(J1768&lt;&gt;"",IF(K1768="Date",NOW(),K1768),""))</f>
        <v>Date</v>
      </c>
    </row>
    <row r="1769" spans="2:11">
      <c r="B1769" s="97" t="str">
        <f ca="1">IF(A1769="","Date",IF(A1769&lt;&gt;"",IF(B1769="Date",NOW(),B1769),""))</f>
        <v>Date</v>
      </c>
      <c r="C1769" s="19" t="str">
        <f>IF(ISBLANK(A1769),"Name",IF(ISNA(VLOOKUP(A1769,'Master List'!A:C,2,FALSE)), "Not Found", VLOOKUP(A1769,'Master List'!A:C,2,FALSE)))</f>
        <v>Name</v>
      </c>
      <c r="D1769" s="19" t="str">
        <f>IF(ISBLANK(A1769), "Email",IF(ISNA(VLOOKUP(A1769,'Master List'!A:C,3,FALSE)), "Not Found", VLOOKUP(A1769,'Master List'!A:C,3,FALSE)))</f>
        <v>Email</v>
      </c>
      <c r="F1769" s="4" t="str">
        <f>IF(OR(A1769="",E1769="","",A1769="?",E1769="?"),"duplicate?",IF(COUNTIFS($A:A,A1769,E:E,E1769)&gt;1,"yes","no"))</f>
        <v>duplicate?</v>
      </c>
      <c r="K1769" s="97" t="str">
        <f ca="1">IF(J1769="","Date",IF(J1769&lt;&gt;"",IF(K1769="Date",NOW(),K1769),""))</f>
        <v>Date</v>
      </c>
    </row>
    <row r="1770" spans="2:11">
      <c r="B1770" s="97" t="str">
        <f ca="1">IF(A1770="","Date",IF(A1770&lt;&gt;"",IF(B1770="Date",NOW(),B1770),""))</f>
        <v>Date</v>
      </c>
      <c r="C1770" s="19" t="str">
        <f>IF(ISBLANK(A1770),"Name",IF(ISNA(VLOOKUP(A1770,'Master List'!A:C,2,FALSE)), "Not Found", VLOOKUP(A1770,'Master List'!A:C,2,FALSE)))</f>
        <v>Name</v>
      </c>
      <c r="D1770" s="19" t="str">
        <f>IF(ISBLANK(A1770), "Email",IF(ISNA(VLOOKUP(A1770,'Master List'!A:C,3,FALSE)), "Not Found", VLOOKUP(A1770,'Master List'!A:C,3,FALSE)))</f>
        <v>Email</v>
      </c>
      <c r="F1770" s="4" t="str">
        <f>IF(OR(A1770="",E1770="","",A1770="?",E1770="?"),"duplicate?",IF(COUNTIFS($A:A,A1770,E:E,E1770)&gt;1,"yes","no"))</f>
        <v>duplicate?</v>
      </c>
      <c r="K1770" s="97" t="str">
        <f ca="1">IF(J1770="","Date",IF(J1770&lt;&gt;"",IF(K1770="Date",NOW(),K1770),""))</f>
        <v>Date</v>
      </c>
    </row>
    <row r="1771" spans="2:11">
      <c r="B1771" s="97" t="str">
        <f ca="1">IF(A1771="","Date",IF(A1771&lt;&gt;"",IF(B1771="Date",NOW(),B1771),""))</f>
        <v>Date</v>
      </c>
      <c r="C1771" s="19" t="str">
        <f>IF(ISBLANK(A1771),"Name",IF(ISNA(VLOOKUP(A1771,'Master List'!A:C,2,FALSE)), "Not Found", VLOOKUP(A1771,'Master List'!A:C,2,FALSE)))</f>
        <v>Name</v>
      </c>
      <c r="D1771" s="19" t="str">
        <f>IF(ISBLANK(A1771), "Email",IF(ISNA(VLOOKUP(A1771,'Master List'!A:C,3,FALSE)), "Not Found", VLOOKUP(A1771,'Master List'!A:C,3,FALSE)))</f>
        <v>Email</v>
      </c>
      <c r="F1771" s="4" t="str">
        <f>IF(OR(A1771="",E1771="","",A1771="?",E1771="?"),"duplicate?",IF(COUNTIFS($A:A,A1771,E:E,E1771)&gt;1,"yes","no"))</f>
        <v>duplicate?</v>
      </c>
      <c r="K1771" s="97" t="str">
        <f ca="1">IF(J1771="","Date",IF(J1771&lt;&gt;"",IF(K1771="Date",NOW(),K1771),""))</f>
        <v>Date</v>
      </c>
    </row>
    <row r="1772" spans="2:11">
      <c r="B1772" s="97" t="str">
        <f ca="1">IF(A1772="","Date",IF(A1772&lt;&gt;"",IF(B1772="Date",NOW(),B1772),""))</f>
        <v>Date</v>
      </c>
      <c r="C1772" s="19" t="str">
        <f>IF(ISBLANK(A1772),"Name",IF(ISNA(VLOOKUP(A1772,'Master List'!A:C,2,FALSE)), "Not Found", VLOOKUP(A1772,'Master List'!A:C,2,FALSE)))</f>
        <v>Name</v>
      </c>
      <c r="D1772" s="19" t="str">
        <f>IF(ISBLANK(A1772), "Email",IF(ISNA(VLOOKUP(A1772,'Master List'!A:C,3,FALSE)), "Not Found", VLOOKUP(A1772,'Master List'!A:C,3,FALSE)))</f>
        <v>Email</v>
      </c>
      <c r="F1772" s="4" t="str">
        <f>IF(OR(A1772="",E1772="","",A1772="?",E1772="?"),"duplicate?",IF(COUNTIFS($A:A,A1772,E:E,E1772)&gt;1,"yes","no"))</f>
        <v>duplicate?</v>
      </c>
      <c r="K1772" s="97" t="str">
        <f ca="1">IF(J1772="","Date",IF(J1772&lt;&gt;"",IF(K1772="Date",NOW(),K1772),""))</f>
        <v>Date</v>
      </c>
    </row>
    <row r="1773" spans="2:11">
      <c r="B1773" s="97" t="str">
        <f ca="1">IF(A1773="","Date",IF(A1773&lt;&gt;"",IF(B1773="Date",NOW(),B1773),""))</f>
        <v>Date</v>
      </c>
      <c r="C1773" s="19" t="str">
        <f>IF(ISBLANK(A1773),"Name",IF(ISNA(VLOOKUP(A1773,'Master List'!A:C,2,FALSE)), "Not Found", VLOOKUP(A1773,'Master List'!A:C,2,FALSE)))</f>
        <v>Name</v>
      </c>
      <c r="D1773" s="19" t="str">
        <f>IF(ISBLANK(A1773), "Email",IF(ISNA(VLOOKUP(A1773,'Master List'!A:C,3,FALSE)), "Not Found", VLOOKUP(A1773,'Master List'!A:C,3,FALSE)))</f>
        <v>Email</v>
      </c>
      <c r="F1773" s="4" t="str">
        <f>IF(OR(A1773="",E1773="","",A1773="?",E1773="?"),"duplicate?",IF(COUNTIFS($A:A,A1773,E:E,E1773)&gt;1,"yes","no"))</f>
        <v>duplicate?</v>
      </c>
      <c r="K1773" s="97" t="str">
        <f ca="1">IF(J1773="","Date",IF(J1773&lt;&gt;"",IF(K1773="Date",NOW(),K1773),""))</f>
        <v>Date</v>
      </c>
    </row>
    <row r="1774" spans="2:11">
      <c r="B1774" s="97" t="str">
        <f ca="1">IF(A1774="","Date",IF(A1774&lt;&gt;"",IF(B1774="Date",NOW(),B1774),""))</f>
        <v>Date</v>
      </c>
      <c r="C1774" s="19" t="str">
        <f>IF(ISBLANK(A1774),"Name",IF(ISNA(VLOOKUP(A1774,'Master List'!A:C,2,FALSE)), "Not Found", VLOOKUP(A1774,'Master List'!A:C,2,FALSE)))</f>
        <v>Name</v>
      </c>
      <c r="D1774" s="19" t="str">
        <f>IF(ISBLANK(A1774), "Email",IF(ISNA(VLOOKUP(A1774,'Master List'!A:C,3,FALSE)), "Not Found", VLOOKUP(A1774,'Master List'!A:C,3,FALSE)))</f>
        <v>Email</v>
      </c>
      <c r="F1774" s="4" t="str">
        <f>IF(OR(A1774="",E1774="","",A1774="?",E1774="?"),"duplicate?",IF(COUNTIFS($A:A,A1774,E:E,E1774)&gt;1,"yes","no"))</f>
        <v>duplicate?</v>
      </c>
      <c r="K1774" s="97" t="str">
        <f ca="1">IF(J1774="","Date",IF(J1774&lt;&gt;"",IF(K1774="Date",NOW(),K1774),""))</f>
        <v>Date</v>
      </c>
    </row>
    <row r="1775" spans="2:11">
      <c r="B1775" s="97" t="str">
        <f ca="1">IF(A1775="","Date",IF(A1775&lt;&gt;"",IF(B1775="Date",NOW(),B1775),""))</f>
        <v>Date</v>
      </c>
      <c r="C1775" s="19" t="str">
        <f>IF(ISBLANK(A1775),"Name",IF(ISNA(VLOOKUP(A1775,'Master List'!A:C,2,FALSE)), "Not Found", VLOOKUP(A1775,'Master List'!A:C,2,FALSE)))</f>
        <v>Name</v>
      </c>
      <c r="D1775" s="19" t="str">
        <f>IF(ISBLANK(A1775), "Email",IF(ISNA(VLOOKUP(A1775,'Master List'!A:C,3,FALSE)), "Not Found", VLOOKUP(A1775,'Master List'!A:C,3,FALSE)))</f>
        <v>Email</v>
      </c>
      <c r="F1775" s="4" t="str">
        <f>IF(OR(A1775="",E1775="","",A1775="?",E1775="?"),"duplicate?",IF(COUNTIFS($A:A,A1775,E:E,E1775)&gt;1,"yes","no"))</f>
        <v>duplicate?</v>
      </c>
      <c r="K1775" s="97" t="str">
        <f ca="1">IF(J1775="","Date",IF(J1775&lt;&gt;"",IF(K1775="Date",NOW(),K1775),""))</f>
        <v>Date</v>
      </c>
    </row>
    <row r="1776" spans="2:11">
      <c r="B1776" s="97" t="str">
        <f ca="1">IF(A1776="","Date",IF(A1776&lt;&gt;"",IF(B1776="Date",NOW(),B1776),""))</f>
        <v>Date</v>
      </c>
      <c r="C1776" s="19" t="str">
        <f>IF(ISBLANK(A1776),"Name",IF(ISNA(VLOOKUP(A1776,'Master List'!A:C,2,FALSE)), "Not Found", VLOOKUP(A1776,'Master List'!A:C,2,FALSE)))</f>
        <v>Name</v>
      </c>
      <c r="D1776" s="19" t="str">
        <f>IF(ISBLANK(A1776), "Email",IF(ISNA(VLOOKUP(A1776,'Master List'!A:C,3,FALSE)), "Not Found", VLOOKUP(A1776,'Master List'!A:C,3,FALSE)))</f>
        <v>Email</v>
      </c>
      <c r="F1776" s="4" t="str">
        <f>IF(OR(A1776="",E1776="","",A1776="?",E1776="?"),"duplicate?",IF(COUNTIFS($A:A,A1776,E:E,E1776)&gt;1,"yes","no"))</f>
        <v>duplicate?</v>
      </c>
      <c r="K1776" s="97" t="str">
        <f ca="1">IF(J1776="","Date",IF(J1776&lt;&gt;"",IF(K1776="Date",NOW(),K1776),""))</f>
        <v>Date</v>
      </c>
    </row>
    <row r="1777" spans="2:11">
      <c r="B1777" s="97" t="str">
        <f ca="1">IF(A1777="","Date",IF(A1777&lt;&gt;"",IF(B1777="Date",NOW(),B1777),""))</f>
        <v>Date</v>
      </c>
      <c r="C1777" s="19" t="str">
        <f>IF(ISBLANK(A1777),"Name",IF(ISNA(VLOOKUP(A1777,'Master List'!A:C,2,FALSE)), "Not Found", VLOOKUP(A1777,'Master List'!A:C,2,FALSE)))</f>
        <v>Name</v>
      </c>
      <c r="D1777" s="19" t="str">
        <f>IF(ISBLANK(A1777), "Email",IF(ISNA(VLOOKUP(A1777,'Master List'!A:C,3,FALSE)), "Not Found", VLOOKUP(A1777,'Master List'!A:C,3,FALSE)))</f>
        <v>Email</v>
      </c>
      <c r="F1777" s="4" t="str">
        <f>IF(OR(A1777="",E1777="","",A1777="?",E1777="?"),"duplicate?",IF(COUNTIFS($A:A,A1777,E:E,E1777)&gt;1,"yes","no"))</f>
        <v>duplicate?</v>
      </c>
      <c r="K1777" s="97" t="str">
        <f ca="1">IF(J1777="","Date",IF(J1777&lt;&gt;"",IF(K1777="Date",NOW(),K1777),""))</f>
        <v>Date</v>
      </c>
    </row>
    <row r="1778" spans="2:11">
      <c r="B1778" s="97" t="str">
        <f ca="1">IF(A1778="","Date",IF(A1778&lt;&gt;"",IF(B1778="Date",NOW(),B1778),""))</f>
        <v>Date</v>
      </c>
      <c r="C1778" s="19" t="str">
        <f>IF(ISBLANK(A1778),"Name",IF(ISNA(VLOOKUP(A1778,'Master List'!A:C,2,FALSE)), "Not Found", VLOOKUP(A1778,'Master List'!A:C,2,FALSE)))</f>
        <v>Name</v>
      </c>
      <c r="D1778" s="19" t="str">
        <f>IF(ISBLANK(A1778), "Email",IF(ISNA(VLOOKUP(A1778,'Master List'!A:C,3,FALSE)), "Not Found", VLOOKUP(A1778,'Master List'!A:C,3,FALSE)))</f>
        <v>Email</v>
      </c>
      <c r="F1778" s="4" t="str">
        <f>IF(OR(A1778="",E1778="","",A1778="?",E1778="?"),"duplicate?",IF(COUNTIFS($A:A,A1778,E:E,E1778)&gt;1,"yes","no"))</f>
        <v>duplicate?</v>
      </c>
      <c r="K1778" s="97" t="str">
        <f ca="1">IF(J1778="","Date",IF(J1778&lt;&gt;"",IF(K1778="Date",NOW(),K1778),""))</f>
        <v>Date</v>
      </c>
    </row>
    <row r="1779" spans="2:11">
      <c r="B1779" s="97" t="str">
        <f ca="1">IF(A1779="","Date",IF(A1779&lt;&gt;"",IF(B1779="Date",NOW(),B1779),""))</f>
        <v>Date</v>
      </c>
      <c r="C1779" s="19" t="str">
        <f>IF(ISBLANK(A1779),"Name",IF(ISNA(VLOOKUP(A1779,'Master List'!A:C,2,FALSE)), "Not Found", VLOOKUP(A1779,'Master List'!A:C,2,FALSE)))</f>
        <v>Name</v>
      </c>
      <c r="D1779" s="19" t="str">
        <f>IF(ISBLANK(A1779), "Email",IF(ISNA(VLOOKUP(A1779,'Master List'!A:C,3,FALSE)), "Not Found", VLOOKUP(A1779,'Master List'!A:C,3,FALSE)))</f>
        <v>Email</v>
      </c>
      <c r="F1779" s="4" t="str">
        <f>IF(OR(A1779="",E1779="","",A1779="?",E1779="?"),"duplicate?",IF(COUNTIFS($A:A,A1779,E:E,E1779)&gt;1,"yes","no"))</f>
        <v>duplicate?</v>
      </c>
      <c r="K1779" s="97" t="str">
        <f ca="1">IF(J1779="","Date",IF(J1779&lt;&gt;"",IF(K1779="Date",NOW(),K1779),""))</f>
        <v>Date</v>
      </c>
    </row>
    <row r="1780" spans="2:11">
      <c r="B1780" s="97" t="str">
        <f ca="1">IF(A1780="","Date",IF(A1780&lt;&gt;"",IF(B1780="Date",NOW(),B1780),""))</f>
        <v>Date</v>
      </c>
      <c r="C1780" s="19" t="str">
        <f>IF(ISBLANK(A1780),"Name",IF(ISNA(VLOOKUP(A1780,'Master List'!A:C,2,FALSE)), "Not Found", VLOOKUP(A1780,'Master List'!A:C,2,FALSE)))</f>
        <v>Name</v>
      </c>
      <c r="D1780" s="19" t="str">
        <f>IF(ISBLANK(A1780), "Email",IF(ISNA(VLOOKUP(A1780,'Master List'!A:C,3,FALSE)), "Not Found", VLOOKUP(A1780,'Master List'!A:C,3,FALSE)))</f>
        <v>Email</v>
      </c>
      <c r="F1780" s="4" t="str">
        <f>IF(OR(A1780="",E1780="","",A1780="?",E1780="?"),"duplicate?",IF(COUNTIFS($A:A,A1780,E:E,E1780)&gt;1,"yes","no"))</f>
        <v>duplicate?</v>
      </c>
      <c r="K1780" s="97" t="str">
        <f ca="1">IF(J1780="","Date",IF(J1780&lt;&gt;"",IF(K1780="Date",NOW(),K1780),""))</f>
        <v>Date</v>
      </c>
    </row>
    <row r="1781" spans="2:11">
      <c r="B1781" s="97" t="str">
        <f ca="1">IF(A1781="","Date",IF(A1781&lt;&gt;"",IF(B1781="Date",NOW(),B1781),""))</f>
        <v>Date</v>
      </c>
      <c r="C1781" s="19" t="str">
        <f>IF(ISBLANK(A1781),"Name",IF(ISNA(VLOOKUP(A1781,'Master List'!A:C,2,FALSE)), "Not Found", VLOOKUP(A1781,'Master List'!A:C,2,FALSE)))</f>
        <v>Name</v>
      </c>
      <c r="D1781" s="19" t="str">
        <f>IF(ISBLANK(A1781), "Email",IF(ISNA(VLOOKUP(A1781,'Master List'!A:C,3,FALSE)), "Not Found", VLOOKUP(A1781,'Master List'!A:C,3,FALSE)))</f>
        <v>Email</v>
      </c>
      <c r="F1781" s="4" t="str">
        <f>IF(OR(A1781="",E1781="","",A1781="?",E1781="?"),"duplicate?",IF(COUNTIFS($A:A,A1781,E:E,E1781)&gt;1,"yes","no"))</f>
        <v>duplicate?</v>
      </c>
      <c r="K1781" s="97" t="str">
        <f ca="1">IF(J1781="","Date",IF(J1781&lt;&gt;"",IF(K1781="Date",NOW(),K1781),""))</f>
        <v>Date</v>
      </c>
    </row>
    <row r="1782" spans="2:11">
      <c r="B1782" s="97" t="str">
        <f ca="1">IF(A1782="","Date",IF(A1782&lt;&gt;"",IF(B1782="Date",NOW(),B1782),""))</f>
        <v>Date</v>
      </c>
      <c r="C1782" s="19" t="str">
        <f>IF(ISBLANK(A1782),"Name",IF(ISNA(VLOOKUP(A1782,'Master List'!A:C,2,FALSE)), "Not Found", VLOOKUP(A1782,'Master List'!A:C,2,FALSE)))</f>
        <v>Name</v>
      </c>
      <c r="D1782" s="19" t="str">
        <f>IF(ISBLANK(A1782), "Email",IF(ISNA(VLOOKUP(A1782,'Master List'!A:C,3,FALSE)), "Not Found", VLOOKUP(A1782,'Master List'!A:C,3,FALSE)))</f>
        <v>Email</v>
      </c>
      <c r="F1782" s="4" t="str">
        <f>IF(OR(A1782="",E1782="","",A1782="?",E1782="?"),"duplicate?",IF(COUNTIFS($A:A,A1782,E:E,E1782)&gt;1,"yes","no"))</f>
        <v>duplicate?</v>
      </c>
      <c r="K1782" s="97" t="str">
        <f ca="1">IF(J1782="","Date",IF(J1782&lt;&gt;"",IF(K1782="Date",NOW(),K1782),""))</f>
        <v>Date</v>
      </c>
    </row>
    <row r="1783" spans="2:11">
      <c r="B1783" s="97" t="str">
        <f ca="1">IF(A1783="","Date",IF(A1783&lt;&gt;"",IF(B1783="Date",NOW(),B1783),""))</f>
        <v>Date</v>
      </c>
      <c r="C1783" s="19" t="str">
        <f>IF(ISBLANK(A1783),"Name",IF(ISNA(VLOOKUP(A1783,'Master List'!A:C,2,FALSE)), "Not Found", VLOOKUP(A1783,'Master List'!A:C,2,FALSE)))</f>
        <v>Name</v>
      </c>
      <c r="D1783" s="19" t="str">
        <f>IF(ISBLANK(A1783), "Email",IF(ISNA(VLOOKUP(A1783,'Master List'!A:C,3,FALSE)), "Not Found", VLOOKUP(A1783,'Master List'!A:C,3,FALSE)))</f>
        <v>Email</v>
      </c>
      <c r="F1783" s="4" t="str">
        <f>IF(OR(A1783="",E1783="","",A1783="?",E1783="?"),"duplicate?",IF(COUNTIFS($A:A,A1783,E:E,E1783)&gt;1,"yes","no"))</f>
        <v>duplicate?</v>
      </c>
      <c r="K1783" s="97" t="str">
        <f ca="1">IF(J1783="","Date",IF(J1783&lt;&gt;"",IF(K1783="Date",NOW(),K1783),""))</f>
        <v>Date</v>
      </c>
    </row>
    <row r="1784" spans="2:11">
      <c r="B1784" s="97" t="str">
        <f ca="1">IF(A1784="","Date",IF(A1784&lt;&gt;"",IF(B1784="Date",NOW(),B1784),""))</f>
        <v>Date</v>
      </c>
      <c r="C1784" s="19" t="str">
        <f>IF(ISBLANK(A1784),"Name",IF(ISNA(VLOOKUP(A1784,'Master List'!A:C,2,FALSE)), "Not Found", VLOOKUP(A1784,'Master List'!A:C,2,FALSE)))</f>
        <v>Name</v>
      </c>
      <c r="D1784" s="19" t="str">
        <f>IF(ISBLANK(A1784), "Email",IF(ISNA(VLOOKUP(A1784,'Master List'!A:C,3,FALSE)), "Not Found", VLOOKUP(A1784,'Master List'!A:C,3,FALSE)))</f>
        <v>Email</v>
      </c>
      <c r="F1784" s="4" t="str">
        <f>IF(OR(A1784="",E1784="","",A1784="?",E1784="?"),"duplicate?",IF(COUNTIFS($A:A,A1784,E:E,E1784)&gt;1,"yes","no"))</f>
        <v>duplicate?</v>
      </c>
      <c r="K1784" s="97" t="str">
        <f ca="1">IF(J1784="","Date",IF(J1784&lt;&gt;"",IF(K1784="Date",NOW(),K1784),""))</f>
        <v>Date</v>
      </c>
    </row>
    <row r="1785" spans="2:11">
      <c r="B1785" s="97" t="str">
        <f ca="1">IF(A1785="","Date",IF(A1785&lt;&gt;"",IF(B1785="Date",NOW(),B1785),""))</f>
        <v>Date</v>
      </c>
      <c r="C1785" s="19" t="str">
        <f>IF(ISBLANK(A1785),"Name",IF(ISNA(VLOOKUP(A1785,'Master List'!A:C,2,FALSE)), "Not Found", VLOOKUP(A1785,'Master List'!A:C,2,FALSE)))</f>
        <v>Name</v>
      </c>
      <c r="D1785" s="19" t="str">
        <f>IF(ISBLANK(A1785), "Email",IF(ISNA(VLOOKUP(A1785,'Master List'!A:C,3,FALSE)), "Not Found", VLOOKUP(A1785,'Master List'!A:C,3,FALSE)))</f>
        <v>Email</v>
      </c>
      <c r="F1785" s="4" t="str">
        <f>IF(OR(A1785="",E1785="","",A1785="?",E1785="?"),"duplicate?",IF(COUNTIFS($A:A,A1785,E:E,E1785)&gt;1,"yes","no"))</f>
        <v>duplicate?</v>
      </c>
      <c r="K1785" s="97" t="str">
        <f ca="1">IF(J1785="","Date",IF(J1785&lt;&gt;"",IF(K1785="Date",NOW(),K1785),""))</f>
        <v>Date</v>
      </c>
    </row>
    <row r="1786" spans="2:11">
      <c r="B1786" s="97" t="str">
        <f ca="1">IF(A1786="","Date",IF(A1786&lt;&gt;"",IF(B1786="Date",NOW(),B1786),""))</f>
        <v>Date</v>
      </c>
      <c r="C1786" s="19" t="str">
        <f>IF(ISBLANK(A1786),"Name",IF(ISNA(VLOOKUP(A1786,'Master List'!A:C,2,FALSE)), "Not Found", VLOOKUP(A1786,'Master List'!A:C,2,FALSE)))</f>
        <v>Name</v>
      </c>
      <c r="D1786" s="19" t="str">
        <f>IF(ISBLANK(A1786), "Email",IF(ISNA(VLOOKUP(A1786,'Master List'!A:C,3,FALSE)), "Not Found", VLOOKUP(A1786,'Master List'!A:C,3,FALSE)))</f>
        <v>Email</v>
      </c>
      <c r="F1786" s="4" t="str">
        <f>IF(OR(A1786="",E1786="","",A1786="?",E1786="?"),"duplicate?",IF(COUNTIFS($A:A,A1786,E:E,E1786)&gt;1,"yes","no"))</f>
        <v>duplicate?</v>
      </c>
      <c r="K1786" s="97" t="str">
        <f ca="1">IF(J1786="","Date",IF(J1786&lt;&gt;"",IF(K1786="Date",NOW(),K1786),""))</f>
        <v>Date</v>
      </c>
    </row>
    <row r="1787" spans="2:11">
      <c r="B1787" s="97" t="str">
        <f ca="1">IF(A1787="","Date",IF(A1787&lt;&gt;"",IF(B1787="Date",NOW(),B1787),""))</f>
        <v>Date</v>
      </c>
      <c r="C1787" s="19" t="str">
        <f>IF(ISBLANK(A1787),"Name",IF(ISNA(VLOOKUP(A1787,'Master List'!A:C,2,FALSE)), "Not Found", VLOOKUP(A1787,'Master List'!A:C,2,FALSE)))</f>
        <v>Name</v>
      </c>
      <c r="D1787" s="19" t="str">
        <f>IF(ISBLANK(A1787), "Email",IF(ISNA(VLOOKUP(A1787,'Master List'!A:C,3,FALSE)), "Not Found", VLOOKUP(A1787,'Master List'!A:C,3,FALSE)))</f>
        <v>Email</v>
      </c>
      <c r="F1787" s="4" t="str">
        <f>IF(OR(A1787="",E1787="","",A1787="?",E1787="?"),"duplicate?",IF(COUNTIFS($A:A,A1787,E:E,E1787)&gt;1,"yes","no"))</f>
        <v>duplicate?</v>
      </c>
      <c r="K1787" s="97" t="str">
        <f ca="1">IF(J1787="","Date",IF(J1787&lt;&gt;"",IF(K1787="Date",NOW(),K1787),""))</f>
        <v>Date</v>
      </c>
    </row>
    <row r="1788" spans="2:11">
      <c r="B1788" s="97" t="str">
        <f ca="1">IF(A1788="","Date",IF(A1788&lt;&gt;"",IF(B1788="Date",NOW(),B1788),""))</f>
        <v>Date</v>
      </c>
      <c r="C1788" s="19" t="str">
        <f>IF(ISBLANK(A1788),"Name",IF(ISNA(VLOOKUP(A1788,'Master List'!A:C,2,FALSE)), "Not Found", VLOOKUP(A1788,'Master List'!A:C,2,FALSE)))</f>
        <v>Name</v>
      </c>
      <c r="D1788" s="19" t="str">
        <f>IF(ISBLANK(A1788), "Email",IF(ISNA(VLOOKUP(A1788,'Master List'!A:C,3,FALSE)), "Not Found", VLOOKUP(A1788,'Master List'!A:C,3,FALSE)))</f>
        <v>Email</v>
      </c>
      <c r="F1788" s="4" t="str">
        <f>IF(OR(A1788="",E1788="","",A1788="?",E1788="?"),"duplicate?",IF(COUNTIFS($A:A,A1788,E:E,E1788)&gt;1,"yes","no"))</f>
        <v>duplicate?</v>
      </c>
      <c r="K1788" s="97" t="str">
        <f ca="1">IF(J1788="","Date",IF(J1788&lt;&gt;"",IF(K1788="Date",NOW(),K1788),""))</f>
        <v>Date</v>
      </c>
    </row>
    <row r="1789" spans="2:11">
      <c r="B1789" s="97" t="str">
        <f ca="1">IF(A1789="","Date",IF(A1789&lt;&gt;"",IF(B1789="Date",NOW(),B1789),""))</f>
        <v>Date</v>
      </c>
      <c r="C1789" s="19" t="str">
        <f>IF(ISBLANK(A1789),"Name",IF(ISNA(VLOOKUP(A1789,'Master List'!A:C,2,FALSE)), "Not Found", VLOOKUP(A1789,'Master List'!A:C,2,FALSE)))</f>
        <v>Name</v>
      </c>
      <c r="D1789" s="19" t="str">
        <f>IF(ISBLANK(A1789), "Email",IF(ISNA(VLOOKUP(A1789,'Master List'!A:C,3,FALSE)), "Not Found", VLOOKUP(A1789,'Master List'!A:C,3,FALSE)))</f>
        <v>Email</v>
      </c>
      <c r="F1789" s="4" t="str">
        <f>IF(OR(A1789="",E1789="","",A1789="?",E1789="?"),"duplicate?",IF(COUNTIFS($A:A,A1789,E:E,E1789)&gt;1,"yes","no"))</f>
        <v>duplicate?</v>
      </c>
      <c r="K1789" s="97" t="str">
        <f ca="1">IF(J1789="","Date",IF(J1789&lt;&gt;"",IF(K1789="Date",NOW(),K1789),""))</f>
        <v>Date</v>
      </c>
    </row>
    <row r="1790" spans="2:11">
      <c r="B1790" s="97" t="str">
        <f ca="1">IF(A1790="","Date",IF(A1790&lt;&gt;"",IF(B1790="Date",NOW(),B1790),""))</f>
        <v>Date</v>
      </c>
      <c r="C1790" s="19" t="str">
        <f>IF(ISBLANK(A1790),"Name",IF(ISNA(VLOOKUP(A1790,'Master List'!A:C,2,FALSE)), "Not Found", VLOOKUP(A1790,'Master List'!A:C,2,FALSE)))</f>
        <v>Name</v>
      </c>
      <c r="D1790" s="19" t="str">
        <f>IF(ISBLANK(A1790), "Email",IF(ISNA(VLOOKUP(A1790,'Master List'!A:C,3,FALSE)), "Not Found", VLOOKUP(A1790,'Master List'!A:C,3,FALSE)))</f>
        <v>Email</v>
      </c>
      <c r="F1790" s="4" t="str">
        <f>IF(OR(A1790="",E1790="","",A1790="?",E1790="?"),"duplicate?",IF(COUNTIFS($A:A,A1790,E:E,E1790)&gt;1,"yes","no"))</f>
        <v>duplicate?</v>
      </c>
      <c r="K1790" s="97" t="str">
        <f ca="1">IF(J1790="","Date",IF(J1790&lt;&gt;"",IF(K1790="Date",NOW(),K1790),""))</f>
        <v>Date</v>
      </c>
    </row>
    <row r="1791" spans="2:11">
      <c r="B1791" s="97" t="str">
        <f ca="1">IF(A1791="","Date",IF(A1791&lt;&gt;"",IF(B1791="Date",NOW(),B1791),""))</f>
        <v>Date</v>
      </c>
      <c r="C1791" s="19" t="str">
        <f>IF(ISBLANK(A1791),"Name",IF(ISNA(VLOOKUP(A1791,'Master List'!A:C,2,FALSE)), "Not Found", VLOOKUP(A1791,'Master List'!A:C,2,FALSE)))</f>
        <v>Name</v>
      </c>
      <c r="D1791" s="19" t="str">
        <f>IF(ISBLANK(A1791), "Email",IF(ISNA(VLOOKUP(A1791,'Master List'!A:C,3,FALSE)), "Not Found", VLOOKUP(A1791,'Master List'!A:C,3,FALSE)))</f>
        <v>Email</v>
      </c>
      <c r="F1791" s="4" t="str">
        <f>IF(OR(A1791="",E1791="","",A1791="?",E1791="?"),"duplicate?",IF(COUNTIFS($A:A,A1791,E:E,E1791)&gt;1,"yes","no"))</f>
        <v>duplicate?</v>
      </c>
      <c r="K1791" s="97" t="str">
        <f ca="1">IF(J1791="","Date",IF(J1791&lt;&gt;"",IF(K1791="Date",NOW(),K1791),""))</f>
        <v>Date</v>
      </c>
    </row>
    <row r="1792" spans="2:11">
      <c r="B1792" s="97" t="str">
        <f ca="1">IF(A1792="","Date",IF(A1792&lt;&gt;"",IF(B1792="Date",NOW(),B1792),""))</f>
        <v>Date</v>
      </c>
      <c r="C1792" s="19" t="str">
        <f>IF(ISBLANK(A1792),"Name",IF(ISNA(VLOOKUP(A1792,'Master List'!A:C,2,FALSE)), "Not Found", VLOOKUP(A1792,'Master List'!A:C,2,FALSE)))</f>
        <v>Name</v>
      </c>
      <c r="D1792" s="19" t="str">
        <f>IF(ISBLANK(A1792), "Email",IF(ISNA(VLOOKUP(A1792,'Master List'!A:C,3,FALSE)), "Not Found", VLOOKUP(A1792,'Master List'!A:C,3,FALSE)))</f>
        <v>Email</v>
      </c>
      <c r="F1792" s="4" t="str">
        <f>IF(OR(A1792="",E1792="","",A1792="?",E1792="?"),"duplicate?",IF(COUNTIFS($A:A,A1792,E:E,E1792)&gt;1,"yes","no"))</f>
        <v>duplicate?</v>
      </c>
      <c r="K1792" s="97" t="str">
        <f ca="1">IF(J1792="","Date",IF(J1792&lt;&gt;"",IF(K1792="Date",NOW(),K1792),""))</f>
        <v>Date</v>
      </c>
    </row>
    <row r="1793" spans="2:11">
      <c r="B1793" s="97" t="str">
        <f ca="1">IF(A1793="","Date",IF(A1793&lt;&gt;"",IF(B1793="Date",NOW(),B1793),""))</f>
        <v>Date</v>
      </c>
      <c r="C1793" s="19" t="str">
        <f>IF(ISBLANK(A1793),"Name",IF(ISNA(VLOOKUP(A1793,'Master List'!A:C,2,FALSE)), "Not Found", VLOOKUP(A1793,'Master List'!A:C,2,FALSE)))</f>
        <v>Name</v>
      </c>
      <c r="D1793" s="19" t="str">
        <f>IF(ISBLANK(A1793), "Email",IF(ISNA(VLOOKUP(A1793,'Master List'!A:C,3,FALSE)), "Not Found", VLOOKUP(A1793,'Master List'!A:C,3,FALSE)))</f>
        <v>Email</v>
      </c>
      <c r="F1793" s="4" t="str">
        <f>IF(OR(A1793="",E1793="","",A1793="?",E1793="?"),"duplicate?",IF(COUNTIFS($A:A,A1793,E:E,E1793)&gt;1,"yes","no"))</f>
        <v>duplicate?</v>
      </c>
      <c r="K1793" s="97" t="str">
        <f ca="1">IF(J1793="","Date",IF(J1793&lt;&gt;"",IF(K1793="Date",NOW(),K1793),""))</f>
        <v>Date</v>
      </c>
    </row>
    <row r="1794" spans="2:11">
      <c r="B1794" s="97" t="str">
        <f ca="1">IF(A1794="","Date",IF(A1794&lt;&gt;"",IF(B1794="Date",NOW(),B1794),""))</f>
        <v>Date</v>
      </c>
      <c r="C1794" s="19" t="str">
        <f>IF(ISBLANK(A1794),"Name",IF(ISNA(VLOOKUP(A1794,'Master List'!A:C,2,FALSE)), "Not Found", VLOOKUP(A1794,'Master List'!A:C,2,FALSE)))</f>
        <v>Name</v>
      </c>
      <c r="D1794" s="19" t="str">
        <f>IF(ISBLANK(A1794), "Email",IF(ISNA(VLOOKUP(A1794,'Master List'!A:C,3,FALSE)), "Not Found", VLOOKUP(A1794,'Master List'!A:C,3,FALSE)))</f>
        <v>Email</v>
      </c>
      <c r="F1794" s="4" t="str">
        <f>IF(OR(A1794="",E1794="","",A1794="?",E1794="?"),"duplicate?",IF(COUNTIFS($A:A,A1794,E:E,E1794)&gt;1,"yes","no"))</f>
        <v>duplicate?</v>
      </c>
      <c r="K1794" s="97" t="str">
        <f ca="1">IF(J1794="","Date",IF(J1794&lt;&gt;"",IF(K1794="Date",NOW(),K1794),""))</f>
        <v>Date</v>
      </c>
    </row>
    <row r="1795" spans="2:11">
      <c r="B1795" s="97" t="str">
        <f ca="1">IF(A1795="","Date",IF(A1795&lt;&gt;"",IF(B1795="Date",NOW(),B1795),""))</f>
        <v>Date</v>
      </c>
      <c r="C1795" s="19" t="str">
        <f>IF(ISBLANK(A1795),"Name",IF(ISNA(VLOOKUP(A1795,'Master List'!A:C,2,FALSE)), "Not Found", VLOOKUP(A1795,'Master List'!A:C,2,FALSE)))</f>
        <v>Name</v>
      </c>
      <c r="D1795" s="19" t="str">
        <f>IF(ISBLANK(A1795), "Email",IF(ISNA(VLOOKUP(A1795,'Master List'!A:C,3,FALSE)), "Not Found", VLOOKUP(A1795,'Master List'!A:C,3,FALSE)))</f>
        <v>Email</v>
      </c>
      <c r="F1795" s="4" t="str">
        <f>IF(OR(A1795="",E1795="","",A1795="?",E1795="?"),"duplicate?",IF(COUNTIFS($A:A,A1795,E:E,E1795)&gt;1,"yes","no"))</f>
        <v>duplicate?</v>
      </c>
      <c r="K1795" s="97" t="str">
        <f ca="1">IF(J1795="","Date",IF(J1795&lt;&gt;"",IF(K1795="Date",NOW(),K1795),""))</f>
        <v>Date</v>
      </c>
    </row>
    <row r="1796" spans="2:11">
      <c r="B1796" s="97" t="str">
        <f ca="1">IF(A1796="","Date",IF(A1796&lt;&gt;"",IF(B1796="Date",NOW(),B1796),""))</f>
        <v>Date</v>
      </c>
      <c r="C1796" s="19" t="str">
        <f>IF(ISBLANK(A1796),"Name",IF(ISNA(VLOOKUP(A1796,'Master List'!A:C,2,FALSE)), "Not Found", VLOOKUP(A1796,'Master List'!A:C,2,FALSE)))</f>
        <v>Name</v>
      </c>
      <c r="D1796" s="19" t="str">
        <f>IF(ISBLANK(A1796), "Email",IF(ISNA(VLOOKUP(A1796,'Master List'!A:C,3,FALSE)), "Not Found", VLOOKUP(A1796,'Master List'!A:C,3,FALSE)))</f>
        <v>Email</v>
      </c>
      <c r="F1796" s="4" t="str">
        <f>IF(OR(A1796="",E1796="","",A1796="?",E1796="?"),"duplicate?",IF(COUNTIFS($A:A,A1796,E:E,E1796)&gt;1,"yes","no"))</f>
        <v>duplicate?</v>
      </c>
      <c r="K1796" s="97" t="str">
        <f ca="1">IF(J1796="","Date",IF(J1796&lt;&gt;"",IF(K1796="Date",NOW(),K1796),""))</f>
        <v>Date</v>
      </c>
    </row>
    <row r="1797" spans="2:11">
      <c r="B1797" s="97" t="str">
        <f ca="1">IF(A1797="","Date",IF(A1797&lt;&gt;"",IF(B1797="Date",NOW(),B1797),""))</f>
        <v>Date</v>
      </c>
      <c r="C1797" s="19" t="str">
        <f>IF(ISBLANK(A1797),"Name",IF(ISNA(VLOOKUP(A1797,'Master List'!A:C,2,FALSE)), "Not Found", VLOOKUP(A1797,'Master List'!A:C,2,FALSE)))</f>
        <v>Name</v>
      </c>
      <c r="D1797" s="19" t="str">
        <f>IF(ISBLANK(A1797), "Email",IF(ISNA(VLOOKUP(A1797,'Master List'!A:C,3,FALSE)), "Not Found", VLOOKUP(A1797,'Master List'!A:C,3,FALSE)))</f>
        <v>Email</v>
      </c>
      <c r="F1797" s="4" t="str">
        <f>IF(OR(A1797="",E1797="","",A1797="?",E1797="?"),"duplicate?",IF(COUNTIFS($A:A,A1797,E:E,E1797)&gt;1,"yes","no"))</f>
        <v>duplicate?</v>
      </c>
      <c r="K1797" s="97" t="str">
        <f ca="1">IF(J1797="","Date",IF(J1797&lt;&gt;"",IF(K1797="Date",NOW(),K1797),""))</f>
        <v>Date</v>
      </c>
    </row>
    <row r="1798" spans="2:11">
      <c r="B1798" s="97" t="str">
        <f ca="1">IF(A1798="","Date",IF(A1798&lt;&gt;"",IF(B1798="Date",NOW(),B1798),""))</f>
        <v>Date</v>
      </c>
      <c r="C1798" s="19" t="str">
        <f>IF(ISBLANK(A1798),"Name",IF(ISNA(VLOOKUP(A1798,'Master List'!A:C,2,FALSE)), "Not Found", VLOOKUP(A1798,'Master List'!A:C,2,FALSE)))</f>
        <v>Name</v>
      </c>
      <c r="D1798" s="19" t="str">
        <f>IF(ISBLANK(A1798), "Email",IF(ISNA(VLOOKUP(A1798,'Master List'!A:C,3,FALSE)), "Not Found", VLOOKUP(A1798,'Master List'!A:C,3,FALSE)))</f>
        <v>Email</v>
      </c>
      <c r="F1798" s="4" t="str">
        <f>IF(OR(A1798="",E1798="","",A1798="?",E1798="?"),"duplicate?",IF(COUNTIFS($A:A,A1798,E:E,E1798)&gt;1,"yes","no"))</f>
        <v>duplicate?</v>
      </c>
      <c r="K1798" s="97" t="str">
        <f ca="1">IF(J1798="","Date",IF(J1798&lt;&gt;"",IF(K1798="Date",NOW(),K1798),""))</f>
        <v>Date</v>
      </c>
    </row>
    <row r="1799" spans="2:11">
      <c r="B1799" s="97" t="str">
        <f ca="1">IF(A1799="","Date",IF(A1799&lt;&gt;"",IF(B1799="Date",NOW(),B1799),""))</f>
        <v>Date</v>
      </c>
      <c r="C1799" s="19" t="str">
        <f>IF(ISBLANK(A1799),"Name",IF(ISNA(VLOOKUP(A1799,'Master List'!A:C,2,FALSE)), "Not Found", VLOOKUP(A1799,'Master List'!A:C,2,FALSE)))</f>
        <v>Name</v>
      </c>
      <c r="D1799" s="19" t="str">
        <f>IF(ISBLANK(A1799), "Email",IF(ISNA(VLOOKUP(A1799,'Master List'!A:C,3,FALSE)), "Not Found", VLOOKUP(A1799,'Master List'!A:C,3,FALSE)))</f>
        <v>Email</v>
      </c>
      <c r="F1799" s="4" t="str">
        <f>IF(OR(A1799="",E1799="","",A1799="?",E1799="?"),"duplicate?",IF(COUNTIFS($A:A,A1799,E:E,E1799)&gt;1,"yes","no"))</f>
        <v>duplicate?</v>
      </c>
      <c r="K1799" s="97" t="str">
        <f ca="1">IF(J1799="","Date",IF(J1799&lt;&gt;"",IF(K1799="Date",NOW(),K1799),""))</f>
        <v>Date</v>
      </c>
    </row>
    <row r="1800" spans="2:11">
      <c r="B1800" s="97" t="str">
        <f ca="1">IF(A1800="","Date",IF(A1800&lt;&gt;"",IF(B1800="Date",NOW(),B1800),""))</f>
        <v>Date</v>
      </c>
      <c r="C1800" s="19" t="str">
        <f>IF(ISBLANK(A1800),"Name",IF(ISNA(VLOOKUP(A1800,'Master List'!A:C,2,FALSE)), "Not Found", VLOOKUP(A1800,'Master List'!A:C,2,FALSE)))</f>
        <v>Name</v>
      </c>
      <c r="D1800" s="19" t="str">
        <f>IF(ISBLANK(A1800), "Email",IF(ISNA(VLOOKUP(A1800,'Master List'!A:C,3,FALSE)), "Not Found", VLOOKUP(A1800,'Master List'!A:C,3,FALSE)))</f>
        <v>Email</v>
      </c>
      <c r="F1800" s="4" t="str">
        <f>IF(OR(A1800="",E1800="","",A1800="?",E1800="?"),"duplicate?",IF(COUNTIFS($A:A,A1800,E:E,E1800)&gt;1,"yes","no"))</f>
        <v>duplicate?</v>
      </c>
      <c r="K1800" s="97" t="str">
        <f ca="1">IF(J1800="","Date",IF(J1800&lt;&gt;"",IF(K1800="Date",NOW(),K1800),""))</f>
        <v>Date</v>
      </c>
    </row>
    <row r="1801" spans="2:11">
      <c r="B1801" s="97" t="str">
        <f ca="1">IF(A1801="","Date",IF(A1801&lt;&gt;"",IF(B1801="Date",NOW(),B1801),""))</f>
        <v>Date</v>
      </c>
      <c r="C1801" s="19" t="str">
        <f>IF(ISBLANK(A1801),"Name",IF(ISNA(VLOOKUP(A1801,'Master List'!A:C,2,FALSE)), "Not Found", VLOOKUP(A1801,'Master List'!A:C,2,FALSE)))</f>
        <v>Name</v>
      </c>
      <c r="D1801" s="19" t="str">
        <f>IF(ISBLANK(A1801), "Email",IF(ISNA(VLOOKUP(A1801,'Master List'!A:C,3,FALSE)), "Not Found", VLOOKUP(A1801,'Master List'!A:C,3,FALSE)))</f>
        <v>Email</v>
      </c>
      <c r="F1801" s="4" t="str">
        <f>IF(OR(A1801="",E1801="","",A1801="?",E1801="?"),"duplicate?",IF(COUNTIFS($A:A,A1801,E:E,E1801)&gt;1,"yes","no"))</f>
        <v>duplicate?</v>
      </c>
      <c r="K1801" s="97" t="str">
        <f ca="1">IF(J1801="","Date",IF(J1801&lt;&gt;"",IF(K1801="Date",NOW(),K1801),""))</f>
        <v>Date</v>
      </c>
    </row>
    <row r="1802" spans="2:11">
      <c r="B1802" s="97" t="str">
        <f ca="1">IF(A1802="","Date",IF(A1802&lt;&gt;"",IF(B1802="Date",NOW(),B1802),""))</f>
        <v>Date</v>
      </c>
      <c r="C1802" s="19" t="str">
        <f>IF(ISBLANK(A1802),"Name",IF(ISNA(VLOOKUP(A1802,'Master List'!A:C,2,FALSE)), "Not Found", VLOOKUP(A1802,'Master List'!A:C,2,FALSE)))</f>
        <v>Name</v>
      </c>
      <c r="D1802" s="19" t="str">
        <f>IF(ISBLANK(A1802), "Email",IF(ISNA(VLOOKUP(A1802,'Master List'!A:C,3,FALSE)), "Not Found", VLOOKUP(A1802,'Master List'!A:C,3,FALSE)))</f>
        <v>Email</v>
      </c>
      <c r="F1802" s="4" t="str">
        <f>IF(OR(A1802="",E1802="","",A1802="?",E1802="?"),"duplicate?",IF(COUNTIFS($A:A,A1802,E:E,E1802)&gt;1,"yes","no"))</f>
        <v>duplicate?</v>
      </c>
      <c r="K1802" s="97" t="str">
        <f ca="1">IF(J1802="","Date",IF(J1802&lt;&gt;"",IF(K1802="Date",NOW(),K1802),""))</f>
        <v>Date</v>
      </c>
    </row>
    <row r="1803" spans="2:11">
      <c r="B1803" s="97" t="str">
        <f ca="1">IF(A1803="","Date",IF(A1803&lt;&gt;"",IF(B1803="Date",NOW(),B1803),""))</f>
        <v>Date</v>
      </c>
      <c r="C1803" s="19" t="str">
        <f>IF(ISBLANK(A1803),"Name",IF(ISNA(VLOOKUP(A1803,'Master List'!A:C,2,FALSE)), "Not Found", VLOOKUP(A1803,'Master List'!A:C,2,FALSE)))</f>
        <v>Name</v>
      </c>
      <c r="D1803" s="19" t="str">
        <f>IF(ISBLANK(A1803), "Email",IF(ISNA(VLOOKUP(A1803,'Master List'!A:C,3,FALSE)), "Not Found", VLOOKUP(A1803,'Master List'!A:C,3,FALSE)))</f>
        <v>Email</v>
      </c>
      <c r="F1803" s="4" t="str">
        <f>IF(OR(A1803="",E1803="","",A1803="?",E1803="?"),"duplicate?",IF(COUNTIFS($A:A,A1803,E:E,E1803)&gt;1,"yes","no"))</f>
        <v>duplicate?</v>
      </c>
      <c r="K1803" s="97" t="str">
        <f ca="1">IF(J1803="","Date",IF(J1803&lt;&gt;"",IF(K1803="Date",NOW(),K1803),""))</f>
        <v>Date</v>
      </c>
    </row>
    <row r="1804" spans="2:11">
      <c r="B1804" s="97" t="str">
        <f ca="1">IF(A1804="","Date",IF(A1804&lt;&gt;"",IF(B1804="Date",NOW(),B1804),""))</f>
        <v>Date</v>
      </c>
      <c r="C1804" s="19" t="str">
        <f>IF(ISBLANK(A1804),"Name",IF(ISNA(VLOOKUP(A1804,'Master List'!A:C,2,FALSE)), "Not Found", VLOOKUP(A1804,'Master List'!A:C,2,FALSE)))</f>
        <v>Name</v>
      </c>
      <c r="D1804" s="19" t="str">
        <f>IF(ISBLANK(A1804), "Email",IF(ISNA(VLOOKUP(A1804,'Master List'!A:C,3,FALSE)), "Not Found", VLOOKUP(A1804,'Master List'!A:C,3,FALSE)))</f>
        <v>Email</v>
      </c>
      <c r="F1804" s="4" t="str">
        <f>IF(OR(A1804="",E1804="","",A1804="?",E1804="?"),"duplicate?",IF(COUNTIFS($A:A,A1804,E:E,E1804)&gt;1,"yes","no"))</f>
        <v>duplicate?</v>
      </c>
      <c r="K1804" s="97" t="str">
        <f ca="1">IF(J1804="","Date",IF(J1804&lt;&gt;"",IF(K1804="Date",NOW(),K1804),""))</f>
        <v>Date</v>
      </c>
    </row>
    <row r="1805" spans="2:11">
      <c r="B1805" s="97" t="str">
        <f ca="1">IF(A1805="","Date",IF(A1805&lt;&gt;"",IF(B1805="Date",NOW(),B1805),""))</f>
        <v>Date</v>
      </c>
      <c r="C1805" s="19" t="str">
        <f>IF(ISBLANK(A1805),"Name",IF(ISNA(VLOOKUP(A1805,'Master List'!A:C,2,FALSE)), "Not Found", VLOOKUP(A1805,'Master List'!A:C,2,FALSE)))</f>
        <v>Name</v>
      </c>
      <c r="D1805" s="19" t="str">
        <f>IF(ISBLANK(A1805), "Email",IF(ISNA(VLOOKUP(A1805,'Master List'!A:C,3,FALSE)), "Not Found", VLOOKUP(A1805,'Master List'!A:C,3,FALSE)))</f>
        <v>Email</v>
      </c>
      <c r="F1805" s="4" t="str">
        <f>IF(OR(A1805="",E1805="","",A1805="?",E1805="?"),"duplicate?",IF(COUNTIFS($A:A,A1805,E:E,E1805)&gt;1,"yes","no"))</f>
        <v>duplicate?</v>
      </c>
      <c r="K1805" s="97" t="str">
        <f ca="1">IF(J1805="","Date",IF(J1805&lt;&gt;"",IF(K1805="Date",NOW(),K1805),""))</f>
        <v>Date</v>
      </c>
    </row>
    <row r="1806" spans="2:11">
      <c r="B1806" s="97" t="str">
        <f ca="1">IF(A1806="","Date",IF(A1806&lt;&gt;"",IF(B1806="Date",NOW(),B1806),""))</f>
        <v>Date</v>
      </c>
      <c r="C1806" s="19" t="str">
        <f>IF(ISBLANK(A1806),"Name",IF(ISNA(VLOOKUP(A1806,'Master List'!A:C,2,FALSE)), "Not Found", VLOOKUP(A1806,'Master List'!A:C,2,FALSE)))</f>
        <v>Name</v>
      </c>
      <c r="D1806" s="19" t="str">
        <f>IF(ISBLANK(A1806), "Email",IF(ISNA(VLOOKUP(A1806,'Master List'!A:C,3,FALSE)), "Not Found", VLOOKUP(A1806,'Master List'!A:C,3,FALSE)))</f>
        <v>Email</v>
      </c>
      <c r="F1806" s="4" t="str">
        <f>IF(OR(A1806="",E1806="","",A1806="?",E1806="?"),"duplicate?",IF(COUNTIFS($A:A,A1806,E:E,E1806)&gt;1,"yes","no"))</f>
        <v>duplicate?</v>
      </c>
      <c r="K1806" s="97" t="str">
        <f ca="1">IF(J1806="","Date",IF(J1806&lt;&gt;"",IF(K1806="Date",NOW(),K1806),""))</f>
        <v>Date</v>
      </c>
    </row>
    <row r="1807" spans="2:11">
      <c r="B1807" s="97" t="str">
        <f ca="1">IF(A1807="","Date",IF(A1807&lt;&gt;"",IF(B1807="Date",NOW(),B1807),""))</f>
        <v>Date</v>
      </c>
      <c r="C1807" s="19" t="str">
        <f>IF(ISBLANK(A1807),"Name",IF(ISNA(VLOOKUP(A1807,'Master List'!A:C,2,FALSE)), "Not Found", VLOOKUP(A1807,'Master List'!A:C,2,FALSE)))</f>
        <v>Name</v>
      </c>
      <c r="D1807" s="19" t="str">
        <f>IF(ISBLANK(A1807), "Email",IF(ISNA(VLOOKUP(A1807,'Master List'!A:C,3,FALSE)), "Not Found", VLOOKUP(A1807,'Master List'!A:C,3,FALSE)))</f>
        <v>Email</v>
      </c>
      <c r="F1807" s="4" t="str">
        <f>IF(OR(A1807="",E1807="","",A1807="?",E1807="?"),"duplicate?",IF(COUNTIFS($A:A,A1807,E:E,E1807)&gt;1,"yes","no"))</f>
        <v>duplicate?</v>
      </c>
      <c r="K1807" s="97" t="str">
        <f ca="1">IF(J1807="","Date",IF(J1807&lt;&gt;"",IF(K1807="Date",NOW(),K1807),""))</f>
        <v>Date</v>
      </c>
    </row>
    <row r="1808" spans="2:11">
      <c r="B1808" s="97" t="str">
        <f ca="1">IF(A1808="","Date",IF(A1808&lt;&gt;"",IF(B1808="Date",NOW(),B1808),""))</f>
        <v>Date</v>
      </c>
      <c r="C1808" s="19" t="str">
        <f>IF(ISBLANK(A1808),"Name",IF(ISNA(VLOOKUP(A1808,'Master List'!A:C,2,FALSE)), "Not Found", VLOOKUP(A1808,'Master List'!A:C,2,FALSE)))</f>
        <v>Name</v>
      </c>
      <c r="D1808" s="19" t="str">
        <f>IF(ISBLANK(A1808), "Email",IF(ISNA(VLOOKUP(A1808,'Master List'!A:C,3,FALSE)), "Not Found", VLOOKUP(A1808,'Master List'!A:C,3,FALSE)))</f>
        <v>Email</v>
      </c>
      <c r="F1808" s="4" t="str">
        <f>IF(OR(A1808="",E1808="","",A1808="?",E1808="?"),"duplicate?",IF(COUNTIFS($A:A,A1808,E:E,E1808)&gt;1,"yes","no"))</f>
        <v>duplicate?</v>
      </c>
      <c r="K1808" s="97" t="str">
        <f ca="1">IF(J1808="","Date",IF(J1808&lt;&gt;"",IF(K1808="Date",NOW(),K1808),""))</f>
        <v>Date</v>
      </c>
    </row>
    <row r="1809" spans="2:11">
      <c r="B1809" s="97" t="str">
        <f ca="1">IF(A1809="","Date",IF(A1809&lt;&gt;"",IF(B1809="Date",NOW(),B1809),""))</f>
        <v>Date</v>
      </c>
      <c r="C1809" s="19" t="str">
        <f>IF(ISBLANK(A1809),"Name",IF(ISNA(VLOOKUP(A1809,'Master List'!A:C,2,FALSE)), "Not Found", VLOOKUP(A1809,'Master List'!A:C,2,FALSE)))</f>
        <v>Name</v>
      </c>
      <c r="D1809" s="19" t="str">
        <f>IF(ISBLANK(A1809), "Email",IF(ISNA(VLOOKUP(A1809,'Master List'!A:C,3,FALSE)), "Not Found", VLOOKUP(A1809,'Master List'!A:C,3,FALSE)))</f>
        <v>Email</v>
      </c>
      <c r="F1809" s="4" t="str">
        <f>IF(OR(A1809="",E1809="","",A1809="?",E1809="?"),"duplicate?",IF(COUNTIFS($A:A,A1809,E:E,E1809)&gt;1,"yes","no"))</f>
        <v>duplicate?</v>
      </c>
      <c r="K1809" s="97" t="str">
        <f ca="1">IF(J1809="","Date",IF(J1809&lt;&gt;"",IF(K1809="Date",NOW(),K1809),""))</f>
        <v>Date</v>
      </c>
    </row>
    <row r="1810" spans="2:11">
      <c r="B1810" s="97" t="str">
        <f ca="1">IF(A1810="","Date",IF(A1810&lt;&gt;"",IF(B1810="Date",NOW(),B1810),""))</f>
        <v>Date</v>
      </c>
      <c r="C1810" s="19" t="str">
        <f>IF(ISBLANK(A1810),"Name",IF(ISNA(VLOOKUP(A1810,'Master List'!A:C,2,FALSE)), "Not Found", VLOOKUP(A1810,'Master List'!A:C,2,FALSE)))</f>
        <v>Name</v>
      </c>
      <c r="D1810" s="19" t="str">
        <f>IF(ISBLANK(A1810), "Email",IF(ISNA(VLOOKUP(A1810,'Master List'!A:C,3,FALSE)), "Not Found", VLOOKUP(A1810,'Master List'!A:C,3,FALSE)))</f>
        <v>Email</v>
      </c>
      <c r="F1810" s="4" t="str">
        <f>IF(OR(A1810="",E1810="","",A1810="?",E1810="?"),"duplicate?",IF(COUNTIFS($A:A,A1810,E:E,E1810)&gt;1,"yes","no"))</f>
        <v>duplicate?</v>
      </c>
      <c r="K1810" s="97" t="str">
        <f ca="1">IF(J1810="","Date",IF(J1810&lt;&gt;"",IF(K1810="Date",NOW(),K1810),""))</f>
        <v>Date</v>
      </c>
    </row>
    <row r="1811" spans="2:11">
      <c r="B1811" s="97" t="str">
        <f ca="1">IF(A1811="","Date",IF(A1811&lt;&gt;"",IF(B1811="Date",NOW(),B1811),""))</f>
        <v>Date</v>
      </c>
      <c r="C1811" s="19" t="str">
        <f>IF(ISBLANK(A1811),"Name",IF(ISNA(VLOOKUP(A1811,'Master List'!A:C,2,FALSE)), "Not Found", VLOOKUP(A1811,'Master List'!A:C,2,FALSE)))</f>
        <v>Name</v>
      </c>
      <c r="D1811" s="19" t="str">
        <f>IF(ISBLANK(A1811), "Email",IF(ISNA(VLOOKUP(A1811,'Master List'!A:C,3,FALSE)), "Not Found", VLOOKUP(A1811,'Master List'!A:C,3,FALSE)))</f>
        <v>Email</v>
      </c>
      <c r="F1811" s="4" t="str">
        <f>IF(OR(A1811="",E1811="","",A1811="?",E1811="?"),"duplicate?",IF(COUNTIFS($A:A,A1811,E:E,E1811)&gt;1,"yes","no"))</f>
        <v>duplicate?</v>
      </c>
      <c r="K1811" s="97" t="str">
        <f ca="1">IF(J1811="","Date",IF(J1811&lt;&gt;"",IF(K1811="Date",NOW(),K1811),""))</f>
        <v>Date</v>
      </c>
    </row>
    <row r="1812" spans="2:11">
      <c r="B1812" s="97" t="str">
        <f ca="1">IF(A1812="","Date",IF(A1812&lt;&gt;"",IF(B1812="Date",NOW(),B1812),""))</f>
        <v>Date</v>
      </c>
      <c r="C1812" s="19" t="str">
        <f>IF(ISBLANK(A1812),"Name",IF(ISNA(VLOOKUP(A1812,'Master List'!A:C,2,FALSE)), "Not Found", VLOOKUP(A1812,'Master List'!A:C,2,FALSE)))</f>
        <v>Name</v>
      </c>
      <c r="D1812" s="19" t="str">
        <f>IF(ISBLANK(A1812), "Email",IF(ISNA(VLOOKUP(A1812,'Master List'!A:C,3,FALSE)), "Not Found", VLOOKUP(A1812,'Master List'!A:C,3,FALSE)))</f>
        <v>Email</v>
      </c>
      <c r="F1812" s="4" t="str">
        <f>IF(OR(A1812="",E1812="","",A1812="?",E1812="?"),"duplicate?",IF(COUNTIFS($A:A,A1812,E:E,E1812)&gt;1,"yes","no"))</f>
        <v>duplicate?</v>
      </c>
      <c r="K1812" s="97" t="str">
        <f ca="1">IF(J1812="","Date",IF(J1812&lt;&gt;"",IF(K1812="Date",NOW(),K1812),""))</f>
        <v>Date</v>
      </c>
    </row>
    <row r="1813" spans="2:11">
      <c r="B1813" s="97" t="str">
        <f ca="1">IF(A1813="","Date",IF(A1813&lt;&gt;"",IF(B1813="Date",NOW(),B1813),""))</f>
        <v>Date</v>
      </c>
      <c r="C1813" s="19" t="str">
        <f>IF(ISBLANK(A1813),"Name",IF(ISNA(VLOOKUP(A1813,'Master List'!A:C,2,FALSE)), "Not Found", VLOOKUP(A1813,'Master List'!A:C,2,FALSE)))</f>
        <v>Name</v>
      </c>
      <c r="D1813" s="19" t="str">
        <f>IF(ISBLANK(A1813), "Email",IF(ISNA(VLOOKUP(A1813,'Master List'!A:C,3,FALSE)), "Not Found", VLOOKUP(A1813,'Master List'!A:C,3,FALSE)))</f>
        <v>Email</v>
      </c>
      <c r="F1813" s="4" t="str">
        <f>IF(OR(A1813="",E1813="","",A1813="?",E1813="?"),"duplicate?",IF(COUNTIFS($A:A,A1813,E:E,E1813)&gt;1,"yes","no"))</f>
        <v>duplicate?</v>
      </c>
      <c r="K1813" s="97" t="str">
        <f ca="1">IF(J1813="","Date",IF(J1813&lt;&gt;"",IF(K1813="Date",NOW(),K1813),""))</f>
        <v>Date</v>
      </c>
    </row>
    <row r="1814" spans="2:11">
      <c r="B1814" s="97" t="str">
        <f ca="1">IF(A1814="","Date",IF(A1814&lt;&gt;"",IF(B1814="Date",NOW(),B1814),""))</f>
        <v>Date</v>
      </c>
      <c r="C1814" s="19" t="str">
        <f>IF(ISBLANK(A1814),"Name",IF(ISNA(VLOOKUP(A1814,'Master List'!A:C,2,FALSE)), "Not Found", VLOOKUP(A1814,'Master List'!A:C,2,FALSE)))</f>
        <v>Name</v>
      </c>
      <c r="D1814" s="19" t="str">
        <f>IF(ISBLANK(A1814), "Email",IF(ISNA(VLOOKUP(A1814,'Master List'!A:C,3,FALSE)), "Not Found", VLOOKUP(A1814,'Master List'!A:C,3,FALSE)))</f>
        <v>Email</v>
      </c>
      <c r="F1814" s="4" t="str">
        <f>IF(OR(A1814="",E1814="","",A1814="?",E1814="?"),"duplicate?",IF(COUNTIFS($A:A,A1814,E:E,E1814)&gt;1,"yes","no"))</f>
        <v>duplicate?</v>
      </c>
      <c r="K1814" s="97" t="str">
        <f ca="1">IF(J1814="","Date",IF(J1814&lt;&gt;"",IF(K1814="Date",NOW(),K1814),""))</f>
        <v>Date</v>
      </c>
    </row>
    <row r="1815" spans="2:11">
      <c r="B1815" s="97" t="str">
        <f ca="1">IF(A1815="","Date",IF(A1815&lt;&gt;"",IF(B1815="Date",NOW(),B1815),""))</f>
        <v>Date</v>
      </c>
      <c r="C1815" s="19" t="str">
        <f>IF(ISBLANK(A1815),"Name",IF(ISNA(VLOOKUP(A1815,'Master List'!A:C,2,FALSE)), "Not Found", VLOOKUP(A1815,'Master List'!A:C,2,FALSE)))</f>
        <v>Name</v>
      </c>
      <c r="D1815" s="19" t="str">
        <f>IF(ISBLANK(A1815), "Email",IF(ISNA(VLOOKUP(A1815,'Master List'!A:C,3,FALSE)), "Not Found", VLOOKUP(A1815,'Master List'!A:C,3,FALSE)))</f>
        <v>Email</v>
      </c>
      <c r="F1815" s="4" t="str">
        <f>IF(OR(A1815="",E1815="","",A1815="?",E1815="?"),"duplicate?",IF(COUNTIFS($A:A,A1815,E:E,E1815)&gt;1,"yes","no"))</f>
        <v>duplicate?</v>
      </c>
      <c r="K1815" s="97" t="str">
        <f ca="1">IF(J1815="","Date",IF(J1815&lt;&gt;"",IF(K1815="Date",NOW(),K1815),""))</f>
        <v>Date</v>
      </c>
    </row>
    <row r="1816" spans="2:11">
      <c r="B1816" s="97" t="str">
        <f ca="1">IF(A1816="","Date",IF(A1816&lt;&gt;"",IF(B1816="Date",NOW(),B1816),""))</f>
        <v>Date</v>
      </c>
      <c r="C1816" s="19" t="str">
        <f>IF(ISBLANK(A1816),"Name",IF(ISNA(VLOOKUP(A1816,'Master List'!A:C,2,FALSE)), "Not Found", VLOOKUP(A1816,'Master List'!A:C,2,FALSE)))</f>
        <v>Name</v>
      </c>
      <c r="D1816" s="19" t="str">
        <f>IF(ISBLANK(A1816), "Email",IF(ISNA(VLOOKUP(A1816,'Master List'!A:C,3,FALSE)), "Not Found", VLOOKUP(A1816,'Master List'!A:C,3,FALSE)))</f>
        <v>Email</v>
      </c>
      <c r="F1816" s="4" t="str">
        <f>IF(OR(A1816="",E1816="","",A1816="?",E1816="?"),"duplicate?",IF(COUNTIFS($A:A,A1816,E:E,E1816)&gt;1,"yes","no"))</f>
        <v>duplicate?</v>
      </c>
      <c r="K1816" s="97" t="str">
        <f ca="1">IF(J1816="","Date",IF(J1816&lt;&gt;"",IF(K1816="Date",NOW(),K1816),""))</f>
        <v>Date</v>
      </c>
    </row>
    <row r="1817" spans="2:11">
      <c r="B1817" s="97" t="str">
        <f ca="1">IF(A1817="","Date",IF(A1817&lt;&gt;"",IF(B1817="Date",NOW(),B1817),""))</f>
        <v>Date</v>
      </c>
      <c r="C1817" s="19" t="str">
        <f>IF(ISBLANK(A1817),"Name",IF(ISNA(VLOOKUP(A1817,'Master List'!A:C,2,FALSE)), "Not Found", VLOOKUP(A1817,'Master List'!A:C,2,FALSE)))</f>
        <v>Name</v>
      </c>
      <c r="D1817" s="19" t="str">
        <f>IF(ISBLANK(A1817), "Email",IF(ISNA(VLOOKUP(A1817,'Master List'!A:C,3,FALSE)), "Not Found", VLOOKUP(A1817,'Master List'!A:C,3,FALSE)))</f>
        <v>Email</v>
      </c>
      <c r="F1817" s="4" t="str">
        <f>IF(OR(A1817="",E1817="","",A1817="?",E1817="?"),"duplicate?",IF(COUNTIFS($A:A,A1817,E:E,E1817)&gt;1,"yes","no"))</f>
        <v>duplicate?</v>
      </c>
      <c r="K1817" s="97" t="str">
        <f ca="1">IF(J1817="","Date",IF(J1817&lt;&gt;"",IF(K1817="Date",NOW(),K1817),""))</f>
        <v>Date</v>
      </c>
    </row>
    <row r="1818" spans="2:11">
      <c r="B1818" s="97" t="str">
        <f ca="1">IF(A1818="","Date",IF(A1818&lt;&gt;"",IF(B1818="Date",NOW(),B1818),""))</f>
        <v>Date</v>
      </c>
      <c r="C1818" s="19" t="str">
        <f>IF(ISBLANK(A1818),"Name",IF(ISNA(VLOOKUP(A1818,'Master List'!A:C,2,FALSE)), "Not Found", VLOOKUP(A1818,'Master List'!A:C,2,FALSE)))</f>
        <v>Name</v>
      </c>
      <c r="D1818" s="19" t="str">
        <f>IF(ISBLANK(A1818), "Email",IF(ISNA(VLOOKUP(A1818,'Master List'!A:C,3,FALSE)), "Not Found", VLOOKUP(A1818,'Master List'!A:C,3,FALSE)))</f>
        <v>Email</v>
      </c>
      <c r="F1818" s="4" t="str">
        <f>IF(OR(A1818="",E1818="","",A1818="?",E1818="?"),"duplicate?",IF(COUNTIFS($A:A,A1818,E:E,E1818)&gt;1,"yes","no"))</f>
        <v>duplicate?</v>
      </c>
      <c r="K1818" s="97" t="str">
        <f ca="1">IF(J1818="","Date",IF(J1818&lt;&gt;"",IF(K1818="Date",NOW(),K1818),""))</f>
        <v>Date</v>
      </c>
    </row>
    <row r="1819" spans="2:11">
      <c r="B1819" s="97" t="str">
        <f ca="1">IF(A1819="","Date",IF(A1819&lt;&gt;"",IF(B1819="Date",NOW(),B1819),""))</f>
        <v>Date</v>
      </c>
      <c r="C1819" s="19" t="str">
        <f>IF(ISBLANK(A1819),"Name",IF(ISNA(VLOOKUP(A1819,'Master List'!A:C,2,FALSE)), "Not Found", VLOOKUP(A1819,'Master List'!A:C,2,FALSE)))</f>
        <v>Name</v>
      </c>
      <c r="D1819" s="19" t="str">
        <f>IF(ISBLANK(A1819), "Email",IF(ISNA(VLOOKUP(A1819,'Master List'!A:C,3,FALSE)), "Not Found", VLOOKUP(A1819,'Master List'!A:C,3,FALSE)))</f>
        <v>Email</v>
      </c>
      <c r="F1819" s="4" t="str">
        <f>IF(OR(A1819="",E1819="","",A1819="?",E1819="?"),"duplicate?",IF(COUNTIFS($A:A,A1819,E:E,E1819)&gt;1,"yes","no"))</f>
        <v>duplicate?</v>
      </c>
      <c r="K1819" s="97" t="str">
        <f ca="1">IF(J1819="","Date",IF(J1819&lt;&gt;"",IF(K1819="Date",NOW(),K1819),""))</f>
        <v>Date</v>
      </c>
    </row>
    <row r="1820" spans="2:11">
      <c r="B1820" s="97" t="str">
        <f ca="1">IF(A1820="","Date",IF(A1820&lt;&gt;"",IF(B1820="Date",NOW(),B1820),""))</f>
        <v>Date</v>
      </c>
      <c r="C1820" s="19" t="str">
        <f>IF(ISBLANK(A1820),"Name",IF(ISNA(VLOOKUP(A1820,'Master List'!A:C,2,FALSE)), "Not Found", VLOOKUP(A1820,'Master List'!A:C,2,FALSE)))</f>
        <v>Name</v>
      </c>
      <c r="D1820" s="19" t="str">
        <f>IF(ISBLANK(A1820), "Email",IF(ISNA(VLOOKUP(A1820,'Master List'!A:C,3,FALSE)), "Not Found", VLOOKUP(A1820,'Master List'!A:C,3,FALSE)))</f>
        <v>Email</v>
      </c>
      <c r="F1820" s="4" t="str">
        <f>IF(OR(A1820="",E1820="","",A1820="?",E1820="?"),"duplicate?",IF(COUNTIFS($A:A,A1820,E:E,E1820)&gt;1,"yes","no"))</f>
        <v>duplicate?</v>
      </c>
      <c r="K1820" s="97" t="str">
        <f ca="1">IF(J1820="","Date",IF(J1820&lt;&gt;"",IF(K1820="Date",NOW(),K1820),""))</f>
        <v>Date</v>
      </c>
    </row>
    <row r="1821" spans="2:11">
      <c r="B1821" s="97" t="str">
        <f ca="1">IF(A1821="","Date",IF(A1821&lt;&gt;"",IF(B1821="Date",NOW(),B1821),""))</f>
        <v>Date</v>
      </c>
      <c r="C1821" s="19" t="str">
        <f>IF(ISBLANK(A1821),"Name",IF(ISNA(VLOOKUP(A1821,'Master List'!A:C,2,FALSE)), "Not Found", VLOOKUP(A1821,'Master List'!A:C,2,FALSE)))</f>
        <v>Name</v>
      </c>
      <c r="D1821" s="19" t="str">
        <f>IF(ISBLANK(A1821), "Email",IF(ISNA(VLOOKUP(A1821,'Master List'!A:C,3,FALSE)), "Not Found", VLOOKUP(A1821,'Master List'!A:C,3,FALSE)))</f>
        <v>Email</v>
      </c>
      <c r="F1821" s="4" t="str">
        <f>IF(OR(A1821="",E1821="","",A1821="?",E1821="?"),"duplicate?",IF(COUNTIFS($A:A,A1821,E:E,E1821)&gt;1,"yes","no"))</f>
        <v>duplicate?</v>
      </c>
      <c r="K1821" s="97" t="str">
        <f ca="1">IF(J1821="","Date",IF(J1821&lt;&gt;"",IF(K1821="Date",NOW(),K1821),""))</f>
        <v>Date</v>
      </c>
    </row>
    <row r="1822" spans="2:11">
      <c r="B1822" s="97" t="str">
        <f ca="1">IF(A1822="","Date",IF(A1822&lt;&gt;"",IF(B1822="Date",NOW(),B1822),""))</f>
        <v>Date</v>
      </c>
      <c r="C1822" s="19" t="str">
        <f>IF(ISBLANK(A1822),"Name",IF(ISNA(VLOOKUP(A1822,'Master List'!A:C,2,FALSE)), "Not Found", VLOOKUP(A1822,'Master List'!A:C,2,FALSE)))</f>
        <v>Name</v>
      </c>
      <c r="D1822" s="19" t="str">
        <f>IF(ISBLANK(A1822), "Email",IF(ISNA(VLOOKUP(A1822,'Master List'!A:C,3,FALSE)), "Not Found", VLOOKUP(A1822,'Master List'!A:C,3,FALSE)))</f>
        <v>Email</v>
      </c>
      <c r="F1822" s="4" t="str">
        <f>IF(OR(A1822="",E1822="","",A1822="?",E1822="?"),"duplicate?",IF(COUNTIFS($A:A,A1822,E:E,E1822)&gt;1,"yes","no"))</f>
        <v>duplicate?</v>
      </c>
      <c r="K1822" s="97" t="str">
        <f ca="1">IF(J1822="","Date",IF(J1822&lt;&gt;"",IF(K1822="Date",NOW(),K1822),""))</f>
        <v>Date</v>
      </c>
    </row>
    <row r="1823" spans="2:11">
      <c r="B1823" s="97" t="str">
        <f ca="1">IF(A1823="","Date",IF(A1823&lt;&gt;"",IF(B1823="Date",NOW(),B1823),""))</f>
        <v>Date</v>
      </c>
      <c r="C1823" s="19" t="str">
        <f>IF(ISBLANK(A1823),"Name",IF(ISNA(VLOOKUP(A1823,'Master List'!A:C,2,FALSE)), "Not Found", VLOOKUP(A1823,'Master List'!A:C,2,FALSE)))</f>
        <v>Name</v>
      </c>
      <c r="D1823" s="19" t="str">
        <f>IF(ISBLANK(A1823), "Email",IF(ISNA(VLOOKUP(A1823,'Master List'!A:C,3,FALSE)), "Not Found", VLOOKUP(A1823,'Master List'!A:C,3,FALSE)))</f>
        <v>Email</v>
      </c>
      <c r="F1823" s="4" t="str">
        <f>IF(OR(A1823="",E1823="","",A1823="?",E1823="?"),"duplicate?",IF(COUNTIFS($A:A,A1823,E:E,E1823)&gt;1,"yes","no"))</f>
        <v>duplicate?</v>
      </c>
      <c r="K1823" s="97" t="str">
        <f ca="1">IF(J1823="","Date",IF(J1823&lt;&gt;"",IF(K1823="Date",NOW(),K1823),""))</f>
        <v>Date</v>
      </c>
    </row>
    <row r="1824" spans="2:11">
      <c r="B1824" s="97" t="str">
        <f ca="1">IF(A1824="","Date",IF(A1824&lt;&gt;"",IF(B1824="Date",NOW(),B1824),""))</f>
        <v>Date</v>
      </c>
      <c r="C1824" s="19" t="str">
        <f>IF(ISBLANK(A1824),"Name",IF(ISNA(VLOOKUP(A1824,'Master List'!A:C,2,FALSE)), "Not Found", VLOOKUP(A1824,'Master List'!A:C,2,FALSE)))</f>
        <v>Name</v>
      </c>
      <c r="D1824" s="19" t="str">
        <f>IF(ISBLANK(A1824), "Email",IF(ISNA(VLOOKUP(A1824,'Master List'!A:C,3,FALSE)), "Not Found", VLOOKUP(A1824,'Master List'!A:C,3,FALSE)))</f>
        <v>Email</v>
      </c>
      <c r="F1824" s="4" t="str">
        <f>IF(OR(A1824="",E1824="","",A1824="?",E1824="?"),"duplicate?",IF(COUNTIFS($A:A,A1824,E:E,E1824)&gt;1,"yes","no"))</f>
        <v>duplicate?</v>
      </c>
      <c r="K1824" s="97" t="str">
        <f ca="1">IF(J1824="","Date",IF(J1824&lt;&gt;"",IF(K1824="Date",NOW(),K1824),""))</f>
        <v>Date</v>
      </c>
    </row>
    <row r="1825" spans="2:11">
      <c r="B1825" s="97" t="str">
        <f ca="1">IF(A1825="","Date",IF(A1825&lt;&gt;"",IF(B1825="Date",NOW(),B1825),""))</f>
        <v>Date</v>
      </c>
      <c r="C1825" s="19" t="str">
        <f>IF(ISBLANK(A1825),"Name",IF(ISNA(VLOOKUP(A1825,'Master List'!A:C,2,FALSE)), "Not Found", VLOOKUP(A1825,'Master List'!A:C,2,FALSE)))</f>
        <v>Name</v>
      </c>
      <c r="D1825" s="19" t="str">
        <f>IF(ISBLANK(A1825), "Email",IF(ISNA(VLOOKUP(A1825,'Master List'!A:C,3,FALSE)), "Not Found", VLOOKUP(A1825,'Master List'!A:C,3,FALSE)))</f>
        <v>Email</v>
      </c>
      <c r="F1825" s="4" t="str">
        <f>IF(OR(A1825="",E1825="","",A1825="?",E1825="?"),"duplicate?",IF(COUNTIFS($A:A,A1825,E:E,E1825)&gt;1,"yes","no"))</f>
        <v>duplicate?</v>
      </c>
      <c r="K1825" s="97" t="str">
        <f ca="1">IF(J1825="","Date",IF(J1825&lt;&gt;"",IF(K1825="Date",NOW(),K1825),""))</f>
        <v>Date</v>
      </c>
    </row>
    <row r="1826" spans="2:11">
      <c r="B1826" s="97" t="str">
        <f ca="1">IF(A1826="","Date",IF(A1826&lt;&gt;"",IF(B1826="Date",NOW(),B1826),""))</f>
        <v>Date</v>
      </c>
      <c r="C1826" s="19" t="str">
        <f>IF(ISBLANK(A1826),"Name",IF(ISNA(VLOOKUP(A1826,'Master List'!A:C,2,FALSE)), "Not Found", VLOOKUP(A1826,'Master List'!A:C,2,FALSE)))</f>
        <v>Name</v>
      </c>
      <c r="D1826" s="19" t="str">
        <f>IF(ISBLANK(A1826), "Email",IF(ISNA(VLOOKUP(A1826,'Master List'!A:C,3,FALSE)), "Not Found", VLOOKUP(A1826,'Master List'!A:C,3,FALSE)))</f>
        <v>Email</v>
      </c>
      <c r="F1826" s="4" t="str">
        <f>IF(OR(A1826="",E1826="","",A1826="?",E1826="?"),"duplicate?",IF(COUNTIFS($A:A,A1826,E:E,E1826)&gt;1,"yes","no"))</f>
        <v>duplicate?</v>
      </c>
      <c r="K1826" s="97" t="str">
        <f ca="1">IF(J1826="","Date",IF(J1826&lt;&gt;"",IF(K1826="Date",NOW(),K1826),""))</f>
        <v>Date</v>
      </c>
    </row>
    <row r="1827" spans="2:11">
      <c r="B1827" s="97" t="str">
        <f ca="1">IF(A1827="","Date",IF(A1827&lt;&gt;"",IF(B1827="Date",NOW(),B1827),""))</f>
        <v>Date</v>
      </c>
      <c r="C1827" s="19" t="str">
        <f>IF(ISBLANK(A1827),"Name",IF(ISNA(VLOOKUP(A1827,'Master List'!A:C,2,FALSE)), "Not Found", VLOOKUP(A1827,'Master List'!A:C,2,FALSE)))</f>
        <v>Name</v>
      </c>
      <c r="D1827" s="19" t="str">
        <f>IF(ISBLANK(A1827), "Email",IF(ISNA(VLOOKUP(A1827,'Master List'!A:C,3,FALSE)), "Not Found", VLOOKUP(A1827,'Master List'!A:C,3,FALSE)))</f>
        <v>Email</v>
      </c>
      <c r="F1827" s="4" t="str">
        <f>IF(OR(A1827="",E1827="","",A1827="?",E1827="?"),"duplicate?",IF(COUNTIFS($A:A,A1827,E:E,E1827)&gt;1,"yes","no"))</f>
        <v>duplicate?</v>
      </c>
      <c r="K1827" s="97" t="str">
        <f ca="1">IF(J1827="","Date",IF(J1827&lt;&gt;"",IF(K1827="Date",NOW(),K1827),""))</f>
        <v>Date</v>
      </c>
    </row>
    <row r="1828" spans="2:11">
      <c r="B1828" s="97" t="str">
        <f ca="1">IF(A1828="","Date",IF(A1828&lt;&gt;"",IF(B1828="Date",NOW(),B1828),""))</f>
        <v>Date</v>
      </c>
      <c r="C1828" s="19" t="str">
        <f>IF(ISBLANK(A1828),"Name",IF(ISNA(VLOOKUP(A1828,'Master List'!A:C,2,FALSE)), "Not Found", VLOOKUP(A1828,'Master List'!A:C,2,FALSE)))</f>
        <v>Name</v>
      </c>
      <c r="D1828" s="19" t="str">
        <f>IF(ISBLANK(A1828), "Email",IF(ISNA(VLOOKUP(A1828,'Master List'!A:C,3,FALSE)), "Not Found", VLOOKUP(A1828,'Master List'!A:C,3,FALSE)))</f>
        <v>Email</v>
      </c>
      <c r="F1828" s="4" t="str">
        <f>IF(OR(A1828="",E1828="","",A1828="?",E1828="?"),"duplicate?",IF(COUNTIFS($A:A,A1828,E:E,E1828)&gt;1,"yes","no"))</f>
        <v>duplicate?</v>
      </c>
      <c r="K1828" s="97" t="str">
        <f ca="1">IF(J1828="","Date",IF(J1828&lt;&gt;"",IF(K1828="Date",NOW(),K1828),""))</f>
        <v>Date</v>
      </c>
    </row>
    <row r="1829" spans="2:11">
      <c r="B1829" s="97" t="str">
        <f ca="1">IF(A1829="","Date",IF(A1829&lt;&gt;"",IF(B1829="Date",NOW(),B1829),""))</f>
        <v>Date</v>
      </c>
      <c r="C1829" s="19" t="str">
        <f>IF(ISBLANK(A1829),"Name",IF(ISNA(VLOOKUP(A1829,'Master List'!A:C,2,FALSE)), "Not Found", VLOOKUP(A1829,'Master List'!A:C,2,FALSE)))</f>
        <v>Name</v>
      </c>
      <c r="D1829" s="19" t="str">
        <f>IF(ISBLANK(A1829), "Email",IF(ISNA(VLOOKUP(A1829,'Master List'!A:C,3,FALSE)), "Not Found", VLOOKUP(A1829,'Master List'!A:C,3,FALSE)))</f>
        <v>Email</v>
      </c>
      <c r="F1829" s="4" t="str">
        <f>IF(OR(A1829="",E1829="","",A1829="?",E1829="?"),"duplicate?",IF(COUNTIFS($A:A,A1829,E:E,E1829)&gt;1,"yes","no"))</f>
        <v>duplicate?</v>
      </c>
      <c r="K1829" s="97" t="str">
        <f ca="1">IF(J1829="","Date",IF(J1829&lt;&gt;"",IF(K1829="Date",NOW(),K1829),""))</f>
        <v>Date</v>
      </c>
    </row>
    <row r="1830" spans="2:11">
      <c r="B1830" s="97" t="str">
        <f ca="1">IF(A1830="","Date",IF(A1830&lt;&gt;"",IF(B1830="Date",NOW(),B1830),""))</f>
        <v>Date</v>
      </c>
      <c r="C1830" s="19" t="str">
        <f>IF(ISBLANK(A1830),"Name",IF(ISNA(VLOOKUP(A1830,'Master List'!A:C,2,FALSE)), "Not Found", VLOOKUP(A1830,'Master List'!A:C,2,FALSE)))</f>
        <v>Name</v>
      </c>
      <c r="D1830" s="19" t="str">
        <f>IF(ISBLANK(A1830), "Email",IF(ISNA(VLOOKUP(A1830,'Master List'!A:C,3,FALSE)), "Not Found", VLOOKUP(A1830,'Master List'!A:C,3,FALSE)))</f>
        <v>Email</v>
      </c>
      <c r="F1830" s="4" t="str">
        <f>IF(OR(A1830="",E1830="","",A1830="?",E1830="?"),"duplicate?",IF(COUNTIFS($A:A,A1830,E:E,E1830)&gt;1,"yes","no"))</f>
        <v>duplicate?</v>
      </c>
      <c r="K1830" s="97" t="str">
        <f ca="1">IF(J1830="","Date",IF(J1830&lt;&gt;"",IF(K1830="Date",NOW(),K1830),""))</f>
        <v>Date</v>
      </c>
    </row>
    <row r="1831" spans="2:11">
      <c r="B1831" s="97" t="str">
        <f ca="1">IF(A1831="","Date",IF(A1831&lt;&gt;"",IF(B1831="Date",NOW(),B1831),""))</f>
        <v>Date</v>
      </c>
      <c r="C1831" s="19" t="str">
        <f>IF(ISBLANK(A1831),"Name",IF(ISNA(VLOOKUP(A1831,'Master List'!A:C,2,FALSE)), "Not Found", VLOOKUP(A1831,'Master List'!A:C,2,FALSE)))</f>
        <v>Name</v>
      </c>
      <c r="D1831" s="19" t="str">
        <f>IF(ISBLANK(A1831), "Email",IF(ISNA(VLOOKUP(A1831,'Master List'!A:C,3,FALSE)), "Not Found", VLOOKUP(A1831,'Master List'!A:C,3,FALSE)))</f>
        <v>Email</v>
      </c>
      <c r="F1831" s="4" t="str">
        <f>IF(OR(A1831="",E1831="","",A1831="?",E1831="?"),"duplicate?",IF(COUNTIFS($A:A,A1831,E:E,E1831)&gt;1,"yes","no"))</f>
        <v>duplicate?</v>
      </c>
      <c r="K1831" s="97" t="str">
        <f ca="1">IF(J1831="","Date",IF(J1831&lt;&gt;"",IF(K1831="Date",NOW(),K1831),""))</f>
        <v>Date</v>
      </c>
    </row>
    <row r="1832" spans="2:11">
      <c r="B1832" s="97" t="str">
        <f ca="1">IF(A1832="","Date",IF(A1832&lt;&gt;"",IF(B1832="Date",NOW(),B1832),""))</f>
        <v>Date</v>
      </c>
      <c r="C1832" s="19" t="str">
        <f>IF(ISBLANK(A1832),"Name",IF(ISNA(VLOOKUP(A1832,'Master List'!A:C,2,FALSE)), "Not Found", VLOOKUP(A1832,'Master List'!A:C,2,FALSE)))</f>
        <v>Name</v>
      </c>
      <c r="D1832" s="19" t="str">
        <f>IF(ISBLANK(A1832), "Email",IF(ISNA(VLOOKUP(A1832,'Master List'!A:C,3,FALSE)), "Not Found", VLOOKUP(A1832,'Master List'!A:C,3,FALSE)))</f>
        <v>Email</v>
      </c>
      <c r="F1832" s="4" t="str">
        <f>IF(OR(A1832="",E1832="","",A1832="?",E1832="?"),"duplicate?",IF(COUNTIFS($A:A,A1832,E:E,E1832)&gt;1,"yes","no"))</f>
        <v>duplicate?</v>
      </c>
      <c r="K1832" s="97" t="str">
        <f ca="1">IF(J1832="","Date",IF(J1832&lt;&gt;"",IF(K1832="Date",NOW(),K1832),""))</f>
        <v>Date</v>
      </c>
    </row>
    <row r="1833" spans="2:11">
      <c r="B1833" s="97" t="str">
        <f ca="1">IF(A1833="","Date",IF(A1833&lt;&gt;"",IF(B1833="Date",NOW(),B1833),""))</f>
        <v>Date</v>
      </c>
      <c r="C1833" s="19" t="str">
        <f>IF(ISBLANK(A1833),"Name",IF(ISNA(VLOOKUP(A1833,'Master List'!A:C,2,FALSE)), "Not Found", VLOOKUP(A1833,'Master List'!A:C,2,FALSE)))</f>
        <v>Name</v>
      </c>
      <c r="D1833" s="19" t="str">
        <f>IF(ISBLANK(A1833), "Email",IF(ISNA(VLOOKUP(A1833,'Master List'!A:C,3,FALSE)), "Not Found", VLOOKUP(A1833,'Master List'!A:C,3,FALSE)))</f>
        <v>Email</v>
      </c>
      <c r="F1833" s="4" t="str">
        <f>IF(OR(A1833="",E1833="","",A1833="?",E1833="?"),"duplicate?",IF(COUNTIFS($A:A,A1833,E:E,E1833)&gt;1,"yes","no"))</f>
        <v>duplicate?</v>
      </c>
      <c r="K1833" s="97" t="str">
        <f ca="1">IF(J1833="","Date",IF(J1833&lt;&gt;"",IF(K1833="Date",NOW(),K1833),""))</f>
        <v>Date</v>
      </c>
    </row>
    <row r="1834" spans="2:11">
      <c r="B1834" s="97" t="str">
        <f ca="1">IF(A1834="","Date",IF(A1834&lt;&gt;"",IF(B1834="Date",NOW(),B1834),""))</f>
        <v>Date</v>
      </c>
      <c r="C1834" s="19" t="str">
        <f>IF(ISBLANK(A1834),"Name",IF(ISNA(VLOOKUP(A1834,'Master List'!A:C,2,FALSE)), "Not Found", VLOOKUP(A1834,'Master List'!A:C,2,FALSE)))</f>
        <v>Name</v>
      </c>
      <c r="D1834" s="19" t="str">
        <f>IF(ISBLANK(A1834), "Email",IF(ISNA(VLOOKUP(A1834,'Master List'!A:C,3,FALSE)), "Not Found", VLOOKUP(A1834,'Master List'!A:C,3,FALSE)))</f>
        <v>Email</v>
      </c>
      <c r="F1834" s="4" t="str">
        <f>IF(OR(A1834="",E1834="","",A1834="?",E1834="?"),"duplicate?",IF(COUNTIFS($A:A,A1834,E:E,E1834)&gt;1,"yes","no"))</f>
        <v>duplicate?</v>
      </c>
      <c r="K1834" s="97" t="str">
        <f ca="1">IF(J1834="","Date",IF(J1834&lt;&gt;"",IF(K1834="Date",NOW(),K1834),""))</f>
        <v>Date</v>
      </c>
    </row>
    <row r="1835" spans="2:11">
      <c r="B1835" s="97" t="str">
        <f ca="1">IF(A1835="","Date",IF(A1835&lt;&gt;"",IF(B1835="Date",NOW(),B1835),""))</f>
        <v>Date</v>
      </c>
      <c r="C1835" s="19" t="str">
        <f>IF(ISBLANK(A1835),"Name",IF(ISNA(VLOOKUP(A1835,'Master List'!A:C,2,FALSE)), "Not Found", VLOOKUP(A1835,'Master List'!A:C,2,FALSE)))</f>
        <v>Name</v>
      </c>
      <c r="D1835" s="19" t="str">
        <f>IF(ISBLANK(A1835), "Email",IF(ISNA(VLOOKUP(A1835,'Master List'!A:C,3,FALSE)), "Not Found", VLOOKUP(A1835,'Master List'!A:C,3,FALSE)))</f>
        <v>Email</v>
      </c>
      <c r="F1835" s="4" t="str">
        <f>IF(OR(A1835="",E1835="","",A1835="?",E1835="?"),"duplicate?",IF(COUNTIFS($A:A,A1835,E:E,E1835)&gt;1,"yes","no"))</f>
        <v>duplicate?</v>
      </c>
      <c r="K1835" s="97" t="str">
        <f ca="1">IF(J1835="","Date",IF(J1835&lt;&gt;"",IF(K1835="Date",NOW(),K1835),""))</f>
        <v>Date</v>
      </c>
    </row>
    <row r="1836" spans="2:11">
      <c r="B1836" s="97" t="str">
        <f ca="1">IF(A1836="","Date",IF(A1836&lt;&gt;"",IF(B1836="Date",NOW(),B1836),""))</f>
        <v>Date</v>
      </c>
      <c r="C1836" s="19" t="str">
        <f>IF(ISBLANK(A1836),"Name",IF(ISNA(VLOOKUP(A1836,'Master List'!A:C,2,FALSE)), "Not Found", VLOOKUP(A1836,'Master List'!A:C,2,FALSE)))</f>
        <v>Name</v>
      </c>
      <c r="D1836" s="19" t="str">
        <f>IF(ISBLANK(A1836), "Email",IF(ISNA(VLOOKUP(A1836,'Master List'!A:C,3,FALSE)), "Not Found", VLOOKUP(A1836,'Master List'!A:C,3,FALSE)))</f>
        <v>Email</v>
      </c>
      <c r="F1836" s="4" t="str">
        <f>IF(OR(A1836="",E1836="","",A1836="?",E1836="?"),"duplicate?",IF(COUNTIFS($A:A,A1836,E:E,E1836)&gt;1,"yes","no"))</f>
        <v>duplicate?</v>
      </c>
      <c r="K1836" s="97" t="str">
        <f ca="1">IF(J1836="","Date",IF(J1836&lt;&gt;"",IF(K1836="Date",NOW(),K1836),""))</f>
        <v>Date</v>
      </c>
    </row>
    <row r="1837" spans="2:11">
      <c r="B1837" s="97" t="str">
        <f ca="1">IF(A1837="","Date",IF(A1837&lt;&gt;"",IF(B1837="Date",NOW(),B1837),""))</f>
        <v>Date</v>
      </c>
      <c r="C1837" s="19" t="str">
        <f>IF(ISBLANK(A1837),"Name",IF(ISNA(VLOOKUP(A1837,'Master List'!A:C,2,FALSE)), "Not Found", VLOOKUP(A1837,'Master List'!A:C,2,FALSE)))</f>
        <v>Name</v>
      </c>
      <c r="D1837" s="19" t="str">
        <f>IF(ISBLANK(A1837), "Email",IF(ISNA(VLOOKUP(A1837,'Master List'!A:C,3,FALSE)), "Not Found", VLOOKUP(A1837,'Master List'!A:C,3,FALSE)))</f>
        <v>Email</v>
      </c>
      <c r="F1837" s="4" t="str">
        <f>IF(OR(A1837="",E1837="","",A1837="?",E1837="?"),"duplicate?",IF(COUNTIFS($A:A,A1837,E:E,E1837)&gt;1,"yes","no"))</f>
        <v>duplicate?</v>
      </c>
      <c r="K1837" s="97" t="str">
        <f ca="1">IF(J1837="","Date",IF(J1837&lt;&gt;"",IF(K1837="Date",NOW(),K1837),""))</f>
        <v>Date</v>
      </c>
    </row>
    <row r="1838" spans="2:11">
      <c r="B1838" s="97" t="str">
        <f ca="1">IF(A1838="","Date",IF(A1838&lt;&gt;"",IF(B1838="Date",NOW(),B1838),""))</f>
        <v>Date</v>
      </c>
      <c r="C1838" s="19" t="str">
        <f>IF(ISBLANK(A1838),"Name",IF(ISNA(VLOOKUP(A1838,'Master List'!A:C,2,FALSE)), "Not Found", VLOOKUP(A1838,'Master List'!A:C,2,FALSE)))</f>
        <v>Name</v>
      </c>
      <c r="D1838" s="19" t="str">
        <f>IF(ISBLANK(A1838), "Email",IF(ISNA(VLOOKUP(A1838,'Master List'!A:C,3,FALSE)), "Not Found", VLOOKUP(A1838,'Master List'!A:C,3,FALSE)))</f>
        <v>Email</v>
      </c>
      <c r="F1838" s="4" t="str">
        <f>IF(OR(A1838="",E1838="","",A1838="?",E1838="?"),"duplicate?",IF(COUNTIFS($A:A,A1838,E:E,E1838)&gt;1,"yes","no"))</f>
        <v>duplicate?</v>
      </c>
      <c r="K1838" s="97" t="str">
        <f ca="1">IF(J1838="","Date",IF(J1838&lt;&gt;"",IF(K1838="Date",NOW(),K1838),""))</f>
        <v>Date</v>
      </c>
    </row>
    <row r="1839" spans="2:11">
      <c r="B1839" s="97" t="str">
        <f ca="1">IF(A1839="","Date",IF(A1839&lt;&gt;"",IF(B1839="Date",NOW(),B1839),""))</f>
        <v>Date</v>
      </c>
      <c r="C1839" s="19" t="str">
        <f>IF(ISBLANK(A1839),"Name",IF(ISNA(VLOOKUP(A1839,'Master List'!A:C,2,FALSE)), "Not Found", VLOOKUP(A1839,'Master List'!A:C,2,FALSE)))</f>
        <v>Name</v>
      </c>
      <c r="D1839" s="19" t="str">
        <f>IF(ISBLANK(A1839), "Email",IF(ISNA(VLOOKUP(A1839,'Master List'!A:C,3,FALSE)), "Not Found", VLOOKUP(A1839,'Master List'!A:C,3,FALSE)))</f>
        <v>Email</v>
      </c>
      <c r="F1839" s="4" t="str">
        <f>IF(OR(A1839="",E1839="","",A1839="?",E1839="?"),"duplicate?",IF(COUNTIFS($A:A,A1839,E:E,E1839)&gt;1,"yes","no"))</f>
        <v>duplicate?</v>
      </c>
      <c r="K1839" s="97" t="str">
        <f ca="1">IF(J1839="","Date",IF(J1839&lt;&gt;"",IF(K1839="Date",NOW(),K1839),""))</f>
        <v>Date</v>
      </c>
    </row>
    <row r="1840" spans="2:11">
      <c r="B1840" s="97" t="str">
        <f ca="1">IF(A1840="","Date",IF(A1840&lt;&gt;"",IF(B1840="Date",NOW(),B1840),""))</f>
        <v>Date</v>
      </c>
      <c r="C1840" s="19" t="str">
        <f>IF(ISBLANK(A1840),"Name",IF(ISNA(VLOOKUP(A1840,'Master List'!A:C,2,FALSE)), "Not Found", VLOOKUP(A1840,'Master List'!A:C,2,FALSE)))</f>
        <v>Name</v>
      </c>
      <c r="D1840" s="19" t="str">
        <f>IF(ISBLANK(A1840), "Email",IF(ISNA(VLOOKUP(A1840,'Master List'!A:C,3,FALSE)), "Not Found", VLOOKUP(A1840,'Master List'!A:C,3,FALSE)))</f>
        <v>Email</v>
      </c>
      <c r="F1840" s="4" t="str">
        <f>IF(OR(A1840="",E1840="","",A1840="?",E1840="?"),"duplicate?",IF(COUNTIFS($A:A,A1840,E:E,E1840)&gt;1,"yes","no"))</f>
        <v>duplicate?</v>
      </c>
      <c r="K1840" s="97" t="str">
        <f ca="1">IF(J1840="","Date",IF(J1840&lt;&gt;"",IF(K1840="Date",NOW(),K1840),""))</f>
        <v>Date</v>
      </c>
    </row>
    <row r="1841" spans="2:11">
      <c r="B1841" s="97" t="str">
        <f ca="1">IF(A1841="","Date",IF(A1841&lt;&gt;"",IF(B1841="Date",NOW(),B1841),""))</f>
        <v>Date</v>
      </c>
      <c r="C1841" s="19" t="str">
        <f>IF(ISBLANK(A1841),"Name",IF(ISNA(VLOOKUP(A1841,'Master List'!A:C,2,FALSE)), "Not Found", VLOOKUP(A1841,'Master List'!A:C,2,FALSE)))</f>
        <v>Name</v>
      </c>
      <c r="D1841" s="19" t="str">
        <f>IF(ISBLANK(A1841), "Email",IF(ISNA(VLOOKUP(A1841,'Master List'!A:C,3,FALSE)), "Not Found", VLOOKUP(A1841,'Master List'!A:C,3,FALSE)))</f>
        <v>Email</v>
      </c>
      <c r="F1841" s="4" t="str">
        <f>IF(OR(A1841="",E1841="","",A1841="?",E1841="?"),"duplicate?",IF(COUNTIFS($A:A,A1841,E:E,E1841)&gt;1,"yes","no"))</f>
        <v>duplicate?</v>
      </c>
      <c r="K1841" s="97" t="str">
        <f ca="1">IF(J1841="","Date",IF(J1841&lt;&gt;"",IF(K1841="Date",NOW(),K1841),""))</f>
        <v>Date</v>
      </c>
    </row>
    <row r="1842" spans="2:11">
      <c r="B1842" s="97" t="str">
        <f ca="1">IF(A1842="","Date",IF(A1842&lt;&gt;"",IF(B1842="Date",NOW(),B1842),""))</f>
        <v>Date</v>
      </c>
      <c r="C1842" s="19" t="str">
        <f>IF(ISBLANK(A1842),"Name",IF(ISNA(VLOOKUP(A1842,'Master List'!A:C,2,FALSE)), "Not Found", VLOOKUP(A1842,'Master List'!A:C,2,FALSE)))</f>
        <v>Name</v>
      </c>
      <c r="D1842" s="19" t="str">
        <f>IF(ISBLANK(A1842), "Email",IF(ISNA(VLOOKUP(A1842,'Master List'!A:C,3,FALSE)), "Not Found", VLOOKUP(A1842,'Master List'!A:C,3,FALSE)))</f>
        <v>Email</v>
      </c>
      <c r="F1842" s="4" t="str">
        <f>IF(OR(A1842="",E1842="","",A1842="?",E1842="?"),"duplicate?",IF(COUNTIFS($A:A,A1842,E:E,E1842)&gt;1,"yes","no"))</f>
        <v>duplicate?</v>
      </c>
      <c r="K1842" s="97" t="str">
        <f ca="1">IF(J1842="","Date",IF(J1842&lt;&gt;"",IF(K1842="Date",NOW(),K1842),""))</f>
        <v>Date</v>
      </c>
    </row>
    <row r="1843" spans="2:11">
      <c r="B1843" s="97" t="str">
        <f ca="1">IF(A1843="","Date",IF(A1843&lt;&gt;"",IF(B1843="Date",NOW(),B1843),""))</f>
        <v>Date</v>
      </c>
      <c r="C1843" s="19" t="str">
        <f>IF(ISBLANK(A1843),"Name",IF(ISNA(VLOOKUP(A1843,'Master List'!A:C,2,FALSE)), "Not Found", VLOOKUP(A1843,'Master List'!A:C,2,FALSE)))</f>
        <v>Name</v>
      </c>
      <c r="D1843" s="19" t="str">
        <f>IF(ISBLANK(A1843), "Email",IF(ISNA(VLOOKUP(A1843,'Master List'!A:C,3,FALSE)), "Not Found", VLOOKUP(A1843,'Master List'!A:C,3,FALSE)))</f>
        <v>Email</v>
      </c>
      <c r="F1843" s="4" t="str">
        <f>IF(OR(A1843="",E1843="","",A1843="?",E1843="?"),"duplicate?",IF(COUNTIFS($A:A,A1843,E:E,E1843)&gt;1,"yes","no"))</f>
        <v>duplicate?</v>
      </c>
      <c r="K1843" s="97" t="str">
        <f ca="1">IF(J1843="","Date",IF(J1843&lt;&gt;"",IF(K1843="Date",NOW(),K1843),""))</f>
        <v>Date</v>
      </c>
    </row>
    <row r="1844" spans="2:11">
      <c r="B1844" s="97" t="str">
        <f ca="1">IF(A1844="","Date",IF(A1844&lt;&gt;"",IF(B1844="Date",NOW(),B1844),""))</f>
        <v>Date</v>
      </c>
      <c r="C1844" s="19" t="str">
        <f>IF(ISBLANK(A1844),"Name",IF(ISNA(VLOOKUP(A1844,'Master List'!A:C,2,FALSE)), "Not Found", VLOOKUP(A1844,'Master List'!A:C,2,FALSE)))</f>
        <v>Name</v>
      </c>
      <c r="D1844" s="19" t="str">
        <f>IF(ISBLANK(A1844), "Email",IF(ISNA(VLOOKUP(A1844,'Master List'!A:C,3,FALSE)), "Not Found", VLOOKUP(A1844,'Master List'!A:C,3,FALSE)))</f>
        <v>Email</v>
      </c>
      <c r="F1844" s="4" t="str">
        <f>IF(OR(A1844="",E1844="","",A1844="?",E1844="?"),"duplicate?",IF(COUNTIFS($A:A,A1844,E:E,E1844)&gt;1,"yes","no"))</f>
        <v>duplicate?</v>
      </c>
      <c r="K1844" s="97" t="str">
        <f ca="1">IF(J1844="","Date",IF(J1844&lt;&gt;"",IF(K1844="Date",NOW(),K1844),""))</f>
        <v>Date</v>
      </c>
    </row>
    <row r="1845" spans="2:11">
      <c r="B1845" s="97" t="str">
        <f ca="1">IF(A1845="","Date",IF(A1845&lt;&gt;"",IF(B1845="Date",NOW(),B1845),""))</f>
        <v>Date</v>
      </c>
      <c r="C1845" s="19" t="str">
        <f>IF(ISBLANK(A1845),"Name",IF(ISNA(VLOOKUP(A1845,'Master List'!A:C,2,FALSE)), "Not Found", VLOOKUP(A1845,'Master List'!A:C,2,FALSE)))</f>
        <v>Name</v>
      </c>
      <c r="D1845" s="19" t="str">
        <f>IF(ISBLANK(A1845), "Email",IF(ISNA(VLOOKUP(A1845,'Master List'!A:C,3,FALSE)), "Not Found", VLOOKUP(A1845,'Master List'!A:C,3,FALSE)))</f>
        <v>Email</v>
      </c>
      <c r="F1845" s="4" t="str">
        <f>IF(OR(A1845="",E1845="","",A1845="?",E1845="?"),"duplicate?",IF(COUNTIFS($A:A,A1845,E:E,E1845)&gt;1,"yes","no"))</f>
        <v>duplicate?</v>
      </c>
      <c r="K1845" s="97" t="str">
        <f ca="1">IF(J1845="","Date",IF(J1845&lt;&gt;"",IF(K1845="Date",NOW(),K1845),""))</f>
        <v>Date</v>
      </c>
    </row>
    <row r="1846" spans="2:11">
      <c r="B1846" s="97" t="str">
        <f ca="1">IF(A1846="","Date",IF(A1846&lt;&gt;"",IF(B1846="Date",NOW(),B1846),""))</f>
        <v>Date</v>
      </c>
      <c r="C1846" s="19" t="str">
        <f>IF(ISBLANK(A1846),"Name",IF(ISNA(VLOOKUP(A1846,'Master List'!A:C,2,FALSE)), "Not Found", VLOOKUP(A1846,'Master List'!A:C,2,FALSE)))</f>
        <v>Name</v>
      </c>
      <c r="D1846" s="19" t="str">
        <f>IF(ISBLANK(A1846), "Email",IF(ISNA(VLOOKUP(A1846,'Master List'!A:C,3,FALSE)), "Not Found", VLOOKUP(A1846,'Master List'!A:C,3,FALSE)))</f>
        <v>Email</v>
      </c>
      <c r="F1846" s="4" t="str">
        <f>IF(OR(A1846="",E1846="","",A1846="?",E1846="?"),"duplicate?",IF(COUNTIFS($A:A,A1846,E:E,E1846)&gt;1,"yes","no"))</f>
        <v>duplicate?</v>
      </c>
      <c r="K1846" s="97" t="str">
        <f ca="1">IF(J1846="","Date",IF(J1846&lt;&gt;"",IF(K1846="Date",NOW(),K1846),""))</f>
        <v>Date</v>
      </c>
    </row>
    <row r="1847" spans="2:11">
      <c r="B1847" s="97" t="str">
        <f ca="1">IF(A1847="","Date",IF(A1847&lt;&gt;"",IF(B1847="Date",NOW(),B1847),""))</f>
        <v>Date</v>
      </c>
      <c r="C1847" s="19" t="str">
        <f>IF(ISBLANK(A1847),"Name",IF(ISNA(VLOOKUP(A1847,'Master List'!A:C,2,FALSE)), "Not Found", VLOOKUP(A1847,'Master List'!A:C,2,FALSE)))</f>
        <v>Name</v>
      </c>
      <c r="D1847" s="19" t="str">
        <f>IF(ISBLANK(A1847), "Email",IF(ISNA(VLOOKUP(A1847,'Master List'!A:C,3,FALSE)), "Not Found", VLOOKUP(A1847,'Master List'!A:C,3,FALSE)))</f>
        <v>Email</v>
      </c>
      <c r="F1847" s="4" t="str">
        <f>IF(OR(A1847="",E1847="","",A1847="?",E1847="?"),"duplicate?",IF(COUNTIFS($A:A,A1847,E:E,E1847)&gt;1,"yes","no"))</f>
        <v>duplicate?</v>
      </c>
      <c r="K1847" s="97" t="str">
        <f ca="1">IF(J1847="","Date",IF(J1847&lt;&gt;"",IF(K1847="Date",NOW(),K1847),""))</f>
        <v>Date</v>
      </c>
    </row>
    <row r="1848" spans="2:11">
      <c r="B1848" s="97" t="str">
        <f ca="1">IF(A1848="","Date",IF(A1848&lt;&gt;"",IF(B1848="Date",NOW(),B1848),""))</f>
        <v>Date</v>
      </c>
      <c r="C1848" s="19" t="str">
        <f>IF(ISBLANK(A1848),"Name",IF(ISNA(VLOOKUP(A1848,'Master List'!A:C,2,FALSE)), "Not Found", VLOOKUP(A1848,'Master List'!A:C,2,FALSE)))</f>
        <v>Name</v>
      </c>
      <c r="D1848" s="19" t="str">
        <f>IF(ISBLANK(A1848), "Email",IF(ISNA(VLOOKUP(A1848,'Master List'!A:C,3,FALSE)), "Not Found", VLOOKUP(A1848,'Master List'!A:C,3,FALSE)))</f>
        <v>Email</v>
      </c>
      <c r="F1848" s="4" t="str">
        <f>IF(OR(A1848="",E1848="","",A1848="?",E1848="?"),"duplicate?",IF(COUNTIFS($A:A,A1848,E:E,E1848)&gt;1,"yes","no"))</f>
        <v>duplicate?</v>
      </c>
      <c r="K1848" s="97" t="str">
        <f ca="1">IF(J1848="","Date",IF(J1848&lt;&gt;"",IF(K1848="Date",NOW(),K1848),""))</f>
        <v>Date</v>
      </c>
    </row>
    <row r="1849" spans="2:11">
      <c r="B1849" s="97" t="str">
        <f ca="1">IF(A1849="","Date",IF(A1849&lt;&gt;"",IF(B1849="Date",NOW(),B1849),""))</f>
        <v>Date</v>
      </c>
      <c r="C1849" s="19" t="str">
        <f>IF(ISBLANK(A1849),"Name",IF(ISNA(VLOOKUP(A1849,'Master List'!A:C,2,FALSE)), "Not Found", VLOOKUP(A1849,'Master List'!A:C,2,FALSE)))</f>
        <v>Name</v>
      </c>
      <c r="D1849" s="19" t="str">
        <f>IF(ISBLANK(A1849), "Email",IF(ISNA(VLOOKUP(A1849,'Master List'!A:C,3,FALSE)), "Not Found", VLOOKUP(A1849,'Master List'!A:C,3,FALSE)))</f>
        <v>Email</v>
      </c>
      <c r="F1849" s="4" t="str">
        <f>IF(OR(A1849="",E1849="","",A1849="?",E1849="?"),"duplicate?",IF(COUNTIFS($A:A,A1849,E:E,E1849)&gt;1,"yes","no"))</f>
        <v>duplicate?</v>
      </c>
      <c r="K1849" s="97" t="str">
        <f ca="1">IF(J1849="","Date",IF(J1849&lt;&gt;"",IF(K1849="Date",NOW(),K1849),""))</f>
        <v>Date</v>
      </c>
    </row>
    <row r="1850" spans="2:11">
      <c r="B1850" s="97" t="str">
        <f ca="1">IF(A1850="","Date",IF(A1850&lt;&gt;"",IF(B1850="Date",NOW(),B1850),""))</f>
        <v>Date</v>
      </c>
      <c r="C1850" s="19" t="str">
        <f>IF(ISBLANK(A1850),"Name",IF(ISNA(VLOOKUP(A1850,'Master List'!A:C,2,FALSE)), "Not Found", VLOOKUP(A1850,'Master List'!A:C,2,FALSE)))</f>
        <v>Name</v>
      </c>
      <c r="D1850" s="19" t="str">
        <f>IF(ISBLANK(A1850), "Email",IF(ISNA(VLOOKUP(A1850,'Master List'!A:C,3,FALSE)), "Not Found", VLOOKUP(A1850,'Master List'!A:C,3,FALSE)))</f>
        <v>Email</v>
      </c>
      <c r="F1850" s="4" t="str">
        <f>IF(OR(A1850="",E1850="","",A1850="?",E1850="?"),"duplicate?",IF(COUNTIFS($A:A,A1850,E:E,E1850)&gt;1,"yes","no"))</f>
        <v>duplicate?</v>
      </c>
      <c r="K1850" s="97" t="str">
        <f ca="1">IF(J1850="","Date",IF(J1850&lt;&gt;"",IF(K1850="Date",NOW(),K1850),""))</f>
        <v>Date</v>
      </c>
    </row>
    <row r="1851" spans="2:11">
      <c r="B1851" s="97" t="str">
        <f ca="1">IF(A1851="","Date",IF(A1851&lt;&gt;"",IF(B1851="Date",NOW(),B1851),""))</f>
        <v>Date</v>
      </c>
      <c r="C1851" s="19" t="str">
        <f>IF(ISBLANK(A1851),"Name",IF(ISNA(VLOOKUP(A1851,'Master List'!A:C,2,FALSE)), "Not Found", VLOOKUP(A1851,'Master List'!A:C,2,FALSE)))</f>
        <v>Name</v>
      </c>
      <c r="D1851" s="19" t="str">
        <f>IF(ISBLANK(A1851), "Email",IF(ISNA(VLOOKUP(A1851,'Master List'!A:C,3,FALSE)), "Not Found", VLOOKUP(A1851,'Master List'!A:C,3,FALSE)))</f>
        <v>Email</v>
      </c>
      <c r="F1851" s="4" t="str">
        <f>IF(OR(A1851="",E1851="","",A1851="?",E1851="?"),"duplicate?",IF(COUNTIFS($A:A,A1851,E:E,E1851)&gt;1,"yes","no"))</f>
        <v>duplicate?</v>
      </c>
      <c r="K1851" s="97" t="str">
        <f ca="1">IF(J1851="","Date",IF(J1851&lt;&gt;"",IF(K1851="Date",NOW(),K1851),""))</f>
        <v>Date</v>
      </c>
    </row>
    <row r="1852" spans="2:11">
      <c r="B1852" s="97" t="str">
        <f ca="1">IF(A1852="","Date",IF(A1852&lt;&gt;"",IF(B1852="Date",NOW(),B1852),""))</f>
        <v>Date</v>
      </c>
      <c r="C1852" s="19" t="str">
        <f>IF(ISBLANK(A1852),"Name",IF(ISNA(VLOOKUP(A1852,'Master List'!A:C,2,FALSE)), "Not Found", VLOOKUP(A1852,'Master List'!A:C,2,FALSE)))</f>
        <v>Name</v>
      </c>
      <c r="D1852" s="19" t="str">
        <f>IF(ISBLANK(A1852), "Email",IF(ISNA(VLOOKUP(A1852,'Master List'!A:C,3,FALSE)), "Not Found", VLOOKUP(A1852,'Master List'!A:C,3,FALSE)))</f>
        <v>Email</v>
      </c>
      <c r="F1852" s="4" t="str">
        <f>IF(OR(A1852="",E1852="","",A1852="?",E1852="?"),"duplicate?",IF(COUNTIFS($A:A,A1852,E:E,E1852)&gt;1,"yes","no"))</f>
        <v>duplicate?</v>
      </c>
      <c r="K1852" s="97" t="str">
        <f ca="1">IF(J1852="","Date",IF(J1852&lt;&gt;"",IF(K1852="Date",NOW(),K1852),""))</f>
        <v>Date</v>
      </c>
    </row>
    <row r="1853" spans="2:11">
      <c r="B1853" s="97" t="str">
        <f ca="1">IF(A1853="","Date",IF(A1853&lt;&gt;"",IF(B1853="Date",NOW(),B1853),""))</f>
        <v>Date</v>
      </c>
      <c r="C1853" s="19" t="str">
        <f>IF(ISBLANK(A1853),"Name",IF(ISNA(VLOOKUP(A1853,'Master List'!A:C,2,FALSE)), "Not Found", VLOOKUP(A1853,'Master List'!A:C,2,FALSE)))</f>
        <v>Name</v>
      </c>
      <c r="D1853" s="19" t="str">
        <f>IF(ISBLANK(A1853), "Email",IF(ISNA(VLOOKUP(A1853,'Master List'!A:C,3,FALSE)), "Not Found", VLOOKUP(A1853,'Master List'!A:C,3,FALSE)))</f>
        <v>Email</v>
      </c>
      <c r="F1853" s="4" t="str">
        <f>IF(OR(A1853="",E1853="","",A1853="?",E1853="?"),"duplicate?",IF(COUNTIFS($A:A,A1853,E:E,E1853)&gt;1,"yes","no"))</f>
        <v>duplicate?</v>
      </c>
      <c r="K1853" s="97" t="str">
        <f ca="1">IF(J1853="","Date",IF(J1853&lt;&gt;"",IF(K1853="Date",NOW(),K1853),""))</f>
        <v>Date</v>
      </c>
    </row>
    <row r="1854" spans="2:11">
      <c r="B1854" s="97" t="str">
        <f ca="1">IF(A1854="","Date",IF(A1854&lt;&gt;"",IF(B1854="Date",NOW(),B1854),""))</f>
        <v>Date</v>
      </c>
      <c r="C1854" s="19" t="str">
        <f>IF(ISBLANK(A1854),"Name",IF(ISNA(VLOOKUP(A1854,'Master List'!A:C,2,FALSE)), "Not Found", VLOOKUP(A1854,'Master List'!A:C,2,FALSE)))</f>
        <v>Name</v>
      </c>
      <c r="D1854" s="19" t="str">
        <f>IF(ISBLANK(A1854), "Email",IF(ISNA(VLOOKUP(A1854,'Master List'!A:C,3,FALSE)), "Not Found", VLOOKUP(A1854,'Master List'!A:C,3,FALSE)))</f>
        <v>Email</v>
      </c>
      <c r="F1854" s="4" t="str">
        <f>IF(OR(A1854="",E1854="","",A1854="?",E1854="?"),"duplicate?",IF(COUNTIFS($A:A,A1854,E:E,E1854)&gt;1,"yes","no"))</f>
        <v>duplicate?</v>
      </c>
      <c r="K1854" s="97" t="str">
        <f ca="1">IF(J1854="","Date",IF(J1854&lt;&gt;"",IF(K1854="Date",NOW(),K1854),""))</f>
        <v>Date</v>
      </c>
    </row>
    <row r="1855" spans="2:11">
      <c r="B1855" s="97" t="str">
        <f ca="1">IF(A1855="","Date",IF(A1855&lt;&gt;"",IF(B1855="Date",NOW(),B1855),""))</f>
        <v>Date</v>
      </c>
      <c r="C1855" s="19" t="str">
        <f>IF(ISBLANK(A1855),"Name",IF(ISNA(VLOOKUP(A1855,'Master List'!A:C,2,FALSE)), "Not Found", VLOOKUP(A1855,'Master List'!A:C,2,FALSE)))</f>
        <v>Name</v>
      </c>
      <c r="D1855" s="19" t="str">
        <f>IF(ISBLANK(A1855), "Email",IF(ISNA(VLOOKUP(A1855,'Master List'!A:C,3,FALSE)), "Not Found", VLOOKUP(A1855,'Master List'!A:C,3,FALSE)))</f>
        <v>Email</v>
      </c>
      <c r="F1855" s="4" t="str">
        <f>IF(OR(A1855="",E1855="","",A1855="?",E1855="?"),"duplicate?",IF(COUNTIFS($A:A,A1855,E:E,E1855)&gt;1,"yes","no"))</f>
        <v>duplicate?</v>
      </c>
      <c r="K1855" s="97" t="str">
        <f ca="1">IF(J1855="","Date",IF(J1855&lt;&gt;"",IF(K1855="Date",NOW(),K1855),""))</f>
        <v>Date</v>
      </c>
    </row>
    <row r="1856" spans="2:11">
      <c r="B1856" s="97" t="str">
        <f ca="1">IF(A1856="","Date",IF(A1856&lt;&gt;"",IF(B1856="Date",NOW(),B1856),""))</f>
        <v>Date</v>
      </c>
      <c r="C1856" s="19" t="str">
        <f>IF(ISBLANK(A1856),"Name",IF(ISNA(VLOOKUP(A1856,'Master List'!A:C,2,FALSE)), "Not Found", VLOOKUP(A1856,'Master List'!A:C,2,FALSE)))</f>
        <v>Name</v>
      </c>
      <c r="D1856" s="19" t="str">
        <f>IF(ISBLANK(A1856), "Email",IF(ISNA(VLOOKUP(A1856,'Master List'!A:C,3,FALSE)), "Not Found", VLOOKUP(A1856,'Master List'!A:C,3,FALSE)))</f>
        <v>Email</v>
      </c>
      <c r="F1856" s="4" t="str">
        <f>IF(OR(A1856="",E1856="","",A1856="?",E1856="?"),"duplicate?",IF(COUNTIFS($A:A,A1856,E:E,E1856)&gt;1,"yes","no"))</f>
        <v>duplicate?</v>
      </c>
      <c r="K1856" s="97" t="str">
        <f ca="1">IF(J1856="","Date",IF(J1856&lt;&gt;"",IF(K1856="Date",NOW(),K1856),""))</f>
        <v>Date</v>
      </c>
    </row>
    <row r="1857" spans="2:11">
      <c r="B1857" s="97" t="str">
        <f ca="1">IF(A1857="","Date",IF(A1857&lt;&gt;"",IF(B1857="Date",NOW(),B1857),""))</f>
        <v>Date</v>
      </c>
      <c r="C1857" s="19" t="str">
        <f>IF(ISBLANK(A1857),"Name",IF(ISNA(VLOOKUP(A1857,'Master List'!A:C,2,FALSE)), "Not Found", VLOOKUP(A1857,'Master List'!A:C,2,FALSE)))</f>
        <v>Name</v>
      </c>
      <c r="D1857" s="19" t="str">
        <f>IF(ISBLANK(A1857), "Email",IF(ISNA(VLOOKUP(A1857,'Master List'!A:C,3,FALSE)), "Not Found", VLOOKUP(A1857,'Master List'!A:C,3,FALSE)))</f>
        <v>Email</v>
      </c>
      <c r="F1857" s="4" t="str">
        <f>IF(OR(A1857="",E1857="","",A1857="?",E1857="?"),"duplicate?",IF(COUNTIFS($A:A,A1857,E:E,E1857)&gt;1,"yes","no"))</f>
        <v>duplicate?</v>
      </c>
      <c r="K1857" s="97" t="str">
        <f ca="1">IF(J1857="","Date",IF(J1857&lt;&gt;"",IF(K1857="Date",NOW(),K1857),""))</f>
        <v>Date</v>
      </c>
    </row>
    <row r="1858" spans="2:11">
      <c r="B1858" s="97" t="str">
        <f ca="1">IF(A1858="","Date",IF(A1858&lt;&gt;"",IF(B1858="Date",NOW(),B1858),""))</f>
        <v>Date</v>
      </c>
      <c r="C1858" s="19" t="str">
        <f>IF(ISBLANK(A1858),"Name",IF(ISNA(VLOOKUP(A1858,'Master List'!A:C,2,FALSE)), "Not Found", VLOOKUP(A1858,'Master List'!A:C,2,FALSE)))</f>
        <v>Name</v>
      </c>
      <c r="D1858" s="19" t="str">
        <f>IF(ISBLANK(A1858), "Email",IF(ISNA(VLOOKUP(A1858,'Master List'!A:C,3,FALSE)), "Not Found", VLOOKUP(A1858,'Master List'!A:C,3,FALSE)))</f>
        <v>Email</v>
      </c>
      <c r="F1858" s="4" t="str">
        <f>IF(OR(A1858="",E1858="","",A1858="?",E1858="?"),"duplicate?",IF(COUNTIFS($A:A,A1858,E:E,E1858)&gt;1,"yes","no"))</f>
        <v>duplicate?</v>
      </c>
      <c r="K1858" s="97" t="str">
        <f ca="1">IF(J1858="","Date",IF(J1858&lt;&gt;"",IF(K1858="Date",NOW(),K1858),""))</f>
        <v>Date</v>
      </c>
    </row>
    <row r="1859" spans="2:11">
      <c r="B1859" s="97" t="str">
        <f ca="1">IF(A1859="","Date",IF(A1859&lt;&gt;"",IF(B1859="Date",NOW(),B1859),""))</f>
        <v>Date</v>
      </c>
      <c r="C1859" s="19" t="str">
        <f>IF(ISBLANK(A1859),"Name",IF(ISNA(VLOOKUP(A1859,'Master List'!A:C,2,FALSE)), "Not Found", VLOOKUP(A1859,'Master List'!A:C,2,FALSE)))</f>
        <v>Name</v>
      </c>
      <c r="D1859" s="19" t="str">
        <f>IF(ISBLANK(A1859), "Email",IF(ISNA(VLOOKUP(A1859,'Master List'!A:C,3,FALSE)), "Not Found", VLOOKUP(A1859,'Master List'!A:C,3,FALSE)))</f>
        <v>Email</v>
      </c>
      <c r="F1859" s="4" t="str">
        <f>IF(OR(A1859="",E1859="","",A1859="?",E1859="?"),"duplicate?",IF(COUNTIFS($A:A,A1859,E:E,E1859)&gt;1,"yes","no"))</f>
        <v>duplicate?</v>
      </c>
      <c r="K1859" s="97" t="str">
        <f ca="1">IF(J1859="","Date",IF(J1859&lt;&gt;"",IF(K1859="Date",NOW(),K1859),""))</f>
        <v>Date</v>
      </c>
    </row>
    <row r="1860" spans="2:11">
      <c r="B1860" s="97" t="str">
        <f ca="1">IF(A1860="","Date",IF(A1860&lt;&gt;"",IF(B1860="Date",NOW(),B1860),""))</f>
        <v>Date</v>
      </c>
      <c r="C1860" s="19" t="str">
        <f>IF(ISBLANK(A1860),"Name",IF(ISNA(VLOOKUP(A1860,'Master List'!A:C,2,FALSE)), "Not Found", VLOOKUP(A1860,'Master List'!A:C,2,FALSE)))</f>
        <v>Name</v>
      </c>
      <c r="D1860" s="19" t="str">
        <f>IF(ISBLANK(A1860), "Email",IF(ISNA(VLOOKUP(A1860,'Master List'!A:C,3,FALSE)), "Not Found", VLOOKUP(A1860,'Master List'!A:C,3,FALSE)))</f>
        <v>Email</v>
      </c>
      <c r="F1860" s="4" t="str">
        <f>IF(OR(A1860="",E1860="","",A1860="?",E1860="?"),"duplicate?",IF(COUNTIFS($A:A,A1860,E:E,E1860)&gt;1,"yes","no"))</f>
        <v>duplicate?</v>
      </c>
      <c r="K1860" s="97" t="str">
        <f ca="1">IF(J1860="","Date",IF(J1860&lt;&gt;"",IF(K1860="Date",NOW(),K1860),""))</f>
        <v>Date</v>
      </c>
    </row>
    <row r="1861" spans="2:11">
      <c r="B1861" s="97" t="str">
        <f ca="1">IF(A1861="","Date",IF(A1861&lt;&gt;"",IF(B1861="Date",NOW(),B1861),""))</f>
        <v>Date</v>
      </c>
      <c r="C1861" s="19" t="str">
        <f>IF(ISBLANK(A1861),"Name",IF(ISNA(VLOOKUP(A1861,'Master List'!A:C,2,FALSE)), "Not Found", VLOOKUP(A1861,'Master List'!A:C,2,FALSE)))</f>
        <v>Name</v>
      </c>
      <c r="D1861" s="19" t="str">
        <f>IF(ISBLANK(A1861), "Email",IF(ISNA(VLOOKUP(A1861,'Master List'!A:C,3,FALSE)), "Not Found", VLOOKUP(A1861,'Master List'!A:C,3,FALSE)))</f>
        <v>Email</v>
      </c>
      <c r="F1861" s="4" t="str">
        <f>IF(OR(A1861="",E1861="","",A1861="?",E1861="?"),"duplicate?",IF(COUNTIFS($A:A,A1861,E:E,E1861)&gt;1,"yes","no"))</f>
        <v>duplicate?</v>
      </c>
      <c r="K1861" s="97" t="str">
        <f ca="1">IF(J1861="","Date",IF(J1861&lt;&gt;"",IF(K1861="Date",NOW(),K1861),""))</f>
        <v>Date</v>
      </c>
    </row>
    <row r="1862" spans="2:11">
      <c r="B1862" s="97" t="str">
        <f ca="1">IF(A1862="","Date",IF(A1862&lt;&gt;"",IF(B1862="Date",NOW(),B1862),""))</f>
        <v>Date</v>
      </c>
      <c r="C1862" s="19" t="str">
        <f>IF(ISBLANK(A1862),"Name",IF(ISNA(VLOOKUP(A1862,'Master List'!A:C,2,FALSE)), "Not Found", VLOOKUP(A1862,'Master List'!A:C,2,FALSE)))</f>
        <v>Name</v>
      </c>
      <c r="D1862" s="19" t="str">
        <f>IF(ISBLANK(A1862), "Email",IF(ISNA(VLOOKUP(A1862,'Master List'!A:C,3,FALSE)), "Not Found", VLOOKUP(A1862,'Master List'!A:C,3,FALSE)))</f>
        <v>Email</v>
      </c>
      <c r="F1862" s="4" t="str">
        <f>IF(OR(A1862="",E1862="","",A1862="?",E1862="?"),"duplicate?",IF(COUNTIFS($A:A,A1862,E:E,E1862)&gt;1,"yes","no"))</f>
        <v>duplicate?</v>
      </c>
      <c r="K1862" s="97" t="str">
        <f ca="1">IF(J1862="","Date",IF(J1862&lt;&gt;"",IF(K1862="Date",NOW(),K1862),""))</f>
        <v>Date</v>
      </c>
    </row>
    <row r="1863" spans="2:11">
      <c r="B1863" s="97" t="str">
        <f ca="1">IF(A1863="","Date",IF(A1863&lt;&gt;"",IF(B1863="Date",NOW(),B1863),""))</f>
        <v>Date</v>
      </c>
      <c r="C1863" s="19" t="str">
        <f>IF(ISBLANK(A1863),"Name",IF(ISNA(VLOOKUP(A1863,'Master List'!A:C,2,FALSE)), "Not Found", VLOOKUP(A1863,'Master List'!A:C,2,FALSE)))</f>
        <v>Name</v>
      </c>
      <c r="D1863" s="19" t="str">
        <f>IF(ISBLANK(A1863), "Email",IF(ISNA(VLOOKUP(A1863,'Master List'!A:C,3,FALSE)), "Not Found", VLOOKUP(A1863,'Master List'!A:C,3,FALSE)))</f>
        <v>Email</v>
      </c>
      <c r="F1863" s="4" t="str">
        <f>IF(OR(A1863="",E1863="","",A1863="?",E1863="?"),"duplicate?",IF(COUNTIFS($A:A,A1863,E:E,E1863)&gt;1,"yes","no"))</f>
        <v>duplicate?</v>
      </c>
      <c r="K1863" s="97" t="str">
        <f ca="1">IF(J1863="","Date",IF(J1863&lt;&gt;"",IF(K1863="Date",NOW(),K1863),""))</f>
        <v>Date</v>
      </c>
    </row>
    <row r="1864" spans="2:11">
      <c r="B1864" s="97" t="str">
        <f ca="1">IF(A1864="","Date",IF(A1864&lt;&gt;"",IF(B1864="Date",NOW(),B1864),""))</f>
        <v>Date</v>
      </c>
      <c r="C1864" s="19" t="str">
        <f>IF(ISBLANK(A1864),"Name",IF(ISNA(VLOOKUP(A1864,'Master List'!A:C,2,FALSE)), "Not Found", VLOOKUP(A1864,'Master List'!A:C,2,FALSE)))</f>
        <v>Name</v>
      </c>
      <c r="D1864" s="19" t="str">
        <f>IF(ISBLANK(A1864), "Email",IF(ISNA(VLOOKUP(A1864,'Master List'!A:C,3,FALSE)), "Not Found", VLOOKUP(A1864,'Master List'!A:C,3,FALSE)))</f>
        <v>Email</v>
      </c>
      <c r="F1864" s="4" t="str">
        <f>IF(OR(A1864="",E1864="","",A1864="?",E1864="?"),"duplicate?",IF(COUNTIFS($A:A,A1864,E:E,E1864)&gt;1,"yes","no"))</f>
        <v>duplicate?</v>
      </c>
      <c r="K1864" s="97" t="str">
        <f ca="1">IF(J1864="","Date",IF(J1864&lt;&gt;"",IF(K1864="Date",NOW(),K1864),""))</f>
        <v>Date</v>
      </c>
    </row>
    <row r="1865" spans="2:11">
      <c r="B1865" s="97" t="str">
        <f ca="1">IF(A1865="","Date",IF(A1865&lt;&gt;"",IF(B1865="Date",NOW(),B1865),""))</f>
        <v>Date</v>
      </c>
      <c r="C1865" s="19" t="str">
        <f>IF(ISBLANK(A1865),"Name",IF(ISNA(VLOOKUP(A1865,'Master List'!A:C,2,FALSE)), "Not Found", VLOOKUP(A1865,'Master List'!A:C,2,FALSE)))</f>
        <v>Name</v>
      </c>
      <c r="D1865" s="19" t="str">
        <f>IF(ISBLANK(A1865), "Email",IF(ISNA(VLOOKUP(A1865,'Master List'!A:C,3,FALSE)), "Not Found", VLOOKUP(A1865,'Master List'!A:C,3,FALSE)))</f>
        <v>Email</v>
      </c>
      <c r="F1865" s="4" t="str">
        <f>IF(OR(A1865="",E1865="","",A1865="?",E1865="?"),"duplicate?",IF(COUNTIFS($A:A,A1865,E:E,E1865)&gt;1,"yes","no"))</f>
        <v>duplicate?</v>
      </c>
      <c r="K1865" s="97" t="str">
        <f ca="1">IF(J1865="","Date",IF(J1865&lt;&gt;"",IF(K1865="Date",NOW(),K1865),""))</f>
        <v>Date</v>
      </c>
    </row>
    <row r="1866" spans="2:11">
      <c r="B1866" s="97" t="str">
        <f ca="1">IF(A1866="","Date",IF(A1866&lt;&gt;"",IF(B1866="Date",NOW(),B1866),""))</f>
        <v>Date</v>
      </c>
      <c r="C1866" s="19" t="str">
        <f>IF(ISBLANK(A1866),"Name",IF(ISNA(VLOOKUP(A1866,'Master List'!A:C,2,FALSE)), "Not Found", VLOOKUP(A1866,'Master List'!A:C,2,FALSE)))</f>
        <v>Name</v>
      </c>
      <c r="D1866" s="19" t="str">
        <f>IF(ISBLANK(A1866), "Email",IF(ISNA(VLOOKUP(A1866,'Master List'!A:C,3,FALSE)), "Not Found", VLOOKUP(A1866,'Master List'!A:C,3,FALSE)))</f>
        <v>Email</v>
      </c>
      <c r="F1866" s="4" t="str">
        <f>IF(OR(A1866="",E1866="","",A1866="?",E1866="?"),"duplicate?",IF(COUNTIFS($A:A,A1866,E:E,E1866)&gt;1,"yes","no"))</f>
        <v>duplicate?</v>
      </c>
      <c r="K1866" s="97" t="str">
        <f ca="1">IF(J1866="","Date",IF(J1866&lt;&gt;"",IF(K1866="Date",NOW(),K1866),""))</f>
        <v>Date</v>
      </c>
    </row>
    <row r="1867" spans="2:11">
      <c r="B1867" s="97" t="str">
        <f ca="1">IF(A1867="","Date",IF(A1867&lt;&gt;"",IF(B1867="Date",NOW(),B1867),""))</f>
        <v>Date</v>
      </c>
      <c r="C1867" s="19" t="str">
        <f>IF(ISBLANK(A1867),"Name",IF(ISNA(VLOOKUP(A1867,'Master List'!A:C,2,FALSE)), "Not Found", VLOOKUP(A1867,'Master List'!A:C,2,FALSE)))</f>
        <v>Name</v>
      </c>
      <c r="D1867" s="19" t="str">
        <f>IF(ISBLANK(A1867), "Email",IF(ISNA(VLOOKUP(A1867,'Master List'!A:C,3,FALSE)), "Not Found", VLOOKUP(A1867,'Master List'!A:C,3,FALSE)))</f>
        <v>Email</v>
      </c>
      <c r="F1867" s="4" t="str">
        <f>IF(OR(A1867="",E1867="","",A1867="?",E1867="?"),"duplicate?",IF(COUNTIFS($A:A,A1867,E:E,E1867)&gt;1,"yes","no"))</f>
        <v>duplicate?</v>
      </c>
      <c r="K1867" s="97" t="str">
        <f ca="1">IF(J1867="","Date",IF(J1867&lt;&gt;"",IF(K1867="Date",NOW(),K1867),""))</f>
        <v>Date</v>
      </c>
    </row>
    <row r="1868" spans="2:11">
      <c r="B1868" s="97" t="str">
        <f ca="1">IF(A1868="","Date",IF(A1868&lt;&gt;"",IF(B1868="Date",NOW(),B1868),""))</f>
        <v>Date</v>
      </c>
      <c r="C1868" s="19" t="str">
        <f>IF(ISBLANK(A1868),"Name",IF(ISNA(VLOOKUP(A1868,'Master List'!A:C,2,FALSE)), "Not Found", VLOOKUP(A1868,'Master List'!A:C,2,FALSE)))</f>
        <v>Name</v>
      </c>
      <c r="D1868" s="19" t="str">
        <f>IF(ISBLANK(A1868), "Email",IF(ISNA(VLOOKUP(A1868,'Master List'!A:C,3,FALSE)), "Not Found", VLOOKUP(A1868,'Master List'!A:C,3,FALSE)))</f>
        <v>Email</v>
      </c>
      <c r="F1868" s="4" t="str">
        <f>IF(OR(A1868="",E1868="","",A1868="?",E1868="?"),"duplicate?",IF(COUNTIFS($A:A,A1868,E:E,E1868)&gt;1,"yes","no"))</f>
        <v>duplicate?</v>
      </c>
      <c r="K1868" s="97" t="str">
        <f ca="1">IF(J1868="","Date",IF(J1868&lt;&gt;"",IF(K1868="Date",NOW(),K1868),""))</f>
        <v>Date</v>
      </c>
    </row>
    <row r="1869" spans="2:11">
      <c r="B1869" s="97" t="str">
        <f ca="1">IF(A1869="","Date",IF(A1869&lt;&gt;"",IF(B1869="Date",NOW(),B1869),""))</f>
        <v>Date</v>
      </c>
      <c r="C1869" s="19" t="str">
        <f>IF(ISBLANK(A1869),"Name",IF(ISNA(VLOOKUP(A1869,'Master List'!A:C,2,FALSE)), "Not Found", VLOOKUP(A1869,'Master List'!A:C,2,FALSE)))</f>
        <v>Name</v>
      </c>
      <c r="D1869" s="19" t="str">
        <f>IF(ISBLANK(A1869), "Email",IF(ISNA(VLOOKUP(A1869,'Master List'!A:C,3,FALSE)), "Not Found", VLOOKUP(A1869,'Master List'!A:C,3,FALSE)))</f>
        <v>Email</v>
      </c>
      <c r="F1869" s="4" t="str">
        <f>IF(OR(A1869="",E1869="","",A1869="?",E1869="?"),"duplicate?",IF(COUNTIFS($A:A,A1869,E:E,E1869)&gt;1,"yes","no"))</f>
        <v>duplicate?</v>
      </c>
      <c r="K1869" s="97" t="str">
        <f ca="1">IF(J1869="","Date",IF(J1869&lt;&gt;"",IF(K1869="Date",NOW(),K1869),""))</f>
        <v>Date</v>
      </c>
    </row>
    <row r="1870" spans="2:11">
      <c r="B1870" s="97" t="str">
        <f ca="1">IF(A1870="","Date",IF(A1870&lt;&gt;"",IF(B1870="Date",NOW(),B1870),""))</f>
        <v>Date</v>
      </c>
      <c r="C1870" s="19" t="str">
        <f>IF(ISBLANK(A1870),"Name",IF(ISNA(VLOOKUP(A1870,'Master List'!A:C,2,FALSE)), "Not Found", VLOOKUP(A1870,'Master List'!A:C,2,FALSE)))</f>
        <v>Name</v>
      </c>
      <c r="D1870" s="19" t="str">
        <f>IF(ISBLANK(A1870), "Email",IF(ISNA(VLOOKUP(A1870,'Master List'!A:C,3,FALSE)), "Not Found", VLOOKUP(A1870,'Master List'!A:C,3,FALSE)))</f>
        <v>Email</v>
      </c>
      <c r="F1870" s="4" t="str">
        <f>IF(OR(A1870="",E1870="","",A1870="?",E1870="?"),"duplicate?",IF(COUNTIFS($A:A,A1870,E:E,E1870)&gt;1,"yes","no"))</f>
        <v>duplicate?</v>
      </c>
      <c r="K1870" s="97" t="str">
        <f ca="1">IF(J1870="","Date",IF(J1870&lt;&gt;"",IF(K1870="Date",NOW(),K1870),""))</f>
        <v>Date</v>
      </c>
    </row>
    <row r="1871" spans="2:11">
      <c r="B1871" s="97" t="str">
        <f ca="1">IF(A1871="","Date",IF(A1871&lt;&gt;"",IF(B1871="Date",NOW(),B1871),""))</f>
        <v>Date</v>
      </c>
      <c r="C1871" s="19" t="str">
        <f>IF(ISBLANK(A1871),"Name",IF(ISNA(VLOOKUP(A1871,'Master List'!A:C,2,FALSE)), "Not Found", VLOOKUP(A1871,'Master List'!A:C,2,FALSE)))</f>
        <v>Name</v>
      </c>
      <c r="D1871" s="19" t="str">
        <f>IF(ISBLANK(A1871), "Email",IF(ISNA(VLOOKUP(A1871,'Master List'!A:C,3,FALSE)), "Not Found", VLOOKUP(A1871,'Master List'!A:C,3,FALSE)))</f>
        <v>Email</v>
      </c>
      <c r="F1871" s="4" t="str">
        <f>IF(OR(A1871="",E1871="","",A1871="?",E1871="?"),"duplicate?",IF(COUNTIFS($A:A,A1871,E:E,E1871)&gt;1,"yes","no"))</f>
        <v>duplicate?</v>
      </c>
      <c r="K1871" s="97" t="str">
        <f ca="1">IF(J1871="","Date",IF(J1871&lt;&gt;"",IF(K1871="Date",NOW(),K1871),""))</f>
        <v>Date</v>
      </c>
    </row>
    <row r="1872" spans="2:11">
      <c r="B1872" s="97" t="str">
        <f ca="1">IF(A1872="","Date",IF(A1872&lt;&gt;"",IF(B1872="Date",NOW(),B1872),""))</f>
        <v>Date</v>
      </c>
      <c r="C1872" s="19" t="str">
        <f>IF(ISBLANK(A1872),"Name",IF(ISNA(VLOOKUP(A1872,'Master List'!A:C,2,FALSE)), "Not Found", VLOOKUP(A1872,'Master List'!A:C,2,FALSE)))</f>
        <v>Name</v>
      </c>
      <c r="D1872" s="19" t="str">
        <f>IF(ISBLANK(A1872), "Email",IF(ISNA(VLOOKUP(A1872,'Master List'!A:C,3,FALSE)), "Not Found", VLOOKUP(A1872,'Master List'!A:C,3,FALSE)))</f>
        <v>Email</v>
      </c>
      <c r="F1872" s="4" t="str">
        <f>IF(OR(A1872="",E1872="","",A1872="?",E1872="?"),"duplicate?",IF(COUNTIFS($A:A,A1872,E:E,E1872)&gt;1,"yes","no"))</f>
        <v>duplicate?</v>
      </c>
      <c r="K1872" s="97" t="str">
        <f ca="1">IF(J1872="","Date",IF(J1872&lt;&gt;"",IF(K1872="Date",NOW(),K1872),""))</f>
        <v>Date</v>
      </c>
    </row>
    <row r="1873" spans="2:11">
      <c r="B1873" s="97" t="str">
        <f ca="1">IF(A1873="","Date",IF(A1873&lt;&gt;"",IF(B1873="Date",NOW(),B1873),""))</f>
        <v>Date</v>
      </c>
      <c r="C1873" s="19" t="str">
        <f>IF(ISBLANK(A1873),"Name",IF(ISNA(VLOOKUP(A1873,'Master List'!A:C,2,FALSE)), "Not Found", VLOOKUP(A1873,'Master List'!A:C,2,FALSE)))</f>
        <v>Name</v>
      </c>
      <c r="D1873" s="19" t="str">
        <f>IF(ISBLANK(A1873), "Email",IF(ISNA(VLOOKUP(A1873,'Master List'!A:C,3,FALSE)), "Not Found", VLOOKUP(A1873,'Master List'!A:C,3,FALSE)))</f>
        <v>Email</v>
      </c>
      <c r="F1873" s="4" t="str">
        <f>IF(OR(A1873="",E1873="","",A1873="?",E1873="?"),"duplicate?",IF(COUNTIFS($A:A,A1873,E:E,E1873)&gt;1,"yes","no"))</f>
        <v>duplicate?</v>
      </c>
      <c r="K1873" s="97" t="str">
        <f ca="1">IF(J1873="","Date",IF(J1873&lt;&gt;"",IF(K1873="Date",NOW(),K1873),""))</f>
        <v>Date</v>
      </c>
    </row>
    <row r="1874" spans="2:11">
      <c r="B1874" s="97" t="str">
        <f ca="1">IF(A1874="","Date",IF(A1874&lt;&gt;"",IF(B1874="Date",NOW(),B1874),""))</f>
        <v>Date</v>
      </c>
      <c r="C1874" s="19" t="str">
        <f>IF(ISBLANK(A1874),"Name",IF(ISNA(VLOOKUP(A1874,'Master List'!A:C,2,FALSE)), "Not Found", VLOOKUP(A1874,'Master List'!A:C,2,FALSE)))</f>
        <v>Name</v>
      </c>
      <c r="D1874" s="19" t="str">
        <f>IF(ISBLANK(A1874), "Email",IF(ISNA(VLOOKUP(A1874,'Master List'!A:C,3,FALSE)), "Not Found", VLOOKUP(A1874,'Master List'!A:C,3,FALSE)))</f>
        <v>Email</v>
      </c>
      <c r="F1874" s="4" t="str">
        <f>IF(OR(A1874="",E1874="","",A1874="?",E1874="?"),"duplicate?",IF(COUNTIFS($A:A,A1874,E:E,E1874)&gt;1,"yes","no"))</f>
        <v>duplicate?</v>
      </c>
      <c r="K1874" s="97" t="str">
        <f ca="1">IF(J1874="","Date",IF(J1874&lt;&gt;"",IF(K1874="Date",NOW(),K1874),""))</f>
        <v>Date</v>
      </c>
    </row>
    <row r="1875" spans="2:11">
      <c r="B1875" s="97" t="str">
        <f ca="1">IF(A1875="","Date",IF(A1875&lt;&gt;"",IF(B1875="Date",NOW(),B1875),""))</f>
        <v>Date</v>
      </c>
      <c r="C1875" s="19" t="str">
        <f>IF(ISBLANK(A1875),"Name",IF(ISNA(VLOOKUP(A1875,'Master List'!A:C,2,FALSE)), "Not Found", VLOOKUP(A1875,'Master List'!A:C,2,FALSE)))</f>
        <v>Name</v>
      </c>
      <c r="D1875" s="19" t="str">
        <f>IF(ISBLANK(A1875), "Email",IF(ISNA(VLOOKUP(A1875,'Master List'!A:C,3,FALSE)), "Not Found", VLOOKUP(A1875,'Master List'!A:C,3,FALSE)))</f>
        <v>Email</v>
      </c>
      <c r="F1875" s="4" t="str">
        <f>IF(OR(A1875="",E1875="","",A1875="?",E1875="?"),"duplicate?",IF(COUNTIFS($A:A,A1875,E:E,E1875)&gt;1,"yes","no"))</f>
        <v>duplicate?</v>
      </c>
      <c r="K1875" s="97" t="str">
        <f ca="1">IF(J1875="","Date",IF(J1875&lt;&gt;"",IF(K1875="Date",NOW(),K1875),""))</f>
        <v>Date</v>
      </c>
    </row>
    <row r="1876" spans="2:11">
      <c r="B1876" s="97" t="str">
        <f ca="1">IF(A1876="","Date",IF(A1876&lt;&gt;"",IF(B1876="Date",NOW(),B1876),""))</f>
        <v>Date</v>
      </c>
      <c r="C1876" s="19" t="str">
        <f>IF(ISBLANK(A1876),"Name",IF(ISNA(VLOOKUP(A1876,'Master List'!A:C,2,FALSE)), "Not Found", VLOOKUP(A1876,'Master List'!A:C,2,FALSE)))</f>
        <v>Name</v>
      </c>
      <c r="D1876" s="19" t="str">
        <f>IF(ISBLANK(A1876), "Email",IF(ISNA(VLOOKUP(A1876,'Master List'!A:C,3,FALSE)), "Not Found", VLOOKUP(A1876,'Master List'!A:C,3,FALSE)))</f>
        <v>Email</v>
      </c>
      <c r="F1876" s="4" t="str">
        <f>IF(OR(A1876="",E1876="","",A1876="?",E1876="?"),"duplicate?",IF(COUNTIFS($A:A,A1876,E:E,E1876)&gt;1,"yes","no"))</f>
        <v>duplicate?</v>
      </c>
      <c r="K1876" s="97" t="str">
        <f ca="1">IF(J1876="","Date",IF(J1876&lt;&gt;"",IF(K1876="Date",NOW(),K1876),""))</f>
        <v>Date</v>
      </c>
    </row>
    <row r="1877" spans="2:11">
      <c r="B1877" s="97" t="str">
        <f ca="1">IF(A1877="","Date",IF(A1877&lt;&gt;"",IF(B1877="Date",NOW(),B1877),""))</f>
        <v>Date</v>
      </c>
      <c r="C1877" s="19" t="str">
        <f>IF(ISBLANK(A1877),"Name",IF(ISNA(VLOOKUP(A1877,'Master List'!A:C,2,FALSE)), "Not Found", VLOOKUP(A1877,'Master List'!A:C,2,FALSE)))</f>
        <v>Name</v>
      </c>
      <c r="D1877" s="19" t="str">
        <f>IF(ISBLANK(A1877), "Email",IF(ISNA(VLOOKUP(A1877,'Master List'!A:C,3,FALSE)), "Not Found", VLOOKUP(A1877,'Master List'!A:C,3,FALSE)))</f>
        <v>Email</v>
      </c>
      <c r="F1877" s="4" t="str">
        <f>IF(OR(A1877="",E1877="","",A1877="?",E1877="?"),"duplicate?",IF(COUNTIFS($A:A,A1877,E:E,E1877)&gt;1,"yes","no"))</f>
        <v>duplicate?</v>
      </c>
      <c r="K1877" s="97" t="str">
        <f ca="1">IF(J1877="","Date",IF(J1877&lt;&gt;"",IF(K1877="Date",NOW(),K1877),""))</f>
        <v>Date</v>
      </c>
    </row>
    <row r="1878" spans="2:11">
      <c r="B1878" s="97" t="str">
        <f ca="1">IF(A1878="","Date",IF(A1878&lt;&gt;"",IF(B1878="Date",NOW(),B1878),""))</f>
        <v>Date</v>
      </c>
      <c r="C1878" s="19" t="str">
        <f>IF(ISBLANK(A1878),"Name",IF(ISNA(VLOOKUP(A1878,'Master List'!A:C,2,FALSE)), "Not Found", VLOOKUP(A1878,'Master List'!A:C,2,FALSE)))</f>
        <v>Name</v>
      </c>
      <c r="D1878" s="19" t="str">
        <f>IF(ISBLANK(A1878), "Email",IF(ISNA(VLOOKUP(A1878,'Master List'!A:C,3,FALSE)), "Not Found", VLOOKUP(A1878,'Master List'!A:C,3,FALSE)))</f>
        <v>Email</v>
      </c>
      <c r="F1878" s="4" t="str">
        <f>IF(OR(A1878="",E1878="","",A1878="?",E1878="?"),"duplicate?",IF(COUNTIFS($A:A,A1878,E:E,E1878)&gt;1,"yes","no"))</f>
        <v>duplicate?</v>
      </c>
      <c r="K1878" s="97" t="str">
        <f ca="1">IF(J1878="","Date",IF(J1878&lt;&gt;"",IF(K1878="Date",NOW(),K1878),""))</f>
        <v>Date</v>
      </c>
    </row>
    <row r="1879" spans="2:11">
      <c r="B1879" s="97" t="str">
        <f ca="1">IF(A1879="","Date",IF(A1879&lt;&gt;"",IF(B1879="Date",NOW(),B1879),""))</f>
        <v>Date</v>
      </c>
      <c r="C1879" s="19" t="str">
        <f>IF(ISBLANK(A1879),"Name",IF(ISNA(VLOOKUP(A1879,'Master List'!A:C,2,FALSE)), "Not Found", VLOOKUP(A1879,'Master List'!A:C,2,FALSE)))</f>
        <v>Name</v>
      </c>
      <c r="D1879" s="19" t="str">
        <f>IF(ISBLANK(A1879), "Email",IF(ISNA(VLOOKUP(A1879,'Master List'!A:C,3,FALSE)), "Not Found", VLOOKUP(A1879,'Master List'!A:C,3,FALSE)))</f>
        <v>Email</v>
      </c>
      <c r="F1879" s="4" t="str">
        <f>IF(OR(A1879="",E1879="","",A1879="?",E1879="?"),"duplicate?",IF(COUNTIFS($A:A,A1879,E:E,E1879)&gt;1,"yes","no"))</f>
        <v>duplicate?</v>
      </c>
      <c r="K1879" s="97" t="str">
        <f ca="1">IF(J1879="","Date",IF(J1879&lt;&gt;"",IF(K1879="Date",NOW(),K1879),""))</f>
        <v>Date</v>
      </c>
    </row>
    <row r="1880" spans="2:11">
      <c r="B1880" s="97" t="str">
        <f ca="1">IF(A1880="","Date",IF(A1880&lt;&gt;"",IF(B1880="Date",NOW(),B1880),""))</f>
        <v>Date</v>
      </c>
      <c r="C1880" s="19" t="str">
        <f>IF(ISBLANK(A1880),"Name",IF(ISNA(VLOOKUP(A1880,'Master List'!A:C,2,FALSE)), "Not Found", VLOOKUP(A1880,'Master List'!A:C,2,FALSE)))</f>
        <v>Name</v>
      </c>
      <c r="D1880" s="19" t="str">
        <f>IF(ISBLANK(A1880), "Email",IF(ISNA(VLOOKUP(A1880,'Master List'!A:C,3,FALSE)), "Not Found", VLOOKUP(A1880,'Master List'!A:C,3,FALSE)))</f>
        <v>Email</v>
      </c>
      <c r="F1880" s="4" t="str">
        <f>IF(OR(A1880="",E1880="","",A1880="?",E1880="?"),"duplicate?",IF(COUNTIFS($A:A,A1880,E:E,E1880)&gt;1,"yes","no"))</f>
        <v>duplicate?</v>
      </c>
      <c r="K1880" s="97" t="str">
        <f ca="1">IF(J1880="","Date",IF(J1880&lt;&gt;"",IF(K1880="Date",NOW(),K1880),""))</f>
        <v>Date</v>
      </c>
    </row>
    <row r="1881" spans="2:11">
      <c r="B1881" s="97" t="str">
        <f ca="1">IF(A1881="","Date",IF(A1881&lt;&gt;"",IF(B1881="Date",NOW(),B1881),""))</f>
        <v>Date</v>
      </c>
      <c r="C1881" s="19" t="str">
        <f>IF(ISBLANK(A1881),"Name",IF(ISNA(VLOOKUP(A1881,'Master List'!A:C,2,FALSE)), "Not Found", VLOOKUP(A1881,'Master List'!A:C,2,FALSE)))</f>
        <v>Name</v>
      </c>
      <c r="D1881" s="19" t="str">
        <f>IF(ISBLANK(A1881), "Email",IF(ISNA(VLOOKUP(A1881,'Master List'!A:C,3,FALSE)), "Not Found", VLOOKUP(A1881,'Master List'!A:C,3,FALSE)))</f>
        <v>Email</v>
      </c>
      <c r="F1881" s="4" t="str">
        <f>IF(OR(A1881="",E1881="","",A1881="?",E1881="?"),"duplicate?",IF(COUNTIFS($A:A,A1881,E:E,E1881)&gt;1,"yes","no"))</f>
        <v>duplicate?</v>
      </c>
      <c r="K1881" s="97" t="str">
        <f ca="1">IF(J1881="","Date",IF(J1881&lt;&gt;"",IF(K1881="Date",NOW(),K1881),""))</f>
        <v>Date</v>
      </c>
    </row>
    <row r="1882" spans="2:11">
      <c r="B1882" s="97" t="str">
        <f ca="1">IF(A1882="","Date",IF(A1882&lt;&gt;"",IF(B1882="Date",NOW(),B1882),""))</f>
        <v>Date</v>
      </c>
      <c r="C1882" s="19" t="str">
        <f>IF(ISBLANK(A1882),"Name",IF(ISNA(VLOOKUP(A1882,'Master List'!A:C,2,FALSE)), "Not Found", VLOOKUP(A1882,'Master List'!A:C,2,FALSE)))</f>
        <v>Name</v>
      </c>
      <c r="D1882" s="19" t="str">
        <f>IF(ISBLANK(A1882), "Email",IF(ISNA(VLOOKUP(A1882,'Master List'!A:C,3,FALSE)), "Not Found", VLOOKUP(A1882,'Master List'!A:C,3,FALSE)))</f>
        <v>Email</v>
      </c>
      <c r="F1882" s="4" t="str">
        <f>IF(OR(A1882="",E1882="","",A1882="?",E1882="?"),"duplicate?",IF(COUNTIFS($A:A,A1882,E:E,E1882)&gt;1,"yes","no"))</f>
        <v>duplicate?</v>
      </c>
      <c r="K1882" s="97" t="str">
        <f ca="1">IF(J1882="","Date",IF(J1882&lt;&gt;"",IF(K1882="Date",NOW(),K1882),""))</f>
        <v>Date</v>
      </c>
    </row>
    <row r="1883" spans="2:11">
      <c r="B1883" s="97" t="str">
        <f ca="1">IF(A1883="","Date",IF(A1883&lt;&gt;"",IF(B1883="Date",NOW(),B1883),""))</f>
        <v>Date</v>
      </c>
      <c r="C1883" s="19" t="str">
        <f>IF(ISBLANK(A1883),"Name",IF(ISNA(VLOOKUP(A1883,'Master List'!A:C,2,FALSE)), "Not Found", VLOOKUP(A1883,'Master List'!A:C,2,FALSE)))</f>
        <v>Name</v>
      </c>
      <c r="D1883" s="19" t="str">
        <f>IF(ISBLANK(A1883), "Email",IF(ISNA(VLOOKUP(A1883,'Master List'!A:C,3,FALSE)), "Not Found", VLOOKUP(A1883,'Master List'!A:C,3,FALSE)))</f>
        <v>Email</v>
      </c>
      <c r="F1883" s="4" t="str">
        <f>IF(OR(A1883="",E1883="","",A1883="?",E1883="?"),"duplicate?",IF(COUNTIFS($A:A,A1883,E:E,E1883)&gt;1,"yes","no"))</f>
        <v>duplicate?</v>
      </c>
      <c r="K1883" s="97" t="str">
        <f ca="1">IF(J1883="","Date",IF(J1883&lt;&gt;"",IF(K1883="Date",NOW(),K1883),""))</f>
        <v>Date</v>
      </c>
    </row>
    <row r="1884" spans="2:11">
      <c r="B1884" s="97" t="str">
        <f ca="1">IF(A1884="","Date",IF(A1884&lt;&gt;"",IF(B1884="Date",NOW(),B1884),""))</f>
        <v>Date</v>
      </c>
      <c r="C1884" s="19" t="str">
        <f>IF(ISBLANK(A1884),"Name",IF(ISNA(VLOOKUP(A1884,'Master List'!A:C,2,FALSE)), "Not Found", VLOOKUP(A1884,'Master List'!A:C,2,FALSE)))</f>
        <v>Name</v>
      </c>
      <c r="D1884" s="19" t="str">
        <f>IF(ISBLANK(A1884), "Email",IF(ISNA(VLOOKUP(A1884,'Master List'!A:C,3,FALSE)), "Not Found", VLOOKUP(A1884,'Master List'!A:C,3,FALSE)))</f>
        <v>Email</v>
      </c>
      <c r="F1884" s="4" t="str">
        <f>IF(OR(A1884="",E1884="","",A1884="?",E1884="?"),"duplicate?",IF(COUNTIFS($A:A,A1884,E:E,E1884)&gt;1,"yes","no"))</f>
        <v>duplicate?</v>
      </c>
      <c r="K1884" s="97" t="str">
        <f ca="1">IF(J1884="","Date",IF(J1884&lt;&gt;"",IF(K1884="Date",NOW(),K1884),""))</f>
        <v>Date</v>
      </c>
    </row>
    <row r="1885" spans="2:11">
      <c r="B1885" s="97" t="str">
        <f ca="1">IF(A1885="","Date",IF(A1885&lt;&gt;"",IF(B1885="Date",NOW(),B1885),""))</f>
        <v>Date</v>
      </c>
      <c r="C1885" s="19" t="str">
        <f>IF(ISBLANK(A1885),"Name",IF(ISNA(VLOOKUP(A1885,'Master List'!A:C,2,FALSE)), "Not Found", VLOOKUP(A1885,'Master List'!A:C,2,FALSE)))</f>
        <v>Name</v>
      </c>
      <c r="D1885" s="19" t="str">
        <f>IF(ISBLANK(A1885), "Email",IF(ISNA(VLOOKUP(A1885,'Master List'!A:C,3,FALSE)), "Not Found", VLOOKUP(A1885,'Master List'!A:C,3,FALSE)))</f>
        <v>Email</v>
      </c>
      <c r="F1885" s="4" t="str">
        <f>IF(OR(A1885="",E1885="","",A1885="?",E1885="?"),"duplicate?",IF(COUNTIFS($A:A,A1885,E:E,E1885)&gt;1,"yes","no"))</f>
        <v>duplicate?</v>
      </c>
      <c r="K1885" s="97" t="str">
        <f ca="1">IF(J1885="","Date",IF(J1885&lt;&gt;"",IF(K1885="Date",NOW(),K1885),""))</f>
        <v>Date</v>
      </c>
    </row>
    <row r="1886" spans="2:11">
      <c r="B1886" s="97" t="str">
        <f ca="1">IF(A1886="","Date",IF(A1886&lt;&gt;"",IF(B1886="Date",NOW(),B1886),""))</f>
        <v>Date</v>
      </c>
      <c r="C1886" s="19" t="str">
        <f>IF(ISBLANK(A1886),"Name",IF(ISNA(VLOOKUP(A1886,'Master List'!A:C,2,FALSE)), "Not Found", VLOOKUP(A1886,'Master List'!A:C,2,FALSE)))</f>
        <v>Name</v>
      </c>
      <c r="D1886" s="19" t="str">
        <f>IF(ISBLANK(A1886), "Email",IF(ISNA(VLOOKUP(A1886,'Master List'!A:C,3,FALSE)), "Not Found", VLOOKUP(A1886,'Master List'!A:C,3,FALSE)))</f>
        <v>Email</v>
      </c>
      <c r="F1886" s="4" t="str">
        <f>IF(OR(A1886="",E1886="","",A1886="?",E1886="?"),"duplicate?",IF(COUNTIFS($A:A,A1886,E:E,E1886)&gt;1,"yes","no"))</f>
        <v>duplicate?</v>
      </c>
      <c r="K1886" s="97" t="str">
        <f ca="1">IF(J1886="","Date",IF(J1886&lt;&gt;"",IF(K1886="Date",NOW(),K1886),""))</f>
        <v>Date</v>
      </c>
    </row>
    <row r="1887" spans="2:11">
      <c r="B1887" s="97" t="str">
        <f ca="1">IF(A1887="","Date",IF(A1887&lt;&gt;"",IF(B1887="Date",NOW(),B1887),""))</f>
        <v>Date</v>
      </c>
      <c r="C1887" s="19" t="str">
        <f>IF(ISBLANK(A1887),"Name",IF(ISNA(VLOOKUP(A1887,'Master List'!A:C,2,FALSE)), "Not Found", VLOOKUP(A1887,'Master List'!A:C,2,FALSE)))</f>
        <v>Name</v>
      </c>
      <c r="D1887" s="19" t="str">
        <f>IF(ISBLANK(A1887), "Email",IF(ISNA(VLOOKUP(A1887,'Master List'!A:C,3,FALSE)), "Not Found", VLOOKUP(A1887,'Master List'!A:C,3,FALSE)))</f>
        <v>Email</v>
      </c>
      <c r="F1887" s="4" t="str">
        <f>IF(OR(A1887="",E1887="","",A1887="?",E1887="?"),"duplicate?",IF(COUNTIFS($A:A,A1887,E:E,E1887)&gt;1,"yes","no"))</f>
        <v>duplicate?</v>
      </c>
      <c r="K1887" s="97" t="str">
        <f ca="1">IF(J1887="","Date",IF(J1887&lt;&gt;"",IF(K1887="Date",NOW(),K1887),""))</f>
        <v>Date</v>
      </c>
    </row>
    <row r="1888" spans="2:11">
      <c r="B1888" s="97" t="str">
        <f ca="1">IF(A1888="","Date",IF(A1888&lt;&gt;"",IF(B1888="Date",NOW(),B1888),""))</f>
        <v>Date</v>
      </c>
      <c r="C1888" s="19" t="str">
        <f>IF(ISBLANK(A1888),"Name",IF(ISNA(VLOOKUP(A1888,'Master List'!A:C,2,FALSE)), "Not Found", VLOOKUP(A1888,'Master List'!A:C,2,FALSE)))</f>
        <v>Name</v>
      </c>
      <c r="D1888" s="19" t="str">
        <f>IF(ISBLANK(A1888), "Email",IF(ISNA(VLOOKUP(A1888,'Master List'!A:C,3,FALSE)), "Not Found", VLOOKUP(A1888,'Master List'!A:C,3,FALSE)))</f>
        <v>Email</v>
      </c>
      <c r="F1888" s="4" t="str">
        <f>IF(OR(A1888="",E1888="","",A1888="?",E1888="?"),"duplicate?",IF(COUNTIFS($A:A,A1888,E:E,E1888)&gt;1,"yes","no"))</f>
        <v>duplicate?</v>
      </c>
      <c r="K1888" s="97" t="str">
        <f ca="1">IF(J1888="","Date",IF(J1888&lt;&gt;"",IF(K1888="Date",NOW(),K1888),""))</f>
        <v>Date</v>
      </c>
    </row>
    <row r="1889" spans="2:11">
      <c r="B1889" s="97" t="str">
        <f ca="1">IF(A1889="","Date",IF(A1889&lt;&gt;"",IF(B1889="Date",NOW(),B1889),""))</f>
        <v>Date</v>
      </c>
      <c r="C1889" s="19" t="str">
        <f>IF(ISBLANK(A1889),"Name",IF(ISNA(VLOOKUP(A1889,'Master List'!A:C,2,FALSE)), "Not Found", VLOOKUP(A1889,'Master List'!A:C,2,FALSE)))</f>
        <v>Name</v>
      </c>
      <c r="D1889" s="19" t="str">
        <f>IF(ISBLANK(A1889), "Email",IF(ISNA(VLOOKUP(A1889,'Master List'!A:C,3,FALSE)), "Not Found", VLOOKUP(A1889,'Master List'!A:C,3,FALSE)))</f>
        <v>Email</v>
      </c>
      <c r="F1889" s="4" t="str">
        <f>IF(OR(A1889="",E1889="","",A1889="?",E1889="?"),"duplicate?",IF(COUNTIFS($A:A,A1889,E:E,E1889)&gt;1,"yes","no"))</f>
        <v>duplicate?</v>
      </c>
      <c r="K1889" s="97" t="str">
        <f ca="1">IF(J1889="","Date",IF(J1889&lt;&gt;"",IF(K1889="Date",NOW(),K1889),""))</f>
        <v>Date</v>
      </c>
    </row>
    <row r="1890" spans="2:11">
      <c r="B1890" s="97" t="str">
        <f ca="1">IF(A1890="","Date",IF(A1890&lt;&gt;"",IF(B1890="Date",NOW(),B1890),""))</f>
        <v>Date</v>
      </c>
      <c r="C1890" s="19" t="str">
        <f>IF(ISBLANK(A1890),"Name",IF(ISNA(VLOOKUP(A1890,'Master List'!A:C,2,FALSE)), "Not Found", VLOOKUP(A1890,'Master List'!A:C,2,FALSE)))</f>
        <v>Name</v>
      </c>
      <c r="D1890" s="19" t="str">
        <f>IF(ISBLANK(A1890), "Email",IF(ISNA(VLOOKUP(A1890,'Master List'!A:C,3,FALSE)), "Not Found", VLOOKUP(A1890,'Master List'!A:C,3,FALSE)))</f>
        <v>Email</v>
      </c>
      <c r="F1890" s="4" t="str">
        <f>IF(OR(A1890="",E1890="","",A1890="?",E1890="?"),"duplicate?",IF(COUNTIFS($A:A,A1890,E:E,E1890)&gt;1,"yes","no"))</f>
        <v>duplicate?</v>
      </c>
      <c r="K1890" s="97" t="str">
        <f ca="1">IF(J1890="","Date",IF(J1890&lt;&gt;"",IF(K1890="Date",NOW(),K1890),""))</f>
        <v>Date</v>
      </c>
    </row>
    <row r="1891" spans="2:11">
      <c r="B1891" s="97" t="str">
        <f ca="1">IF(A1891="","Date",IF(A1891&lt;&gt;"",IF(B1891="Date",NOW(),B1891),""))</f>
        <v>Date</v>
      </c>
      <c r="C1891" s="19" t="str">
        <f>IF(ISBLANK(A1891),"Name",IF(ISNA(VLOOKUP(A1891,'Master List'!A:C,2,FALSE)), "Not Found", VLOOKUP(A1891,'Master List'!A:C,2,FALSE)))</f>
        <v>Name</v>
      </c>
      <c r="D1891" s="19" t="str">
        <f>IF(ISBLANK(A1891), "Email",IF(ISNA(VLOOKUP(A1891,'Master List'!A:C,3,FALSE)), "Not Found", VLOOKUP(A1891,'Master List'!A:C,3,FALSE)))</f>
        <v>Email</v>
      </c>
      <c r="F1891" s="4" t="str">
        <f>IF(OR(A1891="",E1891="","",A1891="?",E1891="?"),"duplicate?",IF(COUNTIFS($A:A,A1891,E:E,E1891)&gt;1,"yes","no"))</f>
        <v>duplicate?</v>
      </c>
      <c r="K1891" s="97" t="str">
        <f ca="1">IF(J1891="","Date",IF(J1891&lt;&gt;"",IF(K1891="Date",NOW(),K1891),""))</f>
        <v>Date</v>
      </c>
    </row>
    <row r="1892" spans="2:11">
      <c r="B1892" s="97" t="str">
        <f ca="1">IF(A1892="","Date",IF(A1892&lt;&gt;"",IF(B1892="Date",NOW(),B1892),""))</f>
        <v>Date</v>
      </c>
      <c r="C1892" s="19" t="str">
        <f>IF(ISBLANK(A1892),"Name",IF(ISNA(VLOOKUP(A1892,'Master List'!A:C,2,FALSE)), "Not Found", VLOOKUP(A1892,'Master List'!A:C,2,FALSE)))</f>
        <v>Name</v>
      </c>
      <c r="D1892" s="19" t="str">
        <f>IF(ISBLANK(A1892), "Email",IF(ISNA(VLOOKUP(A1892,'Master List'!A:C,3,FALSE)), "Not Found", VLOOKUP(A1892,'Master List'!A:C,3,FALSE)))</f>
        <v>Email</v>
      </c>
      <c r="F1892" s="4" t="str">
        <f>IF(OR(A1892="",E1892="","",A1892="?",E1892="?"),"duplicate?",IF(COUNTIFS($A:A,A1892,E:E,E1892)&gt;1,"yes","no"))</f>
        <v>duplicate?</v>
      </c>
      <c r="K1892" s="97" t="str">
        <f ca="1">IF(J1892="","Date",IF(J1892&lt;&gt;"",IF(K1892="Date",NOW(),K1892),""))</f>
        <v>Date</v>
      </c>
    </row>
    <row r="1893" spans="2:11">
      <c r="B1893" s="97" t="str">
        <f ca="1">IF(A1893="","Date",IF(A1893&lt;&gt;"",IF(B1893="Date",NOW(),B1893),""))</f>
        <v>Date</v>
      </c>
      <c r="C1893" s="19" t="str">
        <f>IF(ISBLANK(A1893),"Name",IF(ISNA(VLOOKUP(A1893,'Master List'!A:C,2,FALSE)), "Not Found", VLOOKUP(A1893,'Master List'!A:C,2,FALSE)))</f>
        <v>Name</v>
      </c>
      <c r="D1893" s="19" t="str">
        <f>IF(ISBLANK(A1893), "Email",IF(ISNA(VLOOKUP(A1893,'Master List'!A:C,3,FALSE)), "Not Found", VLOOKUP(A1893,'Master List'!A:C,3,FALSE)))</f>
        <v>Email</v>
      </c>
      <c r="F1893" s="4" t="str">
        <f>IF(OR(A1893="",E1893="","",A1893="?",E1893="?"),"duplicate?",IF(COUNTIFS($A:A,A1893,E:E,E1893)&gt;1,"yes","no"))</f>
        <v>duplicate?</v>
      </c>
      <c r="K1893" s="97" t="str">
        <f ca="1">IF(J1893="","Date",IF(J1893&lt;&gt;"",IF(K1893="Date",NOW(),K1893),""))</f>
        <v>Date</v>
      </c>
    </row>
    <row r="1894" spans="2:11">
      <c r="B1894" s="97" t="str">
        <f ca="1">IF(A1894="","Date",IF(A1894&lt;&gt;"",IF(B1894="Date",NOW(),B1894),""))</f>
        <v>Date</v>
      </c>
      <c r="C1894" s="19" t="str">
        <f>IF(ISBLANK(A1894),"Name",IF(ISNA(VLOOKUP(A1894,'Master List'!A:C,2,FALSE)), "Not Found", VLOOKUP(A1894,'Master List'!A:C,2,FALSE)))</f>
        <v>Name</v>
      </c>
      <c r="D1894" s="19" t="str">
        <f>IF(ISBLANK(A1894), "Email",IF(ISNA(VLOOKUP(A1894,'Master List'!A:C,3,FALSE)), "Not Found", VLOOKUP(A1894,'Master List'!A:C,3,FALSE)))</f>
        <v>Email</v>
      </c>
      <c r="F1894" s="4" t="str">
        <f>IF(OR(A1894="",E1894="","",A1894="?",E1894="?"),"duplicate?",IF(COUNTIFS($A:A,A1894,E:E,E1894)&gt;1,"yes","no"))</f>
        <v>duplicate?</v>
      </c>
      <c r="K1894" s="97" t="str">
        <f ca="1">IF(J1894="","Date",IF(J1894&lt;&gt;"",IF(K1894="Date",NOW(),K1894),""))</f>
        <v>Date</v>
      </c>
    </row>
    <row r="1895" spans="2:11">
      <c r="B1895" s="97" t="str">
        <f ca="1">IF(A1895="","Date",IF(A1895&lt;&gt;"",IF(B1895="Date",NOW(),B1895),""))</f>
        <v>Date</v>
      </c>
      <c r="C1895" s="19" t="str">
        <f>IF(ISBLANK(A1895),"Name",IF(ISNA(VLOOKUP(A1895,'Master List'!A:C,2,FALSE)), "Not Found", VLOOKUP(A1895,'Master List'!A:C,2,FALSE)))</f>
        <v>Name</v>
      </c>
      <c r="D1895" s="19" t="str">
        <f>IF(ISBLANK(A1895), "Email",IF(ISNA(VLOOKUP(A1895,'Master List'!A:C,3,FALSE)), "Not Found", VLOOKUP(A1895,'Master List'!A:C,3,FALSE)))</f>
        <v>Email</v>
      </c>
      <c r="F1895" s="4" t="str">
        <f>IF(OR(A1895="",E1895="","",A1895="?",E1895="?"),"duplicate?",IF(COUNTIFS($A:A,A1895,E:E,E1895)&gt;1,"yes","no"))</f>
        <v>duplicate?</v>
      </c>
      <c r="K1895" s="97" t="str">
        <f ca="1">IF(J1895="","Date",IF(J1895&lt;&gt;"",IF(K1895="Date",NOW(),K1895),""))</f>
        <v>Date</v>
      </c>
    </row>
    <row r="1896" spans="2:11">
      <c r="B1896" s="97" t="str">
        <f ca="1">IF(A1896="","Date",IF(A1896&lt;&gt;"",IF(B1896="Date",NOW(),B1896),""))</f>
        <v>Date</v>
      </c>
      <c r="C1896" s="19" t="str">
        <f>IF(ISBLANK(A1896),"Name",IF(ISNA(VLOOKUP(A1896,'Master List'!A:C,2,FALSE)), "Not Found", VLOOKUP(A1896,'Master List'!A:C,2,FALSE)))</f>
        <v>Name</v>
      </c>
      <c r="D1896" s="19" t="str">
        <f>IF(ISBLANK(A1896), "Email",IF(ISNA(VLOOKUP(A1896,'Master List'!A:C,3,FALSE)), "Not Found", VLOOKUP(A1896,'Master List'!A:C,3,FALSE)))</f>
        <v>Email</v>
      </c>
      <c r="F1896" s="4" t="str">
        <f>IF(OR(A1896="",E1896="","",A1896="?",E1896="?"),"duplicate?",IF(COUNTIFS($A:A,A1896,E:E,E1896)&gt;1,"yes","no"))</f>
        <v>duplicate?</v>
      </c>
      <c r="K1896" s="97" t="str">
        <f ca="1">IF(J1896="","Date",IF(J1896&lt;&gt;"",IF(K1896="Date",NOW(),K1896),""))</f>
        <v>Date</v>
      </c>
    </row>
    <row r="1897" spans="2:11">
      <c r="B1897" s="97" t="str">
        <f ca="1">IF(A1897="","Date",IF(A1897&lt;&gt;"",IF(B1897="Date",NOW(),B1897),""))</f>
        <v>Date</v>
      </c>
      <c r="C1897" s="19" t="str">
        <f>IF(ISBLANK(A1897),"Name",IF(ISNA(VLOOKUP(A1897,'Master List'!A:C,2,FALSE)), "Not Found", VLOOKUP(A1897,'Master List'!A:C,2,FALSE)))</f>
        <v>Name</v>
      </c>
      <c r="D1897" s="19" t="str">
        <f>IF(ISBLANK(A1897), "Email",IF(ISNA(VLOOKUP(A1897,'Master List'!A:C,3,FALSE)), "Not Found", VLOOKUP(A1897,'Master List'!A:C,3,FALSE)))</f>
        <v>Email</v>
      </c>
      <c r="F1897" s="4" t="str">
        <f>IF(OR(A1897="",E1897="","",A1897="?",E1897="?"),"duplicate?",IF(COUNTIFS($A:A,A1897,E:E,E1897)&gt;1,"yes","no"))</f>
        <v>duplicate?</v>
      </c>
      <c r="K1897" s="97" t="str">
        <f ca="1">IF(J1897="","Date",IF(J1897&lt;&gt;"",IF(K1897="Date",NOW(),K1897),""))</f>
        <v>Date</v>
      </c>
    </row>
    <row r="1898" spans="2:11">
      <c r="B1898" s="97" t="str">
        <f ca="1">IF(A1898="","Date",IF(A1898&lt;&gt;"",IF(B1898="Date",NOW(),B1898),""))</f>
        <v>Date</v>
      </c>
      <c r="C1898" s="19" t="str">
        <f>IF(ISBLANK(A1898),"Name",IF(ISNA(VLOOKUP(A1898,'Master List'!A:C,2,FALSE)), "Not Found", VLOOKUP(A1898,'Master List'!A:C,2,FALSE)))</f>
        <v>Name</v>
      </c>
      <c r="D1898" s="19" t="str">
        <f>IF(ISBLANK(A1898), "Email",IF(ISNA(VLOOKUP(A1898,'Master List'!A:C,3,FALSE)), "Not Found", VLOOKUP(A1898,'Master List'!A:C,3,FALSE)))</f>
        <v>Email</v>
      </c>
      <c r="F1898" s="4" t="str">
        <f>IF(OR(A1898="",E1898="","",A1898="?",E1898="?"),"duplicate?",IF(COUNTIFS($A:A,A1898,E:E,E1898)&gt;1,"yes","no"))</f>
        <v>duplicate?</v>
      </c>
      <c r="K1898" s="97" t="str">
        <f ca="1">IF(J1898="","Date",IF(J1898&lt;&gt;"",IF(K1898="Date",NOW(),K1898),""))</f>
        <v>Date</v>
      </c>
    </row>
    <row r="1899" spans="2:11">
      <c r="B1899" s="97" t="str">
        <f ca="1">IF(A1899="","Date",IF(A1899&lt;&gt;"",IF(B1899="Date",NOW(),B1899),""))</f>
        <v>Date</v>
      </c>
      <c r="C1899" s="19" t="str">
        <f>IF(ISBLANK(A1899),"Name",IF(ISNA(VLOOKUP(A1899,'Master List'!A:C,2,FALSE)), "Not Found", VLOOKUP(A1899,'Master List'!A:C,2,FALSE)))</f>
        <v>Name</v>
      </c>
      <c r="D1899" s="19" t="str">
        <f>IF(ISBLANK(A1899), "Email",IF(ISNA(VLOOKUP(A1899,'Master List'!A:C,3,FALSE)), "Not Found", VLOOKUP(A1899,'Master List'!A:C,3,FALSE)))</f>
        <v>Email</v>
      </c>
      <c r="F1899" s="4" t="str">
        <f>IF(OR(A1899="",E1899="","",A1899="?",E1899="?"),"duplicate?",IF(COUNTIFS($A:A,A1899,E:E,E1899)&gt;1,"yes","no"))</f>
        <v>duplicate?</v>
      </c>
      <c r="K1899" s="97" t="str">
        <f ca="1">IF(J1899="","Date",IF(J1899&lt;&gt;"",IF(K1899="Date",NOW(),K1899),""))</f>
        <v>Date</v>
      </c>
    </row>
    <row r="1900" spans="2:11">
      <c r="B1900" s="97" t="str">
        <f ca="1">IF(A1900="","Date",IF(A1900&lt;&gt;"",IF(B1900="Date",NOW(),B1900),""))</f>
        <v>Date</v>
      </c>
      <c r="C1900" s="19" t="str">
        <f>IF(ISBLANK(A1900),"Name",IF(ISNA(VLOOKUP(A1900,'Master List'!A:C,2,FALSE)), "Not Found", VLOOKUP(A1900,'Master List'!A:C,2,FALSE)))</f>
        <v>Name</v>
      </c>
      <c r="D1900" s="19" t="str">
        <f>IF(ISBLANK(A1900), "Email",IF(ISNA(VLOOKUP(A1900,'Master List'!A:C,3,FALSE)), "Not Found", VLOOKUP(A1900,'Master List'!A:C,3,FALSE)))</f>
        <v>Email</v>
      </c>
      <c r="F1900" s="4" t="str">
        <f>IF(OR(A1900="",E1900="","",A1900="?",E1900="?"),"duplicate?",IF(COUNTIFS($A:A,A1900,E:E,E1900)&gt;1,"yes","no"))</f>
        <v>duplicate?</v>
      </c>
      <c r="K1900" s="97" t="str">
        <f ca="1">IF(J1900="","Date",IF(J1900&lt;&gt;"",IF(K1900="Date",NOW(),K1900),""))</f>
        <v>Date</v>
      </c>
    </row>
    <row r="1901" spans="2:11">
      <c r="B1901" s="97" t="str">
        <f ca="1">IF(A1901="","Date",IF(A1901&lt;&gt;"",IF(B1901="Date",NOW(),B1901),""))</f>
        <v>Date</v>
      </c>
      <c r="C1901" s="19" t="str">
        <f>IF(ISBLANK(A1901),"Name",IF(ISNA(VLOOKUP(A1901,'Master List'!A:C,2,FALSE)), "Not Found", VLOOKUP(A1901,'Master List'!A:C,2,FALSE)))</f>
        <v>Name</v>
      </c>
      <c r="D1901" s="19" t="str">
        <f>IF(ISBLANK(A1901), "Email",IF(ISNA(VLOOKUP(A1901,'Master List'!A:C,3,FALSE)), "Not Found", VLOOKUP(A1901,'Master List'!A:C,3,FALSE)))</f>
        <v>Email</v>
      </c>
      <c r="F1901" s="4" t="str">
        <f>IF(OR(A1901="",E1901="","",A1901="?",E1901="?"),"duplicate?",IF(COUNTIFS($A:A,A1901,E:E,E1901)&gt;1,"yes","no"))</f>
        <v>duplicate?</v>
      </c>
      <c r="K1901" s="97" t="str">
        <f ca="1">IF(J1901="","Date",IF(J1901&lt;&gt;"",IF(K1901="Date",NOW(),K1901),""))</f>
        <v>Date</v>
      </c>
    </row>
    <row r="1902" spans="2:11">
      <c r="B1902" s="97" t="str">
        <f ca="1">IF(A1902="","Date",IF(A1902&lt;&gt;"",IF(B1902="Date",NOW(),B1902),""))</f>
        <v>Date</v>
      </c>
      <c r="C1902" s="19" t="str">
        <f>IF(ISBLANK(A1902),"Name",IF(ISNA(VLOOKUP(A1902,'Master List'!A:C,2,FALSE)), "Not Found", VLOOKUP(A1902,'Master List'!A:C,2,FALSE)))</f>
        <v>Name</v>
      </c>
      <c r="D1902" s="19" t="str">
        <f>IF(ISBLANK(A1902), "Email",IF(ISNA(VLOOKUP(A1902,'Master List'!A:C,3,FALSE)), "Not Found", VLOOKUP(A1902,'Master List'!A:C,3,FALSE)))</f>
        <v>Email</v>
      </c>
      <c r="F1902" s="4" t="str">
        <f>IF(OR(A1902="",E1902="","",A1902="?",E1902="?"),"duplicate?",IF(COUNTIFS($A:A,A1902,E:E,E1902)&gt;1,"yes","no"))</f>
        <v>duplicate?</v>
      </c>
      <c r="K1902" s="97" t="str">
        <f ca="1">IF(J1902="","Date",IF(J1902&lt;&gt;"",IF(K1902="Date",NOW(),K1902),""))</f>
        <v>Date</v>
      </c>
    </row>
    <row r="1903" spans="2:11">
      <c r="B1903" s="97" t="str">
        <f ca="1">IF(A1903="","Date",IF(A1903&lt;&gt;"",IF(B1903="Date",NOW(),B1903),""))</f>
        <v>Date</v>
      </c>
      <c r="C1903" s="19" t="str">
        <f>IF(ISBLANK(A1903),"Name",IF(ISNA(VLOOKUP(A1903,'Master List'!A:C,2,FALSE)), "Not Found", VLOOKUP(A1903,'Master List'!A:C,2,FALSE)))</f>
        <v>Name</v>
      </c>
      <c r="D1903" s="19" t="str">
        <f>IF(ISBLANK(A1903), "Email",IF(ISNA(VLOOKUP(A1903,'Master List'!A:C,3,FALSE)), "Not Found", VLOOKUP(A1903,'Master List'!A:C,3,FALSE)))</f>
        <v>Email</v>
      </c>
      <c r="F1903" s="4" t="str">
        <f>IF(OR(A1903="",E1903="","",A1903="?",E1903="?"),"duplicate?",IF(COUNTIFS($A:A,A1903,E:E,E1903)&gt;1,"yes","no"))</f>
        <v>duplicate?</v>
      </c>
      <c r="K1903" s="97" t="str">
        <f ca="1">IF(J1903="","Date",IF(J1903&lt;&gt;"",IF(K1903="Date",NOW(),K1903),""))</f>
        <v>Date</v>
      </c>
    </row>
    <row r="1904" spans="2:11">
      <c r="B1904" s="97" t="str">
        <f ca="1">IF(A1904="","Date",IF(A1904&lt;&gt;"",IF(B1904="Date",NOW(),B1904),""))</f>
        <v>Date</v>
      </c>
      <c r="C1904" s="19" t="str">
        <f>IF(ISBLANK(A1904),"Name",IF(ISNA(VLOOKUP(A1904,'Master List'!A:C,2,FALSE)), "Not Found", VLOOKUP(A1904,'Master List'!A:C,2,FALSE)))</f>
        <v>Name</v>
      </c>
      <c r="D1904" s="19" t="str">
        <f>IF(ISBLANK(A1904), "Email",IF(ISNA(VLOOKUP(A1904,'Master List'!A:C,3,FALSE)), "Not Found", VLOOKUP(A1904,'Master List'!A:C,3,FALSE)))</f>
        <v>Email</v>
      </c>
      <c r="F1904" s="4" t="str">
        <f>IF(OR(A1904="",E1904="","",A1904="?",E1904="?"),"duplicate?",IF(COUNTIFS($A:A,A1904,E:E,E1904)&gt;1,"yes","no"))</f>
        <v>duplicate?</v>
      </c>
      <c r="K1904" s="97" t="str">
        <f ca="1">IF(J1904="","Date",IF(J1904&lt;&gt;"",IF(K1904="Date",NOW(),K1904),""))</f>
        <v>Date</v>
      </c>
    </row>
    <row r="1905" spans="2:11">
      <c r="B1905" s="97" t="str">
        <f ca="1">IF(A1905="","Date",IF(A1905&lt;&gt;"",IF(B1905="Date",NOW(),B1905),""))</f>
        <v>Date</v>
      </c>
      <c r="C1905" s="19" t="str">
        <f>IF(ISBLANK(A1905),"Name",IF(ISNA(VLOOKUP(A1905,'Master List'!A:C,2,FALSE)), "Not Found", VLOOKUP(A1905,'Master List'!A:C,2,FALSE)))</f>
        <v>Name</v>
      </c>
      <c r="D1905" s="19" t="str">
        <f>IF(ISBLANK(A1905), "Email",IF(ISNA(VLOOKUP(A1905,'Master List'!A:C,3,FALSE)), "Not Found", VLOOKUP(A1905,'Master List'!A:C,3,FALSE)))</f>
        <v>Email</v>
      </c>
      <c r="F1905" s="4" t="str">
        <f>IF(OR(A1905="",E1905="","",A1905="?",E1905="?"),"duplicate?",IF(COUNTIFS($A:A,A1905,E:E,E1905)&gt;1,"yes","no"))</f>
        <v>duplicate?</v>
      </c>
      <c r="K1905" s="97" t="str">
        <f ca="1">IF(J1905="","Date",IF(J1905&lt;&gt;"",IF(K1905="Date",NOW(),K1905),""))</f>
        <v>Date</v>
      </c>
    </row>
    <row r="1906" spans="2:11">
      <c r="B1906" s="97" t="str">
        <f ca="1">IF(A1906="","Date",IF(A1906&lt;&gt;"",IF(B1906="Date",NOW(),B1906),""))</f>
        <v>Date</v>
      </c>
      <c r="C1906" s="19" t="str">
        <f>IF(ISBLANK(A1906),"Name",IF(ISNA(VLOOKUP(A1906,'Master List'!A:C,2,FALSE)), "Not Found", VLOOKUP(A1906,'Master List'!A:C,2,FALSE)))</f>
        <v>Name</v>
      </c>
      <c r="D1906" s="19" t="str">
        <f>IF(ISBLANK(A1906), "Email",IF(ISNA(VLOOKUP(A1906,'Master List'!A:C,3,FALSE)), "Not Found", VLOOKUP(A1906,'Master List'!A:C,3,FALSE)))</f>
        <v>Email</v>
      </c>
      <c r="F1906" s="4" t="str">
        <f>IF(OR(A1906="",E1906="","",A1906="?",E1906="?"),"duplicate?",IF(COUNTIFS($A:A,A1906,E:E,E1906)&gt;1,"yes","no"))</f>
        <v>duplicate?</v>
      </c>
      <c r="K1906" s="97" t="str">
        <f ca="1">IF(J1906="","Date",IF(J1906&lt;&gt;"",IF(K1906="Date",NOW(),K1906),""))</f>
        <v>Date</v>
      </c>
    </row>
    <row r="1907" spans="2:11">
      <c r="B1907" s="97" t="str">
        <f ca="1">IF(A1907="","Date",IF(A1907&lt;&gt;"",IF(B1907="Date",NOW(),B1907),""))</f>
        <v>Date</v>
      </c>
      <c r="C1907" s="19" t="str">
        <f>IF(ISBLANK(A1907),"Name",IF(ISNA(VLOOKUP(A1907,'Master List'!A:C,2,FALSE)), "Not Found", VLOOKUP(A1907,'Master List'!A:C,2,FALSE)))</f>
        <v>Name</v>
      </c>
      <c r="D1907" s="19" t="str">
        <f>IF(ISBLANK(A1907), "Email",IF(ISNA(VLOOKUP(A1907,'Master List'!A:C,3,FALSE)), "Not Found", VLOOKUP(A1907,'Master List'!A:C,3,FALSE)))</f>
        <v>Email</v>
      </c>
      <c r="F1907" s="4" t="str">
        <f>IF(OR(A1907="",E1907="","",A1907="?",E1907="?"),"duplicate?",IF(COUNTIFS($A:A,A1907,E:E,E1907)&gt;1,"yes","no"))</f>
        <v>duplicate?</v>
      </c>
      <c r="K1907" s="97" t="str">
        <f ca="1">IF(J1907="","Date",IF(J1907&lt;&gt;"",IF(K1907="Date",NOW(),K1907),""))</f>
        <v>Date</v>
      </c>
    </row>
    <row r="1908" spans="2:11">
      <c r="B1908" s="97" t="str">
        <f ca="1">IF(A1908="","Date",IF(A1908&lt;&gt;"",IF(B1908="Date",NOW(),B1908),""))</f>
        <v>Date</v>
      </c>
      <c r="C1908" s="19" t="str">
        <f>IF(ISBLANK(A1908),"Name",IF(ISNA(VLOOKUP(A1908,'Master List'!A:C,2,FALSE)), "Not Found", VLOOKUP(A1908,'Master List'!A:C,2,FALSE)))</f>
        <v>Name</v>
      </c>
      <c r="D1908" s="19" t="str">
        <f>IF(ISBLANK(A1908), "Email",IF(ISNA(VLOOKUP(A1908,'Master List'!A:C,3,FALSE)), "Not Found", VLOOKUP(A1908,'Master List'!A:C,3,FALSE)))</f>
        <v>Email</v>
      </c>
      <c r="F1908" s="4" t="str">
        <f>IF(OR(A1908="",E1908="","",A1908="?",E1908="?"),"duplicate?",IF(COUNTIFS($A:A,A1908,E:E,E1908)&gt;1,"yes","no"))</f>
        <v>duplicate?</v>
      </c>
      <c r="K1908" s="97" t="str">
        <f ca="1">IF(J1908="","Date",IF(J1908&lt;&gt;"",IF(K1908="Date",NOW(),K1908),""))</f>
        <v>Date</v>
      </c>
    </row>
    <row r="1909" spans="2:11">
      <c r="B1909" s="97" t="str">
        <f ca="1">IF(A1909="","Date",IF(A1909&lt;&gt;"",IF(B1909="Date",NOW(),B1909),""))</f>
        <v>Date</v>
      </c>
      <c r="C1909" s="19" t="str">
        <f>IF(ISBLANK(A1909),"Name",IF(ISNA(VLOOKUP(A1909,'Master List'!A:C,2,FALSE)), "Not Found", VLOOKUP(A1909,'Master List'!A:C,2,FALSE)))</f>
        <v>Name</v>
      </c>
      <c r="D1909" s="19" t="str">
        <f>IF(ISBLANK(A1909), "Email",IF(ISNA(VLOOKUP(A1909,'Master List'!A:C,3,FALSE)), "Not Found", VLOOKUP(A1909,'Master List'!A:C,3,FALSE)))</f>
        <v>Email</v>
      </c>
      <c r="F1909" s="4" t="str">
        <f>IF(OR(A1909="",E1909="","",A1909="?",E1909="?"),"duplicate?",IF(COUNTIFS($A:A,A1909,E:E,E1909)&gt;1,"yes","no"))</f>
        <v>duplicate?</v>
      </c>
      <c r="K1909" s="97" t="str">
        <f ca="1">IF(J1909="","Date",IF(J1909&lt;&gt;"",IF(K1909="Date",NOW(),K1909),""))</f>
        <v>Date</v>
      </c>
    </row>
    <row r="1910" spans="2:11">
      <c r="B1910" s="97" t="str">
        <f ca="1">IF(A1910="","Date",IF(A1910&lt;&gt;"",IF(B1910="Date",NOW(),B1910),""))</f>
        <v>Date</v>
      </c>
      <c r="C1910" s="19" t="str">
        <f>IF(ISBLANK(A1910),"Name",IF(ISNA(VLOOKUP(A1910,'Master List'!A:C,2,FALSE)), "Not Found", VLOOKUP(A1910,'Master List'!A:C,2,FALSE)))</f>
        <v>Name</v>
      </c>
      <c r="D1910" s="19" t="str">
        <f>IF(ISBLANK(A1910), "Email",IF(ISNA(VLOOKUP(A1910,'Master List'!A:C,3,FALSE)), "Not Found", VLOOKUP(A1910,'Master List'!A:C,3,FALSE)))</f>
        <v>Email</v>
      </c>
      <c r="F1910" s="4" t="str">
        <f>IF(OR(A1910="",E1910="","",A1910="?",E1910="?"),"duplicate?",IF(COUNTIFS($A:A,A1910,E:E,E1910)&gt;1,"yes","no"))</f>
        <v>duplicate?</v>
      </c>
      <c r="K1910" s="97" t="str">
        <f ca="1">IF(J1910="","Date",IF(J1910&lt;&gt;"",IF(K1910="Date",NOW(),K1910),""))</f>
        <v>Date</v>
      </c>
    </row>
    <row r="1911" spans="2:11">
      <c r="B1911" s="97" t="str">
        <f ca="1">IF(A1911="","Date",IF(A1911&lt;&gt;"",IF(B1911="Date",NOW(),B1911),""))</f>
        <v>Date</v>
      </c>
      <c r="C1911" s="19" t="str">
        <f>IF(ISBLANK(A1911),"Name",IF(ISNA(VLOOKUP(A1911,'Master List'!A:C,2,FALSE)), "Not Found", VLOOKUP(A1911,'Master List'!A:C,2,FALSE)))</f>
        <v>Name</v>
      </c>
      <c r="D1911" s="19" t="str">
        <f>IF(ISBLANK(A1911), "Email",IF(ISNA(VLOOKUP(A1911,'Master List'!A:C,3,FALSE)), "Not Found", VLOOKUP(A1911,'Master List'!A:C,3,FALSE)))</f>
        <v>Email</v>
      </c>
      <c r="F1911" s="4" t="str">
        <f>IF(OR(A1911="",E1911="","",A1911="?",E1911="?"),"duplicate?",IF(COUNTIFS($A:A,A1911,E:E,E1911)&gt;1,"yes","no"))</f>
        <v>duplicate?</v>
      </c>
      <c r="K1911" s="97" t="str">
        <f ca="1">IF(J1911="","Date",IF(J1911&lt;&gt;"",IF(K1911="Date",NOW(),K1911),""))</f>
        <v>Date</v>
      </c>
    </row>
    <row r="1912" spans="2:11">
      <c r="B1912" s="97" t="str">
        <f ca="1">IF(A1912="","Date",IF(A1912&lt;&gt;"",IF(B1912="Date",NOW(),B1912),""))</f>
        <v>Date</v>
      </c>
      <c r="C1912" s="19" t="str">
        <f>IF(ISBLANK(A1912),"Name",IF(ISNA(VLOOKUP(A1912,'Master List'!A:C,2,FALSE)), "Not Found", VLOOKUP(A1912,'Master List'!A:C,2,FALSE)))</f>
        <v>Name</v>
      </c>
      <c r="D1912" s="19" t="str">
        <f>IF(ISBLANK(A1912), "Email",IF(ISNA(VLOOKUP(A1912,'Master List'!A:C,3,FALSE)), "Not Found", VLOOKUP(A1912,'Master List'!A:C,3,FALSE)))</f>
        <v>Email</v>
      </c>
      <c r="F1912" s="4" t="str">
        <f>IF(OR(A1912="",E1912="","",A1912="?",E1912="?"),"duplicate?",IF(COUNTIFS($A:A,A1912,E:E,E1912)&gt;1,"yes","no"))</f>
        <v>duplicate?</v>
      </c>
      <c r="K1912" s="97" t="str">
        <f ca="1">IF(J1912="","Date",IF(J1912&lt;&gt;"",IF(K1912="Date",NOW(),K1912),""))</f>
        <v>Date</v>
      </c>
    </row>
    <row r="1913" spans="2:11">
      <c r="B1913" s="97" t="str">
        <f ca="1">IF(A1913="","Date",IF(A1913&lt;&gt;"",IF(B1913="Date",NOW(),B1913),""))</f>
        <v>Date</v>
      </c>
      <c r="C1913" s="19" t="str">
        <f>IF(ISBLANK(A1913),"Name",IF(ISNA(VLOOKUP(A1913,'Master List'!A:C,2,FALSE)), "Not Found", VLOOKUP(A1913,'Master List'!A:C,2,FALSE)))</f>
        <v>Name</v>
      </c>
      <c r="D1913" s="19" t="str">
        <f>IF(ISBLANK(A1913), "Email",IF(ISNA(VLOOKUP(A1913,'Master List'!A:C,3,FALSE)), "Not Found", VLOOKUP(A1913,'Master List'!A:C,3,FALSE)))</f>
        <v>Email</v>
      </c>
      <c r="F1913" s="4" t="str">
        <f>IF(OR(A1913="",E1913="","",A1913="?",E1913="?"),"duplicate?",IF(COUNTIFS($A:A,A1913,E:E,E1913)&gt;1,"yes","no"))</f>
        <v>duplicate?</v>
      </c>
      <c r="K1913" s="97" t="str">
        <f ca="1">IF(J1913="","Date",IF(J1913&lt;&gt;"",IF(K1913="Date",NOW(),K1913),""))</f>
        <v>Date</v>
      </c>
    </row>
    <row r="1914" spans="2:11">
      <c r="B1914" s="97" t="str">
        <f ca="1">IF(A1914="","Date",IF(A1914&lt;&gt;"",IF(B1914="Date",NOW(),B1914),""))</f>
        <v>Date</v>
      </c>
      <c r="C1914" s="19" t="str">
        <f>IF(ISBLANK(A1914),"Name",IF(ISNA(VLOOKUP(A1914,'Master List'!A:C,2,FALSE)), "Not Found", VLOOKUP(A1914,'Master List'!A:C,2,FALSE)))</f>
        <v>Name</v>
      </c>
      <c r="D1914" s="19" t="str">
        <f>IF(ISBLANK(A1914), "Email",IF(ISNA(VLOOKUP(A1914,'Master List'!A:C,3,FALSE)), "Not Found", VLOOKUP(A1914,'Master List'!A:C,3,FALSE)))</f>
        <v>Email</v>
      </c>
      <c r="F1914" s="4" t="str">
        <f>IF(OR(A1914="",E1914="","",A1914="?",E1914="?"),"duplicate?",IF(COUNTIFS($A:A,A1914,E:E,E1914)&gt;1,"yes","no"))</f>
        <v>duplicate?</v>
      </c>
      <c r="K1914" s="97" t="str">
        <f ca="1">IF(J1914="","Date",IF(J1914&lt;&gt;"",IF(K1914="Date",NOW(),K1914),""))</f>
        <v>Date</v>
      </c>
    </row>
    <row r="1915" spans="2:11">
      <c r="B1915" s="97" t="str">
        <f ca="1">IF(A1915="","Date",IF(A1915&lt;&gt;"",IF(B1915="Date",NOW(),B1915),""))</f>
        <v>Date</v>
      </c>
      <c r="C1915" s="19" t="str">
        <f>IF(ISBLANK(A1915),"Name",IF(ISNA(VLOOKUP(A1915,'Master List'!A:C,2,FALSE)), "Not Found", VLOOKUP(A1915,'Master List'!A:C,2,FALSE)))</f>
        <v>Name</v>
      </c>
      <c r="D1915" s="19" t="str">
        <f>IF(ISBLANK(A1915), "Email",IF(ISNA(VLOOKUP(A1915,'Master List'!A:C,3,FALSE)), "Not Found", VLOOKUP(A1915,'Master List'!A:C,3,FALSE)))</f>
        <v>Email</v>
      </c>
      <c r="F1915" s="4" t="str">
        <f>IF(OR(A1915="",E1915="","",A1915="?",E1915="?"),"duplicate?",IF(COUNTIFS($A:A,A1915,E:E,E1915)&gt;1,"yes","no"))</f>
        <v>duplicate?</v>
      </c>
      <c r="K1915" s="97" t="str">
        <f ca="1">IF(J1915="","Date",IF(J1915&lt;&gt;"",IF(K1915="Date",NOW(),K1915),""))</f>
        <v>Date</v>
      </c>
    </row>
    <row r="1916" spans="2:11">
      <c r="B1916" s="97" t="str">
        <f ca="1">IF(A1916="","Date",IF(A1916&lt;&gt;"",IF(B1916="Date",NOW(),B1916),""))</f>
        <v>Date</v>
      </c>
      <c r="C1916" s="19" t="str">
        <f>IF(ISBLANK(A1916),"Name",IF(ISNA(VLOOKUP(A1916,'Master List'!A:C,2,FALSE)), "Not Found", VLOOKUP(A1916,'Master List'!A:C,2,FALSE)))</f>
        <v>Name</v>
      </c>
      <c r="D1916" s="19" t="str">
        <f>IF(ISBLANK(A1916), "Email",IF(ISNA(VLOOKUP(A1916,'Master List'!A:C,3,FALSE)), "Not Found", VLOOKUP(A1916,'Master List'!A:C,3,FALSE)))</f>
        <v>Email</v>
      </c>
      <c r="F1916" s="4" t="str">
        <f>IF(OR(A1916="",E1916="","",A1916="?",E1916="?"),"duplicate?",IF(COUNTIFS($A:A,A1916,E:E,E1916)&gt;1,"yes","no"))</f>
        <v>duplicate?</v>
      </c>
      <c r="K1916" s="97" t="str">
        <f ca="1">IF(J1916="","Date",IF(J1916&lt;&gt;"",IF(K1916="Date",NOW(),K1916),""))</f>
        <v>Date</v>
      </c>
    </row>
    <row r="1917" spans="2:11">
      <c r="B1917" s="97" t="str">
        <f ca="1">IF(A1917="","Date",IF(A1917&lt;&gt;"",IF(B1917="Date",NOW(),B1917),""))</f>
        <v>Date</v>
      </c>
      <c r="C1917" s="19" t="str">
        <f>IF(ISBLANK(A1917),"Name",IF(ISNA(VLOOKUP(A1917,'Master List'!A:C,2,FALSE)), "Not Found", VLOOKUP(A1917,'Master List'!A:C,2,FALSE)))</f>
        <v>Name</v>
      </c>
      <c r="D1917" s="19" t="str">
        <f>IF(ISBLANK(A1917), "Email",IF(ISNA(VLOOKUP(A1917,'Master List'!A:C,3,FALSE)), "Not Found", VLOOKUP(A1917,'Master List'!A:C,3,FALSE)))</f>
        <v>Email</v>
      </c>
      <c r="F1917" s="4" t="str">
        <f>IF(OR(A1917="",E1917="","",A1917="?",E1917="?"),"duplicate?",IF(COUNTIFS($A:A,A1917,E:E,E1917)&gt;1,"yes","no"))</f>
        <v>duplicate?</v>
      </c>
      <c r="K1917" s="97" t="str">
        <f ca="1">IF(J1917="","Date",IF(J1917&lt;&gt;"",IF(K1917="Date",NOW(),K1917),""))</f>
        <v>Date</v>
      </c>
    </row>
    <row r="1918" spans="2:11">
      <c r="B1918" s="97" t="str">
        <f ca="1">IF(A1918="","Date",IF(A1918&lt;&gt;"",IF(B1918="Date",NOW(),B1918),""))</f>
        <v>Date</v>
      </c>
      <c r="C1918" s="19" t="str">
        <f>IF(ISBLANK(A1918),"Name",IF(ISNA(VLOOKUP(A1918,'Master List'!A:C,2,FALSE)), "Not Found", VLOOKUP(A1918,'Master List'!A:C,2,FALSE)))</f>
        <v>Name</v>
      </c>
      <c r="D1918" s="19" t="str">
        <f>IF(ISBLANK(A1918), "Email",IF(ISNA(VLOOKUP(A1918,'Master List'!A:C,3,FALSE)), "Not Found", VLOOKUP(A1918,'Master List'!A:C,3,FALSE)))</f>
        <v>Email</v>
      </c>
      <c r="F1918" s="4" t="str">
        <f>IF(OR(A1918="",E1918="","",A1918="?",E1918="?"),"duplicate?",IF(COUNTIFS($A:A,A1918,E:E,E1918)&gt;1,"yes","no"))</f>
        <v>duplicate?</v>
      </c>
      <c r="K1918" s="97" t="str">
        <f ca="1">IF(J1918="","Date",IF(J1918&lt;&gt;"",IF(K1918="Date",NOW(),K1918),""))</f>
        <v>Date</v>
      </c>
    </row>
    <row r="1919" spans="2:11">
      <c r="B1919" s="97" t="str">
        <f ca="1">IF(A1919="","Date",IF(A1919&lt;&gt;"",IF(B1919="Date",NOW(),B1919),""))</f>
        <v>Date</v>
      </c>
      <c r="C1919" s="19" t="str">
        <f>IF(ISBLANK(A1919),"Name",IF(ISNA(VLOOKUP(A1919,'Master List'!A:C,2,FALSE)), "Not Found", VLOOKUP(A1919,'Master List'!A:C,2,FALSE)))</f>
        <v>Name</v>
      </c>
      <c r="D1919" s="19" t="str">
        <f>IF(ISBLANK(A1919), "Email",IF(ISNA(VLOOKUP(A1919,'Master List'!A:C,3,FALSE)), "Not Found", VLOOKUP(A1919,'Master List'!A:C,3,FALSE)))</f>
        <v>Email</v>
      </c>
      <c r="F1919" s="4" t="str">
        <f>IF(OR(A1919="",E1919="","",A1919="?",E1919="?"),"duplicate?",IF(COUNTIFS($A:A,A1919,E:E,E1919)&gt;1,"yes","no"))</f>
        <v>duplicate?</v>
      </c>
      <c r="K1919" s="97" t="str">
        <f ca="1">IF(J1919="","Date",IF(J1919&lt;&gt;"",IF(K1919="Date",NOW(),K1919),""))</f>
        <v>Date</v>
      </c>
    </row>
    <row r="1920" spans="2:11">
      <c r="B1920" s="97" t="str">
        <f ca="1">IF(A1920="","Date",IF(A1920&lt;&gt;"",IF(B1920="Date",NOW(),B1920),""))</f>
        <v>Date</v>
      </c>
      <c r="C1920" s="19" t="str">
        <f>IF(ISBLANK(A1920),"Name",IF(ISNA(VLOOKUP(A1920,'Master List'!A:C,2,FALSE)), "Not Found", VLOOKUP(A1920,'Master List'!A:C,2,FALSE)))</f>
        <v>Name</v>
      </c>
      <c r="D1920" s="19" t="str">
        <f>IF(ISBLANK(A1920), "Email",IF(ISNA(VLOOKUP(A1920,'Master List'!A:C,3,FALSE)), "Not Found", VLOOKUP(A1920,'Master List'!A:C,3,FALSE)))</f>
        <v>Email</v>
      </c>
      <c r="F1920" s="4" t="str">
        <f>IF(OR(A1920="",E1920="","",A1920="?",E1920="?"),"duplicate?",IF(COUNTIFS($A:A,A1920,E:E,E1920)&gt;1,"yes","no"))</f>
        <v>duplicate?</v>
      </c>
      <c r="K1920" s="97" t="str">
        <f ca="1">IF(J1920="","Date",IF(J1920&lt;&gt;"",IF(K1920="Date",NOW(),K1920),""))</f>
        <v>Date</v>
      </c>
    </row>
    <row r="1921" spans="2:11">
      <c r="B1921" s="97" t="str">
        <f ca="1">IF(A1921="","Date",IF(A1921&lt;&gt;"",IF(B1921="Date",NOW(),B1921),""))</f>
        <v>Date</v>
      </c>
      <c r="C1921" s="19" t="str">
        <f>IF(ISBLANK(A1921),"Name",IF(ISNA(VLOOKUP(A1921,'Master List'!A:C,2,FALSE)), "Not Found", VLOOKUP(A1921,'Master List'!A:C,2,FALSE)))</f>
        <v>Name</v>
      </c>
      <c r="D1921" s="19" t="str">
        <f>IF(ISBLANK(A1921), "Email",IF(ISNA(VLOOKUP(A1921,'Master List'!A:C,3,FALSE)), "Not Found", VLOOKUP(A1921,'Master List'!A:C,3,FALSE)))</f>
        <v>Email</v>
      </c>
      <c r="F1921" s="4" t="str">
        <f>IF(OR(A1921="",E1921="","",A1921="?",E1921="?"),"duplicate?",IF(COUNTIFS($A:A,A1921,E:E,E1921)&gt;1,"yes","no"))</f>
        <v>duplicate?</v>
      </c>
      <c r="K1921" s="97" t="str">
        <f ca="1">IF(J1921="","Date",IF(J1921&lt;&gt;"",IF(K1921="Date",NOW(),K1921),""))</f>
        <v>Date</v>
      </c>
    </row>
    <row r="1922" spans="2:11">
      <c r="B1922" s="97" t="str">
        <f ca="1">IF(A1922="","Date",IF(A1922&lt;&gt;"",IF(B1922="Date",NOW(),B1922),""))</f>
        <v>Date</v>
      </c>
      <c r="C1922" s="19" t="str">
        <f>IF(ISBLANK(A1922),"Name",IF(ISNA(VLOOKUP(A1922,'Master List'!A:C,2,FALSE)), "Not Found", VLOOKUP(A1922,'Master List'!A:C,2,FALSE)))</f>
        <v>Name</v>
      </c>
      <c r="D1922" s="19" t="str">
        <f>IF(ISBLANK(A1922), "Email",IF(ISNA(VLOOKUP(A1922,'Master List'!A:C,3,FALSE)), "Not Found", VLOOKUP(A1922,'Master List'!A:C,3,FALSE)))</f>
        <v>Email</v>
      </c>
      <c r="F1922" s="4" t="str">
        <f>IF(OR(A1922="",E1922="","",A1922="?",E1922="?"),"duplicate?",IF(COUNTIFS($A:A,A1922,E:E,E1922)&gt;1,"yes","no"))</f>
        <v>duplicate?</v>
      </c>
      <c r="K1922" s="97" t="str">
        <f ca="1">IF(J1922="","Date",IF(J1922&lt;&gt;"",IF(K1922="Date",NOW(),K1922),""))</f>
        <v>Date</v>
      </c>
    </row>
    <row r="1923" spans="2:11">
      <c r="B1923" s="97" t="str">
        <f ca="1">IF(A1923="","Date",IF(A1923&lt;&gt;"",IF(B1923="Date",NOW(),B1923),""))</f>
        <v>Date</v>
      </c>
      <c r="C1923" s="19" t="str">
        <f>IF(ISBLANK(A1923),"Name",IF(ISNA(VLOOKUP(A1923,'Master List'!A:C,2,FALSE)), "Not Found", VLOOKUP(A1923,'Master List'!A:C,2,FALSE)))</f>
        <v>Name</v>
      </c>
      <c r="D1923" s="19" t="str">
        <f>IF(ISBLANK(A1923), "Email",IF(ISNA(VLOOKUP(A1923,'Master List'!A:C,3,FALSE)), "Not Found", VLOOKUP(A1923,'Master List'!A:C,3,FALSE)))</f>
        <v>Email</v>
      </c>
      <c r="F1923" s="4" t="str">
        <f>IF(OR(A1923="",E1923="","",A1923="?",E1923="?"),"duplicate?",IF(COUNTIFS($A:A,A1923,E:E,E1923)&gt;1,"yes","no"))</f>
        <v>duplicate?</v>
      </c>
      <c r="K1923" s="97" t="str">
        <f ca="1">IF(J1923="","Date",IF(J1923&lt;&gt;"",IF(K1923="Date",NOW(),K1923),""))</f>
        <v>Date</v>
      </c>
    </row>
    <row r="1924" spans="2:11">
      <c r="B1924" s="97" t="str">
        <f ca="1">IF(A1924="","Date",IF(A1924&lt;&gt;"",IF(B1924="Date",NOW(),B1924),""))</f>
        <v>Date</v>
      </c>
      <c r="C1924" s="19" t="str">
        <f>IF(ISBLANK(A1924),"Name",IF(ISNA(VLOOKUP(A1924,'Master List'!A:C,2,FALSE)), "Not Found", VLOOKUP(A1924,'Master List'!A:C,2,FALSE)))</f>
        <v>Name</v>
      </c>
      <c r="D1924" s="19" t="str">
        <f>IF(ISBLANK(A1924), "Email",IF(ISNA(VLOOKUP(A1924,'Master List'!A:C,3,FALSE)), "Not Found", VLOOKUP(A1924,'Master List'!A:C,3,FALSE)))</f>
        <v>Email</v>
      </c>
      <c r="F1924" s="4" t="str">
        <f>IF(OR(A1924="",E1924="","",A1924="?",E1924="?"),"duplicate?",IF(COUNTIFS($A:A,A1924,E:E,E1924)&gt;1,"yes","no"))</f>
        <v>duplicate?</v>
      </c>
      <c r="K1924" s="97" t="str">
        <f ca="1">IF(J1924="","Date",IF(J1924&lt;&gt;"",IF(K1924="Date",NOW(),K1924),""))</f>
        <v>Date</v>
      </c>
    </row>
    <row r="1925" spans="2:11">
      <c r="B1925" s="97" t="str">
        <f ca="1">IF(A1925="","Date",IF(A1925&lt;&gt;"",IF(B1925="Date",NOW(),B1925),""))</f>
        <v>Date</v>
      </c>
      <c r="C1925" s="19" t="str">
        <f>IF(ISBLANK(A1925),"Name",IF(ISNA(VLOOKUP(A1925,'Master List'!A:C,2,FALSE)), "Not Found", VLOOKUP(A1925,'Master List'!A:C,2,FALSE)))</f>
        <v>Name</v>
      </c>
      <c r="D1925" s="19" t="str">
        <f>IF(ISBLANK(A1925), "Email",IF(ISNA(VLOOKUP(A1925,'Master List'!A:C,3,FALSE)), "Not Found", VLOOKUP(A1925,'Master List'!A:C,3,FALSE)))</f>
        <v>Email</v>
      </c>
      <c r="F1925" s="4" t="str">
        <f>IF(OR(A1925="",E1925="","",A1925="?",E1925="?"),"duplicate?",IF(COUNTIFS($A:A,A1925,E:E,E1925)&gt;1,"yes","no"))</f>
        <v>duplicate?</v>
      </c>
      <c r="K1925" s="97" t="str">
        <f ca="1">IF(J1925="","Date",IF(J1925&lt;&gt;"",IF(K1925="Date",NOW(),K1925),""))</f>
        <v>Date</v>
      </c>
    </row>
    <row r="1926" spans="2:11">
      <c r="B1926" s="97" t="str">
        <f ca="1">IF(A1926="","Date",IF(A1926&lt;&gt;"",IF(B1926="Date",NOW(),B1926),""))</f>
        <v>Date</v>
      </c>
      <c r="C1926" s="19" t="str">
        <f>IF(ISBLANK(A1926),"Name",IF(ISNA(VLOOKUP(A1926,'Master List'!A:C,2,FALSE)), "Not Found", VLOOKUP(A1926,'Master List'!A:C,2,FALSE)))</f>
        <v>Name</v>
      </c>
      <c r="D1926" s="19" t="str">
        <f>IF(ISBLANK(A1926), "Email",IF(ISNA(VLOOKUP(A1926,'Master List'!A:C,3,FALSE)), "Not Found", VLOOKUP(A1926,'Master List'!A:C,3,FALSE)))</f>
        <v>Email</v>
      </c>
      <c r="F1926" s="4" t="str">
        <f>IF(OR(A1926="",E1926="","",A1926="?",E1926="?"),"duplicate?",IF(COUNTIFS($A:A,A1926,E:E,E1926)&gt;1,"yes","no"))</f>
        <v>duplicate?</v>
      </c>
      <c r="K1926" s="97" t="str">
        <f ca="1">IF(J1926="","Date",IF(J1926&lt;&gt;"",IF(K1926="Date",NOW(),K1926),""))</f>
        <v>Date</v>
      </c>
    </row>
    <row r="1927" spans="2:11">
      <c r="B1927" s="97" t="str">
        <f ca="1">IF(A1927="","Date",IF(A1927&lt;&gt;"",IF(B1927="Date",NOW(),B1927),""))</f>
        <v>Date</v>
      </c>
      <c r="C1927" s="19" t="str">
        <f>IF(ISBLANK(A1927),"Name",IF(ISNA(VLOOKUP(A1927,'Master List'!A:C,2,FALSE)), "Not Found", VLOOKUP(A1927,'Master List'!A:C,2,FALSE)))</f>
        <v>Name</v>
      </c>
      <c r="D1927" s="19" t="str">
        <f>IF(ISBLANK(A1927), "Email",IF(ISNA(VLOOKUP(A1927,'Master List'!A:C,3,FALSE)), "Not Found", VLOOKUP(A1927,'Master List'!A:C,3,FALSE)))</f>
        <v>Email</v>
      </c>
      <c r="F1927" s="4" t="str">
        <f>IF(OR(A1927="",E1927="","",A1927="?",E1927="?"),"duplicate?",IF(COUNTIFS($A:A,A1927,E:E,E1927)&gt;1,"yes","no"))</f>
        <v>duplicate?</v>
      </c>
      <c r="K1927" s="97" t="str">
        <f ca="1">IF(J1927="","Date",IF(J1927&lt;&gt;"",IF(K1927="Date",NOW(),K1927),""))</f>
        <v>Date</v>
      </c>
    </row>
    <row r="1928" spans="2:11">
      <c r="B1928" s="97" t="str">
        <f ca="1">IF(A1928="","Date",IF(A1928&lt;&gt;"",IF(B1928="Date",NOW(),B1928),""))</f>
        <v>Date</v>
      </c>
      <c r="C1928" s="19" t="str">
        <f>IF(ISBLANK(A1928),"Name",IF(ISNA(VLOOKUP(A1928,'Master List'!A:C,2,FALSE)), "Not Found", VLOOKUP(A1928,'Master List'!A:C,2,FALSE)))</f>
        <v>Name</v>
      </c>
      <c r="D1928" s="19" t="str">
        <f>IF(ISBLANK(A1928), "Email",IF(ISNA(VLOOKUP(A1928,'Master List'!A:C,3,FALSE)), "Not Found", VLOOKUP(A1928,'Master List'!A:C,3,FALSE)))</f>
        <v>Email</v>
      </c>
      <c r="F1928" s="4" t="str">
        <f>IF(OR(A1928="",E1928="","",A1928="?",E1928="?"),"duplicate?",IF(COUNTIFS($A:A,A1928,E:E,E1928)&gt;1,"yes","no"))</f>
        <v>duplicate?</v>
      </c>
      <c r="K1928" s="97" t="str">
        <f ca="1">IF(J1928="","Date",IF(J1928&lt;&gt;"",IF(K1928="Date",NOW(),K1928),""))</f>
        <v>Date</v>
      </c>
    </row>
    <row r="1929" spans="2:11">
      <c r="B1929" s="97" t="str">
        <f ca="1">IF(A1929="","Date",IF(A1929&lt;&gt;"",IF(B1929="Date",NOW(),B1929),""))</f>
        <v>Date</v>
      </c>
      <c r="C1929" s="19" t="str">
        <f>IF(ISBLANK(A1929),"Name",IF(ISNA(VLOOKUP(A1929,'Master List'!A:C,2,FALSE)), "Not Found", VLOOKUP(A1929,'Master List'!A:C,2,FALSE)))</f>
        <v>Name</v>
      </c>
      <c r="D1929" s="19" t="str">
        <f>IF(ISBLANK(A1929), "Email",IF(ISNA(VLOOKUP(A1929,'Master List'!A:C,3,FALSE)), "Not Found", VLOOKUP(A1929,'Master List'!A:C,3,FALSE)))</f>
        <v>Email</v>
      </c>
      <c r="F1929" s="4" t="str">
        <f>IF(OR(A1929="",E1929="","",A1929="?",E1929="?"),"duplicate?",IF(COUNTIFS($A:A,A1929,E:E,E1929)&gt;1,"yes","no"))</f>
        <v>duplicate?</v>
      </c>
      <c r="K1929" s="97" t="str">
        <f ca="1">IF(J1929="","Date",IF(J1929&lt;&gt;"",IF(K1929="Date",NOW(),K1929),""))</f>
        <v>Date</v>
      </c>
    </row>
    <row r="1930" spans="2:11">
      <c r="B1930" s="97" t="str">
        <f ca="1">IF(A1930="","Date",IF(A1930&lt;&gt;"",IF(B1930="Date",NOW(),B1930),""))</f>
        <v>Date</v>
      </c>
      <c r="C1930" s="19" t="str">
        <f>IF(ISBLANK(A1930),"Name",IF(ISNA(VLOOKUP(A1930,'Master List'!A:C,2,FALSE)), "Not Found", VLOOKUP(A1930,'Master List'!A:C,2,FALSE)))</f>
        <v>Name</v>
      </c>
      <c r="D1930" s="19" t="str">
        <f>IF(ISBLANK(A1930), "Email",IF(ISNA(VLOOKUP(A1930,'Master List'!A:C,3,FALSE)), "Not Found", VLOOKUP(A1930,'Master List'!A:C,3,FALSE)))</f>
        <v>Email</v>
      </c>
      <c r="F1930" s="4" t="str">
        <f>IF(OR(A1930="",E1930="","",A1930="?",E1930="?"),"duplicate?",IF(COUNTIFS($A:A,A1930,E:E,E1930)&gt;1,"yes","no"))</f>
        <v>duplicate?</v>
      </c>
      <c r="K1930" s="97" t="str">
        <f ca="1">IF(J1930="","Date",IF(J1930&lt;&gt;"",IF(K1930="Date",NOW(),K1930),""))</f>
        <v>Date</v>
      </c>
    </row>
    <row r="1931" spans="2:11">
      <c r="B1931" s="97" t="str">
        <f ca="1">IF(A1931="","Date",IF(A1931&lt;&gt;"",IF(B1931="Date",NOW(),B1931),""))</f>
        <v>Date</v>
      </c>
      <c r="C1931" s="19" t="str">
        <f>IF(ISBLANK(A1931),"Name",IF(ISNA(VLOOKUP(A1931,'Master List'!A:C,2,FALSE)), "Not Found", VLOOKUP(A1931,'Master List'!A:C,2,FALSE)))</f>
        <v>Name</v>
      </c>
      <c r="D1931" s="19" t="str">
        <f>IF(ISBLANK(A1931), "Email",IF(ISNA(VLOOKUP(A1931,'Master List'!A:C,3,FALSE)), "Not Found", VLOOKUP(A1931,'Master List'!A:C,3,FALSE)))</f>
        <v>Email</v>
      </c>
      <c r="F1931" s="4" t="str">
        <f>IF(OR(A1931="",E1931="","",A1931="?",E1931="?"),"duplicate?",IF(COUNTIFS($A:A,A1931,E:E,E1931)&gt;1,"yes","no"))</f>
        <v>duplicate?</v>
      </c>
      <c r="K1931" s="97" t="str">
        <f ca="1">IF(J1931="","Date",IF(J1931&lt;&gt;"",IF(K1931="Date",NOW(),K1931),""))</f>
        <v>Date</v>
      </c>
    </row>
    <row r="1932" spans="2:11">
      <c r="B1932" s="97" t="str">
        <f ca="1">IF(A1932="","Date",IF(A1932&lt;&gt;"",IF(B1932="Date",NOW(),B1932),""))</f>
        <v>Date</v>
      </c>
      <c r="C1932" s="19" t="str">
        <f>IF(ISBLANK(A1932),"Name",IF(ISNA(VLOOKUP(A1932,'Master List'!A:C,2,FALSE)), "Not Found", VLOOKUP(A1932,'Master List'!A:C,2,FALSE)))</f>
        <v>Name</v>
      </c>
      <c r="D1932" s="19" t="str">
        <f>IF(ISBLANK(A1932), "Email",IF(ISNA(VLOOKUP(A1932,'Master List'!A:C,3,FALSE)), "Not Found", VLOOKUP(A1932,'Master List'!A:C,3,FALSE)))</f>
        <v>Email</v>
      </c>
      <c r="F1932" s="4" t="str">
        <f>IF(OR(A1932="",E1932="","",A1932="?",E1932="?"),"duplicate?",IF(COUNTIFS($A:A,A1932,E:E,E1932)&gt;1,"yes","no"))</f>
        <v>duplicate?</v>
      </c>
      <c r="K1932" s="97" t="str">
        <f ca="1">IF(J1932="","Date",IF(J1932&lt;&gt;"",IF(K1932="Date",NOW(),K1932),""))</f>
        <v>Date</v>
      </c>
    </row>
    <row r="1933" spans="2:11">
      <c r="B1933" s="97" t="str">
        <f ca="1">IF(A1933="","Date",IF(A1933&lt;&gt;"",IF(B1933="Date",NOW(),B1933),""))</f>
        <v>Date</v>
      </c>
      <c r="C1933" s="19" t="str">
        <f>IF(ISBLANK(A1933),"Name",IF(ISNA(VLOOKUP(A1933,'Master List'!A:C,2,FALSE)), "Not Found", VLOOKUP(A1933,'Master List'!A:C,2,FALSE)))</f>
        <v>Name</v>
      </c>
      <c r="D1933" s="19" t="str">
        <f>IF(ISBLANK(A1933), "Email",IF(ISNA(VLOOKUP(A1933,'Master List'!A:C,3,FALSE)), "Not Found", VLOOKUP(A1933,'Master List'!A:C,3,FALSE)))</f>
        <v>Email</v>
      </c>
      <c r="F1933" s="4" t="str">
        <f>IF(OR(A1933="",E1933="","",A1933="?",E1933="?"),"duplicate?",IF(COUNTIFS($A:A,A1933,E:E,E1933)&gt;1,"yes","no"))</f>
        <v>duplicate?</v>
      </c>
      <c r="K1933" s="97" t="str">
        <f ca="1">IF(J1933="","Date",IF(J1933&lt;&gt;"",IF(K1933="Date",NOW(),K1933),""))</f>
        <v>Date</v>
      </c>
    </row>
    <row r="1934" spans="2:11">
      <c r="B1934" s="97" t="str">
        <f ca="1">IF(A1934="","Date",IF(A1934&lt;&gt;"",IF(B1934="Date",NOW(),B1934),""))</f>
        <v>Date</v>
      </c>
      <c r="C1934" s="19" t="str">
        <f>IF(ISBLANK(A1934),"Name",IF(ISNA(VLOOKUP(A1934,'Master List'!A:C,2,FALSE)), "Not Found", VLOOKUP(A1934,'Master List'!A:C,2,FALSE)))</f>
        <v>Name</v>
      </c>
      <c r="D1934" s="19" t="str">
        <f>IF(ISBLANK(A1934), "Email",IF(ISNA(VLOOKUP(A1934,'Master List'!A:C,3,FALSE)), "Not Found", VLOOKUP(A1934,'Master List'!A:C,3,FALSE)))</f>
        <v>Email</v>
      </c>
      <c r="F1934" s="4" t="str">
        <f>IF(OR(A1934="",E1934="","",A1934="?",E1934="?"),"duplicate?",IF(COUNTIFS($A:A,A1934,E:E,E1934)&gt;1,"yes","no"))</f>
        <v>duplicate?</v>
      </c>
      <c r="K1934" s="97" t="str">
        <f ca="1">IF(J1934="","Date",IF(J1934&lt;&gt;"",IF(K1934="Date",NOW(),K1934),""))</f>
        <v>Date</v>
      </c>
    </row>
    <row r="1935" spans="2:11">
      <c r="B1935" s="97" t="str">
        <f ca="1">IF(A1935="","Date",IF(A1935&lt;&gt;"",IF(B1935="Date",NOW(),B1935),""))</f>
        <v>Date</v>
      </c>
      <c r="C1935" s="19" t="str">
        <f>IF(ISBLANK(A1935),"Name",IF(ISNA(VLOOKUP(A1935,'Master List'!A:C,2,FALSE)), "Not Found", VLOOKUP(A1935,'Master List'!A:C,2,FALSE)))</f>
        <v>Name</v>
      </c>
      <c r="D1935" s="19" t="str">
        <f>IF(ISBLANK(A1935), "Email",IF(ISNA(VLOOKUP(A1935,'Master List'!A:C,3,FALSE)), "Not Found", VLOOKUP(A1935,'Master List'!A:C,3,FALSE)))</f>
        <v>Email</v>
      </c>
      <c r="F1935" s="4" t="str">
        <f>IF(OR(A1935="",E1935="","",A1935="?",E1935="?"),"duplicate?",IF(COUNTIFS($A:A,A1935,E:E,E1935)&gt;1,"yes","no"))</f>
        <v>duplicate?</v>
      </c>
      <c r="K1935" s="97" t="str">
        <f ca="1">IF(J1935="","Date",IF(J1935&lt;&gt;"",IF(K1935="Date",NOW(),K1935),""))</f>
        <v>Date</v>
      </c>
    </row>
    <row r="1936" spans="2:11">
      <c r="B1936" s="97" t="str">
        <f ca="1">IF(A1936="","Date",IF(A1936&lt;&gt;"",IF(B1936="Date",NOW(),B1936),""))</f>
        <v>Date</v>
      </c>
      <c r="C1936" s="19" t="str">
        <f>IF(ISBLANK(A1936),"Name",IF(ISNA(VLOOKUP(A1936,'Master List'!A:C,2,FALSE)), "Not Found", VLOOKUP(A1936,'Master List'!A:C,2,FALSE)))</f>
        <v>Name</v>
      </c>
      <c r="D1936" s="19" t="str">
        <f>IF(ISBLANK(A1936), "Email",IF(ISNA(VLOOKUP(A1936,'Master List'!A:C,3,FALSE)), "Not Found", VLOOKUP(A1936,'Master List'!A:C,3,FALSE)))</f>
        <v>Email</v>
      </c>
      <c r="F1936" s="4" t="str">
        <f>IF(OR(A1936="",E1936="","",A1936="?",E1936="?"),"duplicate?",IF(COUNTIFS($A:A,A1936,E:E,E1936)&gt;1,"yes","no"))</f>
        <v>duplicate?</v>
      </c>
      <c r="K1936" s="97" t="str">
        <f ca="1">IF(J1936="","Date",IF(J1936&lt;&gt;"",IF(K1936="Date",NOW(),K1936),""))</f>
        <v>Date</v>
      </c>
    </row>
    <row r="1937" spans="2:11">
      <c r="B1937" s="97" t="str">
        <f ca="1">IF(A1937="","Date",IF(A1937&lt;&gt;"",IF(B1937="Date",NOW(),B1937),""))</f>
        <v>Date</v>
      </c>
      <c r="C1937" s="19" t="str">
        <f>IF(ISBLANK(A1937),"Name",IF(ISNA(VLOOKUP(A1937,'Master List'!A:C,2,FALSE)), "Not Found", VLOOKUP(A1937,'Master List'!A:C,2,FALSE)))</f>
        <v>Name</v>
      </c>
      <c r="D1937" s="19" t="str">
        <f>IF(ISBLANK(A1937), "Email",IF(ISNA(VLOOKUP(A1937,'Master List'!A:C,3,FALSE)), "Not Found", VLOOKUP(A1937,'Master List'!A:C,3,FALSE)))</f>
        <v>Email</v>
      </c>
      <c r="F1937" s="4" t="str">
        <f>IF(OR(A1937="",E1937="","",A1937="?",E1937="?"),"duplicate?",IF(COUNTIFS($A:A,A1937,E:E,E1937)&gt;1,"yes","no"))</f>
        <v>duplicate?</v>
      </c>
      <c r="K1937" s="97" t="str">
        <f ca="1">IF(J1937="","Date",IF(J1937&lt;&gt;"",IF(K1937="Date",NOW(),K1937),""))</f>
        <v>Date</v>
      </c>
    </row>
    <row r="1938" spans="2:11">
      <c r="B1938" s="97" t="str">
        <f ca="1">IF(A1938="","Date",IF(A1938&lt;&gt;"",IF(B1938="Date",NOW(),B1938),""))</f>
        <v>Date</v>
      </c>
      <c r="C1938" s="19" t="str">
        <f>IF(ISBLANK(A1938),"Name",IF(ISNA(VLOOKUP(A1938,'Master List'!A:C,2,FALSE)), "Not Found", VLOOKUP(A1938,'Master List'!A:C,2,FALSE)))</f>
        <v>Name</v>
      </c>
      <c r="D1938" s="19" t="str">
        <f>IF(ISBLANK(A1938), "Email",IF(ISNA(VLOOKUP(A1938,'Master List'!A:C,3,FALSE)), "Not Found", VLOOKUP(A1938,'Master List'!A:C,3,FALSE)))</f>
        <v>Email</v>
      </c>
      <c r="F1938" s="4" t="str">
        <f>IF(OR(A1938="",E1938="","",A1938="?",E1938="?"),"duplicate?",IF(COUNTIFS($A:A,A1938,E:E,E1938)&gt;1,"yes","no"))</f>
        <v>duplicate?</v>
      </c>
      <c r="K1938" s="97" t="str">
        <f ca="1">IF(J1938="","Date",IF(J1938&lt;&gt;"",IF(K1938="Date",NOW(),K1938),""))</f>
        <v>Date</v>
      </c>
    </row>
    <row r="1939" spans="2:11">
      <c r="B1939" s="97" t="str">
        <f ca="1">IF(A1939="","Date",IF(A1939&lt;&gt;"",IF(B1939="Date",NOW(),B1939),""))</f>
        <v>Date</v>
      </c>
      <c r="C1939" s="19" t="str">
        <f>IF(ISBLANK(A1939),"Name",IF(ISNA(VLOOKUP(A1939,'Master List'!A:C,2,FALSE)), "Not Found", VLOOKUP(A1939,'Master List'!A:C,2,FALSE)))</f>
        <v>Name</v>
      </c>
      <c r="D1939" s="19" t="str">
        <f>IF(ISBLANK(A1939), "Email",IF(ISNA(VLOOKUP(A1939,'Master List'!A:C,3,FALSE)), "Not Found", VLOOKUP(A1939,'Master List'!A:C,3,FALSE)))</f>
        <v>Email</v>
      </c>
      <c r="F1939" s="4" t="str">
        <f>IF(OR(A1939="",E1939="","",A1939="?",E1939="?"),"duplicate?",IF(COUNTIFS($A:A,A1939,E:E,E1939)&gt;1,"yes","no"))</f>
        <v>duplicate?</v>
      </c>
      <c r="K1939" s="97" t="str">
        <f ca="1">IF(J1939="","Date",IF(J1939&lt;&gt;"",IF(K1939="Date",NOW(),K1939),""))</f>
        <v>Date</v>
      </c>
    </row>
    <row r="1940" spans="2:11">
      <c r="B1940" s="97" t="str">
        <f ca="1">IF(A1940="","Date",IF(A1940&lt;&gt;"",IF(B1940="Date",NOW(),B1940),""))</f>
        <v>Date</v>
      </c>
      <c r="C1940" s="19" t="str">
        <f>IF(ISBLANK(A1940),"Name",IF(ISNA(VLOOKUP(A1940,'Master List'!A:C,2,FALSE)), "Not Found", VLOOKUP(A1940,'Master List'!A:C,2,FALSE)))</f>
        <v>Name</v>
      </c>
      <c r="D1940" s="19" t="str">
        <f>IF(ISBLANK(A1940), "Email",IF(ISNA(VLOOKUP(A1940,'Master List'!A:C,3,FALSE)), "Not Found", VLOOKUP(A1940,'Master List'!A:C,3,FALSE)))</f>
        <v>Email</v>
      </c>
      <c r="F1940" s="4" t="str">
        <f>IF(OR(A1940="",E1940="","",A1940="?",E1940="?"),"duplicate?",IF(COUNTIFS($A:A,A1940,E:E,E1940)&gt;1,"yes","no"))</f>
        <v>duplicate?</v>
      </c>
      <c r="K1940" s="97" t="str">
        <f ca="1">IF(J1940="","Date",IF(J1940&lt;&gt;"",IF(K1940="Date",NOW(),K1940),""))</f>
        <v>Date</v>
      </c>
    </row>
    <row r="1941" spans="2:11">
      <c r="B1941" s="97" t="str">
        <f ca="1">IF(A1941="","Date",IF(A1941&lt;&gt;"",IF(B1941="Date",NOW(),B1941),""))</f>
        <v>Date</v>
      </c>
      <c r="C1941" s="19" t="str">
        <f>IF(ISBLANK(A1941),"Name",IF(ISNA(VLOOKUP(A1941,'Master List'!A:C,2,FALSE)), "Not Found", VLOOKUP(A1941,'Master List'!A:C,2,FALSE)))</f>
        <v>Name</v>
      </c>
      <c r="D1941" s="19" t="str">
        <f>IF(ISBLANK(A1941), "Email",IF(ISNA(VLOOKUP(A1941,'Master List'!A:C,3,FALSE)), "Not Found", VLOOKUP(A1941,'Master List'!A:C,3,FALSE)))</f>
        <v>Email</v>
      </c>
      <c r="F1941" s="4" t="str">
        <f>IF(OR(A1941="",E1941="","",A1941="?",E1941="?"),"duplicate?",IF(COUNTIFS($A:A,A1941,E:E,E1941)&gt;1,"yes","no"))</f>
        <v>duplicate?</v>
      </c>
      <c r="K1941" s="97" t="str">
        <f ca="1">IF(J1941="","Date",IF(J1941&lt;&gt;"",IF(K1941="Date",NOW(),K1941),""))</f>
        <v>Date</v>
      </c>
    </row>
    <row r="1942" spans="2:11">
      <c r="B1942" s="97" t="str">
        <f ca="1">IF(A1942="","Date",IF(A1942&lt;&gt;"",IF(B1942="Date",NOW(),B1942),""))</f>
        <v>Date</v>
      </c>
      <c r="C1942" s="19" t="str">
        <f>IF(ISBLANK(A1942),"Name",IF(ISNA(VLOOKUP(A1942,'Master List'!A:C,2,FALSE)), "Not Found", VLOOKUP(A1942,'Master List'!A:C,2,FALSE)))</f>
        <v>Name</v>
      </c>
      <c r="D1942" s="19" t="str">
        <f>IF(ISBLANK(A1942), "Email",IF(ISNA(VLOOKUP(A1942,'Master List'!A:C,3,FALSE)), "Not Found", VLOOKUP(A1942,'Master List'!A:C,3,FALSE)))</f>
        <v>Email</v>
      </c>
      <c r="F1942" s="4" t="str">
        <f>IF(OR(A1942="",E1942="","",A1942="?",E1942="?"),"duplicate?",IF(COUNTIFS($A:A,A1942,E:E,E1942)&gt;1,"yes","no"))</f>
        <v>duplicate?</v>
      </c>
      <c r="K1942" s="97" t="str">
        <f ca="1">IF(J1942="","Date",IF(J1942&lt;&gt;"",IF(K1942="Date",NOW(),K1942),""))</f>
        <v>Date</v>
      </c>
    </row>
    <row r="1943" spans="2:11">
      <c r="B1943" s="97" t="str">
        <f ca="1">IF(A1943="","Date",IF(A1943&lt;&gt;"",IF(B1943="Date",NOW(),B1943),""))</f>
        <v>Date</v>
      </c>
      <c r="C1943" s="19" t="str">
        <f>IF(ISBLANK(A1943),"Name",IF(ISNA(VLOOKUP(A1943,'Master List'!A:C,2,FALSE)), "Not Found", VLOOKUP(A1943,'Master List'!A:C,2,FALSE)))</f>
        <v>Name</v>
      </c>
      <c r="D1943" s="19" t="str">
        <f>IF(ISBLANK(A1943), "Email",IF(ISNA(VLOOKUP(A1943,'Master List'!A:C,3,FALSE)), "Not Found", VLOOKUP(A1943,'Master List'!A:C,3,FALSE)))</f>
        <v>Email</v>
      </c>
      <c r="F1943" s="4" t="str">
        <f>IF(OR(A1943="",E1943="","",A1943="?",E1943="?"),"duplicate?",IF(COUNTIFS($A:A,A1943,E:E,E1943)&gt;1,"yes","no"))</f>
        <v>duplicate?</v>
      </c>
      <c r="K1943" s="97" t="str">
        <f ca="1">IF(J1943="","Date",IF(J1943&lt;&gt;"",IF(K1943="Date",NOW(),K1943),""))</f>
        <v>Date</v>
      </c>
    </row>
    <row r="1944" spans="2:11">
      <c r="B1944" s="97" t="str">
        <f ca="1">IF(A1944="","Date",IF(A1944&lt;&gt;"",IF(B1944="Date",NOW(),B1944),""))</f>
        <v>Date</v>
      </c>
      <c r="C1944" s="19" t="str">
        <f>IF(ISBLANK(A1944),"Name",IF(ISNA(VLOOKUP(A1944,'Master List'!A:C,2,FALSE)), "Not Found", VLOOKUP(A1944,'Master List'!A:C,2,FALSE)))</f>
        <v>Name</v>
      </c>
      <c r="D1944" s="19" t="str">
        <f>IF(ISBLANK(A1944), "Email",IF(ISNA(VLOOKUP(A1944,'Master List'!A:C,3,FALSE)), "Not Found", VLOOKUP(A1944,'Master List'!A:C,3,FALSE)))</f>
        <v>Email</v>
      </c>
      <c r="F1944" s="4" t="str">
        <f>IF(OR(A1944="",E1944="","",A1944="?",E1944="?"),"duplicate?",IF(COUNTIFS($A:A,A1944,E:E,E1944)&gt;1,"yes","no"))</f>
        <v>duplicate?</v>
      </c>
      <c r="K1944" s="97" t="str">
        <f ca="1">IF(J1944="","Date",IF(J1944&lt;&gt;"",IF(K1944="Date",NOW(),K1944),""))</f>
        <v>Date</v>
      </c>
    </row>
    <row r="1945" spans="2:11">
      <c r="B1945" s="97" t="str">
        <f ca="1">IF(A1945="","Date",IF(A1945&lt;&gt;"",IF(B1945="Date",NOW(),B1945),""))</f>
        <v>Date</v>
      </c>
      <c r="C1945" s="19" t="str">
        <f>IF(ISBLANK(A1945),"Name",IF(ISNA(VLOOKUP(A1945,'Master List'!A:C,2,FALSE)), "Not Found", VLOOKUP(A1945,'Master List'!A:C,2,FALSE)))</f>
        <v>Name</v>
      </c>
      <c r="D1945" s="19" t="str">
        <f>IF(ISBLANK(A1945), "Email",IF(ISNA(VLOOKUP(A1945,'Master List'!A:C,3,FALSE)), "Not Found", VLOOKUP(A1945,'Master List'!A:C,3,FALSE)))</f>
        <v>Email</v>
      </c>
      <c r="F1945" s="4" t="str">
        <f>IF(OR(A1945="",E1945="","",A1945="?",E1945="?"),"duplicate?",IF(COUNTIFS($A:A,A1945,E:E,E1945)&gt;1,"yes","no"))</f>
        <v>duplicate?</v>
      </c>
      <c r="K1945" s="97" t="str">
        <f ca="1">IF(J1945="","Date",IF(J1945&lt;&gt;"",IF(K1945="Date",NOW(),K1945),""))</f>
        <v>Date</v>
      </c>
    </row>
    <row r="1946" spans="2:11">
      <c r="B1946" s="97" t="str">
        <f ca="1">IF(A1946="","Date",IF(A1946&lt;&gt;"",IF(B1946="Date",NOW(),B1946),""))</f>
        <v>Date</v>
      </c>
      <c r="C1946" s="19" t="str">
        <f>IF(ISBLANK(A1946),"Name",IF(ISNA(VLOOKUP(A1946,'Master List'!A:C,2,FALSE)), "Not Found", VLOOKUP(A1946,'Master List'!A:C,2,FALSE)))</f>
        <v>Name</v>
      </c>
      <c r="D1946" s="19" t="str">
        <f>IF(ISBLANK(A1946), "Email",IF(ISNA(VLOOKUP(A1946,'Master List'!A:C,3,FALSE)), "Not Found", VLOOKUP(A1946,'Master List'!A:C,3,FALSE)))</f>
        <v>Email</v>
      </c>
      <c r="F1946" s="4" t="str">
        <f>IF(OR(A1946="",E1946="","",A1946="?",E1946="?"),"duplicate?",IF(COUNTIFS($A:A,A1946,E:E,E1946)&gt;1,"yes","no"))</f>
        <v>duplicate?</v>
      </c>
      <c r="K1946" s="97" t="str">
        <f ca="1">IF(J1946="","Date",IF(J1946&lt;&gt;"",IF(K1946="Date",NOW(),K1946),""))</f>
        <v>Date</v>
      </c>
    </row>
    <row r="1947" spans="2:11">
      <c r="B1947" s="97" t="str">
        <f ca="1">IF(A1947="","Date",IF(A1947&lt;&gt;"",IF(B1947="Date",NOW(),B1947),""))</f>
        <v>Date</v>
      </c>
      <c r="C1947" s="19" t="str">
        <f>IF(ISBLANK(A1947),"Name",IF(ISNA(VLOOKUP(A1947,'Master List'!A:C,2,FALSE)), "Not Found", VLOOKUP(A1947,'Master List'!A:C,2,FALSE)))</f>
        <v>Name</v>
      </c>
      <c r="D1947" s="19" t="str">
        <f>IF(ISBLANK(A1947), "Email",IF(ISNA(VLOOKUP(A1947,'Master List'!A:C,3,FALSE)), "Not Found", VLOOKUP(A1947,'Master List'!A:C,3,FALSE)))</f>
        <v>Email</v>
      </c>
      <c r="F1947" s="4" t="str">
        <f>IF(OR(A1947="",E1947="","",A1947="?",E1947="?"),"duplicate?",IF(COUNTIFS($A:A,A1947,E:E,E1947)&gt;1,"yes","no"))</f>
        <v>duplicate?</v>
      </c>
      <c r="K1947" s="97" t="str">
        <f ca="1">IF(J1947="","Date",IF(J1947&lt;&gt;"",IF(K1947="Date",NOW(),K1947),""))</f>
        <v>Date</v>
      </c>
    </row>
    <row r="1948" spans="2:11">
      <c r="B1948" s="97" t="str">
        <f ca="1">IF(A1948="","Date",IF(A1948&lt;&gt;"",IF(B1948="Date",NOW(),B1948),""))</f>
        <v>Date</v>
      </c>
      <c r="C1948" s="19" t="str">
        <f>IF(ISBLANK(A1948),"Name",IF(ISNA(VLOOKUP(A1948,'Master List'!A:C,2,FALSE)), "Not Found", VLOOKUP(A1948,'Master List'!A:C,2,FALSE)))</f>
        <v>Name</v>
      </c>
      <c r="D1948" s="19" t="str">
        <f>IF(ISBLANK(A1948), "Email",IF(ISNA(VLOOKUP(A1948,'Master List'!A:C,3,FALSE)), "Not Found", VLOOKUP(A1948,'Master List'!A:C,3,FALSE)))</f>
        <v>Email</v>
      </c>
      <c r="F1948" s="4" t="str">
        <f>IF(OR(A1948="",E1948="","",A1948="?",E1948="?"),"duplicate?",IF(COUNTIFS($A:A,A1948,E:E,E1948)&gt;1,"yes","no"))</f>
        <v>duplicate?</v>
      </c>
      <c r="K1948" s="97" t="str">
        <f ca="1">IF(J1948="","Date",IF(J1948&lt;&gt;"",IF(K1948="Date",NOW(),K1948),""))</f>
        <v>Date</v>
      </c>
    </row>
    <row r="1949" spans="2:11">
      <c r="B1949" s="97" t="str">
        <f ca="1">IF(A1949="","Date",IF(A1949&lt;&gt;"",IF(B1949="Date",NOW(),B1949),""))</f>
        <v>Date</v>
      </c>
      <c r="C1949" s="19" t="str">
        <f>IF(ISBLANK(A1949),"Name",IF(ISNA(VLOOKUP(A1949,'Master List'!A:C,2,FALSE)), "Not Found", VLOOKUP(A1949,'Master List'!A:C,2,FALSE)))</f>
        <v>Name</v>
      </c>
      <c r="D1949" s="19" t="str">
        <f>IF(ISBLANK(A1949), "Email",IF(ISNA(VLOOKUP(A1949,'Master List'!A:C,3,FALSE)), "Not Found", VLOOKUP(A1949,'Master List'!A:C,3,FALSE)))</f>
        <v>Email</v>
      </c>
      <c r="F1949" s="4" t="str">
        <f>IF(OR(A1949="",E1949="","",A1949="?",E1949="?"),"duplicate?",IF(COUNTIFS($A:A,A1949,E:E,E1949)&gt;1,"yes","no"))</f>
        <v>duplicate?</v>
      </c>
      <c r="K1949" s="97" t="str">
        <f ca="1">IF(J1949="","Date",IF(J1949&lt;&gt;"",IF(K1949="Date",NOW(),K1949),""))</f>
        <v>Date</v>
      </c>
    </row>
    <row r="1950" spans="2:11">
      <c r="B1950" s="97" t="str">
        <f ca="1">IF(A1950="","Date",IF(A1950&lt;&gt;"",IF(B1950="Date",NOW(),B1950),""))</f>
        <v>Date</v>
      </c>
      <c r="C1950" s="19" t="str">
        <f>IF(ISBLANK(A1950),"Name",IF(ISNA(VLOOKUP(A1950,'Master List'!A:C,2,FALSE)), "Not Found", VLOOKUP(A1950,'Master List'!A:C,2,FALSE)))</f>
        <v>Name</v>
      </c>
      <c r="D1950" s="19" t="str">
        <f>IF(ISBLANK(A1950), "Email",IF(ISNA(VLOOKUP(A1950,'Master List'!A:C,3,FALSE)), "Not Found", VLOOKUP(A1950,'Master List'!A:C,3,FALSE)))</f>
        <v>Email</v>
      </c>
      <c r="F1950" s="4" t="str">
        <f>IF(OR(A1950="",E1950="","",A1950="?",E1950="?"),"duplicate?",IF(COUNTIFS($A:A,A1950,E:E,E1950)&gt;1,"yes","no"))</f>
        <v>duplicate?</v>
      </c>
      <c r="K1950" s="97" t="str">
        <f ca="1">IF(J1950="","Date",IF(J1950&lt;&gt;"",IF(K1950="Date",NOW(),K1950),""))</f>
        <v>Date</v>
      </c>
    </row>
    <row r="1951" spans="2:11">
      <c r="B1951" s="97" t="str">
        <f ca="1">IF(A1951="","Date",IF(A1951&lt;&gt;"",IF(B1951="Date",NOW(),B1951),""))</f>
        <v>Date</v>
      </c>
      <c r="C1951" s="19" t="str">
        <f>IF(ISBLANK(A1951),"Name",IF(ISNA(VLOOKUP(A1951,'Master List'!A:C,2,FALSE)), "Not Found", VLOOKUP(A1951,'Master List'!A:C,2,FALSE)))</f>
        <v>Name</v>
      </c>
      <c r="D1951" s="19" t="str">
        <f>IF(ISBLANK(A1951), "Email",IF(ISNA(VLOOKUP(A1951,'Master List'!A:C,3,FALSE)), "Not Found", VLOOKUP(A1951,'Master List'!A:C,3,FALSE)))</f>
        <v>Email</v>
      </c>
      <c r="F1951" s="4" t="str">
        <f>IF(OR(A1951="",E1951="","",A1951="?",E1951="?"),"duplicate?",IF(COUNTIFS($A:A,A1951,E:E,E1951)&gt;1,"yes","no"))</f>
        <v>duplicate?</v>
      </c>
      <c r="K1951" s="97" t="str">
        <f ca="1">IF(J1951="","Date",IF(J1951&lt;&gt;"",IF(K1951="Date",NOW(),K1951),""))</f>
        <v>Date</v>
      </c>
    </row>
    <row r="1952" spans="2:11">
      <c r="B1952" s="97" t="str">
        <f ca="1">IF(A1952="","Date",IF(A1952&lt;&gt;"",IF(B1952="Date",NOW(),B1952),""))</f>
        <v>Date</v>
      </c>
      <c r="C1952" s="19" t="str">
        <f>IF(ISBLANK(A1952),"Name",IF(ISNA(VLOOKUP(A1952,'Master List'!A:C,2,FALSE)), "Not Found", VLOOKUP(A1952,'Master List'!A:C,2,FALSE)))</f>
        <v>Name</v>
      </c>
      <c r="D1952" s="19" t="str">
        <f>IF(ISBLANK(A1952), "Email",IF(ISNA(VLOOKUP(A1952,'Master List'!A:C,3,FALSE)), "Not Found", VLOOKUP(A1952,'Master List'!A:C,3,FALSE)))</f>
        <v>Email</v>
      </c>
      <c r="F1952" s="4" t="str">
        <f>IF(OR(A1952="",E1952="","",A1952="?",E1952="?"),"duplicate?",IF(COUNTIFS($A:A,A1952,E:E,E1952)&gt;1,"yes","no"))</f>
        <v>duplicate?</v>
      </c>
      <c r="K1952" s="97" t="str">
        <f ca="1">IF(J1952="","Date",IF(J1952&lt;&gt;"",IF(K1952="Date",NOW(),K1952),""))</f>
        <v>Date</v>
      </c>
    </row>
    <row r="1953" spans="2:11">
      <c r="B1953" s="97" t="str">
        <f ca="1">IF(A1953="","Date",IF(A1953&lt;&gt;"",IF(B1953="Date",NOW(),B1953),""))</f>
        <v>Date</v>
      </c>
      <c r="C1953" s="19" t="str">
        <f>IF(ISBLANK(A1953),"Name",IF(ISNA(VLOOKUP(A1953,'Master List'!A:C,2,FALSE)), "Not Found", VLOOKUP(A1953,'Master List'!A:C,2,FALSE)))</f>
        <v>Name</v>
      </c>
      <c r="D1953" s="19" t="str">
        <f>IF(ISBLANK(A1953), "Email",IF(ISNA(VLOOKUP(A1953,'Master List'!A:C,3,FALSE)), "Not Found", VLOOKUP(A1953,'Master List'!A:C,3,FALSE)))</f>
        <v>Email</v>
      </c>
      <c r="F1953" s="4" t="str">
        <f>IF(OR(A1953="",E1953="","",A1953="?",E1953="?"),"duplicate?",IF(COUNTIFS($A:A,A1953,E:E,E1953)&gt;1,"yes","no"))</f>
        <v>duplicate?</v>
      </c>
      <c r="K1953" s="97" t="str">
        <f ca="1">IF(J1953="","Date",IF(J1953&lt;&gt;"",IF(K1953="Date",NOW(),K1953),""))</f>
        <v>Date</v>
      </c>
    </row>
    <row r="1954" spans="2:11">
      <c r="B1954" s="97" t="str">
        <f ca="1">IF(A1954="","Date",IF(A1954&lt;&gt;"",IF(B1954="Date",NOW(),B1954),""))</f>
        <v>Date</v>
      </c>
      <c r="C1954" s="19" t="str">
        <f>IF(ISBLANK(A1954),"Name",IF(ISNA(VLOOKUP(A1954,'Master List'!A:C,2,FALSE)), "Not Found", VLOOKUP(A1954,'Master List'!A:C,2,FALSE)))</f>
        <v>Name</v>
      </c>
      <c r="D1954" s="19" t="str">
        <f>IF(ISBLANK(A1954), "Email",IF(ISNA(VLOOKUP(A1954,'Master List'!A:C,3,FALSE)), "Not Found", VLOOKUP(A1954,'Master List'!A:C,3,FALSE)))</f>
        <v>Email</v>
      </c>
      <c r="F1954" s="4" t="str">
        <f>IF(OR(A1954="",E1954="","",A1954="?",E1954="?"),"duplicate?",IF(COUNTIFS($A:A,A1954,E:E,E1954)&gt;1,"yes","no"))</f>
        <v>duplicate?</v>
      </c>
      <c r="K1954" s="97" t="str">
        <f ca="1">IF(J1954="","Date",IF(J1954&lt;&gt;"",IF(K1954="Date",NOW(),K1954),""))</f>
        <v>Date</v>
      </c>
    </row>
    <row r="1955" spans="2:11">
      <c r="B1955" s="97" t="str">
        <f ca="1">IF(A1955="","Date",IF(A1955&lt;&gt;"",IF(B1955="Date",NOW(),B1955),""))</f>
        <v>Date</v>
      </c>
      <c r="C1955" s="19" t="str">
        <f>IF(ISBLANK(A1955),"Name",IF(ISNA(VLOOKUP(A1955,'Master List'!A:C,2,FALSE)), "Not Found", VLOOKUP(A1955,'Master List'!A:C,2,FALSE)))</f>
        <v>Name</v>
      </c>
      <c r="D1955" s="19" t="str">
        <f>IF(ISBLANK(A1955), "Email",IF(ISNA(VLOOKUP(A1955,'Master List'!A:C,3,FALSE)), "Not Found", VLOOKUP(A1955,'Master List'!A:C,3,FALSE)))</f>
        <v>Email</v>
      </c>
      <c r="F1955" s="4" t="str">
        <f>IF(OR(A1955="",E1955="","",A1955="?",E1955="?"),"duplicate?",IF(COUNTIFS($A:A,A1955,E:E,E1955)&gt;1,"yes","no"))</f>
        <v>duplicate?</v>
      </c>
      <c r="K1955" s="97" t="str">
        <f ca="1">IF(J1955="","Date",IF(J1955&lt;&gt;"",IF(K1955="Date",NOW(),K1955),""))</f>
        <v>Date</v>
      </c>
    </row>
    <row r="1956" spans="2:11">
      <c r="B1956" s="97" t="str">
        <f ca="1">IF(A1956="","Date",IF(A1956&lt;&gt;"",IF(B1956="Date",NOW(),B1956),""))</f>
        <v>Date</v>
      </c>
      <c r="C1956" s="19" t="str">
        <f>IF(ISBLANK(A1956),"Name",IF(ISNA(VLOOKUP(A1956,'Master List'!A:C,2,FALSE)), "Not Found", VLOOKUP(A1956,'Master List'!A:C,2,FALSE)))</f>
        <v>Name</v>
      </c>
      <c r="D1956" s="19" t="str">
        <f>IF(ISBLANK(A1956), "Email",IF(ISNA(VLOOKUP(A1956,'Master List'!A:C,3,FALSE)), "Not Found", VLOOKUP(A1956,'Master List'!A:C,3,FALSE)))</f>
        <v>Email</v>
      </c>
      <c r="F1956" s="4" t="str">
        <f>IF(OR(A1956="",E1956="","",A1956="?",E1956="?"),"duplicate?",IF(COUNTIFS($A:A,A1956,E:E,E1956)&gt;1,"yes","no"))</f>
        <v>duplicate?</v>
      </c>
      <c r="K1956" s="97" t="str">
        <f ca="1">IF(J1956="","Date",IF(J1956&lt;&gt;"",IF(K1956="Date",NOW(),K1956),""))</f>
        <v>Date</v>
      </c>
    </row>
    <row r="1957" spans="2:11">
      <c r="B1957" s="97" t="str">
        <f ca="1">IF(A1957="","Date",IF(A1957&lt;&gt;"",IF(B1957="Date",NOW(),B1957),""))</f>
        <v>Date</v>
      </c>
      <c r="C1957" s="19" t="str">
        <f>IF(ISBLANK(A1957),"Name",IF(ISNA(VLOOKUP(A1957,'Master List'!A:C,2,FALSE)), "Not Found", VLOOKUP(A1957,'Master List'!A:C,2,FALSE)))</f>
        <v>Name</v>
      </c>
      <c r="D1957" s="19" t="str">
        <f>IF(ISBLANK(A1957), "Email",IF(ISNA(VLOOKUP(A1957,'Master List'!A:C,3,FALSE)), "Not Found", VLOOKUP(A1957,'Master List'!A:C,3,FALSE)))</f>
        <v>Email</v>
      </c>
      <c r="F1957" s="4" t="str">
        <f>IF(OR(A1957="",E1957="","",A1957="?",E1957="?"),"duplicate?",IF(COUNTIFS($A:A,A1957,E:E,E1957)&gt;1,"yes","no"))</f>
        <v>duplicate?</v>
      </c>
      <c r="K1957" s="97" t="str">
        <f ca="1">IF(J1957="","Date",IF(J1957&lt;&gt;"",IF(K1957="Date",NOW(),K1957),""))</f>
        <v>Date</v>
      </c>
    </row>
    <row r="1958" spans="2:11">
      <c r="B1958" s="97" t="str">
        <f ca="1">IF(A1958="","Date",IF(A1958&lt;&gt;"",IF(B1958="Date",NOW(),B1958),""))</f>
        <v>Date</v>
      </c>
      <c r="C1958" s="19" t="str">
        <f>IF(ISBLANK(A1958),"Name",IF(ISNA(VLOOKUP(A1958,'Master List'!A:C,2,FALSE)), "Not Found", VLOOKUP(A1958,'Master List'!A:C,2,FALSE)))</f>
        <v>Name</v>
      </c>
      <c r="D1958" s="19" t="str">
        <f>IF(ISBLANK(A1958), "Email",IF(ISNA(VLOOKUP(A1958,'Master List'!A:C,3,FALSE)), "Not Found", VLOOKUP(A1958,'Master List'!A:C,3,FALSE)))</f>
        <v>Email</v>
      </c>
      <c r="F1958" s="4" t="str">
        <f>IF(OR(A1958="",E1958="","",A1958="?",E1958="?"),"duplicate?",IF(COUNTIFS($A:A,A1958,E:E,E1958)&gt;1,"yes","no"))</f>
        <v>duplicate?</v>
      </c>
      <c r="K1958" s="97" t="str">
        <f ca="1">IF(J1958="","Date",IF(J1958&lt;&gt;"",IF(K1958="Date",NOW(),K1958),""))</f>
        <v>Date</v>
      </c>
    </row>
    <row r="1959" spans="2:11">
      <c r="B1959" s="97" t="str">
        <f ca="1">IF(A1959="","Date",IF(A1959&lt;&gt;"",IF(B1959="Date",NOW(),B1959),""))</f>
        <v>Date</v>
      </c>
      <c r="C1959" s="19" t="str">
        <f>IF(ISBLANK(A1959),"Name",IF(ISNA(VLOOKUP(A1959,'Master List'!A:C,2,FALSE)), "Not Found", VLOOKUP(A1959,'Master List'!A:C,2,FALSE)))</f>
        <v>Name</v>
      </c>
      <c r="D1959" s="19" t="str">
        <f>IF(ISBLANK(A1959), "Email",IF(ISNA(VLOOKUP(A1959,'Master List'!A:C,3,FALSE)), "Not Found", VLOOKUP(A1959,'Master List'!A:C,3,FALSE)))</f>
        <v>Email</v>
      </c>
      <c r="F1959" s="4" t="str">
        <f>IF(OR(A1959="",E1959="","",A1959="?",E1959="?"),"duplicate?",IF(COUNTIFS($A:A,A1959,E:E,E1959)&gt;1,"yes","no"))</f>
        <v>duplicate?</v>
      </c>
      <c r="K1959" s="97" t="str">
        <f ca="1">IF(J1959="","Date",IF(J1959&lt;&gt;"",IF(K1959="Date",NOW(),K1959),""))</f>
        <v>Date</v>
      </c>
    </row>
    <row r="1960" spans="2:11">
      <c r="B1960" s="97" t="str">
        <f ca="1">IF(A1960="","Date",IF(A1960&lt;&gt;"",IF(B1960="Date",NOW(),B1960),""))</f>
        <v>Date</v>
      </c>
      <c r="C1960" s="19" t="str">
        <f>IF(ISBLANK(A1960),"Name",IF(ISNA(VLOOKUP(A1960,'Master List'!A:C,2,FALSE)), "Not Found", VLOOKUP(A1960,'Master List'!A:C,2,FALSE)))</f>
        <v>Name</v>
      </c>
      <c r="D1960" s="19" t="str">
        <f>IF(ISBLANK(A1960), "Email",IF(ISNA(VLOOKUP(A1960,'Master List'!A:C,3,FALSE)), "Not Found", VLOOKUP(A1960,'Master List'!A:C,3,FALSE)))</f>
        <v>Email</v>
      </c>
      <c r="F1960" s="4" t="str">
        <f>IF(OR(A1960="",E1960="","",A1960="?",E1960="?"),"duplicate?",IF(COUNTIFS($A:A,A1960,E:E,E1960)&gt;1,"yes","no"))</f>
        <v>duplicate?</v>
      </c>
      <c r="K1960" s="97" t="str">
        <f ca="1">IF(J1960="","Date",IF(J1960&lt;&gt;"",IF(K1960="Date",NOW(),K1960),""))</f>
        <v>Date</v>
      </c>
    </row>
    <row r="1961" spans="2:11">
      <c r="B1961" s="97" t="str">
        <f ca="1">IF(A1961="","Date",IF(A1961&lt;&gt;"",IF(B1961="Date",NOW(),B1961),""))</f>
        <v>Date</v>
      </c>
      <c r="C1961" s="19" t="str">
        <f>IF(ISBLANK(A1961),"Name",IF(ISNA(VLOOKUP(A1961,'Master List'!A:C,2,FALSE)), "Not Found", VLOOKUP(A1961,'Master List'!A:C,2,FALSE)))</f>
        <v>Name</v>
      </c>
      <c r="D1961" s="19" t="str">
        <f>IF(ISBLANK(A1961), "Email",IF(ISNA(VLOOKUP(A1961,'Master List'!A:C,3,FALSE)), "Not Found", VLOOKUP(A1961,'Master List'!A:C,3,FALSE)))</f>
        <v>Email</v>
      </c>
      <c r="F1961" s="4" t="str">
        <f>IF(OR(A1961="",E1961="","",A1961="?",E1961="?"),"duplicate?",IF(COUNTIFS($A:A,A1961,E:E,E1961)&gt;1,"yes","no"))</f>
        <v>duplicate?</v>
      </c>
      <c r="K1961" s="97" t="str">
        <f ca="1">IF(J1961="","Date",IF(J1961&lt;&gt;"",IF(K1961="Date",NOW(),K1961),""))</f>
        <v>Date</v>
      </c>
    </row>
    <row r="1962" spans="2:11">
      <c r="B1962" s="97" t="str">
        <f ca="1">IF(A1962="","Date",IF(A1962&lt;&gt;"",IF(B1962="Date",NOW(),B1962),""))</f>
        <v>Date</v>
      </c>
      <c r="C1962" s="19" t="str">
        <f>IF(ISBLANK(A1962),"Name",IF(ISNA(VLOOKUP(A1962,'Master List'!A:C,2,FALSE)), "Not Found", VLOOKUP(A1962,'Master List'!A:C,2,FALSE)))</f>
        <v>Name</v>
      </c>
      <c r="D1962" s="19" t="str">
        <f>IF(ISBLANK(A1962), "Email",IF(ISNA(VLOOKUP(A1962,'Master List'!A:C,3,FALSE)), "Not Found", VLOOKUP(A1962,'Master List'!A:C,3,FALSE)))</f>
        <v>Email</v>
      </c>
      <c r="F1962" s="4" t="str">
        <f>IF(OR(A1962="",E1962="","",A1962="?",E1962="?"),"duplicate?",IF(COUNTIFS($A:A,A1962,E:E,E1962)&gt;1,"yes","no"))</f>
        <v>duplicate?</v>
      </c>
      <c r="K1962" s="97" t="str">
        <f ca="1">IF(J1962="","Date",IF(J1962&lt;&gt;"",IF(K1962="Date",NOW(),K1962),""))</f>
        <v>Date</v>
      </c>
    </row>
    <row r="1963" spans="2:11">
      <c r="B1963" s="97" t="str">
        <f ca="1">IF(A1963="","Date",IF(A1963&lt;&gt;"",IF(B1963="Date",NOW(),B1963),""))</f>
        <v>Date</v>
      </c>
      <c r="C1963" s="19" t="str">
        <f>IF(ISBLANK(A1963),"Name",IF(ISNA(VLOOKUP(A1963,'Master List'!A:C,2,FALSE)), "Not Found", VLOOKUP(A1963,'Master List'!A:C,2,FALSE)))</f>
        <v>Name</v>
      </c>
      <c r="D1963" s="19" t="str">
        <f>IF(ISBLANK(A1963), "Email",IF(ISNA(VLOOKUP(A1963,'Master List'!A:C,3,FALSE)), "Not Found", VLOOKUP(A1963,'Master List'!A:C,3,FALSE)))</f>
        <v>Email</v>
      </c>
      <c r="F1963" s="4" t="str">
        <f>IF(OR(A1963="",E1963="","",A1963="?",E1963="?"),"duplicate?",IF(COUNTIFS($A:A,A1963,E:E,E1963)&gt;1,"yes","no"))</f>
        <v>duplicate?</v>
      </c>
      <c r="K1963" s="97" t="str">
        <f ca="1">IF(J1963="","Date",IF(J1963&lt;&gt;"",IF(K1963="Date",NOW(),K1963),""))</f>
        <v>Date</v>
      </c>
    </row>
    <row r="1964" spans="2:11">
      <c r="B1964" s="97" t="str">
        <f ca="1">IF(A1964="","Date",IF(A1964&lt;&gt;"",IF(B1964="Date",NOW(),B1964),""))</f>
        <v>Date</v>
      </c>
      <c r="C1964" s="19" t="str">
        <f>IF(ISBLANK(A1964),"Name",IF(ISNA(VLOOKUP(A1964,'Master List'!A:C,2,FALSE)), "Not Found", VLOOKUP(A1964,'Master List'!A:C,2,FALSE)))</f>
        <v>Name</v>
      </c>
      <c r="D1964" s="19" t="str">
        <f>IF(ISBLANK(A1964), "Email",IF(ISNA(VLOOKUP(A1964,'Master List'!A:C,3,FALSE)), "Not Found", VLOOKUP(A1964,'Master List'!A:C,3,FALSE)))</f>
        <v>Email</v>
      </c>
      <c r="F1964" s="4" t="str">
        <f>IF(OR(A1964="",E1964="","",A1964="?",E1964="?"),"duplicate?",IF(COUNTIFS($A:A,A1964,E:E,E1964)&gt;1,"yes","no"))</f>
        <v>duplicate?</v>
      </c>
      <c r="K1964" s="97" t="str">
        <f ca="1">IF(J1964="","Date",IF(J1964&lt;&gt;"",IF(K1964="Date",NOW(),K1964),""))</f>
        <v>Date</v>
      </c>
    </row>
    <row r="1965" spans="2:11">
      <c r="B1965" s="97" t="str">
        <f ca="1">IF(A1965="","Date",IF(A1965&lt;&gt;"",IF(B1965="Date",NOW(),B1965),""))</f>
        <v>Date</v>
      </c>
      <c r="C1965" s="19" t="str">
        <f>IF(ISBLANK(A1965),"Name",IF(ISNA(VLOOKUP(A1965,'Master List'!A:C,2,FALSE)), "Not Found", VLOOKUP(A1965,'Master List'!A:C,2,FALSE)))</f>
        <v>Name</v>
      </c>
      <c r="D1965" s="19" t="str">
        <f>IF(ISBLANK(A1965), "Email",IF(ISNA(VLOOKUP(A1965,'Master List'!A:C,3,FALSE)), "Not Found", VLOOKUP(A1965,'Master List'!A:C,3,FALSE)))</f>
        <v>Email</v>
      </c>
      <c r="F1965" s="4" t="str">
        <f>IF(OR(A1965="",E1965="","",A1965="?",E1965="?"),"duplicate?",IF(COUNTIFS($A:A,A1965,E:E,E1965)&gt;1,"yes","no"))</f>
        <v>duplicate?</v>
      </c>
      <c r="K1965" s="97" t="str">
        <f ca="1">IF(J1965="","Date",IF(J1965&lt;&gt;"",IF(K1965="Date",NOW(),K1965),""))</f>
        <v>Date</v>
      </c>
    </row>
    <row r="1966" spans="2:11">
      <c r="B1966" s="97" t="str">
        <f ca="1">IF(A1966="","Date",IF(A1966&lt;&gt;"",IF(B1966="Date",NOW(),B1966),""))</f>
        <v>Date</v>
      </c>
      <c r="C1966" s="19" t="str">
        <f>IF(ISBLANK(A1966),"Name",IF(ISNA(VLOOKUP(A1966,'Master List'!A:C,2,FALSE)), "Not Found", VLOOKUP(A1966,'Master List'!A:C,2,FALSE)))</f>
        <v>Name</v>
      </c>
      <c r="D1966" s="19" t="str">
        <f>IF(ISBLANK(A1966), "Email",IF(ISNA(VLOOKUP(A1966,'Master List'!A:C,3,FALSE)), "Not Found", VLOOKUP(A1966,'Master List'!A:C,3,FALSE)))</f>
        <v>Email</v>
      </c>
      <c r="F1966" s="4" t="str">
        <f>IF(OR(A1966="",E1966="","",A1966="?",E1966="?"),"duplicate?",IF(COUNTIFS($A:A,A1966,E:E,E1966)&gt;1,"yes","no"))</f>
        <v>duplicate?</v>
      </c>
      <c r="K1966" s="97" t="str">
        <f ca="1">IF(J1966="","Date",IF(J1966&lt;&gt;"",IF(K1966="Date",NOW(),K1966),""))</f>
        <v>Date</v>
      </c>
    </row>
    <row r="1967" spans="2:11">
      <c r="B1967" s="97" t="str">
        <f ca="1">IF(A1967="","Date",IF(A1967&lt;&gt;"",IF(B1967="Date",NOW(),B1967),""))</f>
        <v>Date</v>
      </c>
      <c r="C1967" s="19" t="str">
        <f>IF(ISBLANK(A1967),"Name",IF(ISNA(VLOOKUP(A1967,'Master List'!A:C,2,FALSE)), "Not Found", VLOOKUP(A1967,'Master List'!A:C,2,FALSE)))</f>
        <v>Name</v>
      </c>
      <c r="D1967" s="19" t="str">
        <f>IF(ISBLANK(A1967), "Email",IF(ISNA(VLOOKUP(A1967,'Master List'!A:C,3,FALSE)), "Not Found", VLOOKUP(A1967,'Master List'!A:C,3,FALSE)))</f>
        <v>Email</v>
      </c>
      <c r="F1967" s="4" t="str">
        <f>IF(OR(A1967="",E1967="","",A1967="?",E1967="?"),"duplicate?",IF(COUNTIFS($A:A,A1967,E:E,E1967)&gt;1,"yes","no"))</f>
        <v>duplicate?</v>
      </c>
      <c r="K1967" s="97" t="str">
        <f ca="1">IF(J1967="","Date",IF(J1967&lt;&gt;"",IF(K1967="Date",NOW(),K1967),""))</f>
        <v>Date</v>
      </c>
    </row>
    <row r="1968" spans="2:11">
      <c r="B1968" s="97" t="str">
        <f ca="1">IF(A1968="","Date",IF(A1968&lt;&gt;"",IF(B1968="Date",NOW(),B1968),""))</f>
        <v>Date</v>
      </c>
      <c r="C1968" s="19" t="str">
        <f>IF(ISBLANK(A1968),"Name",IF(ISNA(VLOOKUP(A1968,'Master List'!A:C,2,FALSE)), "Not Found", VLOOKUP(A1968,'Master List'!A:C,2,FALSE)))</f>
        <v>Name</v>
      </c>
      <c r="D1968" s="19" t="str">
        <f>IF(ISBLANK(A1968), "Email",IF(ISNA(VLOOKUP(A1968,'Master List'!A:C,3,FALSE)), "Not Found", VLOOKUP(A1968,'Master List'!A:C,3,FALSE)))</f>
        <v>Email</v>
      </c>
      <c r="F1968" s="4" t="str">
        <f>IF(OR(A1968="",E1968="","",A1968="?",E1968="?"),"duplicate?",IF(COUNTIFS($A:A,A1968,E:E,E1968)&gt;1,"yes","no"))</f>
        <v>duplicate?</v>
      </c>
      <c r="K1968" s="97" t="str">
        <f ca="1">IF(J1968="","Date",IF(J1968&lt;&gt;"",IF(K1968="Date",NOW(),K1968),""))</f>
        <v>Date</v>
      </c>
    </row>
    <row r="1969" spans="2:11">
      <c r="B1969" s="97" t="str">
        <f ca="1">IF(A1969="","Date",IF(A1969&lt;&gt;"",IF(B1969="Date",NOW(),B1969),""))</f>
        <v>Date</v>
      </c>
      <c r="C1969" s="19" t="str">
        <f>IF(ISBLANK(A1969),"Name",IF(ISNA(VLOOKUP(A1969,'Master List'!A:C,2,FALSE)), "Not Found", VLOOKUP(A1969,'Master List'!A:C,2,FALSE)))</f>
        <v>Name</v>
      </c>
      <c r="D1969" s="19" t="str">
        <f>IF(ISBLANK(A1969), "Email",IF(ISNA(VLOOKUP(A1969,'Master List'!A:C,3,FALSE)), "Not Found", VLOOKUP(A1969,'Master List'!A:C,3,FALSE)))</f>
        <v>Email</v>
      </c>
      <c r="F1969" s="4" t="str">
        <f>IF(OR(A1969="",E1969="","",A1969="?",E1969="?"),"duplicate?",IF(COUNTIFS($A:A,A1969,E:E,E1969)&gt;1,"yes","no"))</f>
        <v>duplicate?</v>
      </c>
      <c r="K1969" s="97" t="str">
        <f ca="1">IF(J1969="","Date",IF(J1969&lt;&gt;"",IF(K1969="Date",NOW(),K1969),""))</f>
        <v>Date</v>
      </c>
    </row>
    <row r="1970" spans="2:11">
      <c r="B1970" s="97" t="str">
        <f ca="1">IF(A1970="","Date",IF(A1970&lt;&gt;"",IF(B1970="Date",NOW(),B1970),""))</f>
        <v>Date</v>
      </c>
      <c r="C1970" s="19" t="str">
        <f>IF(ISBLANK(A1970),"Name",IF(ISNA(VLOOKUP(A1970,'Master List'!A:C,2,FALSE)), "Not Found", VLOOKUP(A1970,'Master List'!A:C,2,FALSE)))</f>
        <v>Name</v>
      </c>
      <c r="D1970" s="19" t="str">
        <f>IF(ISBLANK(A1970), "Email",IF(ISNA(VLOOKUP(A1970,'Master List'!A:C,3,FALSE)), "Not Found", VLOOKUP(A1970,'Master List'!A:C,3,FALSE)))</f>
        <v>Email</v>
      </c>
      <c r="F1970" s="4" t="str">
        <f>IF(OR(A1970="",E1970="","",A1970="?",E1970="?"),"duplicate?",IF(COUNTIFS($A:A,A1970,E:E,E1970)&gt;1,"yes","no"))</f>
        <v>duplicate?</v>
      </c>
      <c r="K1970" s="97" t="str">
        <f ca="1">IF(J1970="","Date",IF(J1970&lt;&gt;"",IF(K1970="Date",NOW(),K1970),""))</f>
        <v>Date</v>
      </c>
    </row>
    <row r="1971" spans="2:11">
      <c r="B1971" s="97" t="str">
        <f ca="1">IF(A1971="","Date",IF(A1971&lt;&gt;"",IF(B1971="Date",NOW(),B1971),""))</f>
        <v>Date</v>
      </c>
      <c r="C1971" s="19" t="str">
        <f>IF(ISBLANK(A1971),"Name",IF(ISNA(VLOOKUP(A1971,'Master List'!A:C,2,FALSE)), "Not Found", VLOOKUP(A1971,'Master List'!A:C,2,FALSE)))</f>
        <v>Name</v>
      </c>
      <c r="D1971" s="19" t="str">
        <f>IF(ISBLANK(A1971), "Email",IF(ISNA(VLOOKUP(A1971,'Master List'!A:C,3,FALSE)), "Not Found", VLOOKUP(A1971,'Master List'!A:C,3,FALSE)))</f>
        <v>Email</v>
      </c>
      <c r="F1971" s="4" t="str">
        <f>IF(OR(A1971="",E1971="","",A1971="?",E1971="?"),"duplicate?",IF(COUNTIFS($A:A,A1971,E:E,E1971)&gt;1,"yes","no"))</f>
        <v>duplicate?</v>
      </c>
      <c r="K1971" s="97" t="str">
        <f ca="1">IF(J1971="","Date",IF(J1971&lt;&gt;"",IF(K1971="Date",NOW(),K1971),""))</f>
        <v>Date</v>
      </c>
    </row>
    <row r="1972" spans="2:11">
      <c r="B1972" s="97" t="str">
        <f ca="1">IF(A1972="","Date",IF(A1972&lt;&gt;"",IF(B1972="Date",NOW(),B1972),""))</f>
        <v>Date</v>
      </c>
      <c r="C1972" s="19" t="str">
        <f>IF(ISBLANK(A1972),"Name",IF(ISNA(VLOOKUP(A1972,'Master List'!A:C,2,FALSE)), "Not Found", VLOOKUP(A1972,'Master List'!A:C,2,FALSE)))</f>
        <v>Name</v>
      </c>
      <c r="D1972" s="19" t="str">
        <f>IF(ISBLANK(A1972), "Email",IF(ISNA(VLOOKUP(A1972,'Master List'!A:C,3,FALSE)), "Not Found", VLOOKUP(A1972,'Master List'!A:C,3,FALSE)))</f>
        <v>Email</v>
      </c>
      <c r="F1972" s="4" t="str">
        <f>IF(OR(A1972="",E1972="","",A1972="?",E1972="?"),"duplicate?",IF(COUNTIFS($A:A,A1972,E:E,E1972)&gt;1,"yes","no"))</f>
        <v>duplicate?</v>
      </c>
      <c r="K1972" s="97" t="str">
        <f ca="1">IF(J1972="","Date",IF(J1972&lt;&gt;"",IF(K1972="Date",NOW(),K1972),""))</f>
        <v>Date</v>
      </c>
    </row>
    <row r="1973" spans="2:11">
      <c r="B1973" s="97" t="str">
        <f ca="1">IF(A1973="","Date",IF(A1973&lt;&gt;"",IF(B1973="Date",NOW(),B1973),""))</f>
        <v>Date</v>
      </c>
      <c r="C1973" s="19" t="str">
        <f>IF(ISBLANK(A1973),"Name",IF(ISNA(VLOOKUP(A1973,'Master List'!A:C,2,FALSE)), "Not Found", VLOOKUP(A1973,'Master List'!A:C,2,FALSE)))</f>
        <v>Name</v>
      </c>
      <c r="D1973" s="19" t="str">
        <f>IF(ISBLANK(A1973), "Email",IF(ISNA(VLOOKUP(A1973,'Master List'!A:C,3,FALSE)), "Not Found", VLOOKUP(A1973,'Master List'!A:C,3,FALSE)))</f>
        <v>Email</v>
      </c>
      <c r="F1973" s="4" t="str">
        <f>IF(OR(A1973="",E1973="","",A1973="?",E1973="?"),"duplicate?",IF(COUNTIFS($A:A,A1973,E:E,E1973)&gt;1,"yes","no"))</f>
        <v>duplicate?</v>
      </c>
      <c r="K1973" s="97" t="str">
        <f ca="1">IF(J1973="","Date",IF(J1973&lt;&gt;"",IF(K1973="Date",NOW(),K1973),""))</f>
        <v>Date</v>
      </c>
    </row>
    <row r="1974" spans="2:11">
      <c r="B1974" s="97" t="str">
        <f ca="1">IF(A1974="","Date",IF(A1974&lt;&gt;"",IF(B1974="Date",NOW(),B1974),""))</f>
        <v>Date</v>
      </c>
      <c r="C1974" s="19" t="str">
        <f>IF(ISBLANK(A1974),"Name",IF(ISNA(VLOOKUP(A1974,'Master List'!A:C,2,FALSE)), "Not Found", VLOOKUP(A1974,'Master List'!A:C,2,FALSE)))</f>
        <v>Name</v>
      </c>
      <c r="D1974" s="19" t="str">
        <f>IF(ISBLANK(A1974), "Email",IF(ISNA(VLOOKUP(A1974,'Master List'!A:C,3,FALSE)), "Not Found", VLOOKUP(A1974,'Master List'!A:C,3,FALSE)))</f>
        <v>Email</v>
      </c>
      <c r="F1974" s="4" t="str">
        <f>IF(OR(A1974="",E1974="","",A1974="?",E1974="?"),"duplicate?",IF(COUNTIFS($A:A,A1974,E:E,E1974)&gt;1,"yes","no"))</f>
        <v>duplicate?</v>
      </c>
      <c r="K1974" s="97" t="str">
        <f ca="1">IF(J1974="","Date",IF(J1974&lt;&gt;"",IF(K1974="Date",NOW(),K1974),""))</f>
        <v>Date</v>
      </c>
    </row>
    <row r="1975" spans="2:11">
      <c r="B1975" s="97" t="str">
        <f ca="1">IF(A1975="","Date",IF(A1975&lt;&gt;"",IF(B1975="Date",NOW(),B1975),""))</f>
        <v>Date</v>
      </c>
      <c r="C1975" s="19" t="str">
        <f>IF(ISBLANK(A1975),"Name",IF(ISNA(VLOOKUP(A1975,'Master List'!A:C,2,FALSE)), "Not Found", VLOOKUP(A1975,'Master List'!A:C,2,FALSE)))</f>
        <v>Name</v>
      </c>
      <c r="D1975" s="19" t="str">
        <f>IF(ISBLANK(A1975), "Email",IF(ISNA(VLOOKUP(A1975,'Master List'!A:C,3,FALSE)), "Not Found", VLOOKUP(A1975,'Master List'!A:C,3,FALSE)))</f>
        <v>Email</v>
      </c>
      <c r="F1975" s="4" t="str">
        <f>IF(OR(A1975="",E1975="","",A1975="?",E1975="?"),"duplicate?",IF(COUNTIFS($A:A,A1975,E:E,E1975)&gt;1,"yes","no"))</f>
        <v>duplicate?</v>
      </c>
      <c r="K1975" s="97" t="str">
        <f ca="1">IF(J1975="","Date",IF(J1975&lt;&gt;"",IF(K1975="Date",NOW(),K1975),""))</f>
        <v>Date</v>
      </c>
    </row>
    <row r="1976" spans="2:11">
      <c r="B1976" s="97" t="str">
        <f ca="1">IF(A1976="","Date",IF(A1976&lt;&gt;"",IF(B1976="Date",NOW(),B1976),""))</f>
        <v>Date</v>
      </c>
      <c r="C1976" s="19" t="str">
        <f>IF(ISBLANK(A1976),"Name",IF(ISNA(VLOOKUP(A1976,'Master List'!A:C,2,FALSE)), "Not Found", VLOOKUP(A1976,'Master List'!A:C,2,FALSE)))</f>
        <v>Name</v>
      </c>
      <c r="D1976" s="19" t="str">
        <f>IF(ISBLANK(A1976), "Email",IF(ISNA(VLOOKUP(A1976,'Master List'!A:C,3,FALSE)), "Not Found", VLOOKUP(A1976,'Master List'!A:C,3,FALSE)))</f>
        <v>Email</v>
      </c>
      <c r="F1976" s="4" t="str">
        <f>IF(OR(A1976="",E1976="","",A1976="?",E1976="?"),"duplicate?",IF(COUNTIFS($A:A,A1976,E:E,E1976)&gt;1,"yes","no"))</f>
        <v>duplicate?</v>
      </c>
      <c r="K1976" s="97" t="str">
        <f ca="1">IF(J1976="","Date",IF(J1976&lt;&gt;"",IF(K1976="Date",NOW(),K1976),""))</f>
        <v>Date</v>
      </c>
    </row>
    <row r="1977" spans="2:11">
      <c r="B1977" s="97" t="str">
        <f ca="1">IF(A1977="","Date",IF(A1977&lt;&gt;"",IF(B1977="Date",NOW(),B1977),""))</f>
        <v>Date</v>
      </c>
      <c r="C1977" s="19" t="str">
        <f>IF(ISBLANK(A1977),"Name",IF(ISNA(VLOOKUP(A1977,'Master List'!A:C,2,FALSE)), "Not Found", VLOOKUP(A1977,'Master List'!A:C,2,FALSE)))</f>
        <v>Name</v>
      </c>
      <c r="D1977" s="19" t="str">
        <f>IF(ISBLANK(A1977), "Email",IF(ISNA(VLOOKUP(A1977,'Master List'!A:C,3,FALSE)), "Not Found", VLOOKUP(A1977,'Master List'!A:C,3,FALSE)))</f>
        <v>Email</v>
      </c>
      <c r="F1977" s="4" t="str">
        <f>IF(OR(A1977="",E1977="","",A1977="?",E1977="?"),"duplicate?",IF(COUNTIFS($A:A,A1977,E:E,E1977)&gt;1,"yes","no"))</f>
        <v>duplicate?</v>
      </c>
      <c r="K1977" s="97" t="str">
        <f ca="1">IF(J1977="","Date",IF(J1977&lt;&gt;"",IF(K1977="Date",NOW(),K1977),""))</f>
        <v>Date</v>
      </c>
    </row>
    <row r="1978" spans="2:11">
      <c r="B1978" s="97" t="str">
        <f ca="1">IF(A1978="","Date",IF(A1978&lt;&gt;"",IF(B1978="Date",NOW(),B1978),""))</f>
        <v>Date</v>
      </c>
      <c r="C1978" s="19" t="str">
        <f>IF(ISBLANK(A1978),"Name",IF(ISNA(VLOOKUP(A1978,'Master List'!A:C,2,FALSE)), "Not Found", VLOOKUP(A1978,'Master List'!A:C,2,FALSE)))</f>
        <v>Name</v>
      </c>
      <c r="D1978" s="19" t="str">
        <f>IF(ISBLANK(A1978), "Email",IF(ISNA(VLOOKUP(A1978,'Master List'!A:C,3,FALSE)), "Not Found", VLOOKUP(A1978,'Master List'!A:C,3,FALSE)))</f>
        <v>Email</v>
      </c>
      <c r="F1978" s="4" t="str">
        <f>IF(OR(A1978="",E1978="","",A1978="?",E1978="?"),"duplicate?",IF(COUNTIFS($A:A,A1978,E:E,E1978)&gt;1,"yes","no"))</f>
        <v>duplicate?</v>
      </c>
      <c r="K1978" s="97" t="str">
        <f ca="1">IF(J1978="","Date",IF(J1978&lt;&gt;"",IF(K1978="Date",NOW(),K1978),""))</f>
        <v>Date</v>
      </c>
    </row>
    <row r="1979" spans="2:11">
      <c r="B1979" s="97" t="str">
        <f ca="1">IF(A1979="","Date",IF(A1979&lt;&gt;"",IF(B1979="Date",NOW(),B1979),""))</f>
        <v>Date</v>
      </c>
      <c r="C1979" s="19" t="str">
        <f>IF(ISBLANK(A1979),"Name",IF(ISNA(VLOOKUP(A1979,'Master List'!A:C,2,FALSE)), "Not Found", VLOOKUP(A1979,'Master List'!A:C,2,FALSE)))</f>
        <v>Name</v>
      </c>
      <c r="D1979" s="19" t="str">
        <f>IF(ISBLANK(A1979), "Email",IF(ISNA(VLOOKUP(A1979,'Master List'!A:C,3,FALSE)), "Not Found", VLOOKUP(A1979,'Master List'!A:C,3,FALSE)))</f>
        <v>Email</v>
      </c>
      <c r="F1979" s="4" t="str">
        <f>IF(OR(A1979="",E1979="","",A1979="?",E1979="?"),"duplicate?",IF(COUNTIFS($A:A,A1979,E:E,E1979)&gt;1,"yes","no"))</f>
        <v>duplicate?</v>
      </c>
      <c r="K1979" s="97" t="str">
        <f ca="1">IF(J1979="","Date",IF(J1979&lt;&gt;"",IF(K1979="Date",NOW(),K1979),""))</f>
        <v>Date</v>
      </c>
    </row>
    <row r="1980" spans="2:11">
      <c r="B1980" s="97" t="str">
        <f ca="1">IF(A1980="","Date",IF(A1980&lt;&gt;"",IF(B1980="Date",NOW(),B1980),""))</f>
        <v>Date</v>
      </c>
      <c r="C1980" s="19" t="str">
        <f>IF(ISBLANK(A1980),"Name",IF(ISNA(VLOOKUP(A1980,'Master List'!A:C,2,FALSE)), "Not Found", VLOOKUP(A1980,'Master List'!A:C,2,FALSE)))</f>
        <v>Name</v>
      </c>
      <c r="D1980" s="19" t="str">
        <f>IF(ISBLANK(A1980), "Email",IF(ISNA(VLOOKUP(A1980,'Master List'!A:C,3,FALSE)), "Not Found", VLOOKUP(A1980,'Master List'!A:C,3,FALSE)))</f>
        <v>Email</v>
      </c>
      <c r="F1980" s="4" t="str">
        <f>IF(OR(A1980="",E1980="","",A1980="?",E1980="?"),"duplicate?",IF(COUNTIFS($A:A,A1980,E:E,E1980)&gt;1,"yes","no"))</f>
        <v>duplicate?</v>
      </c>
      <c r="K1980" s="97" t="str">
        <f ca="1">IF(J1980="","Date",IF(J1980&lt;&gt;"",IF(K1980="Date",NOW(),K1980),""))</f>
        <v>Date</v>
      </c>
    </row>
    <row r="1981" spans="2:11">
      <c r="B1981" s="97" t="str">
        <f ca="1">IF(A1981="","Date",IF(A1981&lt;&gt;"",IF(B1981="Date",NOW(),B1981),""))</f>
        <v>Date</v>
      </c>
      <c r="C1981" s="19" t="str">
        <f>IF(ISBLANK(A1981),"Name",IF(ISNA(VLOOKUP(A1981,'Master List'!A:C,2,FALSE)), "Not Found", VLOOKUP(A1981,'Master List'!A:C,2,FALSE)))</f>
        <v>Name</v>
      </c>
      <c r="D1981" s="19" t="str">
        <f>IF(ISBLANK(A1981), "Email",IF(ISNA(VLOOKUP(A1981,'Master List'!A:C,3,FALSE)), "Not Found", VLOOKUP(A1981,'Master List'!A:C,3,FALSE)))</f>
        <v>Email</v>
      </c>
      <c r="F1981" s="4" t="str">
        <f>IF(OR(A1981="",E1981="","",A1981="?",E1981="?"),"duplicate?",IF(COUNTIFS($A:A,A1981,E:E,E1981)&gt;1,"yes","no"))</f>
        <v>duplicate?</v>
      </c>
      <c r="K1981" s="97" t="str">
        <f ca="1">IF(J1981="","Date",IF(J1981&lt;&gt;"",IF(K1981="Date",NOW(),K1981),""))</f>
        <v>Date</v>
      </c>
    </row>
    <row r="1982" spans="2:11">
      <c r="B1982" s="97" t="str">
        <f ca="1">IF(A1982="","Date",IF(A1982&lt;&gt;"",IF(B1982="Date",NOW(),B1982),""))</f>
        <v>Date</v>
      </c>
      <c r="C1982" s="19" t="str">
        <f>IF(ISBLANK(A1982),"Name",IF(ISNA(VLOOKUP(A1982,'Master List'!A:C,2,FALSE)), "Not Found", VLOOKUP(A1982,'Master List'!A:C,2,FALSE)))</f>
        <v>Name</v>
      </c>
      <c r="D1982" s="19" t="str">
        <f>IF(ISBLANK(A1982), "Email",IF(ISNA(VLOOKUP(A1982,'Master List'!A:C,3,FALSE)), "Not Found", VLOOKUP(A1982,'Master List'!A:C,3,FALSE)))</f>
        <v>Email</v>
      </c>
      <c r="F1982" s="4" t="str">
        <f>IF(OR(A1982="",E1982="","",A1982="?",E1982="?"),"duplicate?",IF(COUNTIFS($A:A,A1982,E:E,E1982)&gt;1,"yes","no"))</f>
        <v>duplicate?</v>
      </c>
      <c r="K1982" s="97" t="str">
        <f ca="1">IF(J1982="","Date",IF(J1982&lt;&gt;"",IF(K1982="Date",NOW(),K1982),""))</f>
        <v>Date</v>
      </c>
    </row>
    <row r="1983" spans="2:11">
      <c r="B1983" s="97" t="str">
        <f ca="1">IF(A1983="","Date",IF(A1983&lt;&gt;"",IF(B1983="Date",NOW(),B1983),""))</f>
        <v>Date</v>
      </c>
      <c r="C1983" s="19" t="str">
        <f>IF(ISBLANK(A1983),"Name",IF(ISNA(VLOOKUP(A1983,'Master List'!A:C,2,FALSE)), "Not Found", VLOOKUP(A1983,'Master List'!A:C,2,FALSE)))</f>
        <v>Name</v>
      </c>
      <c r="D1983" s="19" t="str">
        <f>IF(ISBLANK(A1983), "Email",IF(ISNA(VLOOKUP(A1983,'Master List'!A:C,3,FALSE)), "Not Found", VLOOKUP(A1983,'Master List'!A:C,3,FALSE)))</f>
        <v>Email</v>
      </c>
      <c r="F1983" s="4" t="str">
        <f>IF(OR(A1983="",E1983="","",A1983="?",E1983="?"),"duplicate?",IF(COUNTIFS($A:A,A1983,E:E,E1983)&gt;1,"yes","no"))</f>
        <v>duplicate?</v>
      </c>
      <c r="K1983" s="97" t="str">
        <f ca="1">IF(J1983="","Date",IF(J1983&lt;&gt;"",IF(K1983="Date",NOW(),K1983),""))</f>
        <v>Date</v>
      </c>
    </row>
    <row r="1984" spans="2:11">
      <c r="B1984" s="97" t="str">
        <f ca="1">IF(A1984="","Date",IF(A1984&lt;&gt;"",IF(B1984="Date",NOW(),B1984),""))</f>
        <v>Date</v>
      </c>
      <c r="C1984" s="19" t="str">
        <f>IF(ISBLANK(A1984),"Name",IF(ISNA(VLOOKUP(A1984,'Master List'!A:C,2,FALSE)), "Not Found", VLOOKUP(A1984,'Master List'!A:C,2,FALSE)))</f>
        <v>Name</v>
      </c>
      <c r="D1984" s="19" t="str">
        <f>IF(ISBLANK(A1984), "Email",IF(ISNA(VLOOKUP(A1984,'Master List'!A:C,3,FALSE)), "Not Found", VLOOKUP(A1984,'Master List'!A:C,3,FALSE)))</f>
        <v>Email</v>
      </c>
      <c r="F1984" s="4" t="str">
        <f>IF(OR(A1984="",E1984="","",A1984="?",E1984="?"),"duplicate?",IF(COUNTIFS($A:A,A1984,E:E,E1984)&gt;1,"yes","no"))</f>
        <v>duplicate?</v>
      </c>
      <c r="K1984" s="97" t="str">
        <f ca="1">IF(J1984="","Date",IF(J1984&lt;&gt;"",IF(K1984="Date",NOW(),K1984),""))</f>
        <v>Date</v>
      </c>
    </row>
    <row r="1985" spans="2:11">
      <c r="B1985" s="97" t="str">
        <f ca="1">IF(A1985="","Date",IF(A1985&lt;&gt;"",IF(B1985="Date",NOW(),B1985),""))</f>
        <v>Date</v>
      </c>
      <c r="C1985" s="19" t="str">
        <f>IF(ISBLANK(A1985),"Name",IF(ISNA(VLOOKUP(A1985,'Master List'!A:C,2,FALSE)), "Not Found", VLOOKUP(A1985,'Master List'!A:C,2,FALSE)))</f>
        <v>Name</v>
      </c>
      <c r="D1985" s="19" t="str">
        <f>IF(ISBLANK(A1985), "Email",IF(ISNA(VLOOKUP(A1985,'Master List'!A:C,3,FALSE)), "Not Found", VLOOKUP(A1985,'Master List'!A:C,3,FALSE)))</f>
        <v>Email</v>
      </c>
      <c r="F1985" s="4" t="str">
        <f>IF(OR(A1985="",E1985="","",A1985="?",E1985="?"),"duplicate?",IF(COUNTIFS($A:A,A1985,E:E,E1985)&gt;1,"yes","no"))</f>
        <v>duplicate?</v>
      </c>
      <c r="K1985" s="97" t="str">
        <f ca="1">IF(J1985="","Date",IF(J1985&lt;&gt;"",IF(K1985="Date",NOW(),K1985),""))</f>
        <v>Date</v>
      </c>
    </row>
    <row r="1986" spans="2:11">
      <c r="B1986" s="97" t="str">
        <f ca="1">IF(A1986="","Date",IF(A1986&lt;&gt;"",IF(B1986="Date",NOW(),B1986),""))</f>
        <v>Date</v>
      </c>
      <c r="C1986" s="19" t="str">
        <f>IF(ISBLANK(A1986),"Name",IF(ISNA(VLOOKUP(A1986,'Master List'!A:C,2,FALSE)), "Not Found", VLOOKUP(A1986,'Master List'!A:C,2,FALSE)))</f>
        <v>Name</v>
      </c>
      <c r="D1986" s="19" t="str">
        <f>IF(ISBLANK(A1986), "Email",IF(ISNA(VLOOKUP(A1986,'Master List'!A:C,3,FALSE)), "Not Found", VLOOKUP(A1986,'Master List'!A:C,3,FALSE)))</f>
        <v>Email</v>
      </c>
      <c r="F1986" s="4" t="str">
        <f>IF(OR(A1986="",E1986="","",A1986="?",E1986="?"),"duplicate?",IF(COUNTIFS($A:A,A1986,E:E,E1986)&gt;1,"yes","no"))</f>
        <v>duplicate?</v>
      </c>
      <c r="K1986" s="97" t="str">
        <f ca="1">IF(J1986="","Date",IF(J1986&lt;&gt;"",IF(K1986="Date",NOW(),K1986),""))</f>
        <v>Date</v>
      </c>
    </row>
    <row r="1987" spans="2:11">
      <c r="B1987" s="97" t="str">
        <f ca="1">IF(A1987="","Date",IF(A1987&lt;&gt;"",IF(B1987="Date",NOW(),B1987),""))</f>
        <v>Date</v>
      </c>
      <c r="C1987" s="19" t="str">
        <f>IF(ISBLANK(A1987),"Name",IF(ISNA(VLOOKUP(A1987,'Master List'!A:C,2,FALSE)), "Not Found", VLOOKUP(A1987,'Master List'!A:C,2,FALSE)))</f>
        <v>Name</v>
      </c>
      <c r="D1987" s="19" t="str">
        <f>IF(ISBLANK(A1987), "Email",IF(ISNA(VLOOKUP(A1987,'Master List'!A:C,3,FALSE)), "Not Found", VLOOKUP(A1987,'Master List'!A:C,3,FALSE)))</f>
        <v>Email</v>
      </c>
      <c r="F1987" s="4" t="str">
        <f>IF(OR(A1987="",E1987="","",A1987="?",E1987="?"),"duplicate?",IF(COUNTIFS($A:A,A1987,E:E,E1987)&gt;1,"yes","no"))</f>
        <v>duplicate?</v>
      </c>
      <c r="K1987" s="97" t="str">
        <f ca="1">IF(J1987="","Date",IF(J1987&lt;&gt;"",IF(K1987="Date",NOW(),K1987),""))</f>
        <v>Date</v>
      </c>
    </row>
    <row r="1988" spans="2:11">
      <c r="B1988" s="97" t="str">
        <f ca="1">IF(A1988="","Date",IF(A1988&lt;&gt;"",IF(B1988="Date",NOW(),B1988),""))</f>
        <v>Date</v>
      </c>
      <c r="C1988" s="19" t="str">
        <f>IF(ISBLANK(A1988),"Name",IF(ISNA(VLOOKUP(A1988,'Master List'!A:C,2,FALSE)), "Not Found", VLOOKUP(A1988,'Master List'!A:C,2,FALSE)))</f>
        <v>Name</v>
      </c>
      <c r="D1988" s="19" t="str">
        <f>IF(ISBLANK(A1988), "Email",IF(ISNA(VLOOKUP(A1988,'Master List'!A:C,3,FALSE)), "Not Found", VLOOKUP(A1988,'Master List'!A:C,3,FALSE)))</f>
        <v>Email</v>
      </c>
      <c r="F1988" s="4" t="str">
        <f>IF(OR(A1988="",E1988="","",A1988="?",E1988="?"),"duplicate?",IF(COUNTIFS($A:A,A1988,E:E,E1988)&gt;1,"yes","no"))</f>
        <v>duplicate?</v>
      </c>
      <c r="K1988" s="97" t="str">
        <f ca="1">IF(J1988="","Date",IF(J1988&lt;&gt;"",IF(K1988="Date",NOW(),K1988),""))</f>
        <v>Date</v>
      </c>
    </row>
    <row r="1989" spans="2:11">
      <c r="B1989" s="97" t="str">
        <f ca="1">IF(A1989="","Date",IF(A1989&lt;&gt;"",IF(B1989="Date",NOW(),B1989),""))</f>
        <v>Date</v>
      </c>
      <c r="C1989" s="19" t="str">
        <f>IF(ISBLANK(A1989),"Name",IF(ISNA(VLOOKUP(A1989,'Master List'!A:C,2,FALSE)), "Not Found", VLOOKUP(A1989,'Master List'!A:C,2,FALSE)))</f>
        <v>Name</v>
      </c>
      <c r="D1989" s="19" t="str">
        <f>IF(ISBLANK(A1989), "Email",IF(ISNA(VLOOKUP(A1989,'Master List'!A:C,3,FALSE)), "Not Found", VLOOKUP(A1989,'Master List'!A:C,3,FALSE)))</f>
        <v>Email</v>
      </c>
      <c r="F1989" s="4" t="str">
        <f>IF(OR(A1989="",E1989="","",A1989="?",E1989="?"),"duplicate?",IF(COUNTIFS($A:A,A1989,E:E,E1989)&gt;1,"yes","no"))</f>
        <v>duplicate?</v>
      </c>
      <c r="K1989" s="97" t="str">
        <f ca="1">IF(J1989="","Date",IF(J1989&lt;&gt;"",IF(K1989="Date",NOW(),K1989),""))</f>
        <v>Date</v>
      </c>
    </row>
    <row r="1990" spans="2:11">
      <c r="B1990" s="97" t="str">
        <f ca="1">IF(A1990="","Date",IF(A1990&lt;&gt;"",IF(B1990="Date",NOW(),B1990),""))</f>
        <v>Date</v>
      </c>
      <c r="C1990" s="19" t="str">
        <f>IF(ISBLANK(A1990),"Name",IF(ISNA(VLOOKUP(A1990,'Master List'!A:C,2,FALSE)), "Not Found", VLOOKUP(A1990,'Master List'!A:C,2,FALSE)))</f>
        <v>Name</v>
      </c>
      <c r="D1990" s="19" t="str">
        <f>IF(ISBLANK(A1990), "Email",IF(ISNA(VLOOKUP(A1990,'Master List'!A:C,3,FALSE)), "Not Found", VLOOKUP(A1990,'Master List'!A:C,3,FALSE)))</f>
        <v>Email</v>
      </c>
      <c r="F1990" s="4" t="str">
        <f>IF(OR(A1990="",E1990="","",A1990="?",E1990="?"),"duplicate?",IF(COUNTIFS($A:A,A1990,E:E,E1990)&gt;1,"yes","no"))</f>
        <v>duplicate?</v>
      </c>
      <c r="K1990" s="97" t="str">
        <f ca="1">IF(J1990="","Date",IF(J1990&lt;&gt;"",IF(K1990="Date",NOW(),K1990),""))</f>
        <v>Date</v>
      </c>
    </row>
    <row r="1991" spans="2:11">
      <c r="B1991" s="97" t="str">
        <f ca="1">IF(A1991="","Date",IF(A1991&lt;&gt;"",IF(B1991="Date",NOW(),B1991),""))</f>
        <v>Date</v>
      </c>
      <c r="C1991" s="19" t="str">
        <f>IF(ISBLANK(A1991),"Name",IF(ISNA(VLOOKUP(A1991,'Master List'!A:C,2,FALSE)), "Not Found", VLOOKUP(A1991,'Master List'!A:C,2,FALSE)))</f>
        <v>Name</v>
      </c>
      <c r="D1991" s="19" t="str">
        <f>IF(ISBLANK(A1991), "Email",IF(ISNA(VLOOKUP(A1991,'Master List'!A:C,3,FALSE)), "Not Found", VLOOKUP(A1991,'Master List'!A:C,3,FALSE)))</f>
        <v>Email</v>
      </c>
      <c r="F1991" s="4" t="str">
        <f>IF(OR(A1991="",E1991="","",A1991="?",E1991="?"),"duplicate?",IF(COUNTIFS($A:A,A1991,E:E,E1991)&gt;1,"yes","no"))</f>
        <v>duplicate?</v>
      </c>
      <c r="K1991" s="97" t="str">
        <f ca="1">IF(J1991="","Date",IF(J1991&lt;&gt;"",IF(K1991="Date",NOW(),K1991),""))</f>
        <v>Date</v>
      </c>
    </row>
    <row r="1992" spans="2:11">
      <c r="B1992" s="97" t="str">
        <f ca="1">IF(A1992="","Date",IF(A1992&lt;&gt;"",IF(B1992="Date",NOW(),B1992),""))</f>
        <v>Date</v>
      </c>
      <c r="C1992" s="19" t="str">
        <f>IF(ISBLANK(A1992),"Name",IF(ISNA(VLOOKUP(A1992,'Master List'!A:C,2,FALSE)), "Not Found", VLOOKUP(A1992,'Master List'!A:C,2,FALSE)))</f>
        <v>Name</v>
      </c>
      <c r="D1992" s="19" t="str">
        <f>IF(ISBLANK(A1992), "Email",IF(ISNA(VLOOKUP(A1992,'Master List'!A:C,3,FALSE)), "Not Found", VLOOKUP(A1992,'Master List'!A:C,3,FALSE)))</f>
        <v>Email</v>
      </c>
      <c r="F1992" s="4" t="str">
        <f>IF(OR(A1992="",E1992="","",A1992="?",E1992="?"),"duplicate?",IF(COUNTIFS($A:A,A1992,E:E,E1992)&gt;1,"yes","no"))</f>
        <v>duplicate?</v>
      </c>
      <c r="K1992" s="97" t="str">
        <f ca="1">IF(J1992="","Date",IF(J1992&lt;&gt;"",IF(K1992="Date",NOW(),K1992),""))</f>
        <v>Date</v>
      </c>
    </row>
    <row r="1993" spans="2:11">
      <c r="B1993" s="97" t="str">
        <f ca="1">IF(A1993="","Date",IF(A1993&lt;&gt;"",IF(B1993="Date",NOW(),B1993),""))</f>
        <v>Date</v>
      </c>
      <c r="C1993" s="19" t="str">
        <f>IF(ISBLANK(A1993),"Name",IF(ISNA(VLOOKUP(A1993,'Master List'!A:C,2,FALSE)), "Not Found", VLOOKUP(A1993,'Master List'!A:C,2,FALSE)))</f>
        <v>Name</v>
      </c>
      <c r="D1993" s="19" t="str">
        <f>IF(ISBLANK(A1993), "Email",IF(ISNA(VLOOKUP(A1993,'Master List'!A:C,3,FALSE)), "Not Found", VLOOKUP(A1993,'Master List'!A:C,3,FALSE)))</f>
        <v>Email</v>
      </c>
      <c r="F1993" s="4" t="str">
        <f>IF(OR(A1993="",E1993="","",A1993="?",E1993="?"),"duplicate?",IF(COUNTIFS($A:A,A1993,E:E,E1993)&gt;1,"yes","no"))</f>
        <v>duplicate?</v>
      </c>
      <c r="K1993" s="97" t="str">
        <f ca="1">IF(J1993="","Date",IF(J1993&lt;&gt;"",IF(K1993="Date",NOW(),K1993),""))</f>
        <v>Date</v>
      </c>
    </row>
    <row r="1994" spans="2:11">
      <c r="B1994" s="97" t="str">
        <f ca="1">IF(A1994="","Date",IF(A1994&lt;&gt;"",IF(B1994="Date",NOW(),B1994),""))</f>
        <v>Date</v>
      </c>
      <c r="C1994" s="19" t="str">
        <f>IF(ISBLANK(A1994),"Name",IF(ISNA(VLOOKUP(A1994,'Master List'!A:C,2,FALSE)), "Not Found", VLOOKUP(A1994,'Master List'!A:C,2,FALSE)))</f>
        <v>Name</v>
      </c>
      <c r="D1994" s="19" t="str">
        <f>IF(ISBLANK(A1994), "Email",IF(ISNA(VLOOKUP(A1994,'Master List'!A:C,3,FALSE)), "Not Found", VLOOKUP(A1994,'Master List'!A:C,3,FALSE)))</f>
        <v>Email</v>
      </c>
      <c r="F1994" s="4" t="str">
        <f>IF(OR(A1994="",E1994="","",A1994="?",E1994="?"),"duplicate?",IF(COUNTIFS($A:A,A1994,E:E,E1994)&gt;1,"yes","no"))</f>
        <v>duplicate?</v>
      </c>
      <c r="K1994" s="97" t="str">
        <f ca="1">IF(J1994="","Date",IF(J1994&lt;&gt;"",IF(K1994="Date",NOW(),K1994),""))</f>
        <v>Date</v>
      </c>
    </row>
    <row r="1995" spans="2:11">
      <c r="B1995" s="97" t="str">
        <f ca="1">IF(A1995="","Date",IF(A1995&lt;&gt;"",IF(B1995="Date",NOW(),B1995),""))</f>
        <v>Date</v>
      </c>
      <c r="C1995" s="19" t="str">
        <f>IF(ISBLANK(A1995),"Name",IF(ISNA(VLOOKUP(A1995,'Master List'!A:C,2,FALSE)), "Not Found", VLOOKUP(A1995,'Master List'!A:C,2,FALSE)))</f>
        <v>Name</v>
      </c>
      <c r="D1995" s="19" t="str">
        <f>IF(ISBLANK(A1995), "Email",IF(ISNA(VLOOKUP(A1995,'Master List'!A:C,3,FALSE)), "Not Found", VLOOKUP(A1995,'Master List'!A:C,3,FALSE)))</f>
        <v>Email</v>
      </c>
      <c r="F1995" s="4" t="str">
        <f>IF(OR(A1995="",E1995="","",A1995="?",E1995="?"),"duplicate?",IF(COUNTIFS($A:A,A1995,E:E,E1995)&gt;1,"yes","no"))</f>
        <v>duplicate?</v>
      </c>
      <c r="K1995" s="97" t="str">
        <f ca="1">IF(J1995="","Date",IF(J1995&lt;&gt;"",IF(K1995="Date",NOW(),K1995),""))</f>
        <v>Date</v>
      </c>
    </row>
    <row r="1996" spans="2:11">
      <c r="B1996" s="97" t="str">
        <f ca="1">IF(A1996="","Date",IF(A1996&lt;&gt;"",IF(B1996="Date",NOW(),B1996),""))</f>
        <v>Date</v>
      </c>
      <c r="C1996" s="19" t="str">
        <f>IF(ISBLANK(A1996),"Name",IF(ISNA(VLOOKUP(A1996,'Master List'!A:C,2,FALSE)), "Not Found", VLOOKUP(A1996,'Master List'!A:C,2,FALSE)))</f>
        <v>Name</v>
      </c>
      <c r="D1996" s="19" t="str">
        <f>IF(ISBLANK(A1996), "Email",IF(ISNA(VLOOKUP(A1996,'Master List'!A:C,3,FALSE)), "Not Found", VLOOKUP(A1996,'Master List'!A:C,3,FALSE)))</f>
        <v>Email</v>
      </c>
      <c r="F1996" s="4" t="str">
        <f>IF(OR(A1996="",E1996="","",A1996="?",E1996="?"),"duplicate?",IF(COUNTIFS($A:A,A1996,E:E,E1996)&gt;1,"yes","no"))</f>
        <v>duplicate?</v>
      </c>
      <c r="K1996" s="97" t="str">
        <f ca="1">IF(J1996="","Date",IF(J1996&lt;&gt;"",IF(K1996="Date",NOW(),K1996),""))</f>
        <v>Date</v>
      </c>
    </row>
    <row r="1997" spans="2:11">
      <c r="B1997" s="97" t="str">
        <f ca="1">IF(A1997="","Date",IF(A1997&lt;&gt;"",IF(B1997="Date",NOW(),B1997),""))</f>
        <v>Date</v>
      </c>
      <c r="C1997" s="19" t="str">
        <f>IF(ISBLANK(A1997),"Name",IF(ISNA(VLOOKUP(A1997,'Master List'!A:C,2,FALSE)), "Not Found", VLOOKUP(A1997,'Master List'!A:C,2,FALSE)))</f>
        <v>Name</v>
      </c>
      <c r="D1997" s="19" t="str">
        <f>IF(ISBLANK(A1997), "Email",IF(ISNA(VLOOKUP(A1997,'Master List'!A:C,3,FALSE)), "Not Found", VLOOKUP(A1997,'Master List'!A:C,3,FALSE)))</f>
        <v>Email</v>
      </c>
      <c r="F1997" s="4" t="str">
        <f>IF(OR(A1997="",E1997="","",A1997="?",E1997="?"),"duplicate?",IF(COUNTIFS($A:A,A1997,E:E,E1997)&gt;1,"yes","no"))</f>
        <v>duplicate?</v>
      </c>
      <c r="K1997" s="97" t="str">
        <f ca="1">IF(J1997="","Date",IF(J1997&lt;&gt;"",IF(K1997="Date",NOW(),K1997),""))</f>
        <v>Date</v>
      </c>
    </row>
    <row r="1998" spans="2:11">
      <c r="B1998" s="97" t="str">
        <f ca="1">IF(A1998="","Date",IF(A1998&lt;&gt;"",IF(B1998="Date",NOW(),B1998),""))</f>
        <v>Date</v>
      </c>
      <c r="C1998" s="19" t="str">
        <f>IF(ISBLANK(A1998),"Name",IF(ISNA(VLOOKUP(A1998,'Master List'!A:C,2,FALSE)), "Not Found", VLOOKUP(A1998,'Master List'!A:C,2,FALSE)))</f>
        <v>Name</v>
      </c>
      <c r="D1998" s="19" t="str">
        <f>IF(ISBLANK(A1998), "Email",IF(ISNA(VLOOKUP(A1998,'Master List'!A:C,3,FALSE)), "Not Found", VLOOKUP(A1998,'Master List'!A:C,3,FALSE)))</f>
        <v>Email</v>
      </c>
      <c r="F1998" s="4" t="str">
        <f>IF(OR(A1998="",E1998="","",A1998="?",E1998="?"),"duplicate?",IF(COUNTIFS($A:A,A1998,E:E,E1998)&gt;1,"yes","no"))</f>
        <v>duplicate?</v>
      </c>
      <c r="K1998" s="97" t="str">
        <f ca="1">IF(J1998="","Date",IF(J1998&lt;&gt;"",IF(K1998="Date",NOW(),K1998),""))</f>
        <v>Date</v>
      </c>
    </row>
    <row r="1999" spans="2:11">
      <c r="B1999" s="97" t="str">
        <f ca="1">IF(A1999="","Date",IF(A1999&lt;&gt;"",IF(B1999="Date",NOW(),B1999),""))</f>
        <v>Date</v>
      </c>
      <c r="C1999" s="19" t="str">
        <f>IF(ISBLANK(A1999),"Name",IF(ISNA(VLOOKUP(A1999,'Master List'!A:C,2,FALSE)), "Not Found", VLOOKUP(A1999,'Master List'!A:C,2,FALSE)))</f>
        <v>Name</v>
      </c>
      <c r="D1999" s="19" t="str">
        <f>IF(ISBLANK(A1999), "Email",IF(ISNA(VLOOKUP(A1999,'Master List'!A:C,3,FALSE)), "Not Found", VLOOKUP(A1999,'Master List'!A:C,3,FALSE)))</f>
        <v>Email</v>
      </c>
      <c r="F1999" s="4" t="str">
        <f>IF(OR(A1999="",E1999="","",A1999="?",E1999="?"),"duplicate?",IF(COUNTIFS($A:A,A1999,E:E,E1999)&gt;1,"yes","no"))</f>
        <v>duplicate?</v>
      </c>
      <c r="K1999" s="97" t="str">
        <f ca="1">IF(J1999="","Date",IF(J1999&lt;&gt;"",IF(K1999="Date",NOW(),K1999),""))</f>
        <v>Date</v>
      </c>
    </row>
    <row r="2000" spans="2:11">
      <c r="B2000" s="97" t="str">
        <f ca="1">IF(A2000="","Date",IF(A2000&lt;&gt;"",IF(B2000="Date",NOW(),B2000),""))</f>
        <v>Date</v>
      </c>
      <c r="C2000" s="19" t="str">
        <f>IF(ISBLANK(A2000),"Name",IF(ISNA(VLOOKUP(A2000,'Master List'!A:C,2,FALSE)), "Not Found", VLOOKUP(A2000,'Master List'!A:C,2,FALSE)))</f>
        <v>Name</v>
      </c>
      <c r="D2000" s="19" t="str">
        <f>IF(ISBLANK(A2000), "Email",IF(ISNA(VLOOKUP(A2000,'Master List'!A:C,3,FALSE)), "Not Found", VLOOKUP(A2000,'Master List'!A:C,3,FALSE)))</f>
        <v>Email</v>
      </c>
      <c r="F2000" s="4" t="str">
        <f>IF(OR(A2000="",E2000="","",A2000="?",E2000="?"),"duplicate?",IF(COUNTIFS($A:A,A2000,E:E,E2000)&gt;1,"yes","no"))</f>
        <v>duplicate?</v>
      </c>
      <c r="K2000" s="97" t="str">
        <f ca="1">IF(J2000="","Date",IF(J2000&lt;&gt;"",IF(K2000="Date",NOW(),K2000),""))</f>
        <v>Date</v>
      </c>
    </row>
    <row r="2001" spans="2:11">
      <c r="B2001" s="97" t="str">
        <f ca="1">IF(A2001="","Date",IF(A2001&lt;&gt;"",IF(B2001="Date",NOW(),B2001),""))</f>
        <v>Date</v>
      </c>
      <c r="C2001" s="19" t="str">
        <f>IF(ISBLANK(A2001),"Name",IF(ISNA(VLOOKUP(A2001,'Master List'!A:C,2,FALSE)), "Not Found", VLOOKUP(A2001,'Master List'!A:C,2,FALSE)))</f>
        <v>Name</v>
      </c>
      <c r="D2001" s="19" t="str">
        <f>IF(ISBLANK(A2001), "Email",IF(ISNA(VLOOKUP(A2001,'Master List'!A:C,3,FALSE)), "Not Found", VLOOKUP(A2001,'Master List'!A:C,3,FALSE)))</f>
        <v>Email</v>
      </c>
      <c r="F2001" s="4" t="str">
        <f>IF(OR(A2001="",E2001="","",A2001="?",E2001="?"),"duplicate?",IF(COUNTIFS($A:A,A2001,E:E,E2001)&gt;1,"yes","no"))</f>
        <v>duplicate?</v>
      </c>
      <c r="K2001" s="97" t="str">
        <f ca="1">IF(J2001="","Date",IF(J2001&lt;&gt;"",IF(K2001="Date",NOW(),K2001),""))</f>
        <v>Date</v>
      </c>
    </row>
    <row r="2002" spans="2:11">
      <c r="B2002" s="97" t="str">
        <f ca="1">IF(A2002="","Date",IF(A2002&lt;&gt;"",IF(B2002="Date",NOW(),B2002),""))</f>
        <v>Date</v>
      </c>
      <c r="C2002" s="19" t="str">
        <f>IF(ISBLANK(A2002),"Name",IF(ISNA(VLOOKUP(A2002,'Master List'!A:C,2,FALSE)), "Not Found", VLOOKUP(A2002,'Master List'!A:C,2,FALSE)))</f>
        <v>Name</v>
      </c>
      <c r="D2002" s="19" t="str">
        <f>IF(ISBLANK(A2002), "Email",IF(ISNA(VLOOKUP(A2002,'Master List'!A:C,3,FALSE)), "Not Found", VLOOKUP(A2002,'Master List'!A:C,3,FALSE)))</f>
        <v>Email</v>
      </c>
      <c r="F2002" s="4" t="str">
        <f>IF(OR(A2002="",E2002="","",A2002="?",E2002="?"),"duplicate?",IF(COUNTIFS($A:A,A2002,E:E,E2002)&gt;1,"yes","no"))</f>
        <v>duplicate?</v>
      </c>
      <c r="K2002" s="97" t="str">
        <f ca="1">IF(J2002="","Date",IF(J2002&lt;&gt;"",IF(K2002="Date",NOW(),K2002),""))</f>
        <v>Date</v>
      </c>
    </row>
    <row r="2003" spans="2:11">
      <c r="B2003" s="97" t="str">
        <f ca="1">IF(A2003="","Date",IF(A2003&lt;&gt;"",IF(B2003="Date",NOW(),B2003),""))</f>
        <v>Date</v>
      </c>
      <c r="C2003" s="19" t="str">
        <f>IF(ISBLANK(A2003),"Name",IF(ISNA(VLOOKUP(A2003,'Master List'!A:C,2,FALSE)), "Not Found", VLOOKUP(A2003,'Master List'!A:C,2,FALSE)))</f>
        <v>Name</v>
      </c>
      <c r="D2003" s="19" t="str">
        <f>IF(ISBLANK(A2003), "Email",IF(ISNA(VLOOKUP(A2003,'Master List'!A:C,3,FALSE)), "Not Found", VLOOKUP(A2003,'Master List'!A:C,3,FALSE)))</f>
        <v>Email</v>
      </c>
      <c r="F2003" s="4" t="str">
        <f>IF(OR(A2003="",E2003="","",A2003="?",E2003="?"),"duplicate?",IF(COUNTIFS($A:A,A2003,E:E,E2003)&gt;1,"yes","no"))</f>
        <v>duplicate?</v>
      </c>
      <c r="K2003" s="97" t="str">
        <f ca="1">IF(J2003="","Date",IF(J2003&lt;&gt;"",IF(K2003="Date",NOW(),K2003),""))</f>
        <v>Date</v>
      </c>
    </row>
    <row r="2004" spans="2:11">
      <c r="B2004" s="97" t="str">
        <f ca="1">IF(A2004="","Date",IF(A2004&lt;&gt;"",IF(B2004="Date",NOW(),B2004),""))</f>
        <v>Date</v>
      </c>
      <c r="C2004" s="19" t="str">
        <f>IF(ISBLANK(A2004),"Name",IF(ISNA(VLOOKUP(A2004,'Master List'!A:C,2,FALSE)), "Not Found", VLOOKUP(A2004,'Master List'!A:C,2,FALSE)))</f>
        <v>Name</v>
      </c>
      <c r="D2004" s="19" t="str">
        <f>IF(ISBLANK(A2004), "Email",IF(ISNA(VLOOKUP(A2004,'Master List'!A:C,3,FALSE)), "Not Found", VLOOKUP(A2004,'Master List'!A:C,3,FALSE)))</f>
        <v>Email</v>
      </c>
      <c r="F2004" s="4" t="str">
        <f>IF(OR(A2004="",E2004="","",A2004="?",E2004="?"),"duplicate?",IF(COUNTIFS($A:A,A2004,E:E,E2004)&gt;1,"yes","no"))</f>
        <v>duplicate?</v>
      </c>
      <c r="K2004" s="97" t="str">
        <f ca="1">IF(J2004="","Date",IF(J2004&lt;&gt;"",IF(K2004="Date",NOW(),K2004),""))</f>
        <v>Date</v>
      </c>
    </row>
    <row r="2005" spans="2:11">
      <c r="B2005" s="97" t="str">
        <f ca="1">IF(A2005="","Date",IF(A2005&lt;&gt;"",IF(B2005="Date",NOW(),B2005),""))</f>
        <v>Date</v>
      </c>
      <c r="C2005" s="19" t="str">
        <f>IF(ISBLANK(A2005),"Name",IF(ISNA(VLOOKUP(A2005,'Master List'!A:C,2,FALSE)), "Not Found", VLOOKUP(A2005,'Master List'!A:C,2,FALSE)))</f>
        <v>Name</v>
      </c>
      <c r="D2005" s="19" t="str">
        <f>IF(ISBLANK(A2005), "Email",IF(ISNA(VLOOKUP(A2005,'Master List'!A:C,3,FALSE)), "Not Found", VLOOKUP(A2005,'Master List'!A:C,3,FALSE)))</f>
        <v>Email</v>
      </c>
      <c r="F2005" s="4" t="str">
        <f>IF(OR(A2005="",E2005="","",A2005="?",E2005="?"),"duplicate?",IF(COUNTIFS($A:A,A2005,E:E,E2005)&gt;1,"yes","no"))</f>
        <v>duplicate?</v>
      </c>
      <c r="K2005" s="97" t="str">
        <f ca="1">IF(J2005="","Date",IF(J2005&lt;&gt;"",IF(K2005="Date",NOW(),K2005),""))</f>
        <v>Date</v>
      </c>
    </row>
    <row r="2006" spans="2:11">
      <c r="B2006" s="97" t="str">
        <f ca="1">IF(A2006="","Date",IF(A2006&lt;&gt;"",IF(B2006="Date",NOW(),B2006),""))</f>
        <v>Date</v>
      </c>
      <c r="C2006" s="19" t="str">
        <f>IF(ISBLANK(A2006),"Name",IF(ISNA(VLOOKUP(A2006,'Master List'!A:C,2,FALSE)), "Not Found", VLOOKUP(A2006,'Master List'!A:C,2,FALSE)))</f>
        <v>Name</v>
      </c>
      <c r="D2006" s="19" t="str">
        <f>IF(ISBLANK(A2006), "Email",IF(ISNA(VLOOKUP(A2006,'Master List'!A:C,3,FALSE)), "Not Found", VLOOKUP(A2006,'Master List'!A:C,3,FALSE)))</f>
        <v>Email</v>
      </c>
      <c r="F2006" s="4" t="str">
        <f>IF(OR(A2006="",E2006="","",A2006="?",E2006="?"),"duplicate?",IF(COUNTIFS($A:A,A2006,E:E,E2006)&gt;1,"yes","no"))</f>
        <v>duplicate?</v>
      </c>
      <c r="K2006" s="97" t="str">
        <f ca="1">IF(J2006="","Date",IF(J2006&lt;&gt;"",IF(K2006="Date",NOW(),K2006),""))</f>
        <v>Date</v>
      </c>
    </row>
    <row r="2007" spans="2:11">
      <c r="B2007" s="97" t="str">
        <f ca="1">IF(A2007="","Date",IF(A2007&lt;&gt;"",IF(B2007="Date",NOW(),B2007),""))</f>
        <v>Date</v>
      </c>
      <c r="C2007" s="19" t="str">
        <f>IF(ISBLANK(A2007),"Name",IF(ISNA(VLOOKUP(A2007,'Master List'!A:C,2,FALSE)), "Not Found", VLOOKUP(A2007,'Master List'!A:C,2,FALSE)))</f>
        <v>Name</v>
      </c>
      <c r="D2007" s="19" t="str">
        <f>IF(ISBLANK(A2007), "Email",IF(ISNA(VLOOKUP(A2007,'Master List'!A:C,3,FALSE)), "Not Found", VLOOKUP(A2007,'Master List'!A:C,3,FALSE)))</f>
        <v>Email</v>
      </c>
      <c r="F2007" s="4" t="str">
        <f>IF(OR(A2007="",E2007="","",A2007="?",E2007="?"),"duplicate?",IF(COUNTIFS($A:A,A2007,E:E,E2007)&gt;1,"yes","no"))</f>
        <v>duplicate?</v>
      </c>
      <c r="K2007" s="97" t="str">
        <f ca="1">IF(J2007="","Date",IF(J2007&lt;&gt;"",IF(K2007="Date",NOW(),K2007),""))</f>
        <v>Date</v>
      </c>
    </row>
    <row r="2008" spans="2:11">
      <c r="B2008" s="97" t="str">
        <f ca="1">IF(A2008="","Date",IF(A2008&lt;&gt;"",IF(B2008="Date",NOW(),B2008),""))</f>
        <v>Date</v>
      </c>
      <c r="C2008" s="19" t="str">
        <f>IF(ISBLANK(A2008),"Name",IF(ISNA(VLOOKUP(A2008,'Master List'!A:C,2,FALSE)), "Not Found", VLOOKUP(A2008,'Master List'!A:C,2,FALSE)))</f>
        <v>Name</v>
      </c>
      <c r="D2008" s="19" t="str">
        <f>IF(ISBLANK(A2008), "Email",IF(ISNA(VLOOKUP(A2008,'Master List'!A:C,3,FALSE)), "Not Found", VLOOKUP(A2008,'Master List'!A:C,3,FALSE)))</f>
        <v>Email</v>
      </c>
      <c r="F2008" s="4" t="str">
        <f>IF(OR(A2008="",E2008="","",A2008="?",E2008="?"),"duplicate?",IF(COUNTIFS($A:A,A2008,E:E,E2008)&gt;1,"yes","no"))</f>
        <v>duplicate?</v>
      </c>
      <c r="K2008" s="97" t="str">
        <f ca="1">IF(J2008="","Date",IF(J2008&lt;&gt;"",IF(K2008="Date",NOW(),K2008),""))</f>
        <v>Date</v>
      </c>
    </row>
    <row r="2009" spans="2:11">
      <c r="B2009" s="97" t="str">
        <f ca="1">IF(A2009="","Date",IF(A2009&lt;&gt;"",IF(B2009="Date",NOW(),B2009),""))</f>
        <v>Date</v>
      </c>
      <c r="C2009" s="19" t="str">
        <f>IF(ISBLANK(A2009),"Name",IF(ISNA(VLOOKUP(A2009,'Master List'!A:C,2,FALSE)), "Not Found", VLOOKUP(A2009,'Master List'!A:C,2,FALSE)))</f>
        <v>Name</v>
      </c>
      <c r="D2009" s="19" t="str">
        <f>IF(ISBLANK(A2009), "Email",IF(ISNA(VLOOKUP(A2009,'Master List'!A:C,3,FALSE)), "Not Found", VLOOKUP(A2009,'Master List'!A:C,3,FALSE)))</f>
        <v>Email</v>
      </c>
      <c r="F2009" s="4" t="str">
        <f>IF(OR(A2009="",E2009="","",A2009="?",E2009="?"),"duplicate?",IF(COUNTIFS($A:A,A2009,E:E,E2009)&gt;1,"yes","no"))</f>
        <v>duplicate?</v>
      </c>
      <c r="K2009" s="97" t="str">
        <f ca="1">IF(J2009="","Date",IF(J2009&lt;&gt;"",IF(K2009="Date",NOW(),K2009),""))</f>
        <v>Date</v>
      </c>
    </row>
    <row r="2010" spans="2:11">
      <c r="B2010" s="97" t="str">
        <f ca="1">IF(A2010="","Date",IF(A2010&lt;&gt;"",IF(B2010="Date",NOW(),B2010),""))</f>
        <v>Date</v>
      </c>
      <c r="C2010" s="19" t="str">
        <f>IF(ISBLANK(A2010),"Name",IF(ISNA(VLOOKUP(A2010,'Master List'!A:C,2,FALSE)), "Not Found", VLOOKUP(A2010,'Master List'!A:C,2,FALSE)))</f>
        <v>Name</v>
      </c>
      <c r="D2010" s="19" t="str">
        <f>IF(ISBLANK(A2010), "Email",IF(ISNA(VLOOKUP(A2010,'Master List'!A:C,3,FALSE)), "Not Found", VLOOKUP(A2010,'Master List'!A:C,3,FALSE)))</f>
        <v>Email</v>
      </c>
      <c r="F2010" s="4" t="str">
        <f>IF(OR(A2010="",E2010="","",A2010="?",E2010="?"),"duplicate?",IF(COUNTIFS($A:A,A2010,E:E,E2010)&gt;1,"yes","no"))</f>
        <v>duplicate?</v>
      </c>
      <c r="K2010" s="97" t="str">
        <f ca="1">IF(J2010="","Date",IF(J2010&lt;&gt;"",IF(K2010="Date",NOW(),K2010),""))</f>
        <v>Date</v>
      </c>
    </row>
    <row r="2011" spans="2:11">
      <c r="B2011" s="97" t="str">
        <f ca="1">IF(A2011="","Date",IF(A2011&lt;&gt;"",IF(B2011="Date",NOW(),B2011),""))</f>
        <v>Date</v>
      </c>
      <c r="C2011" s="19" t="str">
        <f>IF(ISBLANK(A2011),"Name",IF(ISNA(VLOOKUP(A2011,'Master List'!A:C,2,FALSE)), "Not Found", VLOOKUP(A2011,'Master List'!A:C,2,FALSE)))</f>
        <v>Name</v>
      </c>
      <c r="D2011" s="19" t="str">
        <f>IF(ISBLANK(A2011), "Email",IF(ISNA(VLOOKUP(A2011,'Master List'!A:C,3,FALSE)), "Not Found", VLOOKUP(A2011,'Master List'!A:C,3,FALSE)))</f>
        <v>Email</v>
      </c>
      <c r="F2011" s="4" t="str">
        <f>IF(OR(A2011="",E2011="","",A2011="?",E2011="?"),"duplicate?",IF(COUNTIFS($A:A,A2011,E:E,E2011)&gt;1,"yes","no"))</f>
        <v>duplicate?</v>
      </c>
      <c r="K2011" s="97" t="str">
        <f ca="1">IF(J2011="","Date",IF(J2011&lt;&gt;"",IF(K2011="Date",NOW(),K2011),""))</f>
        <v>Date</v>
      </c>
    </row>
    <row r="2012" spans="2:11">
      <c r="B2012" s="97" t="str">
        <f ca="1">IF(A2012="","Date",IF(A2012&lt;&gt;"",IF(B2012="Date",NOW(),B2012),""))</f>
        <v>Date</v>
      </c>
      <c r="C2012" s="19" t="str">
        <f>IF(ISBLANK(A2012),"Name",IF(ISNA(VLOOKUP(A2012,'Master List'!A:C,2,FALSE)), "Not Found", VLOOKUP(A2012,'Master List'!A:C,2,FALSE)))</f>
        <v>Name</v>
      </c>
      <c r="D2012" s="19" t="str">
        <f>IF(ISBLANK(A2012), "Email",IF(ISNA(VLOOKUP(A2012,'Master List'!A:C,3,FALSE)), "Not Found", VLOOKUP(A2012,'Master List'!A:C,3,FALSE)))</f>
        <v>Email</v>
      </c>
      <c r="F2012" s="4" t="str">
        <f>IF(OR(A2012="",E2012="","",A2012="?",E2012="?"),"duplicate?",IF(COUNTIFS($A:A,A2012,E:E,E2012)&gt;1,"yes","no"))</f>
        <v>duplicate?</v>
      </c>
      <c r="K2012" s="97" t="str">
        <f ca="1">IF(J2012="","Date",IF(J2012&lt;&gt;"",IF(K2012="Date",NOW(),K2012),""))</f>
        <v>Date</v>
      </c>
    </row>
    <row r="2013" spans="2:11">
      <c r="B2013" s="97" t="str">
        <f ca="1">IF(A2013="","Date",IF(A2013&lt;&gt;"",IF(B2013="Date",NOW(),B2013),""))</f>
        <v>Date</v>
      </c>
      <c r="C2013" s="19" t="str">
        <f>IF(ISBLANK(A2013),"Name",IF(ISNA(VLOOKUP(A2013,'Master List'!A:C,2,FALSE)), "Not Found", VLOOKUP(A2013,'Master List'!A:C,2,FALSE)))</f>
        <v>Name</v>
      </c>
      <c r="D2013" s="19" t="str">
        <f>IF(ISBLANK(A2013), "Email",IF(ISNA(VLOOKUP(A2013,'Master List'!A:C,3,FALSE)), "Not Found", VLOOKUP(A2013,'Master List'!A:C,3,FALSE)))</f>
        <v>Email</v>
      </c>
      <c r="F2013" s="4" t="str">
        <f>IF(OR(A2013="",E2013="","",A2013="?",E2013="?"),"duplicate?",IF(COUNTIFS($A:A,A2013,E:E,E2013)&gt;1,"yes","no"))</f>
        <v>duplicate?</v>
      </c>
      <c r="K2013" s="97" t="str">
        <f ca="1">IF(J2013="","Date",IF(J2013&lt;&gt;"",IF(K2013="Date",NOW(),K2013),""))</f>
        <v>Date</v>
      </c>
    </row>
    <row r="2014" spans="2:11">
      <c r="B2014" s="97" t="str">
        <f ca="1">IF(A2014="","Date",IF(A2014&lt;&gt;"",IF(B2014="Date",NOW(),B2014),""))</f>
        <v>Date</v>
      </c>
      <c r="C2014" s="19" t="str">
        <f>IF(ISBLANK(A2014),"Name",IF(ISNA(VLOOKUP(A2014,'Master List'!A:C,2,FALSE)), "Not Found", VLOOKUP(A2014,'Master List'!A:C,2,FALSE)))</f>
        <v>Name</v>
      </c>
      <c r="D2014" s="19" t="str">
        <f>IF(ISBLANK(A2014), "Email",IF(ISNA(VLOOKUP(A2014,'Master List'!A:C,3,FALSE)), "Not Found", VLOOKUP(A2014,'Master List'!A:C,3,FALSE)))</f>
        <v>Email</v>
      </c>
      <c r="F2014" s="4" t="str">
        <f>IF(OR(A2014="",E2014="","",A2014="?",E2014="?"),"duplicate?",IF(COUNTIFS($A:A,A2014,E:E,E2014)&gt;1,"yes","no"))</f>
        <v>duplicate?</v>
      </c>
      <c r="K2014" s="97" t="str">
        <f ca="1">IF(J2014="","Date",IF(J2014&lt;&gt;"",IF(K2014="Date",NOW(),K2014),""))</f>
        <v>Date</v>
      </c>
    </row>
    <row r="2015" spans="2:11">
      <c r="B2015" s="97" t="str">
        <f ca="1">IF(A2015="","Date",IF(A2015&lt;&gt;"",IF(B2015="Date",NOW(),B2015),""))</f>
        <v>Date</v>
      </c>
      <c r="C2015" s="19" t="str">
        <f>IF(ISBLANK(A2015),"Name",IF(ISNA(VLOOKUP(A2015,'Master List'!A:C,2,FALSE)), "Not Found", VLOOKUP(A2015,'Master List'!A:C,2,FALSE)))</f>
        <v>Name</v>
      </c>
      <c r="D2015" s="19" t="str">
        <f>IF(ISBLANK(A2015), "Email",IF(ISNA(VLOOKUP(A2015,'Master List'!A:C,3,FALSE)), "Not Found", VLOOKUP(A2015,'Master List'!A:C,3,FALSE)))</f>
        <v>Email</v>
      </c>
      <c r="F2015" s="4" t="str">
        <f>IF(OR(A2015="",E2015="","",A2015="?",E2015="?"),"duplicate?",IF(COUNTIFS($A:A,A2015,E:E,E2015)&gt;1,"yes","no"))</f>
        <v>duplicate?</v>
      </c>
      <c r="K2015" s="97" t="str">
        <f ca="1">IF(J2015="","Date",IF(J2015&lt;&gt;"",IF(K2015="Date",NOW(),K2015),""))</f>
        <v>Date</v>
      </c>
    </row>
    <row r="2016" spans="2:11">
      <c r="B2016" s="97" t="str">
        <f ca="1">IF(A2016="","Date",IF(A2016&lt;&gt;"",IF(B2016="Date",NOW(),B2016),""))</f>
        <v>Date</v>
      </c>
      <c r="C2016" s="19" t="str">
        <f>IF(ISBLANK(A2016),"Name",IF(ISNA(VLOOKUP(A2016,'Master List'!A:C,2,FALSE)), "Not Found", VLOOKUP(A2016,'Master List'!A:C,2,FALSE)))</f>
        <v>Name</v>
      </c>
      <c r="D2016" s="19" t="str">
        <f>IF(ISBLANK(A2016), "Email",IF(ISNA(VLOOKUP(A2016,'Master List'!A:C,3,FALSE)), "Not Found", VLOOKUP(A2016,'Master List'!A:C,3,FALSE)))</f>
        <v>Email</v>
      </c>
      <c r="F2016" s="4" t="str">
        <f>IF(OR(A2016="",E2016="","",A2016="?",E2016="?"),"duplicate?",IF(COUNTIFS($A:A,A2016,E:E,E2016)&gt;1,"yes","no"))</f>
        <v>duplicate?</v>
      </c>
      <c r="K2016" s="97" t="str">
        <f ca="1">IF(J2016="","Date",IF(J2016&lt;&gt;"",IF(K2016="Date",NOW(),K2016),""))</f>
        <v>Date</v>
      </c>
    </row>
    <row r="2017" spans="2:11">
      <c r="B2017" s="97" t="str">
        <f ca="1">IF(A2017="","Date",IF(A2017&lt;&gt;"",IF(B2017="Date",NOW(),B2017),""))</f>
        <v>Date</v>
      </c>
      <c r="C2017" s="19" t="str">
        <f>IF(ISBLANK(A2017),"Name",IF(ISNA(VLOOKUP(A2017,'Master List'!A:C,2,FALSE)), "Not Found", VLOOKUP(A2017,'Master List'!A:C,2,FALSE)))</f>
        <v>Name</v>
      </c>
      <c r="D2017" s="19" t="str">
        <f>IF(ISBLANK(A2017), "Email",IF(ISNA(VLOOKUP(A2017,'Master List'!A:C,3,FALSE)), "Not Found", VLOOKUP(A2017,'Master List'!A:C,3,FALSE)))</f>
        <v>Email</v>
      </c>
      <c r="F2017" s="4" t="str">
        <f>IF(OR(A2017="",E2017="","",A2017="?",E2017="?"),"duplicate?",IF(COUNTIFS($A:A,A2017,E:E,E2017)&gt;1,"yes","no"))</f>
        <v>duplicate?</v>
      </c>
      <c r="K2017" s="97" t="str">
        <f ca="1">IF(J2017="","Date",IF(J2017&lt;&gt;"",IF(K2017="Date",NOW(),K2017),""))</f>
        <v>Date</v>
      </c>
    </row>
    <row r="2018" spans="2:11">
      <c r="B2018" s="97" t="str">
        <f ca="1">IF(A2018="","Date",IF(A2018&lt;&gt;"",IF(B2018="Date",NOW(),B2018),""))</f>
        <v>Date</v>
      </c>
      <c r="C2018" s="19" t="str">
        <f>IF(ISBLANK(A2018),"Name",IF(ISNA(VLOOKUP(A2018,'Master List'!A:C,2,FALSE)), "Not Found", VLOOKUP(A2018,'Master List'!A:C,2,FALSE)))</f>
        <v>Name</v>
      </c>
      <c r="D2018" s="19" t="str">
        <f>IF(ISBLANK(A2018), "Email",IF(ISNA(VLOOKUP(A2018,'Master List'!A:C,3,FALSE)), "Not Found", VLOOKUP(A2018,'Master List'!A:C,3,FALSE)))</f>
        <v>Email</v>
      </c>
      <c r="F2018" s="4" t="str">
        <f>IF(OR(A2018="",E2018="","",A2018="?",E2018="?"),"duplicate?",IF(COUNTIFS($A:A,A2018,E:E,E2018)&gt;1,"yes","no"))</f>
        <v>duplicate?</v>
      </c>
      <c r="K2018" s="97" t="str">
        <f ca="1">IF(J2018="","Date",IF(J2018&lt;&gt;"",IF(K2018="Date",NOW(),K2018),""))</f>
        <v>Date</v>
      </c>
    </row>
    <row r="2019" spans="2:11">
      <c r="B2019" s="97" t="str">
        <f ca="1">IF(A2019="","Date",IF(A2019&lt;&gt;"",IF(B2019="Date",NOW(),B2019),""))</f>
        <v>Date</v>
      </c>
      <c r="C2019" s="19" t="str">
        <f>IF(ISBLANK(A2019),"Name",IF(ISNA(VLOOKUP(A2019,'Master List'!A:C,2,FALSE)), "Not Found", VLOOKUP(A2019,'Master List'!A:C,2,FALSE)))</f>
        <v>Name</v>
      </c>
      <c r="D2019" s="19" t="str">
        <f>IF(ISBLANK(A2019), "Email",IF(ISNA(VLOOKUP(A2019,'Master List'!A:C,3,FALSE)), "Not Found", VLOOKUP(A2019,'Master List'!A:C,3,FALSE)))</f>
        <v>Email</v>
      </c>
      <c r="F2019" s="4" t="str">
        <f>IF(OR(A2019="",E2019="","",A2019="?",E2019="?"),"duplicate?",IF(COUNTIFS($A:A,A2019,E:E,E2019)&gt;1,"yes","no"))</f>
        <v>duplicate?</v>
      </c>
      <c r="K2019" s="97" t="str">
        <f ca="1">IF(J2019="","Date",IF(J2019&lt;&gt;"",IF(K2019="Date",NOW(),K2019),""))</f>
        <v>Date</v>
      </c>
    </row>
    <row r="2020" spans="2:11">
      <c r="B2020" s="97" t="str">
        <f ca="1">IF(A2020="","Date",IF(A2020&lt;&gt;"",IF(B2020="Date",NOW(),B2020),""))</f>
        <v>Date</v>
      </c>
      <c r="C2020" s="19" t="str">
        <f>IF(ISBLANK(A2020),"Name",IF(ISNA(VLOOKUP(A2020,'Master List'!A:C,2,FALSE)), "Not Found", VLOOKUP(A2020,'Master List'!A:C,2,FALSE)))</f>
        <v>Name</v>
      </c>
      <c r="D2020" s="19" t="str">
        <f>IF(ISBLANK(A2020), "Email",IF(ISNA(VLOOKUP(A2020,'Master List'!A:C,3,FALSE)), "Not Found", VLOOKUP(A2020,'Master List'!A:C,3,FALSE)))</f>
        <v>Email</v>
      </c>
      <c r="F2020" s="4" t="str">
        <f>IF(OR(A2020="",E2020="","",A2020="?",E2020="?"),"duplicate?",IF(COUNTIFS($A:A,A2020,E:E,E2020)&gt;1,"yes","no"))</f>
        <v>duplicate?</v>
      </c>
      <c r="K2020" s="97" t="str">
        <f ca="1">IF(J2020="","Date",IF(J2020&lt;&gt;"",IF(K2020="Date",NOW(),K2020),""))</f>
        <v>Date</v>
      </c>
    </row>
    <row r="2021" spans="2:11">
      <c r="B2021" s="97" t="str">
        <f ca="1">IF(A2021="","Date",IF(A2021&lt;&gt;"",IF(B2021="Date",NOW(),B2021),""))</f>
        <v>Date</v>
      </c>
      <c r="C2021" s="19" t="str">
        <f>IF(ISBLANK(A2021),"Name",IF(ISNA(VLOOKUP(A2021,'Master List'!A:C,2,FALSE)), "Not Found", VLOOKUP(A2021,'Master List'!A:C,2,FALSE)))</f>
        <v>Name</v>
      </c>
      <c r="D2021" s="19" t="str">
        <f>IF(ISBLANK(A2021), "Email",IF(ISNA(VLOOKUP(A2021,'Master List'!A:C,3,FALSE)), "Not Found", VLOOKUP(A2021,'Master List'!A:C,3,FALSE)))</f>
        <v>Email</v>
      </c>
      <c r="F2021" s="4" t="str">
        <f>IF(OR(A2021="",E2021="","",A2021="?",E2021="?"),"duplicate?",IF(COUNTIFS($A:A,A2021,E:E,E2021)&gt;1,"yes","no"))</f>
        <v>duplicate?</v>
      </c>
      <c r="K2021" s="97" t="str">
        <f ca="1">IF(J2021="","Date",IF(J2021&lt;&gt;"",IF(K2021="Date",NOW(),K2021),""))</f>
        <v>Date</v>
      </c>
    </row>
    <row r="2022" spans="2:11">
      <c r="B2022" s="97" t="str">
        <f ca="1">IF(A2022="","Date",IF(A2022&lt;&gt;"",IF(B2022="Date",NOW(),B2022),""))</f>
        <v>Date</v>
      </c>
      <c r="C2022" s="19" t="str">
        <f>IF(ISBLANK(A2022),"Name",IF(ISNA(VLOOKUP(A2022,'Master List'!A:C,2,FALSE)), "Not Found", VLOOKUP(A2022,'Master List'!A:C,2,FALSE)))</f>
        <v>Name</v>
      </c>
      <c r="D2022" s="19" t="str">
        <f>IF(ISBLANK(A2022), "Email",IF(ISNA(VLOOKUP(A2022,'Master List'!A:C,3,FALSE)), "Not Found", VLOOKUP(A2022,'Master List'!A:C,3,FALSE)))</f>
        <v>Email</v>
      </c>
      <c r="F2022" s="4" t="str">
        <f>IF(OR(A2022="",E2022="","",A2022="?",E2022="?"),"duplicate?",IF(COUNTIFS($A:A,A2022,E:E,E2022)&gt;1,"yes","no"))</f>
        <v>duplicate?</v>
      </c>
      <c r="K2022" s="97" t="str">
        <f ca="1">IF(J2022="","Date",IF(J2022&lt;&gt;"",IF(K2022="Date",NOW(),K2022),""))</f>
        <v>Date</v>
      </c>
    </row>
    <row r="2023" spans="2:11">
      <c r="B2023" s="97" t="str">
        <f ca="1">IF(A2023="","Date",IF(A2023&lt;&gt;"",IF(B2023="Date",NOW(),B2023),""))</f>
        <v>Date</v>
      </c>
      <c r="C2023" s="19" t="str">
        <f>IF(ISBLANK(A2023),"Name",IF(ISNA(VLOOKUP(A2023,'Master List'!A:C,2,FALSE)), "Not Found", VLOOKUP(A2023,'Master List'!A:C,2,FALSE)))</f>
        <v>Name</v>
      </c>
      <c r="D2023" s="19" t="str">
        <f>IF(ISBLANK(A2023), "Email",IF(ISNA(VLOOKUP(A2023,'Master List'!A:C,3,FALSE)), "Not Found", VLOOKUP(A2023,'Master List'!A:C,3,FALSE)))</f>
        <v>Email</v>
      </c>
      <c r="F2023" s="4" t="str">
        <f>IF(OR(A2023="",E2023="","",A2023="?",E2023="?"),"duplicate?",IF(COUNTIFS($A:A,A2023,E:E,E2023)&gt;1,"yes","no"))</f>
        <v>duplicate?</v>
      </c>
      <c r="K2023" s="97" t="str">
        <f ca="1">IF(J2023="","Date",IF(J2023&lt;&gt;"",IF(K2023="Date",NOW(),K2023),""))</f>
        <v>Date</v>
      </c>
    </row>
    <row r="2024" spans="2:11">
      <c r="B2024" s="97" t="str">
        <f ca="1">IF(A2024="","Date",IF(A2024&lt;&gt;"",IF(B2024="Date",NOW(),B2024),""))</f>
        <v>Date</v>
      </c>
      <c r="C2024" s="19" t="str">
        <f>IF(ISBLANK(A2024),"Name",IF(ISNA(VLOOKUP(A2024,'Master List'!A:C,2,FALSE)), "Not Found", VLOOKUP(A2024,'Master List'!A:C,2,FALSE)))</f>
        <v>Name</v>
      </c>
      <c r="D2024" s="19" t="str">
        <f>IF(ISBLANK(A2024), "Email",IF(ISNA(VLOOKUP(A2024,'Master List'!A:C,3,FALSE)), "Not Found", VLOOKUP(A2024,'Master List'!A:C,3,FALSE)))</f>
        <v>Email</v>
      </c>
      <c r="F2024" s="4" t="str">
        <f>IF(OR(A2024="",E2024="","",A2024="?",E2024="?"),"duplicate?",IF(COUNTIFS($A:A,A2024,E:E,E2024)&gt;1,"yes","no"))</f>
        <v>duplicate?</v>
      </c>
      <c r="K2024" s="97" t="str">
        <f ca="1">IF(J2024="","Date",IF(J2024&lt;&gt;"",IF(K2024="Date",NOW(),K2024),""))</f>
        <v>Date</v>
      </c>
    </row>
    <row r="2025" spans="2:11">
      <c r="B2025" s="97" t="str">
        <f ca="1">IF(A2025="","Date",IF(A2025&lt;&gt;"",IF(B2025="Date",NOW(),B2025),""))</f>
        <v>Date</v>
      </c>
      <c r="C2025" s="19" t="str">
        <f>IF(ISBLANK(A2025),"Name",IF(ISNA(VLOOKUP(A2025,'Master List'!A:C,2,FALSE)), "Not Found", VLOOKUP(A2025,'Master List'!A:C,2,FALSE)))</f>
        <v>Name</v>
      </c>
      <c r="D2025" s="19" t="str">
        <f>IF(ISBLANK(A2025), "Email",IF(ISNA(VLOOKUP(A2025,'Master List'!A:C,3,FALSE)), "Not Found", VLOOKUP(A2025,'Master List'!A:C,3,FALSE)))</f>
        <v>Email</v>
      </c>
      <c r="F2025" s="4" t="str">
        <f>IF(OR(A2025="",E2025="","",A2025="?",E2025="?"),"duplicate?",IF(COUNTIFS($A:A,A2025,E:E,E2025)&gt;1,"yes","no"))</f>
        <v>duplicate?</v>
      </c>
      <c r="K2025" s="97" t="str">
        <f ca="1">IF(J2025="","Date",IF(J2025&lt;&gt;"",IF(K2025="Date",NOW(),K2025),""))</f>
        <v>Date</v>
      </c>
    </row>
    <row r="2026" spans="2:11">
      <c r="B2026" s="97" t="str">
        <f ca="1">IF(A2026="","Date",IF(A2026&lt;&gt;"",IF(B2026="Date",NOW(),B2026),""))</f>
        <v>Date</v>
      </c>
      <c r="C2026" s="19" t="str">
        <f>IF(ISBLANK(A2026),"Name",IF(ISNA(VLOOKUP(A2026,'Master List'!A:C,2,FALSE)), "Not Found", VLOOKUP(A2026,'Master List'!A:C,2,FALSE)))</f>
        <v>Name</v>
      </c>
      <c r="D2026" s="19" t="str">
        <f>IF(ISBLANK(A2026), "Email",IF(ISNA(VLOOKUP(A2026,'Master List'!A:C,3,FALSE)), "Not Found", VLOOKUP(A2026,'Master List'!A:C,3,FALSE)))</f>
        <v>Email</v>
      </c>
      <c r="F2026" s="4" t="str">
        <f>IF(OR(A2026="",E2026="","",A2026="?",E2026="?"),"duplicate?",IF(COUNTIFS($A:A,A2026,E:E,E2026)&gt;1,"yes","no"))</f>
        <v>duplicate?</v>
      </c>
      <c r="K2026" s="97" t="str">
        <f ca="1">IF(J2026="","Date",IF(J2026&lt;&gt;"",IF(K2026="Date",NOW(),K2026),""))</f>
        <v>Date</v>
      </c>
    </row>
    <row r="2027" spans="2:11">
      <c r="B2027" s="97" t="str">
        <f ca="1">IF(A2027="","Date",IF(A2027&lt;&gt;"",IF(B2027="Date",NOW(),B2027),""))</f>
        <v>Date</v>
      </c>
      <c r="C2027" s="19" t="str">
        <f>IF(ISBLANK(A2027),"Name",IF(ISNA(VLOOKUP(A2027,'Master List'!A:C,2,FALSE)), "Not Found", VLOOKUP(A2027,'Master List'!A:C,2,FALSE)))</f>
        <v>Name</v>
      </c>
      <c r="D2027" s="19" t="str">
        <f>IF(ISBLANK(A2027), "Email",IF(ISNA(VLOOKUP(A2027,'Master List'!A:C,3,FALSE)), "Not Found", VLOOKUP(A2027,'Master List'!A:C,3,FALSE)))</f>
        <v>Email</v>
      </c>
      <c r="F2027" s="4" t="str">
        <f>IF(OR(A2027="",E2027="","",A2027="?",E2027="?"),"duplicate?",IF(COUNTIFS($A:A,A2027,E:E,E2027)&gt;1,"yes","no"))</f>
        <v>duplicate?</v>
      </c>
      <c r="K2027" s="97" t="str">
        <f ca="1">IF(J2027="","Date",IF(J2027&lt;&gt;"",IF(K2027="Date",NOW(),K2027),""))</f>
        <v>Date</v>
      </c>
    </row>
    <row r="2028" spans="2:11">
      <c r="B2028" s="97" t="str">
        <f ca="1">IF(A2028="","Date",IF(A2028&lt;&gt;"",IF(B2028="Date",NOW(),B2028),""))</f>
        <v>Date</v>
      </c>
      <c r="C2028" s="19" t="str">
        <f>IF(ISBLANK(A2028),"Name",IF(ISNA(VLOOKUP(A2028,'Master List'!A:C,2,FALSE)), "Not Found", VLOOKUP(A2028,'Master List'!A:C,2,FALSE)))</f>
        <v>Name</v>
      </c>
      <c r="D2028" s="19" t="str">
        <f>IF(ISBLANK(A2028), "Email",IF(ISNA(VLOOKUP(A2028,'Master List'!A:C,3,FALSE)), "Not Found", VLOOKUP(A2028,'Master List'!A:C,3,FALSE)))</f>
        <v>Email</v>
      </c>
      <c r="F2028" s="4" t="str">
        <f>IF(OR(A2028="",E2028="","",A2028="?",E2028="?"),"duplicate?",IF(COUNTIFS($A:A,A2028,E:E,E2028)&gt;1,"yes","no"))</f>
        <v>duplicate?</v>
      </c>
      <c r="K2028" s="97" t="str">
        <f ca="1">IF(J2028="","Date",IF(J2028&lt;&gt;"",IF(K2028="Date",NOW(),K2028),""))</f>
        <v>Date</v>
      </c>
    </row>
    <row r="2029" spans="2:11">
      <c r="B2029" s="97" t="str">
        <f ca="1">IF(A2029="","Date",IF(A2029&lt;&gt;"",IF(B2029="Date",NOW(),B2029),""))</f>
        <v>Date</v>
      </c>
      <c r="C2029" s="19" t="str">
        <f>IF(ISBLANK(A2029),"Name",IF(ISNA(VLOOKUP(A2029,'Master List'!A:C,2,FALSE)), "Not Found", VLOOKUP(A2029,'Master List'!A:C,2,FALSE)))</f>
        <v>Name</v>
      </c>
      <c r="D2029" s="19" t="str">
        <f>IF(ISBLANK(A2029), "Email",IF(ISNA(VLOOKUP(A2029,'Master List'!A:C,3,FALSE)), "Not Found", VLOOKUP(A2029,'Master List'!A:C,3,FALSE)))</f>
        <v>Email</v>
      </c>
      <c r="F2029" s="4" t="str">
        <f>IF(OR(A2029="",E2029="","",A2029="?",E2029="?"),"duplicate?",IF(COUNTIFS($A:A,A2029,E:E,E2029)&gt;1,"yes","no"))</f>
        <v>duplicate?</v>
      </c>
      <c r="K2029" s="97" t="str">
        <f ca="1">IF(J2029="","Date",IF(J2029&lt;&gt;"",IF(K2029="Date",NOW(),K2029),""))</f>
        <v>Date</v>
      </c>
    </row>
    <row r="2030" spans="2:11">
      <c r="B2030" s="97" t="str">
        <f ca="1">IF(A2030="","Date",IF(A2030&lt;&gt;"",IF(B2030="Date",NOW(),B2030),""))</f>
        <v>Date</v>
      </c>
      <c r="C2030" s="19" t="str">
        <f>IF(ISBLANK(A2030),"Name",IF(ISNA(VLOOKUP(A2030,'Master List'!A:C,2,FALSE)), "Not Found", VLOOKUP(A2030,'Master List'!A:C,2,FALSE)))</f>
        <v>Name</v>
      </c>
      <c r="D2030" s="19" t="str">
        <f>IF(ISBLANK(A2030), "Email",IF(ISNA(VLOOKUP(A2030,'Master List'!A:C,3,FALSE)), "Not Found", VLOOKUP(A2030,'Master List'!A:C,3,FALSE)))</f>
        <v>Email</v>
      </c>
      <c r="F2030" s="4" t="str">
        <f>IF(OR(A2030="",E2030="","",A2030="?",E2030="?"),"duplicate?",IF(COUNTIFS($A:A,A2030,E:E,E2030)&gt;1,"yes","no"))</f>
        <v>duplicate?</v>
      </c>
      <c r="K2030" s="97" t="str">
        <f ca="1">IF(J2030="","Date",IF(J2030&lt;&gt;"",IF(K2030="Date",NOW(),K2030),""))</f>
        <v>Date</v>
      </c>
    </row>
    <row r="2031" spans="2:11">
      <c r="B2031" s="97" t="str">
        <f ca="1">IF(A2031="","Date",IF(A2031&lt;&gt;"",IF(B2031="Date",NOW(),B2031),""))</f>
        <v>Date</v>
      </c>
      <c r="C2031" s="19" t="str">
        <f>IF(ISBLANK(A2031),"Name",IF(ISNA(VLOOKUP(A2031,'Master List'!A:C,2,FALSE)), "Not Found", VLOOKUP(A2031,'Master List'!A:C,2,FALSE)))</f>
        <v>Name</v>
      </c>
      <c r="D2031" s="19" t="str">
        <f>IF(ISBLANK(A2031), "Email",IF(ISNA(VLOOKUP(A2031,'Master List'!A:C,3,FALSE)), "Not Found", VLOOKUP(A2031,'Master List'!A:C,3,FALSE)))</f>
        <v>Email</v>
      </c>
      <c r="F2031" s="4" t="str">
        <f>IF(OR(A2031="",E2031="","",A2031="?",E2031="?"),"duplicate?",IF(COUNTIFS($A:A,A2031,E:E,E2031)&gt;1,"yes","no"))</f>
        <v>duplicate?</v>
      </c>
      <c r="K2031" s="97" t="str">
        <f ca="1">IF(J2031="","Date",IF(J2031&lt;&gt;"",IF(K2031="Date",NOW(),K2031),""))</f>
        <v>Date</v>
      </c>
    </row>
    <row r="2032" spans="2:11">
      <c r="B2032" s="97" t="str">
        <f ca="1">IF(A2032="","Date",IF(A2032&lt;&gt;"",IF(B2032="Date",NOW(),B2032),""))</f>
        <v>Date</v>
      </c>
      <c r="C2032" s="19" t="str">
        <f>IF(ISBLANK(A2032),"Name",IF(ISNA(VLOOKUP(A2032,'Master List'!A:C,2,FALSE)), "Not Found", VLOOKUP(A2032,'Master List'!A:C,2,FALSE)))</f>
        <v>Name</v>
      </c>
      <c r="D2032" s="19" t="str">
        <f>IF(ISBLANK(A2032), "Email",IF(ISNA(VLOOKUP(A2032,'Master List'!A:C,3,FALSE)), "Not Found", VLOOKUP(A2032,'Master List'!A:C,3,FALSE)))</f>
        <v>Email</v>
      </c>
      <c r="F2032" s="4" t="str">
        <f>IF(OR(A2032="",E2032="","",A2032="?",E2032="?"),"duplicate?",IF(COUNTIFS($A:A,A2032,E:E,E2032)&gt;1,"yes","no"))</f>
        <v>duplicate?</v>
      </c>
      <c r="K2032" s="97" t="str">
        <f ca="1">IF(J2032="","Date",IF(J2032&lt;&gt;"",IF(K2032="Date",NOW(),K2032),""))</f>
        <v>Date</v>
      </c>
    </row>
    <row r="2033" spans="2:11">
      <c r="B2033" s="97" t="str">
        <f ca="1">IF(A2033="","Date",IF(A2033&lt;&gt;"",IF(B2033="Date",NOW(),B2033),""))</f>
        <v>Date</v>
      </c>
      <c r="C2033" s="19" t="str">
        <f>IF(ISBLANK(A2033),"Name",IF(ISNA(VLOOKUP(A2033,'Master List'!A:C,2,FALSE)), "Not Found", VLOOKUP(A2033,'Master List'!A:C,2,FALSE)))</f>
        <v>Name</v>
      </c>
      <c r="D2033" s="19" t="str">
        <f>IF(ISBLANK(A2033), "Email",IF(ISNA(VLOOKUP(A2033,'Master List'!A:C,3,FALSE)), "Not Found", VLOOKUP(A2033,'Master List'!A:C,3,FALSE)))</f>
        <v>Email</v>
      </c>
      <c r="F2033" s="4" t="str">
        <f>IF(OR(A2033="",E2033="","",A2033="?",E2033="?"),"duplicate?",IF(COUNTIFS($A:A,A2033,E:E,E2033)&gt;1,"yes","no"))</f>
        <v>duplicate?</v>
      </c>
      <c r="K2033" s="97" t="str">
        <f ca="1">IF(J2033="","Date",IF(J2033&lt;&gt;"",IF(K2033="Date",NOW(),K2033),""))</f>
        <v>Date</v>
      </c>
    </row>
    <row r="2034" spans="2:11">
      <c r="B2034" s="97" t="str">
        <f ca="1">IF(A2034="","Date",IF(A2034&lt;&gt;"",IF(B2034="Date",NOW(),B2034),""))</f>
        <v>Date</v>
      </c>
      <c r="C2034" s="19" t="str">
        <f>IF(ISBLANK(A2034),"Name",IF(ISNA(VLOOKUP(A2034,'Master List'!A:C,2,FALSE)), "Not Found", VLOOKUP(A2034,'Master List'!A:C,2,FALSE)))</f>
        <v>Name</v>
      </c>
      <c r="D2034" s="19" t="str">
        <f>IF(ISBLANK(A2034), "Email",IF(ISNA(VLOOKUP(A2034,'Master List'!A:C,3,FALSE)), "Not Found", VLOOKUP(A2034,'Master List'!A:C,3,FALSE)))</f>
        <v>Email</v>
      </c>
      <c r="F2034" s="4" t="str">
        <f>IF(OR(A2034="",E2034="","",A2034="?",E2034="?"),"duplicate?",IF(COUNTIFS($A:A,A2034,E:E,E2034)&gt;1,"yes","no"))</f>
        <v>duplicate?</v>
      </c>
      <c r="K2034" s="97" t="str">
        <f ca="1">IF(J2034="","Date",IF(J2034&lt;&gt;"",IF(K2034="Date",NOW(),K2034),""))</f>
        <v>Date</v>
      </c>
    </row>
    <row r="2035" spans="2:11">
      <c r="B2035" s="97" t="str">
        <f ca="1">IF(A2035="","Date",IF(A2035&lt;&gt;"",IF(B2035="Date",NOW(),B2035),""))</f>
        <v>Date</v>
      </c>
      <c r="C2035" s="19" t="str">
        <f>IF(ISBLANK(A2035),"Name",IF(ISNA(VLOOKUP(A2035,'Master List'!A:C,2,FALSE)), "Not Found", VLOOKUP(A2035,'Master List'!A:C,2,FALSE)))</f>
        <v>Name</v>
      </c>
      <c r="D2035" s="19" t="str">
        <f>IF(ISBLANK(A2035), "Email",IF(ISNA(VLOOKUP(A2035,'Master List'!A:C,3,FALSE)), "Not Found", VLOOKUP(A2035,'Master List'!A:C,3,FALSE)))</f>
        <v>Email</v>
      </c>
      <c r="F2035" s="4" t="str">
        <f>IF(OR(A2035="",E2035="","",A2035="?",E2035="?"),"duplicate?",IF(COUNTIFS($A:A,A2035,E:E,E2035)&gt;1,"yes","no"))</f>
        <v>duplicate?</v>
      </c>
      <c r="K2035" s="97" t="str">
        <f ca="1">IF(J2035="","Date",IF(J2035&lt;&gt;"",IF(K2035="Date",NOW(),K2035),""))</f>
        <v>Date</v>
      </c>
    </row>
    <row r="2036" spans="2:11">
      <c r="B2036" s="97" t="str">
        <f ca="1">IF(A2036="","Date",IF(A2036&lt;&gt;"",IF(B2036="Date",NOW(),B2036),""))</f>
        <v>Date</v>
      </c>
      <c r="C2036" s="19" t="str">
        <f>IF(ISBLANK(A2036),"Name",IF(ISNA(VLOOKUP(A2036,'Master List'!A:C,2,FALSE)), "Not Found", VLOOKUP(A2036,'Master List'!A:C,2,FALSE)))</f>
        <v>Name</v>
      </c>
      <c r="D2036" s="19" t="str">
        <f>IF(ISBLANK(A2036), "Email",IF(ISNA(VLOOKUP(A2036,'Master List'!A:C,3,FALSE)), "Not Found", VLOOKUP(A2036,'Master List'!A:C,3,FALSE)))</f>
        <v>Email</v>
      </c>
      <c r="F2036" s="4" t="str">
        <f>IF(OR(A2036="",E2036="","",A2036="?",E2036="?"),"duplicate?",IF(COUNTIFS($A:A,A2036,E:E,E2036)&gt;1,"yes","no"))</f>
        <v>duplicate?</v>
      </c>
      <c r="K2036" s="97" t="str">
        <f ca="1">IF(J2036="","Date",IF(J2036&lt;&gt;"",IF(K2036="Date",NOW(),K2036),""))</f>
        <v>Date</v>
      </c>
    </row>
    <row r="2037" spans="2:11">
      <c r="B2037" s="97" t="str">
        <f ca="1">IF(A2037="","Date",IF(A2037&lt;&gt;"",IF(B2037="Date",NOW(),B2037),""))</f>
        <v>Date</v>
      </c>
      <c r="C2037" s="19" t="str">
        <f>IF(ISBLANK(A2037),"Name",IF(ISNA(VLOOKUP(A2037,'Master List'!A:C,2,FALSE)), "Not Found", VLOOKUP(A2037,'Master List'!A:C,2,FALSE)))</f>
        <v>Name</v>
      </c>
      <c r="D2037" s="19" t="str">
        <f>IF(ISBLANK(A2037), "Email",IF(ISNA(VLOOKUP(A2037,'Master List'!A:C,3,FALSE)), "Not Found", VLOOKUP(A2037,'Master List'!A:C,3,FALSE)))</f>
        <v>Email</v>
      </c>
      <c r="F2037" s="4" t="str">
        <f>IF(OR(A2037="",E2037="","",A2037="?",E2037="?"),"duplicate?",IF(COUNTIFS($A:A,A2037,E:E,E2037)&gt;1,"yes","no"))</f>
        <v>duplicate?</v>
      </c>
      <c r="K2037" s="97" t="str">
        <f ca="1">IF(J2037="","Date",IF(J2037&lt;&gt;"",IF(K2037="Date",NOW(),K2037),""))</f>
        <v>Date</v>
      </c>
    </row>
    <row r="2038" spans="2:11">
      <c r="B2038" s="97" t="str">
        <f ca="1">IF(A2038="","Date",IF(A2038&lt;&gt;"",IF(B2038="Date",NOW(),B2038),""))</f>
        <v>Date</v>
      </c>
      <c r="C2038" s="19" t="str">
        <f>IF(ISBLANK(A2038),"Name",IF(ISNA(VLOOKUP(A2038,'Master List'!A:C,2,FALSE)), "Not Found", VLOOKUP(A2038,'Master List'!A:C,2,FALSE)))</f>
        <v>Name</v>
      </c>
      <c r="D2038" s="19" t="str">
        <f>IF(ISBLANK(A2038), "Email",IF(ISNA(VLOOKUP(A2038,'Master List'!A:C,3,FALSE)), "Not Found", VLOOKUP(A2038,'Master List'!A:C,3,FALSE)))</f>
        <v>Email</v>
      </c>
      <c r="F2038" s="4" t="str">
        <f>IF(OR(A2038="",E2038="","",A2038="?",E2038="?"),"duplicate?",IF(COUNTIFS($A:A,A2038,E:E,E2038)&gt;1,"yes","no"))</f>
        <v>duplicate?</v>
      </c>
      <c r="K2038" s="97" t="str">
        <f ca="1">IF(J2038="","Date",IF(J2038&lt;&gt;"",IF(K2038="Date",NOW(),K2038),""))</f>
        <v>Date</v>
      </c>
    </row>
    <row r="2039" spans="2:11">
      <c r="B2039" s="97" t="str">
        <f ca="1">IF(A2039="","Date",IF(A2039&lt;&gt;"",IF(B2039="Date",NOW(),B2039),""))</f>
        <v>Date</v>
      </c>
      <c r="C2039" s="19" t="str">
        <f>IF(ISBLANK(A2039),"Name",IF(ISNA(VLOOKUP(A2039,'Master List'!A:C,2,FALSE)), "Not Found", VLOOKUP(A2039,'Master List'!A:C,2,FALSE)))</f>
        <v>Name</v>
      </c>
      <c r="D2039" s="19" t="str">
        <f>IF(ISBLANK(A2039), "Email",IF(ISNA(VLOOKUP(A2039,'Master List'!A:C,3,FALSE)), "Not Found", VLOOKUP(A2039,'Master List'!A:C,3,FALSE)))</f>
        <v>Email</v>
      </c>
      <c r="F2039" s="4" t="str">
        <f>IF(OR(A2039="",E2039="","",A2039="?",E2039="?"),"duplicate?",IF(COUNTIFS($A:A,A2039,E:E,E2039)&gt;1,"yes","no"))</f>
        <v>duplicate?</v>
      </c>
      <c r="K2039" s="97" t="str">
        <f ca="1">IF(J2039="","Date",IF(J2039&lt;&gt;"",IF(K2039="Date",NOW(),K2039),""))</f>
        <v>Date</v>
      </c>
    </row>
    <row r="2040" spans="2:11">
      <c r="B2040" s="97" t="str">
        <f ca="1">IF(A2040="","Date",IF(A2040&lt;&gt;"",IF(B2040="Date",NOW(),B2040),""))</f>
        <v>Date</v>
      </c>
      <c r="C2040" s="19" t="str">
        <f>IF(ISBLANK(A2040),"Name",IF(ISNA(VLOOKUP(A2040,'Master List'!A:C,2,FALSE)), "Not Found", VLOOKUP(A2040,'Master List'!A:C,2,FALSE)))</f>
        <v>Name</v>
      </c>
      <c r="D2040" s="19" t="str">
        <f>IF(ISBLANK(A2040), "Email",IF(ISNA(VLOOKUP(A2040,'Master List'!A:C,3,FALSE)), "Not Found", VLOOKUP(A2040,'Master List'!A:C,3,FALSE)))</f>
        <v>Email</v>
      </c>
      <c r="F2040" s="4" t="str">
        <f>IF(OR(A2040="",E2040="","",A2040="?",E2040="?"),"duplicate?",IF(COUNTIFS($A:A,A2040,E:E,E2040)&gt;1,"yes","no"))</f>
        <v>duplicate?</v>
      </c>
      <c r="K2040" s="97" t="str">
        <f ca="1">IF(J2040="","Date",IF(J2040&lt;&gt;"",IF(K2040="Date",NOW(),K2040),""))</f>
        <v>Date</v>
      </c>
    </row>
    <row r="2041" spans="2:11">
      <c r="B2041" s="97" t="str">
        <f ca="1">IF(A2041="","Date",IF(A2041&lt;&gt;"",IF(B2041="Date",NOW(),B2041),""))</f>
        <v>Date</v>
      </c>
      <c r="C2041" s="19" t="str">
        <f>IF(ISBLANK(A2041),"Name",IF(ISNA(VLOOKUP(A2041,'Master List'!A:C,2,FALSE)), "Not Found", VLOOKUP(A2041,'Master List'!A:C,2,FALSE)))</f>
        <v>Name</v>
      </c>
      <c r="D2041" s="19" t="str">
        <f>IF(ISBLANK(A2041), "Email",IF(ISNA(VLOOKUP(A2041,'Master List'!A:C,3,FALSE)), "Not Found", VLOOKUP(A2041,'Master List'!A:C,3,FALSE)))</f>
        <v>Email</v>
      </c>
      <c r="F2041" s="4" t="str">
        <f>IF(OR(A2041="",E2041="","",A2041="?",E2041="?"),"duplicate?",IF(COUNTIFS($A:A,A2041,E:E,E2041)&gt;1,"yes","no"))</f>
        <v>duplicate?</v>
      </c>
      <c r="K2041" s="97" t="str">
        <f ca="1">IF(J2041="","Date",IF(J2041&lt;&gt;"",IF(K2041="Date",NOW(),K2041),""))</f>
        <v>Date</v>
      </c>
    </row>
    <row r="2042" spans="2:11">
      <c r="B2042" s="97" t="str">
        <f ca="1">IF(A2042="","Date",IF(A2042&lt;&gt;"",IF(B2042="Date",NOW(),B2042),""))</f>
        <v>Date</v>
      </c>
      <c r="C2042" s="19" t="str">
        <f>IF(ISBLANK(A2042),"Name",IF(ISNA(VLOOKUP(A2042,'Master List'!A:C,2,FALSE)), "Not Found", VLOOKUP(A2042,'Master List'!A:C,2,FALSE)))</f>
        <v>Name</v>
      </c>
      <c r="D2042" s="19" t="str">
        <f>IF(ISBLANK(A2042), "Email",IF(ISNA(VLOOKUP(A2042,'Master List'!A:C,3,FALSE)), "Not Found", VLOOKUP(A2042,'Master List'!A:C,3,FALSE)))</f>
        <v>Email</v>
      </c>
      <c r="F2042" s="4" t="str">
        <f>IF(OR(A2042="",E2042="","",A2042="?",E2042="?"),"duplicate?",IF(COUNTIFS($A:A,A2042,E:E,E2042)&gt;1,"yes","no"))</f>
        <v>duplicate?</v>
      </c>
      <c r="K2042" s="97" t="str">
        <f ca="1">IF(J2042="","Date",IF(J2042&lt;&gt;"",IF(K2042="Date",NOW(),K2042),""))</f>
        <v>Date</v>
      </c>
    </row>
    <row r="2043" spans="2:11">
      <c r="B2043" s="97" t="str">
        <f ca="1">IF(A2043="","Date",IF(A2043&lt;&gt;"",IF(B2043="Date",NOW(),B2043),""))</f>
        <v>Date</v>
      </c>
      <c r="C2043" s="19" t="str">
        <f>IF(ISBLANK(A2043),"Name",IF(ISNA(VLOOKUP(A2043,'Master List'!A:C,2,FALSE)), "Not Found", VLOOKUP(A2043,'Master List'!A:C,2,FALSE)))</f>
        <v>Name</v>
      </c>
      <c r="D2043" s="19" t="str">
        <f>IF(ISBLANK(A2043), "Email",IF(ISNA(VLOOKUP(A2043,'Master List'!A:C,3,FALSE)), "Not Found", VLOOKUP(A2043,'Master List'!A:C,3,FALSE)))</f>
        <v>Email</v>
      </c>
      <c r="F2043" s="4" t="str">
        <f>IF(OR(A2043="",E2043="","",A2043="?",E2043="?"),"duplicate?",IF(COUNTIFS($A:A,A2043,E:E,E2043)&gt;1,"yes","no"))</f>
        <v>duplicate?</v>
      </c>
      <c r="K2043" s="97" t="str">
        <f ca="1">IF(J2043="","Date",IF(J2043&lt;&gt;"",IF(K2043="Date",NOW(),K2043),""))</f>
        <v>Date</v>
      </c>
    </row>
    <row r="2044" spans="2:11">
      <c r="B2044" s="97" t="str">
        <f ca="1">IF(A2044="","Date",IF(A2044&lt;&gt;"",IF(B2044="Date",NOW(),B2044),""))</f>
        <v>Date</v>
      </c>
      <c r="C2044" s="19" t="str">
        <f>IF(ISBLANK(A2044),"Name",IF(ISNA(VLOOKUP(A2044,'Master List'!A:C,2,FALSE)), "Not Found", VLOOKUP(A2044,'Master List'!A:C,2,FALSE)))</f>
        <v>Name</v>
      </c>
      <c r="D2044" s="19" t="str">
        <f>IF(ISBLANK(A2044), "Email",IF(ISNA(VLOOKUP(A2044,'Master List'!A:C,3,FALSE)), "Not Found", VLOOKUP(A2044,'Master List'!A:C,3,FALSE)))</f>
        <v>Email</v>
      </c>
      <c r="F2044" s="4" t="str">
        <f>IF(OR(A2044="",E2044="","",A2044="?",E2044="?"),"duplicate?",IF(COUNTIFS($A:A,A2044,E:E,E2044)&gt;1,"yes","no"))</f>
        <v>duplicate?</v>
      </c>
      <c r="K2044" s="97" t="str">
        <f ca="1">IF(J2044="","Date",IF(J2044&lt;&gt;"",IF(K2044="Date",NOW(),K2044),""))</f>
        <v>Date</v>
      </c>
    </row>
    <row r="2045" spans="2:11">
      <c r="B2045" s="97" t="str">
        <f ca="1">IF(A2045="","Date",IF(A2045&lt;&gt;"",IF(B2045="Date",NOW(),B2045),""))</f>
        <v>Date</v>
      </c>
      <c r="C2045" s="19" t="str">
        <f>IF(ISBLANK(A2045),"Name",IF(ISNA(VLOOKUP(A2045,'Master List'!A:C,2,FALSE)), "Not Found", VLOOKUP(A2045,'Master List'!A:C,2,FALSE)))</f>
        <v>Name</v>
      </c>
      <c r="D2045" s="19" t="str">
        <f>IF(ISBLANK(A2045), "Email",IF(ISNA(VLOOKUP(A2045,'Master List'!A:C,3,FALSE)), "Not Found", VLOOKUP(A2045,'Master List'!A:C,3,FALSE)))</f>
        <v>Email</v>
      </c>
      <c r="F2045" s="4" t="str">
        <f>IF(OR(A2045="",E2045="","",A2045="?",E2045="?"),"duplicate?",IF(COUNTIFS($A:A,A2045,E:E,E2045)&gt;1,"yes","no"))</f>
        <v>duplicate?</v>
      </c>
      <c r="K2045" s="97" t="str">
        <f ca="1">IF(J2045="","Date",IF(J2045&lt;&gt;"",IF(K2045="Date",NOW(),K2045),""))</f>
        <v>Date</v>
      </c>
    </row>
    <row r="2046" spans="2:11">
      <c r="B2046" s="97" t="str">
        <f ca="1">IF(A2046="","Date",IF(A2046&lt;&gt;"",IF(B2046="Date",NOW(),B2046),""))</f>
        <v>Date</v>
      </c>
      <c r="C2046" s="19" t="str">
        <f>IF(ISBLANK(A2046),"Name",IF(ISNA(VLOOKUP(A2046,'Master List'!A:C,2,FALSE)), "Not Found", VLOOKUP(A2046,'Master List'!A:C,2,FALSE)))</f>
        <v>Name</v>
      </c>
      <c r="D2046" s="19" t="str">
        <f>IF(ISBLANK(A2046), "Email",IF(ISNA(VLOOKUP(A2046,'Master List'!A:C,3,FALSE)), "Not Found", VLOOKUP(A2046,'Master List'!A:C,3,FALSE)))</f>
        <v>Email</v>
      </c>
      <c r="F2046" s="4" t="str">
        <f>IF(OR(A2046="",E2046="","",A2046="?",E2046="?"),"duplicate?",IF(COUNTIFS($A:A,A2046,E:E,E2046)&gt;1,"yes","no"))</f>
        <v>duplicate?</v>
      </c>
      <c r="K2046" s="97" t="str">
        <f ca="1">IF(J2046="","Date",IF(J2046&lt;&gt;"",IF(K2046="Date",NOW(),K2046),""))</f>
        <v>Date</v>
      </c>
    </row>
    <row r="2047" spans="2:11">
      <c r="B2047" s="97" t="str">
        <f ca="1">IF(A2047="","Date",IF(A2047&lt;&gt;"",IF(B2047="Date",NOW(),B2047),""))</f>
        <v>Date</v>
      </c>
      <c r="C2047" s="19" t="str">
        <f>IF(ISBLANK(A2047),"Name",IF(ISNA(VLOOKUP(A2047,'Master List'!A:C,2,FALSE)), "Not Found", VLOOKUP(A2047,'Master List'!A:C,2,FALSE)))</f>
        <v>Name</v>
      </c>
      <c r="D2047" s="19" t="str">
        <f>IF(ISBLANK(A2047), "Email",IF(ISNA(VLOOKUP(A2047,'Master List'!A:C,3,FALSE)), "Not Found", VLOOKUP(A2047,'Master List'!A:C,3,FALSE)))</f>
        <v>Email</v>
      </c>
      <c r="F2047" s="4" t="str">
        <f>IF(OR(A2047="",E2047="","",A2047="?",E2047="?"),"duplicate?",IF(COUNTIFS($A:A,A2047,E:E,E2047)&gt;1,"yes","no"))</f>
        <v>duplicate?</v>
      </c>
      <c r="K2047" s="97" t="str">
        <f ca="1">IF(J2047="","Date",IF(J2047&lt;&gt;"",IF(K2047="Date",NOW(),K2047),""))</f>
        <v>Date</v>
      </c>
    </row>
    <row r="2048" spans="2:11">
      <c r="B2048" s="97" t="str">
        <f ca="1">IF(A2048="","Date",IF(A2048&lt;&gt;"",IF(B2048="Date",NOW(),B2048),""))</f>
        <v>Date</v>
      </c>
      <c r="C2048" s="19" t="str">
        <f>IF(ISBLANK(A2048),"Name",IF(ISNA(VLOOKUP(A2048,'Master List'!A:C,2,FALSE)), "Not Found", VLOOKUP(A2048,'Master List'!A:C,2,FALSE)))</f>
        <v>Name</v>
      </c>
      <c r="D2048" s="19" t="str">
        <f>IF(ISBLANK(A2048), "Email",IF(ISNA(VLOOKUP(A2048,'Master List'!A:C,3,FALSE)), "Not Found", VLOOKUP(A2048,'Master List'!A:C,3,FALSE)))</f>
        <v>Email</v>
      </c>
      <c r="F2048" s="4" t="str">
        <f>IF(OR(A2048="",E2048="","",A2048="?",E2048="?"),"duplicate?",IF(COUNTIFS($A:A,A2048,E:E,E2048)&gt;1,"yes","no"))</f>
        <v>duplicate?</v>
      </c>
      <c r="K2048" s="97" t="str">
        <f ca="1">IF(J2048="","Date",IF(J2048&lt;&gt;"",IF(K2048="Date",NOW(),K2048),""))</f>
        <v>Date</v>
      </c>
    </row>
    <row r="2049" spans="2:11">
      <c r="B2049" s="97" t="str">
        <f ca="1">IF(A2049="","Date",IF(A2049&lt;&gt;"",IF(B2049="Date",NOW(),B2049),""))</f>
        <v>Date</v>
      </c>
      <c r="C2049" s="19" t="str">
        <f>IF(ISBLANK(A2049),"Name",IF(ISNA(VLOOKUP(A2049,'Master List'!A:C,2,FALSE)), "Not Found", VLOOKUP(A2049,'Master List'!A:C,2,FALSE)))</f>
        <v>Name</v>
      </c>
      <c r="D2049" s="19" t="str">
        <f>IF(ISBLANK(A2049), "Email",IF(ISNA(VLOOKUP(A2049,'Master List'!A:C,3,FALSE)), "Not Found", VLOOKUP(A2049,'Master List'!A:C,3,FALSE)))</f>
        <v>Email</v>
      </c>
      <c r="F2049" s="4" t="str">
        <f>IF(OR(A2049="",E2049="","",A2049="?",E2049="?"),"duplicate?",IF(COUNTIFS($A:A,A2049,E:E,E2049)&gt;1,"yes","no"))</f>
        <v>duplicate?</v>
      </c>
      <c r="K2049" s="97" t="str">
        <f ca="1">IF(J2049="","Date",IF(J2049&lt;&gt;"",IF(K2049="Date",NOW(),K2049),""))</f>
        <v>Date</v>
      </c>
    </row>
    <row r="2050" spans="2:11">
      <c r="B2050" s="97" t="str">
        <f ca="1">IF(A2050="","Date",IF(A2050&lt;&gt;"",IF(B2050="Date",NOW(),B2050),""))</f>
        <v>Date</v>
      </c>
      <c r="C2050" s="19" t="str">
        <f>IF(ISBLANK(A2050),"Name",IF(ISNA(VLOOKUP(A2050,'Master List'!A:C,2,FALSE)), "Not Found", VLOOKUP(A2050,'Master List'!A:C,2,FALSE)))</f>
        <v>Name</v>
      </c>
      <c r="D2050" s="19" t="str">
        <f>IF(ISBLANK(A2050), "Email",IF(ISNA(VLOOKUP(A2050,'Master List'!A:C,3,FALSE)), "Not Found", VLOOKUP(A2050,'Master List'!A:C,3,FALSE)))</f>
        <v>Email</v>
      </c>
      <c r="F2050" s="4" t="str">
        <f>IF(OR(A2050="",E2050="","",A2050="?",E2050="?"),"duplicate?",IF(COUNTIFS($A:A,A2050,E:E,E2050)&gt;1,"yes","no"))</f>
        <v>duplicate?</v>
      </c>
      <c r="K2050" s="97" t="str">
        <f ca="1">IF(J2050="","Date",IF(J2050&lt;&gt;"",IF(K2050="Date",NOW(),K2050),""))</f>
        <v>Date</v>
      </c>
    </row>
    <row r="2051" spans="2:11">
      <c r="B2051" s="97" t="str">
        <f ca="1">IF(A2051="","Date",IF(A2051&lt;&gt;"",IF(B2051="Date",NOW(),B2051),""))</f>
        <v>Date</v>
      </c>
      <c r="C2051" s="19" t="str">
        <f>IF(ISBLANK(A2051),"Name",IF(ISNA(VLOOKUP(A2051,'Master List'!A:C,2,FALSE)), "Not Found", VLOOKUP(A2051,'Master List'!A:C,2,FALSE)))</f>
        <v>Name</v>
      </c>
      <c r="D2051" s="19" t="str">
        <f>IF(ISBLANK(A2051), "Email",IF(ISNA(VLOOKUP(A2051,'Master List'!A:C,3,FALSE)), "Not Found", VLOOKUP(A2051,'Master List'!A:C,3,FALSE)))</f>
        <v>Email</v>
      </c>
      <c r="F2051" s="4" t="str">
        <f>IF(OR(A2051="",E2051="","",A2051="?",E2051="?"),"duplicate?",IF(COUNTIFS($A:A,A2051,E:E,E2051)&gt;1,"yes","no"))</f>
        <v>duplicate?</v>
      </c>
      <c r="K2051" s="97" t="str">
        <f ca="1">IF(J2051="","Date",IF(J2051&lt;&gt;"",IF(K2051="Date",NOW(),K2051),""))</f>
        <v>Date</v>
      </c>
    </row>
    <row r="2052" spans="2:11">
      <c r="B2052" s="97" t="str">
        <f ca="1">IF(A2052="","Date",IF(A2052&lt;&gt;"",IF(B2052="Date",NOW(),B2052),""))</f>
        <v>Date</v>
      </c>
      <c r="C2052" s="19" t="str">
        <f>IF(ISBLANK(A2052),"Name",IF(ISNA(VLOOKUP(A2052,'Master List'!A:C,2,FALSE)), "Not Found", VLOOKUP(A2052,'Master List'!A:C,2,FALSE)))</f>
        <v>Name</v>
      </c>
      <c r="D2052" s="19" t="str">
        <f>IF(ISBLANK(A2052), "Email",IF(ISNA(VLOOKUP(A2052,'Master List'!A:C,3,FALSE)), "Not Found", VLOOKUP(A2052,'Master List'!A:C,3,FALSE)))</f>
        <v>Email</v>
      </c>
      <c r="F2052" s="4" t="str">
        <f>IF(OR(A2052="",E2052="","",A2052="?",E2052="?"),"duplicate?",IF(COUNTIFS($A:A,A2052,E:E,E2052)&gt;1,"yes","no"))</f>
        <v>duplicate?</v>
      </c>
      <c r="K2052" s="97" t="str">
        <f ca="1">IF(J2052="","Date",IF(J2052&lt;&gt;"",IF(K2052="Date",NOW(),K2052),""))</f>
        <v>Date</v>
      </c>
    </row>
    <row r="2053" spans="2:11">
      <c r="B2053" s="97" t="str">
        <f ca="1">IF(A2053="","Date",IF(A2053&lt;&gt;"",IF(B2053="Date",NOW(),B2053),""))</f>
        <v>Date</v>
      </c>
      <c r="C2053" s="19" t="str">
        <f>IF(ISBLANK(A2053),"Name",IF(ISNA(VLOOKUP(A2053,'Master List'!A:C,2,FALSE)), "Not Found", VLOOKUP(A2053,'Master List'!A:C,2,FALSE)))</f>
        <v>Name</v>
      </c>
      <c r="D2053" s="19" t="str">
        <f>IF(ISBLANK(A2053), "Email",IF(ISNA(VLOOKUP(A2053,'Master List'!A:C,3,FALSE)), "Not Found", VLOOKUP(A2053,'Master List'!A:C,3,FALSE)))</f>
        <v>Email</v>
      </c>
      <c r="F2053" s="4" t="str">
        <f>IF(OR(A2053="",E2053="","",A2053="?",E2053="?"),"duplicate?",IF(COUNTIFS($A:A,A2053,E:E,E2053)&gt;1,"yes","no"))</f>
        <v>duplicate?</v>
      </c>
      <c r="K2053" s="97" t="str">
        <f ca="1">IF(J2053="","Date",IF(J2053&lt;&gt;"",IF(K2053="Date",NOW(),K2053),""))</f>
        <v>Date</v>
      </c>
    </row>
    <row r="2054" spans="2:11">
      <c r="B2054" s="97" t="str">
        <f ca="1">IF(A2054="","Date",IF(A2054&lt;&gt;"",IF(B2054="Date",NOW(),B2054),""))</f>
        <v>Date</v>
      </c>
      <c r="C2054" s="19" t="str">
        <f>IF(ISBLANK(A2054),"Name",IF(ISNA(VLOOKUP(A2054,'Master List'!A:C,2,FALSE)), "Not Found", VLOOKUP(A2054,'Master List'!A:C,2,FALSE)))</f>
        <v>Name</v>
      </c>
      <c r="D2054" s="19" t="str">
        <f>IF(ISBLANK(A2054), "Email",IF(ISNA(VLOOKUP(A2054,'Master List'!A:C,3,FALSE)), "Not Found", VLOOKUP(A2054,'Master List'!A:C,3,FALSE)))</f>
        <v>Email</v>
      </c>
      <c r="F2054" s="4" t="str">
        <f>IF(OR(A2054="",E2054="","",A2054="?",E2054="?"),"duplicate?",IF(COUNTIFS($A:A,A2054,E:E,E2054)&gt;1,"yes","no"))</f>
        <v>duplicate?</v>
      </c>
      <c r="K2054" s="97" t="str">
        <f ca="1">IF(J2054="","Date",IF(J2054&lt;&gt;"",IF(K2054="Date",NOW(),K2054),""))</f>
        <v>Date</v>
      </c>
    </row>
    <row r="2055" spans="2:11">
      <c r="B2055" s="97" t="str">
        <f ca="1">IF(A2055="","Date",IF(A2055&lt;&gt;"",IF(B2055="Date",NOW(),B2055),""))</f>
        <v>Date</v>
      </c>
      <c r="C2055" s="19" t="str">
        <f>IF(ISBLANK(A2055),"Name",IF(ISNA(VLOOKUP(A2055,'Master List'!A:C,2,FALSE)), "Not Found", VLOOKUP(A2055,'Master List'!A:C,2,FALSE)))</f>
        <v>Name</v>
      </c>
      <c r="D2055" s="19" t="str">
        <f>IF(ISBLANK(A2055), "Email",IF(ISNA(VLOOKUP(A2055,'Master List'!A:C,3,FALSE)), "Not Found", VLOOKUP(A2055,'Master List'!A:C,3,FALSE)))</f>
        <v>Email</v>
      </c>
      <c r="F2055" s="4" t="str">
        <f>IF(OR(A2055="",E2055="","",A2055="?",E2055="?"),"duplicate?",IF(COUNTIFS($A:A,A2055,E:E,E2055)&gt;1,"yes","no"))</f>
        <v>duplicate?</v>
      </c>
      <c r="K2055" s="97" t="str">
        <f ca="1">IF(J2055="","Date",IF(J2055&lt;&gt;"",IF(K2055="Date",NOW(),K2055),""))</f>
        <v>Date</v>
      </c>
    </row>
    <row r="2056" spans="2:11">
      <c r="B2056" s="97" t="str">
        <f ca="1">IF(A2056="","Date",IF(A2056&lt;&gt;"",IF(B2056="Date",NOW(),B2056),""))</f>
        <v>Date</v>
      </c>
      <c r="C2056" s="19" t="str">
        <f>IF(ISBLANK(A2056),"Name",IF(ISNA(VLOOKUP(A2056,'Master List'!A:C,2,FALSE)), "Not Found", VLOOKUP(A2056,'Master List'!A:C,2,FALSE)))</f>
        <v>Name</v>
      </c>
      <c r="D2056" s="19" t="str">
        <f>IF(ISBLANK(A2056), "Email",IF(ISNA(VLOOKUP(A2056,'Master List'!A:C,3,FALSE)), "Not Found", VLOOKUP(A2056,'Master List'!A:C,3,FALSE)))</f>
        <v>Email</v>
      </c>
      <c r="F2056" s="4" t="str">
        <f>IF(OR(A2056="",E2056="","",A2056="?",E2056="?"),"duplicate?",IF(COUNTIFS($A:A,A2056,E:E,E2056)&gt;1,"yes","no"))</f>
        <v>duplicate?</v>
      </c>
      <c r="K2056" s="97" t="str">
        <f ca="1">IF(J2056="","Date",IF(J2056&lt;&gt;"",IF(K2056="Date",NOW(),K2056),""))</f>
        <v>Date</v>
      </c>
    </row>
    <row r="2057" spans="2:11">
      <c r="B2057" s="97" t="str">
        <f ca="1">IF(A2057="","Date",IF(A2057&lt;&gt;"",IF(B2057="Date",NOW(),B2057),""))</f>
        <v>Date</v>
      </c>
      <c r="C2057" s="19" t="str">
        <f>IF(ISBLANK(A2057),"Name",IF(ISNA(VLOOKUP(A2057,'Master List'!A:C,2,FALSE)), "Not Found", VLOOKUP(A2057,'Master List'!A:C,2,FALSE)))</f>
        <v>Name</v>
      </c>
      <c r="D2057" s="19" t="str">
        <f>IF(ISBLANK(A2057), "Email",IF(ISNA(VLOOKUP(A2057,'Master List'!A:C,3,FALSE)), "Not Found", VLOOKUP(A2057,'Master List'!A:C,3,FALSE)))</f>
        <v>Email</v>
      </c>
      <c r="F2057" s="4" t="str">
        <f>IF(OR(A2057="",E2057="","",A2057="?",E2057="?"),"duplicate?",IF(COUNTIFS($A:A,A2057,E:E,E2057)&gt;1,"yes","no"))</f>
        <v>duplicate?</v>
      </c>
      <c r="K2057" s="97" t="str">
        <f ca="1">IF(J2057="","Date",IF(J2057&lt;&gt;"",IF(K2057="Date",NOW(),K2057),""))</f>
        <v>Date</v>
      </c>
    </row>
    <row r="2058" spans="2:11">
      <c r="B2058" s="97" t="str">
        <f ca="1">IF(A2058="","Date",IF(A2058&lt;&gt;"",IF(B2058="Date",NOW(),B2058),""))</f>
        <v>Date</v>
      </c>
      <c r="C2058" s="19" t="str">
        <f>IF(ISBLANK(A2058),"Name",IF(ISNA(VLOOKUP(A2058,'Master List'!A:C,2,FALSE)), "Not Found", VLOOKUP(A2058,'Master List'!A:C,2,FALSE)))</f>
        <v>Name</v>
      </c>
      <c r="D2058" s="19" t="str">
        <f>IF(ISBLANK(A2058), "Email",IF(ISNA(VLOOKUP(A2058,'Master List'!A:C,3,FALSE)), "Not Found", VLOOKUP(A2058,'Master List'!A:C,3,FALSE)))</f>
        <v>Email</v>
      </c>
      <c r="F2058" s="4" t="str">
        <f>IF(OR(A2058="",E2058="","",A2058="?",E2058="?"),"duplicate?",IF(COUNTIFS($A:A,A2058,E:E,E2058)&gt;1,"yes","no"))</f>
        <v>duplicate?</v>
      </c>
      <c r="K2058" s="97" t="str">
        <f ca="1">IF(J2058="","Date",IF(J2058&lt;&gt;"",IF(K2058="Date",NOW(),K2058),""))</f>
        <v>Date</v>
      </c>
    </row>
    <row r="2059" spans="2:11">
      <c r="B2059" s="97" t="str">
        <f ca="1">IF(A2059="","Date",IF(A2059&lt;&gt;"",IF(B2059="Date",NOW(),B2059),""))</f>
        <v>Date</v>
      </c>
      <c r="C2059" s="19" t="str">
        <f>IF(ISBLANK(A2059),"Name",IF(ISNA(VLOOKUP(A2059,'Master List'!A:C,2,FALSE)), "Not Found", VLOOKUP(A2059,'Master List'!A:C,2,FALSE)))</f>
        <v>Name</v>
      </c>
      <c r="D2059" s="19" t="str">
        <f>IF(ISBLANK(A2059), "Email",IF(ISNA(VLOOKUP(A2059,'Master List'!A:C,3,FALSE)), "Not Found", VLOOKUP(A2059,'Master List'!A:C,3,FALSE)))</f>
        <v>Email</v>
      </c>
      <c r="F2059" s="4" t="str">
        <f>IF(OR(A2059="",E2059="","",A2059="?",E2059="?"),"duplicate?",IF(COUNTIFS($A:A,A2059,E:E,E2059)&gt;1,"yes","no"))</f>
        <v>duplicate?</v>
      </c>
      <c r="K2059" s="97" t="str">
        <f ca="1">IF(J2059="","Date",IF(J2059&lt;&gt;"",IF(K2059="Date",NOW(),K2059),""))</f>
        <v>Date</v>
      </c>
    </row>
    <row r="2060" spans="2:11">
      <c r="B2060" s="97" t="str">
        <f ca="1">IF(A2060="","Date",IF(A2060&lt;&gt;"",IF(B2060="Date",NOW(),B2060),""))</f>
        <v>Date</v>
      </c>
      <c r="C2060" s="19" t="str">
        <f>IF(ISBLANK(A2060),"Name",IF(ISNA(VLOOKUP(A2060,'Master List'!A:C,2,FALSE)), "Not Found", VLOOKUP(A2060,'Master List'!A:C,2,FALSE)))</f>
        <v>Name</v>
      </c>
      <c r="D2060" s="19" t="str">
        <f>IF(ISBLANK(A2060), "Email",IF(ISNA(VLOOKUP(A2060,'Master List'!A:C,3,FALSE)), "Not Found", VLOOKUP(A2060,'Master List'!A:C,3,FALSE)))</f>
        <v>Email</v>
      </c>
      <c r="F2060" s="4" t="str">
        <f>IF(OR(A2060="",E2060="","",A2060="?",E2060="?"),"duplicate?",IF(COUNTIFS($A:A,A2060,E:E,E2060)&gt;1,"yes","no"))</f>
        <v>duplicate?</v>
      </c>
      <c r="K2060" s="97" t="str">
        <f ca="1">IF(J2060="","Date",IF(J2060&lt;&gt;"",IF(K2060="Date",NOW(),K2060),""))</f>
        <v>Date</v>
      </c>
    </row>
    <row r="2061" spans="2:11">
      <c r="B2061" s="97" t="str">
        <f ca="1">IF(A2061="","Date",IF(A2061&lt;&gt;"",IF(B2061="Date",NOW(),B2061),""))</f>
        <v>Date</v>
      </c>
      <c r="C2061" s="19" t="str">
        <f>IF(ISBLANK(A2061),"Name",IF(ISNA(VLOOKUP(A2061,'Master List'!A:C,2,FALSE)), "Not Found", VLOOKUP(A2061,'Master List'!A:C,2,FALSE)))</f>
        <v>Name</v>
      </c>
      <c r="D2061" s="19" t="str">
        <f>IF(ISBLANK(A2061), "Email",IF(ISNA(VLOOKUP(A2061,'Master List'!A:C,3,FALSE)), "Not Found", VLOOKUP(A2061,'Master List'!A:C,3,FALSE)))</f>
        <v>Email</v>
      </c>
      <c r="F2061" s="4" t="str">
        <f>IF(OR(A2061="",E2061="","",A2061="?",E2061="?"),"duplicate?",IF(COUNTIFS($A:A,A2061,E:E,E2061)&gt;1,"yes","no"))</f>
        <v>duplicate?</v>
      </c>
      <c r="K2061" s="97" t="str">
        <f ca="1">IF(J2061="","Date",IF(J2061&lt;&gt;"",IF(K2061="Date",NOW(),K2061),""))</f>
        <v>Date</v>
      </c>
    </row>
    <row r="2062" spans="2:11">
      <c r="B2062" s="97" t="str">
        <f ca="1">IF(A2062="","Date",IF(A2062&lt;&gt;"",IF(B2062="Date",NOW(),B2062),""))</f>
        <v>Date</v>
      </c>
      <c r="C2062" s="19" t="str">
        <f>IF(ISBLANK(A2062),"Name",IF(ISNA(VLOOKUP(A2062,'Master List'!A:C,2,FALSE)), "Not Found", VLOOKUP(A2062,'Master List'!A:C,2,FALSE)))</f>
        <v>Name</v>
      </c>
      <c r="D2062" s="19" t="str">
        <f>IF(ISBLANK(A2062), "Email",IF(ISNA(VLOOKUP(A2062,'Master List'!A:C,3,FALSE)), "Not Found", VLOOKUP(A2062,'Master List'!A:C,3,FALSE)))</f>
        <v>Email</v>
      </c>
      <c r="F2062" s="4" t="str">
        <f>IF(OR(A2062="",E2062="","",A2062="?",E2062="?"),"duplicate?",IF(COUNTIFS($A:A,A2062,E:E,E2062)&gt;1,"yes","no"))</f>
        <v>duplicate?</v>
      </c>
      <c r="K2062" s="97" t="str">
        <f ca="1">IF(J2062="","Date",IF(J2062&lt;&gt;"",IF(K2062="Date",NOW(),K2062),""))</f>
        <v>Date</v>
      </c>
    </row>
    <row r="2063" spans="2:11">
      <c r="B2063" s="97" t="str">
        <f ca="1">IF(A2063="","Date",IF(A2063&lt;&gt;"",IF(B2063="Date",NOW(),B2063),""))</f>
        <v>Date</v>
      </c>
      <c r="C2063" s="19" t="str">
        <f>IF(ISBLANK(A2063),"Name",IF(ISNA(VLOOKUP(A2063,'Master List'!A:C,2,FALSE)), "Not Found", VLOOKUP(A2063,'Master List'!A:C,2,FALSE)))</f>
        <v>Name</v>
      </c>
      <c r="D2063" s="19" t="str">
        <f>IF(ISBLANK(A2063), "Email",IF(ISNA(VLOOKUP(A2063,'Master List'!A:C,3,FALSE)), "Not Found", VLOOKUP(A2063,'Master List'!A:C,3,FALSE)))</f>
        <v>Email</v>
      </c>
      <c r="F2063" s="4" t="str">
        <f>IF(OR(A2063="",E2063="","",A2063="?",E2063="?"),"duplicate?",IF(COUNTIFS($A:A,A2063,E:E,E2063)&gt;1,"yes","no"))</f>
        <v>duplicate?</v>
      </c>
      <c r="K2063" s="97" t="str">
        <f ca="1">IF(J2063="","Date",IF(J2063&lt;&gt;"",IF(K2063="Date",NOW(),K2063),""))</f>
        <v>Date</v>
      </c>
    </row>
    <row r="2064" spans="2:11">
      <c r="B2064" s="97" t="str">
        <f ca="1">IF(A2064="","Date",IF(A2064&lt;&gt;"",IF(B2064="Date",NOW(),B2064),""))</f>
        <v>Date</v>
      </c>
      <c r="C2064" s="19" t="str">
        <f>IF(ISBLANK(A2064),"Name",IF(ISNA(VLOOKUP(A2064,'Master List'!A:C,2,FALSE)), "Not Found", VLOOKUP(A2064,'Master List'!A:C,2,FALSE)))</f>
        <v>Name</v>
      </c>
      <c r="D2064" s="19" t="str">
        <f>IF(ISBLANK(A2064), "Email",IF(ISNA(VLOOKUP(A2064,'Master List'!A:C,3,FALSE)), "Not Found", VLOOKUP(A2064,'Master List'!A:C,3,FALSE)))</f>
        <v>Email</v>
      </c>
      <c r="F2064" s="4" t="str">
        <f>IF(OR(A2064="",E2064="","",A2064="?",E2064="?"),"duplicate?",IF(COUNTIFS($A:A,A2064,E:E,E2064)&gt;1,"yes","no"))</f>
        <v>duplicate?</v>
      </c>
      <c r="K2064" s="97" t="str">
        <f ca="1">IF(J2064="","Date",IF(J2064&lt;&gt;"",IF(K2064="Date",NOW(),K2064),""))</f>
        <v>Date</v>
      </c>
    </row>
    <row r="2065" spans="2:11">
      <c r="B2065" s="97" t="str">
        <f ca="1">IF(A2065="","Date",IF(A2065&lt;&gt;"",IF(B2065="Date",NOW(),B2065),""))</f>
        <v>Date</v>
      </c>
      <c r="C2065" s="19" t="str">
        <f>IF(ISBLANK(A2065),"Name",IF(ISNA(VLOOKUP(A2065,'Master List'!A:C,2,FALSE)), "Not Found", VLOOKUP(A2065,'Master List'!A:C,2,FALSE)))</f>
        <v>Name</v>
      </c>
      <c r="D2065" s="19" t="str">
        <f>IF(ISBLANK(A2065), "Email",IF(ISNA(VLOOKUP(A2065,'Master List'!A:C,3,FALSE)), "Not Found", VLOOKUP(A2065,'Master List'!A:C,3,FALSE)))</f>
        <v>Email</v>
      </c>
      <c r="F2065" s="4" t="str">
        <f>IF(OR(A2065="",E2065="","",A2065="?",E2065="?"),"duplicate?",IF(COUNTIFS($A:A,A2065,E:E,E2065)&gt;1,"yes","no"))</f>
        <v>duplicate?</v>
      </c>
      <c r="K2065" s="97" t="str">
        <f ca="1">IF(J2065="","Date",IF(J2065&lt;&gt;"",IF(K2065="Date",NOW(),K2065),""))</f>
        <v>Date</v>
      </c>
    </row>
    <row r="2066" spans="2:11">
      <c r="B2066" s="97" t="str">
        <f ca="1">IF(A2066="","Date",IF(A2066&lt;&gt;"",IF(B2066="Date",NOW(),B2066),""))</f>
        <v>Date</v>
      </c>
      <c r="C2066" s="19" t="str">
        <f>IF(ISBLANK(A2066),"Name",IF(ISNA(VLOOKUP(A2066,'Master List'!A:C,2,FALSE)), "Not Found", VLOOKUP(A2066,'Master List'!A:C,2,FALSE)))</f>
        <v>Name</v>
      </c>
      <c r="D2066" s="19" t="str">
        <f>IF(ISBLANK(A2066), "Email",IF(ISNA(VLOOKUP(A2066,'Master List'!A:C,3,FALSE)), "Not Found", VLOOKUP(A2066,'Master List'!A:C,3,FALSE)))</f>
        <v>Email</v>
      </c>
      <c r="F2066" s="4" t="str">
        <f>IF(OR(A2066="",E2066="","",A2066="?",E2066="?"),"duplicate?",IF(COUNTIFS($A:A,A2066,E:E,E2066)&gt;1,"yes","no"))</f>
        <v>duplicate?</v>
      </c>
      <c r="K2066" s="97" t="str">
        <f ca="1">IF(J2066="","Date",IF(J2066&lt;&gt;"",IF(K2066="Date",NOW(),K2066),""))</f>
        <v>Date</v>
      </c>
    </row>
    <row r="2067" spans="2:11">
      <c r="B2067" s="97" t="str">
        <f ca="1">IF(A2067="","Date",IF(A2067&lt;&gt;"",IF(B2067="Date",NOW(),B2067),""))</f>
        <v>Date</v>
      </c>
      <c r="C2067" s="19" t="str">
        <f>IF(ISBLANK(A2067),"Name",IF(ISNA(VLOOKUP(A2067,'Master List'!A:C,2,FALSE)), "Not Found", VLOOKUP(A2067,'Master List'!A:C,2,FALSE)))</f>
        <v>Name</v>
      </c>
      <c r="D2067" s="19" t="str">
        <f>IF(ISBLANK(A2067), "Email",IF(ISNA(VLOOKUP(A2067,'Master List'!A:C,3,FALSE)), "Not Found", VLOOKUP(A2067,'Master List'!A:C,3,FALSE)))</f>
        <v>Email</v>
      </c>
      <c r="F2067" s="4" t="str">
        <f>IF(OR(A2067="",E2067="","",A2067="?",E2067="?"),"duplicate?",IF(COUNTIFS($A:A,A2067,E:E,E2067)&gt;1,"yes","no"))</f>
        <v>duplicate?</v>
      </c>
      <c r="K2067" s="97" t="str">
        <f ca="1">IF(J2067="","Date",IF(J2067&lt;&gt;"",IF(K2067="Date",NOW(),K2067),""))</f>
        <v>Date</v>
      </c>
    </row>
    <row r="2068" spans="2:11">
      <c r="B2068" s="97" t="str">
        <f ca="1">IF(A2068="","Date",IF(A2068&lt;&gt;"",IF(B2068="Date",NOW(),B2068),""))</f>
        <v>Date</v>
      </c>
      <c r="C2068" s="19" t="str">
        <f>IF(ISBLANK(A2068),"Name",IF(ISNA(VLOOKUP(A2068,'Master List'!A:C,2,FALSE)), "Not Found", VLOOKUP(A2068,'Master List'!A:C,2,FALSE)))</f>
        <v>Name</v>
      </c>
      <c r="D2068" s="19" t="str">
        <f>IF(ISBLANK(A2068), "Email",IF(ISNA(VLOOKUP(A2068,'Master List'!A:C,3,FALSE)), "Not Found", VLOOKUP(A2068,'Master List'!A:C,3,FALSE)))</f>
        <v>Email</v>
      </c>
      <c r="F2068" s="4" t="str">
        <f>IF(OR(A2068="",E2068="","",A2068="?",E2068="?"),"duplicate?",IF(COUNTIFS($A:A,A2068,E:E,E2068)&gt;1,"yes","no"))</f>
        <v>duplicate?</v>
      </c>
      <c r="K2068" s="97" t="str">
        <f ca="1">IF(J2068="","Date",IF(J2068&lt;&gt;"",IF(K2068="Date",NOW(),K2068),""))</f>
        <v>Date</v>
      </c>
    </row>
    <row r="2069" spans="2:11">
      <c r="B2069" s="97" t="str">
        <f ca="1">IF(A2069="","Date",IF(A2069&lt;&gt;"",IF(B2069="Date",NOW(),B2069),""))</f>
        <v>Date</v>
      </c>
      <c r="C2069" s="19" t="str">
        <f>IF(ISBLANK(A2069),"Name",IF(ISNA(VLOOKUP(A2069,'Master List'!A:C,2,FALSE)), "Not Found", VLOOKUP(A2069,'Master List'!A:C,2,FALSE)))</f>
        <v>Name</v>
      </c>
      <c r="D2069" s="19" t="str">
        <f>IF(ISBLANK(A2069), "Email",IF(ISNA(VLOOKUP(A2069,'Master List'!A:C,3,FALSE)), "Not Found", VLOOKUP(A2069,'Master List'!A:C,3,FALSE)))</f>
        <v>Email</v>
      </c>
      <c r="F2069" s="4" t="str">
        <f>IF(OR(A2069="",E2069="","",A2069="?",E2069="?"),"duplicate?",IF(COUNTIFS($A:A,A2069,E:E,E2069)&gt;1,"yes","no"))</f>
        <v>duplicate?</v>
      </c>
      <c r="K2069" s="97" t="str">
        <f ca="1">IF(J2069="","Date",IF(J2069&lt;&gt;"",IF(K2069="Date",NOW(),K2069),""))</f>
        <v>Date</v>
      </c>
    </row>
    <row r="2070" spans="2:11">
      <c r="B2070" s="97" t="str">
        <f ca="1">IF(A2070="","Date",IF(A2070&lt;&gt;"",IF(B2070="Date",NOW(),B2070),""))</f>
        <v>Date</v>
      </c>
      <c r="C2070" s="19" t="str">
        <f>IF(ISBLANK(A2070),"Name",IF(ISNA(VLOOKUP(A2070,'Master List'!A:C,2,FALSE)), "Not Found", VLOOKUP(A2070,'Master List'!A:C,2,FALSE)))</f>
        <v>Name</v>
      </c>
      <c r="D2070" s="19" t="str">
        <f>IF(ISBLANK(A2070), "Email",IF(ISNA(VLOOKUP(A2070,'Master List'!A:C,3,FALSE)), "Not Found", VLOOKUP(A2070,'Master List'!A:C,3,FALSE)))</f>
        <v>Email</v>
      </c>
      <c r="F2070" s="4" t="str">
        <f>IF(OR(A2070="",E2070="","",A2070="?",E2070="?"),"duplicate?",IF(COUNTIFS($A:A,A2070,E:E,E2070)&gt;1,"yes","no"))</f>
        <v>duplicate?</v>
      </c>
      <c r="K2070" s="97" t="str">
        <f ca="1">IF(J2070="","Date",IF(J2070&lt;&gt;"",IF(K2070="Date",NOW(),K2070),""))</f>
        <v>Date</v>
      </c>
    </row>
    <row r="2071" spans="2:11">
      <c r="B2071" s="97" t="str">
        <f ca="1">IF(A2071="","Date",IF(A2071&lt;&gt;"",IF(B2071="Date",NOW(),B2071),""))</f>
        <v>Date</v>
      </c>
      <c r="C2071" s="19" t="str">
        <f>IF(ISBLANK(A2071),"Name",IF(ISNA(VLOOKUP(A2071,'Master List'!A:C,2,FALSE)), "Not Found", VLOOKUP(A2071,'Master List'!A:C,2,FALSE)))</f>
        <v>Name</v>
      </c>
      <c r="D2071" s="19" t="str">
        <f>IF(ISBLANK(A2071), "Email",IF(ISNA(VLOOKUP(A2071,'Master List'!A:C,3,FALSE)), "Not Found", VLOOKUP(A2071,'Master List'!A:C,3,FALSE)))</f>
        <v>Email</v>
      </c>
      <c r="F2071" s="4" t="str">
        <f>IF(OR(A2071="",E2071="","",A2071="?",E2071="?"),"duplicate?",IF(COUNTIFS($A:A,A2071,E:E,E2071)&gt;1,"yes","no"))</f>
        <v>duplicate?</v>
      </c>
      <c r="K2071" s="97" t="str">
        <f ca="1">IF(J2071="","Date",IF(J2071&lt;&gt;"",IF(K2071="Date",NOW(),K2071),""))</f>
        <v>Date</v>
      </c>
    </row>
    <row r="2072" spans="2:11">
      <c r="B2072" s="97" t="str">
        <f ca="1">IF(A2072="","Date",IF(A2072&lt;&gt;"",IF(B2072="Date",NOW(),B2072),""))</f>
        <v>Date</v>
      </c>
      <c r="C2072" s="19" t="str">
        <f>IF(ISBLANK(A2072),"Name",IF(ISNA(VLOOKUP(A2072,'Master List'!A:C,2,FALSE)), "Not Found", VLOOKUP(A2072,'Master List'!A:C,2,FALSE)))</f>
        <v>Name</v>
      </c>
      <c r="D2072" s="19" t="str">
        <f>IF(ISBLANK(A2072), "Email",IF(ISNA(VLOOKUP(A2072,'Master List'!A:C,3,FALSE)), "Not Found", VLOOKUP(A2072,'Master List'!A:C,3,FALSE)))</f>
        <v>Email</v>
      </c>
      <c r="F2072" s="4" t="str">
        <f>IF(OR(A2072="",E2072="","",A2072="?",E2072="?"),"duplicate?",IF(COUNTIFS($A:A,A2072,E:E,E2072)&gt;1,"yes","no"))</f>
        <v>duplicate?</v>
      </c>
      <c r="K2072" s="97" t="str">
        <f ca="1">IF(J2072="","Date",IF(J2072&lt;&gt;"",IF(K2072="Date",NOW(),K2072),""))</f>
        <v>Date</v>
      </c>
    </row>
    <row r="2073" spans="2:11">
      <c r="B2073" s="97" t="str">
        <f ca="1">IF(A2073="","Date",IF(A2073&lt;&gt;"",IF(B2073="Date",NOW(),B2073),""))</f>
        <v>Date</v>
      </c>
      <c r="C2073" s="19" t="str">
        <f>IF(ISBLANK(A2073),"Name",IF(ISNA(VLOOKUP(A2073,'Master List'!A:C,2,FALSE)), "Not Found", VLOOKUP(A2073,'Master List'!A:C,2,FALSE)))</f>
        <v>Name</v>
      </c>
      <c r="D2073" s="19" t="str">
        <f>IF(ISBLANK(A2073), "Email",IF(ISNA(VLOOKUP(A2073,'Master List'!A:C,3,FALSE)), "Not Found", VLOOKUP(A2073,'Master List'!A:C,3,FALSE)))</f>
        <v>Email</v>
      </c>
      <c r="F2073" s="4" t="str">
        <f>IF(OR(A2073="",E2073="","",A2073="?",E2073="?"),"duplicate?",IF(COUNTIFS($A:A,A2073,E:E,E2073)&gt;1,"yes","no"))</f>
        <v>duplicate?</v>
      </c>
      <c r="K2073" s="97" t="str">
        <f ca="1">IF(J2073="","Date",IF(J2073&lt;&gt;"",IF(K2073="Date",NOW(),K2073),""))</f>
        <v>Date</v>
      </c>
    </row>
    <row r="2074" spans="2:11">
      <c r="B2074" s="97" t="str">
        <f ca="1">IF(A2074="","Date",IF(A2074&lt;&gt;"",IF(B2074="Date",NOW(),B2074),""))</f>
        <v>Date</v>
      </c>
      <c r="C2074" s="19" t="str">
        <f>IF(ISBLANK(A2074),"Name",IF(ISNA(VLOOKUP(A2074,'Master List'!A:C,2,FALSE)), "Not Found", VLOOKUP(A2074,'Master List'!A:C,2,FALSE)))</f>
        <v>Name</v>
      </c>
      <c r="D2074" s="19" t="str">
        <f>IF(ISBLANK(A2074), "Email",IF(ISNA(VLOOKUP(A2074,'Master List'!A:C,3,FALSE)), "Not Found", VLOOKUP(A2074,'Master List'!A:C,3,FALSE)))</f>
        <v>Email</v>
      </c>
      <c r="F2074" s="4" t="str">
        <f>IF(OR(A2074="",E2074="","",A2074="?",E2074="?"),"duplicate?",IF(COUNTIFS($A:A,A2074,E:E,E2074)&gt;1,"yes","no"))</f>
        <v>duplicate?</v>
      </c>
      <c r="K2074" s="97" t="str">
        <f ca="1">IF(J2074="","Date",IF(J2074&lt;&gt;"",IF(K2074="Date",NOW(),K2074),""))</f>
        <v>Date</v>
      </c>
    </row>
    <row r="2075" spans="2:11">
      <c r="B2075" s="97" t="str">
        <f ca="1">IF(A2075="","Date",IF(A2075&lt;&gt;"",IF(B2075="Date",NOW(),B2075),""))</f>
        <v>Date</v>
      </c>
      <c r="C2075" s="19" t="str">
        <f>IF(ISBLANK(A2075),"Name",IF(ISNA(VLOOKUP(A2075,'Master List'!A:C,2,FALSE)), "Not Found", VLOOKUP(A2075,'Master List'!A:C,2,FALSE)))</f>
        <v>Name</v>
      </c>
      <c r="D2075" s="19" t="str">
        <f>IF(ISBLANK(A2075), "Email",IF(ISNA(VLOOKUP(A2075,'Master List'!A:C,3,FALSE)), "Not Found", VLOOKUP(A2075,'Master List'!A:C,3,FALSE)))</f>
        <v>Email</v>
      </c>
      <c r="F2075" s="4" t="str">
        <f>IF(OR(A2075="",E2075="","",A2075="?",E2075="?"),"duplicate?",IF(COUNTIFS($A:A,A2075,E:E,E2075)&gt;1,"yes","no"))</f>
        <v>duplicate?</v>
      </c>
      <c r="K2075" s="97" t="str">
        <f ca="1">IF(J2075="","Date",IF(J2075&lt;&gt;"",IF(K2075="Date",NOW(),K2075),""))</f>
        <v>Date</v>
      </c>
    </row>
    <row r="2076" spans="2:11">
      <c r="B2076" s="97" t="str">
        <f ca="1">IF(A2076="","Date",IF(A2076&lt;&gt;"",IF(B2076="Date",NOW(),B2076),""))</f>
        <v>Date</v>
      </c>
      <c r="C2076" s="19" t="str">
        <f>IF(ISBLANK(A2076),"Name",IF(ISNA(VLOOKUP(A2076,'Master List'!A:C,2,FALSE)), "Not Found", VLOOKUP(A2076,'Master List'!A:C,2,FALSE)))</f>
        <v>Name</v>
      </c>
      <c r="D2076" s="19" t="str">
        <f>IF(ISBLANK(A2076), "Email",IF(ISNA(VLOOKUP(A2076,'Master List'!A:C,3,FALSE)), "Not Found", VLOOKUP(A2076,'Master List'!A:C,3,FALSE)))</f>
        <v>Email</v>
      </c>
      <c r="F2076" s="4" t="str">
        <f>IF(OR(A2076="",E2076="","",A2076="?",E2076="?"),"duplicate?",IF(COUNTIFS($A:A,A2076,E:E,E2076)&gt;1,"yes","no"))</f>
        <v>duplicate?</v>
      </c>
      <c r="K2076" s="97" t="str">
        <f ca="1">IF(J2076="","Date",IF(J2076&lt;&gt;"",IF(K2076="Date",NOW(),K2076),""))</f>
        <v>Date</v>
      </c>
    </row>
    <row r="2077" spans="2:11">
      <c r="B2077" s="97" t="str">
        <f ca="1">IF(A2077="","Date",IF(A2077&lt;&gt;"",IF(B2077="Date",NOW(),B2077),""))</f>
        <v>Date</v>
      </c>
      <c r="C2077" s="19" t="str">
        <f>IF(ISBLANK(A2077),"Name",IF(ISNA(VLOOKUP(A2077,'Master List'!A:C,2,FALSE)), "Not Found", VLOOKUP(A2077,'Master List'!A:C,2,FALSE)))</f>
        <v>Name</v>
      </c>
      <c r="D2077" s="19" t="str">
        <f>IF(ISBLANK(A2077), "Email",IF(ISNA(VLOOKUP(A2077,'Master List'!A:C,3,FALSE)), "Not Found", VLOOKUP(A2077,'Master List'!A:C,3,FALSE)))</f>
        <v>Email</v>
      </c>
      <c r="F2077" s="4" t="str">
        <f>IF(OR(A2077="",E2077="","",A2077="?",E2077="?"),"duplicate?",IF(COUNTIFS($A:A,A2077,E:E,E2077)&gt;1,"yes","no"))</f>
        <v>duplicate?</v>
      </c>
      <c r="K2077" s="97" t="str">
        <f ca="1">IF(J2077="","Date",IF(J2077&lt;&gt;"",IF(K2077="Date",NOW(),K2077),""))</f>
        <v>Date</v>
      </c>
    </row>
    <row r="2078" spans="2:11">
      <c r="B2078" s="97" t="str">
        <f ca="1">IF(A2078="","Date",IF(A2078&lt;&gt;"",IF(B2078="Date",NOW(),B2078),""))</f>
        <v>Date</v>
      </c>
      <c r="C2078" s="19" t="str">
        <f>IF(ISBLANK(A2078),"Name",IF(ISNA(VLOOKUP(A2078,'Master List'!A:C,2,FALSE)), "Not Found", VLOOKUP(A2078,'Master List'!A:C,2,FALSE)))</f>
        <v>Name</v>
      </c>
      <c r="D2078" s="19" t="str">
        <f>IF(ISBLANK(A2078), "Email",IF(ISNA(VLOOKUP(A2078,'Master List'!A:C,3,FALSE)), "Not Found", VLOOKUP(A2078,'Master List'!A:C,3,FALSE)))</f>
        <v>Email</v>
      </c>
      <c r="F2078" s="4" t="str">
        <f>IF(OR(A2078="",E2078="","",A2078="?",E2078="?"),"duplicate?",IF(COUNTIFS($A:A,A2078,E:E,E2078)&gt;1,"yes","no"))</f>
        <v>duplicate?</v>
      </c>
      <c r="K2078" s="97" t="str">
        <f ca="1">IF(J2078="","Date",IF(J2078&lt;&gt;"",IF(K2078="Date",NOW(),K2078),""))</f>
        <v>Date</v>
      </c>
    </row>
    <row r="2079" spans="2:11">
      <c r="B2079" s="97" t="str">
        <f ca="1">IF(A2079="","Date",IF(A2079&lt;&gt;"",IF(B2079="Date",NOW(),B2079),""))</f>
        <v>Date</v>
      </c>
      <c r="C2079" s="19" t="str">
        <f>IF(ISBLANK(A2079),"Name",IF(ISNA(VLOOKUP(A2079,'Master List'!A:C,2,FALSE)), "Not Found", VLOOKUP(A2079,'Master List'!A:C,2,FALSE)))</f>
        <v>Name</v>
      </c>
      <c r="D2079" s="19" t="str">
        <f>IF(ISBLANK(A2079), "Email",IF(ISNA(VLOOKUP(A2079,'Master List'!A:C,3,FALSE)), "Not Found", VLOOKUP(A2079,'Master List'!A:C,3,FALSE)))</f>
        <v>Email</v>
      </c>
      <c r="F2079" s="4" t="str">
        <f>IF(OR(A2079="",E2079="","",A2079="?",E2079="?"),"duplicate?",IF(COUNTIFS($A:A,A2079,E:E,E2079)&gt;1,"yes","no"))</f>
        <v>duplicate?</v>
      </c>
      <c r="K2079" s="97" t="str">
        <f ca="1">IF(J2079="","Date",IF(J2079&lt;&gt;"",IF(K2079="Date",NOW(),K2079),""))</f>
        <v>Date</v>
      </c>
    </row>
    <row r="2080" spans="2:11">
      <c r="B2080" s="97" t="str">
        <f ca="1">IF(A2080="","Date",IF(A2080&lt;&gt;"",IF(B2080="Date",NOW(),B2080),""))</f>
        <v>Date</v>
      </c>
      <c r="C2080" s="19" t="str">
        <f>IF(ISBLANK(A2080),"Name",IF(ISNA(VLOOKUP(A2080,'Master List'!A:C,2,FALSE)), "Not Found", VLOOKUP(A2080,'Master List'!A:C,2,FALSE)))</f>
        <v>Name</v>
      </c>
      <c r="D2080" s="19" t="str">
        <f>IF(ISBLANK(A2080), "Email",IF(ISNA(VLOOKUP(A2080,'Master List'!A:C,3,FALSE)), "Not Found", VLOOKUP(A2080,'Master List'!A:C,3,FALSE)))</f>
        <v>Email</v>
      </c>
      <c r="F2080" s="4" t="str">
        <f>IF(OR(A2080="",E2080="","",A2080="?",E2080="?"),"duplicate?",IF(COUNTIFS($A:A,A2080,E:E,E2080)&gt;1,"yes","no"))</f>
        <v>duplicate?</v>
      </c>
      <c r="K2080" s="97" t="str">
        <f ca="1">IF(J2080="","Date",IF(J2080&lt;&gt;"",IF(K2080="Date",NOW(),K2080),""))</f>
        <v>Date</v>
      </c>
    </row>
    <row r="2081" spans="2:11">
      <c r="B2081" s="97" t="str">
        <f ca="1">IF(A2081="","Date",IF(A2081&lt;&gt;"",IF(B2081="Date",NOW(),B2081),""))</f>
        <v>Date</v>
      </c>
      <c r="C2081" s="19" t="str">
        <f>IF(ISBLANK(A2081),"Name",IF(ISNA(VLOOKUP(A2081,'Master List'!A:C,2,FALSE)), "Not Found", VLOOKUP(A2081,'Master List'!A:C,2,FALSE)))</f>
        <v>Name</v>
      </c>
      <c r="D2081" s="19" t="str">
        <f>IF(ISBLANK(A2081), "Email",IF(ISNA(VLOOKUP(A2081,'Master List'!A:C,3,FALSE)), "Not Found", VLOOKUP(A2081,'Master List'!A:C,3,FALSE)))</f>
        <v>Email</v>
      </c>
      <c r="F2081" s="4" t="str">
        <f>IF(OR(A2081="",E2081="","",A2081="?",E2081="?"),"duplicate?",IF(COUNTIFS($A:A,A2081,E:E,E2081)&gt;1,"yes","no"))</f>
        <v>duplicate?</v>
      </c>
      <c r="K2081" s="97" t="str">
        <f ca="1">IF(J2081="","Date",IF(J2081&lt;&gt;"",IF(K2081="Date",NOW(),K2081),""))</f>
        <v>Date</v>
      </c>
    </row>
    <row r="2082" spans="2:11">
      <c r="B2082" s="97" t="str">
        <f ca="1">IF(A2082="","Date",IF(A2082&lt;&gt;"",IF(B2082="Date",NOW(),B2082),""))</f>
        <v>Date</v>
      </c>
      <c r="C2082" s="19" t="str">
        <f>IF(ISBLANK(A2082),"Name",IF(ISNA(VLOOKUP(A2082,'Master List'!A:C,2,FALSE)), "Not Found", VLOOKUP(A2082,'Master List'!A:C,2,FALSE)))</f>
        <v>Name</v>
      </c>
      <c r="D2082" s="19" t="str">
        <f>IF(ISBLANK(A2082), "Email",IF(ISNA(VLOOKUP(A2082,'Master List'!A:C,3,FALSE)), "Not Found", VLOOKUP(A2082,'Master List'!A:C,3,FALSE)))</f>
        <v>Email</v>
      </c>
      <c r="F2082" s="4" t="str">
        <f>IF(OR(A2082="",E2082="","",A2082="?",E2082="?"),"duplicate?",IF(COUNTIFS($A:A,A2082,E:E,E2082)&gt;1,"yes","no"))</f>
        <v>duplicate?</v>
      </c>
      <c r="K2082" s="97" t="str">
        <f ca="1">IF(J2082="","Date",IF(J2082&lt;&gt;"",IF(K2082="Date",NOW(),K2082),""))</f>
        <v>Date</v>
      </c>
    </row>
    <row r="2083" spans="2:11">
      <c r="B2083" s="97" t="str">
        <f ca="1">IF(A2083="","Date",IF(A2083&lt;&gt;"",IF(B2083="Date",NOW(),B2083),""))</f>
        <v>Date</v>
      </c>
      <c r="C2083" s="19" t="str">
        <f>IF(ISBLANK(A2083),"Name",IF(ISNA(VLOOKUP(A2083,'Master List'!A:C,2,FALSE)), "Not Found", VLOOKUP(A2083,'Master List'!A:C,2,FALSE)))</f>
        <v>Name</v>
      </c>
      <c r="D2083" s="19" t="str">
        <f>IF(ISBLANK(A2083), "Email",IF(ISNA(VLOOKUP(A2083,'Master List'!A:C,3,FALSE)), "Not Found", VLOOKUP(A2083,'Master List'!A:C,3,FALSE)))</f>
        <v>Email</v>
      </c>
      <c r="F2083" s="4" t="str">
        <f>IF(OR(A2083="",E2083="","",A2083="?",E2083="?"),"duplicate?",IF(COUNTIFS($A:A,A2083,E:E,E2083)&gt;1,"yes","no"))</f>
        <v>duplicate?</v>
      </c>
      <c r="K2083" s="97" t="str">
        <f ca="1">IF(J2083="","Date",IF(J2083&lt;&gt;"",IF(K2083="Date",NOW(),K2083),""))</f>
        <v>Date</v>
      </c>
    </row>
    <row r="2084" spans="2:11">
      <c r="B2084" s="97" t="str">
        <f ca="1">IF(A2084="","Date",IF(A2084&lt;&gt;"",IF(B2084="Date",NOW(),B2084),""))</f>
        <v>Date</v>
      </c>
      <c r="C2084" s="19" t="str">
        <f>IF(ISBLANK(A2084),"Name",IF(ISNA(VLOOKUP(A2084,'Master List'!A:C,2,FALSE)), "Not Found", VLOOKUP(A2084,'Master List'!A:C,2,FALSE)))</f>
        <v>Name</v>
      </c>
      <c r="D2084" s="19" t="str">
        <f>IF(ISBLANK(A2084), "Email",IF(ISNA(VLOOKUP(A2084,'Master List'!A:C,3,FALSE)), "Not Found", VLOOKUP(A2084,'Master List'!A:C,3,FALSE)))</f>
        <v>Email</v>
      </c>
      <c r="F2084" s="4" t="str">
        <f>IF(OR(A2084="",E2084="","",A2084="?",E2084="?"),"duplicate?",IF(COUNTIFS($A:A,A2084,E:E,E2084)&gt;1,"yes","no"))</f>
        <v>duplicate?</v>
      </c>
      <c r="K2084" s="97" t="str">
        <f ca="1">IF(J2084="","Date",IF(J2084&lt;&gt;"",IF(K2084="Date",NOW(),K2084),""))</f>
        <v>Date</v>
      </c>
    </row>
    <row r="2085" spans="2:11">
      <c r="B2085" s="97" t="str">
        <f ca="1">IF(A2085="","Date",IF(A2085&lt;&gt;"",IF(B2085="Date",NOW(),B2085),""))</f>
        <v>Date</v>
      </c>
      <c r="C2085" s="19" t="str">
        <f>IF(ISBLANK(A2085),"Name",IF(ISNA(VLOOKUP(A2085,'Master List'!A:C,2,FALSE)), "Not Found", VLOOKUP(A2085,'Master List'!A:C,2,FALSE)))</f>
        <v>Name</v>
      </c>
      <c r="D2085" s="19" t="str">
        <f>IF(ISBLANK(A2085), "Email",IF(ISNA(VLOOKUP(A2085,'Master List'!A:C,3,FALSE)), "Not Found", VLOOKUP(A2085,'Master List'!A:C,3,FALSE)))</f>
        <v>Email</v>
      </c>
      <c r="F2085" s="4" t="str">
        <f>IF(OR(A2085="",E2085="","",A2085="?",E2085="?"),"duplicate?",IF(COUNTIFS($A:A,A2085,E:E,E2085)&gt;1,"yes","no"))</f>
        <v>duplicate?</v>
      </c>
      <c r="K2085" s="97" t="str">
        <f ca="1">IF(J2085="","Date",IF(J2085&lt;&gt;"",IF(K2085="Date",NOW(),K2085),""))</f>
        <v>Date</v>
      </c>
    </row>
    <row r="2086" spans="2:11">
      <c r="B2086" s="97" t="str">
        <f ca="1">IF(A2086="","Date",IF(A2086&lt;&gt;"",IF(B2086="Date",NOW(),B2086),""))</f>
        <v>Date</v>
      </c>
      <c r="C2086" s="19" t="str">
        <f>IF(ISBLANK(A2086),"Name",IF(ISNA(VLOOKUP(A2086,'Master List'!A:C,2,FALSE)), "Not Found", VLOOKUP(A2086,'Master List'!A:C,2,FALSE)))</f>
        <v>Name</v>
      </c>
      <c r="D2086" s="19" t="str">
        <f>IF(ISBLANK(A2086), "Email",IF(ISNA(VLOOKUP(A2086,'Master List'!A:C,3,FALSE)), "Not Found", VLOOKUP(A2086,'Master List'!A:C,3,FALSE)))</f>
        <v>Email</v>
      </c>
      <c r="F2086" s="4" t="str">
        <f>IF(OR(A2086="",E2086="","",A2086="?",E2086="?"),"duplicate?",IF(COUNTIFS($A:A,A2086,E:E,E2086)&gt;1,"yes","no"))</f>
        <v>duplicate?</v>
      </c>
      <c r="K2086" s="97" t="str">
        <f ca="1">IF(J2086="","Date",IF(J2086&lt;&gt;"",IF(K2086="Date",NOW(),K2086),""))</f>
        <v>Date</v>
      </c>
    </row>
    <row r="2087" spans="2:11">
      <c r="B2087" s="97" t="str">
        <f ca="1">IF(A2087="","Date",IF(A2087&lt;&gt;"",IF(B2087="Date",NOW(),B2087),""))</f>
        <v>Date</v>
      </c>
      <c r="C2087" s="19" t="str">
        <f>IF(ISBLANK(A2087),"Name",IF(ISNA(VLOOKUP(A2087,'Master List'!A:C,2,FALSE)), "Not Found", VLOOKUP(A2087,'Master List'!A:C,2,FALSE)))</f>
        <v>Name</v>
      </c>
      <c r="D2087" s="19" t="str">
        <f>IF(ISBLANK(A2087), "Email",IF(ISNA(VLOOKUP(A2087,'Master List'!A:C,3,FALSE)), "Not Found", VLOOKUP(A2087,'Master List'!A:C,3,FALSE)))</f>
        <v>Email</v>
      </c>
      <c r="F2087" s="4" t="str">
        <f>IF(OR(A2087="",E2087="","",A2087="?",E2087="?"),"duplicate?",IF(COUNTIFS($A:A,A2087,E:E,E2087)&gt;1,"yes","no"))</f>
        <v>duplicate?</v>
      </c>
      <c r="K2087" s="97" t="str">
        <f ca="1">IF(J2087="","Date",IF(J2087&lt;&gt;"",IF(K2087="Date",NOW(),K2087),""))</f>
        <v>Date</v>
      </c>
    </row>
    <row r="2088" spans="2:11">
      <c r="B2088" s="97" t="str">
        <f ca="1">IF(A2088="","Date",IF(A2088&lt;&gt;"",IF(B2088="Date",NOW(),B2088),""))</f>
        <v>Date</v>
      </c>
      <c r="C2088" s="19" t="str">
        <f>IF(ISBLANK(A2088),"Name",IF(ISNA(VLOOKUP(A2088,'Master List'!A:C,2,FALSE)), "Not Found", VLOOKUP(A2088,'Master List'!A:C,2,FALSE)))</f>
        <v>Name</v>
      </c>
      <c r="D2088" s="19" t="str">
        <f>IF(ISBLANK(A2088), "Email",IF(ISNA(VLOOKUP(A2088,'Master List'!A:C,3,FALSE)), "Not Found", VLOOKUP(A2088,'Master List'!A:C,3,FALSE)))</f>
        <v>Email</v>
      </c>
      <c r="F2088" s="4" t="str">
        <f>IF(OR(A2088="",E2088="","",A2088="?",E2088="?"),"duplicate?",IF(COUNTIFS($A:A,A2088,E:E,E2088)&gt;1,"yes","no"))</f>
        <v>duplicate?</v>
      </c>
      <c r="K2088" s="97" t="str">
        <f ca="1">IF(J2088="","Date",IF(J2088&lt;&gt;"",IF(K2088="Date",NOW(),K2088),""))</f>
        <v>Date</v>
      </c>
    </row>
    <row r="2089" spans="2:11">
      <c r="B2089" s="97" t="str">
        <f ca="1">IF(A2089="","Date",IF(A2089&lt;&gt;"",IF(B2089="Date",NOW(),B2089),""))</f>
        <v>Date</v>
      </c>
      <c r="C2089" s="19" t="str">
        <f>IF(ISBLANK(A2089),"Name",IF(ISNA(VLOOKUP(A2089,'Master List'!A:C,2,FALSE)), "Not Found", VLOOKUP(A2089,'Master List'!A:C,2,FALSE)))</f>
        <v>Name</v>
      </c>
      <c r="D2089" s="19" t="str">
        <f>IF(ISBLANK(A2089), "Email",IF(ISNA(VLOOKUP(A2089,'Master List'!A:C,3,FALSE)), "Not Found", VLOOKUP(A2089,'Master List'!A:C,3,FALSE)))</f>
        <v>Email</v>
      </c>
      <c r="F2089" s="4" t="str">
        <f>IF(OR(A2089="",E2089="","",A2089="?",E2089="?"),"duplicate?",IF(COUNTIFS($A:A,A2089,E:E,E2089)&gt;1,"yes","no"))</f>
        <v>duplicate?</v>
      </c>
      <c r="K2089" s="97" t="str">
        <f ca="1">IF(J2089="","Date",IF(J2089&lt;&gt;"",IF(K2089="Date",NOW(),K2089),""))</f>
        <v>Date</v>
      </c>
    </row>
    <row r="2090" spans="2:11">
      <c r="B2090" s="97" t="str">
        <f ca="1">IF(A2090="","Date",IF(A2090&lt;&gt;"",IF(B2090="Date",NOW(),B2090),""))</f>
        <v>Date</v>
      </c>
      <c r="C2090" s="19" t="str">
        <f>IF(ISBLANK(A2090),"Name",IF(ISNA(VLOOKUP(A2090,'Master List'!A:C,2,FALSE)), "Not Found", VLOOKUP(A2090,'Master List'!A:C,2,FALSE)))</f>
        <v>Name</v>
      </c>
      <c r="D2090" s="19" t="str">
        <f>IF(ISBLANK(A2090), "Email",IF(ISNA(VLOOKUP(A2090,'Master List'!A:C,3,FALSE)), "Not Found", VLOOKUP(A2090,'Master List'!A:C,3,FALSE)))</f>
        <v>Email</v>
      </c>
      <c r="F2090" s="4" t="str">
        <f>IF(OR(A2090="",E2090="","",A2090="?",E2090="?"),"duplicate?",IF(COUNTIFS($A:A,A2090,E:E,E2090)&gt;1,"yes","no"))</f>
        <v>duplicate?</v>
      </c>
      <c r="K2090" s="97" t="str">
        <f ca="1">IF(J2090="","Date",IF(J2090&lt;&gt;"",IF(K2090="Date",NOW(),K2090),""))</f>
        <v>Date</v>
      </c>
    </row>
    <row r="2091" spans="2:11">
      <c r="B2091" s="97" t="str">
        <f ca="1">IF(A2091="","Date",IF(A2091&lt;&gt;"",IF(B2091="Date",NOW(),B2091),""))</f>
        <v>Date</v>
      </c>
      <c r="C2091" s="19" t="str">
        <f>IF(ISBLANK(A2091),"Name",IF(ISNA(VLOOKUP(A2091,'Master List'!A:C,2,FALSE)), "Not Found", VLOOKUP(A2091,'Master List'!A:C,2,FALSE)))</f>
        <v>Name</v>
      </c>
      <c r="D2091" s="19" t="str">
        <f>IF(ISBLANK(A2091), "Email",IF(ISNA(VLOOKUP(A2091,'Master List'!A:C,3,FALSE)), "Not Found", VLOOKUP(A2091,'Master List'!A:C,3,FALSE)))</f>
        <v>Email</v>
      </c>
      <c r="F2091" s="4" t="str">
        <f>IF(OR(A2091="",E2091="","",A2091="?",E2091="?"),"duplicate?",IF(COUNTIFS($A:A,A2091,E:E,E2091)&gt;1,"yes","no"))</f>
        <v>duplicate?</v>
      </c>
      <c r="K2091" s="97" t="str">
        <f ca="1">IF(J2091="","Date",IF(J2091&lt;&gt;"",IF(K2091="Date",NOW(),K2091),""))</f>
        <v>Date</v>
      </c>
    </row>
    <row r="2092" spans="2:11">
      <c r="B2092" s="97" t="str">
        <f ca="1">IF(A2092="","Date",IF(A2092&lt;&gt;"",IF(B2092="Date",NOW(),B2092),""))</f>
        <v>Date</v>
      </c>
      <c r="C2092" s="19" t="str">
        <f>IF(ISBLANK(A2092),"Name",IF(ISNA(VLOOKUP(A2092,'Master List'!A:C,2,FALSE)), "Not Found", VLOOKUP(A2092,'Master List'!A:C,2,FALSE)))</f>
        <v>Name</v>
      </c>
      <c r="D2092" s="19" t="str">
        <f>IF(ISBLANK(A2092), "Email",IF(ISNA(VLOOKUP(A2092,'Master List'!A:C,3,FALSE)), "Not Found", VLOOKUP(A2092,'Master List'!A:C,3,FALSE)))</f>
        <v>Email</v>
      </c>
      <c r="F2092" s="4" t="str">
        <f>IF(OR(A2092="",E2092="","",A2092="?",E2092="?"),"duplicate?",IF(COUNTIFS($A:A,A2092,E:E,E2092)&gt;1,"yes","no"))</f>
        <v>duplicate?</v>
      </c>
      <c r="K2092" s="97" t="str">
        <f ca="1">IF(J2092="","Date",IF(J2092&lt;&gt;"",IF(K2092="Date",NOW(),K2092),""))</f>
        <v>Date</v>
      </c>
    </row>
    <row r="2093" spans="2:11">
      <c r="B2093" s="97" t="str">
        <f ca="1">IF(A2093="","Date",IF(A2093&lt;&gt;"",IF(B2093="Date",NOW(),B2093),""))</f>
        <v>Date</v>
      </c>
      <c r="C2093" s="19" t="str">
        <f>IF(ISBLANK(A2093),"Name",IF(ISNA(VLOOKUP(A2093,'Master List'!A:C,2,FALSE)), "Not Found", VLOOKUP(A2093,'Master List'!A:C,2,FALSE)))</f>
        <v>Name</v>
      </c>
      <c r="D2093" s="19" t="str">
        <f>IF(ISBLANK(A2093), "Email",IF(ISNA(VLOOKUP(A2093,'Master List'!A:C,3,FALSE)), "Not Found", VLOOKUP(A2093,'Master List'!A:C,3,FALSE)))</f>
        <v>Email</v>
      </c>
      <c r="F2093" s="4" t="str">
        <f>IF(OR(A2093="",E2093="","",A2093="?",E2093="?"),"duplicate?",IF(COUNTIFS($A:A,A2093,E:E,E2093)&gt;1,"yes","no"))</f>
        <v>duplicate?</v>
      </c>
      <c r="K2093" s="97" t="str">
        <f ca="1">IF(J2093="","Date",IF(J2093&lt;&gt;"",IF(K2093="Date",NOW(),K2093),""))</f>
        <v>Date</v>
      </c>
    </row>
    <row r="2094" spans="2:11">
      <c r="B2094" s="97" t="str">
        <f ca="1">IF(A2094="","Date",IF(A2094&lt;&gt;"",IF(B2094="Date",NOW(),B2094),""))</f>
        <v>Date</v>
      </c>
      <c r="C2094" s="19" t="str">
        <f>IF(ISBLANK(A2094),"Name",IF(ISNA(VLOOKUP(A2094,'Master List'!A:C,2,FALSE)), "Not Found", VLOOKUP(A2094,'Master List'!A:C,2,FALSE)))</f>
        <v>Name</v>
      </c>
      <c r="D2094" s="19" t="str">
        <f>IF(ISBLANK(A2094), "Email",IF(ISNA(VLOOKUP(A2094,'Master List'!A:C,3,FALSE)), "Not Found", VLOOKUP(A2094,'Master List'!A:C,3,FALSE)))</f>
        <v>Email</v>
      </c>
      <c r="F2094" s="4" t="str">
        <f>IF(OR(A2094="",E2094="","",A2094="?",E2094="?"),"duplicate?",IF(COUNTIFS($A:A,A2094,E:E,E2094)&gt;1,"yes","no"))</f>
        <v>duplicate?</v>
      </c>
      <c r="K2094" s="97" t="str">
        <f ca="1">IF(J2094="","Date",IF(J2094&lt;&gt;"",IF(K2094="Date",NOW(),K2094),""))</f>
        <v>Date</v>
      </c>
    </row>
    <row r="2095" spans="2:11">
      <c r="B2095" s="97" t="str">
        <f ca="1">IF(A2095="","Date",IF(A2095&lt;&gt;"",IF(B2095="Date",NOW(),B2095),""))</f>
        <v>Date</v>
      </c>
      <c r="C2095" s="19" t="str">
        <f>IF(ISBLANK(A2095),"Name",IF(ISNA(VLOOKUP(A2095,'Master List'!A:C,2,FALSE)), "Not Found", VLOOKUP(A2095,'Master List'!A:C,2,FALSE)))</f>
        <v>Name</v>
      </c>
      <c r="D2095" s="19" t="str">
        <f>IF(ISBLANK(A2095), "Email",IF(ISNA(VLOOKUP(A2095,'Master List'!A:C,3,FALSE)), "Not Found", VLOOKUP(A2095,'Master List'!A:C,3,FALSE)))</f>
        <v>Email</v>
      </c>
      <c r="F2095" s="4" t="str">
        <f>IF(OR(A2095="",E2095="","",A2095="?",E2095="?"),"duplicate?",IF(COUNTIFS($A:A,A2095,E:E,E2095)&gt;1,"yes","no"))</f>
        <v>duplicate?</v>
      </c>
      <c r="K2095" s="97" t="str">
        <f ca="1">IF(J2095="","Date",IF(J2095&lt;&gt;"",IF(K2095="Date",NOW(),K2095),""))</f>
        <v>Date</v>
      </c>
    </row>
    <row r="2096" spans="2:11">
      <c r="B2096" s="97" t="str">
        <f ca="1">IF(A2096="","Date",IF(A2096&lt;&gt;"",IF(B2096="Date",NOW(),B2096),""))</f>
        <v>Date</v>
      </c>
      <c r="C2096" s="19" t="str">
        <f>IF(ISBLANK(A2096),"Name",IF(ISNA(VLOOKUP(A2096,'Master List'!A:C,2,FALSE)), "Not Found", VLOOKUP(A2096,'Master List'!A:C,2,FALSE)))</f>
        <v>Name</v>
      </c>
      <c r="D2096" s="19" t="str">
        <f>IF(ISBLANK(A2096), "Email",IF(ISNA(VLOOKUP(A2096,'Master List'!A:C,3,FALSE)), "Not Found", VLOOKUP(A2096,'Master List'!A:C,3,FALSE)))</f>
        <v>Email</v>
      </c>
      <c r="F2096" s="4" t="str">
        <f>IF(OR(A2096="",E2096="","",A2096="?",E2096="?"),"duplicate?",IF(COUNTIFS($A:A,A2096,E:E,E2096)&gt;1,"yes","no"))</f>
        <v>duplicate?</v>
      </c>
      <c r="K2096" s="97" t="str">
        <f ca="1">IF(J2096="","Date",IF(J2096&lt;&gt;"",IF(K2096="Date",NOW(),K2096),""))</f>
        <v>Date</v>
      </c>
    </row>
    <row r="2097" spans="2:11">
      <c r="B2097" s="97" t="str">
        <f ca="1">IF(A2097="","Date",IF(A2097&lt;&gt;"",IF(B2097="Date",NOW(),B2097),""))</f>
        <v>Date</v>
      </c>
      <c r="C2097" s="19" t="str">
        <f>IF(ISBLANK(A2097),"Name",IF(ISNA(VLOOKUP(A2097,'Master List'!A:C,2,FALSE)), "Not Found", VLOOKUP(A2097,'Master List'!A:C,2,FALSE)))</f>
        <v>Name</v>
      </c>
      <c r="D2097" s="19" t="str">
        <f>IF(ISBLANK(A2097), "Email",IF(ISNA(VLOOKUP(A2097,'Master List'!A:C,3,FALSE)), "Not Found", VLOOKUP(A2097,'Master List'!A:C,3,FALSE)))</f>
        <v>Email</v>
      </c>
      <c r="F2097" s="4" t="str">
        <f>IF(OR(A2097="",E2097="","",A2097="?",E2097="?"),"duplicate?",IF(COUNTIFS($A:A,A2097,E:E,E2097)&gt;1,"yes","no"))</f>
        <v>duplicate?</v>
      </c>
      <c r="K2097" s="97" t="str">
        <f ca="1">IF(J2097="","Date",IF(J2097&lt;&gt;"",IF(K2097="Date",NOW(),K2097),""))</f>
        <v>Date</v>
      </c>
    </row>
    <row r="2098" spans="2:11">
      <c r="B2098" s="97" t="str">
        <f ca="1">IF(A2098="","Date",IF(A2098&lt;&gt;"",IF(B2098="Date",NOW(),B2098),""))</f>
        <v>Date</v>
      </c>
      <c r="C2098" s="19" t="str">
        <f>IF(ISBLANK(A2098),"Name",IF(ISNA(VLOOKUP(A2098,'Master List'!A:C,2,FALSE)), "Not Found", VLOOKUP(A2098,'Master List'!A:C,2,FALSE)))</f>
        <v>Name</v>
      </c>
      <c r="D2098" s="19" t="str">
        <f>IF(ISBLANK(A2098), "Email",IF(ISNA(VLOOKUP(A2098,'Master List'!A:C,3,FALSE)), "Not Found", VLOOKUP(A2098,'Master List'!A:C,3,FALSE)))</f>
        <v>Email</v>
      </c>
      <c r="F2098" s="4" t="str">
        <f>IF(OR(A2098="",E2098="","",A2098="?",E2098="?"),"duplicate?",IF(COUNTIFS($A:A,A2098,E:E,E2098)&gt;1,"yes","no"))</f>
        <v>duplicate?</v>
      </c>
      <c r="K2098" s="97" t="str">
        <f ca="1">IF(J2098="","Date",IF(J2098&lt;&gt;"",IF(K2098="Date",NOW(),K2098),""))</f>
        <v>Date</v>
      </c>
    </row>
    <row r="2099" spans="2:11">
      <c r="B2099" s="97" t="str">
        <f ca="1">IF(A2099="","Date",IF(A2099&lt;&gt;"",IF(B2099="Date",NOW(),B2099),""))</f>
        <v>Date</v>
      </c>
      <c r="C2099" s="19" t="str">
        <f>IF(ISBLANK(A2099),"Name",IF(ISNA(VLOOKUP(A2099,'Master List'!A:C,2,FALSE)), "Not Found", VLOOKUP(A2099,'Master List'!A:C,2,FALSE)))</f>
        <v>Name</v>
      </c>
      <c r="D2099" s="19" t="str">
        <f>IF(ISBLANK(A2099), "Email",IF(ISNA(VLOOKUP(A2099,'Master List'!A:C,3,FALSE)), "Not Found", VLOOKUP(A2099,'Master List'!A:C,3,FALSE)))</f>
        <v>Email</v>
      </c>
      <c r="F2099" s="4" t="str">
        <f>IF(OR(A2099="",E2099="","",A2099="?",E2099="?"),"duplicate?",IF(COUNTIFS($A:A,A2099,E:E,E2099)&gt;1,"yes","no"))</f>
        <v>duplicate?</v>
      </c>
      <c r="K2099" s="97" t="str">
        <f ca="1">IF(J2099="","Date",IF(J2099&lt;&gt;"",IF(K2099="Date",NOW(),K2099),""))</f>
        <v>Date</v>
      </c>
    </row>
    <row r="2100" spans="2:11">
      <c r="B2100" s="97" t="str">
        <f ca="1">IF(A2100="","Date",IF(A2100&lt;&gt;"",IF(B2100="Date",NOW(),B2100),""))</f>
        <v>Date</v>
      </c>
      <c r="C2100" s="19" t="str">
        <f>IF(ISBLANK(A2100),"Name",IF(ISNA(VLOOKUP(A2100,'Master List'!A:C,2,FALSE)), "Not Found", VLOOKUP(A2100,'Master List'!A:C,2,FALSE)))</f>
        <v>Name</v>
      </c>
      <c r="D2100" s="19" t="str">
        <f>IF(ISBLANK(A2100), "Email",IF(ISNA(VLOOKUP(A2100,'Master List'!A:C,3,FALSE)), "Not Found", VLOOKUP(A2100,'Master List'!A:C,3,FALSE)))</f>
        <v>Email</v>
      </c>
      <c r="F2100" s="4" t="str">
        <f>IF(OR(A2100="",E2100="","",A2100="?",E2100="?"),"duplicate?",IF(COUNTIFS($A:A,A2100,E:E,E2100)&gt;1,"yes","no"))</f>
        <v>duplicate?</v>
      </c>
      <c r="K2100" s="97" t="str">
        <f ca="1">IF(J2100="","Date",IF(J2100&lt;&gt;"",IF(K2100="Date",NOW(),K2100),""))</f>
        <v>Date</v>
      </c>
    </row>
    <row r="2101" spans="2:11">
      <c r="B2101" s="97" t="str">
        <f ca="1">IF(A2101="","Date",IF(A2101&lt;&gt;"",IF(B2101="Date",NOW(),B2101),""))</f>
        <v>Date</v>
      </c>
      <c r="C2101" s="19" t="str">
        <f>IF(ISBLANK(A2101),"Name",IF(ISNA(VLOOKUP(A2101,'Master List'!A:C,2,FALSE)), "Not Found", VLOOKUP(A2101,'Master List'!A:C,2,FALSE)))</f>
        <v>Name</v>
      </c>
      <c r="D2101" s="19" t="str">
        <f>IF(ISBLANK(A2101), "Email",IF(ISNA(VLOOKUP(A2101,'Master List'!A:C,3,FALSE)), "Not Found", VLOOKUP(A2101,'Master List'!A:C,3,FALSE)))</f>
        <v>Email</v>
      </c>
      <c r="F2101" s="4" t="str">
        <f>IF(OR(A2101="",E2101="","",A2101="?",E2101="?"),"duplicate?",IF(COUNTIFS($A:A,A2101,E:E,E2101)&gt;1,"yes","no"))</f>
        <v>duplicate?</v>
      </c>
      <c r="K2101" s="97" t="str">
        <f ca="1">IF(J2101="","Date",IF(J2101&lt;&gt;"",IF(K2101="Date",NOW(),K2101),""))</f>
        <v>Date</v>
      </c>
    </row>
    <row r="2102" spans="2:11">
      <c r="B2102" s="97" t="str">
        <f ca="1">IF(A2102="","Date",IF(A2102&lt;&gt;"",IF(B2102="Date",NOW(),B2102),""))</f>
        <v>Date</v>
      </c>
      <c r="C2102" s="19" t="str">
        <f>IF(ISBLANK(A2102),"Name",IF(ISNA(VLOOKUP(A2102,'Master List'!A:C,2,FALSE)), "Not Found", VLOOKUP(A2102,'Master List'!A:C,2,FALSE)))</f>
        <v>Name</v>
      </c>
      <c r="D2102" s="19" t="str">
        <f>IF(ISBLANK(A2102), "Email",IF(ISNA(VLOOKUP(A2102,'Master List'!A:C,3,FALSE)), "Not Found", VLOOKUP(A2102,'Master List'!A:C,3,FALSE)))</f>
        <v>Email</v>
      </c>
      <c r="F2102" s="4" t="str">
        <f>IF(OR(A2102="",E2102="","",A2102="?",E2102="?"),"duplicate?",IF(COUNTIFS($A:A,A2102,E:E,E2102)&gt;1,"yes","no"))</f>
        <v>duplicate?</v>
      </c>
      <c r="K2102" s="97" t="str">
        <f ca="1">IF(J2102="","Date",IF(J2102&lt;&gt;"",IF(K2102="Date",NOW(),K2102),""))</f>
        <v>Date</v>
      </c>
    </row>
    <row r="2103" spans="2:11">
      <c r="B2103" s="97" t="str">
        <f ca="1">IF(A2103="","Date",IF(A2103&lt;&gt;"",IF(B2103="Date",NOW(),B2103),""))</f>
        <v>Date</v>
      </c>
      <c r="C2103" s="19" t="str">
        <f>IF(ISBLANK(A2103),"Name",IF(ISNA(VLOOKUP(A2103,'Master List'!A:C,2,FALSE)), "Not Found", VLOOKUP(A2103,'Master List'!A:C,2,FALSE)))</f>
        <v>Name</v>
      </c>
      <c r="D2103" s="19" t="str">
        <f>IF(ISBLANK(A2103), "Email",IF(ISNA(VLOOKUP(A2103,'Master List'!A:C,3,FALSE)), "Not Found", VLOOKUP(A2103,'Master List'!A:C,3,FALSE)))</f>
        <v>Email</v>
      </c>
      <c r="F2103" s="4" t="str">
        <f>IF(OR(A2103="",E2103="","",A2103="?",E2103="?"),"duplicate?",IF(COUNTIFS($A:A,A2103,E:E,E2103)&gt;1,"yes","no"))</f>
        <v>duplicate?</v>
      </c>
      <c r="K2103" s="97" t="str">
        <f ca="1">IF(J2103="","Date",IF(J2103&lt;&gt;"",IF(K2103="Date",NOW(),K2103),""))</f>
        <v>Date</v>
      </c>
    </row>
    <row r="2104" spans="2:11">
      <c r="B2104" s="97" t="str">
        <f ca="1">IF(A2104="","Date",IF(A2104&lt;&gt;"",IF(B2104="Date",NOW(),B2104),""))</f>
        <v>Date</v>
      </c>
      <c r="C2104" s="19" t="str">
        <f>IF(ISBLANK(A2104),"Name",IF(ISNA(VLOOKUP(A2104,'Master List'!A:C,2,FALSE)), "Not Found", VLOOKUP(A2104,'Master List'!A:C,2,FALSE)))</f>
        <v>Name</v>
      </c>
      <c r="D2104" s="19" t="str">
        <f>IF(ISBLANK(A2104), "Email",IF(ISNA(VLOOKUP(A2104,'Master List'!A:C,3,FALSE)), "Not Found", VLOOKUP(A2104,'Master List'!A:C,3,FALSE)))</f>
        <v>Email</v>
      </c>
      <c r="F2104" s="4" t="str">
        <f>IF(OR(A2104="",E2104="","",A2104="?",E2104="?"),"duplicate?",IF(COUNTIFS($A:A,A2104,E:E,E2104)&gt;1,"yes","no"))</f>
        <v>duplicate?</v>
      </c>
      <c r="K2104" s="97" t="str">
        <f ca="1">IF(J2104="","Date",IF(J2104&lt;&gt;"",IF(K2104="Date",NOW(),K2104),""))</f>
        <v>Date</v>
      </c>
    </row>
    <row r="2105" spans="2:11">
      <c r="B2105" s="97" t="str">
        <f ca="1">IF(A2105="","Date",IF(A2105&lt;&gt;"",IF(B2105="Date",NOW(),B2105),""))</f>
        <v>Date</v>
      </c>
      <c r="C2105" s="19" t="str">
        <f>IF(ISBLANK(A2105),"Name",IF(ISNA(VLOOKUP(A2105,'Master List'!A:C,2,FALSE)), "Not Found", VLOOKUP(A2105,'Master List'!A:C,2,FALSE)))</f>
        <v>Name</v>
      </c>
      <c r="D2105" s="19" t="str">
        <f>IF(ISBLANK(A2105), "Email",IF(ISNA(VLOOKUP(A2105,'Master List'!A:C,3,FALSE)), "Not Found", VLOOKUP(A2105,'Master List'!A:C,3,FALSE)))</f>
        <v>Email</v>
      </c>
      <c r="F2105" s="4" t="str">
        <f>IF(OR(A2105="",E2105="","",A2105="?",E2105="?"),"duplicate?",IF(COUNTIFS($A:A,A2105,E:E,E2105)&gt;1,"yes","no"))</f>
        <v>duplicate?</v>
      </c>
      <c r="K2105" s="97" t="str">
        <f ca="1">IF(J2105="","Date",IF(J2105&lt;&gt;"",IF(K2105="Date",NOW(),K2105),""))</f>
        <v>Date</v>
      </c>
    </row>
    <row r="2106" spans="2:11">
      <c r="B2106" s="97" t="str">
        <f ca="1">IF(A2106="","Date",IF(A2106&lt;&gt;"",IF(B2106="Date",NOW(),B2106),""))</f>
        <v>Date</v>
      </c>
      <c r="C2106" s="19" t="str">
        <f>IF(ISBLANK(A2106),"Name",IF(ISNA(VLOOKUP(A2106,'Master List'!A:C,2,FALSE)), "Not Found", VLOOKUP(A2106,'Master List'!A:C,2,FALSE)))</f>
        <v>Name</v>
      </c>
      <c r="D2106" s="19" t="str">
        <f>IF(ISBLANK(A2106), "Email",IF(ISNA(VLOOKUP(A2106,'Master List'!A:C,3,FALSE)), "Not Found", VLOOKUP(A2106,'Master List'!A:C,3,FALSE)))</f>
        <v>Email</v>
      </c>
      <c r="F2106" s="4" t="str">
        <f>IF(OR(A2106="",E2106="","",A2106="?",E2106="?"),"duplicate?",IF(COUNTIFS($A:A,A2106,E:E,E2106)&gt;1,"yes","no"))</f>
        <v>duplicate?</v>
      </c>
      <c r="K2106" s="97" t="str">
        <f ca="1">IF(J2106="","Date",IF(J2106&lt;&gt;"",IF(K2106="Date",NOW(),K2106),""))</f>
        <v>Date</v>
      </c>
    </row>
    <row r="2107" spans="2:11">
      <c r="B2107" s="97" t="str">
        <f ca="1">IF(A2107="","Date",IF(A2107&lt;&gt;"",IF(B2107="Date",NOW(),B2107),""))</f>
        <v>Date</v>
      </c>
      <c r="C2107" s="19" t="str">
        <f>IF(ISBLANK(A2107),"Name",IF(ISNA(VLOOKUP(A2107,'Master List'!A:C,2,FALSE)), "Not Found", VLOOKUP(A2107,'Master List'!A:C,2,FALSE)))</f>
        <v>Name</v>
      </c>
      <c r="D2107" s="19" t="str">
        <f>IF(ISBLANK(A2107), "Email",IF(ISNA(VLOOKUP(A2107,'Master List'!A:C,3,FALSE)), "Not Found", VLOOKUP(A2107,'Master List'!A:C,3,FALSE)))</f>
        <v>Email</v>
      </c>
      <c r="F2107" s="4" t="str">
        <f>IF(OR(A2107="",E2107="","",A2107="?",E2107="?"),"duplicate?",IF(COUNTIFS($A:A,A2107,E:E,E2107)&gt;1,"yes","no"))</f>
        <v>duplicate?</v>
      </c>
      <c r="K2107" s="97" t="str">
        <f ca="1">IF(J2107="","Date",IF(J2107&lt;&gt;"",IF(K2107="Date",NOW(),K2107),""))</f>
        <v>Date</v>
      </c>
    </row>
    <row r="2108" spans="2:11">
      <c r="B2108" s="97" t="str">
        <f ca="1">IF(A2108="","Date",IF(A2108&lt;&gt;"",IF(B2108="Date",NOW(),B2108),""))</f>
        <v>Date</v>
      </c>
      <c r="C2108" s="19" t="str">
        <f>IF(ISBLANK(A2108),"Name",IF(ISNA(VLOOKUP(A2108,'Master List'!A:C,2,FALSE)), "Not Found", VLOOKUP(A2108,'Master List'!A:C,2,FALSE)))</f>
        <v>Name</v>
      </c>
      <c r="D2108" s="19" t="str">
        <f>IF(ISBLANK(A2108), "Email",IF(ISNA(VLOOKUP(A2108,'Master List'!A:C,3,FALSE)), "Not Found", VLOOKUP(A2108,'Master List'!A:C,3,FALSE)))</f>
        <v>Email</v>
      </c>
      <c r="F2108" s="4" t="str">
        <f>IF(OR(A2108="",E2108="","",A2108="?",E2108="?"),"duplicate?",IF(COUNTIFS($A:A,A2108,E:E,E2108)&gt;1,"yes","no"))</f>
        <v>duplicate?</v>
      </c>
      <c r="K2108" s="97" t="str">
        <f ca="1">IF(J2108="","Date",IF(J2108&lt;&gt;"",IF(K2108="Date",NOW(),K2108),""))</f>
        <v>Date</v>
      </c>
    </row>
    <row r="2109" spans="2:11">
      <c r="B2109" s="97" t="str">
        <f ca="1">IF(A2109="","Date",IF(A2109&lt;&gt;"",IF(B2109="Date",NOW(),B2109),""))</f>
        <v>Date</v>
      </c>
      <c r="C2109" s="19" t="str">
        <f>IF(ISBLANK(A2109),"Name",IF(ISNA(VLOOKUP(A2109,'Master List'!A:C,2,FALSE)), "Not Found", VLOOKUP(A2109,'Master List'!A:C,2,FALSE)))</f>
        <v>Name</v>
      </c>
      <c r="D2109" s="19" t="str">
        <f>IF(ISBLANK(A2109), "Email",IF(ISNA(VLOOKUP(A2109,'Master List'!A:C,3,FALSE)), "Not Found", VLOOKUP(A2109,'Master List'!A:C,3,FALSE)))</f>
        <v>Email</v>
      </c>
      <c r="F2109" s="4" t="str">
        <f>IF(OR(A2109="",E2109="","",A2109="?",E2109="?"),"duplicate?",IF(COUNTIFS($A:A,A2109,E:E,E2109)&gt;1,"yes","no"))</f>
        <v>duplicate?</v>
      </c>
      <c r="K2109" s="97" t="str">
        <f ca="1">IF(J2109="","Date",IF(J2109&lt;&gt;"",IF(K2109="Date",NOW(),K2109),""))</f>
        <v>Date</v>
      </c>
    </row>
    <row r="2110" spans="2:11">
      <c r="B2110" s="97" t="str">
        <f ca="1">IF(A2110="","Date",IF(A2110&lt;&gt;"",IF(B2110="Date",NOW(),B2110),""))</f>
        <v>Date</v>
      </c>
      <c r="C2110" s="19" t="str">
        <f>IF(ISBLANK(A2110),"Name",IF(ISNA(VLOOKUP(A2110,'Master List'!A:C,2,FALSE)), "Not Found", VLOOKUP(A2110,'Master List'!A:C,2,FALSE)))</f>
        <v>Name</v>
      </c>
      <c r="D2110" s="19" t="str">
        <f>IF(ISBLANK(A2110), "Email",IF(ISNA(VLOOKUP(A2110,'Master List'!A:C,3,FALSE)), "Not Found", VLOOKUP(A2110,'Master List'!A:C,3,FALSE)))</f>
        <v>Email</v>
      </c>
      <c r="F2110" s="4" t="str">
        <f>IF(OR(A2110="",E2110="","",A2110="?",E2110="?"),"duplicate?",IF(COUNTIFS($A:A,A2110,E:E,E2110)&gt;1,"yes","no"))</f>
        <v>duplicate?</v>
      </c>
      <c r="K2110" s="97" t="str">
        <f ca="1">IF(J2110="","Date",IF(J2110&lt;&gt;"",IF(K2110="Date",NOW(),K2110),""))</f>
        <v>Date</v>
      </c>
    </row>
    <row r="2111" spans="2:11">
      <c r="B2111" s="97" t="str">
        <f ca="1">IF(A2111="","Date",IF(A2111&lt;&gt;"",IF(B2111="Date",NOW(),B2111),""))</f>
        <v>Date</v>
      </c>
      <c r="C2111" s="19" t="str">
        <f>IF(ISBLANK(A2111),"Name",IF(ISNA(VLOOKUP(A2111,'Master List'!A:C,2,FALSE)), "Not Found", VLOOKUP(A2111,'Master List'!A:C,2,FALSE)))</f>
        <v>Name</v>
      </c>
      <c r="D2111" s="19" t="str">
        <f>IF(ISBLANK(A2111), "Email",IF(ISNA(VLOOKUP(A2111,'Master List'!A:C,3,FALSE)), "Not Found", VLOOKUP(A2111,'Master List'!A:C,3,FALSE)))</f>
        <v>Email</v>
      </c>
      <c r="F2111" s="4" t="str">
        <f>IF(OR(A2111="",E2111="","",A2111="?",E2111="?"),"duplicate?",IF(COUNTIFS($A:A,A2111,E:E,E2111)&gt;1,"yes","no"))</f>
        <v>duplicate?</v>
      </c>
      <c r="K2111" s="97" t="str">
        <f ca="1">IF(J2111="","Date",IF(J2111&lt;&gt;"",IF(K2111="Date",NOW(),K2111),""))</f>
        <v>Date</v>
      </c>
    </row>
    <row r="2112" spans="2:11">
      <c r="B2112" s="97" t="str">
        <f ca="1">IF(A2112="","Date",IF(A2112&lt;&gt;"",IF(B2112="Date",NOW(),B2112),""))</f>
        <v>Date</v>
      </c>
      <c r="C2112" s="19" t="str">
        <f>IF(ISBLANK(A2112),"Name",IF(ISNA(VLOOKUP(A2112,'Master List'!A:C,2,FALSE)), "Not Found", VLOOKUP(A2112,'Master List'!A:C,2,FALSE)))</f>
        <v>Name</v>
      </c>
      <c r="D2112" s="19" t="str">
        <f>IF(ISBLANK(A2112), "Email",IF(ISNA(VLOOKUP(A2112,'Master List'!A:C,3,FALSE)), "Not Found", VLOOKUP(A2112,'Master List'!A:C,3,FALSE)))</f>
        <v>Email</v>
      </c>
      <c r="F2112" s="4" t="str">
        <f>IF(OR(A2112="",E2112="","",A2112="?",E2112="?"),"duplicate?",IF(COUNTIFS($A:A,A2112,E:E,E2112)&gt;1,"yes","no"))</f>
        <v>duplicate?</v>
      </c>
      <c r="K2112" s="97" t="str">
        <f ca="1">IF(J2112="","Date",IF(J2112&lt;&gt;"",IF(K2112="Date",NOW(),K2112),""))</f>
        <v>Date</v>
      </c>
    </row>
    <row r="2113" spans="2:11">
      <c r="B2113" s="97" t="str">
        <f ca="1">IF(A2113="","Date",IF(A2113&lt;&gt;"",IF(B2113="Date",NOW(),B2113),""))</f>
        <v>Date</v>
      </c>
      <c r="C2113" s="19" t="str">
        <f>IF(ISBLANK(A2113),"Name",IF(ISNA(VLOOKUP(A2113,'Master List'!A:C,2,FALSE)), "Not Found", VLOOKUP(A2113,'Master List'!A:C,2,FALSE)))</f>
        <v>Name</v>
      </c>
      <c r="D2113" s="19" t="str">
        <f>IF(ISBLANK(A2113), "Email",IF(ISNA(VLOOKUP(A2113,'Master List'!A:C,3,FALSE)), "Not Found", VLOOKUP(A2113,'Master List'!A:C,3,FALSE)))</f>
        <v>Email</v>
      </c>
      <c r="F2113" s="4" t="str">
        <f>IF(OR(A2113="",E2113="","",A2113="?",E2113="?"),"duplicate?",IF(COUNTIFS($A:A,A2113,E:E,E2113)&gt;1,"yes","no"))</f>
        <v>duplicate?</v>
      </c>
      <c r="K2113" s="97" t="str">
        <f ca="1">IF(J2113="","Date",IF(J2113&lt;&gt;"",IF(K2113="Date",NOW(),K2113),""))</f>
        <v>Date</v>
      </c>
    </row>
    <row r="2114" spans="2:11">
      <c r="B2114" s="97" t="str">
        <f ca="1">IF(A2114="","Date",IF(A2114&lt;&gt;"",IF(B2114="Date",NOW(),B2114),""))</f>
        <v>Date</v>
      </c>
      <c r="C2114" s="19" t="str">
        <f>IF(ISBLANK(A2114),"Name",IF(ISNA(VLOOKUP(A2114,'Master List'!A:C,2,FALSE)), "Not Found", VLOOKUP(A2114,'Master List'!A:C,2,FALSE)))</f>
        <v>Name</v>
      </c>
      <c r="D2114" s="19" t="str">
        <f>IF(ISBLANK(A2114), "Email",IF(ISNA(VLOOKUP(A2114,'Master List'!A:C,3,FALSE)), "Not Found", VLOOKUP(A2114,'Master List'!A:C,3,FALSE)))</f>
        <v>Email</v>
      </c>
      <c r="F2114" s="4" t="str">
        <f>IF(OR(A2114="",E2114="","",A2114="?",E2114="?"),"duplicate?",IF(COUNTIFS($A:A,A2114,E:E,E2114)&gt;1,"yes","no"))</f>
        <v>duplicate?</v>
      </c>
      <c r="K2114" s="97" t="str">
        <f ca="1">IF(J2114="","Date",IF(J2114&lt;&gt;"",IF(K2114="Date",NOW(),K2114),""))</f>
        <v>Date</v>
      </c>
    </row>
    <row r="2115" spans="2:11">
      <c r="B2115" s="97" t="str">
        <f ca="1">IF(A2115="","Date",IF(A2115&lt;&gt;"",IF(B2115="Date",NOW(),B2115),""))</f>
        <v>Date</v>
      </c>
      <c r="C2115" s="19" t="str">
        <f>IF(ISBLANK(A2115),"Name",IF(ISNA(VLOOKUP(A2115,'Master List'!A:C,2,FALSE)), "Not Found", VLOOKUP(A2115,'Master List'!A:C,2,FALSE)))</f>
        <v>Name</v>
      </c>
      <c r="D2115" s="19" t="str">
        <f>IF(ISBLANK(A2115), "Email",IF(ISNA(VLOOKUP(A2115,'Master List'!A:C,3,FALSE)), "Not Found", VLOOKUP(A2115,'Master List'!A:C,3,FALSE)))</f>
        <v>Email</v>
      </c>
      <c r="F2115" s="4" t="str">
        <f>IF(OR(A2115="",E2115="","",A2115="?",E2115="?"),"duplicate?",IF(COUNTIFS($A:A,A2115,E:E,E2115)&gt;1,"yes","no"))</f>
        <v>duplicate?</v>
      </c>
      <c r="K2115" s="97" t="str">
        <f ca="1">IF(J2115="","Date",IF(J2115&lt;&gt;"",IF(K2115="Date",NOW(),K2115),""))</f>
        <v>Date</v>
      </c>
    </row>
    <row r="2116" spans="2:11">
      <c r="B2116" s="97" t="str">
        <f ca="1">IF(A2116="","Date",IF(A2116&lt;&gt;"",IF(B2116="Date",NOW(),B2116),""))</f>
        <v>Date</v>
      </c>
      <c r="C2116" s="19" t="str">
        <f>IF(ISBLANK(A2116),"Name",IF(ISNA(VLOOKUP(A2116,'Master List'!A:C,2,FALSE)), "Not Found", VLOOKUP(A2116,'Master List'!A:C,2,FALSE)))</f>
        <v>Name</v>
      </c>
      <c r="D2116" s="19" t="str">
        <f>IF(ISBLANK(A2116), "Email",IF(ISNA(VLOOKUP(A2116,'Master List'!A:C,3,FALSE)), "Not Found", VLOOKUP(A2116,'Master List'!A:C,3,FALSE)))</f>
        <v>Email</v>
      </c>
      <c r="F2116" s="4" t="str">
        <f>IF(OR(A2116="",E2116="","",A2116="?",E2116="?"),"duplicate?",IF(COUNTIFS($A:A,A2116,E:E,E2116)&gt;1,"yes","no"))</f>
        <v>duplicate?</v>
      </c>
      <c r="K2116" s="97" t="str">
        <f ca="1">IF(J2116="","Date",IF(J2116&lt;&gt;"",IF(K2116="Date",NOW(),K2116),""))</f>
        <v>Date</v>
      </c>
    </row>
    <row r="2117" spans="2:11">
      <c r="B2117" s="97" t="str">
        <f ca="1">IF(A2117="","Date",IF(A2117&lt;&gt;"",IF(B2117="Date",NOW(),B2117),""))</f>
        <v>Date</v>
      </c>
      <c r="C2117" s="19" t="str">
        <f>IF(ISBLANK(A2117),"Name",IF(ISNA(VLOOKUP(A2117,'Master List'!A:C,2,FALSE)), "Not Found", VLOOKUP(A2117,'Master List'!A:C,2,FALSE)))</f>
        <v>Name</v>
      </c>
      <c r="D2117" s="19" t="str">
        <f>IF(ISBLANK(A2117), "Email",IF(ISNA(VLOOKUP(A2117,'Master List'!A:C,3,FALSE)), "Not Found", VLOOKUP(A2117,'Master List'!A:C,3,FALSE)))</f>
        <v>Email</v>
      </c>
      <c r="F2117" s="4" t="str">
        <f>IF(OR(A2117="",E2117="","",A2117="?",E2117="?"),"duplicate?",IF(COUNTIFS($A:A,A2117,E:E,E2117)&gt;1,"yes","no"))</f>
        <v>duplicate?</v>
      </c>
      <c r="K2117" s="97" t="str">
        <f ca="1">IF(J2117="","Date",IF(J2117&lt;&gt;"",IF(K2117="Date",NOW(),K2117),""))</f>
        <v>Date</v>
      </c>
    </row>
    <row r="2118" spans="2:11">
      <c r="B2118" s="97" t="str">
        <f ca="1">IF(A2118="","Date",IF(A2118&lt;&gt;"",IF(B2118="Date",NOW(),B2118),""))</f>
        <v>Date</v>
      </c>
      <c r="C2118" s="19" t="str">
        <f>IF(ISBLANK(A2118),"Name",IF(ISNA(VLOOKUP(A2118,'Master List'!A:C,2,FALSE)), "Not Found", VLOOKUP(A2118,'Master List'!A:C,2,FALSE)))</f>
        <v>Name</v>
      </c>
      <c r="D2118" s="19" t="str">
        <f>IF(ISBLANK(A2118), "Email",IF(ISNA(VLOOKUP(A2118,'Master List'!A:C,3,FALSE)), "Not Found", VLOOKUP(A2118,'Master List'!A:C,3,FALSE)))</f>
        <v>Email</v>
      </c>
      <c r="F2118" s="4" t="str">
        <f>IF(OR(A2118="",E2118="","",A2118="?",E2118="?"),"duplicate?",IF(COUNTIFS($A:A,A2118,E:E,E2118)&gt;1,"yes","no"))</f>
        <v>duplicate?</v>
      </c>
      <c r="K2118" s="97" t="str">
        <f ca="1">IF(J2118="","Date",IF(J2118&lt;&gt;"",IF(K2118="Date",NOW(),K2118),""))</f>
        <v>Date</v>
      </c>
    </row>
    <row r="2119" spans="2:11">
      <c r="B2119" s="97" t="str">
        <f ca="1">IF(A2119="","Date",IF(A2119&lt;&gt;"",IF(B2119="Date",NOW(),B2119),""))</f>
        <v>Date</v>
      </c>
      <c r="C2119" s="19" t="str">
        <f>IF(ISBLANK(A2119),"Name",IF(ISNA(VLOOKUP(A2119,'Master List'!A:C,2,FALSE)), "Not Found", VLOOKUP(A2119,'Master List'!A:C,2,FALSE)))</f>
        <v>Name</v>
      </c>
      <c r="D2119" s="19" t="str">
        <f>IF(ISBLANK(A2119), "Email",IF(ISNA(VLOOKUP(A2119,'Master List'!A:C,3,FALSE)), "Not Found", VLOOKUP(A2119,'Master List'!A:C,3,FALSE)))</f>
        <v>Email</v>
      </c>
      <c r="F2119" s="4" t="str">
        <f>IF(OR(A2119="",E2119="","",A2119="?",E2119="?"),"duplicate?",IF(COUNTIFS($A:A,A2119,E:E,E2119)&gt;1,"yes","no"))</f>
        <v>duplicate?</v>
      </c>
      <c r="K2119" s="97" t="str">
        <f ca="1">IF(J2119="","Date",IF(J2119&lt;&gt;"",IF(K2119="Date",NOW(),K2119),""))</f>
        <v>Date</v>
      </c>
    </row>
    <row r="2120" spans="2:11">
      <c r="B2120" s="97" t="str">
        <f ca="1">IF(A2120="","Date",IF(A2120&lt;&gt;"",IF(B2120="Date",NOW(),B2120),""))</f>
        <v>Date</v>
      </c>
      <c r="C2120" s="19" t="str">
        <f>IF(ISBLANK(A2120),"Name",IF(ISNA(VLOOKUP(A2120,'Master List'!A:C,2,FALSE)), "Not Found", VLOOKUP(A2120,'Master List'!A:C,2,FALSE)))</f>
        <v>Name</v>
      </c>
      <c r="D2120" s="19" t="str">
        <f>IF(ISBLANK(A2120), "Email",IF(ISNA(VLOOKUP(A2120,'Master List'!A:C,3,FALSE)), "Not Found", VLOOKUP(A2120,'Master List'!A:C,3,FALSE)))</f>
        <v>Email</v>
      </c>
      <c r="F2120" s="4" t="str">
        <f>IF(OR(A2120="",E2120="","",A2120="?",E2120="?"),"duplicate?",IF(COUNTIFS($A:A,A2120,E:E,E2120)&gt;1,"yes","no"))</f>
        <v>duplicate?</v>
      </c>
      <c r="K2120" s="97" t="str">
        <f ca="1">IF(J2120="","Date",IF(J2120&lt;&gt;"",IF(K2120="Date",NOW(),K2120),""))</f>
        <v>Date</v>
      </c>
    </row>
    <row r="2121" spans="2:11">
      <c r="B2121" s="97" t="str">
        <f ca="1">IF(A2121="","Date",IF(A2121&lt;&gt;"",IF(B2121="Date",NOW(),B2121),""))</f>
        <v>Date</v>
      </c>
      <c r="C2121" s="19" t="str">
        <f>IF(ISBLANK(A2121),"Name",IF(ISNA(VLOOKUP(A2121,'Master List'!A:C,2,FALSE)), "Not Found", VLOOKUP(A2121,'Master List'!A:C,2,FALSE)))</f>
        <v>Name</v>
      </c>
      <c r="D2121" s="19" t="str">
        <f>IF(ISBLANK(A2121), "Email",IF(ISNA(VLOOKUP(A2121,'Master List'!A:C,3,FALSE)), "Not Found", VLOOKUP(A2121,'Master List'!A:C,3,FALSE)))</f>
        <v>Email</v>
      </c>
      <c r="F2121" s="4" t="str">
        <f>IF(OR(A2121="",E2121="","",A2121="?",E2121="?"),"duplicate?",IF(COUNTIFS($A:A,A2121,E:E,E2121)&gt;1,"yes","no"))</f>
        <v>duplicate?</v>
      </c>
      <c r="K2121" s="97" t="str">
        <f ca="1">IF(J2121="","Date",IF(J2121&lt;&gt;"",IF(K2121="Date",NOW(),K2121),""))</f>
        <v>Date</v>
      </c>
    </row>
    <row r="2122" spans="2:11">
      <c r="B2122" s="97" t="str">
        <f ca="1">IF(A2122="","Date",IF(A2122&lt;&gt;"",IF(B2122="Date",NOW(),B2122),""))</f>
        <v>Date</v>
      </c>
      <c r="C2122" s="19" t="str">
        <f>IF(ISBLANK(A2122),"Name",IF(ISNA(VLOOKUP(A2122,'Master List'!A:C,2,FALSE)), "Not Found", VLOOKUP(A2122,'Master List'!A:C,2,FALSE)))</f>
        <v>Name</v>
      </c>
      <c r="D2122" s="19" t="str">
        <f>IF(ISBLANK(A2122), "Email",IF(ISNA(VLOOKUP(A2122,'Master List'!A:C,3,FALSE)), "Not Found", VLOOKUP(A2122,'Master List'!A:C,3,FALSE)))</f>
        <v>Email</v>
      </c>
      <c r="F2122" s="4" t="str">
        <f>IF(OR(A2122="",E2122="","",A2122="?",E2122="?"),"duplicate?",IF(COUNTIFS($A:A,A2122,E:E,E2122)&gt;1,"yes","no"))</f>
        <v>duplicate?</v>
      </c>
      <c r="K2122" s="97" t="str">
        <f ca="1">IF(J2122="","Date",IF(J2122&lt;&gt;"",IF(K2122="Date",NOW(),K2122),""))</f>
        <v>Date</v>
      </c>
    </row>
    <row r="2123" spans="2:11">
      <c r="B2123" s="97" t="str">
        <f ca="1">IF(A2123="","Date",IF(A2123&lt;&gt;"",IF(B2123="Date",NOW(),B2123),""))</f>
        <v>Date</v>
      </c>
      <c r="C2123" s="19" t="str">
        <f>IF(ISBLANK(A2123),"Name",IF(ISNA(VLOOKUP(A2123,'Master List'!A:C,2,FALSE)), "Not Found", VLOOKUP(A2123,'Master List'!A:C,2,FALSE)))</f>
        <v>Name</v>
      </c>
      <c r="D2123" s="19" t="str">
        <f>IF(ISBLANK(A2123), "Email",IF(ISNA(VLOOKUP(A2123,'Master List'!A:C,3,FALSE)), "Not Found", VLOOKUP(A2123,'Master List'!A:C,3,FALSE)))</f>
        <v>Email</v>
      </c>
      <c r="F2123" s="4" t="str">
        <f>IF(OR(A2123="",E2123="","",A2123="?",E2123="?"),"duplicate?",IF(COUNTIFS($A:A,A2123,E:E,E2123)&gt;1,"yes","no"))</f>
        <v>duplicate?</v>
      </c>
      <c r="K2123" s="97" t="str">
        <f ca="1">IF(J2123="","Date",IF(J2123&lt;&gt;"",IF(K2123="Date",NOW(),K2123),""))</f>
        <v>Date</v>
      </c>
    </row>
    <row r="2124" spans="2:11">
      <c r="B2124" s="97" t="str">
        <f ca="1">IF(A2124="","Date",IF(A2124&lt;&gt;"",IF(B2124="Date",NOW(),B2124),""))</f>
        <v>Date</v>
      </c>
      <c r="C2124" s="19" t="str">
        <f>IF(ISBLANK(A2124),"Name",IF(ISNA(VLOOKUP(A2124,'Master List'!A:C,2,FALSE)), "Not Found", VLOOKUP(A2124,'Master List'!A:C,2,FALSE)))</f>
        <v>Name</v>
      </c>
      <c r="D2124" s="19" t="str">
        <f>IF(ISBLANK(A2124), "Email",IF(ISNA(VLOOKUP(A2124,'Master List'!A:C,3,FALSE)), "Not Found", VLOOKUP(A2124,'Master List'!A:C,3,FALSE)))</f>
        <v>Email</v>
      </c>
      <c r="F2124" s="4" t="str">
        <f>IF(OR(A2124="",E2124="","",A2124="?",E2124="?"),"duplicate?",IF(COUNTIFS($A:A,A2124,E:E,E2124)&gt;1,"yes","no"))</f>
        <v>duplicate?</v>
      </c>
      <c r="K2124" s="97" t="str">
        <f ca="1">IF(J2124="","Date",IF(J2124&lt;&gt;"",IF(K2124="Date",NOW(),K2124),""))</f>
        <v>Date</v>
      </c>
    </row>
    <row r="2125" spans="2:11">
      <c r="B2125" s="97" t="str">
        <f ca="1">IF(A2125="","Date",IF(A2125&lt;&gt;"",IF(B2125="Date",NOW(),B2125),""))</f>
        <v>Date</v>
      </c>
      <c r="C2125" s="19" t="str">
        <f>IF(ISBLANK(A2125),"Name",IF(ISNA(VLOOKUP(A2125,'Master List'!A:C,2,FALSE)), "Not Found", VLOOKUP(A2125,'Master List'!A:C,2,FALSE)))</f>
        <v>Name</v>
      </c>
      <c r="D2125" s="19" t="str">
        <f>IF(ISBLANK(A2125), "Email",IF(ISNA(VLOOKUP(A2125,'Master List'!A:C,3,FALSE)), "Not Found", VLOOKUP(A2125,'Master List'!A:C,3,FALSE)))</f>
        <v>Email</v>
      </c>
      <c r="F2125" s="4" t="str">
        <f>IF(OR(A2125="",E2125="","",A2125="?",E2125="?"),"duplicate?",IF(COUNTIFS($A:A,A2125,E:E,E2125)&gt;1,"yes","no"))</f>
        <v>duplicate?</v>
      </c>
      <c r="K2125" s="97" t="str">
        <f ca="1">IF(J2125="","Date",IF(J2125&lt;&gt;"",IF(K2125="Date",NOW(),K2125),""))</f>
        <v>Date</v>
      </c>
    </row>
    <row r="2126" spans="2:11">
      <c r="B2126" s="97" t="str">
        <f ca="1">IF(A2126="","Date",IF(A2126&lt;&gt;"",IF(B2126="Date",NOW(),B2126),""))</f>
        <v>Date</v>
      </c>
      <c r="C2126" s="19" t="str">
        <f>IF(ISBLANK(A2126),"Name",IF(ISNA(VLOOKUP(A2126,'Master List'!A:C,2,FALSE)), "Not Found", VLOOKUP(A2126,'Master List'!A:C,2,FALSE)))</f>
        <v>Name</v>
      </c>
      <c r="D2126" s="19" t="str">
        <f>IF(ISBLANK(A2126), "Email",IF(ISNA(VLOOKUP(A2126,'Master List'!A:C,3,FALSE)), "Not Found", VLOOKUP(A2126,'Master List'!A:C,3,FALSE)))</f>
        <v>Email</v>
      </c>
      <c r="F2126" s="4" t="str">
        <f>IF(OR(A2126="",E2126="","",A2126="?",E2126="?"),"duplicate?",IF(COUNTIFS($A:A,A2126,E:E,E2126)&gt;1,"yes","no"))</f>
        <v>duplicate?</v>
      </c>
      <c r="K2126" s="97" t="str">
        <f ca="1">IF(J2126="","Date",IF(J2126&lt;&gt;"",IF(K2126="Date",NOW(),K2126),""))</f>
        <v>Date</v>
      </c>
    </row>
    <row r="2127" spans="2:11">
      <c r="B2127" s="97" t="str">
        <f ca="1">IF(A2127="","Date",IF(A2127&lt;&gt;"",IF(B2127="Date",NOW(),B2127),""))</f>
        <v>Date</v>
      </c>
      <c r="C2127" s="19" t="str">
        <f>IF(ISBLANK(A2127),"Name",IF(ISNA(VLOOKUP(A2127,'Master List'!A:C,2,FALSE)), "Not Found", VLOOKUP(A2127,'Master List'!A:C,2,FALSE)))</f>
        <v>Name</v>
      </c>
      <c r="D2127" s="19" t="str">
        <f>IF(ISBLANK(A2127), "Email",IF(ISNA(VLOOKUP(A2127,'Master List'!A:C,3,FALSE)), "Not Found", VLOOKUP(A2127,'Master List'!A:C,3,FALSE)))</f>
        <v>Email</v>
      </c>
      <c r="F2127" s="4" t="str">
        <f>IF(OR(A2127="",E2127="","",A2127="?",E2127="?"),"duplicate?",IF(COUNTIFS($A:A,A2127,E:E,E2127)&gt;1,"yes","no"))</f>
        <v>duplicate?</v>
      </c>
      <c r="K2127" s="97" t="str">
        <f ca="1">IF(J2127="","Date",IF(J2127&lt;&gt;"",IF(K2127="Date",NOW(),K2127),""))</f>
        <v>Date</v>
      </c>
    </row>
    <row r="2128" spans="2:11">
      <c r="B2128" s="97" t="str">
        <f ca="1">IF(A2128="","Date",IF(A2128&lt;&gt;"",IF(B2128="Date",NOW(),B2128),""))</f>
        <v>Date</v>
      </c>
      <c r="C2128" s="19" t="str">
        <f>IF(ISBLANK(A2128),"Name",IF(ISNA(VLOOKUP(A2128,'Master List'!A:C,2,FALSE)), "Not Found", VLOOKUP(A2128,'Master List'!A:C,2,FALSE)))</f>
        <v>Name</v>
      </c>
      <c r="D2128" s="19" t="str">
        <f>IF(ISBLANK(A2128), "Email",IF(ISNA(VLOOKUP(A2128,'Master List'!A:C,3,FALSE)), "Not Found", VLOOKUP(A2128,'Master List'!A:C,3,FALSE)))</f>
        <v>Email</v>
      </c>
      <c r="F2128" s="4" t="str">
        <f>IF(OR(A2128="",E2128="","",A2128="?",E2128="?"),"duplicate?",IF(COUNTIFS($A:A,A2128,E:E,E2128)&gt;1,"yes","no"))</f>
        <v>duplicate?</v>
      </c>
      <c r="K2128" s="97" t="str">
        <f ca="1">IF(J2128="","Date",IF(J2128&lt;&gt;"",IF(K2128="Date",NOW(),K2128),""))</f>
        <v>Date</v>
      </c>
    </row>
    <row r="2129" spans="2:11">
      <c r="B2129" s="97" t="str">
        <f ca="1">IF(A2129="","Date",IF(A2129&lt;&gt;"",IF(B2129="Date",NOW(),B2129),""))</f>
        <v>Date</v>
      </c>
      <c r="C2129" s="19" t="str">
        <f>IF(ISBLANK(A2129),"Name",IF(ISNA(VLOOKUP(A2129,'Master List'!A:C,2,FALSE)), "Not Found", VLOOKUP(A2129,'Master List'!A:C,2,FALSE)))</f>
        <v>Name</v>
      </c>
      <c r="D2129" s="19" t="str">
        <f>IF(ISBLANK(A2129), "Email",IF(ISNA(VLOOKUP(A2129,'Master List'!A:C,3,FALSE)), "Not Found", VLOOKUP(A2129,'Master List'!A:C,3,FALSE)))</f>
        <v>Email</v>
      </c>
      <c r="F2129" s="4" t="str">
        <f>IF(OR(A2129="",E2129="","",A2129="?",E2129="?"),"duplicate?",IF(COUNTIFS($A:A,A2129,E:E,E2129)&gt;1,"yes","no"))</f>
        <v>duplicate?</v>
      </c>
      <c r="K2129" s="97" t="str">
        <f ca="1">IF(J2129="","Date",IF(J2129&lt;&gt;"",IF(K2129="Date",NOW(),K2129),""))</f>
        <v>Date</v>
      </c>
    </row>
    <row r="2130" spans="2:11">
      <c r="B2130" s="97" t="str">
        <f ca="1">IF(A2130="","Date",IF(A2130&lt;&gt;"",IF(B2130="Date",NOW(),B2130),""))</f>
        <v>Date</v>
      </c>
      <c r="C2130" s="19" t="str">
        <f>IF(ISBLANK(A2130),"Name",IF(ISNA(VLOOKUP(A2130,'Master List'!A:C,2,FALSE)), "Not Found", VLOOKUP(A2130,'Master List'!A:C,2,FALSE)))</f>
        <v>Name</v>
      </c>
      <c r="D2130" s="19" t="str">
        <f>IF(ISBLANK(A2130), "Email",IF(ISNA(VLOOKUP(A2130,'Master List'!A:C,3,FALSE)), "Not Found", VLOOKUP(A2130,'Master List'!A:C,3,FALSE)))</f>
        <v>Email</v>
      </c>
      <c r="F2130" s="4" t="str">
        <f>IF(OR(A2130="",E2130="","",A2130="?",E2130="?"),"duplicate?",IF(COUNTIFS($A:A,A2130,E:E,E2130)&gt;1,"yes","no"))</f>
        <v>duplicate?</v>
      </c>
      <c r="K2130" s="97" t="str">
        <f ca="1">IF(J2130="","Date",IF(J2130&lt;&gt;"",IF(K2130="Date",NOW(),K2130),""))</f>
        <v>Date</v>
      </c>
    </row>
    <row r="2131" spans="2:11">
      <c r="B2131" s="97" t="str">
        <f ca="1">IF(A2131="","Date",IF(A2131&lt;&gt;"",IF(B2131="Date",NOW(),B2131),""))</f>
        <v>Date</v>
      </c>
      <c r="C2131" s="19" t="str">
        <f>IF(ISBLANK(A2131),"Name",IF(ISNA(VLOOKUP(A2131,'Master List'!A:C,2,FALSE)), "Not Found", VLOOKUP(A2131,'Master List'!A:C,2,FALSE)))</f>
        <v>Name</v>
      </c>
      <c r="D2131" s="19" t="str">
        <f>IF(ISBLANK(A2131), "Email",IF(ISNA(VLOOKUP(A2131,'Master List'!A:C,3,FALSE)), "Not Found", VLOOKUP(A2131,'Master List'!A:C,3,FALSE)))</f>
        <v>Email</v>
      </c>
      <c r="F2131" s="4" t="str">
        <f>IF(OR(A2131="",E2131="","",A2131="?",E2131="?"),"duplicate?",IF(COUNTIFS($A:A,A2131,E:E,E2131)&gt;1,"yes","no"))</f>
        <v>duplicate?</v>
      </c>
      <c r="K2131" s="97" t="str">
        <f ca="1">IF(J2131="","Date",IF(J2131&lt;&gt;"",IF(K2131="Date",NOW(),K2131),""))</f>
        <v>Date</v>
      </c>
    </row>
    <row r="2132" spans="2:11">
      <c r="B2132" s="97" t="str">
        <f ca="1">IF(A2132="","Date",IF(A2132&lt;&gt;"",IF(B2132="Date",NOW(),B2132),""))</f>
        <v>Date</v>
      </c>
      <c r="C2132" s="19" t="str">
        <f>IF(ISBLANK(A2132),"Name",IF(ISNA(VLOOKUP(A2132,'Master List'!A:C,2,FALSE)), "Not Found", VLOOKUP(A2132,'Master List'!A:C,2,FALSE)))</f>
        <v>Name</v>
      </c>
      <c r="D2132" s="19" t="str">
        <f>IF(ISBLANK(A2132), "Email",IF(ISNA(VLOOKUP(A2132,'Master List'!A:C,3,FALSE)), "Not Found", VLOOKUP(A2132,'Master List'!A:C,3,FALSE)))</f>
        <v>Email</v>
      </c>
      <c r="F2132" s="4" t="str">
        <f>IF(OR(A2132="",E2132="","",A2132="?",E2132="?"),"duplicate?",IF(COUNTIFS($A:A,A2132,E:E,E2132)&gt;1,"yes","no"))</f>
        <v>duplicate?</v>
      </c>
      <c r="K2132" s="97" t="str">
        <f ca="1">IF(J2132="","Date",IF(J2132&lt;&gt;"",IF(K2132="Date",NOW(),K2132),""))</f>
        <v>Date</v>
      </c>
    </row>
    <row r="2133" spans="2:11">
      <c r="B2133" s="97" t="str">
        <f ca="1">IF(A2133="","Date",IF(A2133&lt;&gt;"",IF(B2133="Date",NOW(),B2133),""))</f>
        <v>Date</v>
      </c>
      <c r="C2133" s="19" t="str">
        <f>IF(ISBLANK(A2133),"Name",IF(ISNA(VLOOKUP(A2133,'Master List'!A:C,2,FALSE)), "Not Found", VLOOKUP(A2133,'Master List'!A:C,2,FALSE)))</f>
        <v>Name</v>
      </c>
      <c r="D2133" s="19" t="str">
        <f>IF(ISBLANK(A2133), "Email",IF(ISNA(VLOOKUP(A2133,'Master List'!A:C,3,FALSE)), "Not Found", VLOOKUP(A2133,'Master List'!A:C,3,FALSE)))</f>
        <v>Email</v>
      </c>
      <c r="F2133" s="4" t="str">
        <f>IF(OR(A2133="",E2133="","",A2133="?",E2133="?"),"duplicate?",IF(COUNTIFS($A:A,A2133,E:E,E2133)&gt;1,"yes","no"))</f>
        <v>duplicate?</v>
      </c>
      <c r="K2133" s="97" t="str">
        <f ca="1">IF(J2133="","Date",IF(J2133&lt;&gt;"",IF(K2133="Date",NOW(),K2133),""))</f>
        <v>Date</v>
      </c>
    </row>
    <row r="2134" spans="2:11">
      <c r="B2134" s="97" t="str">
        <f ca="1">IF(A2134="","Date",IF(A2134&lt;&gt;"",IF(B2134="Date",NOW(),B2134),""))</f>
        <v>Date</v>
      </c>
      <c r="C2134" s="19" t="str">
        <f>IF(ISBLANK(A2134),"Name",IF(ISNA(VLOOKUP(A2134,'Master List'!A:C,2,FALSE)), "Not Found", VLOOKUP(A2134,'Master List'!A:C,2,FALSE)))</f>
        <v>Name</v>
      </c>
      <c r="D2134" s="19" t="str">
        <f>IF(ISBLANK(A2134), "Email",IF(ISNA(VLOOKUP(A2134,'Master List'!A:C,3,FALSE)), "Not Found", VLOOKUP(A2134,'Master List'!A:C,3,FALSE)))</f>
        <v>Email</v>
      </c>
      <c r="F2134" s="4" t="str">
        <f>IF(OR(A2134="",E2134="","",A2134="?",E2134="?"),"duplicate?",IF(COUNTIFS($A:A,A2134,E:E,E2134)&gt;1,"yes","no"))</f>
        <v>duplicate?</v>
      </c>
      <c r="K2134" s="97" t="str">
        <f ca="1">IF(J2134="","Date",IF(J2134&lt;&gt;"",IF(K2134="Date",NOW(),K2134),""))</f>
        <v>Date</v>
      </c>
    </row>
    <row r="2135" spans="2:11">
      <c r="B2135" s="97" t="str">
        <f ca="1">IF(A2135="","Date",IF(A2135&lt;&gt;"",IF(B2135="Date",NOW(),B2135),""))</f>
        <v>Date</v>
      </c>
      <c r="C2135" s="19" t="str">
        <f>IF(ISBLANK(A2135),"Name",IF(ISNA(VLOOKUP(A2135,'Master List'!A:C,2,FALSE)), "Not Found", VLOOKUP(A2135,'Master List'!A:C,2,FALSE)))</f>
        <v>Name</v>
      </c>
      <c r="D2135" s="19" t="str">
        <f>IF(ISBLANK(A2135), "Email",IF(ISNA(VLOOKUP(A2135,'Master List'!A:C,3,FALSE)), "Not Found", VLOOKUP(A2135,'Master List'!A:C,3,FALSE)))</f>
        <v>Email</v>
      </c>
      <c r="F2135" s="4" t="str">
        <f>IF(OR(A2135="",E2135="","",A2135="?",E2135="?"),"duplicate?",IF(COUNTIFS($A:A,A2135,E:E,E2135)&gt;1,"yes","no"))</f>
        <v>duplicate?</v>
      </c>
      <c r="K2135" s="97" t="str">
        <f ca="1">IF(J2135="","Date",IF(J2135&lt;&gt;"",IF(K2135="Date",NOW(),K2135),""))</f>
        <v>Date</v>
      </c>
    </row>
    <row r="2136" spans="2:11">
      <c r="B2136" s="97" t="str">
        <f ca="1">IF(A2136="","Date",IF(A2136&lt;&gt;"",IF(B2136="Date",NOW(),B2136),""))</f>
        <v>Date</v>
      </c>
      <c r="C2136" s="19" t="str">
        <f>IF(ISBLANK(A2136),"Name",IF(ISNA(VLOOKUP(A2136,'Master List'!A:C,2,FALSE)), "Not Found", VLOOKUP(A2136,'Master List'!A:C,2,FALSE)))</f>
        <v>Name</v>
      </c>
      <c r="D2136" s="19" t="str">
        <f>IF(ISBLANK(A2136), "Email",IF(ISNA(VLOOKUP(A2136,'Master List'!A:C,3,FALSE)), "Not Found", VLOOKUP(A2136,'Master List'!A:C,3,FALSE)))</f>
        <v>Email</v>
      </c>
      <c r="F2136" s="4" t="str">
        <f>IF(OR(A2136="",E2136="","",A2136="?",E2136="?"),"duplicate?",IF(COUNTIFS($A:A,A2136,E:E,E2136)&gt;1,"yes","no"))</f>
        <v>duplicate?</v>
      </c>
      <c r="K2136" s="97" t="str">
        <f ca="1">IF(J2136="","Date",IF(J2136&lt;&gt;"",IF(K2136="Date",NOW(),K2136),""))</f>
        <v>Date</v>
      </c>
    </row>
    <row r="2137" spans="2:11">
      <c r="B2137" s="97" t="str">
        <f ca="1">IF(A2137="","Date",IF(A2137&lt;&gt;"",IF(B2137="Date",NOW(),B2137),""))</f>
        <v>Date</v>
      </c>
      <c r="C2137" s="19" t="str">
        <f>IF(ISBLANK(A2137),"Name",IF(ISNA(VLOOKUP(A2137,'Master List'!A:C,2,FALSE)), "Not Found", VLOOKUP(A2137,'Master List'!A:C,2,FALSE)))</f>
        <v>Name</v>
      </c>
      <c r="D2137" s="19" t="str">
        <f>IF(ISBLANK(A2137), "Email",IF(ISNA(VLOOKUP(A2137,'Master List'!A:C,3,FALSE)), "Not Found", VLOOKUP(A2137,'Master List'!A:C,3,FALSE)))</f>
        <v>Email</v>
      </c>
      <c r="F2137" s="4" t="str">
        <f>IF(OR(A2137="",E2137="","",A2137="?",E2137="?"),"duplicate?",IF(COUNTIFS($A:A,A2137,E:E,E2137)&gt;1,"yes","no"))</f>
        <v>duplicate?</v>
      </c>
      <c r="K2137" s="97" t="str">
        <f ca="1">IF(J2137="","Date",IF(J2137&lt;&gt;"",IF(K2137="Date",NOW(),K2137),""))</f>
        <v>Date</v>
      </c>
    </row>
    <row r="2138" spans="2:11">
      <c r="B2138" s="97" t="str">
        <f ca="1">IF(A2138="","Date",IF(A2138&lt;&gt;"",IF(B2138="Date",NOW(),B2138),""))</f>
        <v>Date</v>
      </c>
      <c r="C2138" s="19" t="str">
        <f>IF(ISBLANK(A2138),"Name",IF(ISNA(VLOOKUP(A2138,'Master List'!A:C,2,FALSE)), "Not Found", VLOOKUP(A2138,'Master List'!A:C,2,FALSE)))</f>
        <v>Name</v>
      </c>
      <c r="D2138" s="19" t="str">
        <f>IF(ISBLANK(A2138), "Email",IF(ISNA(VLOOKUP(A2138,'Master List'!A:C,3,FALSE)), "Not Found", VLOOKUP(A2138,'Master List'!A:C,3,FALSE)))</f>
        <v>Email</v>
      </c>
      <c r="F2138" s="4" t="str">
        <f>IF(OR(A2138="",E2138="","",A2138="?",E2138="?"),"duplicate?",IF(COUNTIFS($A:A,A2138,E:E,E2138)&gt;1,"yes","no"))</f>
        <v>duplicate?</v>
      </c>
      <c r="K2138" s="97" t="str">
        <f ca="1">IF(J2138="","Date",IF(J2138&lt;&gt;"",IF(K2138="Date",NOW(),K2138),""))</f>
        <v>Date</v>
      </c>
    </row>
    <row r="2139" spans="2:11">
      <c r="B2139" s="97" t="str">
        <f ca="1">IF(A2139="","Date",IF(A2139&lt;&gt;"",IF(B2139="Date",NOW(),B2139),""))</f>
        <v>Date</v>
      </c>
      <c r="C2139" s="19" t="str">
        <f>IF(ISBLANK(A2139),"Name",IF(ISNA(VLOOKUP(A2139,'Master List'!A:C,2,FALSE)), "Not Found", VLOOKUP(A2139,'Master List'!A:C,2,FALSE)))</f>
        <v>Name</v>
      </c>
      <c r="D2139" s="19" t="str">
        <f>IF(ISBLANK(A2139), "Email",IF(ISNA(VLOOKUP(A2139,'Master List'!A:C,3,FALSE)), "Not Found", VLOOKUP(A2139,'Master List'!A:C,3,FALSE)))</f>
        <v>Email</v>
      </c>
      <c r="F2139" s="4" t="str">
        <f>IF(OR(A2139="",E2139="","",A2139="?",E2139="?"),"duplicate?",IF(COUNTIFS($A:A,A2139,E:E,E2139)&gt;1,"yes","no"))</f>
        <v>duplicate?</v>
      </c>
      <c r="K2139" s="97" t="str">
        <f ca="1">IF(J2139="","Date",IF(J2139&lt;&gt;"",IF(K2139="Date",NOW(),K2139),""))</f>
        <v>Date</v>
      </c>
    </row>
    <row r="2140" spans="2:11">
      <c r="B2140" s="97" t="str">
        <f ca="1">IF(A2140="","Date",IF(A2140&lt;&gt;"",IF(B2140="Date",NOW(),B2140),""))</f>
        <v>Date</v>
      </c>
      <c r="C2140" s="19" t="str">
        <f>IF(ISBLANK(A2140),"Name",IF(ISNA(VLOOKUP(A2140,'Master List'!A:C,2,FALSE)), "Not Found", VLOOKUP(A2140,'Master List'!A:C,2,FALSE)))</f>
        <v>Name</v>
      </c>
      <c r="D2140" s="19" t="str">
        <f>IF(ISBLANK(A2140), "Email",IF(ISNA(VLOOKUP(A2140,'Master List'!A:C,3,FALSE)), "Not Found", VLOOKUP(A2140,'Master List'!A:C,3,FALSE)))</f>
        <v>Email</v>
      </c>
      <c r="F2140" s="4" t="str">
        <f>IF(OR(A2140="",E2140="","",A2140="?",E2140="?"),"duplicate?",IF(COUNTIFS($A:A,A2140,E:E,E2140)&gt;1,"yes","no"))</f>
        <v>duplicate?</v>
      </c>
      <c r="K2140" s="97" t="str">
        <f ca="1">IF(J2140="","Date",IF(J2140&lt;&gt;"",IF(K2140="Date",NOW(),K2140),""))</f>
        <v>Date</v>
      </c>
    </row>
    <row r="2141" spans="2:11">
      <c r="B2141" s="97" t="str">
        <f ca="1">IF(A2141="","Date",IF(A2141&lt;&gt;"",IF(B2141="Date",NOW(),B2141),""))</f>
        <v>Date</v>
      </c>
      <c r="C2141" s="19" t="str">
        <f>IF(ISBLANK(A2141),"Name",IF(ISNA(VLOOKUP(A2141,'Master List'!A:C,2,FALSE)), "Not Found", VLOOKUP(A2141,'Master List'!A:C,2,FALSE)))</f>
        <v>Name</v>
      </c>
      <c r="D2141" s="19" t="str">
        <f>IF(ISBLANK(A2141), "Email",IF(ISNA(VLOOKUP(A2141,'Master List'!A:C,3,FALSE)), "Not Found", VLOOKUP(A2141,'Master List'!A:C,3,FALSE)))</f>
        <v>Email</v>
      </c>
      <c r="F2141" s="4" t="str">
        <f>IF(OR(A2141="",E2141="","",A2141="?",E2141="?"),"duplicate?",IF(COUNTIFS($A:A,A2141,E:E,E2141)&gt;1,"yes","no"))</f>
        <v>duplicate?</v>
      </c>
      <c r="K2141" s="97" t="str">
        <f ca="1">IF(J2141="","Date",IF(J2141&lt;&gt;"",IF(K2141="Date",NOW(),K2141),""))</f>
        <v>Date</v>
      </c>
    </row>
    <row r="2142" spans="2:11">
      <c r="B2142" s="97" t="str">
        <f ca="1">IF(A2142="","Date",IF(A2142&lt;&gt;"",IF(B2142="Date",NOW(),B2142),""))</f>
        <v>Date</v>
      </c>
      <c r="C2142" s="19" t="str">
        <f>IF(ISBLANK(A2142),"Name",IF(ISNA(VLOOKUP(A2142,'Master List'!A:C,2,FALSE)), "Not Found", VLOOKUP(A2142,'Master List'!A:C,2,FALSE)))</f>
        <v>Name</v>
      </c>
      <c r="D2142" s="19" t="str">
        <f>IF(ISBLANK(A2142), "Email",IF(ISNA(VLOOKUP(A2142,'Master List'!A:C,3,FALSE)), "Not Found", VLOOKUP(A2142,'Master List'!A:C,3,FALSE)))</f>
        <v>Email</v>
      </c>
      <c r="F2142" s="4" t="str">
        <f>IF(OR(A2142="",E2142="","",A2142="?",E2142="?"),"duplicate?",IF(COUNTIFS($A:A,A2142,E:E,E2142)&gt;1,"yes","no"))</f>
        <v>duplicate?</v>
      </c>
      <c r="K2142" s="97" t="str">
        <f ca="1">IF(J2142="","Date",IF(J2142&lt;&gt;"",IF(K2142="Date",NOW(),K2142),""))</f>
        <v>Date</v>
      </c>
    </row>
    <row r="2143" spans="2:11">
      <c r="B2143" s="97" t="str">
        <f ca="1">IF(A2143="","Date",IF(A2143&lt;&gt;"",IF(B2143="Date",NOW(),B2143),""))</f>
        <v>Date</v>
      </c>
      <c r="C2143" s="19" t="str">
        <f>IF(ISBLANK(A2143),"Name",IF(ISNA(VLOOKUP(A2143,'Master List'!A:C,2,FALSE)), "Not Found", VLOOKUP(A2143,'Master List'!A:C,2,FALSE)))</f>
        <v>Name</v>
      </c>
      <c r="D2143" s="19" t="str">
        <f>IF(ISBLANK(A2143), "Email",IF(ISNA(VLOOKUP(A2143,'Master List'!A:C,3,FALSE)), "Not Found", VLOOKUP(A2143,'Master List'!A:C,3,FALSE)))</f>
        <v>Email</v>
      </c>
      <c r="F2143" s="4" t="str">
        <f>IF(OR(A2143="",E2143="","",A2143="?",E2143="?"),"duplicate?",IF(COUNTIFS($A:A,A2143,E:E,E2143)&gt;1,"yes","no"))</f>
        <v>duplicate?</v>
      </c>
      <c r="K2143" s="97" t="str">
        <f ca="1">IF(J2143="","Date",IF(J2143&lt;&gt;"",IF(K2143="Date",NOW(),K2143),""))</f>
        <v>Date</v>
      </c>
    </row>
    <row r="2144" spans="2:11">
      <c r="B2144" s="97" t="str">
        <f ca="1">IF(A2144="","Date",IF(A2144&lt;&gt;"",IF(B2144="Date",NOW(),B2144),""))</f>
        <v>Date</v>
      </c>
      <c r="C2144" s="19" t="str">
        <f>IF(ISBLANK(A2144),"Name",IF(ISNA(VLOOKUP(A2144,'Master List'!A:C,2,FALSE)), "Not Found", VLOOKUP(A2144,'Master List'!A:C,2,FALSE)))</f>
        <v>Name</v>
      </c>
      <c r="D2144" s="19" t="str">
        <f>IF(ISBLANK(A2144), "Email",IF(ISNA(VLOOKUP(A2144,'Master List'!A:C,3,FALSE)), "Not Found", VLOOKUP(A2144,'Master List'!A:C,3,FALSE)))</f>
        <v>Email</v>
      </c>
      <c r="F2144" s="4" t="str">
        <f>IF(OR(A2144="",E2144="","",A2144="?",E2144="?"),"duplicate?",IF(COUNTIFS($A:A,A2144,E:E,E2144)&gt;1,"yes","no"))</f>
        <v>duplicate?</v>
      </c>
      <c r="K2144" s="97" t="str">
        <f ca="1">IF(J2144="","Date",IF(J2144&lt;&gt;"",IF(K2144="Date",NOW(),K2144),""))</f>
        <v>Date</v>
      </c>
    </row>
    <row r="2145" spans="2:11">
      <c r="B2145" s="97" t="str">
        <f ca="1">IF(A2145="","Date",IF(A2145&lt;&gt;"",IF(B2145="Date",NOW(),B2145),""))</f>
        <v>Date</v>
      </c>
      <c r="C2145" s="19" t="str">
        <f>IF(ISBLANK(A2145),"Name",IF(ISNA(VLOOKUP(A2145,'Master List'!A:C,2,FALSE)), "Not Found", VLOOKUP(A2145,'Master List'!A:C,2,FALSE)))</f>
        <v>Name</v>
      </c>
      <c r="D2145" s="19" t="str">
        <f>IF(ISBLANK(A2145), "Email",IF(ISNA(VLOOKUP(A2145,'Master List'!A:C,3,FALSE)), "Not Found", VLOOKUP(A2145,'Master List'!A:C,3,FALSE)))</f>
        <v>Email</v>
      </c>
      <c r="F2145" s="4" t="str">
        <f>IF(OR(A2145="",E2145="","",A2145="?",E2145="?"),"duplicate?",IF(COUNTIFS($A:A,A2145,E:E,E2145)&gt;1,"yes","no"))</f>
        <v>duplicate?</v>
      </c>
      <c r="K2145" s="97" t="str">
        <f ca="1">IF(J2145="","Date",IF(J2145&lt;&gt;"",IF(K2145="Date",NOW(),K2145),""))</f>
        <v>Date</v>
      </c>
    </row>
    <row r="2146" spans="2:11">
      <c r="B2146" s="97" t="str">
        <f ca="1">IF(A2146="","Date",IF(A2146&lt;&gt;"",IF(B2146="Date",NOW(),B2146),""))</f>
        <v>Date</v>
      </c>
      <c r="C2146" s="19" t="str">
        <f>IF(ISBLANK(A2146),"Name",IF(ISNA(VLOOKUP(A2146,'Master List'!A:C,2,FALSE)), "Not Found", VLOOKUP(A2146,'Master List'!A:C,2,FALSE)))</f>
        <v>Name</v>
      </c>
      <c r="D2146" s="19" t="str">
        <f>IF(ISBLANK(A2146), "Email",IF(ISNA(VLOOKUP(A2146,'Master List'!A:C,3,FALSE)), "Not Found", VLOOKUP(A2146,'Master List'!A:C,3,FALSE)))</f>
        <v>Email</v>
      </c>
      <c r="F2146" s="4" t="str">
        <f>IF(OR(A2146="",E2146="","",A2146="?",E2146="?"),"duplicate?",IF(COUNTIFS($A:A,A2146,E:E,E2146)&gt;1,"yes","no"))</f>
        <v>duplicate?</v>
      </c>
      <c r="K2146" s="97" t="str">
        <f ca="1">IF(J2146="","Date",IF(J2146&lt;&gt;"",IF(K2146="Date",NOW(),K2146),""))</f>
        <v>Date</v>
      </c>
    </row>
    <row r="2147" spans="2:11">
      <c r="B2147" s="97" t="str">
        <f ca="1">IF(A2147="","Date",IF(A2147&lt;&gt;"",IF(B2147="Date",NOW(),B2147),""))</f>
        <v>Date</v>
      </c>
      <c r="C2147" s="19" t="str">
        <f>IF(ISBLANK(A2147),"Name",IF(ISNA(VLOOKUP(A2147,'Master List'!A:C,2,FALSE)), "Not Found", VLOOKUP(A2147,'Master List'!A:C,2,FALSE)))</f>
        <v>Name</v>
      </c>
      <c r="D2147" s="19" t="str">
        <f>IF(ISBLANK(A2147), "Email",IF(ISNA(VLOOKUP(A2147,'Master List'!A:C,3,FALSE)), "Not Found", VLOOKUP(A2147,'Master List'!A:C,3,FALSE)))</f>
        <v>Email</v>
      </c>
      <c r="F2147" s="4" t="str">
        <f>IF(OR(A2147="",E2147="","",A2147="?",E2147="?"),"duplicate?",IF(COUNTIFS($A:A,A2147,E:E,E2147)&gt;1,"yes","no"))</f>
        <v>duplicate?</v>
      </c>
      <c r="K2147" s="97" t="str">
        <f ca="1">IF(J2147="","Date",IF(J2147&lt;&gt;"",IF(K2147="Date",NOW(),K2147),""))</f>
        <v>Date</v>
      </c>
    </row>
    <row r="2148" spans="2:11">
      <c r="B2148" s="97" t="str">
        <f ca="1">IF(A2148="","Date",IF(A2148&lt;&gt;"",IF(B2148="Date",NOW(),B2148),""))</f>
        <v>Date</v>
      </c>
      <c r="C2148" s="19" t="str">
        <f>IF(ISBLANK(A2148),"Name",IF(ISNA(VLOOKUP(A2148,'Master List'!A:C,2,FALSE)), "Not Found", VLOOKUP(A2148,'Master List'!A:C,2,FALSE)))</f>
        <v>Name</v>
      </c>
      <c r="D2148" s="19" t="str">
        <f>IF(ISBLANK(A2148), "Email",IF(ISNA(VLOOKUP(A2148,'Master List'!A:C,3,FALSE)), "Not Found", VLOOKUP(A2148,'Master List'!A:C,3,FALSE)))</f>
        <v>Email</v>
      </c>
      <c r="F2148" s="4" t="str">
        <f>IF(OR(A2148="",E2148="","",A2148="?",E2148="?"),"duplicate?",IF(COUNTIFS($A:A,A2148,E:E,E2148)&gt;1,"yes","no"))</f>
        <v>duplicate?</v>
      </c>
      <c r="K2148" s="97" t="str">
        <f ca="1">IF(J2148="","Date",IF(J2148&lt;&gt;"",IF(K2148="Date",NOW(),K2148),""))</f>
        <v>Date</v>
      </c>
    </row>
    <row r="2149" spans="2:11">
      <c r="B2149" s="97" t="str">
        <f ca="1">IF(A2149="","Date",IF(A2149&lt;&gt;"",IF(B2149="Date",NOW(),B2149),""))</f>
        <v>Date</v>
      </c>
      <c r="C2149" s="19" t="str">
        <f>IF(ISBLANK(A2149),"Name",IF(ISNA(VLOOKUP(A2149,'Master List'!A:C,2,FALSE)), "Not Found", VLOOKUP(A2149,'Master List'!A:C,2,FALSE)))</f>
        <v>Name</v>
      </c>
      <c r="D2149" s="19" t="str">
        <f>IF(ISBLANK(A2149), "Email",IF(ISNA(VLOOKUP(A2149,'Master List'!A:C,3,FALSE)), "Not Found", VLOOKUP(A2149,'Master List'!A:C,3,FALSE)))</f>
        <v>Email</v>
      </c>
      <c r="F2149" s="4" t="str">
        <f>IF(OR(A2149="",E2149="","",A2149="?",E2149="?"),"duplicate?",IF(COUNTIFS($A:A,A2149,E:E,E2149)&gt;1,"yes","no"))</f>
        <v>duplicate?</v>
      </c>
      <c r="K2149" s="97" t="str">
        <f ca="1">IF(J2149="","Date",IF(J2149&lt;&gt;"",IF(K2149="Date",NOW(),K2149),""))</f>
        <v>Date</v>
      </c>
    </row>
    <row r="2150" spans="2:11">
      <c r="B2150" s="97" t="str">
        <f ca="1">IF(A2150="","Date",IF(A2150&lt;&gt;"",IF(B2150="Date",NOW(),B2150),""))</f>
        <v>Date</v>
      </c>
      <c r="C2150" s="19" t="str">
        <f>IF(ISBLANK(A2150),"Name",IF(ISNA(VLOOKUP(A2150,'Master List'!A:C,2,FALSE)), "Not Found", VLOOKUP(A2150,'Master List'!A:C,2,FALSE)))</f>
        <v>Name</v>
      </c>
      <c r="D2150" s="19" t="str">
        <f>IF(ISBLANK(A2150), "Email",IF(ISNA(VLOOKUP(A2150,'Master List'!A:C,3,FALSE)), "Not Found", VLOOKUP(A2150,'Master List'!A:C,3,FALSE)))</f>
        <v>Email</v>
      </c>
      <c r="F2150" s="4" t="str">
        <f>IF(OR(A2150="",E2150="","",A2150="?",E2150="?"),"duplicate?",IF(COUNTIFS($A:A,A2150,E:E,E2150)&gt;1,"yes","no"))</f>
        <v>duplicate?</v>
      </c>
      <c r="K2150" s="97" t="str">
        <f ca="1">IF(J2150="","Date",IF(J2150&lt;&gt;"",IF(K2150="Date",NOW(),K2150),""))</f>
        <v>Date</v>
      </c>
    </row>
    <row r="2151" spans="2:11">
      <c r="B2151" s="97" t="str">
        <f ca="1">IF(A2151="","Date",IF(A2151&lt;&gt;"",IF(B2151="Date",NOW(),B2151),""))</f>
        <v>Date</v>
      </c>
      <c r="C2151" s="19" t="str">
        <f>IF(ISBLANK(A2151),"Name",IF(ISNA(VLOOKUP(A2151,'Master List'!A:C,2,FALSE)), "Not Found", VLOOKUP(A2151,'Master List'!A:C,2,FALSE)))</f>
        <v>Name</v>
      </c>
      <c r="D2151" s="19" t="str">
        <f>IF(ISBLANK(A2151), "Email",IF(ISNA(VLOOKUP(A2151,'Master List'!A:C,3,FALSE)), "Not Found", VLOOKUP(A2151,'Master List'!A:C,3,FALSE)))</f>
        <v>Email</v>
      </c>
      <c r="F2151" s="4" t="str">
        <f>IF(OR(A2151="",E2151="","",A2151="?",E2151="?"),"duplicate?",IF(COUNTIFS($A:A,A2151,E:E,E2151)&gt;1,"yes","no"))</f>
        <v>duplicate?</v>
      </c>
      <c r="K2151" s="97" t="str">
        <f ca="1">IF(J2151="","Date",IF(J2151&lt;&gt;"",IF(K2151="Date",NOW(),K2151),""))</f>
        <v>Date</v>
      </c>
    </row>
    <row r="2152" spans="2:11">
      <c r="B2152" s="97" t="str">
        <f ca="1">IF(A2152="","Date",IF(A2152&lt;&gt;"",IF(B2152="Date",NOW(),B2152),""))</f>
        <v>Date</v>
      </c>
      <c r="C2152" s="19" t="str">
        <f>IF(ISBLANK(A2152),"Name",IF(ISNA(VLOOKUP(A2152,'Master List'!A:C,2,FALSE)), "Not Found", VLOOKUP(A2152,'Master List'!A:C,2,FALSE)))</f>
        <v>Name</v>
      </c>
      <c r="D2152" s="19" t="str">
        <f>IF(ISBLANK(A2152), "Email",IF(ISNA(VLOOKUP(A2152,'Master List'!A:C,3,FALSE)), "Not Found", VLOOKUP(A2152,'Master List'!A:C,3,FALSE)))</f>
        <v>Email</v>
      </c>
      <c r="F2152" s="4" t="str">
        <f>IF(OR(A2152="",E2152="","",A2152="?",E2152="?"),"duplicate?",IF(COUNTIFS($A:A,A2152,E:E,E2152)&gt;1,"yes","no"))</f>
        <v>duplicate?</v>
      </c>
      <c r="K2152" s="97" t="str">
        <f ca="1">IF(J2152="","Date",IF(J2152&lt;&gt;"",IF(K2152="Date",NOW(),K2152),""))</f>
        <v>Date</v>
      </c>
    </row>
    <row r="2153" spans="2:11">
      <c r="B2153" s="97" t="str">
        <f ca="1">IF(A2153="","Date",IF(A2153&lt;&gt;"",IF(B2153="Date",NOW(),B2153),""))</f>
        <v>Date</v>
      </c>
      <c r="C2153" s="19" t="str">
        <f>IF(ISBLANK(A2153),"Name",IF(ISNA(VLOOKUP(A2153,'Master List'!A:C,2,FALSE)), "Not Found", VLOOKUP(A2153,'Master List'!A:C,2,FALSE)))</f>
        <v>Name</v>
      </c>
      <c r="D2153" s="19" t="str">
        <f>IF(ISBLANK(A2153), "Email",IF(ISNA(VLOOKUP(A2153,'Master List'!A:C,3,FALSE)), "Not Found", VLOOKUP(A2153,'Master List'!A:C,3,FALSE)))</f>
        <v>Email</v>
      </c>
      <c r="F2153" s="4" t="str">
        <f>IF(OR(A2153="",E2153="","",A2153="?",E2153="?"),"duplicate?",IF(COUNTIFS($A:A,A2153,E:E,E2153)&gt;1,"yes","no"))</f>
        <v>duplicate?</v>
      </c>
      <c r="K2153" s="97" t="str">
        <f ca="1">IF(J2153="","Date",IF(J2153&lt;&gt;"",IF(K2153="Date",NOW(),K2153),""))</f>
        <v>Date</v>
      </c>
    </row>
    <row r="2154" spans="2:11">
      <c r="B2154" s="97" t="str">
        <f ca="1">IF(A2154="","Date",IF(A2154&lt;&gt;"",IF(B2154="Date",NOW(),B2154),""))</f>
        <v>Date</v>
      </c>
      <c r="C2154" s="19" t="str">
        <f>IF(ISBLANK(A2154),"Name",IF(ISNA(VLOOKUP(A2154,'Master List'!A:C,2,FALSE)), "Not Found", VLOOKUP(A2154,'Master List'!A:C,2,FALSE)))</f>
        <v>Name</v>
      </c>
      <c r="D2154" s="19" t="str">
        <f>IF(ISBLANK(A2154), "Email",IF(ISNA(VLOOKUP(A2154,'Master List'!A:C,3,FALSE)), "Not Found", VLOOKUP(A2154,'Master List'!A:C,3,FALSE)))</f>
        <v>Email</v>
      </c>
      <c r="F2154" s="4" t="str">
        <f>IF(OR(A2154="",E2154="","",A2154="?",E2154="?"),"duplicate?",IF(COUNTIFS($A:A,A2154,E:E,E2154)&gt;1,"yes","no"))</f>
        <v>duplicate?</v>
      </c>
      <c r="K2154" s="97" t="str">
        <f ca="1">IF(J2154="","Date",IF(J2154&lt;&gt;"",IF(K2154="Date",NOW(),K2154),""))</f>
        <v>Date</v>
      </c>
    </row>
    <row r="2155" spans="2:11">
      <c r="B2155" s="97" t="str">
        <f ca="1">IF(A2155="","Date",IF(A2155&lt;&gt;"",IF(B2155="Date",NOW(),B2155),""))</f>
        <v>Date</v>
      </c>
      <c r="C2155" s="19" t="str">
        <f>IF(ISBLANK(A2155),"Name",IF(ISNA(VLOOKUP(A2155,'Master List'!A:C,2,FALSE)), "Not Found", VLOOKUP(A2155,'Master List'!A:C,2,FALSE)))</f>
        <v>Name</v>
      </c>
      <c r="D2155" s="19" t="str">
        <f>IF(ISBLANK(A2155), "Email",IF(ISNA(VLOOKUP(A2155,'Master List'!A:C,3,FALSE)), "Not Found", VLOOKUP(A2155,'Master List'!A:C,3,FALSE)))</f>
        <v>Email</v>
      </c>
      <c r="F2155" s="4" t="str">
        <f>IF(OR(A2155="",E2155="","",A2155="?",E2155="?"),"duplicate?",IF(COUNTIFS($A:A,A2155,E:E,E2155)&gt;1,"yes","no"))</f>
        <v>duplicate?</v>
      </c>
      <c r="K2155" s="97" t="str">
        <f ca="1">IF(J2155="","Date",IF(J2155&lt;&gt;"",IF(K2155="Date",NOW(),K2155),""))</f>
        <v>Date</v>
      </c>
    </row>
    <row r="2156" spans="2:11">
      <c r="B2156" s="97" t="str">
        <f ca="1">IF(A2156="","Date",IF(A2156&lt;&gt;"",IF(B2156="Date",NOW(),B2156),""))</f>
        <v>Date</v>
      </c>
      <c r="C2156" s="19" t="str">
        <f>IF(ISBLANK(A2156),"Name",IF(ISNA(VLOOKUP(A2156,'Master List'!A:C,2,FALSE)), "Not Found", VLOOKUP(A2156,'Master List'!A:C,2,FALSE)))</f>
        <v>Name</v>
      </c>
      <c r="D2156" s="19" t="str">
        <f>IF(ISBLANK(A2156), "Email",IF(ISNA(VLOOKUP(A2156,'Master List'!A:C,3,FALSE)), "Not Found", VLOOKUP(A2156,'Master List'!A:C,3,FALSE)))</f>
        <v>Email</v>
      </c>
      <c r="F2156" s="4" t="str">
        <f>IF(OR(A2156="",E2156="","",A2156="?",E2156="?"),"duplicate?",IF(COUNTIFS($A:A,A2156,E:E,E2156)&gt;1,"yes","no"))</f>
        <v>duplicate?</v>
      </c>
      <c r="K2156" s="97" t="str">
        <f ca="1">IF(J2156="","Date",IF(J2156&lt;&gt;"",IF(K2156="Date",NOW(),K2156),""))</f>
        <v>Date</v>
      </c>
    </row>
    <row r="2157" spans="2:11">
      <c r="B2157" s="97" t="str">
        <f ca="1">IF(A2157="","Date",IF(A2157&lt;&gt;"",IF(B2157="Date",NOW(),B2157),""))</f>
        <v>Date</v>
      </c>
      <c r="C2157" s="19" t="str">
        <f>IF(ISBLANK(A2157),"Name",IF(ISNA(VLOOKUP(A2157,'Master List'!A:C,2,FALSE)), "Not Found", VLOOKUP(A2157,'Master List'!A:C,2,FALSE)))</f>
        <v>Name</v>
      </c>
      <c r="D2157" s="19" t="str">
        <f>IF(ISBLANK(A2157), "Email",IF(ISNA(VLOOKUP(A2157,'Master List'!A:C,3,FALSE)), "Not Found", VLOOKUP(A2157,'Master List'!A:C,3,FALSE)))</f>
        <v>Email</v>
      </c>
      <c r="F2157" s="4" t="str">
        <f>IF(OR(A2157="",E2157="","",A2157="?",E2157="?"),"duplicate?",IF(COUNTIFS($A:A,A2157,E:E,E2157)&gt;1,"yes","no"))</f>
        <v>duplicate?</v>
      </c>
      <c r="K2157" s="97" t="str">
        <f ca="1">IF(J2157="","Date",IF(J2157&lt;&gt;"",IF(K2157="Date",NOW(),K2157),""))</f>
        <v>Date</v>
      </c>
    </row>
    <row r="2158" spans="2:11">
      <c r="B2158" s="97" t="str">
        <f ca="1">IF(A2158="","Date",IF(A2158&lt;&gt;"",IF(B2158="Date",NOW(),B2158),""))</f>
        <v>Date</v>
      </c>
      <c r="C2158" s="19" t="str">
        <f>IF(ISBLANK(A2158),"Name",IF(ISNA(VLOOKUP(A2158,'Master List'!A:C,2,FALSE)), "Not Found", VLOOKUP(A2158,'Master List'!A:C,2,FALSE)))</f>
        <v>Name</v>
      </c>
      <c r="D2158" s="19" t="str">
        <f>IF(ISBLANK(A2158), "Email",IF(ISNA(VLOOKUP(A2158,'Master List'!A:C,3,FALSE)), "Not Found", VLOOKUP(A2158,'Master List'!A:C,3,FALSE)))</f>
        <v>Email</v>
      </c>
      <c r="F2158" s="4" t="str">
        <f>IF(OR(A2158="",E2158="","",A2158="?",E2158="?"),"duplicate?",IF(COUNTIFS($A:A,A2158,E:E,E2158)&gt;1,"yes","no"))</f>
        <v>duplicate?</v>
      </c>
      <c r="K2158" s="97" t="str">
        <f ca="1">IF(J2158="","Date",IF(J2158&lt;&gt;"",IF(K2158="Date",NOW(),K2158),""))</f>
        <v>Date</v>
      </c>
    </row>
    <row r="2159" spans="2:11">
      <c r="B2159" s="97" t="str">
        <f ca="1">IF(A2159="","Date",IF(A2159&lt;&gt;"",IF(B2159="Date",NOW(),B2159),""))</f>
        <v>Date</v>
      </c>
      <c r="C2159" s="19" t="str">
        <f>IF(ISBLANK(A2159),"Name",IF(ISNA(VLOOKUP(A2159,'Master List'!A:C,2,FALSE)), "Not Found", VLOOKUP(A2159,'Master List'!A:C,2,FALSE)))</f>
        <v>Name</v>
      </c>
      <c r="D2159" s="19" t="str">
        <f>IF(ISBLANK(A2159), "Email",IF(ISNA(VLOOKUP(A2159,'Master List'!A:C,3,FALSE)), "Not Found", VLOOKUP(A2159,'Master List'!A:C,3,FALSE)))</f>
        <v>Email</v>
      </c>
      <c r="F2159" s="4" t="str">
        <f>IF(OR(A2159="",E2159="","",A2159="?",E2159="?"),"duplicate?",IF(COUNTIFS($A:A,A2159,E:E,E2159)&gt;1,"yes","no"))</f>
        <v>duplicate?</v>
      </c>
      <c r="K2159" s="97" t="str">
        <f ca="1">IF(J2159="","Date",IF(J2159&lt;&gt;"",IF(K2159="Date",NOW(),K2159),""))</f>
        <v>Date</v>
      </c>
    </row>
    <row r="2160" spans="2:11">
      <c r="B2160" s="97" t="str">
        <f ca="1">IF(A2160="","Date",IF(A2160&lt;&gt;"",IF(B2160="Date",NOW(),B2160),""))</f>
        <v>Date</v>
      </c>
      <c r="C2160" s="19" t="str">
        <f>IF(ISBLANK(A2160),"Name",IF(ISNA(VLOOKUP(A2160,'Master List'!A:C,2,FALSE)), "Not Found", VLOOKUP(A2160,'Master List'!A:C,2,FALSE)))</f>
        <v>Name</v>
      </c>
      <c r="D2160" s="19" t="str">
        <f>IF(ISBLANK(A2160), "Email",IF(ISNA(VLOOKUP(A2160,'Master List'!A:C,3,FALSE)), "Not Found", VLOOKUP(A2160,'Master List'!A:C,3,FALSE)))</f>
        <v>Email</v>
      </c>
      <c r="F2160" s="4" t="str">
        <f>IF(OR(A2160="",E2160="","",A2160="?",E2160="?"),"duplicate?",IF(COUNTIFS($A:A,A2160,E:E,E2160)&gt;1,"yes","no"))</f>
        <v>duplicate?</v>
      </c>
      <c r="K2160" s="97" t="str">
        <f ca="1">IF(J2160="","Date",IF(J2160&lt;&gt;"",IF(K2160="Date",NOW(),K2160),""))</f>
        <v>Date</v>
      </c>
    </row>
    <row r="2161" spans="2:11">
      <c r="B2161" s="97" t="str">
        <f ca="1">IF(A2161="","Date",IF(A2161&lt;&gt;"",IF(B2161="Date",NOW(),B2161),""))</f>
        <v>Date</v>
      </c>
      <c r="C2161" s="19" t="str">
        <f>IF(ISBLANK(A2161),"Name",IF(ISNA(VLOOKUP(A2161,'Master List'!A:C,2,FALSE)), "Not Found", VLOOKUP(A2161,'Master List'!A:C,2,FALSE)))</f>
        <v>Name</v>
      </c>
      <c r="D2161" s="19" t="str">
        <f>IF(ISBLANK(A2161), "Email",IF(ISNA(VLOOKUP(A2161,'Master List'!A:C,3,FALSE)), "Not Found", VLOOKUP(A2161,'Master List'!A:C,3,FALSE)))</f>
        <v>Email</v>
      </c>
      <c r="F2161" s="4" t="str">
        <f>IF(OR(A2161="",E2161="","",A2161="?",E2161="?"),"duplicate?",IF(COUNTIFS($A:A,A2161,E:E,E2161)&gt;1,"yes","no"))</f>
        <v>duplicate?</v>
      </c>
      <c r="K2161" s="97" t="str">
        <f ca="1">IF(J2161="","Date",IF(J2161&lt;&gt;"",IF(K2161="Date",NOW(),K2161),""))</f>
        <v>Date</v>
      </c>
    </row>
    <row r="2162" spans="2:11">
      <c r="B2162" s="97" t="str">
        <f ca="1">IF(A2162="","Date",IF(A2162&lt;&gt;"",IF(B2162="Date",NOW(),B2162),""))</f>
        <v>Date</v>
      </c>
      <c r="C2162" s="19" t="str">
        <f>IF(ISBLANK(A2162),"Name",IF(ISNA(VLOOKUP(A2162,'Master List'!A:C,2,FALSE)), "Not Found", VLOOKUP(A2162,'Master List'!A:C,2,FALSE)))</f>
        <v>Name</v>
      </c>
      <c r="D2162" s="19" t="str">
        <f>IF(ISBLANK(A2162), "Email",IF(ISNA(VLOOKUP(A2162,'Master List'!A:C,3,FALSE)), "Not Found", VLOOKUP(A2162,'Master List'!A:C,3,FALSE)))</f>
        <v>Email</v>
      </c>
      <c r="F2162" s="4" t="str">
        <f>IF(OR(A2162="",E2162="","",A2162="?",E2162="?"),"duplicate?",IF(COUNTIFS($A:A,A2162,E:E,E2162)&gt;1,"yes","no"))</f>
        <v>duplicate?</v>
      </c>
      <c r="K2162" s="97" t="str">
        <f ca="1">IF(J2162="","Date",IF(J2162&lt;&gt;"",IF(K2162="Date",NOW(),K2162),""))</f>
        <v>Date</v>
      </c>
    </row>
    <row r="2163" spans="2:11">
      <c r="B2163" s="97" t="str">
        <f ca="1">IF(A2163="","Date",IF(A2163&lt;&gt;"",IF(B2163="Date",NOW(),B2163),""))</f>
        <v>Date</v>
      </c>
      <c r="C2163" s="19" t="str">
        <f>IF(ISBLANK(A2163),"Name",IF(ISNA(VLOOKUP(A2163,'Master List'!A:C,2,FALSE)), "Not Found", VLOOKUP(A2163,'Master List'!A:C,2,FALSE)))</f>
        <v>Name</v>
      </c>
      <c r="D2163" s="19" t="str">
        <f>IF(ISBLANK(A2163), "Email",IF(ISNA(VLOOKUP(A2163,'Master List'!A:C,3,FALSE)), "Not Found", VLOOKUP(A2163,'Master List'!A:C,3,FALSE)))</f>
        <v>Email</v>
      </c>
      <c r="F2163" s="4" t="str">
        <f>IF(OR(A2163="",E2163="","",A2163="?",E2163="?"),"duplicate?",IF(COUNTIFS($A:A,A2163,E:E,E2163)&gt;1,"yes","no"))</f>
        <v>duplicate?</v>
      </c>
      <c r="K2163" s="97" t="str">
        <f ca="1">IF(J2163="","Date",IF(J2163&lt;&gt;"",IF(K2163="Date",NOW(),K2163),""))</f>
        <v>Date</v>
      </c>
    </row>
    <row r="2164" spans="2:11">
      <c r="B2164" s="97" t="str">
        <f ca="1">IF(A2164="","Date",IF(A2164&lt;&gt;"",IF(B2164="Date",NOW(),B2164),""))</f>
        <v>Date</v>
      </c>
      <c r="C2164" s="19" t="str">
        <f>IF(ISBLANK(A2164),"Name",IF(ISNA(VLOOKUP(A2164,'Master List'!A:C,2,FALSE)), "Not Found", VLOOKUP(A2164,'Master List'!A:C,2,FALSE)))</f>
        <v>Name</v>
      </c>
      <c r="D2164" s="19" t="str">
        <f>IF(ISBLANK(A2164), "Email",IF(ISNA(VLOOKUP(A2164,'Master List'!A:C,3,FALSE)), "Not Found", VLOOKUP(A2164,'Master List'!A:C,3,FALSE)))</f>
        <v>Email</v>
      </c>
      <c r="F2164" s="4" t="str">
        <f>IF(OR(A2164="",E2164="","",A2164="?",E2164="?"),"duplicate?",IF(COUNTIFS($A:A,A2164,E:E,E2164)&gt;1,"yes","no"))</f>
        <v>duplicate?</v>
      </c>
      <c r="K2164" s="97" t="str">
        <f ca="1">IF(J2164="","Date",IF(J2164&lt;&gt;"",IF(K2164="Date",NOW(),K2164),""))</f>
        <v>Date</v>
      </c>
    </row>
    <row r="2165" spans="2:11">
      <c r="B2165" s="97" t="str">
        <f ca="1">IF(A2165="","Date",IF(A2165&lt;&gt;"",IF(B2165="Date",NOW(),B2165),""))</f>
        <v>Date</v>
      </c>
      <c r="C2165" s="19" t="str">
        <f>IF(ISBLANK(A2165),"Name",IF(ISNA(VLOOKUP(A2165,'Master List'!A:C,2,FALSE)), "Not Found", VLOOKUP(A2165,'Master List'!A:C,2,FALSE)))</f>
        <v>Name</v>
      </c>
      <c r="D2165" s="19" t="str">
        <f>IF(ISBLANK(A2165), "Email",IF(ISNA(VLOOKUP(A2165,'Master List'!A:C,3,FALSE)), "Not Found", VLOOKUP(A2165,'Master List'!A:C,3,FALSE)))</f>
        <v>Email</v>
      </c>
      <c r="F2165" s="4" t="str">
        <f>IF(OR(A2165="",E2165="","",A2165="?",E2165="?"),"duplicate?",IF(COUNTIFS($A:A,A2165,E:E,E2165)&gt;1,"yes","no"))</f>
        <v>duplicate?</v>
      </c>
      <c r="K2165" s="97" t="str">
        <f ca="1">IF(J2165="","Date",IF(J2165&lt;&gt;"",IF(K2165="Date",NOW(),K2165),""))</f>
        <v>Date</v>
      </c>
    </row>
    <row r="2166" spans="2:11">
      <c r="B2166" s="97" t="str">
        <f ca="1">IF(A2166="","Date",IF(A2166&lt;&gt;"",IF(B2166="Date",NOW(),B2166),""))</f>
        <v>Date</v>
      </c>
      <c r="C2166" s="19" t="str">
        <f>IF(ISBLANK(A2166),"Name",IF(ISNA(VLOOKUP(A2166,'Master List'!A:C,2,FALSE)), "Not Found", VLOOKUP(A2166,'Master List'!A:C,2,FALSE)))</f>
        <v>Name</v>
      </c>
      <c r="D2166" s="19" t="str">
        <f>IF(ISBLANK(A2166), "Email",IF(ISNA(VLOOKUP(A2166,'Master List'!A:C,3,FALSE)), "Not Found", VLOOKUP(A2166,'Master List'!A:C,3,FALSE)))</f>
        <v>Email</v>
      </c>
      <c r="F2166" s="4" t="str">
        <f>IF(OR(A2166="",E2166="","",A2166="?",E2166="?"),"duplicate?",IF(COUNTIFS($A:A,A2166,E:E,E2166)&gt;1,"yes","no"))</f>
        <v>duplicate?</v>
      </c>
      <c r="K2166" s="97" t="str">
        <f ca="1">IF(J2166="","Date",IF(J2166&lt;&gt;"",IF(K2166="Date",NOW(),K2166),""))</f>
        <v>Date</v>
      </c>
    </row>
    <row r="2167" spans="2:11">
      <c r="B2167" s="97" t="str">
        <f ca="1">IF(A2167="","Date",IF(A2167&lt;&gt;"",IF(B2167="Date",NOW(),B2167),""))</f>
        <v>Date</v>
      </c>
      <c r="C2167" s="19" t="str">
        <f>IF(ISBLANK(A2167),"Name",IF(ISNA(VLOOKUP(A2167,'Master List'!A:C,2,FALSE)), "Not Found", VLOOKUP(A2167,'Master List'!A:C,2,FALSE)))</f>
        <v>Name</v>
      </c>
      <c r="D2167" s="19" t="str">
        <f>IF(ISBLANK(A2167), "Email",IF(ISNA(VLOOKUP(A2167,'Master List'!A:C,3,FALSE)), "Not Found", VLOOKUP(A2167,'Master List'!A:C,3,FALSE)))</f>
        <v>Email</v>
      </c>
      <c r="F2167" s="4" t="str">
        <f>IF(OR(A2167="",E2167="","",A2167="?",E2167="?"),"duplicate?",IF(COUNTIFS($A:A,A2167,E:E,E2167)&gt;1,"yes","no"))</f>
        <v>duplicate?</v>
      </c>
      <c r="K2167" s="97" t="str">
        <f ca="1">IF(J2167="","Date",IF(J2167&lt;&gt;"",IF(K2167="Date",NOW(),K2167),""))</f>
        <v>Date</v>
      </c>
    </row>
    <row r="2168" spans="2:11">
      <c r="B2168" s="97" t="str">
        <f ca="1">IF(A2168="","Date",IF(A2168&lt;&gt;"",IF(B2168="Date",NOW(),B2168),""))</f>
        <v>Date</v>
      </c>
      <c r="C2168" s="19" t="str">
        <f>IF(ISBLANK(A2168),"Name",IF(ISNA(VLOOKUP(A2168,'Master List'!A:C,2,FALSE)), "Not Found", VLOOKUP(A2168,'Master List'!A:C,2,FALSE)))</f>
        <v>Name</v>
      </c>
      <c r="D2168" s="19" t="str">
        <f>IF(ISBLANK(A2168), "Email",IF(ISNA(VLOOKUP(A2168,'Master List'!A:C,3,FALSE)), "Not Found", VLOOKUP(A2168,'Master List'!A:C,3,FALSE)))</f>
        <v>Email</v>
      </c>
      <c r="F2168" s="4" t="str">
        <f>IF(OR(A2168="",E2168="","",A2168="?",E2168="?"),"duplicate?",IF(COUNTIFS($A:A,A2168,E:E,E2168)&gt;1,"yes","no"))</f>
        <v>duplicate?</v>
      </c>
      <c r="K2168" s="97" t="str">
        <f ca="1">IF(J2168="","Date",IF(J2168&lt;&gt;"",IF(K2168="Date",NOW(),K2168),""))</f>
        <v>Date</v>
      </c>
    </row>
    <row r="2169" spans="2:11">
      <c r="B2169" s="97" t="str">
        <f ca="1">IF(A2169="","Date",IF(A2169&lt;&gt;"",IF(B2169="Date",NOW(),B2169),""))</f>
        <v>Date</v>
      </c>
      <c r="C2169" s="19" t="str">
        <f>IF(ISBLANK(A2169),"Name",IF(ISNA(VLOOKUP(A2169,'Master List'!A:C,2,FALSE)), "Not Found", VLOOKUP(A2169,'Master List'!A:C,2,FALSE)))</f>
        <v>Name</v>
      </c>
      <c r="D2169" s="19" t="str">
        <f>IF(ISBLANK(A2169), "Email",IF(ISNA(VLOOKUP(A2169,'Master List'!A:C,3,FALSE)), "Not Found", VLOOKUP(A2169,'Master List'!A:C,3,FALSE)))</f>
        <v>Email</v>
      </c>
      <c r="F2169" s="4" t="str">
        <f>IF(OR(A2169="",E2169="","",A2169="?",E2169="?"),"duplicate?",IF(COUNTIFS($A:A,A2169,E:E,E2169)&gt;1,"yes","no"))</f>
        <v>duplicate?</v>
      </c>
      <c r="K2169" s="97" t="str">
        <f ca="1">IF(J2169="","Date",IF(J2169&lt;&gt;"",IF(K2169="Date",NOW(),K2169),""))</f>
        <v>Date</v>
      </c>
    </row>
    <row r="2170" spans="2:11">
      <c r="B2170" s="97" t="str">
        <f ca="1">IF(A2170="","Date",IF(A2170&lt;&gt;"",IF(B2170="Date",NOW(),B2170),""))</f>
        <v>Date</v>
      </c>
      <c r="C2170" s="19" t="str">
        <f>IF(ISBLANK(A2170),"Name",IF(ISNA(VLOOKUP(A2170,'Master List'!A:C,2,FALSE)), "Not Found", VLOOKUP(A2170,'Master List'!A:C,2,FALSE)))</f>
        <v>Name</v>
      </c>
      <c r="D2170" s="19" t="str">
        <f>IF(ISBLANK(A2170), "Email",IF(ISNA(VLOOKUP(A2170,'Master List'!A:C,3,FALSE)), "Not Found", VLOOKUP(A2170,'Master List'!A:C,3,FALSE)))</f>
        <v>Email</v>
      </c>
      <c r="F2170" s="4" t="str">
        <f>IF(OR(A2170="",E2170="","",A2170="?",E2170="?"),"duplicate?",IF(COUNTIFS($A:A,A2170,E:E,E2170)&gt;1,"yes","no"))</f>
        <v>duplicate?</v>
      </c>
      <c r="K2170" s="97" t="str">
        <f ca="1">IF(J2170="","Date",IF(J2170&lt;&gt;"",IF(K2170="Date",NOW(),K2170),""))</f>
        <v>Date</v>
      </c>
    </row>
    <row r="2171" spans="2:11">
      <c r="B2171" s="97" t="str">
        <f ca="1">IF(A2171="","Date",IF(A2171&lt;&gt;"",IF(B2171="Date",NOW(),B2171),""))</f>
        <v>Date</v>
      </c>
      <c r="C2171" s="19" t="str">
        <f>IF(ISBLANK(A2171),"Name",IF(ISNA(VLOOKUP(A2171,'Master List'!A:C,2,FALSE)), "Not Found", VLOOKUP(A2171,'Master List'!A:C,2,FALSE)))</f>
        <v>Name</v>
      </c>
      <c r="D2171" s="19" t="str">
        <f>IF(ISBLANK(A2171), "Email",IF(ISNA(VLOOKUP(A2171,'Master List'!A:C,3,FALSE)), "Not Found", VLOOKUP(A2171,'Master List'!A:C,3,FALSE)))</f>
        <v>Email</v>
      </c>
      <c r="F2171" s="4" t="str">
        <f>IF(OR(A2171="",E2171="","",A2171="?",E2171="?"),"duplicate?",IF(COUNTIFS($A:A,A2171,E:E,E2171)&gt;1,"yes","no"))</f>
        <v>duplicate?</v>
      </c>
      <c r="K2171" s="97" t="str">
        <f ca="1">IF(J2171="","Date",IF(J2171&lt;&gt;"",IF(K2171="Date",NOW(),K2171),""))</f>
        <v>Date</v>
      </c>
    </row>
    <row r="2172" spans="2:11">
      <c r="B2172" s="97" t="str">
        <f ca="1">IF(A2172="","Date",IF(A2172&lt;&gt;"",IF(B2172="Date",NOW(),B2172),""))</f>
        <v>Date</v>
      </c>
      <c r="C2172" s="19" t="str">
        <f>IF(ISBLANK(A2172),"Name",IF(ISNA(VLOOKUP(A2172,'Master List'!A:C,2,FALSE)), "Not Found", VLOOKUP(A2172,'Master List'!A:C,2,FALSE)))</f>
        <v>Name</v>
      </c>
      <c r="D2172" s="19" t="str">
        <f>IF(ISBLANK(A2172), "Email",IF(ISNA(VLOOKUP(A2172,'Master List'!A:C,3,FALSE)), "Not Found", VLOOKUP(A2172,'Master List'!A:C,3,FALSE)))</f>
        <v>Email</v>
      </c>
      <c r="F2172" s="4" t="str">
        <f>IF(OR(A2172="",E2172="","",A2172="?",E2172="?"),"duplicate?",IF(COUNTIFS($A:A,A2172,E:E,E2172)&gt;1,"yes","no"))</f>
        <v>duplicate?</v>
      </c>
      <c r="K2172" s="97" t="str">
        <f ca="1">IF(J2172="","Date",IF(J2172&lt;&gt;"",IF(K2172="Date",NOW(),K2172),""))</f>
        <v>Date</v>
      </c>
    </row>
    <row r="2173" spans="2:11">
      <c r="B2173" s="97" t="str">
        <f ca="1">IF(A2173="","Date",IF(A2173&lt;&gt;"",IF(B2173="Date",NOW(),B2173),""))</f>
        <v>Date</v>
      </c>
      <c r="C2173" s="19" t="str">
        <f>IF(ISBLANK(A2173),"Name",IF(ISNA(VLOOKUP(A2173,'Master List'!A:C,2,FALSE)), "Not Found", VLOOKUP(A2173,'Master List'!A:C,2,FALSE)))</f>
        <v>Name</v>
      </c>
      <c r="D2173" s="19" t="str">
        <f>IF(ISBLANK(A2173), "Email",IF(ISNA(VLOOKUP(A2173,'Master List'!A:C,3,FALSE)), "Not Found", VLOOKUP(A2173,'Master List'!A:C,3,FALSE)))</f>
        <v>Email</v>
      </c>
      <c r="F2173" s="4" t="str">
        <f>IF(OR(A2173="",E2173="","",A2173="?",E2173="?"),"duplicate?",IF(COUNTIFS($A:A,A2173,E:E,E2173)&gt;1,"yes","no"))</f>
        <v>duplicate?</v>
      </c>
      <c r="K2173" s="97" t="str">
        <f ca="1">IF(J2173="","Date",IF(J2173&lt;&gt;"",IF(K2173="Date",NOW(),K2173),""))</f>
        <v>Date</v>
      </c>
    </row>
    <row r="2174" spans="2:11">
      <c r="B2174" s="97" t="str">
        <f ca="1">IF(A2174="","Date",IF(A2174&lt;&gt;"",IF(B2174="Date",NOW(),B2174),""))</f>
        <v>Date</v>
      </c>
      <c r="C2174" s="19" t="str">
        <f>IF(ISBLANK(A2174),"Name",IF(ISNA(VLOOKUP(A2174,'Master List'!A:C,2,FALSE)), "Not Found", VLOOKUP(A2174,'Master List'!A:C,2,FALSE)))</f>
        <v>Name</v>
      </c>
      <c r="D2174" s="19" t="str">
        <f>IF(ISBLANK(A2174), "Email",IF(ISNA(VLOOKUP(A2174,'Master List'!A:C,3,FALSE)), "Not Found", VLOOKUP(A2174,'Master List'!A:C,3,FALSE)))</f>
        <v>Email</v>
      </c>
      <c r="F2174" s="4" t="str">
        <f>IF(OR(A2174="",E2174="","",A2174="?",E2174="?"),"duplicate?",IF(COUNTIFS($A:A,A2174,E:E,E2174)&gt;1,"yes","no"))</f>
        <v>duplicate?</v>
      </c>
      <c r="K2174" s="97" t="str">
        <f ca="1">IF(J2174="","Date",IF(J2174&lt;&gt;"",IF(K2174="Date",NOW(),K2174),""))</f>
        <v>Date</v>
      </c>
    </row>
    <row r="2175" spans="2:11">
      <c r="B2175" s="97" t="str">
        <f ca="1">IF(A2175="","Date",IF(A2175&lt;&gt;"",IF(B2175="Date",NOW(),B2175),""))</f>
        <v>Date</v>
      </c>
      <c r="C2175" s="19" t="str">
        <f>IF(ISBLANK(A2175),"Name",IF(ISNA(VLOOKUP(A2175,'Master List'!A:C,2,FALSE)), "Not Found", VLOOKUP(A2175,'Master List'!A:C,2,FALSE)))</f>
        <v>Name</v>
      </c>
      <c r="D2175" s="19" t="str">
        <f>IF(ISBLANK(A2175), "Email",IF(ISNA(VLOOKUP(A2175,'Master List'!A:C,3,FALSE)), "Not Found", VLOOKUP(A2175,'Master List'!A:C,3,FALSE)))</f>
        <v>Email</v>
      </c>
      <c r="F2175" s="4" t="str">
        <f>IF(OR(A2175="",E2175="","",A2175="?",E2175="?"),"duplicate?",IF(COUNTIFS($A:A,A2175,E:E,E2175)&gt;1,"yes","no"))</f>
        <v>duplicate?</v>
      </c>
      <c r="K2175" s="97" t="str">
        <f ca="1">IF(J2175="","Date",IF(J2175&lt;&gt;"",IF(K2175="Date",NOW(),K2175),""))</f>
        <v>Date</v>
      </c>
    </row>
    <row r="2176" spans="2:11">
      <c r="B2176" s="97" t="str">
        <f ca="1">IF(A2176="","Date",IF(A2176&lt;&gt;"",IF(B2176="Date",NOW(),B2176),""))</f>
        <v>Date</v>
      </c>
      <c r="C2176" s="19" t="str">
        <f>IF(ISBLANK(A2176),"Name",IF(ISNA(VLOOKUP(A2176,'Master List'!A:C,2,FALSE)), "Not Found", VLOOKUP(A2176,'Master List'!A:C,2,FALSE)))</f>
        <v>Name</v>
      </c>
      <c r="D2176" s="19" t="str">
        <f>IF(ISBLANK(A2176), "Email",IF(ISNA(VLOOKUP(A2176,'Master List'!A:C,3,FALSE)), "Not Found", VLOOKUP(A2176,'Master List'!A:C,3,FALSE)))</f>
        <v>Email</v>
      </c>
      <c r="F2176" s="4" t="str">
        <f>IF(OR(A2176="",E2176="","",A2176="?",E2176="?"),"duplicate?",IF(COUNTIFS($A:A,A2176,E:E,E2176)&gt;1,"yes","no"))</f>
        <v>duplicate?</v>
      </c>
      <c r="K2176" s="97" t="str">
        <f ca="1">IF(J2176="","Date",IF(J2176&lt;&gt;"",IF(K2176="Date",NOW(),K2176),""))</f>
        <v>Date</v>
      </c>
    </row>
    <row r="2177" spans="2:11">
      <c r="B2177" s="97" t="str">
        <f ca="1">IF(A2177="","Date",IF(A2177&lt;&gt;"",IF(B2177="Date",NOW(),B2177),""))</f>
        <v>Date</v>
      </c>
      <c r="C2177" s="19" t="str">
        <f>IF(ISBLANK(A2177),"Name",IF(ISNA(VLOOKUP(A2177,'Master List'!A:C,2,FALSE)), "Not Found", VLOOKUP(A2177,'Master List'!A:C,2,FALSE)))</f>
        <v>Name</v>
      </c>
      <c r="D2177" s="19" t="str">
        <f>IF(ISBLANK(A2177), "Email",IF(ISNA(VLOOKUP(A2177,'Master List'!A:C,3,FALSE)), "Not Found", VLOOKUP(A2177,'Master List'!A:C,3,FALSE)))</f>
        <v>Email</v>
      </c>
      <c r="F2177" s="4" t="str">
        <f>IF(OR(A2177="",E2177="","",A2177="?",E2177="?"),"duplicate?",IF(COUNTIFS($A:A,A2177,E:E,E2177)&gt;1,"yes","no"))</f>
        <v>duplicate?</v>
      </c>
      <c r="K2177" s="97" t="str">
        <f ca="1">IF(J2177="","Date",IF(J2177&lt;&gt;"",IF(K2177="Date",NOW(),K2177),""))</f>
        <v>Date</v>
      </c>
    </row>
    <row r="2178" spans="2:11">
      <c r="B2178" s="97" t="str">
        <f ca="1">IF(A2178="","Date",IF(A2178&lt;&gt;"",IF(B2178="Date",NOW(),B2178),""))</f>
        <v>Date</v>
      </c>
      <c r="C2178" s="19" t="str">
        <f>IF(ISBLANK(A2178),"Name",IF(ISNA(VLOOKUP(A2178,'Master List'!A:C,2,FALSE)), "Not Found", VLOOKUP(A2178,'Master List'!A:C,2,FALSE)))</f>
        <v>Name</v>
      </c>
      <c r="D2178" s="19" t="str">
        <f>IF(ISBLANK(A2178), "Email",IF(ISNA(VLOOKUP(A2178,'Master List'!A:C,3,FALSE)), "Not Found", VLOOKUP(A2178,'Master List'!A:C,3,FALSE)))</f>
        <v>Email</v>
      </c>
      <c r="F2178" s="4" t="str">
        <f>IF(OR(A2178="",E2178="","",A2178="?",E2178="?"),"duplicate?",IF(COUNTIFS($A:A,A2178,E:E,E2178)&gt;1,"yes","no"))</f>
        <v>duplicate?</v>
      </c>
      <c r="K2178" s="97" t="str">
        <f ca="1">IF(J2178="","Date",IF(J2178&lt;&gt;"",IF(K2178="Date",NOW(),K2178),""))</f>
        <v>Date</v>
      </c>
    </row>
    <row r="2179" spans="2:11">
      <c r="B2179" s="97" t="str">
        <f ca="1">IF(A2179="","Date",IF(A2179&lt;&gt;"",IF(B2179="Date",NOW(),B2179),""))</f>
        <v>Date</v>
      </c>
      <c r="C2179" s="19" t="str">
        <f>IF(ISBLANK(A2179),"Name",IF(ISNA(VLOOKUP(A2179,'Master List'!A:C,2,FALSE)), "Not Found", VLOOKUP(A2179,'Master List'!A:C,2,FALSE)))</f>
        <v>Name</v>
      </c>
      <c r="D2179" s="19" t="str">
        <f>IF(ISBLANK(A2179), "Email",IF(ISNA(VLOOKUP(A2179,'Master List'!A:C,3,FALSE)), "Not Found", VLOOKUP(A2179,'Master List'!A:C,3,FALSE)))</f>
        <v>Email</v>
      </c>
      <c r="F2179" s="4" t="str">
        <f>IF(OR(A2179="",E2179="","",A2179="?",E2179="?"),"duplicate?",IF(COUNTIFS($A:A,A2179,E:E,E2179)&gt;1,"yes","no"))</f>
        <v>duplicate?</v>
      </c>
      <c r="K2179" s="97" t="str">
        <f ca="1">IF(J2179="","Date",IF(J2179&lt;&gt;"",IF(K2179="Date",NOW(),K2179),""))</f>
        <v>Date</v>
      </c>
    </row>
    <row r="2180" spans="2:11">
      <c r="B2180" s="97" t="str">
        <f ca="1">IF(A2180="","Date",IF(A2180&lt;&gt;"",IF(B2180="Date",NOW(),B2180),""))</f>
        <v>Date</v>
      </c>
      <c r="C2180" s="19" t="str">
        <f>IF(ISBLANK(A2180),"Name",IF(ISNA(VLOOKUP(A2180,'Master List'!A:C,2,FALSE)), "Not Found", VLOOKUP(A2180,'Master List'!A:C,2,FALSE)))</f>
        <v>Name</v>
      </c>
      <c r="D2180" s="19" t="str">
        <f>IF(ISBLANK(A2180), "Email",IF(ISNA(VLOOKUP(A2180,'Master List'!A:C,3,FALSE)), "Not Found", VLOOKUP(A2180,'Master List'!A:C,3,FALSE)))</f>
        <v>Email</v>
      </c>
      <c r="F2180" s="4" t="str">
        <f>IF(OR(A2180="",E2180="","",A2180="?",E2180="?"),"duplicate?",IF(COUNTIFS($A:A,A2180,E:E,E2180)&gt;1,"yes","no"))</f>
        <v>duplicate?</v>
      </c>
      <c r="K2180" s="97" t="str">
        <f ca="1">IF(J2180="","Date",IF(J2180&lt;&gt;"",IF(K2180="Date",NOW(),K2180),""))</f>
        <v>Date</v>
      </c>
    </row>
    <row r="2181" spans="2:11">
      <c r="B2181" s="97" t="str">
        <f ca="1">IF(A2181="","Date",IF(A2181&lt;&gt;"",IF(B2181="Date",NOW(),B2181),""))</f>
        <v>Date</v>
      </c>
      <c r="C2181" s="19" t="str">
        <f>IF(ISBLANK(A2181),"Name",IF(ISNA(VLOOKUP(A2181,'Master List'!A:C,2,FALSE)), "Not Found", VLOOKUP(A2181,'Master List'!A:C,2,FALSE)))</f>
        <v>Name</v>
      </c>
      <c r="D2181" s="19" t="str">
        <f>IF(ISBLANK(A2181), "Email",IF(ISNA(VLOOKUP(A2181,'Master List'!A:C,3,FALSE)), "Not Found", VLOOKUP(A2181,'Master List'!A:C,3,FALSE)))</f>
        <v>Email</v>
      </c>
      <c r="F2181" s="4" t="str">
        <f>IF(OR(A2181="",E2181="","",A2181="?",E2181="?"),"duplicate?",IF(COUNTIFS($A:A,A2181,E:E,E2181)&gt;1,"yes","no"))</f>
        <v>duplicate?</v>
      </c>
      <c r="K2181" s="97" t="str">
        <f ca="1">IF(J2181="","Date",IF(J2181&lt;&gt;"",IF(K2181="Date",NOW(),K2181),""))</f>
        <v>Date</v>
      </c>
    </row>
    <row r="2182" spans="2:11">
      <c r="B2182" s="97" t="str">
        <f ca="1">IF(A2182="","Date",IF(A2182&lt;&gt;"",IF(B2182="Date",NOW(),B2182),""))</f>
        <v>Date</v>
      </c>
      <c r="C2182" s="19" t="str">
        <f>IF(ISBLANK(A2182),"Name",IF(ISNA(VLOOKUP(A2182,'Master List'!A:C,2,FALSE)), "Not Found", VLOOKUP(A2182,'Master List'!A:C,2,FALSE)))</f>
        <v>Name</v>
      </c>
      <c r="D2182" s="19" t="str">
        <f>IF(ISBLANK(A2182), "Email",IF(ISNA(VLOOKUP(A2182,'Master List'!A:C,3,FALSE)), "Not Found", VLOOKUP(A2182,'Master List'!A:C,3,FALSE)))</f>
        <v>Email</v>
      </c>
      <c r="F2182" s="4" t="str">
        <f>IF(OR(A2182="",E2182="","",A2182="?",E2182="?"),"duplicate?",IF(COUNTIFS($A:A,A2182,E:E,E2182)&gt;1,"yes","no"))</f>
        <v>duplicate?</v>
      </c>
      <c r="K2182" s="97" t="str">
        <f ca="1">IF(J2182="","Date",IF(J2182&lt;&gt;"",IF(K2182="Date",NOW(),K2182),""))</f>
        <v>Date</v>
      </c>
    </row>
    <row r="2183" spans="2:11">
      <c r="B2183" s="97" t="str">
        <f ca="1">IF(A2183="","Date",IF(A2183&lt;&gt;"",IF(B2183="Date",NOW(),B2183),""))</f>
        <v>Date</v>
      </c>
      <c r="C2183" s="19" t="str">
        <f>IF(ISBLANK(A2183),"Name",IF(ISNA(VLOOKUP(A2183,'Master List'!A:C,2,FALSE)), "Not Found", VLOOKUP(A2183,'Master List'!A:C,2,FALSE)))</f>
        <v>Name</v>
      </c>
      <c r="D2183" s="19" t="str">
        <f>IF(ISBLANK(A2183), "Email",IF(ISNA(VLOOKUP(A2183,'Master List'!A:C,3,FALSE)), "Not Found", VLOOKUP(A2183,'Master List'!A:C,3,FALSE)))</f>
        <v>Email</v>
      </c>
      <c r="F2183" s="4" t="str">
        <f>IF(OR(A2183="",E2183="","",A2183="?",E2183="?"),"duplicate?",IF(COUNTIFS($A:A,A2183,E:E,E2183)&gt;1,"yes","no"))</f>
        <v>duplicate?</v>
      </c>
      <c r="K2183" s="97" t="str">
        <f ca="1">IF(J2183="","Date",IF(J2183&lt;&gt;"",IF(K2183="Date",NOW(),K2183),""))</f>
        <v>Date</v>
      </c>
    </row>
    <row r="2184" spans="2:11">
      <c r="B2184" s="97" t="str">
        <f ca="1">IF(A2184="","Date",IF(A2184&lt;&gt;"",IF(B2184="Date",NOW(),B2184),""))</f>
        <v>Date</v>
      </c>
      <c r="C2184" s="19" t="str">
        <f>IF(ISBLANK(A2184),"Name",IF(ISNA(VLOOKUP(A2184,'Master List'!A:C,2,FALSE)), "Not Found", VLOOKUP(A2184,'Master List'!A:C,2,FALSE)))</f>
        <v>Name</v>
      </c>
      <c r="D2184" s="19" t="str">
        <f>IF(ISBLANK(A2184), "Email",IF(ISNA(VLOOKUP(A2184,'Master List'!A:C,3,FALSE)), "Not Found", VLOOKUP(A2184,'Master List'!A:C,3,FALSE)))</f>
        <v>Email</v>
      </c>
      <c r="F2184" s="4" t="str">
        <f>IF(OR(A2184="",E2184="","",A2184="?",E2184="?"),"duplicate?",IF(COUNTIFS($A:A,A2184,E:E,E2184)&gt;1,"yes","no"))</f>
        <v>duplicate?</v>
      </c>
      <c r="K2184" s="97" t="str">
        <f ca="1">IF(J2184="","Date",IF(J2184&lt;&gt;"",IF(K2184="Date",NOW(),K2184),""))</f>
        <v>Date</v>
      </c>
    </row>
    <row r="2185" spans="2:11">
      <c r="B2185" s="97" t="str">
        <f ca="1">IF(A2185="","Date",IF(A2185&lt;&gt;"",IF(B2185="Date",NOW(),B2185),""))</f>
        <v>Date</v>
      </c>
      <c r="C2185" s="19" t="str">
        <f>IF(ISBLANK(A2185),"Name",IF(ISNA(VLOOKUP(A2185,'Master List'!A:C,2,FALSE)), "Not Found", VLOOKUP(A2185,'Master List'!A:C,2,FALSE)))</f>
        <v>Name</v>
      </c>
      <c r="D2185" s="19" t="str">
        <f>IF(ISBLANK(A2185), "Email",IF(ISNA(VLOOKUP(A2185,'Master List'!A:C,3,FALSE)), "Not Found", VLOOKUP(A2185,'Master List'!A:C,3,FALSE)))</f>
        <v>Email</v>
      </c>
      <c r="F2185" s="4" t="str">
        <f>IF(OR(A2185="",E2185="","",A2185="?",E2185="?"),"duplicate?",IF(COUNTIFS($A:A,A2185,E:E,E2185)&gt;1,"yes","no"))</f>
        <v>duplicate?</v>
      </c>
      <c r="K2185" s="97" t="str">
        <f ca="1">IF(J2185="","Date",IF(J2185&lt;&gt;"",IF(K2185="Date",NOW(),K2185),""))</f>
        <v>Date</v>
      </c>
    </row>
    <row r="2186" spans="2:11">
      <c r="B2186" s="97" t="str">
        <f ca="1">IF(A2186="","Date",IF(A2186&lt;&gt;"",IF(B2186="Date",NOW(),B2186),""))</f>
        <v>Date</v>
      </c>
      <c r="C2186" s="19" t="str">
        <f>IF(ISBLANK(A2186),"Name",IF(ISNA(VLOOKUP(A2186,'Master List'!A:C,2,FALSE)), "Not Found", VLOOKUP(A2186,'Master List'!A:C,2,FALSE)))</f>
        <v>Name</v>
      </c>
      <c r="D2186" s="19" t="str">
        <f>IF(ISBLANK(A2186), "Email",IF(ISNA(VLOOKUP(A2186,'Master List'!A:C,3,FALSE)), "Not Found", VLOOKUP(A2186,'Master List'!A:C,3,FALSE)))</f>
        <v>Email</v>
      </c>
      <c r="F2186" s="4" t="str">
        <f>IF(OR(A2186="",E2186="","",A2186="?",E2186="?"),"duplicate?",IF(COUNTIFS($A:A,A2186,E:E,E2186)&gt;1,"yes","no"))</f>
        <v>duplicate?</v>
      </c>
      <c r="K2186" s="97" t="str">
        <f ca="1">IF(J2186="","Date",IF(J2186&lt;&gt;"",IF(K2186="Date",NOW(),K2186),""))</f>
        <v>Date</v>
      </c>
    </row>
    <row r="2187" spans="2:11">
      <c r="B2187" s="97" t="str">
        <f ca="1">IF(A2187="","Date",IF(A2187&lt;&gt;"",IF(B2187="Date",NOW(),B2187),""))</f>
        <v>Date</v>
      </c>
      <c r="C2187" s="19" t="str">
        <f>IF(ISBLANK(A2187),"Name",IF(ISNA(VLOOKUP(A2187,'Master List'!A:C,2,FALSE)), "Not Found", VLOOKUP(A2187,'Master List'!A:C,2,FALSE)))</f>
        <v>Name</v>
      </c>
      <c r="D2187" s="19" t="str">
        <f>IF(ISBLANK(A2187), "Email",IF(ISNA(VLOOKUP(A2187,'Master List'!A:C,3,FALSE)), "Not Found", VLOOKUP(A2187,'Master List'!A:C,3,FALSE)))</f>
        <v>Email</v>
      </c>
      <c r="F2187" s="4" t="str">
        <f>IF(OR(A2187="",E2187="","",A2187="?",E2187="?"),"duplicate?",IF(COUNTIFS($A:A,A2187,E:E,E2187)&gt;1,"yes","no"))</f>
        <v>duplicate?</v>
      </c>
      <c r="K2187" s="97" t="str">
        <f ca="1">IF(J2187="","Date",IF(J2187&lt;&gt;"",IF(K2187="Date",NOW(),K2187),""))</f>
        <v>Date</v>
      </c>
    </row>
    <row r="2188" spans="2:11">
      <c r="B2188" s="97" t="str">
        <f ca="1">IF(A2188="","Date",IF(A2188&lt;&gt;"",IF(B2188="Date",NOW(),B2188),""))</f>
        <v>Date</v>
      </c>
      <c r="C2188" s="19" t="str">
        <f>IF(ISBLANK(A2188),"Name",IF(ISNA(VLOOKUP(A2188,'Master List'!A:C,2,FALSE)), "Not Found", VLOOKUP(A2188,'Master List'!A:C,2,FALSE)))</f>
        <v>Name</v>
      </c>
      <c r="D2188" s="19" t="str">
        <f>IF(ISBLANK(A2188), "Email",IF(ISNA(VLOOKUP(A2188,'Master List'!A:C,3,FALSE)), "Not Found", VLOOKUP(A2188,'Master List'!A:C,3,FALSE)))</f>
        <v>Email</v>
      </c>
      <c r="F2188" s="4" t="str">
        <f>IF(OR(A2188="",E2188="","",A2188="?",E2188="?"),"duplicate?",IF(COUNTIFS($A:A,A2188,E:E,E2188)&gt;1,"yes","no"))</f>
        <v>duplicate?</v>
      </c>
      <c r="K2188" s="97" t="str">
        <f ca="1">IF(J2188="","Date",IF(J2188&lt;&gt;"",IF(K2188="Date",NOW(),K2188),""))</f>
        <v>Date</v>
      </c>
    </row>
    <row r="2189" spans="2:11">
      <c r="B2189" s="97" t="str">
        <f ca="1">IF(A2189="","Date",IF(A2189&lt;&gt;"",IF(B2189="Date",NOW(),B2189),""))</f>
        <v>Date</v>
      </c>
      <c r="C2189" s="19" t="str">
        <f>IF(ISBLANK(A2189),"Name",IF(ISNA(VLOOKUP(A2189,'Master List'!A:C,2,FALSE)), "Not Found", VLOOKUP(A2189,'Master List'!A:C,2,FALSE)))</f>
        <v>Name</v>
      </c>
      <c r="D2189" s="19" t="str">
        <f>IF(ISBLANK(A2189), "Email",IF(ISNA(VLOOKUP(A2189,'Master List'!A:C,3,FALSE)), "Not Found", VLOOKUP(A2189,'Master List'!A:C,3,FALSE)))</f>
        <v>Email</v>
      </c>
      <c r="F2189" s="4" t="str">
        <f>IF(OR(A2189="",E2189="","",A2189="?",E2189="?"),"duplicate?",IF(COUNTIFS($A:A,A2189,E:E,E2189)&gt;1,"yes","no"))</f>
        <v>duplicate?</v>
      </c>
      <c r="K2189" s="97" t="str">
        <f ca="1">IF(J2189="","Date",IF(J2189&lt;&gt;"",IF(K2189="Date",NOW(),K2189),""))</f>
        <v>Date</v>
      </c>
    </row>
    <row r="2190" spans="2:11">
      <c r="B2190" s="97" t="str">
        <f ca="1">IF(A2190="","Date",IF(A2190&lt;&gt;"",IF(B2190="Date",NOW(),B2190),""))</f>
        <v>Date</v>
      </c>
      <c r="C2190" s="19" t="str">
        <f>IF(ISBLANK(A2190),"Name",IF(ISNA(VLOOKUP(A2190,'Master List'!A:C,2,FALSE)), "Not Found", VLOOKUP(A2190,'Master List'!A:C,2,FALSE)))</f>
        <v>Name</v>
      </c>
      <c r="D2190" s="19" t="str">
        <f>IF(ISBLANK(A2190), "Email",IF(ISNA(VLOOKUP(A2190,'Master List'!A:C,3,FALSE)), "Not Found", VLOOKUP(A2190,'Master List'!A:C,3,FALSE)))</f>
        <v>Email</v>
      </c>
      <c r="F2190" s="4" t="str">
        <f>IF(OR(A2190="",E2190="","",A2190="?",E2190="?"),"duplicate?",IF(COUNTIFS($A:A,A2190,E:E,E2190)&gt;1,"yes","no"))</f>
        <v>duplicate?</v>
      </c>
      <c r="K2190" s="97" t="str">
        <f ca="1">IF(J2190="","Date",IF(J2190&lt;&gt;"",IF(K2190="Date",NOW(),K2190),""))</f>
        <v>Date</v>
      </c>
    </row>
    <row r="2191" spans="2:11">
      <c r="B2191" s="97" t="str">
        <f ca="1">IF(A2191="","Date",IF(A2191&lt;&gt;"",IF(B2191="Date",NOW(),B2191),""))</f>
        <v>Date</v>
      </c>
      <c r="C2191" s="19" t="str">
        <f>IF(ISBLANK(A2191),"Name",IF(ISNA(VLOOKUP(A2191,'Master List'!A:C,2,FALSE)), "Not Found", VLOOKUP(A2191,'Master List'!A:C,2,FALSE)))</f>
        <v>Name</v>
      </c>
      <c r="D2191" s="19" t="str">
        <f>IF(ISBLANK(A2191), "Email",IF(ISNA(VLOOKUP(A2191,'Master List'!A:C,3,FALSE)), "Not Found", VLOOKUP(A2191,'Master List'!A:C,3,FALSE)))</f>
        <v>Email</v>
      </c>
      <c r="F2191" s="4" t="str">
        <f>IF(OR(A2191="",E2191="","",A2191="?",E2191="?"),"duplicate?",IF(COUNTIFS($A:A,A2191,E:E,E2191)&gt;1,"yes","no"))</f>
        <v>duplicate?</v>
      </c>
      <c r="K2191" s="97" t="str">
        <f ca="1">IF(J2191="","Date",IF(J2191&lt;&gt;"",IF(K2191="Date",NOW(),K2191),""))</f>
        <v>Date</v>
      </c>
    </row>
    <row r="2192" spans="2:11">
      <c r="B2192" s="97" t="str">
        <f ca="1">IF(A2192="","Date",IF(A2192&lt;&gt;"",IF(B2192="Date",NOW(),B2192),""))</f>
        <v>Date</v>
      </c>
      <c r="C2192" s="19" t="str">
        <f>IF(ISBLANK(A2192),"Name",IF(ISNA(VLOOKUP(A2192,'Master List'!A:C,2,FALSE)), "Not Found", VLOOKUP(A2192,'Master List'!A:C,2,FALSE)))</f>
        <v>Name</v>
      </c>
      <c r="D2192" s="19" t="str">
        <f>IF(ISBLANK(A2192), "Email",IF(ISNA(VLOOKUP(A2192,'Master List'!A:C,3,FALSE)), "Not Found", VLOOKUP(A2192,'Master List'!A:C,3,FALSE)))</f>
        <v>Email</v>
      </c>
      <c r="F2192" s="4" t="str">
        <f>IF(OR(A2192="",E2192="","",A2192="?",E2192="?"),"duplicate?",IF(COUNTIFS($A:A,A2192,E:E,E2192)&gt;1,"yes","no"))</f>
        <v>duplicate?</v>
      </c>
      <c r="K2192" s="97" t="str">
        <f ca="1">IF(J2192="","Date",IF(J2192&lt;&gt;"",IF(K2192="Date",NOW(),K2192),""))</f>
        <v>Date</v>
      </c>
    </row>
    <row r="2193" spans="2:11">
      <c r="B2193" s="97" t="str">
        <f ca="1">IF(A2193="","Date",IF(A2193&lt;&gt;"",IF(B2193="Date",NOW(),B2193),""))</f>
        <v>Date</v>
      </c>
      <c r="C2193" s="19" t="str">
        <f>IF(ISBLANK(A2193),"Name",IF(ISNA(VLOOKUP(A2193,'Master List'!A:C,2,FALSE)), "Not Found", VLOOKUP(A2193,'Master List'!A:C,2,FALSE)))</f>
        <v>Name</v>
      </c>
      <c r="D2193" s="19" t="str">
        <f>IF(ISBLANK(A2193), "Email",IF(ISNA(VLOOKUP(A2193,'Master List'!A:C,3,FALSE)), "Not Found", VLOOKUP(A2193,'Master List'!A:C,3,FALSE)))</f>
        <v>Email</v>
      </c>
      <c r="F2193" s="4" t="str">
        <f>IF(OR(A2193="",E2193="","",A2193="?",E2193="?"),"duplicate?",IF(COUNTIFS($A:A,A2193,E:E,E2193)&gt;1,"yes","no"))</f>
        <v>duplicate?</v>
      </c>
      <c r="K2193" s="97" t="str">
        <f ca="1">IF(J2193="","Date",IF(J2193&lt;&gt;"",IF(K2193="Date",NOW(),K2193),""))</f>
        <v>Date</v>
      </c>
    </row>
    <row r="2194" spans="2:11">
      <c r="B2194" s="97" t="str">
        <f ca="1">IF(A2194="","Date",IF(A2194&lt;&gt;"",IF(B2194="Date",NOW(),B2194),""))</f>
        <v>Date</v>
      </c>
      <c r="C2194" s="19" t="str">
        <f>IF(ISBLANK(A2194),"Name",IF(ISNA(VLOOKUP(A2194,'Master List'!A:C,2,FALSE)), "Not Found", VLOOKUP(A2194,'Master List'!A:C,2,FALSE)))</f>
        <v>Name</v>
      </c>
      <c r="D2194" s="19" t="str">
        <f>IF(ISBLANK(A2194), "Email",IF(ISNA(VLOOKUP(A2194,'Master List'!A:C,3,FALSE)), "Not Found", VLOOKUP(A2194,'Master List'!A:C,3,FALSE)))</f>
        <v>Email</v>
      </c>
      <c r="F2194" s="4" t="str">
        <f>IF(OR(A2194="",E2194="","",A2194="?",E2194="?"),"duplicate?",IF(COUNTIFS($A:A,A2194,E:E,E2194)&gt;1,"yes","no"))</f>
        <v>duplicate?</v>
      </c>
      <c r="K2194" s="97" t="str">
        <f ca="1">IF(J2194="","Date",IF(J2194&lt;&gt;"",IF(K2194="Date",NOW(),K2194),""))</f>
        <v>Date</v>
      </c>
    </row>
    <row r="2195" spans="2:11">
      <c r="B2195" s="97" t="str">
        <f ca="1">IF(A2195="","Date",IF(A2195&lt;&gt;"",IF(B2195="Date",NOW(),B2195),""))</f>
        <v>Date</v>
      </c>
      <c r="C2195" s="19" t="str">
        <f>IF(ISBLANK(A2195),"Name",IF(ISNA(VLOOKUP(A2195,'Master List'!A:C,2,FALSE)), "Not Found", VLOOKUP(A2195,'Master List'!A:C,2,FALSE)))</f>
        <v>Name</v>
      </c>
      <c r="D2195" s="19" t="str">
        <f>IF(ISBLANK(A2195), "Email",IF(ISNA(VLOOKUP(A2195,'Master List'!A:C,3,FALSE)), "Not Found", VLOOKUP(A2195,'Master List'!A:C,3,FALSE)))</f>
        <v>Email</v>
      </c>
      <c r="F2195" s="4" t="str">
        <f>IF(OR(A2195="",E2195="","",A2195="?",E2195="?"),"duplicate?",IF(COUNTIFS($A:A,A2195,E:E,E2195)&gt;1,"yes","no"))</f>
        <v>duplicate?</v>
      </c>
      <c r="K2195" s="97" t="str">
        <f ca="1">IF(J2195="","Date",IF(J2195&lt;&gt;"",IF(K2195="Date",NOW(),K2195),""))</f>
        <v>Date</v>
      </c>
    </row>
    <row r="2196" spans="2:11">
      <c r="B2196" s="97" t="str">
        <f ca="1">IF(A2196="","Date",IF(A2196&lt;&gt;"",IF(B2196="Date",NOW(),B2196),""))</f>
        <v>Date</v>
      </c>
      <c r="C2196" s="19" t="str">
        <f>IF(ISBLANK(A2196),"Name",IF(ISNA(VLOOKUP(A2196,'Master List'!A:C,2,FALSE)), "Not Found", VLOOKUP(A2196,'Master List'!A:C,2,FALSE)))</f>
        <v>Name</v>
      </c>
      <c r="D2196" s="19" t="str">
        <f>IF(ISBLANK(A2196), "Email",IF(ISNA(VLOOKUP(A2196,'Master List'!A:C,3,FALSE)), "Not Found", VLOOKUP(A2196,'Master List'!A:C,3,FALSE)))</f>
        <v>Email</v>
      </c>
      <c r="F2196" s="4" t="str">
        <f>IF(OR(A2196="",E2196="","",A2196="?",E2196="?"),"duplicate?",IF(COUNTIFS($A:A,A2196,E:E,E2196)&gt;1,"yes","no"))</f>
        <v>duplicate?</v>
      </c>
      <c r="K2196" s="97" t="str">
        <f ca="1">IF(J2196="","Date",IF(J2196&lt;&gt;"",IF(K2196="Date",NOW(),K2196),""))</f>
        <v>Date</v>
      </c>
    </row>
    <row r="2197" spans="2:11">
      <c r="B2197" s="97" t="str">
        <f ca="1">IF(A2197="","Date",IF(A2197&lt;&gt;"",IF(B2197="Date",NOW(),B2197),""))</f>
        <v>Date</v>
      </c>
      <c r="C2197" s="19" t="str">
        <f>IF(ISBLANK(A2197),"Name",IF(ISNA(VLOOKUP(A2197,'Master List'!A:C,2,FALSE)), "Not Found", VLOOKUP(A2197,'Master List'!A:C,2,FALSE)))</f>
        <v>Name</v>
      </c>
      <c r="D2197" s="19" t="str">
        <f>IF(ISBLANK(A2197), "Email",IF(ISNA(VLOOKUP(A2197,'Master List'!A:C,3,FALSE)), "Not Found", VLOOKUP(A2197,'Master List'!A:C,3,FALSE)))</f>
        <v>Email</v>
      </c>
      <c r="F2197" s="4" t="str">
        <f>IF(OR(A2197="",E2197="","",A2197="?",E2197="?"),"duplicate?",IF(COUNTIFS($A:A,A2197,E:E,E2197)&gt;1,"yes","no"))</f>
        <v>duplicate?</v>
      </c>
      <c r="K2197" s="97" t="str">
        <f ca="1">IF(J2197="","Date",IF(J2197&lt;&gt;"",IF(K2197="Date",NOW(),K2197),""))</f>
        <v>Date</v>
      </c>
    </row>
    <row r="2198" spans="2:11">
      <c r="B2198" s="97" t="str">
        <f ca="1">IF(A2198="","Date",IF(A2198&lt;&gt;"",IF(B2198="Date",NOW(),B2198),""))</f>
        <v>Date</v>
      </c>
      <c r="C2198" s="19" t="str">
        <f>IF(ISBLANK(A2198),"Name",IF(ISNA(VLOOKUP(A2198,'Master List'!A:C,2,FALSE)), "Not Found", VLOOKUP(A2198,'Master List'!A:C,2,FALSE)))</f>
        <v>Name</v>
      </c>
      <c r="D2198" s="19" t="str">
        <f>IF(ISBLANK(A2198), "Email",IF(ISNA(VLOOKUP(A2198,'Master List'!A:C,3,FALSE)), "Not Found", VLOOKUP(A2198,'Master List'!A:C,3,FALSE)))</f>
        <v>Email</v>
      </c>
      <c r="F2198" s="4" t="str">
        <f>IF(OR(A2198="",E2198="","",A2198="?",E2198="?"),"duplicate?",IF(COUNTIFS($A:A,A2198,E:E,E2198)&gt;1,"yes","no"))</f>
        <v>duplicate?</v>
      </c>
      <c r="K2198" s="97" t="str">
        <f ca="1">IF(J2198="","Date",IF(J2198&lt;&gt;"",IF(K2198="Date",NOW(),K2198),""))</f>
        <v>Date</v>
      </c>
    </row>
    <row r="2199" spans="2:11">
      <c r="B2199" s="97" t="str">
        <f ca="1">IF(A2199="","Date",IF(A2199&lt;&gt;"",IF(B2199="Date",NOW(),B2199),""))</f>
        <v>Date</v>
      </c>
      <c r="C2199" s="19" t="str">
        <f>IF(ISBLANK(A2199),"Name",IF(ISNA(VLOOKUP(A2199,'Master List'!A:C,2,FALSE)), "Not Found", VLOOKUP(A2199,'Master List'!A:C,2,FALSE)))</f>
        <v>Name</v>
      </c>
      <c r="D2199" s="19" t="str">
        <f>IF(ISBLANK(A2199), "Email",IF(ISNA(VLOOKUP(A2199,'Master List'!A:C,3,FALSE)), "Not Found", VLOOKUP(A2199,'Master List'!A:C,3,FALSE)))</f>
        <v>Email</v>
      </c>
      <c r="F2199" s="4" t="str">
        <f>IF(OR(A2199="",E2199="","",A2199="?",E2199="?"),"duplicate?",IF(COUNTIFS($A:A,A2199,E:E,E2199)&gt;1,"yes","no"))</f>
        <v>duplicate?</v>
      </c>
      <c r="K2199" s="97" t="str">
        <f ca="1">IF(J2199="","Date",IF(J2199&lt;&gt;"",IF(K2199="Date",NOW(),K2199),""))</f>
        <v>Date</v>
      </c>
    </row>
    <row r="2200" spans="2:11">
      <c r="B2200" s="97" t="str">
        <f ca="1">IF(A2200="","Date",IF(A2200&lt;&gt;"",IF(B2200="Date",NOW(),B2200),""))</f>
        <v>Date</v>
      </c>
      <c r="C2200" s="19" t="str">
        <f>IF(ISBLANK(A2200),"Name",IF(ISNA(VLOOKUP(A2200,'Master List'!A:C,2,FALSE)), "Not Found", VLOOKUP(A2200,'Master List'!A:C,2,FALSE)))</f>
        <v>Name</v>
      </c>
      <c r="D2200" s="19" t="str">
        <f>IF(ISBLANK(A2200), "Email",IF(ISNA(VLOOKUP(A2200,'Master List'!A:C,3,FALSE)), "Not Found", VLOOKUP(A2200,'Master List'!A:C,3,FALSE)))</f>
        <v>Email</v>
      </c>
      <c r="F2200" s="4" t="str">
        <f>IF(OR(A2200="",E2200="","",A2200="?",E2200="?"),"duplicate?",IF(COUNTIFS($A:A,A2200,E:E,E2200)&gt;1,"yes","no"))</f>
        <v>duplicate?</v>
      </c>
      <c r="K2200" s="97" t="str">
        <f ca="1">IF(J2200="","Date",IF(J2200&lt;&gt;"",IF(K2200="Date",NOW(),K2200),""))</f>
        <v>Date</v>
      </c>
    </row>
    <row r="2201" spans="2:11">
      <c r="B2201" s="97" t="str">
        <f ca="1">IF(A2201="","Date",IF(A2201&lt;&gt;"",IF(B2201="Date",NOW(),B2201),""))</f>
        <v>Date</v>
      </c>
      <c r="C2201" s="19" t="str">
        <f>IF(ISBLANK(A2201),"Name",IF(ISNA(VLOOKUP(A2201,'Master List'!A:C,2,FALSE)), "Not Found", VLOOKUP(A2201,'Master List'!A:C,2,FALSE)))</f>
        <v>Name</v>
      </c>
      <c r="D2201" s="19" t="str">
        <f>IF(ISBLANK(A2201), "Email",IF(ISNA(VLOOKUP(A2201,'Master List'!A:C,3,FALSE)), "Not Found", VLOOKUP(A2201,'Master List'!A:C,3,FALSE)))</f>
        <v>Email</v>
      </c>
      <c r="F2201" s="4" t="str">
        <f>IF(OR(A2201="",E2201="","",A2201="?",E2201="?"),"duplicate?",IF(COUNTIFS($A:A,A2201,E:E,E2201)&gt;1,"yes","no"))</f>
        <v>duplicate?</v>
      </c>
      <c r="K2201" s="97" t="str">
        <f ca="1">IF(J2201="","Date",IF(J2201&lt;&gt;"",IF(K2201="Date",NOW(),K2201),""))</f>
        <v>Date</v>
      </c>
    </row>
    <row r="2202" spans="2:11">
      <c r="B2202" s="97" t="str">
        <f ca="1">IF(A2202="","Date",IF(A2202&lt;&gt;"",IF(B2202="Date",NOW(),B2202),""))</f>
        <v>Date</v>
      </c>
      <c r="C2202" s="19" t="str">
        <f>IF(ISBLANK(A2202),"Name",IF(ISNA(VLOOKUP(A2202,'Master List'!A:C,2,FALSE)), "Not Found", VLOOKUP(A2202,'Master List'!A:C,2,FALSE)))</f>
        <v>Name</v>
      </c>
      <c r="D2202" s="19" t="str">
        <f>IF(ISBLANK(A2202), "Email",IF(ISNA(VLOOKUP(A2202,'Master List'!A:C,3,FALSE)), "Not Found", VLOOKUP(A2202,'Master List'!A:C,3,FALSE)))</f>
        <v>Email</v>
      </c>
      <c r="F2202" s="4" t="str">
        <f>IF(OR(A2202="",E2202="","",A2202="?",E2202="?"),"duplicate?",IF(COUNTIFS($A:A,A2202,E:E,E2202)&gt;1,"yes","no"))</f>
        <v>duplicate?</v>
      </c>
      <c r="K2202" s="97" t="str">
        <f ca="1">IF(J2202="","Date",IF(J2202&lt;&gt;"",IF(K2202="Date",NOW(),K2202),""))</f>
        <v>Date</v>
      </c>
    </row>
    <row r="2203" spans="2:11">
      <c r="B2203" s="97" t="str">
        <f ca="1">IF(A2203="","Date",IF(A2203&lt;&gt;"",IF(B2203="Date",NOW(),B2203),""))</f>
        <v>Date</v>
      </c>
      <c r="C2203" s="19" t="str">
        <f>IF(ISBLANK(A2203),"Name",IF(ISNA(VLOOKUP(A2203,'Master List'!A:C,2,FALSE)), "Not Found", VLOOKUP(A2203,'Master List'!A:C,2,FALSE)))</f>
        <v>Name</v>
      </c>
      <c r="D2203" s="19" t="str">
        <f>IF(ISBLANK(A2203), "Email",IF(ISNA(VLOOKUP(A2203,'Master List'!A:C,3,FALSE)), "Not Found", VLOOKUP(A2203,'Master List'!A:C,3,FALSE)))</f>
        <v>Email</v>
      </c>
      <c r="F2203" s="4" t="str">
        <f>IF(OR(A2203="",E2203="","",A2203="?",E2203="?"),"duplicate?",IF(COUNTIFS($A:A,A2203,E:E,E2203)&gt;1,"yes","no"))</f>
        <v>duplicate?</v>
      </c>
      <c r="K2203" s="97" t="str">
        <f ca="1">IF(J2203="","Date",IF(J2203&lt;&gt;"",IF(K2203="Date",NOW(),K2203),""))</f>
        <v>Date</v>
      </c>
    </row>
    <row r="2204" spans="2:11">
      <c r="B2204" s="97" t="str">
        <f ca="1">IF(A2204="","Date",IF(A2204&lt;&gt;"",IF(B2204="Date",NOW(),B2204),""))</f>
        <v>Date</v>
      </c>
      <c r="C2204" s="19" t="str">
        <f>IF(ISBLANK(A2204),"Name",IF(ISNA(VLOOKUP(A2204,'Master List'!A:C,2,FALSE)), "Not Found", VLOOKUP(A2204,'Master List'!A:C,2,FALSE)))</f>
        <v>Name</v>
      </c>
      <c r="D2204" s="19" t="str">
        <f>IF(ISBLANK(A2204), "Email",IF(ISNA(VLOOKUP(A2204,'Master List'!A:C,3,FALSE)), "Not Found", VLOOKUP(A2204,'Master List'!A:C,3,FALSE)))</f>
        <v>Email</v>
      </c>
      <c r="F2204" s="4" t="str">
        <f>IF(OR(A2204="",E2204="","",A2204="?",E2204="?"),"duplicate?",IF(COUNTIFS($A:A,A2204,E:E,E2204)&gt;1,"yes","no"))</f>
        <v>duplicate?</v>
      </c>
      <c r="K2204" s="97" t="str">
        <f ca="1">IF(J2204="","Date",IF(J2204&lt;&gt;"",IF(K2204="Date",NOW(),K2204),""))</f>
        <v>Date</v>
      </c>
    </row>
    <row r="2205" spans="2:11">
      <c r="B2205" s="97" t="str">
        <f ca="1">IF(A2205="","Date",IF(A2205&lt;&gt;"",IF(B2205="Date",NOW(),B2205),""))</f>
        <v>Date</v>
      </c>
      <c r="C2205" s="19" t="str">
        <f>IF(ISBLANK(A2205),"Name",IF(ISNA(VLOOKUP(A2205,'Master List'!A:C,2,FALSE)), "Not Found", VLOOKUP(A2205,'Master List'!A:C,2,FALSE)))</f>
        <v>Name</v>
      </c>
      <c r="D2205" s="19" t="str">
        <f>IF(ISBLANK(A2205), "Email",IF(ISNA(VLOOKUP(A2205,'Master List'!A:C,3,FALSE)), "Not Found", VLOOKUP(A2205,'Master List'!A:C,3,FALSE)))</f>
        <v>Email</v>
      </c>
      <c r="F2205" s="4" t="str">
        <f>IF(OR(A2205="",E2205="","",A2205="?",E2205="?"),"duplicate?",IF(COUNTIFS($A:A,A2205,E:E,E2205)&gt;1,"yes","no"))</f>
        <v>duplicate?</v>
      </c>
      <c r="K2205" s="97" t="str">
        <f ca="1">IF(J2205="","Date",IF(J2205&lt;&gt;"",IF(K2205="Date",NOW(),K2205),""))</f>
        <v>Date</v>
      </c>
    </row>
    <row r="2206" spans="2:11">
      <c r="B2206" s="97" t="str">
        <f ca="1">IF(A2206="","Date",IF(A2206&lt;&gt;"",IF(B2206="Date",NOW(),B2206),""))</f>
        <v>Date</v>
      </c>
      <c r="C2206" s="19" t="str">
        <f>IF(ISBLANK(A2206),"Name",IF(ISNA(VLOOKUP(A2206,'Master List'!A:C,2,FALSE)), "Not Found", VLOOKUP(A2206,'Master List'!A:C,2,FALSE)))</f>
        <v>Name</v>
      </c>
      <c r="D2206" s="19" t="str">
        <f>IF(ISBLANK(A2206), "Email",IF(ISNA(VLOOKUP(A2206,'Master List'!A:C,3,FALSE)), "Not Found", VLOOKUP(A2206,'Master List'!A:C,3,FALSE)))</f>
        <v>Email</v>
      </c>
      <c r="F2206" s="4" t="str">
        <f>IF(OR(A2206="",E2206="","",A2206="?",E2206="?"),"duplicate?",IF(COUNTIFS($A:A,A2206,E:E,E2206)&gt;1,"yes","no"))</f>
        <v>duplicate?</v>
      </c>
      <c r="K2206" s="97" t="str">
        <f ca="1">IF(J2206="","Date",IF(J2206&lt;&gt;"",IF(K2206="Date",NOW(),K2206),""))</f>
        <v>Date</v>
      </c>
    </row>
    <row r="2207" spans="2:11">
      <c r="B2207" s="97" t="str">
        <f ca="1">IF(A2207="","Date",IF(A2207&lt;&gt;"",IF(B2207="Date",NOW(),B2207),""))</f>
        <v>Date</v>
      </c>
      <c r="C2207" s="19" t="str">
        <f>IF(ISBLANK(A2207),"Name",IF(ISNA(VLOOKUP(A2207,'Master List'!A:C,2,FALSE)), "Not Found", VLOOKUP(A2207,'Master List'!A:C,2,FALSE)))</f>
        <v>Name</v>
      </c>
      <c r="D2207" s="19" t="str">
        <f>IF(ISBLANK(A2207), "Email",IF(ISNA(VLOOKUP(A2207,'Master List'!A:C,3,FALSE)), "Not Found", VLOOKUP(A2207,'Master List'!A:C,3,FALSE)))</f>
        <v>Email</v>
      </c>
      <c r="F2207" s="4" t="str">
        <f>IF(OR(A2207="",E2207="","",A2207="?",E2207="?"),"duplicate?",IF(COUNTIFS($A:A,A2207,E:E,E2207)&gt;1,"yes","no"))</f>
        <v>duplicate?</v>
      </c>
      <c r="K2207" s="97" t="str">
        <f ca="1">IF(J2207="","Date",IF(J2207&lt;&gt;"",IF(K2207="Date",NOW(),K2207),""))</f>
        <v>Date</v>
      </c>
    </row>
    <row r="2208" spans="2:11">
      <c r="B2208" s="97" t="str">
        <f ca="1">IF(A2208="","Date",IF(A2208&lt;&gt;"",IF(B2208="Date",NOW(),B2208),""))</f>
        <v>Date</v>
      </c>
      <c r="C2208" s="19" t="str">
        <f>IF(ISBLANK(A2208),"Name",IF(ISNA(VLOOKUP(A2208,'Master List'!A:C,2,FALSE)), "Not Found", VLOOKUP(A2208,'Master List'!A:C,2,FALSE)))</f>
        <v>Name</v>
      </c>
      <c r="D2208" s="19" t="str">
        <f>IF(ISBLANK(A2208), "Email",IF(ISNA(VLOOKUP(A2208,'Master List'!A:C,3,FALSE)), "Not Found", VLOOKUP(A2208,'Master List'!A:C,3,FALSE)))</f>
        <v>Email</v>
      </c>
      <c r="F2208" s="4" t="str">
        <f>IF(OR(A2208="",E2208="","",A2208="?",E2208="?"),"duplicate?",IF(COUNTIFS($A:A,A2208,E:E,E2208)&gt;1,"yes","no"))</f>
        <v>duplicate?</v>
      </c>
      <c r="K2208" s="97" t="str">
        <f ca="1">IF(J2208="","Date",IF(J2208&lt;&gt;"",IF(K2208="Date",NOW(),K2208),""))</f>
        <v>Date</v>
      </c>
    </row>
    <row r="2209" spans="2:11">
      <c r="B2209" s="97" t="str">
        <f ca="1">IF(A2209="","Date",IF(A2209&lt;&gt;"",IF(B2209="Date",NOW(),B2209),""))</f>
        <v>Date</v>
      </c>
      <c r="C2209" s="19" t="str">
        <f>IF(ISBLANK(A2209),"Name",IF(ISNA(VLOOKUP(A2209,'Master List'!A:C,2,FALSE)), "Not Found", VLOOKUP(A2209,'Master List'!A:C,2,FALSE)))</f>
        <v>Name</v>
      </c>
      <c r="D2209" s="19" t="str">
        <f>IF(ISBLANK(A2209), "Email",IF(ISNA(VLOOKUP(A2209,'Master List'!A:C,3,FALSE)), "Not Found", VLOOKUP(A2209,'Master List'!A:C,3,FALSE)))</f>
        <v>Email</v>
      </c>
      <c r="F2209" s="4" t="str">
        <f>IF(OR(A2209="",E2209="","",A2209="?",E2209="?"),"duplicate?",IF(COUNTIFS($A:A,A2209,E:E,E2209)&gt;1,"yes","no"))</f>
        <v>duplicate?</v>
      </c>
      <c r="K2209" s="97" t="str">
        <f ca="1">IF(J2209="","Date",IF(J2209&lt;&gt;"",IF(K2209="Date",NOW(),K2209),""))</f>
        <v>Date</v>
      </c>
    </row>
    <row r="2210" spans="2:11">
      <c r="B2210" s="97" t="str">
        <f ca="1">IF(A2210="","Date",IF(A2210&lt;&gt;"",IF(B2210="Date",NOW(),B2210),""))</f>
        <v>Date</v>
      </c>
      <c r="C2210" s="19" t="str">
        <f>IF(ISBLANK(A2210),"Name",IF(ISNA(VLOOKUP(A2210,'Master List'!A:C,2,FALSE)), "Not Found", VLOOKUP(A2210,'Master List'!A:C,2,FALSE)))</f>
        <v>Name</v>
      </c>
      <c r="D2210" s="19" t="str">
        <f>IF(ISBLANK(A2210), "Email",IF(ISNA(VLOOKUP(A2210,'Master List'!A:C,3,FALSE)), "Not Found", VLOOKUP(A2210,'Master List'!A:C,3,FALSE)))</f>
        <v>Email</v>
      </c>
      <c r="F2210" s="4" t="str">
        <f>IF(OR(A2210="",E2210="","",A2210="?",E2210="?"),"duplicate?",IF(COUNTIFS($A:A,A2210,E:E,E2210)&gt;1,"yes","no"))</f>
        <v>duplicate?</v>
      </c>
      <c r="K2210" s="97" t="str">
        <f ca="1">IF(J2210="","Date",IF(J2210&lt;&gt;"",IF(K2210="Date",NOW(),K2210),""))</f>
        <v>Date</v>
      </c>
    </row>
    <row r="2211" spans="2:11">
      <c r="B2211" s="97" t="str">
        <f ca="1">IF(A2211="","Date",IF(A2211&lt;&gt;"",IF(B2211="Date",NOW(),B2211),""))</f>
        <v>Date</v>
      </c>
      <c r="C2211" s="19" t="str">
        <f>IF(ISBLANK(A2211),"Name",IF(ISNA(VLOOKUP(A2211,'Master List'!A:C,2,FALSE)), "Not Found", VLOOKUP(A2211,'Master List'!A:C,2,FALSE)))</f>
        <v>Name</v>
      </c>
      <c r="D2211" s="19" t="str">
        <f>IF(ISBLANK(A2211), "Email",IF(ISNA(VLOOKUP(A2211,'Master List'!A:C,3,FALSE)), "Not Found", VLOOKUP(A2211,'Master List'!A:C,3,FALSE)))</f>
        <v>Email</v>
      </c>
      <c r="F2211" s="4" t="str">
        <f>IF(OR(A2211="",E2211="","",A2211="?",E2211="?"),"duplicate?",IF(COUNTIFS($A:A,A2211,E:E,E2211)&gt;1,"yes","no"))</f>
        <v>duplicate?</v>
      </c>
      <c r="K2211" s="97" t="str">
        <f ca="1">IF(J2211="","Date",IF(J2211&lt;&gt;"",IF(K2211="Date",NOW(),K2211),""))</f>
        <v>Date</v>
      </c>
    </row>
    <row r="2212" spans="2:11">
      <c r="B2212" s="97" t="str">
        <f ca="1">IF(A2212="","Date",IF(A2212&lt;&gt;"",IF(B2212="Date",NOW(),B2212),""))</f>
        <v>Date</v>
      </c>
      <c r="C2212" s="19" t="str">
        <f>IF(ISBLANK(A2212),"Name",IF(ISNA(VLOOKUP(A2212,'Master List'!A:C,2,FALSE)), "Not Found", VLOOKUP(A2212,'Master List'!A:C,2,FALSE)))</f>
        <v>Name</v>
      </c>
      <c r="D2212" s="19" t="str">
        <f>IF(ISBLANK(A2212), "Email",IF(ISNA(VLOOKUP(A2212,'Master List'!A:C,3,FALSE)), "Not Found", VLOOKUP(A2212,'Master List'!A:C,3,FALSE)))</f>
        <v>Email</v>
      </c>
      <c r="F2212" s="4" t="str">
        <f>IF(OR(A2212="",E2212="","",A2212="?",E2212="?"),"duplicate?",IF(COUNTIFS($A:A,A2212,E:E,E2212)&gt;1,"yes","no"))</f>
        <v>duplicate?</v>
      </c>
      <c r="K2212" s="97" t="str">
        <f ca="1">IF(J2212="","Date",IF(J2212&lt;&gt;"",IF(K2212="Date",NOW(),K2212),""))</f>
        <v>Date</v>
      </c>
    </row>
    <row r="2213" spans="2:11">
      <c r="B2213" s="97" t="str">
        <f ca="1">IF(A2213="","Date",IF(A2213&lt;&gt;"",IF(B2213="Date",NOW(),B2213),""))</f>
        <v>Date</v>
      </c>
      <c r="C2213" s="19" t="str">
        <f>IF(ISBLANK(A2213),"Name",IF(ISNA(VLOOKUP(A2213,'Master List'!A:C,2,FALSE)), "Not Found", VLOOKUP(A2213,'Master List'!A:C,2,FALSE)))</f>
        <v>Name</v>
      </c>
      <c r="D2213" s="19" t="str">
        <f>IF(ISBLANK(A2213), "Email",IF(ISNA(VLOOKUP(A2213,'Master List'!A:C,3,FALSE)), "Not Found", VLOOKUP(A2213,'Master List'!A:C,3,FALSE)))</f>
        <v>Email</v>
      </c>
      <c r="F2213" s="4" t="str">
        <f>IF(OR(A2213="",E2213="","",A2213="?",E2213="?"),"duplicate?",IF(COUNTIFS($A:A,A2213,E:E,E2213)&gt;1,"yes","no"))</f>
        <v>duplicate?</v>
      </c>
      <c r="K2213" s="97" t="str">
        <f ca="1">IF(J2213="","Date",IF(J2213&lt;&gt;"",IF(K2213="Date",NOW(),K2213),""))</f>
        <v>Date</v>
      </c>
    </row>
    <row r="2214" spans="2:11">
      <c r="B2214" s="97" t="str">
        <f ca="1">IF(A2214="","Date",IF(A2214&lt;&gt;"",IF(B2214="Date",NOW(),B2214),""))</f>
        <v>Date</v>
      </c>
      <c r="C2214" s="19" t="str">
        <f>IF(ISBLANK(A2214),"Name",IF(ISNA(VLOOKUP(A2214,'Master List'!A:C,2,FALSE)), "Not Found", VLOOKUP(A2214,'Master List'!A:C,2,FALSE)))</f>
        <v>Name</v>
      </c>
      <c r="D2214" s="19" t="str">
        <f>IF(ISBLANK(A2214), "Email",IF(ISNA(VLOOKUP(A2214,'Master List'!A:C,3,FALSE)), "Not Found", VLOOKUP(A2214,'Master List'!A:C,3,FALSE)))</f>
        <v>Email</v>
      </c>
      <c r="F2214" s="4" t="str">
        <f>IF(OR(A2214="",E2214="","",A2214="?",E2214="?"),"duplicate?",IF(COUNTIFS($A:A,A2214,E:E,E2214)&gt;1,"yes","no"))</f>
        <v>duplicate?</v>
      </c>
      <c r="K2214" s="97" t="str">
        <f ca="1">IF(J2214="","Date",IF(J2214&lt;&gt;"",IF(K2214="Date",NOW(),K2214),""))</f>
        <v>Date</v>
      </c>
    </row>
    <row r="2215" spans="2:11">
      <c r="B2215" s="97" t="str">
        <f ca="1">IF(A2215="","Date",IF(A2215&lt;&gt;"",IF(B2215="Date",NOW(),B2215),""))</f>
        <v>Date</v>
      </c>
      <c r="C2215" s="19" t="str">
        <f>IF(ISBLANK(A2215),"Name",IF(ISNA(VLOOKUP(A2215,'Master List'!A:C,2,FALSE)), "Not Found", VLOOKUP(A2215,'Master List'!A:C,2,FALSE)))</f>
        <v>Name</v>
      </c>
      <c r="D2215" s="19" t="str">
        <f>IF(ISBLANK(A2215), "Email",IF(ISNA(VLOOKUP(A2215,'Master List'!A:C,3,FALSE)), "Not Found", VLOOKUP(A2215,'Master List'!A:C,3,FALSE)))</f>
        <v>Email</v>
      </c>
      <c r="F2215" s="4" t="str">
        <f>IF(OR(A2215="",E2215="","",A2215="?",E2215="?"),"duplicate?",IF(COUNTIFS($A:A,A2215,E:E,E2215)&gt;1,"yes","no"))</f>
        <v>duplicate?</v>
      </c>
      <c r="K2215" s="97" t="str">
        <f ca="1">IF(J2215="","Date",IF(J2215&lt;&gt;"",IF(K2215="Date",NOW(),K2215),""))</f>
        <v>Date</v>
      </c>
    </row>
    <row r="2216" spans="2:11">
      <c r="B2216" s="97" t="str">
        <f ca="1">IF(A2216="","Date",IF(A2216&lt;&gt;"",IF(B2216="Date",NOW(),B2216),""))</f>
        <v>Date</v>
      </c>
      <c r="C2216" s="19" t="str">
        <f>IF(ISBLANK(A2216),"Name",IF(ISNA(VLOOKUP(A2216,'Master List'!A:C,2,FALSE)), "Not Found", VLOOKUP(A2216,'Master List'!A:C,2,FALSE)))</f>
        <v>Name</v>
      </c>
      <c r="D2216" s="19" t="str">
        <f>IF(ISBLANK(A2216), "Email",IF(ISNA(VLOOKUP(A2216,'Master List'!A:C,3,FALSE)), "Not Found", VLOOKUP(A2216,'Master List'!A:C,3,FALSE)))</f>
        <v>Email</v>
      </c>
      <c r="F2216" s="4" t="str">
        <f>IF(OR(A2216="",E2216="","",A2216="?",E2216="?"),"duplicate?",IF(COUNTIFS($A:A,A2216,E:E,E2216)&gt;1,"yes","no"))</f>
        <v>duplicate?</v>
      </c>
      <c r="K2216" s="97" t="str">
        <f ca="1">IF(J2216="","Date",IF(J2216&lt;&gt;"",IF(K2216="Date",NOW(),K2216),""))</f>
        <v>Date</v>
      </c>
    </row>
    <row r="2217" spans="2:11">
      <c r="B2217" s="97" t="str">
        <f ca="1">IF(A2217="","Date",IF(A2217&lt;&gt;"",IF(B2217="Date",NOW(),B2217),""))</f>
        <v>Date</v>
      </c>
      <c r="C2217" s="19" t="str">
        <f>IF(ISBLANK(A2217),"Name",IF(ISNA(VLOOKUP(A2217,'Master List'!A:C,2,FALSE)), "Not Found", VLOOKUP(A2217,'Master List'!A:C,2,FALSE)))</f>
        <v>Name</v>
      </c>
      <c r="D2217" s="19" t="str">
        <f>IF(ISBLANK(A2217), "Email",IF(ISNA(VLOOKUP(A2217,'Master List'!A:C,3,FALSE)), "Not Found", VLOOKUP(A2217,'Master List'!A:C,3,FALSE)))</f>
        <v>Email</v>
      </c>
      <c r="F2217" s="4" t="str">
        <f>IF(OR(A2217="",E2217="","",A2217="?",E2217="?"),"duplicate?",IF(COUNTIFS($A:A,A2217,E:E,E2217)&gt;1,"yes","no"))</f>
        <v>duplicate?</v>
      </c>
      <c r="K2217" s="97" t="str">
        <f ca="1">IF(J2217="","Date",IF(J2217&lt;&gt;"",IF(K2217="Date",NOW(),K2217),""))</f>
        <v>Date</v>
      </c>
    </row>
    <row r="2218" spans="2:11">
      <c r="B2218" s="97" t="str">
        <f ca="1">IF(A2218="","Date",IF(A2218&lt;&gt;"",IF(B2218="Date",NOW(),B2218),""))</f>
        <v>Date</v>
      </c>
      <c r="C2218" s="19" t="str">
        <f>IF(ISBLANK(A2218),"Name",IF(ISNA(VLOOKUP(A2218,'Master List'!A:C,2,FALSE)), "Not Found", VLOOKUP(A2218,'Master List'!A:C,2,FALSE)))</f>
        <v>Name</v>
      </c>
      <c r="D2218" s="19" t="str">
        <f>IF(ISBLANK(A2218), "Email",IF(ISNA(VLOOKUP(A2218,'Master List'!A:C,3,FALSE)), "Not Found", VLOOKUP(A2218,'Master List'!A:C,3,FALSE)))</f>
        <v>Email</v>
      </c>
      <c r="F2218" s="4" t="str">
        <f>IF(OR(A2218="",E2218="","",A2218="?",E2218="?"),"duplicate?",IF(COUNTIFS($A:A,A2218,E:E,E2218)&gt;1,"yes","no"))</f>
        <v>duplicate?</v>
      </c>
      <c r="K2218" s="97" t="str">
        <f ca="1">IF(J2218="","Date",IF(J2218&lt;&gt;"",IF(K2218="Date",NOW(),K2218),""))</f>
        <v>Date</v>
      </c>
    </row>
    <row r="2219" spans="2:11">
      <c r="B2219" s="97" t="str">
        <f ca="1">IF(A2219="","Date",IF(A2219&lt;&gt;"",IF(B2219="Date",NOW(),B2219),""))</f>
        <v>Date</v>
      </c>
      <c r="C2219" s="19" t="str">
        <f>IF(ISBLANK(A2219),"Name",IF(ISNA(VLOOKUP(A2219,'Master List'!A:C,2,FALSE)), "Not Found", VLOOKUP(A2219,'Master List'!A:C,2,FALSE)))</f>
        <v>Name</v>
      </c>
      <c r="D2219" s="19" t="str">
        <f>IF(ISBLANK(A2219), "Email",IF(ISNA(VLOOKUP(A2219,'Master List'!A:C,3,FALSE)), "Not Found", VLOOKUP(A2219,'Master List'!A:C,3,FALSE)))</f>
        <v>Email</v>
      </c>
      <c r="F2219" s="4" t="str">
        <f>IF(OR(A2219="",E2219="","",A2219="?",E2219="?"),"duplicate?",IF(COUNTIFS($A:A,A2219,E:E,E2219)&gt;1,"yes","no"))</f>
        <v>duplicate?</v>
      </c>
      <c r="K2219" s="97" t="str">
        <f ca="1">IF(J2219="","Date",IF(J2219&lt;&gt;"",IF(K2219="Date",NOW(),K2219),""))</f>
        <v>Date</v>
      </c>
    </row>
    <row r="2220" spans="2:11">
      <c r="B2220" s="97" t="str">
        <f ca="1">IF(A2220="","Date",IF(A2220&lt;&gt;"",IF(B2220="Date",NOW(),B2220),""))</f>
        <v>Date</v>
      </c>
      <c r="C2220" s="19" t="str">
        <f>IF(ISBLANK(A2220),"Name",IF(ISNA(VLOOKUP(A2220,'Master List'!A:C,2,FALSE)), "Not Found", VLOOKUP(A2220,'Master List'!A:C,2,FALSE)))</f>
        <v>Name</v>
      </c>
      <c r="D2220" s="19" t="str">
        <f>IF(ISBLANK(A2220), "Email",IF(ISNA(VLOOKUP(A2220,'Master List'!A:C,3,FALSE)), "Not Found", VLOOKUP(A2220,'Master List'!A:C,3,FALSE)))</f>
        <v>Email</v>
      </c>
      <c r="F2220" s="4" t="str">
        <f>IF(OR(A2220="",E2220="","",A2220="?",E2220="?"),"duplicate?",IF(COUNTIFS($A:A,A2220,E:E,E2220)&gt;1,"yes","no"))</f>
        <v>duplicate?</v>
      </c>
      <c r="K2220" s="97" t="str">
        <f ca="1">IF(J2220="","Date",IF(J2220&lt;&gt;"",IF(K2220="Date",NOW(),K2220),""))</f>
        <v>Date</v>
      </c>
    </row>
    <row r="2221" spans="2:11">
      <c r="B2221" s="97" t="str">
        <f ca="1">IF(A2221="","Date",IF(A2221&lt;&gt;"",IF(B2221="Date",NOW(),B2221),""))</f>
        <v>Date</v>
      </c>
      <c r="C2221" s="19" t="str">
        <f>IF(ISBLANK(A2221),"Name",IF(ISNA(VLOOKUP(A2221,'Master List'!A:C,2,FALSE)), "Not Found", VLOOKUP(A2221,'Master List'!A:C,2,FALSE)))</f>
        <v>Name</v>
      </c>
      <c r="D2221" s="19" t="str">
        <f>IF(ISBLANK(A2221), "Email",IF(ISNA(VLOOKUP(A2221,'Master List'!A:C,3,FALSE)), "Not Found", VLOOKUP(A2221,'Master List'!A:C,3,FALSE)))</f>
        <v>Email</v>
      </c>
      <c r="F2221" s="4" t="str">
        <f>IF(OR(A2221="",E2221="","",A2221="?",E2221="?"),"duplicate?",IF(COUNTIFS($A:A,A2221,E:E,E2221)&gt;1,"yes","no"))</f>
        <v>duplicate?</v>
      </c>
      <c r="K2221" s="97" t="str">
        <f ca="1">IF(J2221="","Date",IF(J2221&lt;&gt;"",IF(K2221="Date",NOW(),K2221),""))</f>
        <v>Date</v>
      </c>
    </row>
    <row r="2222" spans="2:11">
      <c r="B2222" s="97" t="str">
        <f ca="1">IF(A2222="","Date",IF(A2222&lt;&gt;"",IF(B2222="Date",NOW(),B2222),""))</f>
        <v>Date</v>
      </c>
      <c r="C2222" s="19" t="str">
        <f>IF(ISBLANK(A2222),"Name",IF(ISNA(VLOOKUP(A2222,'Master List'!A:C,2,FALSE)), "Not Found", VLOOKUP(A2222,'Master List'!A:C,2,FALSE)))</f>
        <v>Name</v>
      </c>
      <c r="D2222" s="19" t="str">
        <f>IF(ISBLANK(A2222), "Email",IF(ISNA(VLOOKUP(A2222,'Master List'!A:C,3,FALSE)), "Not Found", VLOOKUP(A2222,'Master List'!A:C,3,FALSE)))</f>
        <v>Email</v>
      </c>
      <c r="F2222" s="4" t="str">
        <f>IF(OR(A2222="",E2222="","",A2222="?",E2222="?"),"duplicate?",IF(COUNTIFS($A:A,A2222,E:E,E2222)&gt;1,"yes","no"))</f>
        <v>duplicate?</v>
      </c>
      <c r="K2222" s="97" t="str">
        <f ca="1">IF(J2222="","Date",IF(J2222&lt;&gt;"",IF(K2222="Date",NOW(),K2222),""))</f>
        <v>Date</v>
      </c>
    </row>
    <row r="2223" spans="2:11">
      <c r="B2223" s="97" t="str">
        <f ca="1">IF(A2223="","Date",IF(A2223&lt;&gt;"",IF(B2223="Date",NOW(),B2223),""))</f>
        <v>Date</v>
      </c>
      <c r="C2223" s="19" t="str">
        <f>IF(ISBLANK(A2223),"Name",IF(ISNA(VLOOKUP(A2223,'Master List'!A:C,2,FALSE)), "Not Found", VLOOKUP(A2223,'Master List'!A:C,2,FALSE)))</f>
        <v>Name</v>
      </c>
      <c r="D2223" s="19" t="str">
        <f>IF(ISBLANK(A2223), "Email",IF(ISNA(VLOOKUP(A2223,'Master List'!A:C,3,FALSE)), "Not Found", VLOOKUP(A2223,'Master List'!A:C,3,FALSE)))</f>
        <v>Email</v>
      </c>
      <c r="F2223" s="4" t="str">
        <f>IF(OR(A2223="",E2223="","",A2223="?",E2223="?"),"duplicate?",IF(COUNTIFS($A:A,A2223,E:E,E2223)&gt;1,"yes","no"))</f>
        <v>duplicate?</v>
      </c>
      <c r="K2223" s="97" t="str">
        <f ca="1">IF(J2223="","Date",IF(J2223&lt;&gt;"",IF(K2223="Date",NOW(),K2223),""))</f>
        <v>Date</v>
      </c>
    </row>
    <row r="2224" spans="2:11">
      <c r="B2224" s="97" t="str">
        <f ca="1">IF(A2224="","Date",IF(A2224&lt;&gt;"",IF(B2224="Date",NOW(),B2224),""))</f>
        <v>Date</v>
      </c>
      <c r="C2224" s="19" t="str">
        <f>IF(ISBLANK(A2224),"Name",IF(ISNA(VLOOKUP(A2224,'Master List'!A:C,2,FALSE)), "Not Found", VLOOKUP(A2224,'Master List'!A:C,2,FALSE)))</f>
        <v>Name</v>
      </c>
      <c r="D2224" s="19" t="str">
        <f>IF(ISBLANK(A2224), "Email",IF(ISNA(VLOOKUP(A2224,'Master List'!A:C,3,FALSE)), "Not Found", VLOOKUP(A2224,'Master List'!A:C,3,FALSE)))</f>
        <v>Email</v>
      </c>
      <c r="F2224" s="4" t="str">
        <f>IF(OR(A2224="",E2224="","",A2224="?",E2224="?"),"duplicate?",IF(COUNTIFS($A:A,A2224,E:E,E2224)&gt;1,"yes","no"))</f>
        <v>duplicate?</v>
      </c>
      <c r="K2224" s="97" t="str">
        <f ca="1">IF(J2224="","Date",IF(J2224&lt;&gt;"",IF(K2224="Date",NOW(),K2224),""))</f>
        <v>Date</v>
      </c>
    </row>
    <row r="2225" spans="2:11">
      <c r="B2225" s="97" t="str">
        <f ca="1">IF(A2225="","Date",IF(A2225&lt;&gt;"",IF(B2225="Date",NOW(),B2225),""))</f>
        <v>Date</v>
      </c>
      <c r="C2225" s="19" t="str">
        <f>IF(ISBLANK(A2225),"Name",IF(ISNA(VLOOKUP(A2225,'Master List'!A:C,2,FALSE)), "Not Found", VLOOKUP(A2225,'Master List'!A:C,2,FALSE)))</f>
        <v>Name</v>
      </c>
      <c r="D2225" s="19" t="str">
        <f>IF(ISBLANK(A2225), "Email",IF(ISNA(VLOOKUP(A2225,'Master List'!A:C,3,FALSE)), "Not Found", VLOOKUP(A2225,'Master List'!A:C,3,FALSE)))</f>
        <v>Email</v>
      </c>
      <c r="F2225" s="4" t="str">
        <f>IF(OR(A2225="",E2225="","",A2225="?",E2225="?"),"duplicate?",IF(COUNTIFS($A:A,A2225,E:E,E2225)&gt;1,"yes","no"))</f>
        <v>duplicate?</v>
      </c>
      <c r="K2225" s="97" t="str">
        <f ca="1">IF(J2225="","Date",IF(J2225&lt;&gt;"",IF(K2225="Date",NOW(),K2225),""))</f>
        <v>Date</v>
      </c>
    </row>
    <row r="2226" spans="2:11">
      <c r="B2226" s="97" t="str">
        <f ca="1">IF(A2226="","Date",IF(A2226&lt;&gt;"",IF(B2226="Date",NOW(),B2226),""))</f>
        <v>Date</v>
      </c>
      <c r="C2226" s="19" t="str">
        <f>IF(ISBLANK(A2226),"Name",IF(ISNA(VLOOKUP(A2226,'Master List'!A:C,2,FALSE)), "Not Found", VLOOKUP(A2226,'Master List'!A:C,2,FALSE)))</f>
        <v>Name</v>
      </c>
      <c r="D2226" s="19" t="str">
        <f>IF(ISBLANK(A2226), "Email",IF(ISNA(VLOOKUP(A2226,'Master List'!A:C,3,FALSE)), "Not Found", VLOOKUP(A2226,'Master List'!A:C,3,FALSE)))</f>
        <v>Email</v>
      </c>
      <c r="F2226" s="4" t="str">
        <f>IF(OR(A2226="",E2226="","",A2226="?",E2226="?"),"duplicate?",IF(COUNTIFS($A:A,A2226,E:E,E2226)&gt;1,"yes","no"))</f>
        <v>duplicate?</v>
      </c>
      <c r="K2226" s="97" t="str">
        <f ca="1">IF(J2226="","Date",IF(J2226&lt;&gt;"",IF(K2226="Date",NOW(),K2226),""))</f>
        <v>Date</v>
      </c>
    </row>
    <row r="2227" spans="2:11">
      <c r="B2227" s="97" t="str">
        <f ca="1">IF(A2227="","Date",IF(A2227&lt;&gt;"",IF(B2227="Date",NOW(),B2227),""))</f>
        <v>Date</v>
      </c>
      <c r="C2227" s="19" t="str">
        <f>IF(ISBLANK(A2227),"Name",IF(ISNA(VLOOKUP(A2227,'Master List'!A:C,2,FALSE)), "Not Found", VLOOKUP(A2227,'Master List'!A:C,2,FALSE)))</f>
        <v>Name</v>
      </c>
      <c r="D2227" s="19" t="str">
        <f>IF(ISBLANK(A2227), "Email",IF(ISNA(VLOOKUP(A2227,'Master List'!A:C,3,FALSE)), "Not Found", VLOOKUP(A2227,'Master List'!A:C,3,FALSE)))</f>
        <v>Email</v>
      </c>
      <c r="F2227" s="4" t="str">
        <f>IF(OR(A2227="",E2227="","",A2227="?",E2227="?"),"duplicate?",IF(COUNTIFS($A:A,A2227,E:E,E2227)&gt;1,"yes","no"))</f>
        <v>duplicate?</v>
      </c>
      <c r="K2227" s="97" t="str">
        <f ca="1">IF(J2227="","Date",IF(J2227&lt;&gt;"",IF(K2227="Date",NOW(),K2227),""))</f>
        <v>Date</v>
      </c>
    </row>
    <row r="2228" spans="2:11">
      <c r="B2228" s="97" t="str">
        <f ca="1">IF(A2228="","Date",IF(A2228&lt;&gt;"",IF(B2228="Date",NOW(),B2228),""))</f>
        <v>Date</v>
      </c>
      <c r="C2228" s="19" t="str">
        <f>IF(ISBLANK(A2228),"Name",IF(ISNA(VLOOKUP(A2228,'Master List'!A:C,2,FALSE)), "Not Found", VLOOKUP(A2228,'Master List'!A:C,2,FALSE)))</f>
        <v>Name</v>
      </c>
      <c r="D2228" s="19" t="str">
        <f>IF(ISBLANK(A2228), "Email",IF(ISNA(VLOOKUP(A2228,'Master List'!A:C,3,FALSE)), "Not Found", VLOOKUP(A2228,'Master List'!A:C,3,FALSE)))</f>
        <v>Email</v>
      </c>
      <c r="F2228" s="4" t="str">
        <f>IF(OR(A2228="",E2228="","",A2228="?",E2228="?"),"duplicate?",IF(COUNTIFS($A:A,A2228,E:E,E2228)&gt;1,"yes","no"))</f>
        <v>duplicate?</v>
      </c>
      <c r="K2228" s="97" t="str">
        <f ca="1">IF(J2228="","Date",IF(J2228&lt;&gt;"",IF(K2228="Date",NOW(),K2228),""))</f>
        <v>Date</v>
      </c>
    </row>
    <row r="2229" spans="2:11">
      <c r="B2229" s="97" t="str">
        <f ca="1">IF(A2229="","Date",IF(A2229&lt;&gt;"",IF(B2229="Date",NOW(),B2229),""))</f>
        <v>Date</v>
      </c>
      <c r="C2229" s="19" t="str">
        <f>IF(ISBLANK(A2229),"Name",IF(ISNA(VLOOKUP(A2229,'Master List'!A:C,2,FALSE)), "Not Found", VLOOKUP(A2229,'Master List'!A:C,2,FALSE)))</f>
        <v>Name</v>
      </c>
      <c r="D2229" s="19" t="str">
        <f>IF(ISBLANK(A2229), "Email",IF(ISNA(VLOOKUP(A2229,'Master List'!A:C,3,FALSE)), "Not Found", VLOOKUP(A2229,'Master List'!A:C,3,FALSE)))</f>
        <v>Email</v>
      </c>
      <c r="F2229" s="4" t="str">
        <f>IF(OR(A2229="",E2229="","",A2229="?",E2229="?"),"duplicate?",IF(COUNTIFS($A:A,A2229,E:E,E2229)&gt;1,"yes","no"))</f>
        <v>duplicate?</v>
      </c>
      <c r="K2229" s="97" t="str">
        <f ca="1">IF(J2229="","Date",IF(J2229&lt;&gt;"",IF(K2229="Date",NOW(),K2229),""))</f>
        <v>Date</v>
      </c>
    </row>
    <row r="2230" spans="2:11">
      <c r="B2230" s="97" t="str">
        <f ca="1">IF(A2230="","Date",IF(A2230&lt;&gt;"",IF(B2230="Date",NOW(),B2230),""))</f>
        <v>Date</v>
      </c>
      <c r="C2230" s="19" t="str">
        <f>IF(ISBLANK(A2230),"Name",IF(ISNA(VLOOKUP(A2230,'Master List'!A:C,2,FALSE)), "Not Found", VLOOKUP(A2230,'Master List'!A:C,2,FALSE)))</f>
        <v>Name</v>
      </c>
      <c r="D2230" s="19" t="str">
        <f>IF(ISBLANK(A2230), "Email",IF(ISNA(VLOOKUP(A2230,'Master List'!A:C,3,FALSE)), "Not Found", VLOOKUP(A2230,'Master List'!A:C,3,FALSE)))</f>
        <v>Email</v>
      </c>
      <c r="F2230" s="4" t="str">
        <f>IF(OR(A2230="",E2230="","",A2230="?",E2230="?"),"duplicate?",IF(COUNTIFS($A:A,A2230,E:E,E2230)&gt;1,"yes","no"))</f>
        <v>duplicate?</v>
      </c>
      <c r="K2230" s="97" t="str">
        <f ca="1">IF(J2230="","Date",IF(J2230&lt;&gt;"",IF(K2230="Date",NOW(),K2230),""))</f>
        <v>Date</v>
      </c>
    </row>
    <row r="2231" spans="2:11">
      <c r="B2231" s="97" t="str">
        <f ca="1">IF(A2231="","Date",IF(A2231&lt;&gt;"",IF(B2231="Date",NOW(),B2231),""))</f>
        <v>Date</v>
      </c>
      <c r="C2231" s="19" t="str">
        <f>IF(ISBLANK(A2231),"Name",IF(ISNA(VLOOKUP(A2231,'Master List'!A:C,2,FALSE)), "Not Found", VLOOKUP(A2231,'Master List'!A:C,2,FALSE)))</f>
        <v>Name</v>
      </c>
      <c r="D2231" s="19" t="str">
        <f>IF(ISBLANK(A2231), "Email",IF(ISNA(VLOOKUP(A2231,'Master List'!A:C,3,FALSE)), "Not Found", VLOOKUP(A2231,'Master List'!A:C,3,FALSE)))</f>
        <v>Email</v>
      </c>
      <c r="F2231" s="4" t="str">
        <f>IF(OR(A2231="",E2231="","",A2231="?",E2231="?"),"duplicate?",IF(COUNTIFS($A:A,A2231,E:E,E2231)&gt;1,"yes","no"))</f>
        <v>duplicate?</v>
      </c>
      <c r="K2231" s="97" t="str">
        <f ca="1">IF(J2231="","Date",IF(J2231&lt;&gt;"",IF(K2231="Date",NOW(),K2231),""))</f>
        <v>Date</v>
      </c>
    </row>
    <row r="2232" spans="2:11">
      <c r="B2232" s="97" t="str">
        <f ca="1">IF(A2232="","Date",IF(A2232&lt;&gt;"",IF(B2232="Date",NOW(),B2232),""))</f>
        <v>Date</v>
      </c>
      <c r="C2232" s="19" t="str">
        <f>IF(ISBLANK(A2232),"Name",IF(ISNA(VLOOKUP(A2232,'Master List'!A:C,2,FALSE)), "Not Found", VLOOKUP(A2232,'Master List'!A:C,2,FALSE)))</f>
        <v>Name</v>
      </c>
      <c r="D2232" s="19" t="str">
        <f>IF(ISBLANK(A2232), "Email",IF(ISNA(VLOOKUP(A2232,'Master List'!A:C,3,FALSE)), "Not Found", VLOOKUP(A2232,'Master List'!A:C,3,FALSE)))</f>
        <v>Email</v>
      </c>
      <c r="F2232" s="4" t="str">
        <f>IF(OR(A2232="",E2232="","",A2232="?",E2232="?"),"duplicate?",IF(COUNTIFS($A:A,A2232,E:E,E2232)&gt;1,"yes","no"))</f>
        <v>duplicate?</v>
      </c>
      <c r="K2232" s="97" t="str">
        <f ca="1">IF(J2232="","Date",IF(J2232&lt;&gt;"",IF(K2232="Date",NOW(),K2232),""))</f>
        <v>Date</v>
      </c>
    </row>
    <row r="2233" spans="2:11">
      <c r="B2233" s="97" t="str">
        <f ca="1">IF(A2233="","Date",IF(A2233&lt;&gt;"",IF(B2233="Date",NOW(),B2233),""))</f>
        <v>Date</v>
      </c>
      <c r="C2233" s="19" t="str">
        <f>IF(ISBLANK(A2233),"Name",IF(ISNA(VLOOKUP(A2233,'Master List'!A:C,2,FALSE)), "Not Found", VLOOKUP(A2233,'Master List'!A:C,2,FALSE)))</f>
        <v>Name</v>
      </c>
      <c r="D2233" s="19" t="str">
        <f>IF(ISBLANK(A2233), "Email",IF(ISNA(VLOOKUP(A2233,'Master List'!A:C,3,FALSE)), "Not Found", VLOOKUP(A2233,'Master List'!A:C,3,FALSE)))</f>
        <v>Email</v>
      </c>
      <c r="F2233" s="4" t="str">
        <f>IF(OR(A2233="",E2233="","",A2233="?",E2233="?"),"duplicate?",IF(COUNTIFS($A:A,A2233,E:E,E2233)&gt;1,"yes","no"))</f>
        <v>duplicate?</v>
      </c>
      <c r="K2233" s="97" t="str">
        <f ca="1">IF(J2233="","Date",IF(J2233&lt;&gt;"",IF(K2233="Date",NOW(),K2233),""))</f>
        <v>Date</v>
      </c>
    </row>
    <row r="2234" spans="2:11">
      <c r="B2234" s="97" t="str">
        <f ca="1">IF(A2234="","Date",IF(A2234&lt;&gt;"",IF(B2234="Date",NOW(),B2234),""))</f>
        <v>Date</v>
      </c>
      <c r="C2234" s="19" t="str">
        <f>IF(ISBLANK(A2234),"Name",IF(ISNA(VLOOKUP(A2234,'Master List'!A:C,2,FALSE)), "Not Found", VLOOKUP(A2234,'Master List'!A:C,2,FALSE)))</f>
        <v>Name</v>
      </c>
      <c r="D2234" s="19" t="str">
        <f>IF(ISBLANK(A2234), "Email",IF(ISNA(VLOOKUP(A2234,'Master List'!A:C,3,FALSE)), "Not Found", VLOOKUP(A2234,'Master List'!A:C,3,FALSE)))</f>
        <v>Email</v>
      </c>
      <c r="F2234" s="4" t="str">
        <f>IF(OR(A2234="",E2234="","",A2234="?",E2234="?"),"duplicate?",IF(COUNTIFS($A:A,A2234,E:E,E2234)&gt;1,"yes","no"))</f>
        <v>duplicate?</v>
      </c>
      <c r="K2234" s="97" t="str">
        <f ca="1">IF(J2234="","Date",IF(J2234&lt;&gt;"",IF(K2234="Date",NOW(),K2234),""))</f>
        <v>Date</v>
      </c>
    </row>
    <row r="2235" spans="2:11">
      <c r="B2235" s="97" t="str">
        <f ca="1">IF(A2235="","Date",IF(A2235&lt;&gt;"",IF(B2235="Date",NOW(),B2235),""))</f>
        <v>Date</v>
      </c>
      <c r="C2235" s="19" t="str">
        <f>IF(ISBLANK(A2235),"Name",IF(ISNA(VLOOKUP(A2235,'Master List'!A:C,2,FALSE)), "Not Found", VLOOKUP(A2235,'Master List'!A:C,2,FALSE)))</f>
        <v>Name</v>
      </c>
      <c r="D2235" s="19" t="str">
        <f>IF(ISBLANK(A2235), "Email",IF(ISNA(VLOOKUP(A2235,'Master List'!A:C,3,FALSE)), "Not Found", VLOOKUP(A2235,'Master List'!A:C,3,FALSE)))</f>
        <v>Email</v>
      </c>
      <c r="F2235" s="4" t="str">
        <f>IF(OR(A2235="",E2235="","",A2235="?",E2235="?"),"duplicate?",IF(COUNTIFS($A:A,A2235,E:E,E2235)&gt;1,"yes","no"))</f>
        <v>duplicate?</v>
      </c>
      <c r="K2235" s="97" t="str">
        <f ca="1">IF(J2235="","Date",IF(J2235&lt;&gt;"",IF(K2235="Date",NOW(),K2235),""))</f>
        <v>Date</v>
      </c>
    </row>
    <row r="2236" spans="2:11">
      <c r="B2236" s="97" t="str">
        <f ca="1">IF(A2236="","Date",IF(A2236&lt;&gt;"",IF(B2236="Date",NOW(),B2236),""))</f>
        <v>Date</v>
      </c>
      <c r="C2236" s="19" t="str">
        <f>IF(ISBLANK(A2236),"Name",IF(ISNA(VLOOKUP(A2236,'Master List'!A:C,2,FALSE)), "Not Found", VLOOKUP(A2236,'Master List'!A:C,2,FALSE)))</f>
        <v>Name</v>
      </c>
      <c r="D2236" s="19" t="str">
        <f>IF(ISBLANK(A2236), "Email",IF(ISNA(VLOOKUP(A2236,'Master List'!A:C,3,FALSE)), "Not Found", VLOOKUP(A2236,'Master List'!A:C,3,FALSE)))</f>
        <v>Email</v>
      </c>
      <c r="F2236" s="4" t="str">
        <f>IF(OR(A2236="",E2236="","",A2236="?",E2236="?"),"duplicate?",IF(COUNTIFS($A:A,A2236,E:E,E2236)&gt;1,"yes","no"))</f>
        <v>duplicate?</v>
      </c>
      <c r="K2236" s="97" t="str">
        <f ca="1">IF(J2236="","Date",IF(J2236&lt;&gt;"",IF(K2236="Date",NOW(),K2236),""))</f>
        <v>Date</v>
      </c>
    </row>
    <row r="2237" spans="2:11">
      <c r="B2237" s="97" t="str">
        <f ca="1">IF(A2237="","Date",IF(A2237&lt;&gt;"",IF(B2237="Date",NOW(),B2237),""))</f>
        <v>Date</v>
      </c>
      <c r="C2237" s="19" t="str">
        <f>IF(ISBLANK(A2237),"Name",IF(ISNA(VLOOKUP(A2237,'Master List'!A:C,2,FALSE)), "Not Found", VLOOKUP(A2237,'Master List'!A:C,2,FALSE)))</f>
        <v>Name</v>
      </c>
      <c r="D2237" s="19" t="str">
        <f>IF(ISBLANK(A2237), "Email",IF(ISNA(VLOOKUP(A2237,'Master List'!A:C,3,FALSE)), "Not Found", VLOOKUP(A2237,'Master List'!A:C,3,FALSE)))</f>
        <v>Email</v>
      </c>
      <c r="F2237" s="4" t="str">
        <f>IF(OR(A2237="",E2237="","",A2237="?",E2237="?"),"duplicate?",IF(COUNTIFS($A:A,A2237,E:E,E2237)&gt;1,"yes","no"))</f>
        <v>duplicate?</v>
      </c>
      <c r="K2237" s="97" t="str">
        <f ca="1">IF(J2237="","Date",IF(J2237&lt;&gt;"",IF(K2237="Date",NOW(),K2237),""))</f>
        <v>Date</v>
      </c>
    </row>
    <row r="2238" spans="2:11">
      <c r="B2238" s="97" t="str">
        <f ca="1">IF(A2238="","Date",IF(A2238&lt;&gt;"",IF(B2238="Date",NOW(),B2238),""))</f>
        <v>Date</v>
      </c>
      <c r="C2238" s="19" t="str">
        <f>IF(ISBLANK(A2238),"Name",IF(ISNA(VLOOKUP(A2238,'Master List'!A:C,2,FALSE)), "Not Found", VLOOKUP(A2238,'Master List'!A:C,2,FALSE)))</f>
        <v>Name</v>
      </c>
      <c r="D2238" s="19" t="str">
        <f>IF(ISBLANK(A2238), "Email",IF(ISNA(VLOOKUP(A2238,'Master List'!A:C,3,FALSE)), "Not Found", VLOOKUP(A2238,'Master List'!A:C,3,FALSE)))</f>
        <v>Email</v>
      </c>
      <c r="F2238" s="4" t="str">
        <f>IF(OR(A2238="",E2238="","",A2238="?",E2238="?"),"duplicate?",IF(COUNTIFS($A:A,A2238,E:E,E2238)&gt;1,"yes","no"))</f>
        <v>duplicate?</v>
      </c>
      <c r="K2238" s="97" t="str">
        <f ca="1">IF(J2238="","Date",IF(J2238&lt;&gt;"",IF(K2238="Date",NOW(),K2238),""))</f>
        <v>Date</v>
      </c>
    </row>
    <row r="2239" spans="2:11">
      <c r="B2239" s="97" t="str">
        <f ca="1">IF(A2239="","Date",IF(A2239&lt;&gt;"",IF(B2239="Date",NOW(),B2239),""))</f>
        <v>Date</v>
      </c>
      <c r="C2239" s="19" t="str">
        <f>IF(ISBLANK(A2239),"Name",IF(ISNA(VLOOKUP(A2239,'Master List'!A:C,2,FALSE)), "Not Found", VLOOKUP(A2239,'Master List'!A:C,2,FALSE)))</f>
        <v>Name</v>
      </c>
      <c r="D2239" s="19" t="str">
        <f>IF(ISBLANK(A2239), "Email",IF(ISNA(VLOOKUP(A2239,'Master List'!A:C,3,FALSE)), "Not Found", VLOOKUP(A2239,'Master List'!A:C,3,FALSE)))</f>
        <v>Email</v>
      </c>
      <c r="F2239" s="4" t="str">
        <f>IF(OR(A2239="",E2239="","",A2239="?",E2239="?"),"duplicate?",IF(COUNTIFS($A:A,A2239,E:E,E2239)&gt;1,"yes","no"))</f>
        <v>duplicate?</v>
      </c>
      <c r="K2239" s="97" t="str">
        <f ca="1">IF(J2239="","Date",IF(J2239&lt;&gt;"",IF(K2239="Date",NOW(),K2239),""))</f>
        <v>Date</v>
      </c>
    </row>
    <row r="2240" spans="2:11">
      <c r="B2240" s="97" t="str">
        <f ca="1">IF(A2240="","Date",IF(A2240&lt;&gt;"",IF(B2240="Date",NOW(),B2240),""))</f>
        <v>Date</v>
      </c>
      <c r="C2240" s="19" t="str">
        <f>IF(ISBLANK(A2240),"Name",IF(ISNA(VLOOKUP(A2240,'Master List'!A:C,2,FALSE)), "Not Found", VLOOKUP(A2240,'Master List'!A:C,2,FALSE)))</f>
        <v>Name</v>
      </c>
      <c r="D2240" s="19" t="str">
        <f>IF(ISBLANK(A2240), "Email",IF(ISNA(VLOOKUP(A2240,'Master List'!A:C,3,FALSE)), "Not Found", VLOOKUP(A2240,'Master List'!A:C,3,FALSE)))</f>
        <v>Email</v>
      </c>
      <c r="F2240" s="4" t="str">
        <f>IF(OR(A2240="",E2240="","",A2240="?",E2240="?"),"duplicate?",IF(COUNTIFS($A:A,A2240,E:E,E2240)&gt;1,"yes","no"))</f>
        <v>duplicate?</v>
      </c>
      <c r="K2240" s="97" t="str">
        <f ca="1">IF(J2240="","Date",IF(J2240&lt;&gt;"",IF(K2240="Date",NOW(),K2240),""))</f>
        <v>Date</v>
      </c>
    </row>
    <row r="2241" spans="2:11">
      <c r="B2241" s="97" t="str">
        <f ca="1">IF(A2241="","Date",IF(A2241&lt;&gt;"",IF(B2241="Date",NOW(),B2241),""))</f>
        <v>Date</v>
      </c>
      <c r="C2241" s="19" t="str">
        <f>IF(ISBLANK(A2241),"Name",IF(ISNA(VLOOKUP(A2241,'Master List'!A:C,2,FALSE)), "Not Found", VLOOKUP(A2241,'Master List'!A:C,2,FALSE)))</f>
        <v>Name</v>
      </c>
      <c r="D2241" s="19" t="str">
        <f>IF(ISBLANK(A2241), "Email",IF(ISNA(VLOOKUP(A2241,'Master List'!A:C,3,FALSE)), "Not Found", VLOOKUP(A2241,'Master List'!A:C,3,FALSE)))</f>
        <v>Email</v>
      </c>
      <c r="F2241" s="4" t="str">
        <f>IF(OR(A2241="",E2241="","",A2241="?",E2241="?"),"duplicate?",IF(COUNTIFS($A:A,A2241,E:E,E2241)&gt;1,"yes","no"))</f>
        <v>duplicate?</v>
      </c>
      <c r="K2241" s="97" t="str">
        <f ca="1">IF(J2241="","Date",IF(J2241&lt;&gt;"",IF(K2241="Date",NOW(),K2241),""))</f>
        <v>Date</v>
      </c>
    </row>
    <row r="2242" spans="2:11">
      <c r="B2242" s="97" t="str">
        <f ca="1">IF(A2242="","Date",IF(A2242&lt;&gt;"",IF(B2242="Date",NOW(),B2242),""))</f>
        <v>Date</v>
      </c>
      <c r="C2242" s="19" t="str">
        <f>IF(ISBLANK(A2242),"Name",IF(ISNA(VLOOKUP(A2242,'Master List'!A:C,2,FALSE)), "Not Found", VLOOKUP(A2242,'Master List'!A:C,2,FALSE)))</f>
        <v>Name</v>
      </c>
      <c r="D2242" s="19" t="str">
        <f>IF(ISBLANK(A2242), "Email",IF(ISNA(VLOOKUP(A2242,'Master List'!A:C,3,FALSE)), "Not Found", VLOOKUP(A2242,'Master List'!A:C,3,FALSE)))</f>
        <v>Email</v>
      </c>
      <c r="F2242" s="4" t="str">
        <f>IF(OR(A2242="",E2242="","",A2242="?",E2242="?"),"duplicate?",IF(COUNTIFS($A:A,A2242,E:E,E2242)&gt;1,"yes","no"))</f>
        <v>duplicate?</v>
      </c>
      <c r="K2242" s="97" t="str">
        <f ca="1">IF(J2242="","Date",IF(J2242&lt;&gt;"",IF(K2242="Date",NOW(),K2242),""))</f>
        <v>Date</v>
      </c>
    </row>
    <row r="2243" spans="2:11">
      <c r="B2243" s="97" t="str">
        <f ca="1">IF(A2243="","Date",IF(A2243&lt;&gt;"",IF(B2243="Date",NOW(),B2243),""))</f>
        <v>Date</v>
      </c>
      <c r="C2243" s="19" t="str">
        <f>IF(ISBLANK(A2243),"Name",IF(ISNA(VLOOKUP(A2243,'Master List'!A:C,2,FALSE)), "Not Found", VLOOKUP(A2243,'Master List'!A:C,2,FALSE)))</f>
        <v>Name</v>
      </c>
      <c r="D2243" s="19" t="str">
        <f>IF(ISBLANK(A2243), "Email",IF(ISNA(VLOOKUP(A2243,'Master List'!A:C,3,FALSE)), "Not Found", VLOOKUP(A2243,'Master List'!A:C,3,FALSE)))</f>
        <v>Email</v>
      </c>
      <c r="F2243" s="4" t="str">
        <f>IF(OR(A2243="",E2243="","",A2243="?",E2243="?"),"duplicate?",IF(COUNTIFS($A:A,A2243,E:E,E2243)&gt;1,"yes","no"))</f>
        <v>duplicate?</v>
      </c>
      <c r="K2243" s="97" t="str">
        <f ca="1">IF(J2243="","Date",IF(J2243&lt;&gt;"",IF(K2243="Date",NOW(),K2243),""))</f>
        <v>Date</v>
      </c>
    </row>
    <row r="2244" spans="2:11">
      <c r="B2244" s="97" t="str">
        <f ca="1">IF(A2244="","Date",IF(A2244&lt;&gt;"",IF(B2244="Date",NOW(),B2244),""))</f>
        <v>Date</v>
      </c>
      <c r="C2244" s="19" t="str">
        <f>IF(ISBLANK(A2244),"Name",IF(ISNA(VLOOKUP(A2244,'Master List'!A:C,2,FALSE)), "Not Found", VLOOKUP(A2244,'Master List'!A:C,2,FALSE)))</f>
        <v>Name</v>
      </c>
      <c r="D2244" s="19" t="str">
        <f>IF(ISBLANK(A2244), "Email",IF(ISNA(VLOOKUP(A2244,'Master List'!A:C,3,FALSE)), "Not Found", VLOOKUP(A2244,'Master List'!A:C,3,FALSE)))</f>
        <v>Email</v>
      </c>
      <c r="F2244" s="4" t="str">
        <f>IF(OR(A2244="",E2244="","",A2244="?",E2244="?"),"duplicate?",IF(COUNTIFS($A:A,A2244,E:E,E2244)&gt;1,"yes","no"))</f>
        <v>duplicate?</v>
      </c>
      <c r="K2244" s="97" t="str">
        <f ca="1">IF(J2244="","Date",IF(J2244&lt;&gt;"",IF(K2244="Date",NOW(),K2244),""))</f>
        <v>Date</v>
      </c>
    </row>
    <row r="2245" spans="2:11">
      <c r="B2245" s="97" t="str">
        <f ca="1">IF(A2245="","Date",IF(A2245&lt;&gt;"",IF(B2245="Date",NOW(),B2245),""))</f>
        <v>Date</v>
      </c>
      <c r="C2245" s="19" t="str">
        <f>IF(ISBLANK(A2245),"Name",IF(ISNA(VLOOKUP(A2245,'Master List'!A:C,2,FALSE)), "Not Found", VLOOKUP(A2245,'Master List'!A:C,2,FALSE)))</f>
        <v>Name</v>
      </c>
      <c r="D2245" s="19" t="str">
        <f>IF(ISBLANK(A2245), "Email",IF(ISNA(VLOOKUP(A2245,'Master List'!A:C,3,FALSE)), "Not Found", VLOOKUP(A2245,'Master List'!A:C,3,FALSE)))</f>
        <v>Email</v>
      </c>
      <c r="F2245" s="4" t="str">
        <f>IF(OR(A2245="",E2245="","",A2245="?",E2245="?"),"duplicate?",IF(COUNTIFS($A:A,A2245,E:E,E2245)&gt;1,"yes","no"))</f>
        <v>duplicate?</v>
      </c>
      <c r="K2245" s="97" t="str">
        <f ca="1">IF(J2245="","Date",IF(J2245&lt;&gt;"",IF(K2245="Date",NOW(),K2245),""))</f>
        <v>Date</v>
      </c>
    </row>
    <row r="2246" spans="2:11">
      <c r="B2246" s="97" t="str">
        <f ca="1">IF(A2246="","Date",IF(A2246&lt;&gt;"",IF(B2246="Date",NOW(),B2246),""))</f>
        <v>Date</v>
      </c>
      <c r="C2246" s="19" t="str">
        <f>IF(ISBLANK(A2246),"Name",IF(ISNA(VLOOKUP(A2246,'Master List'!A:C,2,FALSE)), "Not Found", VLOOKUP(A2246,'Master List'!A:C,2,FALSE)))</f>
        <v>Name</v>
      </c>
      <c r="D2246" s="19" t="str">
        <f>IF(ISBLANK(A2246), "Email",IF(ISNA(VLOOKUP(A2246,'Master List'!A:C,3,FALSE)), "Not Found", VLOOKUP(A2246,'Master List'!A:C,3,FALSE)))</f>
        <v>Email</v>
      </c>
      <c r="F2246" s="4" t="str">
        <f>IF(OR(A2246="",E2246="","",A2246="?",E2246="?"),"duplicate?",IF(COUNTIFS($A:A,A2246,E:E,E2246)&gt;1,"yes","no"))</f>
        <v>duplicate?</v>
      </c>
      <c r="K2246" s="97" t="str">
        <f ca="1">IF(J2246="","Date",IF(J2246&lt;&gt;"",IF(K2246="Date",NOW(),K2246),""))</f>
        <v>Date</v>
      </c>
    </row>
    <row r="2247" spans="2:11">
      <c r="B2247" s="97" t="str">
        <f ca="1">IF(A2247="","Date",IF(A2247&lt;&gt;"",IF(B2247="Date",NOW(),B2247),""))</f>
        <v>Date</v>
      </c>
      <c r="C2247" s="19" t="str">
        <f>IF(ISBLANK(A2247),"Name",IF(ISNA(VLOOKUP(A2247,'Master List'!A:C,2,FALSE)), "Not Found", VLOOKUP(A2247,'Master List'!A:C,2,FALSE)))</f>
        <v>Name</v>
      </c>
      <c r="D2247" s="19" t="str">
        <f>IF(ISBLANK(A2247), "Email",IF(ISNA(VLOOKUP(A2247,'Master List'!A:C,3,FALSE)), "Not Found", VLOOKUP(A2247,'Master List'!A:C,3,FALSE)))</f>
        <v>Email</v>
      </c>
      <c r="F2247" s="4" t="str">
        <f>IF(OR(A2247="",E2247="","",A2247="?",E2247="?"),"duplicate?",IF(COUNTIFS($A:A,A2247,E:E,E2247)&gt;1,"yes","no"))</f>
        <v>duplicate?</v>
      </c>
      <c r="K2247" s="97" t="str">
        <f ca="1">IF(J2247="","Date",IF(J2247&lt;&gt;"",IF(K2247="Date",NOW(),K2247),""))</f>
        <v>Date</v>
      </c>
    </row>
    <row r="2248" spans="2:11">
      <c r="B2248" s="97" t="str">
        <f ca="1">IF(A2248="","Date",IF(A2248&lt;&gt;"",IF(B2248="Date",NOW(),B2248),""))</f>
        <v>Date</v>
      </c>
      <c r="C2248" s="19" t="str">
        <f>IF(ISBLANK(A2248),"Name",IF(ISNA(VLOOKUP(A2248,'Master List'!A:C,2,FALSE)), "Not Found", VLOOKUP(A2248,'Master List'!A:C,2,FALSE)))</f>
        <v>Name</v>
      </c>
      <c r="D2248" s="19" t="str">
        <f>IF(ISBLANK(A2248), "Email",IF(ISNA(VLOOKUP(A2248,'Master List'!A:C,3,FALSE)), "Not Found", VLOOKUP(A2248,'Master List'!A:C,3,FALSE)))</f>
        <v>Email</v>
      </c>
      <c r="F2248" s="4" t="str">
        <f>IF(OR(A2248="",E2248="","",A2248="?",E2248="?"),"duplicate?",IF(COUNTIFS($A:A,A2248,E:E,E2248)&gt;1,"yes","no"))</f>
        <v>duplicate?</v>
      </c>
      <c r="K2248" s="97" t="str">
        <f ca="1">IF(J2248="","Date",IF(J2248&lt;&gt;"",IF(K2248="Date",NOW(),K2248),""))</f>
        <v>Date</v>
      </c>
    </row>
    <row r="2249" spans="2:11">
      <c r="B2249" s="97" t="str">
        <f ca="1">IF(A2249="","Date",IF(A2249&lt;&gt;"",IF(B2249="Date",NOW(),B2249),""))</f>
        <v>Date</v>
      </c>
      <c r="C2249" s="19" t="str">
        <f>IF(ISBLANK(A2249),"Name",IF(ISNA(VLOOKUP(A2249,'Master List'!A:C,2,FALSE)), "Not Found", VLOOKUP(A2249,'Master List'!A:C,2,FALSE)))</f>
        <v>Name</v>
      </c>
      <c r="D2249" s="19" t="str">
        <f>IF(ISBLANK(A2249), "Email",IF(ISNA(VLOOKUP(A2249,'Master List'!A:C,3,FALSE)), "Not Found", VLOOKUP(A2249,'Master List'!A:C,3,FALSE)))</f>
        <v>Email</v>
      </c>
      <c r="F2249" s="4" t="str">
        <f>IF(OR(A2249="",E2249="","",A2249="?",E2249="?"),"duplicate?",IF(COUNTIFS($A:A,A2249,E:E,E2249)&gt;1,"yes","no"))</f>
        <v>duplicate?</v>
      </c>
      <c r="K2249" s="97" t="str">
        <f ca="1">IF(J2249="","Date",IF(J2249&lt;&gt;"",IF(K2249="Date",NOW(),K2249),""))</f>
        <v>Date</v>
      </c>
    </row>
    <row r="2250" spans="2:11">
      <c r="B2250" s="97" t="str">
        <f ca="1">IF(A2250="","Date",IF(A2250&lt;&gt;"",IF(B2250="Date",NOW(),B2250),""))</f>
        <v>Date</v>
      </c>
      <c r="C2250" s="19" t="str">
        <f>IF(ISBLANK(A2250),"Name",IF(ISNA(VLOOKUP(A2250,'Master List'!A:C,2,FALSE)), "Not Found", VLOOKUP(A2250,'Master List'!A:C,2,FALSE)))</f>
        <v>Name</v>
      </c>
      <c r="D2250" s="19" t="str">
        <f>IF(ISBLANK(A2250), "Email",IF(ISNA(VLOOKUP(A2250,'Master List'!A:C,3,FALSE)), "Not Found", VLOOKUP(A2250,'Master List'!A:C,3,FALSE)))</f>
        <v>Email</v>
      </c>
      <c r="F2250" s="4" t="str">
        <f>IF(OR(A2250="",E2250="","",A2250="?",E2250="?"),"duplicate?",IF(COUNTIFS($A:A,A2250,E:E,E2250)&gt;1,"yes","no"))</f>
        <v>duplicate?</v>
      </c>
      <c r="K2250" s="97" t="str">
        <f ca="1">IF(J2250="","Date",IF(J2250&lt;&gt;"",IF(K2250="Date",NOW(),K2250),""))</f>
        <v>Date</v>
      </c>
    </row>
    <row r="2251" spans="2:11">
      <c r="B2251" s="97" t="str">
        <f ca="1">IF(A2251="","Date",IF(A2251&lt;&gt;"",IF(B2251="Date",NOW(),B2251),""))</f>
        <v>Date</v>
      </c>
      <c r="C2251" s="19" t="str">
        <f>IF(ISBLANK(A2251),"Name",IF(ISNA(VLOOKUP(A2251,'Master List'!A:C,2,FALSE)), "Not Found", VLOOKUP(A2251,'Master List'!A:C,2,FALSE)))</f>
        <v>Name</v>
      </c>
      <c r="D2251" s="19" t="str">
        <f>IF(ISBLANK(A2251), "Email",IF(ISNA(VLOOKUP(A2251,'Master List'!A:C,3,FALSE)), "Not Found", VLOOKUP(A2251,'Master List'!A:C,3,FALSE)))</f>
        <v>Email</v>
      </c>
      <c r="F2251" s="4" t="str">
        <f>IF(OR(A2251="",E2251="","",A2251="?",E2251="?"),"duplicate?",IF(COUNTIFS($A:A,A2251,E:E,E2251)&gt;1,"yes","no"))</f>
        <v>duplicate?</v>
      </c>
      <c r="K2251" s="97" t="str">
        <f ca="1">IF(J2251="","Date",IF(J2251&lt;&gt;"",IF(K2251="Date",NOW(),K2251),""))</f>
        <v>Date</v>
      </c>
    </row>
    <row r="2252" spans="2:11">
      <c r="B2252" s="97" t="str">
        <f ca="1">IF(A2252="","Date",IF(A2252&lt;&gt;"",IF(B2252="Date",NOW(),B2252),""))</f>
        <v>Date</v>
      </c>
      <c r="C2252" s="19" t="str">
        <f>IF(ISBLANK(A2252),"Name",IF(ISNA(VLOOKUP(A2252,'Master List'!A:C,2,FALSE)), "Not Found", VLOOKUP(A2252,'Master List'!A:C,2,FALSE)))</f>
        <v>Name</v>
      </c>
      <c r="D2252" s="19" t="str">
        <f>IF(ISBLANK(A2252), "Email",IF(ISNA(VLOOKUP(A2252,'Master List'!A:C,3,FALSE)), "Not Found", VLOOKUP(A2252,'Master List'!A:C,3,FALSE)))</f>
        <v>Email</v>
      </c>
      <c r="F2252" s="4" t="str">
        <f>IF(OR(A2252="",E2252="","",A2252="?",E2252="?"),"duplicate?",IF(COUNTIFS($A:A,A2252,E:E,E2252)&gt;1,"yes","no"))</f>
        <v>duplicate?</v>
      </c>
      <c r="K2252" s="97" t="str">
        <f ca="1">IF(J2252="","Date",IF(J2252&lt;&gt;"",IF(K2252="Date",NOW(),K2252),""))</f>
        <v>Date</v>
      </c>
    </row>
    <row r="2253" spans="2:11">
      <c r="B2253" s="97" t="str">
        <f ca="1">IF(A2253="","Date",IF(A2253&lt;&gt;"",IF(B2253="Date",NOW(),B2253),""))</f>
        <v>Date</v>
      </c>
      <c r="C2253" s="19" t="str">
        <f>IF(ISBLANK(A2253),"Name",IF(ISNA(VLOOKUP(A2253,'Master List'!A:C,2,FALSE)), "Not Found", VLOOKUP(A2253,'Master List'!A:C,2,FALSE)))</f>
        <v>Name</v>
      </c>
      <c r="D2253" s="19" t="str">
        <f>IF(ISBLANK(A2253), "Email",IF(ISNA(VLOOKUP(A2253,'Master List'!A:C,3,FALSE)), "Not Found", VLOOKUP(A2253,'Master List'!A:C,3,FALSE)))</f>
        <v>Email</v>
      </c>
      <c r="F2253" s="4" t="str">
        <f>IF(OR(A2253="",E2253="","",A2253="?",E2253="?"),"duplicate?",IF(COUNTIFS($A:A,A2253,E:E,E2253)&gt;1,"yes","no"))</f>
        <v>duplicate?</v>
      </c>
      <c r="K2253" s="97" t="str">
        <f ca="1">IF(J2253="","Date",IF(J2253&lt;&gt;"",IF(K2253="Date",NOW(),K2253),""))</f>
        <v>Date</v>
      </c>
    </row>
    <row r="2254" spans="2:11">
      <c r="B2254" s="97" t="str">
        <f ca="1">IF(A2254="","Date",IF(A2254&lt;&gt;"",IF(B2254="Date",NOW(),B2254),""))</f>
        <v>Date</v>
      </c>
      <c r="C2254" s="19" t="str">
        <f>IF(ISBLANK(A2254),"Name",IF(ISNA(VLOOKUP(A2254,'Master List'!A:C,2,FALSE)), "Not Found", VLOOKUP(A2254,'Master List'!A:C,2,FALSE)))</f>
        <v>Name</v>
      </c>
      <c r="D2254" s="19" t="str">
        <f>IF(ISBLANK(A2254), "Email",IF(ISNA(VLOOKUP(A2254,'Master List'!A:C,3,FALSE)), "Not Found", VLOOKUP(A2254,'Master List'!A:C,3,FALSE)))</f>
        <v>Email</v>
      </c>
      <c r="F2254" s="4" t="str">
        <f>IF(OR(A2254="",E2254="","",A2254="?",E2254="?"),"duplicate?",IF(COUNTIFS($A:A,A2254,E:E,E2254)&gt;1,"yes","no"))</f>
        <v>duplicate?</v>
      </c>
      <c r="K2254" s="97" t="str">
        <f ca="1">IF(J2254="","Date",IF(J2254&lt;&gt;"",IF(K2254="Date",NOW(),K2254),""))</f>
        <v>Date</v>
      </c>
    </row>
    <row r="2255" spans="2:11">
      <c r="B2255" s="97" t="str">
        <f ca="1">IF(A2255="","Date",IF(A2255&lt;&gt;"",IF(B2255="Date",NOW(),B2255),""))</f>
        <v>Date</v>
      </c>
      <c r="C2255" s="19" t="str">
        <f>IF(ISBLANK(A2255),"Name",IF(ISNA(VLOOKUP(A2255,'Master List'!A:C,2,FALSE)), "Not Found", VLOOKUP(A2255,'Master List'!A:C,2,FALSE)))</f>
        <v>Name</v>
      </c>
      <c r="D2255" s="19" t="str">
        <f>IF(ISBLANK(A2255), "Email",IF(ISNA(VLOOKUP(A2255,'Master List'!A:C,3,FALSE)), "Not Found", VLOOKUP(A2255,'Master List'!A:C,3,FALSE)))</f>
        <v>Email</v>
      </c>
      <c r="F2255" s="4" t="str">
        <f>IF(OR(A2255="",E2255="","",A2255="?",E2255="?"),"duplicate?",IF(COUNTIFS($A:A,A2255,E:E,E2255)&gt;1,"yes","no"))</f>
        <v>duplicate?</v>
      </c>
      <c r="K2255" s="97" t="str">
        <f ca="1">IF(J2255="","Date",IF(J2255&lt;&gt;"",IF(K2255="Date",NOW(),K2255),""))</f>
        <v>Date</v>
      </c>
    </row>
    <row r="2256" spans="2:11">
      <c r="B2256" s="97" t="str">
        <f ca="1">IF(A2256="","Date",IF(A2256&lt;&gt;"",IF(B2256="Date",NOW(),B2256),""))</f>
        <v>Date</v>
      </c>
      <c r="C2256" s="19" t="str">
        <f>IF(ISBLANK(A2256),"Name",IF(ISNA(VLOOKUP(A2256,'Master List'!A:C,2,FALSE)), "Not Found", VLOOKUP(A2256,'Master List'!A:C,2,FALSE)))</f>
        <v>Name</v>
      </c>
      <c r="D2256" s="19" t="str">
        <f>IF(ISBLANK(A2256), "Email",IF(ISNA(VLOOKUP(A2256,'Master List'!A:C,3,FALSE)), "Not Found", VLOOKUP(A2256,'Master List'!A:C,3,FALSE)))</f>
        <v>Email</v>
      </c>
      <c r="F2256" s="4" t="str">
        <f>IF(OR(A2256="",E2256="","",A2256="?",E2256="?"),"duplicate?",IF(COUNTIFS($A:A,A2256,E:E,E2256)&gt;1,"yes","no"))</f>
        <v>duplicate?</v>
      </c>
      <c r="K2256" s="97" t="str">
        <f ca="1">IF(J2256="","Date",IF(J2256&lt;&gt;"",IF(K2256="Date",NOW(),K2256),""))</f>
        <v>Date</v>
      </c>
    </row>
    <row r="2257" spans="2:11">
      <c r="B2257" s="97" t="str">
        <f ca="1">IF(A2257="","Date",IF(A2257&lt;&gt;"",IF(B2257="Date",NOW(),B2257),""))</f>
        <v>Date</v>
      </c>
      <c r="C2257" s="19" t="str">
        <f>IF(ISBLANK(A2257),"Name",IF(ISNA(VLOOKUP(A2257,'Master List'!A:C,2,FALSE)), "Not Found", VLOOKUP(A2257,'Master List'!A:C,2,FALSE)))</f>
        <v>Name</v>
      </c>
      <c r="D2257" s="19" t="str">
        <f>IF(ISBLANK(A2257), "Email",IF(ISNA(VLOOKUP(A2257,'Master List'!A:C,3,FALSE)), "Not Found", VLOOKUP(A2257,'Master List'!A:C,3,FALSE)))</f>
        <v>Email</v>
      </c>
      <c r="F2257" s="4" t="str">
        <f>IF(OR(A2257="",E2257="","",A2257="?",E2257="?"),"duplicate?",IF(COUNTIFS($A:A,A2257,E:E,E2257)&gt;1,"yes","no"))</f>
        <v>duplicate?</v>
      </c>
      <c r="K2257" s="97" t="str">
        <f ca="1">IF(J2257="","Date",IF(J2257&lt;&gt;"",IF(K2257="Date",NOW(),K2257),""))</f>
        <v>Date</v>
      </c>
    </row>
    <row r="2258" spans="2:11">
      <c r="B2258" s="97" t="str">
        <f ca="1">IF(A2258="","Date",IF(A2258&lt;&gt;"",IF(B2258="Date",NOW(),B2258),""))</f>
        <v>Date</v>
      </c>
      <c r="C2258" s="19" t="str">
        <f>IF(ISBLANK(A2258),"Name",IF(ISNA(VLOOKUP(A2258,'Master List'!A:C,2,FALSE)), "Not Found", VLOOKUP(A2258,'Master List'!A:C,2,FALSE)))</f>
        <v>Name</v>
      </c>
      <c r="D2258" s="19" t="str">
        <f>IF(ISBLANK(A2258), "Email",IF(ISNA(VLOOKUP(A2258,'Master List'!A:C,3,FALSE)), "Not Found", VLOOKUP(A2258,'Master List'!A:C,3,FALSE)))</f>
        <v>Email</v>
      </c>
      <c r="F2258" s="4" t="str">
        <f>IF(OR(A2258="",E2258="","",A2258="?",E2258="?"),"duplicate?",IF(COUNTIFS($A:A,A2258,E:E,E2258)&gt;1,"yes","no"))</f>
        <v>duplicate?</v>
      </c>
      <c r="K2258" s="97" t="str">
        <f ca="1">IF(J2258="","Date",IF(J2258&lt;&gt;"",IF(K2258="Date",NOW(),K2258),""))</f>
        <v>Date</v>
      </c>
    </row>
    <row r="2259" spans="2:11">
      <c r="B2259" s="97" t="str">
        <f ca="1">IF(A2259="","Date",IF(A2259&lt;&gt;"",IF(B2259="Date",NOW(),B2259),""))</f>
        <v>Date</v>
      </c>
      <c r="C2259" s="19" t="str">
        <f>IF(ISBLANK(A2259),"Name",IF(ISNA(VLOOKUP(A2259,'Master List'!A:C,2,FALSE)), "Not Found", VLOOKUP(A2259,'Master List'!A:C,2,FALSE)))</f>
        <v>Name</v>
      </c>
      <c r="D2259" s="19" t="str">
        <f>IF(ISBLANK(A2259), "Email",IF(ISNA(VLOOKUP(A2259,'Master List'!A:C,3,FALSE)), "Not Found", VLOOKUP(A2259,'Master List'!A:C,3,FALSE)))</f>
        <v>Email</v>
      </c>
      <c r="F2259" s="4" t="str">
        <f>IF(OR(A2259="",E2259="","",A2259="?",E2259="?"),"duplicate?",IF(COUNTIFS($A:A,A2259,E:E,E2259)&gt;1,"yes","no"))</f>
        <v>duplicate?</v>
      </c>
      <c r="K2259" s="97" t="str">
        <f ca="1">IF(J2259="","Date",IF(J2259&lt;&gt;"",IF(K2259="Date",NOW(),K2259),""))</f>
        <v>Date</v>
      </c>
    </row>
    <row r="2260" spans="2:11">
      <c r="B2260" s="97" t="str">
        <f ca="1">IF(A2260="","Date",IF(A2260&lt;&gt;"",IF(B2260="Date",NOW(),B2260),""))</f>
        <v>Date</v>
      </c>
      <c r="C2260" s="19" t="str">
        <f>IF(ISBLANK(A2260),"Name",IF(ISNA(VLOOKUP(A2260,'Master List'!A:C,2,FALSE)), "Not Found", VLOOKUP(A2260,'Master List'!A:C,2,FALSE)))</f>
        <v>Name</v>
      </c>
      <c r="D2260" s="19" t="str">
        <f>IF(ISBLANK(A2260), "Email",IF(ISNA(VLOOKUP(A2260,'Master List'!A:C,3,FALSE)), "Not Found", VLOOKUP(A2260,'Master List'!A:C,3,FALSE)))</f>
        <v>Email</v>
      </c>
      <c r="F2260" s="4" t="str">
        <f>IF(OR(A2260="",E2260="","",A2260="?",E2260="?"),"duplicate?",IF(COUNTIFS($A:A,A2260,E:E,E2260)&gt;1,"yes","no"))</f>
        <v>duplicate?</v>
      </c>
      <c r="K2260" s="97" t="str">
        <f ca="1">IF(J2260="","Date",IF(J2260&lt;&gt;"",IF(K2260="Date",NOW(),K2260),""))</f>
        <v>Date</v>
      </c>
    </row>
    <row r="2261" spans="2:11">
      <c r="B2261" s="97" t="str">
        <f ca="1">IF(A2261="","Date",IF(A2261&lt;&gt;"",IF(B2261="Date",NOW(),B2261),""))</f>
        <v>Date</v>
      </c>
      <c r="C2261" s="19" t="str">
        <f>IF(ISBLANK(A2261),"Name",IF(ISNA(VLOOKUP(A2261,'Master List'!A:C,2,FALSE)), "Not Found", VLOOKUP(A2261,'Master List'!A:C,2,FALSE)))</f>
        <v>Name</v>
      </c>
      <c r="D2261" s="19" t="str">
        <f>IF(ISBLANK(A2261), "Email",IF(ISNA(VLOOKUP(A2261,'Master List'!A:C,3,FALSE)), "Not Found", VLOOKUP(A2261,'Master List'!A:C,3,FALSE)))</f>
        <v>Email</v>
      </c>
      <c r="F2261" s="4" t="str">
        <f>IF(OR(A2261="",E2261="","",A2261="?",E2261="?"),"duplicate?",IF(COUNTIFS($A:A,A2261,E:E,E2261)&gt;1,"yes","no"))</f>
        <v>duplicate?</v>
      </c>
      <c r="K2261" s="97" t="str">
        <f ca="1">IF(J2261="","Date",IF(J2261&lt;&gt;"",IF(K2261="Date",NOW(),K2261),""))</f>
        <v>Date</v>
      </c>
    </row>
    <row r="2262" spans="2:11">
      <c r="B2262" s="97" t="str">
        <f ca="1">IF(A2262="","Date",IF(A2262&lt;&gt;"",IF(B2262="Date",NOW(),B2262),""))</f>
        <v>Date</v>
      </c>
      <c r="C2262" s="19" t="str">
        <f>IF(ISBLANK(A2262),"Name",IF(ISNA(VLOOKUP(A2262,'Master List'!A:C,2,FALSE)), "Not Found", VLOOKUP(A2262,'Master List'!A:C,2,FALSE)))</f>
        <v>Name</v>
      </c>
      <c r="D2262" s="19" t="str">
        <f>IF(ISBLANK(A2262), "Email",IF(ISNA(VLOOKUP(A2262,'Master List'!A:C,3,FALSE)), "Not Found", VLOOKUP(A2262,'Master List'!A:C,3,FALSE)))</f>
        <v>Email</v>
      </c>
      <c r="F2262" s="4" t="str">
        <f>IF(OR(A2262="",E2262="","",A2262="?",E2262="?"),"duplicate?",IF(COUNTIFS($A:A,A2262,E:E,E2262)&gt;1,"yes","no"))</f>
        <v>duplicate?</v>
      </c>
      <c r="K2262" s="97" t="str">
        <f ca="1">IF(J2262="","Date",IF(J2262&lt;&gt;"",IF(K2262="Date",NOW(),K2262),""))</f>
        <v>Date</v>
      </c>
    </row>
    <row r="2263" spans="2:11">
      <c r="B2263" s="97" t="str">
        <f ca="1">IF(A2263="","Date",IF(A2263&lt;&gt;"",IF(B2263="Date",NOW(),B2263),""))</f>
        <v>Date</v>
      </c>
      <c r="C2263" s="19" t="str">
        <f>IF(ISBLANK(A2263),"Name",IF(ISNA(VLOOKUP(A2263,'Master List'!A:C,2,FALSE)), "Not Found", VLOOKUP(A2263,'Master List'!A:C,2,FALSE)))</f>
        <v>Name</v>
      </c>
      <c r="D2263" s="19" t="str">
        <f>IF(ISBLANK(A2263), "Email",IF(ISNA(VLOOKUP(A2263,'Master List'!A:C,3,FALSE)), "Not Found", VLOOKUP(A2263,'Master List'!A:C,3,FALSE)))</f>
        <v>Email</v>
      </c>
      <c r="F2263" s="4" t="str">
        <f>IF(OR(A2263="",E2263="","",A2263="?",E2263="?"),"duplicate?",IF(COUNTIFS($A:A,A2263,E:E,E2263)&gt;1,"yes","no"))</f>
        <v>duplicate?</v>
      </c>
      <c r="K2263" s="97" t="str">
        <f ca="1">IF(J2263="","Date",IF(J2263&lt;&gt;"",IF(K2263="Date",NOW(),K2263),""))</f>
        <v>Date</v>
      </c>
    </row>
    <row r="2264" spans="2:11">
      <c r="B2264" s="97" t="str">
        <f ca="1">IF(A2264="","Date",IF(A2264&lt;&gt;"",IF(B2264="Date",NOW(),B2264),""))</f>
        <v>Date</v>
      </c>
      <c r="C2264" s="19" t="str">
        <f>IF(ISBLANK(A2264),"Name",IF(ISNA(VLOOKUP(A2264,'Master List'!A:C,2,FALSE)), "Not Found", VLOOKUP(A2264,'Master List'!A:C,2,FALSE)))</f>
        <v>Name</v>
      </c>
      <c r="D2264" s="19" t="str">
        <f>IF(ISBLANK(A2264), "Email",IF(ISNA(VLOOKUP(A2264,'Master List'!A:C,3,FALSE)), "Not Found", VLOOKUP(A2264,'Master List'!A:C,3,FALSE)))</f>
        <v>Email</v>
      </c>
      <c r="F2264" s="4" t="str">
        <f>IF(OR(A2264="",E2264="","",A2264="?",E2264="?"),"duplicate?",IF(COUNTIFS($A:A,A2264,E:E,E2264)&gt;1,"yes","no"))</f>
        <v>duplicate?</v>
      </c>
      <c r="K2264" s="97" t="str">
        <f ca="1">IF(J2264="","Date",IF(J2264&lt;&gt;"",IF(K2264="Date",NOW(),K2264),""))</f>
        <v>Date</v>
      </c>
    </row>
    <row r="2265" spans="2:11">
      <c r="B2265" s="97" t="str">
        <f ca="1">IF(A2265="","Date",IF(A2265&lt;&gt;"",IF(B2265="Date",NOW(),B2265),""))</f>
        <v>Date</v>
      </c>
      <c r="C2265" s="19" t="str">
        <f>IF(ISBLANK(A2265),"Name",IF(ISNA(VLOOKUP(A2265,'Master List'!A:C,2,FALSE)), "Not Found", VLOOKUP(A2265,'Master List'!A:C,2,FALSE)))</f>
        <v>Name</v>
      </c>
      <c r="D2265" s="19" t="str">
        <f>IF(ISBLANK(A2265), "Email",IF(ISNA(VLOOKUP(A2265,'Master List'!A:C,3,FALSE)), "Not Found", VLOOKUP(A2265,'Master List'!A:C,3,FALSE)))</f>
        <v>Email</v>
      </c>
      <c r="F2265" s="4" t="str">
        <f>IF(OR(A2265="",E2265="","",A2265="?",E2265="?"),"duplicate?",IF(COUNTIFS($A:A,A2265,E:E,E2265)&gt;1,"yes","no"))</f>
        <v>duplicate?</v>
      </c>
      <c r="K2265" s="97" t="str">
        <f ca="1">IF(J2265="","Date",IF(J2265&lt;&gt;"",IF(K2265="Date",NOW(),K2265),""))</f>
        <v>Date</v>
      </c>
    </row>
    <row r="2266" spans="2:11">
      <c r="B2266" s="97" t="str">
        <f ca="1">IF(A2266="","Date",IF(A2266&lt;&gt;"",IF(B2266="Date",NOW(),B2266),""))</f>
        <v>Date</v>
      </c>
      <c r="C2266" s="19" t="str">
        <f>IF(ISBLANK(A2266),"Name",IF(ISNA(VLOOKUP(A2266,'Master List'!A:C,2,FALSE)), "Not Found", VLOOKUP(A2266,'Master List'!A:C,2,FALSE)))</f>
        <v>Name</v>
      </c>
      <c r="D2266" s="19" t="str">
        <f>IF(ISBLANK(A2266), "Email",IF(ISNA(VLOOKUP(A2266,'Master List'!A:C,3,FALSE)), "Not Found", VLOOKUP(A2266,'Master List'!A:C,3,FALSE)))</f>
        <v>Email</v>
      </c>
      <c r="F2266" s="4" t="str">
        <f>IF(OR(A2266="",E2266="","",A2266="?",E2266="?"),"duplicate?",IF(COUNTIFS($A:A,A2266,E:E,E2266)&gt;1,"yes","no"))</f>
        <v>duplicate?</v>
      </c>
      <c r="K2266" s="97" t="str">
        <f ca="1">IF(J2266="","Date",IF(J2266&lt;&gt;"",IF(K2266="Date",NOW(),K2266),""))</f>
        <v>Date</v>
      </c>
    </row>
    <row r="2267" spans="2:11">
      <c r="B2267" s="97" t="str">
        <f ca="1">IF(A2267="","Date",IF(A2267&lt;&gt;"",IF(B2267="Date",NOW(),B2267),""))</f>
        <v>Date</v>
      </c>
      <c r="C2267" s="19" t="str">
        <f>IF(ISBLANK(A2267),"Name",IF(ISNA(VLOOKUP(A2267,'Master List'!A:C,2,FALSE)), "Not Found", VLOOKUP(A2267,'Master List'!A:C,2,FALSE)))</f>
        <v>Name</v>
      </c>
      <c r="D2267" s="19" t="str">
        <f>IF(ISBLANK(A2267), "Email",IF(ISNA(VLOOKUP(A2267,'Master List'!A:C,3,FALSE)), "Not Found", VLOOKUP(A2267,'Master List'!A:C,3,FALSE)))</f>
        <v>Email</v>
      </c>
      <c r="F2267" s="4" t="str">
        <f>IF(OR(A2267="",E2267="","",A2267="?",E2267="?"),"duplicate?",IF(COUNTIFS($A:A,A2267,E:E,E2267)&gt;1,"yes","no"))</f>
        <v>duplicate?</v>
      </c>
      <c r="K2267" s="97" t="str">
        <f ca="1">IF(J2267="","Date",IF(J2267&lt;&gt;"",IF(K2267="Date",NOW(),K2267),""))</f>
        <v>Date</v>
      </c>
    </row>
    <row r="2268" spans="2:11">
      <c r="B2268" s="97" t="str">
        <f ca="1">IF(A2268="","Date",IF(A2268&lt;&gt;"",IF(B2268="Date",NOW(),B2268),""))</f>
        <v>Date</v>
      </c>
      <c r="C2268" s="19" t="str">
        <f>IF(ISBLANK(A2268),"Name",IF(ISNA(VLOOKUP(A2268,'Master List'!A:C,2,FALSE)), "Not Found", VLOOKUP(A2268,'Master List'!A:C,2,FALSE)))</f>
        <v>Name</v>
      </c>
      <c r="D2268" s="19" t="str">
        <f>IF(ISBLANK(A2268), "Email",IF(ISNA(VLOOKUP(A2268,'Master List'!A:C,3,FALSE)), "Not Found", VLOOKUP(A2268,'Master List'!A:C,3,FALSE)))</f>
        <v>Email</v>
      </c>
      <c r="F2268" s="4" t="str">
        <f>IF(OR(A2268="",E2268="","",A2268="?",E2268="?"),"duplicate?",IF(COUNTIFS($A:A,A2268,E:E,E2268)&gt;1,"yes","no"))</f>
        <v>duplicate?</v>
      </c>
      <c r="K2268" s="97" t="str">
        <f ca="1">IF(J2268="","Date",IF(J2268&lt;&gt;"",IF(K2268="Date",NOW(),K2268),""))</f>
        <v>Date</v>
      </c>
    </row>
    <row r="2269" spans="2:11">
      <c r="B2269" s="97" t="str">
        <f ca="1">IF(A2269="","Date",IF(A2269&lt;&gt;"",IF(B2269="Date",NOW(),B2269),""))</f>
        <v>Date</v>
      </c>
      <c r="C2269" s="19" t="str">
        <f>IF(ISBLANK(A2269),"Name",IF(ISNA(VLOOKUP(A2269,'Master List'!A:C,2,FALSE)), "Not Found", VLOOKUP(A2269,'Master List'!A:C,2,FALSE)))</f>
        <v>Name</v>
      </c>
      <c r="D2269" s="19" t="str">
        <f>IF(ISBLANK(A2269), "Email",IF(ISNA(VLOOKUP(A2269,'Master List'!A:C,3,FALSE)), "Not Found", VLOOKUP(A2269,'Master List'!A:C,3,FALSE)))</f>
        <v>Email</v>
      </c>
      <c r="F2269" s="4" t="str">
        <f>IF(OR(A2269="",E2269="","",A2269="?",E2269="?"),"duplicate?",IF(COUNTIFS($A:A,A2269,E:E,E2269)&gt;1,"yes","no"))</f>
        <v>duplicate?</v>
      </c>
      <c r="K2269" s="97" t="str">
        <f ca="1">IF(J2269="","Date",IF(J2269&lt;&gt;"",IF(K2269="Date",NOW(),K2269),""))</f>
        <v>Date</v>
      </c>
    </row>
    <row r="2270" spans="2:11">
      <c r="B2270" s="97" t="str">
        <f ca="1">IF(A2270="","Date",IF(A2270&lt;&gt;"",IF(B2270="Date",NOW(),B2270),""))</f>
        <v>Date</v>
      </c>
      <c r="C2270" s="19" t="str">
        <f>IF(ISBLANK(A2270),"Name",IF(ISNA(VLOOKUP(A2270,'Master List'!A:C,2,FALSE)), "Not Found", VLOOKUP(A2270,'Master List'!A:C,2,FALSE)))</f>
        <v>Name</v>
      </c>
      <c r="D2270" s="19" t="str">
        <f>IF(ISBLANK(A2270), "Email",IF(ISNA(VLOOKUP(A2270,'Master List'!A:C,3,FALSE)), "Not Found", VLOOKUP(A2270,'Master List'!A:C,3,FALSE)))</f>
        <v>Email</v>
      </c>
      <c r="F2270" s="4" t="str">
        <f>IF(OR(A2270="",E2270="","",A2270="?",E2270="?"),"duplicate?",IF(COUNTIFS($A:A,A2270,E:E,E2270)&gt;1,"yes","no"))</f>
        <v>duplicate?</v>
      </c>
      <c r="K2270" s="97" t="str">
        <f ca="1">IF(J2270="","Date",IF(J2270&lt;&gt;"",IF(K2270="Date",NOW(),K2270),""))</f>
        <v>Date</v>
      </c>
    </row>
    <row r="2271" spans="2:11">
      <c r="B2271" s="97" t="str">
        <f ca="1">IF(A2271="","Date",IF(A2271&lt;&gt;"",IF(B2271="Date",NOW(),B2271),""))</f>
        <v>Date</v>
      </c>
      <c r="C2271" s="19" t="str">
        <f>IF(ISBLANK(A2271),"Name",IF(ISNA(VLOOKUP(A2271,'Master List'!A:C,2,FALSE)), "Not Found", VLOOKUP(A2271,'Master List'!A:C,2,FALSE)))</f>
        <v>Name</v>
      </c>
      <c r="D2271" s="19" t="str">
        <f>IF(ISBLANK(A2271), "Email",IF(ISNA(VLOOKUP(A2271,'Master List'!A:C,3,FALSE)), "Not Found", VLOOKUP(A2271,'Master List'!A:C,3,FALSE)))</f>
        <v>Email</v>
      </c>
      <c r="F2271" s="4" t="str">
        <f>IF(OR(A2271="",E2271="","",A2271="?",E2271="?"),"duplicate?",IF(COUNTIFS($A:A,A2271,E:E,E2271)&gt;1,"yes","no"))</f>
        <v>duplicate?</v>
      </c>
      <c r="K2271" s="97" t="str">
        <f ca="1">IF(J2271="","Date",IF(J2271&lt;&gt;"",IF(K2271="Date",NOW(),K2271),""))</f>
        <v>Date</v>
      </c>
    </row>
    <row r="2272" spans="2:11">
      <c r="B2272" s="97" t="str">
        <f ca="1">IF(A2272="","Date",IF(A2272&lt;&gt;"",IF(B2272="Date",NOW(),B2272),""))</f>
        <v>Date</v>
      </c>
      <c r="C2272" s="19" t="str">
        <f>IF(ISBLANK(A2272),"Name",IF(ISNA(VLOOKUP(A2272,'Master List'!A:C,2,FALSE)), "Not Found", VLOOKUP(A2272,'Master List'!A:C,2,FALSE)))</f>
        <v>Name</v>
      </c>
      <c r="D2272" s="19" t="str">
        <f>IF(ISBLANK(A2272), "Email",IF(ISNA(VLOOKUP(A2272,'Master List'!A:C,3,FALSE)), "Not Found", VLOOKUP(A2272,'Master List'!A:C,3,FALSE)))</f>
        <v>Email</v>
      </c>
      <c r="F2272" s="4" t="str">
        <f>IF(OR(A2272="",E2272="","",A2272="?",E2272="?"),"duplicate?",IF(COUNTIFS($A:A,A2272,E:E,E2272)&gt;1,"yes","no"))</f>
        <v>duplicate?</v>
      </c>
      <c r="K2272" s="97" t="str">
        <f ca="1">IF(J2272="","Date",IF(J2272&lt;&gt;"",IF(K2272="Date",NOW(),K2272),""))</f>
        <v>Date</v>
      </c>
    </row>
    <row r="2273" spans="2:11">
      <c r="B2273" s="97" t="str">
        <f ca="1">IF(A2273="","Date",IF(A2273&lt;&gt;"",IF(B2273="Date",NOW(),B2273),""))</f>
        <v>Date</v>
      </c>
      <c r="C2273" s="19" t="str">
        <f>IF(ISBLANK(A2273),"Name",IF(ISNA(VLOOKUP(A2273,'Master List'!A:C,2,FALSE)), "Not Found", VLOOKUP(A2273,'Master List'!A:C,2,FALSE)))</f>
        <v>Name</v>
      </c>
      <c r="D2273" s="19" t="str">
        <f>IF(ISBLANK(A2273), "Email",IF(ISNA(VLOOKUP(A2273,'Master List'!A:C,3,FALSE)), "Not Found", VLOOKUP(A2273,'Master List'!A:C,3,FALSE)))</f>
        <v>Email</v>
      </c>
      <c r="F2273" s="4" t="str">
        <f>IF(OR(A2273="",E2273="","",A2273="?",E2273="?"),"duplicate?",IF(COUNTIFS($A:A,A2273,E:E,E2273)&gt;1,"yes","no"))</f>
        <v>duplicate?</v>
      </c>
      <c r="K2273" s="97" t="str">
        <f ca="1">IF(J2273="","Date",IF(J2273&lt;&gt;"",IF(K2273="Date",NOW(),K2273),""))</f>
        <v>Date</v>
      </c>
    </row>
    <row r="2274" spans="2:11">
      <c r="B2274" s="97" t="str">
        <f ca="1">IF(A2274="","Date",IF(A2274&lt;&gt;"",IF(B2274="Date",NOW(),B2274),""))</f>
        <v>Date</v>
      </c>
      <c r="C2274" s="19" t="str">
        <f>IF(ISBLANK(A2274),"Name",IF(ISNA(VLOOKUP(A2274,'Master List'!A:C,2,FALSE)), "Not Found", VLOOKUP(A2274,'Master List'!A:C,2,FALSE)))</f>
        <v>Name</v>
      </c>
      <c r="D2274" s="19" t="str">
        <f>IF(ISBLANK(A2274), "Email",IF(ISNA(VLOOKUP(A2274,'Master List'!A:C,3,FALSE)), "Not Found", VLOOKUP(A2274,'Master List'!A:C,3,FALSE)))</f>
        <v>Email</v>
      </c>
      <c r="F2274" s="4" t="str">
        <f>IF(OR(A2274="",E2274="","",A2274="?",E2274="?"),"duplicate?",IF(COUNTIFS($A:A,A2274,E:E,E2274)&gt;1,"yes","no"))</f>
        <v>duplicate?</v>
      </c>
      <c r="K2274" s="97" t="str">
        <f ca="1">IF(J2274="","Date",IF(J2274&lt;&gt;"",IF(K2274="Date",NOW(),K2274),""))</f>
        <v>Date</v>
      </c>
    </row>
    <row r="2275" spans="2:11">
      <c r="B2275" s="97" t="str">
        <f ca="1">IF(A2275="","Date",IF(A2275&lt;&gt;"",IF(B2275="Date",NOW(),B2275),""))</f>
        <v>Date</v>
      </c>
      <c r="C2275" s="19" t="str">
        <f>IF(ISBLANK(A2275),"Name",IF(ISNA(VLOOKUP(A2275,'Master List'!A:C,2,FALSE)), "Not Found", VLOOKUP(A2275,'Master List'!A:C,2,FALSE)))</f>
        <v>Name</v>
      </c>
      <c r="D2275" s="19" t="str">
        <f>IF(ISBLANK(A2275), "Email",IF(ISNA(VLOOKUP(A2275,'Master List'!A:C,3,FALSE)), "Not Found", VLOOKUP(A2275,'Master List'!A:C,3,FALSE)))</f>
        <v>Email</v>
      </c>
      <c r="F2275" s="4" t="str">
        <f>IF(OR(A2275="",E2275="","",A2275="?",E2275="?"),"duplicate?",IF(COUNTIFS($A:A,A2275,E:E,E2275)&gt;1,"yes","no"))</f>
        <v>duplicate?</v>
      </c>
      <c r="K2275" s="97" t="str">
        <f ca="1">IF(J2275="","Date",IF(J2275&lt;&gt;"",IF(K2275="Date",NOW(),K2275),""))</f>
        <v>Date</v>
      </c>
    </row>
    <row r="2276" spans="2:11">
      <c r="B2276" s="97" t="str">
        <f ca="1">IF(A2276="","Date",IF(A2276&lt;&gt;"",IF(B2276="Date",NOW(),B2276),""))</f>
        <v>Date</v>
      </c>
      <c r="C2276" s="19" t="str">
        <f>IF(ISBLANK(A2276),"Name",IF(ISNA(VLOOKUP(A2276,'Master List'!A:C,2,FALSE)), "Not Found", VLOOKUP(A2276,'Master List'!A:C,2,FALSE)))</f>
        <v>Name</v>
      </c>
      <c r="D2276" s="19" t="str">
        <f>IF(ISBLANK(A2276), "Email",IF(ISNA(VLOOKUP(A2276,'Master List'!A:C,3,FALSE)), "Not Found", VLOOKUP(A2276,'Master List'!A:C,3,FALSE)))</f>
        <v>Email</v>
      </c>
      <c r="F2276" s="4" t="str">
        <f>IF(OR(A2276="",E2276="","",A2276="?",E2276="?"),"duplicate?",IF(COUNTIFS($A:A,A2276,E:E,E2276)&gt;1,"yes","no"))</f>
        <v>duplicate?</v>
      </c>
      <c r="K2276" s="97" t="str">
        <f ca="1">IF(J2276="","Date",IF(J2276&lt;&gt;"",IF(K2276="Date",NOW(),K2276),""))</f>
        <v>Date</v>
      </c>
    </row>
    <row r="2277" spans="2:11">
      <c r="B2277" s="97" t="str">
        <f ca="1">IF(A2277="","Date",IF(A2277&lt;&gt;"",IF(B2277="Date",NOW(),B2277),""))</f>
        <v>Date</v>
      </c>
      <c r="C2277" s="19" t="str">
        <f>IF(ISBLANK(A2277),"Name",IF(ISNA(VLOOKUP(A2277,'Master List'!A:C,2,FALSE)), "Not Found", VLOOKUP(A2277,'Master List'!A:C,2,FALSE)))</f>
        <v>Name</v>
      </c>
      <c r="D2277" s="19" t="str">
        <f>IF(ISBLANK(A2277), "Email",IF(ISNA(VLOOKUP(A2277,'Master List'!A:C,3,FALSE)), "Not Found", VLOOKUP(A2277,'Master List'!A:C,3,FALSE)))</f>
        <v>Email</v>
      </c>
      <c r="F2277" s="4" t="str">
        <f>IF(OR(A2277="",E2277="","",A2277="?",E2277="?"),"duplicate?",IF(COUNTIFS($A:A,A2277,E:E,E2277)&gt;1,"yes","no"))</f>
        <v>duplicate?</v>
      </c>
      <c r="K2277" s="97" t="str">
        <f ca="1">IF(J2277="","Date",IF(J2277&lt;&gt;"",IF(K2277="Date",NOW(),K2277),""))</f>
        <v>Date</v>
      </c>
    </row>
    <row r="2278" spans="2:11">
      <c r="B2278" s="97" t="str">
        <f ca="1">IF(A2278="","Date",IF(A2278&lt;&gt;"",IF(B2278="Date",NOW(),B2278),""))</f>
        <v>Date</v>
      </c>
      <c r="C2278" s="19" t="str">
        <f>IF(ISBLANK(A2278),"Name",IF(ISNA(VLOOKUP(A2278,'Master List'!A:C,2,FALSE)), "Not Found", VLOOKUP(A2278,'Master List'!A:C,2,FALSE)))</f>
        <v>Name</v>
      </c>
      <c r="D2278" s="19" t="str">
        <f>IF(ISBLANK(A2278), "Email",IF(ISNA(VLOOKUP(A2278,'Master List'!A:C,3,FALSE)), "Not Found", VLOOKUP(A2278,'Master List'!A:C,3,FALSE)))</f>
        <v>Email</v>
      </c>
      <c r="F2278" s="4" t="str">
        <f>IF(OR(A2278="",E2278="","",A2278="?",E2278="?"),"duplicate?",IF(COUNTIFS($A:A,A2278,E:E,E2278)&gt;1,"yes","no"))</f>
        <v>duplicate?</v>
      </c>
      <c r="K2278" s="97" t="str">
        <f ca="1">IF(J2278="","Date",IF(J2278&lt;&gt;"",IF(K2278="Date",NOW(),K2278),""))</f>
        <v>Date</v>
      </c>
    </row>
    <row r="2279" spans="2:11">
      <c r="B2279" s="97" t="str">
        <f ca="1">IF(A2279="","Date",IF(A2279&lt;&gt;"",IF(B2279="Date",NOW(),B2279),""))</f>
        <v>Date</v>
      </c>
      <c r="C2279" s="19" t="str">
        <f>IF(ISBLANK(A2279),"Name",IF(ISNA(VLOOKUP(A2279,'Master List'!A:C,2,FALSE)), "Not Found", VLOOKUP(A2279,'Master List'!A:C,2,FALSE)))</f>
        <v>Name</v>
      </c>
      <c r="D2279" s="19" t="str">
        <f>IF(ISBLANK(A2279), "Email",IF(ISNA(VLOOKUP(A2279,'Master List'!A:C,3,FALSE)), "Not Found", VLOOKUP(A2279,'Master List'!A:C,3,FALSE)))</f>
        <v>Email</v>
      </c>
      <c r="F2279" s="4" t="str">
        <f>IF(OR(A2279="",E2279="","",A2279="?",E2279="?"),"duplicate?",IF(COUNTIFS($A:A,A2279,E:E,E2279)&gt;1,"yes","no"))</f>
        <v>duplicate?</v>
      </c>
      <c r="K2279" s="97" t="str">
        <f ca="1">IF(J2279="","Date",IF(J2279&lt;&gt;"",IF(K2279="Date",NOW(),K2279),""))</f>
        <v>Date</v>
      </c>
    </row>
    <row r="2280" spans="2:11">
      <c r="B2280" s="97" t="str">
        <f ca="1">IF(A2280="","Date",IF(A2280&lt;&gt;"",IF(B2280="Date",NOW(),B2280),""))</f>
        <v>Date</v>
      </c>
      <c r="C2280" s="19" t="str">
        <f>IF(ISBLANK(A2280),"Name",IF(ISNA(VLOOKUP(A2280,'Master List'!A:C,2,FALSE)), "Not Found", VLOOKUP(A2280,'Master List'!A:C,2,FALSE)))</f>
        <v>Name</v>
      </c>
      <c r="D2280" s="19" t="str">
        <f>IF(ISBLANK(A2280), "Email",IF(ISNA(VLOOKUP(A2280,'Master List'!A:C,3,FALSE)), "Not Found", VLOOKUP(A2280,'Master List'!A:C,3,FALSE)))</f>
        <v>Email</v>
      </c>
      <c r="F2280" s="4" t="str">
        <f>IF(OR(A2280="",E2280="","",A2280="?",E2280="?"),"duplicate?",IF(COUNTIFS($A:A,A2280,E:E,E2280)&gt;1,"yes","no"))</f>
        <v>duplicate?</v>
      </c>
      <c r="K2280" s="97" t="str">
        <f ca="1">IF(J2280="","Date",IF(J2280&lt;&gt;"",IF(K2280="Date",NOW(),K2280),""))</f>
        <v>Date</v>
      </c>
    </row>
    <row r="2281" spans="2:11">
      <c r="B2281" s="97" t="str">
        <f ca="1">IF(A2281="","Date",IF(A2281&lt;&gt;"",IF(B2281="Date",NOW(),B2281),""))</f>
        <v>Date</v>
      </c>
      <c r="C2281" s="19" t="str">
        <f>IF(ISBLANK(A2281),"Name",IF(ISNA(VLOOKUP(A2281,'Master List'!A:C,2,FALSE)), "Not Found", VLOOKUP(A2281,'Master List'!A:C,2,FALSE)))</f>
        <v>Name</v>
      </c>
      <c r="D2281" s="19" t="str">
        <f>IF(ISBLANK(A2281), "Email",IF(ISNA(VLOOKUP(A2281,'Master List'!A:C,3,FALSE)), "Not Found", VLOOKUP(A2281,'Master List'!A:C,3,FALSE)))</f>
        <v>Email</v>
      </c>
      <c r="F2281" s="4" t="str">
        <f>IF(OR(A2281="",E2281="","",A2281="?",E2281="?"),"duplicate?",IF(COUNTIFS($A:A,A2281,E:E,E2281)&gt;1,"yes","no"))</f>
        <v>duplicate?</v>
      </c>
      <c r="K2281" s="97" t="str">
        <f ca="1">IF(J2281="","Date",IF(J2281&lt;&gt;"",IF(K2281="Date",NOW(),K2281),""))</f>
        <v>Date</v>
      </c>
    </row>
    <row r="2282" spans="2:11">
      <c r="B2282" s="97" t="str">
        <f ca="1">IF(A2282="","Date",IF(A2282&lt;&gt;"",IF(B2282="Date",NOW(),B2282),""))</f>
        <v>Date</v>
      </c>
      <c r="C2282" s="19" t="str">
        <f>IF(ISBLANK(A2282),"Name",IF(ISNA(VLOOKUP(A2282,'Master List'!A:C,2,FALSE)), "Not Found", VLOOKUP(A2282,'Master List'!A:C,2,FALSE)))</f>
        <v>Name</v>
      </c>
      <c r="D2282" s="19" t="str">
        <f>IF(ISBLANK(A2282), "Email",IF(ISNA(VLOOKUP(A2282,'Master List'!A:C,3,FALSE)), "Not Found", VLOOKUP(A2282,'Master List'!A:C,3,FALSE)))</f>
        <v>Email</v>
      </c>
      <c r="F2282" s="4" t="str">
        <f>IF(OR(A2282="",E2282="","",A2282="?",E2282="?"),"duplicate?",IF(COUNTIFS($A:A,A2282,E:E,E2282)&gt;1,"yes","no"))</f>
        <v>duplicate?</v>
      </c>
      <c r="K2282" s="97" t="str">
        <f ca="1">IF(J2282="","Date",IF(J2282&lt;&gt;"",IF(K2282="Date",NOW(),K2282),""))</f>
        <v>Date</v>
      </c>
    </row>
    <row r="2283" spans="2:11">
      <c r="B2283" s="97" t="str">
        <f ca="1">IF(A2283="","Date",IF(A2283&lt;&gt;"",IF(B2283="Date",NOW(),B2283),""))</f>
        <v>Date</v>
      </c>
      <c r="C2283" s="19" t="str">
        <f>IF(ISBLANK(A2283),"Name",IF(ISNA(VLOOKUP(A2283,'Master List'!A:C,2,FALSE)), "Not Found", VLOOKUP(A2283,'Master List'!A:C,2,FALSE)))</f>
        <v>Name</v>
      </c>
      <c r="D2283" s="19" t="str">
        <f>IF(ISBLANK(A2283), "Email",IF(ISNA(VLOOKUP(A2283,'Master List'!A:C,3,FALSE)), "Not Found", VLOOKUP(A2283,'Master List'!A:C,3,FALSE)))</f>
        <v>Email</v>
      </c>
      <c r="F2283" s="4" t="str">
        <f>IF(OR(A2283="",E2283="","",A2283="?",E2283="?"),"duplicate?",IF(COUNTIFS($A:A,A2283,E:E,E2283)&gt;1,"yes","no"))</f>
        <v>duplicate?</v>
      </c>
      <c r="K2283" s="97" t="str">
        <f ca="1">IF(J2283="","Date",IF(J2283&lt;&gt;"",IF(K2283="Date",NOW(),K2283),""))</f>
        <v>Date</v>
      </c>
    </row>
    <row r="2284" spans="2:11">
      <c r="B2284" s="97" t="str">
        <f ca="1">IF(A2284="","Date",IF(A2284&lt;&gt;"",IF(B2284="Date",NOW(),B2284),""))</f>
        <v>Date</v>
      </c>
      <c r="C2284" s="19" t="str">
        <f>IF(ISBLANK(A2284),"Name",IF(ISNA(VLOOKUP(A2284,'Master List'!A:C,2,FALSE)), "Not Found", VLOOKUP(A2284,'Master List'!A:C,2,FALSE)))</f>
        <v>Name</v>
      </c>
      <c r="D2284" s="19" t="str">
        <f>IF(ISBLANK(A2284), "Email",IF(ISNA(VLOOKUP(A2284,'Master List'!A:C,3,FALSE)), "Not Found", VLOOKUP(A2284,'Master List'!A:C,3,FALSE)))</f>
        <v>Email</v>
      </c>
      <c r="F2284" s="4" t="str">
        <f>IF(OR(A2284="",E2284="","",A2284="?",E2284="?"),"duplicate?",IF(COUNTIFS($A:A,A2284,E:E,E2284)&gt;1,"yes","no"))</f>
        <v>duplicate?</v>
      </c>
      <c r="K2284" s="97" t="str">
        <f ca="1">IF(J2284="","Date",IF(J2284&lt;&gt;"",IF(K2284="Date",NOW(),K2284),""))</f>
        <v>Date</v>
      </c>
    </row>
    <row r="2285" spans="2:11">
      <c r="B2285" s="97" t="str">
        <f ca="1">IF(A2285="","Date",IF(A2285&lt;&gt;"",IF(B2285="Date",NOW(),B2285),""))</f>
        <v>Date</v>
      </c>
      <c r="C2285" s="19" t="str">
        <f>IF(ISBLANK(A2285),"Name",IF(ISNA(VLOOKUP(A2285,'Master List'!A:C,2,FALSE)), "Not Found", VLOOKUP(A2285,'Master List'!A:C,2,FALSE)))</f>
        <v>Name</v>
      </c>
      <c r="D2285" s="19" t="str">
        <f>IF(ISBLANK(A2285), "Email",IF(ISNA(VLOOKUP(A2285,'Master List'!A:C,3,FALSE)), "Not Found", VLOOKUP(A2285,'Master List'!A:C,3,FALSE)))</f>
        <v>Email</v>
      </c>
      <c r="F2285" s="4" t="str">
        <f>IF(OR(A2285="",E2285="","",A2285="?",E2285="?"),"duplicate?",IF(COUNTIFS($A:A,A2285,E:E,E2285)&gt;1,"yes","no"))</f>
        <v>duplicate?</v>
      </c>
      <c r="K2285" s="97" t="str">
        <f ca="1">IF(J2285="","Date",IF(J2285&lt;&gt;"",IF(K2285="Date",NOW(),K2285),""))</f>
        <v>Date</v>
      </c>
    </row>
    <row r="2286" spans="2:11">
      <c r="B2286" s="97" t="str">
        <f ca="1">IF(A2286="","Date",IF(A2286&lt;&gt;"",IF(B2286="Date",NOW(),B2286),""))</f>
        <v>Date</v>
      </c>
      <c r="C2286" s="19" t="str">
        <f>IF(ISBLANK(A2286),"Name",IF(ISNA(VLOOKUP(A2286,'Master List'!A:C,2,FALSE)), "Not Found", VLOOKUP(A2286,'Master List'!A:C,2,FALSE)))</f>
        <v>Name</v>
      </c>
      <c r="D2286" s="19" t="str">
        <f>IF(ISBLANK(A2286), "Email",IF(ISNA(VLOOKUP(A2286,'Master List'!A:C,3,FALSE)), "Not Found", VLOOKUP(A2286,'Master List'!A:C,3,FALSE)))</f>
        <v>Email</v>
      </c>
      <c r="F2286" s="4" t="str">
        <f>IF(OR(A2286="",E2286="","",A2286="?",E2286="?"),"duplicate?",IF(COUNTIFS($A:A,A2286,E:E,E2286)&gt;1,"yes","no"))</f>
        <v>duplicate?</v>
      </c>
      <c r="K2286" s="97" t="str">
        <f ca="1">IF(J2286="","Date",IF(J2286&lt;&gt;"",IF(K2286="Date",NOW(),K2286),""))</f>
        <v>Date</v>
      </c>
    </row>
    <row r="2287" spans="2:11">
      <c r="B2287" s="97" t="str">
        <f ca="1">IF(A2287="","Date",IF(A2287&lt;&gt;"",IF(B2287="Date",NOW(),B2287),""))</f>
        <v>Date</v>
      </c>
      <c r="C2287" s="19" t="str">
        <f>IF(ISBLANK(A2287),"Name",IF(ISNA(VLOOKUP(A2287,'Master List'!A:C,2,FALSE)), "Not Found", VLOOKUP(A2287,'Master List'!A:C,2,FALSE)))</f>
        <v>Name</v>
      </c>
      <c r="D2287" s="19" t="str">
        <f>IF(ISBLANK(A2287), "Email",IF(ISNA(VLOOKUP(A2287,'Master List'!A:C,3,FALSE)), "Not Found", VLOOKUP(A2287,'Master List'!A:C,3,FALSE)))</f>
        <v>Email</v>
      </c>
      <c r="F2287" s="4" t="str">
        <f>IF(OR(A2287="",E2287="","",A2287="?",E2287="?"),"duplicate?",IF(COUNTIFS($A:A,A2287,E:E,E2287)&gt;1,"yes","no"))</f>
        <v>duplicate?</v>
      </c>
      <c r="K2287" s="97" t="str">
        <f ca="1">IF(J2287="","Date",IF(J2287&lt;&gt;"",IF(K2287="Date",NOW(),K2287),""))</f>
        <v>Date</v>
      </c>
    </row>
    <row r="2288" spans="2:11">
      <c r="B2288" s="97" t="str">
        <f ca="1">IF(A2288="","Date",IF(A2288&lt;&gt;"",IF(B2288="Date",NOW(),B2288),""))</f>
        <v>Date</v>
      </c>
      <c r="C2288" s="19" t="str">
        <f>IF(ISBLANK(A2288),"Name",IF(ISNA(VLOOKUP(A2288,'Master List'!A:C,2,FALSE)), "Not Found", VLOOKUP(A2288,'Master List'!A:C,2,FALSE)))</f>
        <v>Name</v>
      </c>
      <c r="D2288" s="19" t="str">
        <f>IF(ISBLANK(A2288), "Email",IF(ISNA(VLOOKUP(A2288,'Master List'!A:C,3,FALSE)), "Not Found", VLOOKUP(A2288,'Master List'!A:C,3,FALSE)))</f>
        <v>Email</v>
      </c>
      <c r="F2288" s="4" t="str">
        <f>IF(OR(A2288="",E2288="","",A2288="?",E2288="?"),"duplicate?",IF(COUNTIFS($A:A,A2288,E:E,E2288)&gt;1,"yes","no"))</f>
        <v>duplicate?</v>
      </c>
      <c r="K2288" s="97" t="str">
        <f ca="1">IF(J2288="","Date",IF(J2288&lt;&gt;"",IF(K2288="Date",NOW(),K2288),""))</f>
        <v>Date</v>
      </c>
    </row>
    <row r="2289" spans="2:11">
      <c r="B2289" s="97" t="str">
        <f ca="1">IF(A2289="","Date",IF(A2289&lt;&gt;"",IF(B2289="Date",NOW(),B2289),""))</f>
        <v>Date</v>
      </c>
      <c r="C2289" s="19" t="str">
        <f>IF(ISBLANK(A2289),"Name",IF(ISNA(VLOOKUP(A2289,'Master List'!A:C,2,FALSE)), "Not Found", VLOOKUP(A2289,'Master List'!A:C,2,FALSE)))</f>
        <v>Name</v>
      </c>
      <c r="D2289" s="19" t="str">
        <f>IF(ISBLANK(A2289), "Email",IF(ISNA(VLOOKUP(A2289,'Master List'!A:C,3,FALSE)), "Not Found", VLOOKUP(A2289,'Master List'!A:C,3,FALSE)))</f>
        <v>Email</v>
      </c>
      <c r="F2289" s="4" t="str">
        <f>IF(OR(A2289="",E2289="","",A2289="?",E2289="?"),"duplicate?",IF(COUNTIFS($A:A,A2289,E:E,E2289)&gt;1,"yes","no"))</f>
        <v>duplicate?</v>
      </c>
      <c r="K2289" s="97" t="str">
        <f ca="1">IF(J2289="","Date",IF(J2289&lt;&gt;"",IF(K2289="Date",NOW(),K2289),""))</f>
        <v>Date</v>
      </c>
    </row>
    <row r="2290" spans="2:11">
      <c r="B2290" s="97" t="str">
        <f ca="1">IF(A2290="","Date",IF(A2290&lt;&gt;"",IF(B2290="Date",NOW(),B2290),""))</f>
        <v>Date</v>
      </c>
      <c r="C2290" s="19" t="str">
        <f>IF(ISBLANK(A2290),"Name",IF(ISNA(VLOOKUP(A2290,'Master List'!A:C,2,FALSE)), "Not Found", VLOOKUP(A2290,'Master List'!A:C,2,FALSE)))</f>
        <v>Name</v>
      </c>
      <c r="D2290" s="19" t="str">
        <f>IF(ISBLANK(A2290), "Email",IF(ISNA(VLOOKUP(A2290,'Master List'!A:C,3,FALSE)), "Not Found", VLOOKUP(A2290,'Master List'!A:C,3,FALSE)))</f>
        <v>Email</v>
      </c>
      <c r="F2290" s="4" t="str">
        <f>IF(OR(A2290="",E2290="","",A2290="?",E2290="?"),"duplicate?",IF(COUNTIFS($A:A,A2290,E:E,E2290)&gt;1,"yes","no"))</f>
        <v>duplicate?</v>
      </c>
      <c r="K2290" s="97" t="str">
        <f ca="1">IF(J2290="","Date",IF(J2290&lt;&gt;"",IF(K2290="Date",NOW(),K2290),""))</f>
        <v>Date</v>
      </c>
    </row>
    <row r="2291" spans="2:11">
      <c r="B2291" s="97" t="str">
        <f ca="1">IF(A2291="","Date",IF(A2291&lt;&gt;"",IF(B2291="Date",NOW(),B2291),""))</f>
        <v>Date</v>
      </c>
      <c r="C2291" s="19" t="str">
        <f>IF(ISBLANK(A2291),"Name",IF(ISNA(VLOOKUP(A2291,'Master List'!A:C,2,FALSE)), "Not Found", VLOOKUP(A2291,'Master List'!A:C,2,FALSE)))</f>
        <v>Name</v>
      </c>
      <c r="D2291" s="19" t="str">
        <f>IF(ISBLANK(A2291), "Email",IF(ISNA(VLOOKUP(A2291,'Master List'!A:C,3,FALSE)), "Not Found", VLOOKUP(A2291,'Master List'!A:C,3,FALSE)))</f>
        <v>Email</v>
      </c>
      <c r="F2291" s="4" t="str">
        <f>IF(OR(A2291="",E2291="","",A2291="?",E2291="?"),"duplicate?",IF(COUNTIFS($A:A,A2291,E:E,E2291)&gt;1,"yes","no"))</f>
        <v>duplicate?</v>
      </c>
      <c r="K2291" s="97" t="str">
        <f ca="1">IF(J2291="","Date",IF(J2291&lt;&gt;"",IF(K2291="Date",NOW(),K2291),""))</f>
        <v>Date</v>
      </c>
    </row>
    <row r="2292" spans="2:11">
      <c r="B2292" s="97" t="str">
        <f ca="1">IF(A2292="","Date",IF(A2292&lt;&gt;"",IF(B2292="Date",NOW(),B2292),""))</f>
        <v>Date</v>
      </c>
      <c r="C2292" s="19" t="str">
        <f>IF(ISBLANK(A2292),"Name",IF(ISNA(VLOOKUP(A2292,'Master List'!A:C,2,FALSE)), "Not Found", VLOOKUP(A2292,'Master List'!A:C,2,FALSE)))</f>
        <v>Name</v>
      </c>
      <c r="D2292" s="19" t="str">
        <f>IF(ISBLANK(A2292), "Email",IF(ISNA(VLOOKUP(A2292,'Master List'!A:C,3,FALSE)), "Not Found", VLOOKUP(A2292,'Master List'!A:C,3,FALSE)))</f>
        <v>Email</v>
      </c>
      <c r="F2292" s="4" t="str">
        <f>IF(OR(A2292="",E2292="","",A2292="?",E2292="?"),"duplicate?",IF(COUNTIFS($A:A,A2292,E:E,E2292)&gt;1,"yes","no"))</f>
        <v>duplicate?</v>
      </c>
      <c r="K2292" s="97" t="str">
        <f ca="1">IF(J2292="","Date",IF(J2292&lt;&gt;"",IF(K2292="Date",NOW(),K2292),""))</f>
        <v>Date</v>
      </c>
    </row>
    <row r="2293" spans="2:11">
      <c r="B2293" s="97" t="str">
        <f ca="1">IF(A2293="","Date",IF(A2293&lt;&gt;"",IF(B2293="Date",NOW(),B2293),""))</f>
        <v>Date</v>
      </c>
      <c r="C2293" s="19" t="str">
        <f>IF(ISBLANK(A2293),"Name",IF(ISNA(VLOOKUP(A2293,'Master List'!A:C,2,FALSE)), "Not Found", VLOOKUP(A2293,'Master List'!A:C,2,FALSE)))</f>
        <v>Name</v>
      </c>
      <c r="D2293" s="19" t="str">
        <f>IF(ISBLANK(A2293), "Email",IF(ISNA(VLOOKUP(A2293,'Master List'!A:C,3,FALSE)), "Not Found", VLOOKUP(A2293,'Master List'!A:C,3,FALSE)))</f>
        <v>Email</v>
      </c>
      <c r="F2293" s="4" t="str">
        <f>IF(OR(A2293="",E2293="","",A2293="?",E2293="?"),"duplicate?",IF(COUNTIFS($A:A,A2293,E:E,E2293)&gt;1,"yes","no"))</f>
        <v>duplicate?</v>
      </c>
      <c r="K2293" s="97" t="str">
        <f ca="1">IF(J2293="","Date",IF(J2293&lt;&gt;"",IF(K2293="Date",NOW(),K2293),""))</f>
        <v>Date</v>
      </c>
    </row>
    <row r="2294" spans="2:11">
      <c r="B2294" s="97" t="str">
        <f ca="1">IF(A2294="","Date",IF(A2294&lt;&gt;"",IF(B2294="Date",NOW(),B2294),""))</f>
        <v>Date</v>
      </c>
      <c r="C2294" s="19" t="str">
        <f>IF(ISBLANK(A2294),"Name",IF(ISNA(VLOOKUP(A2294,'Master List'!A:C,2,FALSE)), "Not Found", VLOOKUP(A2294,'Master List'!A:C,2,FALSE)))</f>
        <v>Name</v>
      </c>
      <c r="D2294" s="19" t="str">
        <f>IF(ISBLANK(A2294), "Email",IF(ISNA(VLOOKUP(A2294,'Master List'!A:C,3,FALSE)), "Not Found", VLOOKUP(A2294,'Master List'!A:C,3,FALSE)))</f>
        <v>Email</v>
      </c>
      <c r="F2294" s="4" t="str">
        <f>IF(OR(A2294="",E2294="","",A2294="?",E2294="?"),"duplicate?",IF(COUNTIFS($A:A,A2294,E:E,E2294)&gt;1,"yes","no"))</f>
        <v>duplicate?</v>
      </c>
      <c r="K2294" s="97" t="str">
        <f ca="1">IF(J2294="","Date",IF(J2294&lt;&gt;"",IF(K2294="Date",NOW(),K2294),""))</f>
        <v>Date</v>
      </c>
    </row>
    <row r="2295" spans="2:11">
      <c r="B2295" s="97" t="str">
        <f ca="1">IF(A2295="","Date",IF(A2295&lt;&gt;"",IF(B2295="Date",NOW(),B2295),""))</f>
        <v>Date</v>
      </c>
      <c r="C2295" s="19" t="str">
        <f>IF(ISBLANK(A2295),"Name",IF(ISNA(VLOOKUP(A2295,'Master List'!A:C,2,FALSE)), "Not Found", VLOOKUP(A2295,'Master List'!A:C,2,FALSE)))</f>
        <v>Name</v>
      </c>
      <c r="D2295" s="19" t="str">
        <f>IF(ISBLANK(A2295), "Email",IF(ISNA(VLOOKUP(A2295,'Master List'!A:C,3,FALSE)), "Not Found", VLOOKUP(A2295,'Master List'!A:C,3,FALSE)))</f>
        <v>Email</v>
      </c>
      <c r="F2295" s="4" t="str">
        <f>IF(OR(A2295="",E2295="","",A2295="?",E2295="?"),"duplicate?",IF(COUNTIFS($A:A,A2295,E:E,E2295)&gt;1,"yes","no"))</f>
        <v>duplicate?</v>
      </c>
      <c r="K2295" s="97" t="str">
        <f ca="1">IF(J2295="","Date",IF(J2295&lt;&gt;"",IF(K2295="Date",NOW(),K2295),""))</f>
        <v>Date</v>
      </c>
    </row>
    <row r="2296" spans="2:11">
      <c r="B2296" s="97" t="str">
        <f ca="1">IF(A2296="","Date",IF(A2296&lt;&gt;"",IF(B2296="Date",NOW(),B2296),""))</f>
        <v>Date</v>
      </c>
      <c r="C2296" s="19" t="str">
        <f>IF(ISBLANK(A2296),"Name",IF(ISNA(VLOOKUP(A2296,'Master List'!A:C,2,FALSE)), "Not Found", VLOOKUP(A2296,'Master List'!A:C,2,FALSE)))</f>
        <v>Name</v>
      </c>
      <c r="D2296" s="19" t="str">
        <f>IF(ISBLANK(A2296), "Email",IF(ISNA(VLOOKUP(A2296,'Master List'!A:C,3,FALSE)), "Not Found", VLOOKUP(A2296,'Master List'!A:C,3,FALSE)))</f>
        <v>Email</v>
      </c>
      <c r="F2296" s="4" t="str">
        <f>IF(OR(A2296="",E2296="","",A2296="?",E2296="?"),"duplicate?",IF(COUNTIFS($A:A,A2296,E:E,E2296)&gt;1,"yes","no"))</f>
        <v>duplicate?</v>
      </c>
      <c r="K2296" s="97" t="str">
        <f ca="1">IF(J2296="","Date",IF(J2296&lt;&gt;"",IF(K2296="Date",NOW(),K2296),""))</f>
        <v>Date</v>
      </c>
    </row>
    <row r="2297" spans="2:11">
      <c r="B2297" s="97" t="str">
        <f ca="1">IF(A2297="","Date",IF(A2297&lt;&gt;"",IF(B2297="Date",NOW(),B2297),""))</f>
        <v>Date</v>
      </c>
      <c r="C2297" s="19" t="str">
        <f>IF(ISBLANK(A2297),"Name",IF(ISNA(VLOOKUP(A2297,'Master List'!A:C,2,FALSE)), "Not Found", VLOOKUP(A2297,'Master List'!A:C,2,FALSE)))</f>
        <v>Name</v>
      </c>
      <c r="D2297" s="19" t="str">
        <f>IF(ISBLANK(A2297), "Email",IF(ISNA(VLOOKUP(A2297,'Master List'!A:C,3,FALSE)), "Not Found", VLOOKUP(A2297,'Master List'!A:C,3,FALSE)))</f>
        <v>Email</v>
      </c>
      <c r="F2297" s="4" t="str">
        <f>IF(OR(A2297="",E2297="","",A2297="?",E2297="?"),"duplicate?",IF(COUNTIFS($A:A,A2297,E:E,E2297)&gt;1,"yes","no"))</f>
        <v>duplicate?</v>
      </c>
      <c r="K2297" s="97" t="str">
        <f ca="1">IF(J2297="","Date",IF(J2297&lt;&gt;"",IF(K2297="Date",NOW(),K2297),""))</f>
        <v>Date</v>
      </c>
    </row>
    <row r="2298" spans="2:11">
      <c r="B2298" s="97" t="str">
        <f ca="1">IF(A2298="","Date",IF(A2298&lt;&gt;"",IF(B2298="Date",NOW(),B2298),""))</f>
        <v>Date</v>
      </c>
      <c r="C2298" s="19" t="str">
        <f>IF(ISBLANK(A2298),"Name",IF(ISNA(VLOOKUP(A2298,'Master List'!A:C,2,FALSE)), "Not Found", VLOOKUP(A2298,'Master List'!A:C,2,FALSE)))</f>
        <v>Name</v>
      </c>
      <c r="D2298" s="19" t="str">
        <f>IF(ISBLANK(A2298), "Email",IF(ISNA(VLOOKUP(A2298,'Master List'!A:C,3,FALSE)), "Not Found", VLOOKUP(A2298,'Master List'!A:C,3,FALSE)))</f>
        <v>Email</v>
      </c>
      <c r="F2298" s="4" t="str">
        <f>IF(OR(A2298="",E2298="","",A2298="?",E2298="?"),"duplicate?",IF(COUNTIFS($A:A,A2298,E:E,E2298)&gt;1,"yes","no"))</f>
        <v>duplicate?</v>
      </c>
      <c r="K2298" s="97" t="str">
        <f ca="1">IF(J2298="","Date",IF(J2298&lt;&gt;"",IF(K2298="Date",NOW(),K2298),""))</f>
        <v>Date</v>
      </c>
    </row>
    <row r="2299" spans="2:11">
      <c r="B2299" s="97" t="str">
        <f ca="1">IF(A2299="","Date",IF(A2299&lt;&gt;"",IF(B2299="Date",NOW(),B2299),""))</f>
        <v>Date</v>
      </c>
      <c r="C2299" s="19" t="str">
        <f>IF(ISBLANK(A2299),"Name",IF(ISNA(VLOOKUP(A2299,'Master List'!A:C,2,FALSE)), "Not Found", VLOOKUP(A2299,'Master List'!A:C,2,FALSE)))</f>
        <v>Name</v>
      </c>
      <c r="D2299" s="19" t="str">
        <f>IF(ISBLANK(A2299), "Email",IF(ISNA(VLOOKUP(A2299,'Master List'!A:C,3,FALSE)), "Not Found", VLOOKUP(A2299,'Master List'!A:C,3,FALSE)))</f>
        <v>Email</v>
      </c>
      <c r="F2299" s="4" t="str">
        <f>IF(OR(A2299="",E2299="","",A2299="?",E2299="?"),"duplicate?",IF(COUNTIFS($A:A,A2299,E:E,E2299)&gt;1,"yes","no"))</f>
        <v>duplicate?</v>
      </c>
      <c r="K2299" s="97" t="str">
        <f ca="1">IF(J2299="","Date",IF(J2299&lt;&gt;"",IF(K2299="Date",NOW(),K2299),""))</f>
        <v>Date</v>
      </c>
    </row>
    <row r="2300" spans="2:11">
      <c r="B2300" s="97" t="str">
        <f ca="1">IF(A2300="","Date",IF(A2300&lt;&gt;"",IF(B2300="Date",NOW(),B2300),""))</f>
        <v>Date</v>
      </c>
      <c r="C2300" s="19" t="str">
        <f>IF(ISBLANK(A2300),"Name",IF(ISNA(VLOOKUP(A2300,'Master List'!A:C,2,FALSE)), "Not Found", VLOOKUP(A2300,'Master List'!A:C,2,FALSE)))</f>
        <v>Name</v>
      </c>
      <c r="D2300" s="19" t="str">
        <f>IF(ISBLANK(A2300), "Email",IF(ISNA(VLOOKUP(A2300,'Master List'!A:C,3,FALSE)), "Not Found", VLOOKUP(A2300,'Master List'!A:C,3,FALSE)))</f>
        <v>Email</v>
      </c>
      <c r="F2300" s="4" t="str">
        <f>IF(OR(A2300="",E2300="","",A2300="?",E2300="?"),"duplicate?",IF(COUNTIFS($A:A,A2300,E:E,E2300)&gt;1,"yes","no"))</f>
        <v>duplicate?</v>
      </c>
      <c r="K2300" s="97" t="str">
        <f ca="1">IF(J2300="","Date",IF(J2300&lt;&gt;"",IF(K2300="Date",NOW(),K2300),""))</f>
        <v>Date</v>
      </c>
    </row>
    <row r="2301" spans="2:11">
      <c r="B2301" s="97" t="str">
        <f ca="1">IF(A2301="","Date",IF(A2301&lt;&gt;"",IF(B2301="Date",NOW(),B2301),""))</f>
        <v>Date</v>
      </c>
      <c r="C2301" s="19" t="str">
        <f>IF(ISBLANK(A2301),"Name",IF(ISNA(VLOOKUP(A2301,'Master List'!A:C,2,FALSE)), "Not Found", VLOOKUP(A2301,'Master List'!A:C,2,FALSE)))</f>
        <v>Name</v>
      </c>
      <c r="D2301" s="19" t="str">
        <f>IF(ISBLANK(A2301), "Email",IF(ISNA(VLOOKUP(A2301,'Master List'!A:C,3,FALSE)), "Not Found", VLOOKUP(A2301,'Master List'!A:C,3,FALSE)))</f>
        <v>Email</v>
      </c>
      <c r="F2301" s="4" t="str">
        <f>IF(OR(A2301="",E2301="","",A2301="?",E2301="?"),"duplicate?",IF(COUNTIFS($A:A,A2301,E:E,E2301)&gt;1,"yes","no"))</f>
        <v>duplicate?</v>
      </c>
      <c r="K2301" s="97" t="str">
        <f ca="1">IF(J2301="","Date",IF(J2301&lt;&gt;"",IF(K2301="Date",NOW(),K2301),""))</f>
        <v>Date</v>
      </c>
    </row>
    <row r="2302" spans="2:11">
      <c r="B2302" s="97" t="str">
        <f ca="1">IF(A2302="","Date",IF(A2302&lt;&gt;"",IF(B2302="Date",NOW(),B2302),""))</f>
        <v>Date</v>
      </c>
      <c r="C2302" s="19" t="str">
        <f>IF(ISBLANK(A2302),"Name",IF(ISNA(VLOOKUP(A2302,'Master List'!A:C,2,FALSE)), "Not Found", VLOOKUP(A2302,'Master List'!A:C,2,FALSE)))</f>
        <v>Name</v>
      </c>
      <c r="D2302" s="19" t="str">
        <f>IF(ISBLANK(A2302), "Email",IF(ISNA(VLOOKUP(A2302,'Master List'!A:C,3,FALSE)), "Not Found", VLOOKUP(A2302,'Master List'!A:C,3,FALSE)))</f>
        <v>Email</v>
      </c>
      <c r="F2302" s="4" t="str">
        <f>IF(OR(A2302="",E2302="","",A2302="?",E2302="?"),"duplicate?",IF(COUNTIFS($A:A,A2302,E:E,E2302)&gt;1,"yes","no"))</f>
        <v>duplicate?</v>
      </c>
      <c r="K2302" s="97" t="str">
        <f ca="1">IF(J2302="","Date",IF(J2302&lt;&gt;"",IF(K2302="Date",NOW(),K2302),""))</f>
        <v>Date</v>
      </c>
    </row>
    <row r="2303" spans="2:11">
      <c r="B2303" s="97" t="str">
        <f ca="1">IF(A2303="","Date",IF(A2303&lt;&gt;"",IF(B2303="Date",NOW(),B2303),""))</f>
        <v>Date</v>
      </c>
      <c r="C2303" s="19" t="str">
        <f>IF(ISBLANK(A2303),"Name",IF(ISNA(VLOOKUP(A2303,'Master List'!A:C,2,FALSE)), "Not Found", VLOOKUP(A2303,'Master List'!A:C,2,FALSE)))</f>
        <v>Name</v>
      </c>
      <c r="D2303" s="19" t="str">
        <f>IF(ISBLANK(A2303), "Email",IF(ISNA(VLOOKUP(A2303,'Master List'!A:C,3,FALSE)), "Not Found", VLOOKUP(A2303,'Master List'!A:C,3,FALSE)))</f>
        <v>Email</v>
      </c>
      <c r="F2303" s="4" t="str">
        <f>IF(OR(A2303="",E2303="","",A2303="?",E2303="?"),"duplicate?",IF(COUNTIFS($A:A,A2303,E:E,E2303)&gt;1,"yes","no"))</f>
        <v>duplicate?</v>
      </c>
      <c r="K2303" s="97" t="str">
        <f ca="1">IF(J2303="","Date",IF(J2303&lt;&gt;"",IF(K2303="Date",NOW(),K2303),""))</f>
        <v>Date</v>
      </c>
    </row>
    <row r="2304" spans="2:11">
      <c r="B2304" s="97" t="str">
        <f ca="1">IF(A2304="","Date",IF(A2304&lt;&gt;"",IF(B2304="Date",NOW(),B2304),""))</f>
        <v>Date</v>
      </c>
      <c r="C2304" s="19" t="str">
        <f>IF(ISBLANK(A2304),"Name",IF(ISNA(VLOOKUP(A2304,'Master List'!A:C,2,FALSE)), "Not Found", VLOOKUP(A2304,'Master List'!A:C,2,FALSE)))</f>
        <v>Name</v>
      </c>
      <c r="D2304" s="19" t="str">
        <f>IF(ISBLANK(A2304), "Email",IF(ISNA(VLOOKUP(A2304,'Master List'!A:C,3,FALSE)), "Not Found", VLOOKUP(A2304,'Master List'!A:C,3,FALSE)))</f>
        <v>Email</v>
      </c>
      <c r="F2304" s="4" t="str">
        <f>IF(OR(A2304="",E2304="","",A2304="?",E2304="?"),"duplicate?",IF(COUNTIFS($A:A,A2304,E:E,E2304)&gt;1,"yes","no"))</f>
        <v>duplicate?</v>
      </c>
      <c r="K2304" s="97" t="str">
        <f ca="1">IF(J2304="","Date",IF(J2304&lt;&gt;"",IF(K2304="Date",NOW(),K2304),""))</f>
        <v>Date</v>
      </c>
    </row>
    <row r="2305" spans="2:11">
      <c r="B2305" s="97" t="str">
        <f ca="1">IF(A2305="","Date",IF(A2305&lt;&gt;"",IF(B2305="Date",NOW(),B2305),""))</f>
        <v>Date</v>
      </c>
      <c r="C2305" s="19" t="str">
        <f>IF(ISBLANK(A2305),"Name",IF(ISNA(VLOOKUP(A2305,'Master List'!A:C,2,FALSE)), "Not Found", VLOOKUP(A2305,'Master List'!A:C,2,FALSE)))</f>
        <v>Name</v>
      </c>
      <c r="D2305" s="19" t="str">
        <f>IF(ISBLANK(A2305), "Email",IF(ISNA(VLOOKUP(A2305,'Master List'!A:C,3,FALSE)), "Not Found", VLOOKUP(A2305,'Master List'!A:C,3,FALSE)))</f>
        <v>Email</v>
      </c>
      <c r="F2305" s="4" t="str">
        <f>IF(OR(A2305="",E2305="","",A2305="?",E2305="?"),"duplicate?",IF(COUNTIFS($A:A,A2305,E:E,E2305)&gt;1,"yes","no"))</f>
        <v>duplicate?</v>
      </c>
      <c r="K2305" s="97" t="str">
        <f ca="1">IF(J2305="","Date",IF(J2305&lt;&gt;"",IF(K2305="Date",NOW(),K2305),""))</f>
        <v>Date</v>
      </c>
    </row>
    <row r="2306" spans="2:11">
      <c r="B2306" s="97" t="str">
        <f ca="1">IF(A2306="","Date",IF(A2306&lt;&gt;"",IF(B2306="Date",NOW(),B2306),""))</f>
        <v>Date</v>
      </c>
      <c r="C2306" s="19" t="str">
        <f>IF(ISBLANK(A2306),"Name",IF(ISNA(VLOOKUP(A2306,'Master List'!A:C,2,FALSE)), "Not Found", VLOOKUP(A2306,'Master List'!A:C,2,FALSE)))</f>
        <v>Name</v>
      </c>
      <c r="D2306" s="19" t="str">
        <f>IF(ISBLANK(A2306), "Email",IF(ISNA(VLOOKUP(A2306,'Master List'!A:C,3,FALSE)), "Not Found", VLOOKUP(A2306,'Master List'!A:C,3,FALSE)))</f>
        <v>Email</v>
      </c>
      <c r="F2306" s="4" t="str">
        <f>IF(OR(A2306="",E2306="","",A2306="?",E2306="?"),"duplicate?",IF(COUNTIFS($A:A,A2306,E:E,E2306)&gt;1,"yes","no"))</f>
        <v>duplicate?</v>
      </c>
      <c r="K2306" s="97" t="str">
        <f ca="1">IF(J2306="","Date",IF(J2306&lt;&gt;"",IF(K2306="Date",NOW(),K2306),""))</f>
        <v>Date</v>
      </c>
    </row>
    <row r="2307" spans="2:11">
      <c r="B2307" s="97" t="str">
        <f ca="1">IF(A2307="","Date",IF(A2307&lt;&gt;"",IF(B2307="Date",NOW(),B2307),""))</f>
        <v>Date</v>
      </c>
      <c r="C2307" s="19" t="str">
        <f>IF(ISBLANK(A2307),"Name",IF(ISNA(VLOOKUP(A2307,'Master List'!A:C,2,FALSE)), "Not Found", VLOOKUP(A2307,'Master List'!A:C,2,FALSE)))</f>
        <v>Name</v>
      </c>
      <c r="D2307" s="19" t="str">
        <f>IF(ISBLANK(A2307), "Email",IF(ISNA(VLOOKUP(A2307,'Master List'!A:C,3,FALSE)), "Not Found", VLOOKUP(A2307,'Master List'!A:C,3,FALSE)))</f>
        <v>Email</v>
      </c>
      <c r="F2307" s="4" t="str">
        <f>IF(OR(A2307="",E2307="","",A2307="?",E2307="?"),"duplicate?",IF(COUNTIFS($A:A,A2307,E:E,E2307)&gt;1,"yes","no"))</f>
        <v>duplicate?</v>
      </c>
      <c r="K2307" s="97" t="str">
        <f ca="1">IF(J2307="","Date",IF(J2307&lt;&gt;"",IF(K2307="Date",NOW(),K2307),""))</f>
        <v>Date</v>
      </c>
    </row>
    <row r="2308" spans="2:11">
      <c r="B2308" s="97" t="str">
        <f ca="1">IF(A2308="","Date",IF(A2308&lt;&gt;"",IF(B2308="Date",NOW(),B2308),""))</f>
        <v>Date</v>
      </c>
      <c r="C2308" s="19" t="str">
        <f>IF(ISBLANK(A2308),"Name",IF(ISNA(VLOOKUP(A2308,'Master List'!A:C,2,FALSE)), "Not Found", VLOOKUP(A2308,'Master List'!A:C,2,FALSE)))</f>
        <v>Name</v>
      </c>
      <c r="D2308" s="19" t="str">
        <f>IF(ISBLANK(A2308), "Email",IF(ISNA(VLOOKUP(A2308,'Master List'!A:C,3,FALSE)), "Not Found", VLOOKUP(A2308,'Master List'!A:C,3,FALSE)))</f>
        <v>Email</v>
      </c>
      <c r="F2308" s="4" t="str">
        <f>IF(OR(A2308="",E2308="","",A2308="?",E2308="?"),"duplicate?",IF(COUNTIFS($A:A,A2308,E:E,E2308)&gt;1,"yes","no"))</f>
        <v>duplicate?</v>
      </c>
      <c r="K2308" s="97" t="str">
        <f ca="1">IF(J2308="","Date",IF(J2308&lt;&gt;"",IF(K2308="Date",NOW(),K2308),""))</f>
        <v>Date</v>
      </c>
    </row>
    <row r="2309" spans="2:11">
      <c r="B2309" s="97" t="str">
        <f ca="1">IF(A2309="","Date",IF(A2309&lt;&gt;"",IF(B2309="Date",NOW(),B2309),""))</f>
        <v>Date</v>
      </c>
      <c r="C2309" s="19" t="str">
        <f>IF(ISBLANK(A2309),"Name",IF(ISNA(VLOOKUP(A2309,'Master List'!A:C,2,FALSE)), "Not Found", VLOOKUP(A2309,'Master List'!A:C,2,FALSE)))</f>
        <v>Name</v>
      </c>
      <c r="D2309" s="19" t="str">
        <f>IF(ISBLANK(A2309), "Email",IF(ISNA(VLOOKUP(A2309,'Master List'!A:C,3,FALSE)), "Not Found", VLOOKUP(A2309,'Master List'!A:C,3,FALSE)))</f>
        <v>Email</v>
      </c>
      <c r="F2309" s="4" t="str">
        <f>IF(OR(A2309="",E2309="","",A2309="?",E2309="?"),"duplicate?",IF(COUNTIFS($A:A,A2309,E:E,E2309)&gt;1,"yes","no"))</f>
        <v>duplicate?</v>
      </c>
      <c r="K2309" s="97" t="str">
        <f ca="1">IF(J2309="","Date",IF(J2309&lt;&gt;"",IF(K2309="Date",NOW(),K2309),""))</f>
        <v>Date</v>
      </c>
    </row>
    <row r="2310" spans="2:11">
      <c r="B2310" s="97" t="str">
        <f ca="1">IF(A2310="","Date",IF(A2310&lt;&gt;"",IF(B2310="Date",NOW(),B2310),""))</f>
        <v>Date</v>
      </c>
      <c r="C2310" s="19" t="str">
        <f>IF(ISBLANK(A2310),"Name",IF(ISNA(VLOOKUP(A2310,'Master List'!A:C,2,FALSE)), "Not Found", VLOOKUP(A2310,'Master List'!A:C,2,FALSE)))</f>
        <v>Name</v>
      </c>
      <c r="D2310" s="19" t="str">
        <f>IF(ISBLANK(A2310), "Email",IF(ISNA(VLOOKUP(A2310,'Master List'!A:C,3,FALSE)), "Not Found", VLOOKUP(A2310,'Master List'!A:C,3,FALSE)))</f>
        <v>Email</v>
      </c>
      <c r="F2310" s="4" t="str">
        <f>IF(OR(A2310="",E2310="","",A2310="?",E2310="?"),"duplicate?",IF(COUNTIFS($A:A,A2310,E:E,E2310)&gt;1,"yes","no"))</f>
        <v>duplicate?</v>
      </c>
      <c r="K2310" s="97" t="str">
        <f ca="1">IF(J2310="","Date",IF(J2310&lt;&gt;"",IF(K2310="Date",NOW(),K2310),""))</f>
        <v>Date</v>
      </c>
    </row>
    <row r="2311" spans="2:11">
      <c r="B2311" s="97" t="str">
        <f ca="1">IF(A2311="","Date",IF(A2311&lt;&gt;"",IF(B2311="Date",NOW(),B2311),""))</f>
        <v>Date</v>
      </c>
      <c r="C2311" s="19" t="str">
        <f>IF(ISBLANK(A2311),"Name",IF(ISNA(VLOOKUP(A2311,'Master List'!A:C,2,FALSE)), "Not Found", VLOOKUP(A2311,'Master List'!A:C,2,FALSE)))</f>
        <v>Name</v>
      </c>
      <c r="D2311" s="19" t="str">
        <f>IF(ISBLANK(A2311), "Email",IF(ISNA(VLOOKUP(A2311,'Master List'!A:C,3,FALSE)), "Not Found", VLOOKUP(A2311,'Master List'!A:C,3,FALSE)))</f>
        <v>Email</v>
      </c>
      <c r="F2311" s="4" t="str">
        <f>IF(OR(A2311="",E2311="","",A2311="?",E2311="?"),"duplicate?",IF(COUNTIFS($A:A,A2311,E:E,E2311)&gt;1,"yes","no"))</f>
        <v>duplicate?</v>
      </c>
      <c r="K2311" s="97" t="str">
        <f ca="1">IF(J2311="","Date",IF(J2311&lt;&gt;"",IF(K2311="Date",NOW(),K2311),""))</f>
        <v>Date</v>
      </c>
    </row>
    <row r="2312" spans="2:11">
      <c r="B2312" s="97" t="str">
        <f ca="1">IF(A2312="","Date",IF(A2312&lt;&gt;"",IF(B2312="Date",NOW(),B2312),""))</f>
        <v>Date</v>
      </c>
      <c r="C2312" s="19" t="str">
        <f>IF(ISBLANK(A2312),"Name",IF(ISNA(VLOOKUP(A2312,'Master List'!A:C,2,FALSE)), "Not Found", VLOOKUP(A2312,'Master List'!A:C,2,FALSE)))</f>
        <v>Name</v>
      </c>
      <c r="D2312" s="19" t="str">
        <f>IF(ISBLANK(A2312), "Email",IF(ISNA(VLOOKUP(A2312,'Master List'!A:C,3,FALSE)), "Not Found", VLOOKUP(A2312,'Master List'!A:C,3,FALSE)))</f>
        <v>Email</v>
      </c>
      <c r="F2312" s="4" t="str">
        <f>IF(OR(A2312="",E2312="","",A2312="?",E2312="?"),"duplicate?",IF(COUNTIFS($A:A,A2312,E:E,E2312)&gt;1,"yes","no"))</f>
        <v>duplicate?</v>
      </c>
      <c r="K2312" s="97" t="str">
        <f ca="1">IF(J2312="","Date",IF(J2312&lt;&gt;"",IF(K2312="Date",NOW(),K2312),""))</f>
        <v>Date</v>
      </c>
    </row>
    <row r="2313" spans="2:11">
      <c r="B2313" s="97" t="str">
        <f ca="1">IF(A2313="","Date",IF(A2313&lt;&gt;"",IF(B2313="Date",NOW(),B2313),""))</f>
        <v>Date</v>
      </c>
      <c r="C2313" s="19" t="str">
        <f>IF(ISBLANK(A2313),"Name",IF(ISNA(VLOOKUP(A2313,'Master List'!A:C,2,FALSE)), "Not Found", VLOOKUP(A2313,'Master List'!A:C,2,FALSE)))</f>
        <v>Name</v>
      </c>
      <c r="D2313" s="19" t="str">
        <f>IF(ISBLANK(A2313), "Email",IF(ISNA(VLOOKUP(A2313,'Master List'!A:C,3,FALSE)), "Not Found", VLOOKUP(A2313,'Master List'!A:C,3,FALSE)))</f>
        <v>Email</v>
      </c>
      <c r="F2313" s="4" t="str">
        <f>IF(OR(A2313="",E2313="","",A2313="?",E2313="?"),"duplicate?",IF(COUNTIFS($A:A,A2313,E:E,E2313)&gt;1,"yes","no"))</f>
        <v>duplicate?</v>
      </c>
      <c r="K2313" s="97" t="str">
        <f ca="1">IF(J2313="","Date",IF(J2313&lt;&gt;"",IF(K2313="Date",NOW(),K2313),""))</f>
        <v>Date</v>
      </c>
    </row>
    <row r="2314" spans="2:11">
      <c r="B2314" s="97" t="str">
        <f ca="1">IF(A2314="","Date",IF(A2314&lt;&gt;"",IF(B2314="Date",NOW(),B2314),""))</f>
        <v>Date</v>
      </c>
      <c r="C2314" s="19" t="str">
        <f>IF(ISBLANK(A2314),"Name",IF(ISNA(VLOOKUP(A2314,'Master List'!A:C,2,FALSE)), "Not Found", VLOOKUP(A2314,'Master List'!A:C,2,FALSE)))</f>
        <v>Name</v>
      </c>
      <c r="D2314" s="19" t="str">
        <f>IF(ISBLANK(A2314), "Email",IF(ISNA(VLOOKUP(A2314,'Master List'!A:C,3,FALSE)), "Not Found", VLOOKUP(A2314,'Master List'!A:C,3,FALSE)))</f>
        <v>Email</v>
      </c>
      <c r="F2314" s="4" t="str">
        <f>IF(OR(A2314="",E2314="","",A2314="?",E2314="?"),"duplicate?",IF(COUNTIFS($A:A,A2314,E:E,E2314)&gt;1,"yes","no"))</f>
        <v>duplicate?</v>
      </c>
      <c r="K2314" s="97" t="str">
        <f ca="1">IF(J2314="","Date",IF(J2314&lt;&gt;"",IF(K2314="Date",NOW(),K2314),""))</f>
        <v>Date</v>
      </c>
    </row>
    <row r="2315" spans="2:11">
      <c r="B2315" s="97" t="str">
        <f ca="1">IF(A2315="","Date",IF(A2315&lt;&gt;"",IF(B2315="Date",NOW(),B2315),""))</f>
        <v>Date</v>
      </c>
      <c r="C2315" s="19" t="str">
        <f>IF(ISBLANK(A2315),"Name",IF(ISNA(VLOOKUP(A2315,'Master List'!A:C,2,FALSE)), "Not Found", VLOOKUP(A2315,'Master List'!A:C,2,FALSE)))</f>
        <v>Name</v>
      </c>
      <c r="D2315" s="19" t="str">
        <f>IF(ISBLANK(A2315), "Email",IF(ISNA(VLOOKUP(A2315,'Master List'!A:C,3,FALSE)), "Not Found", VLOOKUP(A2315,'Master List'!A:C,3,FALSE)))</f>
        <v>Email</v>
      </c>
      <c r="F2315" s="4" t="str">
        <f>IF(OR(A2315="",E2315="","",A2315="?",E2315="?"),"duplicate?",IF(COUNTIFS($A:A,A2315,E:E,E2315)&gt;1,"yes","no"))</f>
        <v>duplicate?</v>
      </c>
      <c r="K2315" s="97" t="str">
        <f ca="1">IF(J2315="","Date",IF(J2315&lt;&gt;"",IF(K2315="Date",NOW(),K2315),""))</f>
        <v>Date</v>
      </c>
    </row>
    <row r="2316" spans="2:11">
      <c r="B2316" s="97" t="str">
        <f ca="1">IF(A2316="","Date",IF(A2316&lt;&gt;"",IF(B2316="Date",NOW(),B2316),""))</f>
        <v>Date</v>
      </c>
      <c r="C2316" s="19" t="str">
        <f>IF(ISBLANK(A2316),"Name",IF(ISNA(VLOOKUP(A2316,'Master List'!A:C,2,FALSE)), "Not Found", VLOOKUP(A2316,'Master List'!A:C,2,FALSE)))</f>
        <v>Name</v>
      </c>
      <c r="D2316" s="19" t="str">
        <f>IF(ISBLANK(A2316), "Email",IF(ISNA(VLOOKUP(A2316,'Master List'!A:C,3,FALSE)), "Not Found", VLOOKUP(A2316,'Master List'!A:C,3,FALSE)))</f>
        <v>Email</v>
      </c>
      <c r="F2316" s="4" t="str">
        <f>IF(OR(A2316="",E2316="","",A2316="?",E2316="?"),"duplicate?",IF(COUNTIFS($A:A,A2316,E:E,E2316)&gt;1,"yes","no"))</f>
        <v>duplicate?</v>
      </c>
      <c r="K2316" s="97" t="str">
        <f ca="1">IF(J2316="","Date",IF(J2316&lt;&gt;"",IF(K2316="Date",NOW(),K2316),""))</f>
        <v>Date</v>
      </c>
    </row>
    <row r="2317" spans="2:11">
      <c r="B2317" s="97" t="str">
        <f ca="1">IF(A2317="","Date",IF(A2317&lt;&gt;"",IF(B2317="Date",NOW(),B2317),""))</f>
        <v>Date</v>
      </c>
      <c r="C2317" s="19" t="str">
        <f>IF(ISBLANK(A2317),"Name",IF(ISNA(VLOOKUP(A2317,'Master List'!A:C,2,FALSE)), "Not Found", VLOOKUP(A2317,'Master List'!A:C,2,FALSE)))</f>
        <v>Name</v>
      </c>
      <c r="D2317" s="19" t="str">
        <f>IF(ISBLANK(A2317), "Email",IF(ISNA(VLOOKUP(A2317,'Master List'!A:C,3,FALSE)), "Not Found", VLOOKUP(A2317,'Master List'!A:C,3,FALSE)))</f>
        <v>Email</v>
      </c>
      <c r="F2317" s="4" t="str">
        <f>IF(OR(A2317="",E2317="","",A2317="?",E2317="?"),"duplicate?",IF(COUNTIFS($A:A,A2317,E:E,E2317)&gt;1,"yes","no"))</f>
        <v>duplicate?</v>
      </c>
      <c r="K2317" s="97" t="str">
        <f ca="1">IF(J2317="","Date",IF(J2317&lt;&gt;"",IF(K2317="Date",NOW(),K2317),""))</f>
        <v>Date</v>
      </c>
    </row>
    <row r="2318" spans="2:11">
      <c r="B2318" s="97" t="str">
        <f ca="1">IF(A2318="","Date",IF(A2318&lt;&gt;"",IF(B2318="Date",NOW(),B2318),""))</f>
        <v>Date</v>
      </c>
      <c r="C2318" s="19" t="str">
        <f>IF(ISBLANK(A2318),"Name",IF(ISNA(VLOOKUP(A2318,'Master List'!A:C,2,FALSE)), "Not Found", VLOOKUP(A2318,'Master List'!A:C,2,FALSE)))</f>
        <v>Name</v>
      </c>
      <c r="D2318" s="19" t="str">
        <f>IF(ISBLANK(A2318), "Email",IF(ISNA(VLOOKUP(A2318,'Master List'!A:C,3,FALSE)), "Not Found", VLOOKUP(A2318,'Master List'!A:C,3,FALSE)))</f>
        <v>Email</v>
      </c>
      <c r="F2318" s="4" t="str">
        <f>IF(OR(A2318="",E2318="","",A2318="?",E2318="?"),"duplicate?",IF(COUNTIFS($A:A,A2318,E:E,E2318)&gt;1,"yes","no"))</f>
        <v>duplicate?</v>
      </c>
      <c r="K2318" s="97" t="str">
        <f ca="1">IF(J2318="","Date",IF(J2318&lt;&gt;"",IF(K2318="Date",NOW(),K2318),""))</f>
        <v>Date</v>
      </c>
    </row>
    <row r="2319" spans="2:11">
      <c r="B2319" s="97" t="str">
        <f ca="1">IF(A2319="","Date",IF(A2319&lt;&gt;"",IF(B2319="Date",NOW(),B2319),""))</f>
        <v>Date</v>
      </c>
      <c r="C2319" s="19" t="str">
        <f>IF(ISBLANK(A2319),"Name",IF(ISNA(VLOOKUP(A2319,'Master List'!A:C,2,FALSE)), "Not Found", VLOOKUP(A2319,'Master List'!A:C,2,FALSE)))</f>
        <v>Name</v>
      </c>
      <c r="D2319" s="19" t="str">
        <f>IF(ISBLANK(A2319), "Email",IF(ISNA(VLOOKUP(A2319,'Master List'!A:C,3,FALSE)), "Not Found", VLOOKUP(A2319,'Master List'!A:C,3,FALSE)))</f>
        <v>Email</v>
      </c>
      <c r="F2319" s="4" t="str">
        <f>IF(OR(A2319="",E2319="","",A2319="?",E2319="?"),"duplicate?",IF(COUNTIFS($A:A,A2319,E:E,E2319)&gt;1,"yes","no"))</f>
        <v>duplicate?</v>
      </c>
      <c r="K2319" s="97" t="str">
        <f ca="1">IF(J2319="","Date",IF(J2319&lt;&gt;"",IF(K2319="Date",NOW(),K2319),""))</f>
        <v>Date</v>
      </c>
    </row>
    <row r="2320" spans="2:11">
      <c r="B2320" s="97" t="str">
        <f ca="1">IF(A2320="","Date",IF(A2320&lt;&gt;"",IF(B2320="Date",NOW(),B2320),""))</f>
        <v>Date</v>
      </c>
      <c r="C2320" s="19" t="str">
        <f>IF(ISBLANK(A2320),"Name",IF(ISNA(VLOOKUP(A2320,'Master List'!A:C,2,FALSE)), "Not Found", VLOOKUP(A2320,'Master List'!A:C,2,FALSE)))</f>
        <v>Name</v>
      </c>
      <c r="D2320" s="19" t="str">
        <f>IF(ISBLANK(A2320), "Email",IF(ISNA(VLOOKUP(A2320,'Master List'!A:C,3,FALSE)), "Not Found", VLOOKUP(A2320,'Master List'!A:C,3,FALSE)))</f>
        <v>Email</v>
      </c>
      <c r="F2320" s="4" t="str">
        <f>IF(OR(A2320="",E2320="","",A2320="?",E2320="?"),"duplicate?",IF(COUNTIFS($A:A,A2320,E:E,E2320)&gt;1,"yes","no"))</f>
        <v>duplicate?</v>
      </c>
      <c r="K2320" s="97" t="str">
        <f ca="1">IF(J2320="","Date",IF(J2320&lt;&gt;"",IF(K2320="Date",NOW(),K2320),""))</f>
        <v>Date</v>
      </c>
    </row>
    <row r="2321" spans="2:11">
      <c r="B2321" s="97" t="str">
        <f ca="1">IF(A2321="","Date",IF(A2321&lt;&gt;"",IF(B2321="Date",NOW(),B2321),""))</f>
        <v>Date</v>
      </c>
      <c r="C2321" s="19" t="str">
        <f>IF(ISBLANK(A2321),"Name",IF(ISNA(VLOOKUP(A2321,'Master List'!A:C,2,FALSE)), "Not Found", VLOOKUP(A2321,'Master List'!A:C,2,FALSE)))</f>
        <v>Name</v>
      </c>
      <c r="D2321" s="19" t="str">
        <f>IF(ISBLANK(A2321), "Email",IF(ISNA(VLOOKUP(A2321,'Master List'!A:C,3,FALSE)), "Not Found", VLOOKUP(A2321,'Master List'!A:C,3,FALSE)))</f>
        <v>Email</v>
      </c>
      <c r="F2321" s="4" t="str">
        <f>IF(OR(A2321="",E2321="","",A2321="?",E2321="?"),"duplicate?",IF(COUNTIFS($A:A,A2321,E:E,E2321)&gt;1,"yes","no"))</f>
        <v>duplicate?</v>
      </c>
      <c r="K2321" s="97" t="str">
        <f ca="1">IF(J2321="","Date",IF(J2321&lt;&gt;"",IF(K2321="Date",NOW(),K2321),""))</f>
        <v>Date</v>
      </c>
    </row>
    <row r="2322" spans="2:11">
      <c r="B2322" s="97" t="str">
        <f ca="1">IF(A2322="","Date",IF(A2322&lt;&gt;"",IF(B2322="Date",NOW(),B2322),""))</f>
        <v>Date</v>
      </c>
      <c r="C2322" s="19" t="str">
        <f>IF(ISBLANK(A2322),"Name",IF(ISNA(VLOOKUP(A2322,'Master List'!A:C,2,FALSE)), "Not Found", VLOOKUP(A2322,'Master List'!A:C,2,FALSE)))</f>
        <v>Name</v>
      </c>
      <c r="D2322" s="19" t="str">
        <f>IF(ISBLANK(A2322), "Email",IF(ISNA(VLOOKUP(A2322,'Master List'!A:C,3,FALSE)), "Not Found", VLOOKUP(A2322,'Master List'!A:C,3,FALSE)))</f>
        <v>Email</v>
      </c>
      <c r="F2322" s="4" t="str">
        <f>IF(OR(A2322="",E2322="","",A2322="?",E2322="?"),"duplicate?",IF(COUNTIFS($A:A,A2322,E:E,E2322)&gt;1,"yes","no"))</f>
        <v>duplicate?</v>
      </c>
      <c r="K2322" s="97" t="str">
        <f ca="1">IF(J2322="","Date",IF(J2322&lt;&gt;"",IF(K2322="Date",NOW(),K2322),""))</f>
        <v>Date</v>
      </c>
    </row>
    <row r="2323" spans="2:11">
      <c r="B2323" s="97" t="str">
        <f ca="1">IF(A2323="","Date",IF(A2323&lt;&gt;"",IF(B2323="Date",NOW(),B2323),""))</f>
        <v>Date</v>
      </c>
      <c r="C2323" s="19" t="str">
        <f>IF(ISBLANK(A2323),"Name",IF(ISNA(VLOOKUP(A2323,'Master List'!A:C,2,FALSE)), "Not Found", VLOOKUP(A2323,'Master List'!A:C,2,FALSE)))</f>
        <v>Name</v>
      </c>
      <c r="D2323" s="19" t="str">
        <f>IF(ISBLANK(A2323), "Email",IF(ISNA(VLOOKUP(A2323,'Master List'!A:C,3,FALSE)), "Not Found", VLOOKUP(A2323,'Master List'!A:C,3,FALSE)))</f>
        <v>Email</v>
      </c>
      <c r="F2323" s="4" t="str">
        <f>IF(OR(A2323="",E2323="","",A2323="?",E2323="?"),"duplicate?",IF(COUNTIFS($A:A,A2323,E:E,E2323)&gt;1,"yes","no"))</f>
        <v>duplicate?</v>
      </c>
      <c r="K2323" s="97" t="str">
        <f ca="1">IF(J2323="","Date",IF(J2323&lt;&gt;"",IF(K2323="Date",NOW(),K2323),""))</f>
        <v>Date</v>
      </c>
    </row>
    <row r="2324" spans="2:11">
      <c r="B2324" s="97" t="str">
        <f ca="1">IF(A2324="","Date",IF(A2324&lt;&gt;"",IF(B2324="Date",NOW(),B2324),""))</f>
        <v>Date</v>
      </c>
      <c r="C2324" s="19" t="str">
        <f>IF(ISBLANK(A2324),"Name",IF(ISNA(VLOOKUP(A2324,'Master List'!A:C,2,FALSE)), "Not Found", VLOOKUP(A2324,'Master List'!A:C,2,FALSE)))</f>
        <v>Name</v>
      </c>
      <c r="D2324" s="19" t="str">
        <f>IF(ISBLANK(A2324), "Email",IF(ISNA(VLOOKUP(A2324,'Master List'!A:C,3,FALSE)), "Not Found", VLOOKUP(A2324,'Master List'!A:C,3,FALSE)))</f>
        <v>Email</v>
      </c>
      <c r="F2324" s="4" t="str">
        <f>IF(OR(A2324="",E2324="","",A2324="?",E2324="?"),"duplicate?",IF(COUNTIFS($A:A,A2324,E:E,E2324)&gt;1,"yes","no"))</f>
        <v>duplicate?</v>
      </c>
      <c r="K2324" s="97" t="str">
        <f ca="1">IF(J2324="","Date",IF(J2324&lt;&gt;"",IF(K2324="Date",NOW(),K2324),""))</f>
        <v>Date</v>
      </c>
    </row>
    <row r="2325" spans="2:11">
      <c r="B2325" s="97" t="str">
        <f ca="1">IF(A2325="","Date",IF(A2325&lt;&gt;"",IF(B2325="Date",NOW(),B2325),""))</f>
        <v>Date</v>
      </c>
      <c r="C2325" s="19" t="str">
        <f>IF(ISBLANK(A2325),"Name",IF(ISNA(VLOOKUP(A2325,'Master List'!A:C,2,FALSE)), "Not Found", VLOOKUP(A2325,'Master List'!A:C,2,FALSE)))</f>
        <v>Name</v>
      </c>
      <c r="D2325" s="19" t="str">
        <f>IF(ISBLANK(A2325), "Email",IF(ISNA(VLOOKUP(A2325,'Master List'!A:C,3,FALSE)), "Not Found", VLOOKUP(A2325,'Master List'!A:C,3,FALSE)))</f>
        <v>Email</v>
      </c>
      <c r="F2325" s="4" t="str">
        <f>IF(OR(A2325="",E2325="","",A2325="?",E2325="?"),"duplicate?",IF(COUNTIFS($A:A,A2325,E:E,E2325)&gt;1,"yes","no"))</f>
        <v>duplicate?</v>
      </c>
      <c r="K2325" s="97" t="str">
        <f ca="1">IF(J2325="","Date",IF(J2325&lt;&gt;"",IF(K2325="Date",NOW(),K2325),""))</f>
        <v>Date</v>
      </c>
    </row>
    <row r="2326" spans="2:11">
      <c r="B2326" s="97" t="str">
        <f ca="1">IF(A2326="","Date",IF(A2326&lt;&gt;"",IF(B2326="Date",NOW(),B2326),""))</f>
        <v>Date</v>
      </c>
      <c r="C2326" s="19" t="str">
        <f>IF(ISBLANK(A2326),"Name",IF(ISNA(VLOOKUP(A2326,'Master List'!A:C,2,FALSE)), "Not Found", VLOOKUP(A2326,'Master List'!A:C,2,FALSE)))</f>
        <v>Name</v>
      </c>
      <c r="D2326" s="19" t="str">
        <f>IF(ISBLANK(A2326), "Email",IF(ISNA(VLOOKUP(A2326,'Master List'!A:C,3,FALSE)), "Not Found", VLOOKUP(A2326,'Master List'!A:C,3,FALSE)))</f>
        <v>Email</v>
      </c>
      <c r="F2326" s="4" t="str">
        <f>IF(OR(A2326="",E2326="","",A2326="?",E2326="?"),"duplicate?",IF(COUNTIFS($A:A,A2326,E:E,E2326)&gt;1,"yes","no"))</f>
        <v>duplicate?</v>
      </c>
      <c r="K2326" s="97" t="str">
        <f ca="1">IF(J2326="","Date",IF(J2326&lt;&gt;"",IF(K2326="Date",NOW(),K2326),""))</f>
        <v>Date</v>
      </c>
    </row>
    <row r="2327" spans="2:11">
      <c r="B2327" s="97" t="str">
        <f ca="1">IF(A2327="","Date",IF(A2327&lt;&gt;"",IF(B2327="Date",NOW(),B2327),""))</f>
        <v>Date</v>
      </c>
      <c r="C2327" s="19" t="str">
        <f>IF(ISBLANK(A2327),"Name",IF(ISNA(VLOOKUP(A2327,'Master List'!A:C,2,FALSE)), "Not Found", VLOOKUP(A2327,'Master List'!A:C,2,FALSE)))</f>
        <v>Name</v>
      </c>
      <c r="D2327" s="19" t="str">
        <f>IF(ISBLANK(A2327), "Email",IF(ISNA(VLOOKUP(A2327,'Master List'!A:C,3,FALSE)), "Not Found", VLOOKUP(A2327,'Master List'!A:C,3,FALSE)))</f>
        <v>Email</v>
      </c>
      <c r="F2327" s="4" t="str">
        <f>IF(OR(A2327="",E2327="","",A2327="?",E2327="?"),"duplicate?",IF(COUNTIFS($A:A,A2327,E:E,E2327)&gt;1,"yes","no"))</f>
        <v>duplicate?</v>
      </c>
      <c r="K2327" s="97" t="str">
        <f ca="1">IF(J2327="","Date",IF(J2327&lt;&gt;"",IF(K2327="Date",NOW(),K2327),""))</f>
        <v>Date</v>
      </c>
    </row>
    <row r="2328" spans="2:11">
      <c r="B2328" s="97" t="str">
        <f ca="1">IF(A2328="","Date",IF(A2328&lt;&gt;"",IF(B2328="Date",NOW(),B2328),""))</f>
        <v>Date</v>
      </c>
      <c r="C2328" s="19" t="str">
        <f>IF(ISBLANK(A2328),"Name",IF(ISNA(VLOOKUP(A2328,'Master List'!A:C,2,FALSE)), "Not Found", VLOOKUP(A2328,'Master List'!A:C,2,FALSE)))</f>
        <v>Name</v>
      </c>
      <c r="D2328" s="19" t="str">
        <f>IF(ISBLANK(A2328), "Email",IF(ISNA(VLOOKUP(A2328,'Master List'!A:C,3,FALSE)), "Not Found", VLOOKUP(A2328,'Master List'!A:C,3,FALSE)))</f>
        <v>Email</v>
      </c>
      <c r="F2328" s="4" t="str">
        <f>IF(OR(A2328="",E2328="","",A2328="?",E2328="?"),"duplicate?",IF(COUNTIFS($A:A,A2328,E:E,E2328)&gt;1,"yes","no"))</f>
        <v>duplicate?</v>
      </c>
      <c r="K2328" s="97" t="str">
        <f ca="1">IF(J2328="","Date",IF(J2328&lt;&gt;"",IF(K2328="Date",NOW(),K2328),""))</f>
        <v>Date</v>
      </c>
    </row>
    <row r="2329" spans="2:11">
      <c r="B2329" s="97" t="str">
        <f ca="1">IF(A2329="","Date",IF(A2329&lt;&gt;"",IF(B2329="Date",NOW(),B2329),""))</f>
        <v>Date</v>
      </c>
      <c r="C2329" s="19" t="str">
        <f>IF(ISBLANK(A2329),"Name",IF(ISNA(VLOOKUP(A2329,'Master List'!A:C,2,FALSE)), "Not Found", VLOOKUP(A2329,'Master List'!A:C,2,FALSE)))</f>
        <v>Name</v>
      </c>
      <c r="D2329" s="19" t="str">
        <f>IF(ISBLANK(A2329), "Email",IF(ISNA(VLOOKUP(A2329,'Master List'!A:C,3,FALSE)), "Not Found", VLOOKUP(A2329,'Master List'!A:C,3,FALSE)))</f>
        <v>Email</v>
      </c>
      <c r="F2329" s="4" t="str">
        <f>IF(OR(A2329="",E2329="","",A2329="?",E2329="?"),"duplicate?",IF(COUNTIFS($A:A,A2329,E:E,E2329)&gt;1,"yes","no"))</f>
        <v>duplicate?</v>
      </c>
      <c r="K2329" s="97" t="str">
        <f ca="1">IF(J2329="","Date",IF(J2329&lt;&gt;"",IF(K2329="Date",NOW(),K2329),""))</f>
        <v>Date</v>
      </c>
    </row>
    <row r="2330" spans="2:11">
      <c r="B2330" s="97" t="str">
        <f ca="1">IF(A2330="","Date",IF(A2330&lt;&gt;"",IF(B2330="Date",NOW(),B2330),""))</f>
        <v>Date</v>
      </c>
      <c r="C2330" s="19" t="str">
        <f>IF(ISBLANK(A2330),"Name",IF(ISNA(VLOOKUP(A2330,'Master List'!A:C,2,FALSE)), "Not Found", VLOOKUP(A2330,'Master List'!A:C,2,FALSE)))</f>
        <v>Name</v>
      </c>
      <c r="D2330" s="19" t="str">
        <f>IF(ISBLANK(A2330), "Email",IF(ISNA(VLOOKUP(A2330,'Master List'!A:C,3,FALSE)), "Not Found", VLOOKUP(A2330,'Master List'!A:C,3,FALSE)))</f>
        <v>Email</v>
      </c>
      <c r="F2330" s="4" t="str">
        <f>IF(OR(A2330="",E2330="","",A2330="?",E2330="?"),"duplicate?",IF(COUNTIFS($A:A,A2330,E:E,E2330)&gt;1,"yes","no"))</f>
        <v>duplicate?</v>
      </c>
      <c r="K2330" s="97" t="str">
        <f ca="1">IF(J2330="","Date",IF(J2330&lt;&gt;"",IF(K2330="Date",NOW(),K2330),""))</f>
        <v>Date</v>
      </c>
    </row>
    <row r="2331" spans="2:11">
      <c r="B2331" s="97" t="str">
        <f ca="1">IF(A2331="","Date",IF(A2331&lt;&gt;"",IF(B2331="Date",NOW(),B2331),""))</f>
        <v>Date</v>
      </c>
      <c r="C2331" s="19" t="str">
        <f>IF(ISBLANK(A2331),"Name",IF(ISNA(VLOOKUP(A2331,'Master List'!A:C,2,FALSE)), "Not Found", VLOOKUP(A2331,'Master List'!A:C,2,FALSE)))</f>
        <v>Name</v>
      </c>
      <c r="D2331" s="19" t="str">
        <f>IF(ISBLANK(A2331), "Email",IF(ISNA(VLOOKUP(A2331,'Master List'!A:C,3,FALSE)), "Not Found", VLOOKUP(A2331,'Master List'!A:C,3,FALSE)))</f>
        <v>Email</v>
      </c>
      <c r="F2331" s="4" t="str">
        <f>IF(OR(A2331="",E2331="","",A2331="?",E2331="?"),"duplicate?",IF(COUNTIFS($A:A,A2331,E:E,E2331)&gt;1,"yes","no"))</f>
        <v>duplicate?</v>
      </c>
      <c r="K2331" s="97" t="str">
        <f ca="1">IF(J2331="","Date",IF(J2331&lt;&gt;"",IF(K2331="Date",NOW(),K2331),""))</f>
        <v>Date</v>
      </c>
    </row>
    <row r="2332" spans="2:11">
      <c r="B2332" s="97" t="str">
        <f ca="1">IF(A2332="","Date",IF(A2332&lt;&gt;"",IF(B2332="Date",NOW(),B2332),""))</f>
        <v>Date</v>
      </c>
      <c r="C2332" s="19" t="str">
        <f>IF(ISBLANK(A2332),"Name",IF(ISNA(VLOOKUP(A2332,'Master List'!A:C,2,FALSE)), "Not Found", VLOOKUP(A2332,'Master List'!A:C,2,FALSE)))</f>
        <v>Name</v>
      </c>
      <c r="D2332" s="19" t="str">
        <f>IF(ISBLANK(A2332), "Email",IF(ISNA(VLOOKUP(A2332,'Master List'!A:C,3,FALSE)), "Not Found", VLOOKUP(A2332,'Master List'!A:C,3,FALSE)))</f>
        <v>Email</v>
      </c>
      <c r="F2332" s="4" t="str">
        <f>IF(OR(A2332="",E2332="","",A2332="?",E2332="?"),"duplicate?",IF(COUNTIFS($A:A,A2332,E:E,E2332)&gt;1,"yes","no"))</f>
        <v>duplicate?</v>
      </c>
      <c r="K2332" s="97" t="str">
        <f ca="1">IF(J2332="","Date",IF(J2332&lt;&gt;"",IF(K2332="Date",NOW(),K2332),""))</f>
        <v>Date</v>
      </c>
    </row>
    <row r="2333" spans="2:11">
      <c r="B2333" s="97" t="str">
        <f ca="1">IF(A2333="","Date",IF(A2333&lt;&gt;"",IF(B2333="Date",NOW(),B2333),""))</f>
        <v>Date</v>
      </c>
      <c r="C2333" s="19" t="str">
        <f>IF(ISBLANK(A2333),"Name",IF(ISNA(VLOOKUP(A2333,'Master List'!A:C,2,FALSE)), "Not Found", VLOOKUP(A2333,'Master List'!A:C,2,FALSE)))</f>
        <v>Name</v>
      </c>
      <c r="D2333" s="19" t="str">
        <f>IF(ISBLANK(A2333), "Email",IF(ISNA(VLOOKUP(A2333,'Master List'!A:C,3,FALSE)), "Not Found", VLOOKUP(A2333,'Master List'!A:C,3,FALSE)))</f>
        <v>Email</v>
      </c>
      <c r="F2333" s="4" t="str">
        <f>IF(OR(A2333="",E2333="","",A2333="?",E2333="?"),"duplicate?",IF(COUNTIFS($A:A,A2333,E:E,E2333)&gt;1,"yes","no"))</f>
        <v>duplicate?</v>
      </c>
      <c r="K2333" s="97" t="str">
        <f ca="1">IF(J2333="","Date",IF(J2333&lt;&gt;"",IF(K2333="Date",NOW(),K2333),""))</f>
        <v>Date</v>
      </c>
    </row>
    <row r="2334" spans="2:11">
      <c r="B2334" s="97" t="str">
        <f ca="1">IF(A2334="","Date",IF(A2334&lt;&gt;"",IF(B2334="Date",NOW(),B2334),""))</f>
        <v>Date</v>
      </c>
      <c r="C2334" s="19" t="str">
        <f>IF(ISBLANK(A2334),"Name",IF(ISNA(VLOOKUP(A2334,'Master List'!A:C,2,FALSE)), "Not Found", VLOOKUP(A2334,'Master List'!A:C,2,FALSE)))</f>
        <v>Name</v>
      </c>
      <c r="D2334" s="19" t="str">
        <f>IF(ISBLANK(A2334), "Email",IF(ISNA(VLOOKUP(A2334,'Master List'!A:C,3,FALSE)), "Not Found", VLOOKUP(A2334,'Master List'!A:C,3,FALSE)))</f>
        <v>Email</v>
      </c>
      <c r="F2334" s="4" t="str">
        <f>IF(OR(A2334="",E2334="","",A2334="?",E2334="?"),"duplicate?",IF(COUNTIFS($A:A,A2334,E:E,E2334)&gt;1,"yes","no"))</f>
        <v>duplicate?</v>
      </c>
      <c r="K2334" s="97" t="str">
        <f ca="1">IF(J2334="","Date",IF(J2334&lt;&gt;"",IF(K2334="Date",NOW(),K2334),""))</f>
        <v>Date</v>
      </c>
    </row>
    <row r="2335" spans="2:11">
      <c r="B2335" s="97" t="str">
        <f ca="1">IF(A2335="","Date",IF(A2335&lt;&gt;"",IF(B2335="Date",NOW(),B2335),""))</f>
        <v>Date</v>
      </c>
      <c r="C2335" s="19" t="str">
        <f>IF(ISBLANK(A2335),"Name",IF(ISNA(VLOOKUP(A2335,'Master List'!A:C,2,FALSE)), "Not Found", VLOOKUP(A2335,'Master List'!A:C,2,FALSE)))</f>
        <v>Name</v>
      </c>
      <c r="D2335" s="19" t="str">
        <f>IF(ISBLANK(A2335), "Email",IF(ISNA(VLOOKUP(A2335,'Master List'!A:C,3,FALSE)), "Not Found", VLOOKUP(A2335,'Master List'!A:C,3,FALSE)))</f>
        <v>Email</v>
      </c>
      <c r="F2335" s="4" t="str">
        <f>IF(OR(A2335="",E2335="","",A2335="?",E2335="?"),"duplicate?",IF(COUNTIFS($A:A,A2335,E:E,E2335)&gt;1,"yes","no"))</f>
        <v>duplicate?</v>
      </c>
      <c r="K2335" s="97" t="str">
        <f ca="1">IF(J2335="","Date",IF(J2335&lt;&gt;"",IF(K2335="Date",NOW(),K2335),""))</f>
        <v>Date</v>
      </c>
    </row>
    <row r="2336" spans="2:11">
      <c r="B2336" s="97" t="str">
        <f ca="1">IF(A2336="","Date",IF(A2336&lt;&gt;"",IF(B2336="Date",NOW(),B2336),""))</f>
        <v>Date</v>
      </c>
      <c r="C2336" s="19" t="str">
        <f>IF(ISBLANK(A2336),"Name",IF(ISNA(VLOOKUP(A2336,'Master List'!A:C,2,FALSE)), "Not Found", VLOOKUP(A2336,'Master List'!A:C,2,FALSE)))</f>
        <v>Name</v>
      </c>
      <c r="D2336" s="19" t="str">
        <f>IF(ISBLANK(A2336), "Email",IF(ISNA(VLOOKUP(A2336,'Master List'!A:C,3,FALSE)), "Not Found", VLOOKUP(A2336,'Master List'!A:C,3,FALSE)))</f>
        <v>Email</v>
      </c>
      <c r="F2336" s="4" t="str">
        <f>IF(OR(A2336="",E2336="","",A2336="?",E2336="?"),"duplicate?",IF(COUNTIFS($A:A,A2336,E:E,E2336)&gt;1,"yes","no"))</f>
        <v>duplicate?</v>
      </c>
      <c r="K2336" s="97" t="str">
        <f ca="1">IF(J2336="","Date",IF(J2336&lt;&gt;"",IF(K2336="Date",NOW(),K2336),""))</f>
        <v>Date</v>
      </c>
    </row>
    <row r="2337" spans="2:11">
      <c r="B2337" s="97" t="str">
        <f ca="1">IF(A2337="","Date",IF(A2337&lt;&gt;"",IF(B2337="Date",NOW(),B2337),""))</f>
        <v>Date</v>
      </c>
      <c r="C2337" s="19" t="str">
        <f>IF(ISBLANK(A2337),"Name",IF(ISNA(VLOOKUP(A2337,'Master List'!A:C,2,FALSE)), "Not Found", VLOOKUP(A2337,'Master List'!A:C,2,FALSE)))</f>
        <v>Name</v>
      </c>
      <c r="D2337" s="19" t="str">
        <f>IF(ISBLANK(A2337), "Email",IF(ISNA(VLOOKUP(A2337,'Master List'!A:C,3,FALSE)), "Not Found", VLOOKUP(A2337,'Master List'!A:C,3,FALSE)))</f>
        <v>Email</v>
      </c>
      <c r="F2337" s="4" t="str">
        <f>IF(OR(A2337="",E2337="","",A2337="?",E2337="?"),"duplicate?",IF(COUNTIFS($A:A,A2337,E:E,E2337)&gt;1,"yes","no"))</f>
        <v>duplicate?</v>
      </c>
      <c r="K2337" s="97" t="str">
        <f ca="1">IF(J2337="","Date",IF(J2337&lt;&gt;"",IF(K2337="Date",NOW(),K2337),""))</f>
        <v>Date</v>
      </c>
    </row>
    <row r="2338" spans="2:11">
      <c r="B2338" s="97" t="str">
        <f ca="1">IF(A2338="","Date",IF(A2338&lt;&gt;"",IF(B2338="Date",NOW(),B2338),""))</f>
        <v>Date</v>
      </c>
      <c r="C2338" s="19" t="str">
        <f>IF(ISBLANK(A2338),"Name",IF(ISNA(VLOOKUP(A2338,'Master List'!A:C,2,FALSE)), "Not Found", VLOOKUP(A2338,'Master List'!A:C,2,FALSE)))</f>
        <v>Name</v>
      </c>
      <c r="D2338" s="19" t="str">
        <f>IF(ISBLANK(A2338), "Email",IF(ISNA(VLOOKUP(A2338,'Master List'!A:C,3,FALSE)), "Not Found", VLOOKUP(A2338,'Master List'!A:C,3,FALSE)))</f>
        <v>Email</v>
      </c>
      <c r="F2338" s="4" t="str">
        <f>IF(OR(A2338="",E2338="","",A2338="?",E2338="?"),"duplicate?",IF(COUNTIFS($A:A,A2338,E:E,E2338)&gt;1,"yes","no"))</f>
        <v>duplicate?</v>
      </c>
      <c r="K2338" s="97" t="str">
        <f ca="1">IF(J2338="","Date",IF(J2338&lt;&gt;"",IF(K2338="Date",NOW(),K2338),""))</f>
        <v>Date</v>
      </c>
    </row>
    <row r="2339" spans="2:11">
      <c r="B2339" s="97" t="str">
        <f ca="1">IF(A2339="","Date",IF(A2339&lt;&gt;"",IF(B2339="Date",NOW(),B2339),""))</f>
        <v>Date</v>
      </c>
      <c r="C2339" s="19" t="str">
        <f>IF(ISBLANK(A2339),"Name",IF(ISNA(VLOOKUP(A2339,'Master List'!A:C,2,FALSE)), "Not Found", VLOOKUP(A2339,'Master List'!A:C,2,FALSE)))</f>
        <v>Name</v>
      </c>
      <c r="D2339" s="19" t="str">
        <f>IF(ISBLANK(A2339), "Email",IF(ISNA(VLOOKUP(A2339,'Master List'!A:C,3,FALSE)), "Not Found", VLOOKUP(A2339,'Master List'!A:C,3,FALSE)))</f>
        <v>Email</v>
      </c>
      <c r="F2339" s="4" t="str">
        <f>IF(OR(A2339="",E2339="","",A2339="?",E2339="?"),"duplicate?",IF(COUNTIFS($A:A,A2339,E:E,E2339)&gt;1,"yes","no"))</f>
        <v>duplicate?</v>
      </c>
      <c r="K2339" s="97" t="str">
        <f ca="1">IF(J2339="","Date",IF(J2339&lt;&gt;"",IF(K2339="Date",NOW(),K2339),""))</f>
        <v>Date</v>
      </c>
    </row>
    <row r="2340" spans="2:11">
      <c r="B2340" s="97" t="str">
        <f ca="1">IF(A2340="","Date",IF(A2340&lt;&gt;"",IF(B2340="Date",NOW(),B2340),""))</f>
        <v>Date</v>
      </c>
      <c r="C2340" s="19" t="str">
        <f>IF(ISBLANK(A2340),"Name",IF(ISNA(VLOOKUP(A2340,'Master List'!A:C,2,FALSE)), "Not Found", VLOOKUP(A2340,'Master List'!A:C,2,FALSE)))</f>
        <v>Name</v>
      </c>
      <c r="D2340" s="19" t="str">
        <f>IF(ISBLANK(A2340), "Email",IF(ISNA(VLOOKUP(A2340,'Master List'!A:C,3,FALSE)), "Not Found", VLOOKUP(A2340,'Master List'!A:C,3,FALSE)))</f>
        <v>Email</v>
      </c>
      <c r="F2340" s="4" t="str">
        <f>IF(OR(A2340="",E2340="","",A2340="?",E2340="?"),"duplicate?",IF(COUNTIFS($A:A,A2340,E:E,E2340)&gt;1,"yes","no"))</f>
        <v>duplicate?</v>
      </c>
      <c r="K2340" s="97" t="str">
        <f ca="1">IF(J2340="","Date",IF(J2340&lt;&gt;"",IF(K2340="Date",NOW(),K2340),""))</f>
        <v>Date</v>
      </c>
    </row>
    <row r="2341" spans="2:11">
      <c r="B2341" s="97" t="str">
        <f ca="1">IF(A2341="","Date",IF(A2341&lt;&gt;"",IF(B2341="Date",NOW(),B2341),""))</f>
        <v>Date</v>
      </c>
      <c r="C2341" s="19" t="str">
        <f>IF(ISBLANK(A2341),"Name",IF(ISNA(VLOOKUP(A2341,'Master List'!A:C,2,FALSE)), "Not Found", VLOOKUP(A2341,'Master List'!A:C,2,FALSE)))</f>
        <v>Name</v>
      </c>
      <c r="D2341" s="19" t="str">
        <f>IF(ISBLANK(A2341), "Email",IF(ISNA(VLOOKUP(A2341,'Master List'!A:C,3,FALSE)), "Not Found", VLOOKUP(A2341,'Master List'!A:C,3,FALSE)))</f>
        <v>Email</v>
      </c>
      <c r="F2341" s="4" t="str">
        <f>IF(OR(A2341="",E2341="","",A2341="?",E2341="?"),"duplicate?",IF(COUNTIFS($A:A,A2341,E:E,E2341)&gt;1,"yes","no"))</f>
        <v>duplicate?</v>
      </c>
      <c r="K2341" s="97" t="str">
        <f ca="1">IF(J2341="","Date",IF(J2341&lt;&gt;"",IF(K2341="Date",NOW(),K2341),""))</f>
        <v>Date</v>
      </c>
    </row>
    <row r="2342" spans="2:11">
      <c r="B2342" s="97" t="str">
        <f ca="1">IF(A2342="","Date",IF(A2342&lt;&gt;"",IF(B2342="Date",NOW(),B2342),""))</f>
        <v>Date</v>
      </c>
      <c r="C2342" s="19" t="str">
        <f>IF(ISBLANK(A2342),"Name",IF(ISNA(VLOOKUP(A2342,'Master List'!A:C,2,FALSE)), "Not Found", VLOOKUP(A2342,'Master List'!A:C,2,FALSE)))</f>
        <v>Name</v>
      </c>
      <c r="D2342" s="19" t="str">
        <f>IF(ISBLANK(A2342), "Email",IF(ISNA(VLOOKUP(A2342,'Master List'!A:C,3,FALSE)), "Not Found", VLOOKUP(A2342,'Master List'!A:C,3,FALSE)))</f>
        <v>Email</v>
      </c>
      <c r="F2342" s="4" t="str">
        <f>IF(OR(A2342="",E2342="","",A2342="?",E2342="?"),"duplicate?",IF(COUNTIFS($A:A,A2342,E:E,E2342)&gt;1,"yes","no"))</f>
        <v>duplicate?</v>
      </c>
      <c r="K2342" s="97" t="str">
        <f ca="1">IF(J2342="","Date",IF(J2342&lt;&gt;"",IF(K2342="Date",NOW(),K2342),""))</f>
        <v>Date</v>
      </c>
    </row>
    <row r="2343" spans="2:11">
      <c r="B2343" s="97" t="str">
        <f ca="1">IF(A2343="","Date",IF(A2343&lt;&gt;"",IF(B2343="Date",NOW(),B2343),""))</f>
        <v>Date</v>
      </c>
      <c r="C2343" s="19" t="str">
        <f>IF(ISBLANK(A2343),"Name",IF(ISNA(VLOOKUP(A2343,'Master List'!A:C,2,FALSE)), "Not Found", VLOOKUP(A2343,'Master List'!A:C,2,FALSE)))</f>
        <v>Name</v>
      </c>
      <c r="D2343" s="19" t="str">
        <f>IF(ISBLANK(A2343), "Email",IF(ISNA(VLOOKUP(A2343,'Master List'!A:C,3,FALSE)), "Not Found", VLOOKUP(A2343,'Master List'!A:C,3,FALSE)))</f>
        <v>Email</v>
      </c>
      <c r="F2343" s="4" t="str">
        <f>IF(OR(A2343="",E2343="","",A2343="?",E2343="?"),"duplicate?",IF(COUNTIFS($A:A,A2343,E:E,E2343)&gt;1,"yes","no"))</f>
        <v>duplicate?</v>
      </c>
      <c r="K2343" s="97" t="str">
        <f ca="1">IF(J2343="","Date",IF(J2343&lt;&gt;"",IF(K2343="Date",NOW(),K2343),""))</f>
        <v>Date</v>
      </c>
    </row>
    <row r="2344" spans="2:11">
      <c r="B2344" s="97" t="str">
        <f ca="1">IF(A2344="","Date",IF(A2344&lt;&gt;"",IF(B2344="Date",NOW(),B2344),""))</f>
        <v>Date</v>
      </c>
      <c r="C2344" s="19" t="str">
        <f>IF(ISBLANK(A2344),"Name",IF(ISNA(VLOOKUP(A2344,'Master List'!A:C,2,FALSE)), "Not Found", VLOOKUP(A2344,'Master List'!A:C,2,FALSE)))</f>
        <v>Name</v>
      </c>
      <c r="D2344" s="19" t="str">
        <f>IF(ISBLANK(A2344), "Email",IF(ISNA(VLOOKUP(A2344,'Master List'!A:C,3,FALSE)), "Not Found", VLOOKUP(A2344,'Master List'!A:C,3,FALSE)))</f>
        <v>Email</v>
      </c>
      <c r="F2344" s="4" t="str">
        <f>IF(OR(A2344="",E2344="","",A2344="?",E2344="?"),"duplicate?",IF(COUNTIFS($A:A,A2344,E:E,E2344)&gt;1,"yes","no"))</f>
        <v>duplicate?</v>
      </c>
      <c r="K2344" s="97" t="str">
        <f ca="1">IF(J2344="","Date",IF(J2344&lt;&gt;"",IF(K2344="Date",NOW(),K2344),""))</f>
        <v>Date</v>
      </c>
    </row>
    <row r="2345" spans="2:11">
      <c r="B2345" s="97" t="str">
        <f ca="1">IF(A2345="","Date",IF(A2345&lt;&gt;"",IF(B2345="Date",NOW(),B2345),""))</f>
        <v>Date</v>
      </c>
      <c r="C2345" s="19" t="str">
        <f>IF(ISBLANK(A2345),"Name",IF(ISNA(VLOOKUP(A2345,'Master List'!A:C,2,FALSE)), "Not Found", VLOOKUP(A2345,'Master List'!A:C,2,FALSE)))</f>
        <v>Name</v>
      </c>
      <c r="D2345" s="19" t="str">
        <f>IF(ISBLANK(A2345), "Email",IF(ISNA(VLOOKUP(A2345,'Master List'!A:C,3,FALSE)), "Not Found", VLOOKUP(A2345,'Master List'!A:C,3,FALSE)))</f>
        <v>Email</v>
      </c>
      <c r="F2345" s="4" t="str">
        <f>IF(OR(A2345="",E2345="","",A2345="?",E2345="?"),"duplicate?",IF(COUNTIFS($A:A,A2345,E:E,E2345)&gt;1,"yes","no"))</f>
        <v>duplicate?</v>
      </c>
      <c r="K2345" s="97" t="str">
        <f ca="1">IF(J2345="","Date",IF(J2345&lt;&gt;"",IF(K2345="Date",NOW(),K2345),""))</f>
        <v>Date</v>
      </c>
    </row>
    <row r="2346" spans="2:11">
      <c r="B2346" s="97" t="str">
        <f ca="1">IF(A2346="","Date",IF(A2346&lt;&gt;"",IF(B2346="Date",NOW(),B2346),""))</f>
        <v>Date</v>
      </c>
      <c r="C2346" s="19" t="str">
        <f>IF(ISBLANK(A2346),"Name",IF(ISNA(VLOOKUP(A2346,'Master List'!A:C,2,FALSE)), "Not Found", VLOOKUP(A2346,'Master List'!A:C,2,FALSE)))</f>
        <v>Name</v>
      </c>
      <c r="D2346" s="19" t="str">
        <f>IF(ISBLANK(A2346), "Email",IF(ISNA(VLOOKUP(A2346,'Master List'!A:C,3,FALSE)), "Not Found", VLOOKUP(A2346,'Master List'!A:C,3,FALSE)))</f>
        <v>Email</v>
      </c>
      <c r="F2346" s="4" t="str">
        <f>IF(OR(A2346="",E2346="","",A2346="?",E2346="?"),"duplicate?",IF(COUNTIFS($A:A,A2346,E:E,E2346)&gt;1,"yes","no"))</f>
        <v>duplicate?</v>
      </c>
      <c r="K2346" s="97" t="str">
        <f ca="1">IF(J2346="","Date",IF(J2346&lt;&gt;"",IF(K2346="Date",NOW(),K2346),""))</f>
        <v>Date</v>
      </c>
    </row>
    <row r="2347" spans="2:11">
      <c r="B2347" s="97" t="str">
        <f ca="1">IF(A2347="","Date",IF(A2347&lt;&gt;"",IF(B2347="Date",NOW(),B2347),""))</f>
        <v>Date</v>
      </c>
      <c r="C2347" s="19" t="str">
        <f>IF(ISBLANK(A2347),"Name",IF(ISNA(VLOOKUP(A2347,'Master List'!A:C,2,FALSE)), "Not Found", VLOOKUP(A2347,'Master List'!A:C,2,FALSE)))</f>
        <v>Name</v>
      </c>
      <c r="D2347" s="19" t="str">
        <f>IF(ISBLANK(A2347), "Email",IF(ISNA(VLOOKUP(A2347,'Master List'!A:C,3,FALSE)), "Not Found", VLOOKUP(A2347,'Master List'!A:C,3,FALSE)))</f>
        <v>Email</v>
      </c>
      <c r="F2347" s="4" t="str">
        <f>IF(OR(A2347="",E2347="","",A2347="?",E2347="?"),"duplicate?",IF(COUNTIFS($A:A,A2347,E:E,E2347)&gt;1,"yes","no"))</f>
        <v>duplicate?</v>
      </c>
      <c r="K2347" s="97" t="str">
        <f ca="1">IF(J2347="","Date",IF(J2347&lt;&gt;"",IF(K2347="Date",NOW(),K2347),""))</f>
        <v>Date</v>
      </c>
    </row>
    <row r="2348" spans="2:11">
      <c r="B2348" s="97" t="str">
        <f ca="1">IF(A2348="","Date",IF(A2348&lt;&gt;"",IF(B2348="Date",NOW(),B2348),""))</f>
        <v>Date</v>
      </c>
      <c r="C2348" s="19" t="str">
        <f>IF(ISBLANK(A2348),"Name",IF(ISNA(VLOOKUP(A2348,'Master List'!A:C,2,FALSE)), "Not Found", VLOOKUP(A2348,'Master List'!A:C,2,FALSE)))</f>
        <v>Name</v>
      </c>
      <c r="D2348" s="19" t="str">
        <f>IF(ISBLANK(A2348), "Email",IF(ISNA(VLOOKUP(A2348,'Master List'!A:C,3,FALSE)), "Not Found", VLOOKUP(A2348,'Master List'!A:C,3,FALSE)))</f>
        <v>Email</v>
      </c>
      <c r="F2348" s="4" t="str">
        <f>IF(OR(A2348="",E2348="","",A2348="?",E2348="?"),"duplicate?",IF(COUNTIFS($A:A,A2348,E:E,E2348)&gt;1,"yes","no"))</f>
        <v>duplicate?</v>
      </c>
      <c r="K2348" s="97" t="str">
        <f ca="1">IF(J2348="","Date",IF(J2348&lt;&gt;"",IF(K2348="Date",NOW(),K2348),""))</f>
        <v>Date</v>
      </c>
    </row>
    <row r="2349" spans="2:11">
      <c r="B2349" s="97" t="str">
        <f ca="1">IF(A2349="","Date",IF(A2349&lt;&gt;"",IF(B2349="Date",NOW(),B2349),""))</f>
        <v>Date</v>
      </c>
      <c r="C2349" s="19" t="str">
        <f>IF(ISBLANK(A2349),"Name",IF(ISNA(VLOOKUP(A2349,'Master List'!A:C,2,FALSE)), "Not Found", VLOOKUP(A2349,'Master List'!A:C,2,FALSE)))</f>
        <v>Name</v>
      </c>
      <c r="D2349" s="19" t="str">
        <f>IF(ISBLANK(A2349), "Email",IF(ISNA(VLOOKUP(A2349,'Master List'!A:C,3,FALSE)), "Not Found", VLOOKUP(A2349,'Master List'!A:C,3,FALSE)))</f>
        <v>Email</v>
      </c>
      <c r="F2349" s="4" t="str">
        <f>IF(OR(A2349="",E2349="","",A2349="?",E2349="?"),"duplicate?",IF(COUNTIFS($A:A,A2349,E:E,E2349)&gt;1,"yes","no"))</f>
        <v>duplicate?</v>
      </c>
      <c r="K2349" s="97" t="str">
        <f ca="1">IF(J2349="","Date",IF(J2349&lt;&gt;"",IF(K2349="Date",NOW(),K2349),""))</f>
        <v>Date</v>
      </c>
    </row>
    <row r="2350" spans="2:11">
      <c r="B2350" s="97" t="str">
        <f ca="1">IF(A2350="","Date",IF(A2350&lt;&gt;"",IF(B2350="Date",NOW(),B2350),""))</f>
        <v>Date</v>
      </c>
      <c r="C2350" s="19" t="str">
        <f>IF(ISBLANK(A2350),"Name",IF(ISNA(VLOOKUP(A2350,'Master List'!A:C,2,FALSE)), "Not Found", VLOOKUP(A2350,'Master List'!A:C,2,FALSE)))</f>
        <v>Name</v>
      </c>
      <c r="D2350" s="19" t="str">
        <f>IF(ISBLANK(A2350), "Email",IF(ISNA(VLOOKUP(A2350,'Master List'!A:C,3,FALSE)), "Not Found", VLOOKUP(A2350,'Master List'!A:C,3,FALSE)))</f>
        <v>Email</v>
      </c>
      <c r="F2350" s="4" t="str">
        <f>IF(OR(A2350="",E2350="","",A2350="?",E2350="?"),"duplicate?",IF(COUNTIFS($A:A,A2350,E:E,E2350)&gt;1,"yes","no"))</f>
        <v>duplicate?</v>
      </c>
      <c r="K2350" s="97" t="str">
        <f ca="1">IF(J2350="","Date",IF(J2350&lt;&gt;"",IF(K2350="Date",NOW(),K2350),""))</f>
        <v>Date</v>
      </c>
    </row>
    <row r="2351" spans="2:11">
      <c r="B2351" s="97" t="str">
        <f ca="1">IF(A2351="","Date",IF(A2351&lt;&gt;"",IF(B2351="Date",NOW(),B2351),""))</f>
        <v>Date</v>
      </c>
      <c r="C2351" s="19" t="str">
        <f>IF(ISBLANK(A2351),"Name",IF(ISNA(VLOOKUP(A2351,'Master List'!A:C,2,FALSE)), "Not Found", VLOOKUP(A2351,'Master List'!A:C,2,FALSE)))</f>
        <v>Name</v>
      </c>
      <c r="D2351" s="19" t="str">
        <f>IF(ISBLANK(A2351), "Email",IF(ISNA(VLOOKUP(A2351,'Master List'!A:C,3,FALSE)), "Not Found", VLOOKUP(A2351,'Master List'!A:C,3,FALSE)))</f>
        <v>Email</v>
      </c>
      <c r="F2351" s="4" t="str">
        <f>IF(OR(A2351="",E2351="","",A2351="?",E2351="?"),"duplicate?",IF(COUNTIFS($A:A,A2351,E:E,E2351)&gt;1,"yes","no"))</f>
        <v>duplicate?</v>
      </c>
      <c r="K2351" s="97" t="str">
        <f ca="1">IF(J2351="","Date",IF(J2351&lt;&gt;"",IF(K2351="Date",NOW(),K2351),""))</f>
        <v>Date</v>
      </c>
    </row>
    <row r="2352" spans="2:11">
      <c r="B2352" s="97" t="str">
        <f ca="1">IF(A2352="","Date",IF(A2352&lt;&gt;"",IF(B2352="Date",NOW(),B2352),""))</f>
        <v>Date</v>
      </c>
      <c r="C2352" s="19" t="str">
        <f>IF(ISBLANK(A2352),"Name",IF(ISNA(VLOOKUP(A2352,'Master List'!A:C,2,FALSE)), "Not Found", VLOOKUP(A2352,'Master List'!A:C,2,FALSE)))</f>
        <v>Name</v>
      </c>
      <c r="D2352" s="19" t="str">
        <f>IF(ISBLANK(A2352), "Email",IF(ISNA(VLOOKUP(A2352,'Master List'!A:C,3,FALSE)), "Not Found", VLOOKUP(A2352,'Master List'!A:C,3,FALSE)))</f>
        <v>Email</v>
      </c>
      <c r="F2352" s="4" t="str">
        <f>IF(OR(A2352="",E2352="","",A2352="?",E2352="?"),"duplicate?",IF(COUNTIFS($A:A,A2352,E:E,E2352)&gt;1,"yes","no"))</f>
        <v>duplicate?</v>
      </c>
      <c r="K2352" s="97" t="str">
        <f ca="1">IF(J2352="","Date",IF(J2352&lt;&gt;"",IF(K2352="Date",NOW(),K2352),""))</f>
        <v>Date</v>
      </c>
    </row>
    <row r="2353" spans="2:11">
      <c r="B2353" s="97" t="str">
        <f ca="1">IF(A2353="","Date",IF(A2353&lt;&gt;"",IF(B2353="Date",NOW(),B2353),""))</f>
        <v>Date</v>
      </c>
      <c r="C2353" s="19" t="str">
        <f>IF(ISBLANK(A2353),"Name",IF(ISNA(VLOOKUP(A2353,'Master List'!A:C,2,FALSE)), "Not Found", VLOOKUP(A2353,'Master List'!A:C,2,FALSE)))</f>
        <v>Name</v>
      </c>
      <c r="D2353" s="19" t="str">
        <f>IF(ISBLANK(A2353), "Email",IF(ISNA(VLOOKUP(A2353,'Master List'!A:C,3,FALSE)), "Not Found", VLOOKUP(A2353,'Master List'!A:C,3,FALSE)))</f>
        <v>Email</v>
      </c>
      <c r="F2353" s="4" t="str">
        <f>IF(OR(A2353="",E2353="","",A2353="?",E2353="?"),"duplicate?",IF(COUNTIFS($A:A,A2353,E:E,E2353)&gt;1,"yes","no"))</f>
        <v>duplicate?</v>
      </c>
      <c r="K2353" s="97" t="str">
        <f ca="1">IF(J2353="","Date",IF(J2353&lt;&gt;"",IF(K2353="Date",NOW(),K2353),""))</f>
        <v>Date</v>
      </c>
    </row>
    <row r="2354" spans="2:11">
      <c r="B2354" s="97" t="str">
        <f ca="1">IF(A2354="","Date",IF(A2354&lt;&gt;"",IF(B2354="Date",NOW(),B2354),""))</f>
        <v>Date</v>
      </c>
      <c r="C2354" s="19" t="str">
        <f>IF(ISBLANK(A2354),"Name",IF(ISNA(VLOOKUP(A2354,'Master List'!A:C,2,FALSE)), "Not Found", VLOOKUP(A2354,'Master List'!A:C,2,FALSE)))</f>
        <v>Name</v>
      </c>
      <c r="D2354" s="19" t="str">
        <f>IF(ISBLANK(A2354), "Email",IF(ISNA(VLOOKUP(A2354,'Master List'!A:C,3,FALSE)), "Not Found", VLOOKUP(A2354,'Master List'!A:C,3,FALSE)))</f>
        <v>Email</v>
      </c>
      <c r="F2354" s="4" t="str">
        <f>IF(OR(A2354="",E2354="","",A2354="?",E2354="?"),"duplicate?",IF(COUNTIFS($A:A,A2354,E:E,E2354)&gt;1,"yes","no"))</f>
        <v>duplicate?</v>
      </c>
      <c r="K2354" s="97" t="str">
        <f ca="1">IF(J2354="","Date",IF(J2354&lt;&gt;"",IF(K2354="Date",NOW(),K2354),""))</f>
        <v>Date</v>
      </c>
    </row>
    <row r="2355" spans="2:11">
      <c r="B2355" s="97" t="str">
        <f ca="1">IF(A2355="","Date",IF(A2355&lt;&gt;"",IF(B2355="Date",NOW(),B2355),""))</f>
        <v>Date</v>
      </c>
      <c r="C2355" s="19" t="str">
        <f>IF(ISBLANK(A2355),"Name",IF(ISNA(VLOOKUP(A2355,'Master List'!A:C,2,FALSE)), "Not Found", VLOOKUP(A2355,'Master List'!A:C,2,FALSE)))</f>
        <v>Name</v>
      </c>
      <c r="D2355" s="19" t="str">
        <f>IF(ISBLANK(A2355), "Email",IF(ISNA(VLOOKUP(A2355,'Master List'!A:C,3,FALSE)), "Not Found", VLOOKUP(A2355,'Master List'!A:C,3,FALSE)))</f>
        <v>Email</v>
      </c>
      <c r="F2355" s="4" t="str">
        <f>IF(OR(A2355="",E2355="","",A2355="?",E2355="?"),"duplicate?",IF(COUNTIFS($A:A,A2355,E:E,E2355)&gt;1,"yes","no"))</f>
        <v>duplicate?</v>
      </c>
      <c r="K2355" s="97" t="str">
        <f ca="1">IF(J2355="","Date",IF(J2355&lt;&gt;"",IF(K2355="Date",NOW(),K2355),""))</f>
        <v>Date</v>
      </c>
    </row>
    <row r="2356" spans="2:11">
      <c r="B2356" s="97" t="str">
        <f ca="1">IF(A2356="","Date",IF(A2356&lt;&gt;"",IF(B2356="Date",NOW(),B2356),""))</f>
        <v>Date</v>
      </c>
      <c r="C2356" s="19" t="str">
        <f>IF(ISBLANK(A2356),"Name",IF(ISNA(VLOOKUP(A2356,'Master List'!A:C,2,FALSE)), "Not Found", VLOOKUP(A2356,'Master List'!A:C,2,FALSE)))</f>
        <v>Name</v>
      </c>
      <c r="D2356" s="19" t="str">
        <f>IF(ISBLANK(A2356), "Email",IF(ISNA(VLOOKUP(A2356,'Master List'!A:C,3,FALSE)), "Not Found", VLOOKUP(A2356,'Master List'!A:C,3,FALSE)))</f>
        <v>Email</v>
      </c>
      <c r="F2356" s="4" t="str">
        <f>IF(OR(A2356="",E2356="","",A2356="?",E2356="?"),"duplicate?",IF(COUNTIFS($A:A,A2356,E:E,E2356)&gt;1,"yes","no"))</f>
        <v>duplicate?</v>
      </c>
      <c r="K2356" s="97" t="str">
        <f ca="1">IF(J2356="","Date",IF(J2356&lt;&gt;"",IF(K2356="Date",NOW(),K2356),""))</f>
        <v>Date</v>
      </c>
    </row>
    <row r="2357" spans="2:11">
      <c r="B2357" s="97" t="str">
        <f ca="1">IF(A2357="","Date",IF(A2357&lt;&gt;"",IF(B2357="Date",NOW(),B2357),""))</f>
        <v>Date</v>
      </c>
      <c r="C2357" s="19" t="str">
        <f>IF(ISBLANK(A2357),"Name",IF(ISNA(VLOOKUP(A2357,'Master List'!A:C,2,FALSE)), "Not Found", VLOOKUP(A2357,'Master List'!A:C,2,FALSE)))</f>
        <v>Name</v>
      </c>
      <c r="D2357" s="19" t="str">
        <f>IF(ISBLANK(A2357), "Email",IF(ISNA(VLOOKUP(A2357,'Master List'!A:C,3,FALSE)), "Not Found", VLOOKUP(A2357,'Master List'!A:C,3,FALSE)))</f>
        <v>Email</v>
      </c>
      <c r="F2357" s="4" t="str">
        <f>IF(OR(A2357="",E2357="","",A2357="?",E2357="?"),"duplicate?",IF(COUNTIFS($A:A,A2357,E:E,E2357)&gt;1,"yes","no"))</f>
        <v>duplicate?</v>
      </c>
      <c r="K2357" s="97" t="str">
        <f ca="1">IF(J2357="","Date",IF(J2357&lt;&gt;"",IF(K2357="Date",NOW(),K2357),""))</f>
        <v>Date</v>
      </c>
    </row>
    <row r="2358" spans="2:11">
      <c r="B2358" s="97" t="str">
        <f ca="1">IF(A2358="","Date",IF(A2358&lt;&gt;"",IF(B2358="Date",NOW(),B2358),""))</f>
        <v>Date</v>
      </c>
      <c r="C2358" s="19" t="str">
        <f>IF(ISBLANK(A2358),"Name",IF(ISNA(VLOOKUP(A2358,'Master List'!A:C,2,FALSE)), "Not Found", VLOOKUP(A2358,'Master List'!A:C,2,FALSE)))</f>
        <v>Name</v>
      </c>
      <c r="D2358" s="19" t="str">
        <f>IF(ISBLANK(A2358), "Email",IF(ISNA(VLOOKUP(A2358,'Master List'!A:C,3,FALSE)), "Not Found", VLOOKUP(A2358,'Master List'!A:C,3,FALSE)))</f>
        <v>Email</v>
      </c>
      <c r="F2358" s="4" t="str">
        <f>IF(OR(A2358="",E2358="","",A2358="?",E2358="?"),"duplicate?",IF(COUNTIFS($A:A,A2358,E:E,E2358)&gt;1,"yes","no"))</f>
        <v>duplicate?</v>
      </c>
      <c r="K2358" s="97" t="str">
        <f ca="1">IF(J2358="","Date",IF(J2358&lt;&gt;"",IF(K2358="Date",NOW(),K2358),""))</f>
        <v>Date</v>
      </c>
    </row>
    <row r="2359" spans="2:11">
      <c r="B2359" s="97" t="str">
        <f ca="1">IF(A2359="","Date",IF(A2359&lt;&gt;"",IF(B2359="Date",NOW(),B2359),""))</f>
        <v>Date</v>
      </c>
      <c r="C2359" s="19" t="str">
        <f>IF(ISBLANK(A2359),"Name",IF(ISNA(VLOOKUP(A2359,'Master List'!A:C,2,FALSE)), "Not Found", VLOOKUP(A2359,'Master List'!A:C,2,FALSE)))</f>
        <v>Name</v>
      </c>
      <c r="D2359" s="19" t="str">
        <f>IF(ISBLANK(A2359), "Email",IF(ISNA(VLOOKUP(A2359,'Master List'!A:C,3,FALSE)), "Not Found", VLOOKUP(A2359,'Master List'!A:C,3,FALSE)))</f>
        <v>Email</v>
      </c>
      <c r="F2359" s="4" t="str">
        <f>IF(OR(A2359="",E2359="","",A2359="?",E2359="?"),"duplicate?",IF(COUNTIFS($A:A,A2359,E:E,E2359)&gt;1,"yes","no"))</f>
        <v>duplicate?</v>
      </c>
      <c r="K2359" s="97" t="str">
        <f ca="1">IF(J2359="","Date",IF(J2359&lt;&gt;"",IF(K2359="Date",NOW(),K2359),""))</f>
        <v>Date</v>
      </c>
    </row>
    <row r="2360" spans="2:11">
      <c r="B2360" s="97" t="str">
        <f ca="1">IF(A2360="","Date",IF(A2360&lt;&gt;"",IF(B2360="Date",NOW(),B2360),""))</f>
        <v>Date</v>
      </c>
      <c r="C2360" s="19" t="str">
        <f>IF(ISBLANK(A2360),"Name",IF(ISNA(VLOOKUP(A2360,'Master List'!A:C,2,FALSE)), "Not Found", VLOOKUP(A2360,'Master List'!A:C,2,FALSE)))</f>
        <v>Name</v>
      </c>
      <c r="D2360" s="19" t="str">
        <f>IF(ISBLANK(A2360), "Email",IF(ISNA(VLOOKUP(A2360,'Master List'!A:C,3,FALSE)), "Not Found", VLOOKUP(A2360,'Master List'!A:C,3,FALSE)))</f>
        <v>Email</v>
      </c>
      <c r="F2360" s="4" t="str">
        <f>IF(OR(A2360="",E2360="","",A2360="?",E2360="?"),"duplicate?",IF(COUNTIFS($A:A,A2360,E:E,E2360)&gt;1,"yes","no"))</f>
        <v>duplicate?</v>
      </c>
      <c r="K2360" s="97" t="str">
        <f ca="1">IF(J2360="","Date",IF(J2360&lt;&gt;"",IF(K2360="Date",NOW(),K2360),""))</f>
        <v>Date</v>
      </c>
    </row>
    <row r="2361" spans="2:11">
      <c r="B2361" s="97" t="str">
        <f ca="1">IF(A2361="","Date",IF(A2361&lt;&gt;"",IF(B2361="Date",NOW(),B2361),""))</f>
        <v>Date</v>
      </c>
      <c r="C2361" s="19" t="str">
        <f>IF(ISBLANK(A2361),"Name",IF(ISNA(VLOOKUP(A2361,'Master List'!A:C,2,FALSE)), "Not Found", VLOOKUP(A2361,'Master List'!A:C,2,FALSE)))</f>
        <v>Name</v>
      </c>
      <c r="D2361" s="19" t="str">
        <f>IF(ISBLANK(A2361), "Email",IF(ISNA(VLOOKUP(A2361,'Master List'!A:C,3,FALSE)), "Not Found", VLOOKUP(A2361,'Master List'!A:C,3,FALSE)))</f>
        <v>Email</v>
      </c>
      <c r="F2361" s="4" t="str">
        <f>IF(OR(A2361="",E2361="","",A2361="?",E2361="?"),"duplicate?",IF(COUNTIFS($A:A,A2361,E:E,E2361)&gt;1,"yes","no"))</f>
        <v>duplicate?</v>
      </c>
      <c r="K2361" s="97" t="str">
        <f ca="1">IF(J2361="","Date",IF(J2361&lt;&gt;"",IF(K2361="Date",NOW(),K2361),""))</f>
        <v>Date</v>
      </c>
    </row>
    <row r="2362" spans="2:11">
      <c r="B2362" s="97" t="str">
        <f ca="1">IF(A2362="","Date",IF(A2362&lt;&gt;"",IF(B2362="Date",NOW(),B2362),""))</f>
        <v>Date</v>
      </c>
      <c r="C2362" s="19" t="str">
        <f>IF(ISBLANK(A2362),"Name",IF(ISNA(VLOOKUP(A2362,'Master List'!A:C,2,FALSE)), "Not Found", VLOOKUP(A2362,'Master List'!A:C,2,FALSE)))</f>
        <v>Name</v>
      </c>
      <c r="D2362" s="19" t="str">
        <f>IF(ISBLANK(A2362), "Email",IF(ISNA(VLOOKUP(A2362,'Master List'!A:C,3,FALSE)), "Not Found", VLOOKUP(A2362,'Master List'!A:C,3,FALSE)))</f>
        <v>Email</v>
      </c>
      <c r="F2362" s="4" t="str">
        <f>IF(OR(A2362="",E2362="","",A2362="?",E2362="?"),"duplicate?",IF(COUNTIFS($A:A,A2362,E:E,E2362)&gt;1,"yes","no"))</f>
        <v>duplicate?</v>
      </c>
      <c r="K2362" s="97" t="str">
        <f ca="1">IF(J2362="","Date",IF(J2362&lt;&gt;"",IF(K2362="Date",NOW(),K2362),""))</f>
        <v>Date</v>
      </c>
    </row>
    <row r="2363" spans="2:11">
      <c r="B2363" s="97" t="str">
        <f ca="1">IF(A2363="","Date",IF(A2363&lt;&gt;"",IF(B2363="Date",NOW(),B2363),""))</f>
        <v>Date</v>
      </c>
      <c r="C2363" s="19" t="str">
        <f>IF(ISBLANK(A2363),"Name",IF(ISNA(VLOOKUP(A2363,'Master List'!A:C,2,FALSE)), "Not Found", VLOOKUP(A2363,'Master List'!A:C,2,FALSE)))</f>
        <v>Name</v>
      </c>
      <c r="D2363" s="19" t="str">
        <f>IF(ISBLANK(A2363), "Email",IF(ISNA(VLOOKUP(A2363,'Master List'!A:C,3,FALSE)), "Not Found", VLOOKUP(A2363,'Master List'!A:C,3,FALSE)))</f>
        <v>Email</v>
      </c>
      <c r="F2363" s="4" t="str">
        <f>IF(OR(A2363="",E2363="","",A2363="?",E2363="?"),"duplicate?",IF(COUNTIFS($A:A,A2363,E:E,E2363)&gt;1,"yes","no"))</f>
        <v>duplicate?</v>
      </c>
      <c r="K2363" s="97" t="str">
        <f ca="1">IF(J2363="","Date",IF(J2363&lt;&gt;"",IF(K2363="Date",NOW(),K2363),""))</f>
        <v>Date</v>
      </c>
    </row>
    <row r="2364" spans="2:11">
      <c r="B2364" s="97" t="str">
        <f ca="1">IF(A2364="","Date",IF(A2364&lt;&gt;"",IF(B2364="Date",NOW(),B2364),""))</f>
        <v>Date</v>
      </c>
      <c r="C2364" s="19" t="str">
        <f>IF(ISBLANK(A2364),"Name",IF(ISNA(VLOOKUP(A2364,'Master List'!A:C,2,FALSE)), "Not Found", VLOOKUP(A2364,'Master List'!A:C,2,FALSE)))</f>
        <v>Name</v>
      </c>
      <c r="D2364" s="19" t="str">
        <f>IF(ISBLANK(A2364), "Email",IF(ISNA(VLOOKUP(A2364,'Master List'!A:C,3,FALSE)), "Not Found", VLOOKUP(A2364,'Master List'!A:C,3,FALSE)))</f>
        <v>Email</v>
      </c>
      <c r="F2364" s="4" t="str">
        <f>IF(OR(A2364="",E2364="","",A2364="?",E2364="?"),"duplicate?",IF(COUNTIFS($A:A,A2364,E:E,E2364)&gt;1,"yes","no"))</f>
        <v>duplicate?</v>
      </c>
      <c r="K2364" s="97" t="str">
        <f ca="1">IF(J2364="","Date",IF(J2364&lt;&gt;"",IF(K2364="Date",NOW(),K2364),""))</f>
        <v>Date</v>
      </c>
    </row>
    <row r="2365" spans="2:11">
      <c r="B2365" s="97" t="str">
        <f ca="1">IF(A2365="","Date",IF(A2365&lt;&gt;"",IF(B2365="Date",NOW(),B2365),""))</f>
        <v>Date</v>
      </c>
      <c r="C2365" s="19" t="str">
        <f>IF(ISBLANK(A2365),"Name",IF(ISNA(VLOOKUP(A2365,'Master List'!A:C,2,FALSE)), "Not Found", VLOOKUP(A2365,'Master List'!A:C,2,FALSE)))</f>
        <v>Name</v>
      </c>
      <c r="D2365" s="19" t="str">
        <f>IF(ISBLANK(A2365), "Email",IF(ISNA(VLOOKUP(A2365,'Master List'!A:C,3,FALSE)), "Not Found", VLOOKUP(A2365,'Master List'!A:C,3,FALSE)))</f>
        <v>Email</v>
      </c>
      <c r="F2365" s="4" t="str">
        <f>IF(OR(A2365="",E2365="","",A2365="?",E2365="?"),"duplicate?",IF(COUNTIFS($A:A,A2365,E:E,E2365)&gt;1,"yes","no"))</f>
        <v>duplicate?</v>
      </c>
      <c r="K2365" s="97" t="str">
        <f ca="1">IF(J2365="","Date",IF(J2365&lt;&gt;"",IF(K2365="Date",NOW(),K2365),""))</f>
        <v>Date</v>
      </c>
    </row>
    <row r="2366" spans="2:11">
      <c r="B2366" s="97" t="str">
        <f ca="1">IF(A2366="","Date",IF(A2366&lt;&gt;"",IF(B2366="Date",NOW(),B2366),""))</f>
        <v>Date</v>
      </c>
      <c r="C2366" s="19" t="str">
        <f>IF(ISBLANK(A2366),"Name",IF(ISNA(VLOOKUP(A2366,'Master List'!A:C,2,FALSE)), "Not Found", VLOOKUP(A2366,'Master List'!A:C,2,FALSE)))</f>
        <v>Name</v>
      </c>
      <c r="D2366" s="19" t="str">
        <f>IF(ISBLANK(A2366), "Email",IF(ISNA(VLOOKUP(A2366,'Master List'!A:C,3,FALSE)), "Not Found", VLOOKUP(A2366,'Master List'!A:C,3,FALSE)))</f>
        <v>Email</v>
      </c>
      <c r="F2366" s="4" t="str">
        <f>IF(OR(A2366="",E2366="","",A2366="?",E2366="?"),"duplicate?",IF(COUNTIFS($A:A,A2366,E:E,E2366)&gt;1,"yes","no"))</f>
        <v>duplicate?</v>
      </c>
      <c r="K2366" s="97" t="str">
        <f ca="1">IF(J2366="","Date",IF(J2366&lt;&gt;"",IF(K2366="Date",NOW(),K2366),""))</f>
        <v>Date</v>
      </c>
    </row>
    <row r="2367" spans="2:11">
      <c r="B2367" s="97" t="str">
        <f ca="1">IF(A2367="","Date",IF(A2367&lt;&gt;"",IF(B2367="Date",NOW(),B2367),""))</f>
        <v>Date</v>
      </c>
      <c r="C2367" s="19" t="str">
        <f>IF(ISBLANK(A2367),"Name",IF(ISNA(VLOOKUP(A2367,'Master List'!A:C,2,FALSE)), "Not Found", VLOOKUP(A2367,'Master List'!A:C,2,FALSE)))</f>
        <v>Name</v>
      </c>
      <c r="D2367" s="19" t="str">
        <f>IF(ISBLANK(A2367), "Email",IF(ISNA(VLOOKUP(A2367,'Master List'!A:C,3,FALSE)), "Not Found", VLOOKUP(A2367,'Master List'!A:C,3,FALSE)))</f>
        <v>Email</v>
      </c>
      <c r="F2367" s="4" t="str">
        <f>IF(OR(A2367="",E2367="","",A2367="?",E2367="?"),"duplicate?",IF(COUNTIFS($A:A,A2367,E:E,E2367)&gt;1,"yes","no"))</f>
        <v>duplicate?</v>
      </c>
      <c r="K2367" s="97" t="str">
        <f ca="1">IF(J2367="","Date",IF(J2367&lt;&gt;"",IF(K2367="Date",NOW(),K2367),""))</f>
        <v>Date</v>
      </c>
    </row>
    <row r="2368" spans="2:11">
      <c r="B2368" s="97" t="str">
        <f ca="1">IF(A2368="","Date",IF(A2368&lt;&gt;"",IF(B2368="Date",NOW(),B2368),""))</f>
        <v>Date</v>
      </c>
      <c r="C2368" s="19" t="str">
        <f>IF(ISBLANK(A2368),"Name",IF(ISNA(VLOOKUP(A2368,'Master List'!A:C,2,FALSE)), "Not Found", VLOOKUP(A2368,'Master List'!A:C,2,FALSE)))</f>
        <v>Name</v>
      </c>
      <c r="D2368" s="19" t="str">
        <f>IF(ISBLANK(A2368), "Email",IF(ISNA(VLOOKUP(A2368,'Master List'!A:C,3,FALSE)), "Not Found", VLOOKUP(A2368,'Master List'!A:C,3,FALSE)))</f>
        <v>Email</v>
      </c>
      <c r="F2368" s="4" t="str">
        <f>IF(OR(A2368="",E2368="","",A2368="?",E2368="?"),"duplicate?",IF(COUNTIFS($A:A,A2368,E:E,E2368)&gt;1,"yes","no"))</f>
        <v>duplicate?</v>
      </c>
      <c r="K2368" s="97" t="str">
        <f ca="1">IF(J2368="","Date",IF(J2368&lt;&gt;"",IF(K2368="Date",NOW(),K2368),""))</f>
        <v>Date</v>
      </c>
    </row>
    <row r="2369" spans="2:11">
      <c r="B2369" s="97" t="str">
        <f ca="1">IF(A2369="","Date",IF(A2369&lt;&gt;"",IF(B2369="Date",NOW(),B2369),""))</f>
        <v>Date</v>
      </c>
      <c r="C2369" s="19" t="str">
        <f>IF(ISBLANK(A2369),"Name",IF(ISNA(VLOOKUP(A2369,'Master List'!A:C,2,FALSE)), "Not Found", VLOOKUP(A2369,'Master List'!A:C,2,FALSE)))</f>
        <v>Name</v>
      </c>
      <c r="D2369" s="19" t="str">
        <f>IF(ISBLANK(A2369), "Email",IF(ISNA(VLOOKUP(A2369,'Master List'!A:C,3,FALSE)), "Not Found", VLOOKUP(A2369,'Master List'!A:C,3,FALSE)))</f>
        <v>Email</v>
      </c>
      <c r="F2369" s="4" t="str">
        <f>IF(OR(A2369="",E2369="","",A2369="?",E2369="?"),"duplicate?",IF(COUNTIFS($A:A,A2369,E:E,E2369)&gt;1,"yes","no"))</f>
        <v>duplicate?</v>
      </c>
      <c r="K2369" s="97" t="str">
        <f ca="1">IF(J2369="","Date",IF(J2369&lt;&gt;"",IF(K2369="Date",NOW(),K2369),""))</f>
        <v>Date</v>
      </c>
    </row>
    <row r="2370" spans="2:11">
      <c r="B2370" s="97" t="str">
        <f ca="1">IF(A2370="","Date",IF(A2370&lt;&gt;"",IF(B2370="Date",NOW(),B2370),""))</f>
        <v>Date</v>
      </c>
      <c r="C2370" s="19" t="str">
        <f>IF(ISBLANK(A2370),"Name",IF(ISNA(VLOOKUP(A2370,'Master List'!A:C,2,FALSE)), "Not Found", VLOOKUP(A2370,'Master List'!A:C,2,FALSE)))</f>
        <v>Name</v>
      </c>
      <c r="D2370" s="19" t="str">
        <f>IF(ISBLANK(A2370), "Email",IF(ISNA(VLOOKUP(A2370,'Master List'!A:C,3,FALSE)), "Not Found", VLOOKUP(A2370,'Master List'!A:C,3,FALSE)))</f>
        <v>Email</v>
      </c>
      <c r="F2370" s="4" t="str">
        <f>IF(OR(A2370="",E2370="","",A2370="?",E2370="?"),"duplicate?",IF(COUNTIFS($A:A,A2370,E:E,E2370)&gt;1,"yes","no"))</f>
        <v>duplicate?</v>
      </c>
      <c r="K2370" s="97" t="str">
        <f ca="1">IF(J2370="","Date",IF(J2370&lt;&gt;"",IF(K2370="Date",NOW(),K2370),""))</f>
        <v>Date</v>
      </c>
    </row>
    <row r="2371" spans="2:11">
      <c r="B2371" s="97" t="str">
        <f ca="1">IF(A2371="","Date",IF(A2371&lt;&gt;"",IF(B2371="Date",NOW(),B2371),""))</f>
        <v>Date</v>
      </c>
      <c r="C2371" s="19" t="str">
        <f>IF(ISBLANK(A2371),"Name",IF(ISNA(VLOOKUP(A2371,'Master List'!A:C,2,FALSE)), "Not Found", VLOOKUP(A2371,'Master List'!A:C,2,FALSE)))</f>
        <v>Name</v>
      </c>
      <c r="D2371" s="19" t="str">
        <f>IF(ISBLANK(A2371), "Email",IF(ISNA(VLOOKUP(A2371,'Master List'!A:C,3,FALSE)), "Not Found", VLOOKUP(A2371,'Master List'!A:C,3,FALSE)))</f>
        <v>Email</v>
      </c>
      <c r="F2371" s="4" t="str">
        <f>IF(OR(A2371="",E2371="","",A2371="?",E2371="?"),"duplicate?",IF(COUNTIFS($A:A,A2371,E:E,E2371)&gt;1,"yes","no"))</f>
        <v>duplicate?</v>
      </c>
      <c r="K2371" s="97" t="str">
        <f ca="1">IF(J2371="","Date",IF(J2371&lt;&gt;"",IF(K2371="Date",NOW(),K2371),""))</f>
        <v>Date</v>
      </c>
    </row>
    <row r="2372" spans="2:11">
      <c r="B2372" s="97" t="str">
        <f ca="1">IF(A2372="","Date",IF(A2372&lt;&gt;"",IF(B2372="Date",NOW(),B2372),""))</f>
        <v>Date</v>
      </c>
      <c r="C2372" s="19" t="str">
        <f>IF(ISBLANK(A2372),"Name",IF(ISNA(VLOOKUP(A2372,'Master List'!A:C,2,FALSE)), "Not Found", VLOOKUP(A2372,'Master List'!A:C,2,FALSE)))</f>
        <v>Name</v>
      </c>
      <c r="D2372" s="19" t="str">
        <f>IF(ISBLANK(A2372), "Email",IF(ISNA(VLOOKUP(A2372,'Master List'!A:C,3,FALSE)), "Not Found", VLOOKUP(A2372,'Master List'!A:C,3,FALSE)))</f>
        <v>Email</v>
      </c>
      <c r="F2372" s="4" t="str">
        <f>IF(OR(A2372="",E2372="","",A2372="?",E2372="?"),"duplicate?",IF(COUNTIFS($A:A,A2372,E:E,E2372)&gt;1,"yes","no"))</f>
        <v>duplicate?</v>
      </c>
      <c r="K2372" s="97" t="str">
        <f ca="1">IF(J2372="","Date",IF(J2372&lt;&gt;"",IF(K2372="Date",NOW(),K2372),""))</f>
        <v>Date</v>
      </c>
    </row>
    <row r="2373" spans="2:11">
      <c r="B2373" s="97" t="str">
        <f ca="1">IF(A2373="","Date",IF(A2373&lt;&gt;"",IF(B2373="Date",NOW(),B2373),""))</f>
        <v>Date</v>
      </c>
      <c r="C2373" s="19" t="str">
        <f>IF(ISBLANK(A2373),"Name",IF(ISNA(VLOOKUP(A2373,'Master List'!A:C,2,FALSE)), "Not Found", VLOOKUP(A2373,'Master List'!A:C,2,FALSE)))</f>
        <v>Name</v>
      </c>
      <c r="D2373" s="19" t="str">
        <f>IF(ISBLANK(A2373), "Email",IF(ISNA(VLOOKUP(A2373,'Master List'!A:C,3,FALSE)), "Not Found", VLOOKUP(A2373,'Master List'!A:C,3,FALSE)))</f>
        <v>Email</v>
      </c>
      <c r="F2373" s="4" t="str">
        <f>IF(OR(A2373="",E2373="","",A2373="?",E2373="?"),"duplicate?",IF(COUNTIFS($A:A,A2373,E:E,E2373)&gt;1,"yes","no"))</f>
        <v>duplicate?</v>
      </c>
      <c r="K2373" s="97" t="str">
        <f ca="1">IF(J2373="","Date",IF(J2373&lt;&gt;"",IF(K2373="Date",NOW(),K2373),""))</f>
        <v>Date</v>
      </c>
    </row>
    <row r="2374" spans="2:11">
      <c r="B2374" s="97" t="str">
        <f ca="1">IF(A2374="","Date",IF(A2374&lt;&gt;"",IF(B2374="Date",NOW(),B2374),""))</f>
        <v>Date</v>
      </c>
      <c r="C2374" s="19" t="str">
        <f>IF(ISBLANK(A2374),"Name",IF(ISNA(VLOOKUP(A2374,'Master List'!A:C,2,FALSE)), "Not Found", VLOOKUP(A2374,'Master List'!A:C,2,FALSE)))</f>
        <v>Name</v>
      </c>
      <c r="D2374" s="19" t="str">
        <f>IF(ISBLANK(A2374), "Email",IF(ISNA(VLOOKUP(A2374,'Master List'!A:C,3,FALSE)), "Not Found", VLOOKUP(A2374,'Master List'!A:C,3,FALSE)))</f>
        <v>Email</v>
      </c>
      <c r="F2374" s="4" t="str">
        <f>IF(OR(A2374="",E2374="","",A2374="?",E2374="?"),"duplicate?",IF(COUNTIFS($A:A,A2374,E:E,E2374)&gt;1,"yes","no"))</f>
        <v>duplicate?</v>
      </c>
      <c r="K2374" s="97" t="str">
        <f ca="1">IF(J2374="","Date",IF(J2374&lt;&gt;"",IF(K2374="Date",NOW(),K2374),""))</f>
        <v>Date</v>
      </c>
    </row>
    <row r="2375" spans="2:11">
      <c r="B2375" s="97" t="str">
        <f ca="1">IF(A2375="","Date",IF(A2375&lt;&gt;"",IF(B2375="Date",NOW(),B2375),""))</f>
        <v>Date</v>
      </c>
      <c r="C2375" s="19" t="str">
        <f>IF(ISBLANK(A2375),"Name",IF(ISNA(VLOOKUP(A2375,'Master List'!A:C,2,FALSE)), "Not Found", VLOOKUP(A2375,'Master List'!A:C,2,FALSE)))</f>
        <v>Name</v>
      </c>
      <c r="D2375" s="19" t="str">
        <f>IF(ISBLANK(A2375), "Email",IF(ISNA(VLOOKUP(A2375,'Master List'!A:C,3,FALSE)), "Not Found", VLOOKUP(A2375,'Master List'!A:C,3,FALSE)))</f>
        <v>Email</v>
      </c>
      <c r="F2375" s="4" t="str">
        <f>IF(OR(A2375="",E2375="","",A2375="?",E2375="?"),"duplicate?",IF(COUNTIFS($A:A,A2375,E:E,E2375)&gt;1,"yes","no"))</f>
        <v>duplicate?</v>
      </c>
      <c r="K2375" s="97" t="str">
        <f ca="1">IF(J2375="","Date",IF(J2375&lt;&gt;"",IF(K2375="Date",NOW(),K2375),""))</f>
        <v>Date</v>
      </c>
    </row>
    <row r="2376" spans="2:11">
      <c r="B2376" s="97" t="str">
        <f ca="1">IF(A2376="","Date",IF(A2376&lt;&gt;"",IF(B2376="Date",NOW(),B2376),""))</f>
        <v>Date</v>
      </c>
      <c r="C2376" s="19" t="str">
        <f>IF(ISBLANK(A2376),"Name",IF(ISNA(VLOOKUP(A2376,'Master List'!A:C,2,FALSE)), "Not Found", VLOOKUP(A2376,'Master List'!A:C,2,FALSE)))</f>
        <v>Name</v>
      </c>
      <c r="D2376" s="19" t="str">
        <f>IF(ISBLANK(A2376), "Email",IF(ISNA(VLOOKUP(A2376,'Master List'!A:C,3,FALSE)), "Not Found", VLOOKUP(A2376,'Master List'!A:C,3,FALSE)))</f>
        <v>Email</v>
      </c>
      <c r="F2376" s="4" t="str">
        <f>IF(OR(A2376="",E2376="","",A2376="?",E2376="?"),"duplicate?",IF(COUNTIFS($A:A,A2376,E:E,E2376)&gt;1,"yes","no"))</f>
        <v>duplicate?</v>
      </c>
      <c r="K2376" s="97" t="str">
        <f ca="1">IF(J2376="","Date",IF(J2376&lt;&gt;"",IF(K2376="Date",NOW(),K2376),""))</f>
        <v>Date</v>
      </c>
    </row>
    <row r="2377" spans="2:11">
      <c r="B2377" s="97" t="str">
        <f ca="1">IF(A2377="","Date",IF(A2377&lt;&gt;"",IF(B2377="Date",NOW(),B2377),""))</f>
        <v>Date</v>
      </c>
      <c r="C2377" s="19" t="str">
        <f>IF(ISBLANK(A2377),"Name",IF(ISNA(VLOOKUP(A2377,'Master List'!A:C,2,FALSE)), "Not Found", VLOOKUP(A2377,'Master List'!A:C,2,FALSE)))</f>
        <v>Name</v>
      </c>
      <c r="D2377" s="19" t="str">
        <f>IF(ISBLANK(A2377), "Email",IF(ISNA(VLOOKUP(A2377,'Master List'!A:C,3,FALSE)), "Not Found", VLOOKUP(A2377,'Master List'!A:C,3,FALSE)))</f>
        <v>Email</v>
      </c>
      <c r="F2377" s="4" t="str">
        <f>IF(OR(A2377="",E2377="","",A2377="?",E2377="?"),"duplicate?",IF(COUNTIFS($A:A,A2377,E:E,E2377)&gt;1,"yes","no"))</f>
        <v>duplicate?</v>
      </c>
      <c r="K2377" s="97" t="str">
        <f ca="1">IF(J2377="","Date",IF(J2377&lt;&gt;"",IF(K2377="Date",NOW(),K2377),""))</f>
        <v>Date</v>
      </c>
    </row>
    <row r="2378" spans="2:11">
      <c r="B2378" s="97" t="str">
        <f ca="1">IF(A2378="","Date",IF(A2378&lt;&gt;"",IF(B2378="Date",NOW(),B2378),""))</f>
        <v>Date</v>
      </c>
      <c r="C2378" s="19" t="str">
        <f>IF(ISBLANK(A2378),"Name",IF(ISNA(VLOOKUP(A2378,'Master List'!A:C,2,FALSE)), "Not Found", VLOOKUP(A2378,'Master List'!A:C,2,FALSE)))</f>
        <v>Name</v>
      </c>
      <c r="D2378" s="19" t="str">
        <f>IF(ISBLANK(A2378), "Email",IF(ISNA(VLOOKUP(A2378,'Master List'!A:C,3,FALSE)), "Not Found", VLOOKUP(A2378,'Master List'!A:C,3,FALSE)))</f>
        <v>Email</v>
      </c>
      <c r="F2378" s="4" t="str">
        <f>IF(OR(A2378="",E2378="","",A2378="?",E2378="?"),"duplicate?",IF(COUNTIFS($A:A,A2378,E:E,E2378)&gt;1,"yes","no"))</f>
        <v>duplicate?</v>
      </c>
      <c r="K2378" s="97" t="str">
        <f ca="1">IF(J2378="","Date",IF(J2378&lt;&gt;"",IF(K2378="Date",NOW(),K2378),""))</f>
        <v>Date</v>
      </c>
    </row>
    <row r="2379" spans="2:11">
      <c r="B2379" s="97" t="str">
        <f ca="1">IF(A2379="","Date",IF(A2379&lt;&gt;"",IF(B2379="Date",NOW(),B2379),""))</f>
        <v>Date</v>
      </c>
      <c r="C2379" s="19" t="str">
        <f>IF(ISBLANK(A2379),"Name",IF(ISNA(VLOOKUP(A2379,'Master List'!A:C,2,FALSE)), "Not Found", VLOOKUP(A2379,'Master List'!A:C,2,FALSE)))</f>
        <v>Name</v>
      </c>
      <c r="D2379" s="19" t="str">
        <f>IF(ISBLANK(A2379), "Email",IF(ISNA(VLOOKUP(A2379,'Master List'!A:C,3,FALSE)), "Not Found", VLOOKUP(A2379,'Master List'!A:C,3,FALSE)))</f>
        <v>Email</v>
      </c>
      <c r="F2379" s="4" t="str">
        <f>IF(OR(A2379="",E2379="","",A2379="?",E2379="?"),"duplicate?",IF(COUNTIFS($A:A,A2379,E:E,E2379)&gt;1,"yes","no"))</f>
        <v>duplicate?</v>
      </c>
      <c r="K2379" s="97" t="str">
        <f ca="1">IF(J2379="","Date",IF(J2379&lt;&gt;"",IF(K2379="Date",NOW(),K2379),""))</f>
        <v>Date</v>
      </c>
    </row>
    <row r="2380" spans="2:11">
      <c r="B2380" s="97" t="str">
        <f ca="1">IF(A2380="","Date",IF(A2380&lt;&gt;"",IF(B2380="Date",NOW(),B2380),""))</f>
        <v>Date</v>
      </c>
      <c r="C2380" s="19" t="str">
        <f>IF(ISBLANK(A2380),"Name",IF(ISNA(VLOOKUP(A2380,'Master List'!A:C,2,FALSE)), "Not Found", VLOOKUP(A2380,'Master List'!A:C,2,FALSE)))</f>
        <v>Name</v>
      </c>
      <c r="D2380" s="19" t="str">
        <f>IF(ISBLANK(A2380), "Email",IF(ISNA(VLOOKUP(A2380,'Master List'!A:C,3,FALSE)), "Not Found", VLOOKUP(A2380,'Master List'!A:C,3,FALSE)))</f>
        <v>Email</v>
      </c>
      <c r="F2380" s="4" t="str">
        <f>IF(OR(A2380="",E2380="","",A2380="?",E2380="?"),"duplicate?",IF(COUNTIFS($A:A,A2380,E:E,E2380)&gt;1,"yes","no"))</f>
        <v>duplicate?</v>
      </c>
      <c r="K2380" s="97" t="str">
        <f ca="1">IF(J2380="","Date",IF(J2380&lt;&gt;"",IF(K2380="Date",NOW(),K2380),""))</f>
        <v>Date</v>
      </c>
    </row>
    <row r="2381" spans="2:11">
      <c r="B2381" s="97" t="str">
        <f ca="1">IF(A2381="","Date",IF(A2381&lt;&gt;"",IF(B2381="Date",NOW(),B2381),""))</f>
        <v>Date</v>
      </c>
      <c r="C2381" s="19" t="str">
        <f>IF(ISBLANK(A2381),"Name",IF(ISNA(VLOOKUP(A2381,'Master List'!A:C,2,FALSE)), "Not Found", VLOOKUP(A2381,'Master List'!A:C,2,FALSE)))</f>
        <v>Name</v>
      </c>
      <c r="D2381" s="19" t="str">
        <f>IF(ISBLANK(A2381), "Email",IF(ISNA(VLOOKUP(A2381,'Master List'!A:C,3,FALSE)), "Not Found", VLOOKUP(A2381,'Master List'!A:C,3,FALSE)))</f>
        <v>Email</v>
      </c>
      <c r="F2381" s="4" t="str">
        <f>IF(OR(A2381="",E2381="","",A2381="?",E2381="?"),"duplicate?",IF(COUNTIFS($A:A,A2381,E:E,E2381)&gt;1,"yes","no"))</f>
        <v>duplicate?</v>
      </c>
      <c r="K2381" s="97" t="str">
        <f ca="1">IF(J2381="","Date",IF(J2381&lt;&gt;"",IF(K2381="Date",NOW(),K2381),""))</f>
        <v>Date</v>
      </c>
    </row>
    <row r="2382" spans="2:11">
      <c r="B2382" s="97" t="str">
        <f ca="1">IF(A2382="","Date",IF(A2382&lt;&gt;"",IF(B2382="Date",NOW(),B2382),""))</f>
        <v>Date</v>
      </c>
      <c r="C2382" s="19" t="str">
        <f>IF(ISBLANK(A2382),"Name",IF(ISNA(VLOOKUP(A2382,'Master List'!A:C,2,FALSE)), "Not Found", VLOOKUP(A2382,'Master List'!A:C,2,FALSE)))</f>
        <v>Name</v>
      </c>
      <c r="D2382" s="19" t="str">
        <f>IF(ISBLANK(A2382), "Email",IF(ISNA(VLOOKUP(A2382,'Master List'!A:C,3,FALSE)), "Not Found", VLOOKUP(A2382,'Master List'!A:C,3,FALSE)))</f>
        <v>Email</v>
      </c>
      <c r="F2382" s="4" t="str">
        <f>IF(OR(A2382="",E2382="","",A2382="?",E2382="?"),"duplicate?",IF(COUNTIFS($A:A,A2382,E:E,E2382)&gt;1,"yes","no"))</f>
        <v>duplicate?</v>
      </c>
      <c r="K2382" s="97" t="str">
        <f ca="1">IF(J2382="","Date",IF(J2382&lt;&gt;"",IF(K2382="Date",NOW(),K2382),""))</f>
        <v>Date</v>
      </c>
    </row>
    <row r="2383" spans="2:11">
      <c r="B2383" s="97" t="str">
        <f ca="1">IF(A2383="","Date",IF(A2383&lt;&gt;"",IF(B2383="Date",NOW(),B2383),""))</f>
        <v>Date</v>
      </c>
      <c r="C2383" s="19" t="str">
        <f>IF(ISBLANK(A2383),"Name",IF(ISNA(VLOOKUP(A2383,'Master List'!A:C,2,FALSE)), "Not Found", VLOOKUP(A2383,'Master List'!A:C,2,FALSE)))</f>
        <v>Name</v>
      </c>
      <c r="D2383" s="19" t="str">
        <f>IF(ISBLANK(A2383), "Email",IF(ISNA(VLOOKUP(A2383,'Master List'!A:C,3,FALSE)), "Not Found", VLOOKUP(A2383,'Master List'!A:C,3,FALSE)))</f>
        <v>Email</v>
      </c>
      <c r="F2383" s="4" t="str">
        <f>IF(OR(A2383="",E2383="","",A2383="?",E2383="?"),"duplicate?",IF(COUNTIFS($A:A,A2383,E:E,E2383)&gt;1,"yes","no"))</f>
        <v>duplicate?</v>
      </c>
      <c r="K2383" s="97" t="str">
        <f ca="1">IF(J2383="","Date",IF(J2383&lt;&gt;"",IF(K2383="Date",NOW(),K2383),""))</f>
        <v>Date</v>
      </c>
    </row>
    <row r="2384" spans="2:11">
      <c r="B2384" s="97" t="str">
        <f ca="1">IF(A2384="","Date",IF(A2384&lt;&gt;"",IF(B2384="Date",NOW(),B2384),""))</f>
        <v>Date</v>
      </c>
      <c r="C2384" s="19" t="str">
        <f>IF(ISBLANK(A2384),"Name",IF(ISNA(VLOOKUP(A2384,'Master List'!A:C,2,FALSE)), "Not Found", VLOOKUP(A2384,'Master List'!A:C,2,FALSE)))</f>
        <v>Name</v>
      </c>
      <c r="D2384" s="19" t="str">
        <f>IF(ISBLANK(A2384), "Email",IF(ISNA(VLOOKUP(A2384,'Master List'!A:C,3,FALSE)), "Not Found", VLOOKUP(A2384,'Master List'!A:C,3,FALSE)))</f>
        <v>Email</v>
      </c>
      <c r="F2384" s="4" t="str">
        <f>IF(OR(A2384="",E2384="","",A2384="?",E2384="?"),"duplicate?",IF(COUNTIFS($A:A,A2384,E:E,E2384)&gt;1,"yes","no"))</f>
        <v>duplicate?</v>
      </c>
      <c r="K2384" s="97" t="str">
        <f ca="1">IF(J2384="","Date",IF(J2384&lt;&gt;"",IF(K2384="Date",NOW(),K2384),""))</f>
        <v>Date</v>
      </c>
    </row>
    <row r="2385" spans="2:11">
      <c r="B2385" s="97" t="str">
        <f ca="1">IF(A2385="","Date",IF(A2385&lt;&gt;"",IF(B2385="Date",NOW(),B2385),""))</f>
        <v>Date</v>
      </c>
      <c r="C2385" s="19" t="str">
        <f>IF(ISBLANK(A2385),"Name",IF(ISNA(VLOOKUP(A2385,'Master List'!A:C,2,FALSE)), "Not Found", VLOOKUP(A2385,'Master List'!A:C,2,FALSE)))</f>
        <v>Name</v>
      </c>
      <c r="D2385" s="19" t="str">
        <f>IF(ISBLANK(A2385), "Email",IF(ISNA(VLOOKUP(A2385,'Master List'!A:C,3,FALSE)), "Not Found", VLOOKUP(A2385,'Master List'!A:C,3,FALSE)))</f>
        <v>Email</v>
      </c>
      <c r="F2385" s="4" t="str">
        <f>IF(OR(A2385="",E2385="","",A2385="?",E2385="?"),"duplicate?",IF(COUNTIFS($A:A,A2385,E:E,E2385)&gt;1,"yes","no"))</f>
        <v>duplicate?</v>
      </c>
      <c r="K2385" s="97" t="str">
        <f ca="1">IF(J2385="","Date",IF(J2385&lt;&gt;"",IF(K2385="Date",NOW(),K2385),""))</f>
        <v>Date</v>
      </c>
    </row>
    <row r="2386" spans="2:11">
      <c r="B2386" s="97" t="str">
        <f ca="1">IF(A2386="","Date",IF(A2386&lt;&gt;"",IF(B2386="Date",NOW(),B2386),""))</f>
        <v>Date</v>
      </c>
      <c r="C2386" s="19" t="str">
        <f>IF(ISBLANK(A2386),"Name",IF(ISNA(VLOOKUP(A2386,'Master List'!A:C,2,FALSE)), "Not Found", VLOOKUP(A2386,'Master List'!A:C,2,FALSE)))</f>
        <v>Name</v>
      </c>
      <c r="D2386" s="19" t="str">
        <f>IF(ISBLANK(A2386), "Email",IF(ISNA(VLOOKUP(A2386,'Master List'!A:C,3,FALSE)), "Not Found", VLOOKUP(A2386,'Master List'!A:C,3,FALSE)))</f>
        <v>Email</v>
      </c>
      <c r="F2386" s="4" t="str">
        <f>IF(OR(A2386="",E2386="","",A2386="?",E2386="?"),"duplicate?",IF(COUNTIFS($A:A,A2386,E:E,E2386)&gt;1,"yes","no"))</f>
        <v>duplicate?</v>
      </c>
      <c r="K2386" s="97" t="str">
        <f ca="1">IF(J2386="","Date",IF(J2386&lt;&gt;"",IF(K2386="Date",NOW(),K2386),""))</f>
        <v>Date</v>
      </c>
    </row>
    <row r="2387" spans="2:11">
      <c r="B2387" s="97" t="str">
        <f ca="1">IF(A2387="","Date",IF(A2387&lt;&gt;"",IF(B2387="Date",NOW(),B2387),""))</f>
        <v>Date</v>
      </c>
      <c r="C2387" s="19" t="str">
        <f>IF(ISBLANK(A2387),"Name",IF(ISNA(VLOOKUP(A2387,'Master List'!A:C,2,FALSE)), "Not Found", VLOOKUP(A2387,'Master List'!A:C,2,FALSE)))</f>
        <v>Name</v>
      </c>
      <c r="D2387" s="19" t="str">
        <f>IF(ISBLANK(A2387), "Email",IF(ISNA(VLOOKUP(A2387,'Master List'!A:C,3,FALSE)), "Not Found", VLOOKUP(A2387,'Master List'!A:C,3,FALSE)))</f>
        <v>Email</v>
      </c>
      <c r="F2387" s="4" t="str">
        <f>IF(OR(A2387="",E2387="","",A2387="?",E2387="?"),"duplicate?",IF(COUNTIFS($A:A,A2387,E:E,E2387)&gt;1,"yes","no"))</f>
        <v>duplicate?</v>
      </c>
      <c r="K2387" s="97" t="str">
        <f ca="1">IF(J2387="","Date",IF(J2387&lt;&gt;"",IF(K2387="Date",NOW(),K2387),""))</f>
        <v>Date</v>
      </c>
    </row>
    <row r="2388" spans="2:11">
      <c r="B2388" s="97" t="str">
        <f ca="1">IF(A2388="","Date",IF(A2388&lt;&gt;"",IF(B2388="Date",NOW(),B2388),""))</f>
        <v>Date</v>
      </c>
      <c r="C2388" s="19" t="str">
        <f>IF(ISBLANK(A2388),"Name",IF(ISNA(VLOOKUP(A2388,'Master List'!A:C,2,FALSE)), "Not Found", VLOOKUP(A2388,'Master List'!A:C,2,FALSE)))</f>
        <v>Name</v>
      </c>
      <c r="D2388" s="19" t="str">
        <f>IF(ISBLANK(A2388), "Email",IF(ISNA(VLOOKUP(A2388,'Master List'!A:C,3,FALSE)), "Not Found", VLOOKUP(A2388,'Master List'!A:C,3,FALSE)))</f>
        <v>Email</v>
      </c>
      <c r="F2388" s="4" t="str">
        <f>IF(OR(A2388="",E2388="","",A2388="?",E2388="?"),"duplicate?",IF(COUNTIFS($A:A,A2388,E:E,E2388)&gt;1,"yes","no"))</f>
        <v>duplicate?</v>
      </c>
      <c r="K2388" s="97" t="str">
        <f ca="1">IF(J2388="","Date",IF(J2388&lt;&gt;"",IF(K2388="Date",NOW(),K2388),""))</f>
        <v>Date</v>
      </c>
    </row>
    <row r="2389" spans="2:11">
      <c r="B2389" s="97" t="str">
        <f ca="1">IF(A2389="","Date",IF(A2389&lt;&gt;"",IF(B2389="Date",NOW(),B2389),""))</f>
        <v>Date</v>
      </c>
      <c r="C2389" s="19" t="str">
        <f>IF(ISBLANK(A2389),"Name",IF(ISNA(VLOOKUP(A2389,'Master List'!A:C,2,FALSE)), "Not Found", VLOOKUP(A2389,'Master List'!A:C,2,FALSE)))</f>
        <v>Name</v>
      </c>
      <c r="D2389" s="19" t="str">
        <f>IF(ISBLANK(A2389), "Email",IF(ISNA(VLOOKUP(A2389,'Master List'!A:C,3,FALSE)), "Not Found", VLOOKUP(A2389,'Master List'!A:C,3,FALSE)))</f>
        <v>Email</v>
      </c>
      <c r="F2389" s="4" t="str">
        <f>IF(OR(A2389="",E2389="","",A2389="?",E2389="?"),"duplicate?",IF(COUNTIFS($A:A,A2389,E:E,E2389)&gt;1,"yes","no"))</f>
        <v>duplicate?</v>
      </c>
      <c r="K2389" s="97" t="str">
        <f ca="1">IF(J2389="","Date",IF(J2389&lt;&gt;"",IF(K2389="Date",NOW(),K2389),""))</f>
        <v>Date</v>
      </c>
    </row>
    <row r="2390" spans="2:11">
      <c r="B2390" s="97" t="str">
        <f ca="1">IF(A2390="","Date",IF(A2390&lt;&gt;"",IF(B2390="Date",NOW(),B2390),""))</f>
        <v>Date</v>
      </c>
      <c r="C2390" s="19" t="str">
        <f>IF(ISBLANK(A2390),"Name",IF(ISNA(VLOOKUP(A2390,'Master List'!A:C,2,FALSE)), "Not Found", VLOOKUP(A2390,'Master List'!A:C,2,FALSE)))</f>
        <v>Name</v>
      </c>
      <c r="D2390" s="19" t="str">
        <f>IF(ISBLANK(A2390), "Email",IF(ISNA(VLOOKUP(A2390,'Master List'!A:C,3,FALSE)), "Not Found", VLOOKUP(A2390,'Master List'!A:C,3,FALSE)))</f>
        <v>Email</v>
      </c>
      <c r="F2390" s="4" t="str">
        <f>IF(OR(A2390="",E2390="","",A2390="?",E2390="?"),"duplicate?",IF(COUNTIFS($A:A,A2390,E:E,E2390)&gt;1,"yes","no"))</f>
        <v>duplicate?</v>
      </c>
      <c r="K2390" s="97" t="str">
        <f ca="1">IF(J2390="","Date",IF(J2390&lt;&gt;"",IF(K2390="Date",NOW(),K2390),""))</f>
        <v>Date</v>
      </c>
    </row>
    <row r="2391" spans="2:11">
      <c r="B2391" s="97" t="str">
        <f ca="1">IF(A2391="","Date",IF(A2391&lt;&gt;"",IF(B2391="Date",NOW(),B2391),""))</f>
        <v>Date</v>
      </c>
      <c r="C2391" s="19" t="str">
        <f>IF(ISBLANK(A2391),"Name",IF(ISNA(VLOOKUP(A2391,'Master List'!A:C,2,FALSE)), "Not Found", VLOOKUP(A2391,'Master List'!A:C,2,FALSE)))</f>
        <v>Name</v>
      </c>
      <c r="D2391" s="19" t="str">
        <f>IF(ISBLANK(A2391), "Email",IF(ISNA(VLOOKUP(A2391,'Master List'!A:C,3,FALSE)), "Not Found", VLOOKUP(A2391,'Master List'!A:C,3,FALSE)))</f>
        <v>Email</v>
      </c>
      <c r="F2391" s="4" t="str">
        <f>IF(OR(A2391="",E2391="","",A2391="?",E2391="?"),"duplicate?",IF(COUNTIFS($A:A,A2391,E:E,E2391)&gt;1,"yes","no"))</f>
        <v>duplicate?</v>
      </c>
      <c r="K2391" s="97" t="str">
        <f ca="1">IF(J2391="","Date",IF(J2391&lt;&gt;"",IF(K2391="Date",NOW(),K2391),""))</f>
        <v>Date</v>
      </c>
    </row>
    <row r="2392" spans="2:11">
      <c r="B2392" s="97" t="str">
        <f ca="1">IF(A2392="","Date",IF(A2392&lt;&gt;"",IF(B2392="Date",NOW(),B2392),""))</f>
        <v>Date</v>
      </c>
      <c r="C2392" s="19" t="str">
        <f>IF(ISBLANK(A2392),"Name",IF(ISNA(VLOOKUP(A2392,'Master List'!A:C,2,FALSE)), "Not Found", VLOOKUP(A2392,'Master List'!A:C,2,FALSE)))</f>
        <v>Name</v>
      </c>
      <c r="D2392" s="19" t="str">
        <f>IF(ISBLANK(A2392), "Email",IF(ISNA(VLOOKUP(A2392,'Master List'!A:C,3,FALSE)), "Not Found", VLOOKUP(A2392,'Master List'!A:C,3,FALSE)))</f>
        <v>Email</v>
      </c>
      <c r="F2392" s="4" t="str">
        <f>IF(OR(A2392="",E2392="","",A2392="?",E2392="?"),"duplicate?",IF(COUNTIFS($A:A,A2392,E:E,E2392)&gt;1,"yes","no"))</f>
        <v>duplicate?</v>
      </c>
      <c r="K2392" s="97" t="str">
        <f ca="1">IF(J2392="","Date",IF(J2392&lt;&gt;"",IF(K2392="Date",NOW(),K2392),""))</f>
        <v>Date</v>
      </c>
    </row>
    <row r="2393" spans="2:11">
      <c r="B2393" s="97" t="str">
        <f ca="1">IF(A2393="","Date",IF(A2393&lt;&gt;"",IF(B2393="Date",NOW(),B2393),""))</f>
        <v>Date</v>
      </c>
      <c r="C2393" s="19" t="str">
        <f>IF(ISBLANK(A2393),"Name",IF(ISNA(VLOOKUP(A2393,'Master List'!A:C,2,FALSE)), "Not Found", VLOOKUP(A2393,'Master List'!A:C,2,FALSE)))</f>
        <v>Name</v>
      </c>
      <c r="D2393" s="19" t="str">
        <f>IF(ISBLANK(A2393), "Email",IF(ISNA(VLOOKUP(A2393,'Master List'!A:C,3,FALSE)), "Not Found", VLOOKUP(A2393,'Master List'!A:C,3,FALSE)))</f>
        <v>Email</v>
      </c>
      <c r="F2393" s="4" t="str">
        <f>IF(OR(A2393="",E2393="","",A2393="?",E2393="?"),"duplicate?",IF(COUNTIFS($A:A,A2393,E:E,E2393)&gt;1,"yes","no"))</f>
        <v>duplicate?</v>
      </c>
      <c r="K2393" s="97" t="str">
        <f ca="1">IF(J2393="","Date",IF(J2393&lt;&gt;"",IF(K2393="Date",NOW(),K2393),""))</f>
        <v>Date</v>
      </c>
    </row>
    <row r="2394" spans="2:11">
      <c r="B2394" s="97" t="str">
        <f ca="1">IF(A2394="","Date",IF(A2394&lt;&gt;"",IF(B2394="Date",NOW(),B2394),""))</f>
        <v>Date</v>
      </c>
      <c r="C2394" s="19" t="str">
        <f>IF(ISBLANK(A2394),"Name",IF(ISNA(VLOOKUP(A2394,'Master List'!A:C,2,FALSE)), "Not Found", VLOOKUP(A2394,'Master List'!A:C,2,FALSE)))</f>
        <v>Name</v>
      </c>
      <c r="D2394" s="19" t="str">
        <f>IF(ISBLANK(A2394), "Email",IF(ISNA(VLOOKUP(A2394,'Master List'!A:C,3,FALSE)), "Not Found", VLOOKUP(A2394,'Master List'!A:C,3,FALSE)))</f>
        <v>Email</v>
      </c>
      <c r="F2394" s="4" t="str">
        <f>IF(OR(A2394="",E2394="","",A2394="?",E2394="?"),"duplicate?",IF(COUNTIFS($A:A,A2394,E:E,E2394)&gt;1,"yes","no"))</f>
        <v>duplicate?</v>
      </c>
      <c r="K2394" s="97" t="str">
        <f ca="1">IF(J2394="","Date",IF(J2394&lt;&gt;"",IF(K2394="Date",NOW(),K2394),""))</f>
        <v>Date</v>
      </c>
    </row>
    <row r="2395" spans="2:11">
      <c r="B2395" s="97" t="str">
        <f ca="1">IF(A2395="","Date",IF(A2395&lt;&gt;"",IF(B2395="Date",NOW(),B2395),""))</f>
        <v>Date</v>
      </c>
      <c r="C2395" s="19" t="str">
        <f>IF(ISBLANK(A2395),"Name",IF(ISNA(VLOOKUP(A2395,'Master List'!A:C,2,FALSE)), "Not Found", VLOOKUP(A2395,'Master List'!A:C,2,FALSE)))</f>
        <v>Name</v>
      </c>
      <c r="D2395" s="19" t="str">
        <f>IF(ISBLANK(A2395), "Email",IF(ISNA(VLOOKUP(A2395,'Master List'!A:C,3,FALSE)), "Not Found", VLOOKUP(A2395,'Master List'!A:C,3,FALSE)))</f>
        <v>Email</v>
      </c>
      <c r="F2395" s="4" t="str">
        <f>IF(OR(A2395="",E2395="","",A2395="?",E2395="?"),"duplicate?",IF(COUNTIFS($A:A,A2395,E:E,E2395)&gt;1,"yes","no"))</f>
        <v>duplicate?</v>
      </c>
      <c r="K2395" s="97" t="str">
        <f ca="1">IF(J2395="","Date",IF(J2395&lt;&gt;"",IF(K2395="Date",NOW(),K2395),""))</f>
        <v>Date</v>
      </c>
    </row>
    <row r="2396" spans="2:11">
      <c r="B2396" s="97" t="str">
        <f ca="1">IF(A2396="","Date",IF(A2396&lt;&gt;"",IF(B2396="Date",NOW(),B2396),""))</f>
        <v>Date</v>
      </c>
      <c r="C2396" s="19" t="str">
        <f>IF(ISBLANK(A2396),"Name",IF(ISNA(VLOOKUP(A2396,'Master List'!A:C,2,FALSE)), "Not Found", VLOOKUP(A2396,'Master List'!A:C,2,FALSE)))</f>
        <v>Name</v>
      </c>
      <c r="D2396" s="19" t="str">
        <f>IF(ISBLANK(A2396), "Email",IF(ISNA(VLOOKUP(A2396,'Master List'!A:C,3,FALSE)), "Not Found", VLOOKUP(A2396,'Master List'!A:C,3,FALSE)))</f>
        <v>Email</v>
      </c>
      <c r="F2396" s="4" t="str">
        <f>IF(OR(A2396="",E2396="","",A2396="?",E2396="?"),"duplicate?",IF(COUNTIFS($A:A,A2396,E:E,E2396)&gt;1,"yes","no"))</f>
        <v>duplicate?</v>
      </c>
      <c r="K2396" s="97" t="str">
        <f ca="1">IF(J2396="","Date",IF(J2396&lt;&gt;"",IF(K2396="Date",NOW(),K2396),""))</f>
        <v>Date</v>
      </c>
    </row>
    <row r="2397" spans="2:11">
      <c r="B2397" s="97" t="str">
        <f ca="1">IF(A2397="","Date",IF(A2397&lt;&gt;"",IF(B2397="Date",NOW(),B2397),""))</f>
        <v>Date</v>
      </c>
      <c r="C2397" s="19" t="str">
        <f>IF(ISBLANK(A2397),"Name",IF(ISNA(VLOOKUP(A2397,'Master List'!A:C,2,FALSE)), "Not Found", VLOOKUP(A2397,'Master List'!A:C,2,FALSE)))</f>
        <v>Name</v>
      </c>
      <c r="D2397" s="19" t="str">
        <f>IF(ISBLANK(A2397), "Email",IF(ISNA(VLOOKUP(A2397,'Master List'!A:C,3,FALSE)), "Not Found", VLOOKUP(A2397,'Master List'!A:C,3,FALSE)))</f>
        <v>Email</v>
      </c>
      <c r="F2397" s="4" t="str">
        <f>IF(OR(A2397="",E2397="","",A2397="?",E2397="?"),"duplicate?",IF(COUNTIFS($A:A,A2397,E:E,E2397)&gt;1,"yes","no"))</f>
        <v>duplicate?</v>
      </c>
      <c r="K2397" s="97" t="str">
        <f ca="1">IF(J2397="","Date",IF(J2397&lt;&gt;"",IF(K2397="Date",NOW(),K2397),""))</f>
        <v>Date</v>
      </c>
    </row>
    <row r="2398" spans="2:11">
      <c r="B2398" s="97" t="str">
        <f ca="1">IF(A2398="","Date",IF(A2398&lt;&gt;"",IF(B2398="Date",NOW(),B2398),""))</f>
        <v>Date</v>
      </c>
      <c r="C2398" s="19" t="str">
        <f>IF(ISBLANK(A2398),"Name",IF(ISNA(VLOOKUP(A2398,'Master List'!A:C,2,FALSE)), "Not Found", VLOOKUP(A2398,'Master List'!A:C,2,FALSE)))</f>
        <v>Name</v>
      </c>
      <c r="D2398" s="19" t="str">
        <f>IF(ISBLANK(A2398), "Email",IF(ISNA(VLOOKUP(A2398,'Master List'!A:C,3,FALSE)), "Not Found", VLOOKUP(A2398,'Master List'!A:C,3,FALSE)))</f>
        <v>Email</v>
      </c>
      <c r="F2398" s="4" t="str">
        <f>IF(OR(A2398="",E2398="","",A2398="?",E2398="?"),"duplicate?",IF(COUNTIFS($A:A,A2398,E:E,E2398)&gt;1,"yes","no"))</f>
        <v>duplicate?</v>
      </c>
      <c r="K2398" s="97" t="str">
        <f ca="1">IF(J2398="","Date",IF(J2398&lt;&gt;"",IF(K2398="Date",NOW(),K2398),""))</f>
        <v>Date</v>
      </c>
    </row>
    <row r="2399" spans="2:11">
      <c r="B2399" s="97" t="str">
        <f ca="1">IF(A2399="","Date",IF(A2399&lt;&gt;"",IF(B2399="Date",NOW(),B2399),""))</f>
        <v>Date</v>
      </c>
      <c r="C2399" s="19" t="str">
        <f>IF(ISBLANK(A2399),"Name",IF(ISNA(VLOOKUP(A2399,'Master List'!A:C,2,FALSE)), "Not Found", VLOOKUP(A2399,'Master List'!A:C,2,FALSE)))</f>
        <v>Name</v>
      </c>
      <c r="D2399" s="19" t="str">
        <f>IF(ISBLANK(A2399), "Email",IF(ISNA(VLOOKUP(A2399,'Master List'!A:C,3,FALSE)), "Not Found", VLOOKUP(A2399,'Master List'!A:C,3,FALSE)))</f>
        <v>Email</v>
      </c>
      <c r="F2399" s="4" t="str">
        <f>IF(OR(A2399="",E2399="","",A2399="?",E2399="?"),"duplicate?",IF(COUNTIFS($A:A,A2399,E:E,E2399)&gt;1,"yes","no"))</f>
        <v>duplicate?</v>
      </c>
      <c r="K2399" s="97" t="str">
        <f ca="1">IF(J2399="","Date",IF(J2399&lt;&gt;"",IF(K2399="Date",NOW(),K2399),""))</f>
        <v>Date</v>
      </c>
    </row>
    <row r="2400" spans="2:11">
      <c r="B2400" s="97" t="str">
        <f ca="1">IF(A2400="","Date",IF(A2400&lt;&gt;"",IF(B2400="Date",NOW(),B2400),""))</f>
        <v>Date</v>
      </c>
      <c r="C2400" s="19" t="str">
        <f>IF(ISBLANK(A2400),"Name",IF(ISNA(VLOOKUP(A2400,'Master List'!A:C,2,FALSE)), "Not Found", VLOOKUP(A2400,'Master List'!A:C,2,FALSE)))</f>
        <v>Name</v>
      </c>
      <c r="D2400" s="19" t="str">
        <f>IF(ISBLANK(A2400), "Email",IF(ISNA(VLOOKUP(A2400,'Master List'!A:C,3,FALSE)), "Not Found", VLOOKUP(A2400,'Master List'!A:C,3,FALSE)))</f>
        <v>Email</v>
      </c>
      <c r="F2400" s="4" t="str">
        <f>IF(OR(A2400="",E2400="","",A2400="?",E2400="?"),"duplicate?",IF(COUNTIFS($A:A,A2400,E:E,E2400)&gt;1,"yes","no"))</f>
        <v>duplicate?</v>
      </c>
      <c r="K2400" s="97" t="str">
        <f ca="1">IF(J2400="","Date",IF(J2400&lt;&gt;"",IF(K2400="Date",NOW(),K2400),""))</f>
        <v>Date</v>
      </c>
    </row>
    <row r="2401" spans="2:11">
      <c r="B2401" s="97" t="str">
        <f ca="1">IF(A2401="","Date",IF(A2401&lt;&gt;"",IF(B2401="Date",NOW(),B2401),""))</f>
        <v>Date</v>
      </c>
      <c r="C2401" s="19" t="str">
        <f>IF(ISBLANK(A2401),"Name",IF(ISNA(VLOOKUP(A2401,'Master List'!A:C,2,FALSE)), "Not Found", VLOOKUP(A2401,'Master List'!A:C,2,FALSE)))</f>
        <v>Name</v>
      </c>
      <c r="D2401" s="19" t="str">
        <f>IF(ISBLANK(A2401), "Email",IF(ISNA(VLOOKUP(A2401,'Master List'!A:C,3,FALSE)), "Not Found", VLOOKUP(A2401,'Master List'!A:C,3,FALSE)))</f>
        <v>Email</v>
      </c>
      <c r="F2401" s="4" t="str">
        <f>IF(OR(A2401="",E2401="","",A2401="?",E2401="?"),"duplicate?",IF(COUNTIFS($A:A,A2401,E:E,E2401)&gt;1,"yes","no"))</f>
        <v>duplicate?</v>
      </c>
      <c r="K2401" s="97" t="str">
        <f ca="1">IF(J2401="","Date",IF(J2401&lt;&gt;"",IF(K2401="Date",NOW(),K2401),""))</f>
        <v>Date</v>
      </c>
    </row>
    <row r="2402" spans="2:11">
      <c r="B2402" s="97" t="str">
        <f ca="1">IF(A2402="","Date",IF(A2402&lt;&gt;"",IF(B2402="Date",NOW(),B2402),""))</f>
        <v>Date</v>
      </c>
      <c r="C2402" s="19" t="str">
        <f>IF(ISBLANK(A2402),"Name",IF(ISNA(VLOOKUP(A2402,'Master List'!A:C,2,FALSE)), "Not Found", VLOOKUP(A2402,'Master List'!A:C,2,FALSE)))</f>
        <v>Name</v>
      </c>
      <c r="D2402" s="19" t="str">
        <f>IF(ISBLANK(A2402), "Email",IF(ISNA(VLOOKUP(A2402,'Master List'!A:C,3,FALSE)), "Not Found", VLOOKUP(A2402,'Master List'!A:C,3,FALSE)))</f>
        <v>Email</v>
      </c>
      <c r="F2402" s="4" t="str">
        <f>IF(OR(A2402="",E2402="","",A2402="?",E2402="?"),"duplicate?",IF(COUNTIFS($A:A,A2402,E:E,E2402)&gt;1,"yes","no"))</f>
        <v>duplicate?</v>
      </c>
      <c r="K2402" s="97" t="str">
        <f ca="1">IF(J2402="","Date",IF(J2402&lt;&gt;"",IF(K2402="Date",NOW(),K2402),""))</f>
        <v>Date</v>
      </c>
    </row>
    <row r="2403" spans="2:11">
      <c r="B2403" s="97" t="str">
        <f ca="1">IF(A2403="","Date",IF(A2403&lt;&gt;"",IF(B2403="Date",NOW(),B2403),""))</f>
        <v>Date</v>
      </c>
      <c r="C2403" s="19" t="str">
        <f>IF(ISBLANK(A2403),"Name",IF(ISNA(VLOOKUP(A2403,'Master List'!A:C,2,FALSE)), "Not Found", VLOOKUP(A2403,'Master List'!A:C,2,FALSE)))</f>
        <v>Name</v>
      </c>
      <c r="D2403" s="19" t="str">
        <f>IF(ISBLANK(A2403), "Email",IF(ISNA(VLOOKUP(A2403,'Master List'!A:C,3,FALSE)), "Not Found", VLOOKUP(A2403,'Master List'!A:C,3,FALSE)))</f>
        <v>Email</v>
      </c>
      <c r="F2403" s="4" t="str">
        <f>IF(OR(A2403="",E2403="","",A2403="?",E2403="?"),"duplicate?",IF(COUNTIFS($A:A,A2403,E:E,E2403)&gt;1,"yes","no"))</f>
        <v>duplicate?</v>
      </c>
      <c r="K2403" s="97" t="str">
        <f ca="1">IF(J2403="","Date",IF(J2403&lt;&gt;"",IF(K2403="Date",NOW(),K2403),""))</f>
        <v>Date</v>
      </c>
    </row>
    <row r="2404" spans="2:11">
      <c r="B2404" s="97" t="str">
        <f ca="1">IF(A2404="","Date",IF(A2404&lt;&gt;"",IF(B2404="Date",NOW(),B2404),""))</f>
        <v>Date</v>
      </c>
      <c r="C2404" s="19" t="str">
        <f>IF(ISBLANK(A2404),"Name",IF(ISNA(VLOOKUP(A2404,'Master List'!A:C,2,FALSE)), "Not Found", VLOOKUP(A2404,'Master List'!A:C,2,FALSE)))</f>
        <v>Name</v>
      </c>
      <c r="D2404" s="19" t="str">
        <f>IF(ISBLANK(A2404), "Email",IF(ISNA(VLOOKUP(A2404,'Master List'!A:C,3,FALSE)), "Not Found", VLOOKUP(A2404,'Master List'!A:C,3,FALSE)))</f>
        <v>Email</v>
      </c>
      <c r="F2404" s="4" t="str">
        <f>IF(OR(A2404="",E2404="","",A2404="?",E2404="?"),"duplicate?",IF(COUNTIFS($A:A,A2404,E:E,E2404)&gt;1,"yes","no"))</f>
        <v>duplicate?</v>
      </c>
      <c r="K2404" s="97" t="str">
        <f ca="1">IF(J2404="","Date",IF(J2404&lt;&gt;"",IF(K2404="Date",NOW(),K2404),""))</f>
        <v>Date</v>
      </c>
    </row>
    <row r="2405" spans="2:11">
      <c r="B2405" s="97" t="str">
        <f ca="1">IF(A2405="","Date",IF(A2405&lt;&gt;"",IF(B2405="Date",NOW(),B2405),""))</f>
        <v>Date</v>
      </c>
      <c r="C2405" s="19" t="str">
        <f>IF(ISBLANK(A2405),"Name",IF(ISNA(VLOOKUP(A2405,'Master List'!A:C,2,FALSE)), "Not Found", VLOOKUP(A2405,'Master List'!A:C,2,FALSE)))</f>
        <v>Name</v>
      </c>
      <c r="D2405" s="19" t="str">
        <f>IF(ISBLANK(A2405), "Email",IF(ISNA(VLOOKUP(A2405,'Master List'!A:C,3,FALSE)), "Not Found", VLOOKUP(A2405,'Master List'!A:C,3,FALSE)))</f>
        <v>Email</v>
      </c>
      <c r="F2405" s="4" t="str">
        <f>IF(OR(A2405="",E2405="","",A2405="?",E2405="?"),"duplicate?",IF(COUNTIFS($A:A,A2405,E:E,E2405)&gt;1,"yes","no"))</f>
        <v>duplicate?</v>
      </c>
      <c r="K2405" s="97" t="str">
        <f ca="1">IF(J2405="","Date",IF(J2405&lt;&gt;"",IF(K2405="Date",NOW(),K2405),""))</f>
        <v>Date</v>
      </c>
    </row>
    <row r="2406" spans="2:11">
      <c r="B2406" s="97" t="str">
        <f ca="1">IF(A2406="","Date",IF(A2406&lt;&gt;"",IF(B2406="Date",NOW(),B2406),""))</f>
        <v>Date</v>
      </c>
      <c r="C2406" s="19" t="str">
        <f>IF(ISBLANK(A2406),"Name",IF(ISNA(VLOOKUP(A2406,'Master List'!A:C,2,FALSE)), "Not Found", VLOOKUP(A2406,'Master List'!A:C,2,FALSE)))</f>
        <v>Name</v>
      </c>
      <c r="D2406" s="19" t="str">
        <f>IF(ISBLANK(A2406), "Email",IF(ISNA(VLOOKUP(A2406,'Master List'!A:C,3,FALSE)), "Not Found", VLOOKUP(A2406,'Master List'!A:C,3,FALSE)))</f>
        <v>Email</v>
      </c>
      <c r="F2406" s="4" t="str">
        <f>IF(OR(A2406="",E2406="","",A2406="?",E2406="?"),"duplicate?",IF(COUNTIFS($A:A,A2406,E:E,E2406)&gt;1,"yes","no"))</f>
        <v>duplicate?</v>
      </c>
      <c r="K2406" s="97" t="str">
        <f ca="1">IF(J2406="","Date",IF(J2406&lt;&gt;"",IF(K2406="Date",NOW(),K2406),""))</f>
        <v>Date</v>
      </c>
    </row>
    <row r="2407" spans="2:11">
      <c r="B2407" s="97" t="str">
        <f ca="1">IF(A2407="","Date",IF(A2407&lt;&gt;"",IF(B2407="Date",NOW(),B2407),""))</f>
        <v>Date</v>
      </c>
      <c r="C2407" s="19" t="str">
        <f>IF(ISBLANK(A2407),"Name",IF(ISNA(VLOOKUP(A2407,'Master List'!A:C,2,FALSE)), "Not Found", VLOOKUP(A2407,'Master List'!A:C,2,FALSE)))</f>
        <v>Name</v>
      </c>
      <c r="D2407" s="19" t="str">
        <f>IF(ISBLANK(A2407), "Email",IF(ISNA(VLOOKUP(A2407,'Master List'!A:C,3,FALSE)), "Not Found", VLOOKUP(A2407,'Master List'!A:C,3,FALSE)))</f>
        <v>Email</v>
      </c>
      <c r="F2407" s="4" t="str">
        <f>IF(OR(A2407="",E2407="","",A2407="?",E2407="?"),"duplicate?",IF(COUNTIFS($A:A,A2407,E:E,E2407)&gt;1,"yes","no"))</f>
        <v>duplicate?</v>
      </c>
      <c r="K2407" s="97" t="str">
        <f ca="1">IF(J2407="","Date",IF(J2407&lt;&gt;"",IF(K2407="Date",NOW(),K2407),""))</f>
        <v>Date</v>
      </c>
    </row>
    <row r="2408" spans="2:11">
      <c r="B2408" s="97" t="str">
        <f ca="1">IF(A2408="","Date",IF(A2408&lt;&gt;"",IF(B2408="Date",NOW(),B2408),""))</f>
        <v>Date</v>
      </c>
      <c r="C2408" s="19" t="str">
        <f>IF(ISBLANK(A2408),"Name",IF(ISNA(VLOOKUP(A2408,'Master List'!A:C,2,FALSE)), "Not Found", VLOOKUP(A2408,'Master List'!A:C,2,FALSE)))</f>
        <v>Name</v>
      </c>
      <c r="D2408" s="19" t="str">
        <f>IF(ISBLANK(A2408), "Email",IF(ISNA(VLOOKUP(A2408,'Master List'!A:C,3,FALSE)), "Not Found", VLOOKUP(A2408,'Master List'!A:C,3,FALSE)))</f>
        <v>Email</v>
      </c>
      <c r="F2408" s="4" t="str">
        <f>IF(OR(A2408="",E2408="","",A2408="?",E2408="?"),"duplicate?",IF(COUNTIFS($A:A,A2408,E:E,E2408)&gt;1,"yes","no"))</f>
        <v>duplicate?</v>
      </c>
      <c r="K2408" s="97" t="str">
        <f ca="1">IF(J2408="","Date",IF(J2408&lt;&gt;"",IF(K2408="Date",NOW(),K2408),""))</f>
        <v>Date</v>
      </c>
    </row>
    <row r="2409" spans="2:11">
      <c r="B2409" s="97" t="str">
        <f ca="1">IF(A2409="","Date",IF(A2409&lt;&gt;"",IF(B2409="Date",NOW(),B2409),""))</f>
        <v>Date</v>
      </c>
      <c r="C2409" s="19" t="str">
        <f>IF(ISBLANK(A2409),"Name",IF(ISNA(VLOOKUP(A2409,'Master List'!A:C,2,FALSE)), "Not Found", VLOOKUP(A2409,'Master List'!A:C,2,FALSE)))</f>
        <v>Name</v>
      </c>
      <c r="D2409" s="19" t="str">
        <f>IF(ISBLANK(A2409), "Email",IF(ISNA(VLOOKUP(A2409,'Master List'!A:C,3,FALSE)), "Not Found", VLOOKUP(A2409,'Master List'!A:C,3,FALSE)))</f>
        <v>Email</v>
      </c>
      <c r="F2409" s="4" t="str">
        <f>IF(OR(A2409="",E2409="","",A2409="?",E2409="?"),"duplicate?",IF(COUNTIFS($A:A,A2409,E:E,E2409)&gt;1,"yes","no"))</f>
        <v>duplicate?</v>
      </c>
      <c r="K2409" s="97" t="str">
        <f ca="1">IF(J2409="","Date",IF(J2409&lt;&gt;"",IF(K2409="Date",NOW(),K2409),""))</f>
        <v>Date</v>
      </c>
    </row>
    <row r="2410" spans="2:11">
      <c r="B2410" s="97" t="str">
        <f ca="1">IF(A2410="","Date",IF(A2410&lt;&gt;"",IF(B2410="Date",NOW(),B2410),""))</f>
        <v>Date</v>
      </c>
      <c r="C2410" s="19" t="str">
        <f>IF(ISBLANK(A2410),"Name",IF(ISNA(VLOOKUP(A2410,'Master List'!A:C,2,FALSE)), "Not Found", VLOOKUP(A2410,'Master List'!A:C,2,FALSE)))</f>
        <v>Name</v>
      </c>
      <c r="D2410" s="19" t="str">
        <f>IF(ISBLANK(A2410), "Email",IF(ISNA(VLOOKUP(A2410,'Master List'!A:C,3,FALSE)), "Not Found", VLOOKUP(A2410,'Master List'!A:C,3,FALSE)))</f>
        <v>Email</v>
      </c>
      <c r="F2410" s="4" t="str">
        <f>IF(OR(A2410="",E2410="","",A2410="?",E2410="?"),"duplicate?",IF(COUNTIFS($A:A,A2410,E:E,E2410)&gt;1,"yes","no"))</f>
        <v>duplicate?</v>
      </c>
      <c r="K2410" s="97" t="str">
        <f ca="1">IF(J2410="","Date",IF(J2410&lt;&gt;"",IF(K2410="Date",NOW(),K2410),""))</f>
        <v>Date</v>
      </c>
    </row>
    <row r="2411" spans="2:11">
      <c r="B2411" s="97" t="str">
        <f ca="1">IF(A2411="","Date",IF(A2411&lt;&gt;"",IF(B2411="Date",NOW(),B2411),""))</f>
        <v>Date</v>
      </c>
      <c r="C2411" s="19" t="str">
        <f>IF(ISBLANK(A2411),"Name",IF(ISNA(VLOOKUP(A2411,'Master List'!A:C,2,FALSE)), "Not Found", VLOOKUP(A2411,'Master List'!A:C,2,FALSE)))</f>
        <v>Name</v>
      </c>
      <c r="D2411" s="19" t="str">
        <f>IF(ISBLANK(A2411), "Email",IF(ISNA(VLOOKUP(A2411,'Master List'!A:C,3,FALSE)), "Not Found", VLOOKUP(A2411,'Master List'!A:C,3,FALSE)))</f>
        <v>Email</v>
      </c>
      <c r="F2411" s="4" t="str">
        <f>IF(OR(A2411="",E2411="","",A2411="?",E2411="?"),"duplicate?",IF(COUNTIFS($A:A,A2411,E:E,E2411)&gt;1,"yes","no"))</f>
        <v>duplicate?</v>
      </c>
      <c r="K2411" s="97" t="str">
        <f ca="1">IF(J2411="","Date",IF(J2411&lt;&gt;"",IF(K2411="Date",NOW(),K2411),""))</f>
        <v>Date</v>
      </c>
    </row>
    <row r="2412" spans="2:11">
      <c r="B2412" s="97" t="str">
        <f ca="1">IF(A2412="","Date",IF(A2412&lt;&gt;"",IF(B2412="Date",NOW(),B2412),""))</f>
        <v>Date</v>
      </c>
      <c r="C2412" s="19" t="str">
        <f>IF(ISBLANK(A2412),"Name",IF(ISNA(VLOOKUP(A2412,'Master List'!A:C,2,FALSE)), "Not Found", VLOOKUP(A2412,'Master List'!A:C,2,FALSE)))</f>
        <v>Name</v>
      </c>
      <c r="D2412" s="19" t="str">
        <f>IF(ISBLANK(A2412), "Email",IF(ISNA(VLOOKUP(A2412,'Master List'!A:C,3,FALSE)), "Not Found", VLOOKUP(A2412,'Master List'!A:C,3,FALSE)))</f>
        <v>Email</v>
      </c>
      <c r="F2412" s="4" t="str">
        <f>IF(OR(A2412="",E2412="","",A2412="?",E2412="?"),"duplicate?",IF(COUNTIFS($A:A,A2412,E:E,E2412)&gt;1,"yes","no"))</f>
        <v>duplicate?</v>
      </c>
      <c r="K2412" s="97" t="str">
        <f ca="1">IF(J2412="","Date",IF(J2412&lt;&gt;"",IF(K2412="Date",NOW(),K2412),""))</f>
        <v>Date</v>
      </c>
    </row>
    <row r="2413" spans="2:11">
      <c r="B2413" s="97" t="str">
        <f ca="1">IF(A2413="","Date",IF(A2413&lt;&gt;"",IF(B2413="Date",NOW(),B2413),""))</f>
        <v>Date</v>
      </c>
      <c r="C2413" s="19" t="str">
        <f>IF(ISBLANK(A2413),"Name",IF(ISNA(VLOOKUP(A2413,'Master List'!A:C,2,FALSE)), "Not Found", VLOOKUP(A2413,'Master List'!A:C,2,FALSE)))</f>
        <v>Name</v>
      </c>
      <c r="D2413" s="19" t="str">
        <f>IF(ISBLANK(A2413), "Email",IF(ISNA(VLOOKUP(A2413,'Master List'!A:C,3,FALSE)), "Not Found", VLOOKUP(A2413,'Master List'!A:C,3,FALSE)))</f>
        <v>Email</v>
      </c>
      <c r="F2413" s="4" t="str">
        <f>IF(OR(A2413="",E2413="","",A2413="?",E2413="?"),"duplicate?",IF(COUNTIFS($A:A,A2413,E:E,E2413)&gt;1,"yes","no"))</f>
        <v>duplicate?</v>
      </c>
      <c r="K2413" s="97" t="str">
        <f ca="1">IF(J2413="","Date",IF(J2413&lt;&gt;"",IF(K2413="Date",NOW(),K2413),""))</f>
        <v>Date</v>
      </c>
    </row>
    <row r="2414" spans="2:11">
      <c r="B2414" s="97" t="str">
        <f ca="1">IF(A2414="","Date",IF(A2414&lt;&gt;"",IF(B2414="Date",NOW(),B2414),""))</f>
        <v>Date</v>
      </c>
      <c r="C2414" s="19" t="str">
        <f>IF(ISBLANK(A2414),"Name",IF(ISNA(VLOOKUP(A2414,'Master List'!A:C,2,FALSE)), "Not Found", VLOOKUP(A2414,'Master List'!A:C,2,FALSE)))</f>
        <v>Name</v>
      </c>
      <c r="D2414" s="19" t="str">
        <f>IF(ISBLANK(A2414), "Email",IF(ISNA(VLOOKUP(A2414,'Master List'!A:C,3,FALSE)), "Not Found", VLOOKUP(A2414,'Master List'!A:C,3,FALSE)))</f>
        <v>Email</v>
      </c>
      <c r="F2414" s="4" t="str">
        <f>IF(OR(A2414="",E2414="","",A2414="?",E2414="?"),"duplicate?",IF(COUNTIFS($A:A,A2414,E:E,E2414)&gt;1,"yes","no"))</f>
        <v>duplicate?</v>
      </c>
      <c r="K2414" s="97" t="str">
        <f ca="1">IF(J2414="","Date",IF(J2414&lt;&gt;"",IF(K2414="Date",NOW(),K2414),""))</f>
        <v>Date</v>
      </c>
    </row>
    <row r="2415" spans="2:11">
      <c r="B2415" s="97" t="str">
        <f ca="1">IF(A2415="","Date",IF(A2415&lt;&gt;"",IF(B2415="Date",NOW(),B2415),""))</f>
        <v>Date</v>
      </c>
      <c r="C2415" s="19" t="str">
        <f>IF(ISBLANK(A2415),"Name",IF(ISNA(VLOOKUP(A2415,'Master List'!A:C,2,FALSE)), "Not Found", VLOOKUP(A2415,'Master List'!A:C,2,FALSE)))</f>
        <v>Name</v>
      </c>
      <c r="D2415" s="19" t="str">
        <f>IF(ISBLANK(A2415), "Email",IF(ISNA(VLOOKUP(A2415,'Master List'!A:C,3,FALSE)), "Not Found", VLOOKUP(A2415,'Master List'!A:C,3,FALSE)))</f>
        <v>Email</v>
      </c>
      <c r="F2415" s="4" t="str">
        <f>IF(OR(A2415="",E2415="","",A2415="?",E2415="?"),"duplicate?",IF(COUNTIFS($A:A,A2415,E:E,E2415)&gt;1,"yes","no"))</f>
        <v>duplicate?</v>
      </c>
      <c r="K2415" s="97" t="str">
        <f ca="1">IF(J2415="","Date",IF(J2415&lt;&gt;"",IF(K2415="Date",NOW(),K2415),""))</f>
        <v>Date</v>
      </c>
    </row>
    <row r="2416" spans="2:11">
      <c r="B2416" s="97" t="str">
        <f ca="1">IF(A2416="","Date",IF(A2416&lt;&gt;"",IF(B2416="Date",NOW(),B2416),""))</f>
        <v>Date</v>
      </c>
      <c r="C2416" s="19" t="str">
        <f>IF(ISBLANK(A2416),"Name",IF(ISNA(VLOOKUP(A2416,'Master List'!A:C,2,FALSE)), "Not Found", VLOOKUP(A2416,'Master List'!A:C,2,FALSE)))</f>
        <v>Name</v>
      </c>
      <c r="D2416" s="19" t="str">
        <f>IF(ISBLANK(A2416), "Email",IF(ISNA(VLOOKUP(A2416,'Master List'!A:C,3,FALSE)), "Not Found", VLOOKUP(A2416,'Master List'!A:C,3,FALSE)))</f>
        <v>Email</v>
      </c>
      <c r="F2416" s="4" t="str">
        <f>IF(OR(A2416="",E2416="","",A2416="?",E2416="?"),"duplicate?",IF(COUNTIFS($A:A,A2416,E:E,E2416)&gt;1,"yes","no"))</f>
        <v>duplicate?</v>
      </c>
      <c r="K2416" s="97" t="str">
        <f ca="1">IF(J2416="","Date",IF(J2416&lt;&gt;"",IF(K2416="Date",NOW(),K2416),""))</f>
        <v>Date</v>
      </c>
    </row>
    <row r="2417" spans="2:11">
      <c r="B2417" s="97" t="str">
        <f ca="1">IF(A2417="","Date",IF(A2417&lt;&gt;"",IF(B2417="Date",NOW(),B2417),""))</f>
        <v>Date</v>
      </c>
      <c r="C2417" s="19" t="str">
        <f>IF(ISBLANK(A2417),"Name",IF(ISNA(VLOOKUP(A2417,'Master List'!A:C,2,FALSE)), "Not Found", VLOOKUP(A2417,'Master List'!A:C,2,FALSE)))</f>
        <v>Name</v>
      </c>
      <c r="D2417" s="19" t="str">
        <f>IF(ISBLANK(A2417), "Email",IF(ISNA(VLOOKUP(A2417,'Master List'!A:C,3,FALSE)), "Not Found", VLOOKUP(A2417,'Master List'!A:C,3,FALSE)))</f>
        <v>Email</v>
      </c>
      <c r="F2417" s="4" t="str">
        <f>IF(OR(A2417="",E2417="","",A2417="?",E2417="?"),"duplicate?",IF(COUNTIFS($A:A,A2417,E:E,E2417)&gt;1,"yes","no"))</f>
        <v>duplicate?</v>
      </c>
      <c r="K2417" s="97" t="str">
        <f ca="1">IF(J2417="","Date",IF(J2417&lt;&gt;"",IF(K2417="Date",NOW(),K2417),""))</f>
        <v>Date</v>
      </c>
    </row>
    <row r="2418" spans="2:11">
      <c r="B2418" s="97" t="str">
        <f ca="1">IF(A2418="","Date",IF(A2418&lt;&gt;"",IF(B2418="Date",NOW(),B2418),""))</f>
        <v>Date</v>
      </c>
      <c r="C2418" s="19" t="str">
        <f>IF(ISBLANK(A2418),"Name",IF(ISNA(VLOOKUP(A2418,'Master List'!A:C,2,FALSE)), "Not Found", VLOOKUP(A2418,'Master List'!A:C,2,FALSE)))</f>
        <v>Name</v>
      </c>
      <c r="D2418" s="19" t="str">
        <f>IF(ISBLANK(A2418), "Email",IF(ISNA(VLOOKUP(A2418,'Master List'!A:C,3,FALSE)), "Not Found", VLOOKUP(A2418,'Master List'!A:C,3,FALSE)))</f>
        <v>Email</v>
      </c>
      <c r="F2418" s="4" t="str">
        <f>IF(OR(A2418="",E2418="","",A2418="?",E2418="?"),"duplicate?",IF(COUNTIFS($A:A,A2418,E:E,E2418)&gt;1,"yes","no"))</f>
        <v>duplicate?</v>
      </c>
      <c r="K2418" s="97" t="str">
        <f ca="1">IF(J2418="","Date",IF(J2418&lt;&gt;"",IF(K2418="Date",NOW(),K2418),""))</f>
        <v>Date</v>
      </c>
    </row>
    <row r="2419" spans="2:11">
      <c r="B2419" s="97" t="str">
        <f ca="1">IF(A2419="","Date",IF(A2419&lt;&gt;"",IF(B2419="Date",NOW(),B2419),""))</f>
        <v>Date</v>
      </c>
      <c r="C2419" s="19" t="str">
        <f>IF(ISBLANK(A2419),"Name",IF(ISNA(VLOOKUP(A2419,'Master List'!A:C,2,FALSE)), "Not Found", VLOOKUP(A2419,'Master List'!A:C,2,FALSE)))</f>
        <v>Name</v>
      </c>
      <c r="D2419" s="19" t="str">
        <f>IF(ISBLANK(A2419), "Email",IF(ISNA(VLOOKUP(A2419,'Master List'!A:C,3,FALSE)), "Not Found", VLOOKUP(A2419,'Master List'!A:C,3,FALSE)))</f>
        <v>Email</v>
      </c>
      <c r="F2419" s="4" t="str">
        <f>IF(OR(A2419="",E2419="","",A2419="?",E2419="?"),"duplicate?",IF(COUNTIFS($A:A,A2419,E:E,E2419)&gt;1,"yes","no"))</f>
        <v>duplicate?</v>
      </c>
      <c r="K2419" s="97" t="str">
        <f ca="1">IF(J2419="","Date",IF(J2419&lt;&gt;"",IF(K2419="Date",NOW(),K2419),""))</f>
        <v>Date</v>
      </c>
    </row>
    <row r="2420" spans="2:11">
      <c r="B2420" s="97" t="str">
        <f ca="1">IF(A2420="","Date",IF(A2420&lt;&gt;"",IF(B2420="Date",NOW(),B2420),""))</f>
        <v>Date</v>
      </c>
      <c r="C2420" s="19" t="str">
        <f>IF(ISBLANK(A2420),"Name",IF(ISNA(VLOOKUP(A2420,'Master List'!A:C,2,FALSE)), "Not Found", VLOOKUP(A2420,'Master List'!A:C,2,FALSE)))</f>
        <v>Name</v>
      </c>
      <c r="D2420" s="19" t="str">
        <f>IF(ISBLANK(A2420), "Email",IF(ISNA(VLOOKUP(A2420,'Master List'!A:C,3,FALSE)), "Not Found", VLOOKUP(A2420,'Master List'!A:C,3,FALSE)))</f>
        <v>Email</v>
      </c>
      <c r="F2420" s="4" t="str">
        <f>IF(OR(A2420="",E2420="","",A2420="?",E2420="?"),"duplicate?",IF(COUNTIFS($A:A,A2420,E:E,E2420)&gt;1,"yes","no"))</f>
        <v>duplicate?</v>
      </c>
      <c r="K2420" s="97" t="str">
        <f ca="1">IF(J2420="","Date",IF(J2420&lt;&gt;"",IF(K2420="Date",NOW(),K2420),""))</f>
        <v>Date</v>
      </c>
    </row>
    <row r="2421" spans="2:11">
      <c r="B2421" s="97" t="str">
        <f ca="1">IF(A2421="","Date",IF(A2421&lt;&gt;"",IF(B2421="Date",NOW(),B2421),""))</f>
        <v>Date</v>
      </c>
      <c r="C2421" s="19" t="str">
        <f>IF(ISBLANK(A2421),"Name",IF(ISNA(VLOOKUP(A2421,'Master List'!A:C,2,FALSE)), "Not Found", VLOOKUP(A2421,'Master List'!A:C,2,FALSE)))</f>
        <v>Name</v>
      </c>
      <c r="D2421" s="19" t="str">
        <f>IF(ISBLANK(A2421), "Email",IF(ISNA(VLOOKUP(A2421,'Master List'!A:C,3,FALSE)), "Not Found", VLOOKUP(A2421,'Master List'!A:C,3,FALSE)))</f>
        <v>Email</v>
      </c>
      <c r="F2421" s="4" t="str">
        <f>IF(OR(A2421="",E2421="","",A2421="?",E2421="?"),"duplicate?",IF(COUNTIFS($A:A,A2421,E:E,E2421)&gt;1,"yes","no"))</f>
        <v>duplicate?</v>
      </c>
      <c r="K2421" s="97" t="str">
        <f ca="1">IF(J2421="","Date",IF(J2421&lt;&gt;"",IF(K2421="Date",NOW(),K2421),""))</f>
        <v>Date</v>
      </c>
    </row>
    <row r="2422" spans="2:11">
      <c r="B2422" s="97" t="str">
        <f ca="1">IF(A2422="","Date",IF(A2422&lt;&gt;"",IF(B2422="Date",NOW(),B2422),""))</f>
        <v>Date</v>
      </c>
      <c r="C2422" s="19" t="str">
        <f>IF(ISBLANK(A2422),"Name",IF(ISNA(VLOOKUP(A2422,'Master List'!A:C,2,FALSE)), "Not Found", VLOOKUP(A2422,'Master List'!A:C,2,FALSE)))</f>
        <v>Name</v>
      </c>
      <c r="D2422" s="19" t="str">
        <f>IF(ISBLANK(A2422), "Email",IF(ISNA(VLOOKUP(A2422,'Master List'!A:C,3,FALSE)), "Not Found", VLOOKUP(A2422,'Master List'!A:C,3,FALSE)))</f>
        <v>Email</v>
      </c>
      <c r="F2422" s="4" t="str">
        <f>IF(OR(A2422="",E2422="","",A2422="?",E2422="?"),"duplicate?",IF(COUNTIFS($A:A,A2422,E:E,E2422)&gt;1,"yes","no"))</f>
        <v>duplicate?</v>
      </c>
      <c r="K2422" s="97" t="str">
        <f ca="1">IF(J2422="","Date",IF(J2422&lt;&gt;"",IF(K2422="Date",NOW(),K2422),""))</f>
        <v>Date</v>
      </c>
    </row>
    <row r="2423" spans="2:11">
      <c r="B2423" s="97" t="str">
        <f ca="1">IF(A2423="","Date",IF(A2423&lt;&gt;"",IF(B2423="Date",NOW(),B2423),""))</f>
        <v>Date</v>
      </c>
      <c r="C2423" s="19" t="str">
        <f>IF(ISBLANK(A2423),"Name",IF(ISNA(VLOOKUP(A2423,'Master List'!A:C,2,FALSE)), "Not Found", VLOOKUP(A2423,'Master List'!A:C,2,FALSE)))</f>
        <v>Name</v>
      </c>
      <c r="D2423" s="19" t="str">
        <f>IF(ISBLANK(A2423), "Email",IF(ISNA(VLOOKUP(A2423,'Master List'!A:C,3,FALSE)), "Not Found", VLOOKUP(A2423,'Master List'!A:C,3,FALSE)))</f>
        <v>Email</v>
      </c>
      <c r="F2423" s="4" t="str">
        <f>IF(OR(A2423="",E2423="","",A2423="?",E2423="?"),"duplicate?",IF(COUNTIFS($A:A,A2423,E:E,E2423)&gt;1,"yes","no"))</f>
        <v>duplicate?</v>
      </c>
      <c r="K2423" s="97" t="str">
        <f ca="1">IF(J2423="","Date",IF(J2423&lt;&gt;"",IF(K2423="Date",NOW(),K2423),""))</f>
        <v>Date</v>
      </c>
    </row>
    <row r="2424" spans="2:11">
      <c r="B2424" s="97" t="str">
        <f ca="1">IF(A2424="","Date",IF(A2424&lt;&gt;"",IF(B2424="Date",NOW(),B2424),""))</f>
        <v>Date</v>
      </c>
      <c r="C2424" s="19" t="str">
        <f>IF(ISBLANK(A2424),"Name",IF(ISNA(VLOOKUP(A2424,'Master List'!A:C,2,FALSE)), "Not Found", VLOOKUP(A2424,'Master List'!A:C,2,FALSE)))</f>
        <v>Name</v>
      </c>
      <c r="D2424" s="19" t="str">
        <f>IF(ISBLANK(A2424), "Email",IF(ISNA(VLOOKUP(A2424,'Master List'!A:C,3,FALSE)), "Not Found", VLOOKUP(A2424,'Master List'!A:C,3,FALSE)))</f>
        <v>Email</v>
      </c>
      <c r="F2424" s="4" t="str">
        <f>IF(OR(A2424="",E2424="","",A2424="?",E2424="?"),"duplicate?",IF(COUNTIFS($A:A,A2424,E:E,E2424)&gt;1,"yes","no"))</f>
        <v>duplicate?</v>
      </c>
      <c r="K2424" s="97" t="str">
        <f ca="1">IF(J2424="","Date",IF(J2424&lt;&gt;"",IF(K2424="Date",NOW(),K2424),""))</f>
        <v>Date</v>
      </c>
    </row>
    <row r="2425" spans="2:11">
      <c r="B2425" s="97" t="str">
        <f ca="1">IF(A2425="","Date",IF(A2425&lt;&gt;"",IF(B2425="Date",NOW(),B2425),""))</f>
        <v>Date</v>
      </c>
      <c r="C2425" s="19" t="str">
        <f>IF(ISBLANK(A2425),"Name",IF(ISNA(VLOOKUP(A2425,'Master List'!A:C,2,FALSE)), "Not Found", VLOOKUP(A2425,'Master List'!A:C,2,FALSE)))</f>
        <v>Name</v>
      </c>
      <c r="D2425" s="19" t="str">
        <f>IF(ISBLANK(A2425), "Email",IF(ISNA(VLOOKUP(A2425,'Master List'!A:C,3,FALSE)), "Not Found", VLOOKUP(A2425,'Master List'!A:C,3,FALSE)))</f>
        <v>Email</v>
      </c>
      <c r="F2425" s="4" t="str">
        <f>IF(OR(A2425="",E2425="","",A2425="?",E2425="?"),"duplicate?",IF(COUNTIFS($A:A,A2425,E:E,E2425)&gt;1,"yes","no"))</f>
        <v>duplicate?</v>
      </c>
      <c r="K2425" s="97" t="str">
        <f ca="1">IF(J2425="","Date",IF(J2425&lt;&gt;"",IF(K2425="Date",NOW(),K2425),""))</f>
        <v>Date</v>
      </c>
    </row>
    <row r="2426" spans="2:11">
      <c r="B2426" s="97" t="str">
        <f ca="1">IF(A2426="","Date",IF(A2426&lt;&gt;"",IF(B2426="Date",NOW(),B2426),""))</f>
        <v>Date</v>
      </c>
      <c r="C2426" s="19" t="str">
        <f>IF(ISBLANK(A2426),"Name",IF(ISNA(VLOOKUP(A2426,'Master List'!A:C,2,FALSE)), "Not Found", VLOOKUP(A2426,'Master List'!A:C,2,FALSE)))</f>
        <v>Name</v>
      </c>
      <c r="D2426" s="19" t="str">
        <f>IF(ISBLANK(A2426), "Email",IF(ISNA(VLOOKUP(A2426,'Master List'!A:C,3,FALSE)), "Not Found", VLOOKUP(A2426,'Master List'!A:C,3,FALSE)))</f>
        <v>Email</v>
      </c>
      <c r="F2426" s="4" t="str">
        <f>IF(OR(A2426="",E2426="","",A2426="?",E2426="?"),"duplicate?",IF(COUNTIFS($A:A,A2426,E:E,E2426)&gt;1,"yes","no"))</f>
        <v>duplicate?</v>
      </c>
      <c r="K2426" s="97" t="str">
        <f ca="1">IF(J2426="","Date",IF(J2426&lt;&gt;"",IF(K2426="Date",NOW(),K2426),""))</f>
        <v>Date</v>
      </c>
    </row>
    <row r="2427" spans="2:11">
      <c r="B2427" s="97" t="str">
        <f ca="1">IF(A2427="","Date",IF(A2427&lt;&gt;"",IF(B2427="Date",NOW(),B2427),""))</f>
        <v>Date</v>
      </c>
      <c r="C2427" s="19" t="str">
        <f>IF(ISBLANK(A2427),"Name",IF(ISNA(VLOOKUP(A2427,'Master List'!A:C,2,FALSE)), "Not Found", VLOOKUP(A2427,'Master List'!A:C,2,FALSE)))</f>
        <v>Name</v>
      </c>
      <c r="D2427" s="19" t="str">
        <f>IF(ISBLANK(A2427), "Email",IF(ISNA(VLOOKUP(A2427,'Master List'!A:C,3,FALSE)), "Not Found", VLOOKUP(A2427,'Master List'!A:C,3,FALSE)))</f>
        <v>Email</v>
      </c>
      <c r="F2427" s="4" t="str">
        <f>IF(OR(A2427="",E2427="","",A2427="?",E2427="?"),"duplicate?",IF(COUNTIFS($A:A,A2427,E:E,E2427)&gt;1,"yes","no"))</f>
        <v>duplicate?</v>
      </c>
      <c r="K2427" s="97" t="str">
        <f ca="1">IF(J2427="","Date",IF(J2427&lt;&gt;"",IF(K2427="Date",NOW(),K2427),""))</f>
        <v>Date</v>
      </c>
    </row>
    <row r="2428" spans="2:11">
      <c r="B2428" s="97" t="str">
        <f ca="1">IF(A2428="","Date",IF(A2428&lt;&gt;"",IF(B2428="Date",NOW(),B2428),""))</f>
        <v>Date</v>
      </c>
      <c r="C2428" s="19" t="str">
        <f>IF(ISBLANK(A2428),"Name",IF(ISNA(VLOOKUP(A2428,'Master List'!A:C,2,FALSE)), "Not Found", VLOOKUP(A2428,'Master List'!A:C,2,FALSE)))</f>
        <v>Name</v>
      </c>
      <c r="D2428" s="19" t="str">
        <f>IF(ISBLANK(A2428), "Email",IF(ISNA(VLOOKUP(A2428,'Master List'!A:C,3,FALSE)), "Not Found", VLOOKUP(A2428,'Master List'!A:C,3,FALSE)))</f>
        <v>Email</v>
      </c>
      <c r="F2428" s="4" t="str">
        <f>IF(OR(A2428="",E2428="","",A2428="?",E2428="?"),"duplicate?",IF(COUNTIFS($A:A,A2428,E:E,E2428)&gt;1,"yes","no"))</f>
        <v>duplicate?</v>
      </c>
      <c r="K2428" s="97" t="str">
        <f ca="1">IF(J2428="","Date",IF(J2428&lt;&gt;"",IF(K2428="Date",NOW(),K2428),""))</f>
        <v>Date</v>
      </c>
    </row>
    <row r="2429" spans="2:11">
      <c r="B2429" s="97" t="str">
        <f ca="1">IF(A2429="","Date",IF(A2429&lt;&gt;"",IF(B2429="Date",NOW(),B2429),""))</f>
        <v>Date</v>
      </c>
      <c r="C2429" s="19" t="str">
        <f>IF(ISBLANK(A2429),"Name",IF(ISNA(VLOOKUP(A2429,'Master List'!A:C,2,FALSE)), "Not Found", VLOOKUP(A2429,'Master List'!A:C,2,FALSE)))</f>
        <v>Name</v>
      </c>
      <c r="D2429" s="19" t="str">
        <f>IF(ISBLANK(A2429), "Email",IF(ISNA(VLOOKUP(A2429,'Master List'!A:C,3,FALSE)), "Not Found", VLOOKUP(A2429,'Master List'!A:C,3,FALSE)))</f>
        <v>Email</v>
      </c>
      <c r="F2429" s="4" t="str">
        <f>IF(OR(A2429="",E2429="","",A2429="?",E2429="?"),"duplicate?",IF(COUNTIFS($A:A,A2429,E:E,E2429)&gt;1,"yes","no"))</f>
        <v>duplicate?</v>
      </c>
      <c r="K2429" s="97" t="str">
        <f ca="1">IF(J2429="","Date",IF(J2429&lt;&gt;"",IF(K2429="Date",NOW(),K2429),""))</f>
        <v>Date</v>
      </c>
    </row>
    <row r="2430" spans="2:11">
      <c r="B2430" s="97" t="str">
        <f ca="1">IF(A2430="","Date",IF(A2430&lt;&gt;"",IF(B2430="Date",NOW(),B2430),""))</f>
        <v>Date</v>
      </c>
      <c r="C2430" s="19" t="str">
        <f>IF(ISBLANK(A2430),"Name",IF(ISNA(VLOOKUP(A2430,'Master List'!A:C,2,FALSE)), "Not Found", VLOOKUP(A2430,'Master List'!A:C,2,FALSE)))</f>
        <v>Name</v>
      </c>
      <c r="D2430" s="19" t="str">
        <f>IF(ISBLANK(A2430), "Email",IF(ISNA(VLOOKUP(A2430,'Master List'!A:C,3,FALSE)), "Not Found", VLOOKUP(A2430,'Master List'!A:C,3,FALSE)))</f>
        <v>Email</v>
      </c>
      <c r="F2430" s="4" t="str">
        <f>IF(OR(A2430="",E2430="","",A2430="?",E2430="?"),"duplicate?",IF(COUNTIFS($A:A,A2430,E:E,E2430)&gt;1,"yes","no"))</f>
        <v>duplicate?</v>
      </c>
      <c r="K2430" s="97" t="str">
        <f ca="1">IF(J2430="","Date",IF(J2430&lt;&gt;"",IF(K2430="Date",NOW(),K2430),""))</f>
        <v>Date</v>
      </c>
    </row>
    <row r="2431" spans="2:11">
      <c r="B2431" s="97" t="str">
        <f ca="1">IF(A2431="","Date",IF(A2431&lt;&gt;"",IF(B2431="Date",NOW(),B2431),""))</f>
        <v>Date</v>
      </c>
      <c r="C2431" s="19" t="str">
        <f>IF(ISBLANK(A2431),"Name",IF(ISNA(VLOOKUP(A2431,'Master List'!A:C,2,FALSE)), "Not Found", VLOOKUP(A2431,'Master List'!A:C,2,FALSE)))</f>
        <v>Name</v>
      </c>
      <c r="D2431" s="19" t="str">
        <f>IF(ISBLANK(A2431), "Email",IF(ISNA(VLOOKUP(A2431,'Master List'!A:C,3,FALSE)), "Not Found", VLOOKUP(A2431,'Master List'!A:C,3,FALSE)))</f>
        <v>Email</v>
      </c>
      <c r="F2431" s="4" t="str">
        <f>IF(OR(A2431="",E2431="","",A2431="?",E2431="?"),"duplicate?",IF(COUNTIFS($A:A,A2431,E:E,E2431)&gt;1,"yes","no"))</f>
        <v>duplicate?</v>
      </c>
      <c r="K2431" s="97" t="str">
        <f ca="1">IF(J2431="","Date",IF(J2431&lt;&gt;"",IF(K2431="Date",NOW(),K2431),""))</f>
        <v>Date</v>
      </c>
    </row>
    <row r="2432" spans="2:11">
      <c r="B2432" s="97" t="str">
        <f ca="1">IF(A2432="","Date",IF(A2432&lt;&gt;"",IF(B2432="Date",NOW(),B2432),""))</f>
        <v>Date</v>
      </c>
      <c r="C2432" s="19" t="str">
        <f>IF(ISBLANK(A2432),"Name",IF(ISNA(VLOOKUP(A2432,'Master List'!A:C,2,FALSE)), "Not Found", VLOOKUP(A2432,'Master List'!A:C,2,FALSE)))</f>
        <v>Name</v>
      </c>
      <c r="D2432" s="19" t="str">
        <f>IF(ISBLANK(A2432), "Email",IF(ISNA(VLOOKUP(A2432,'Master List'!A:C,3,FALSE)), "Not Found", VLOOKUP(A2432,'Master List'!A:C,3,FALSE)))</f>
        <v>Email</v>
      </c>
      <c r="F2432" s="4" t="str">
        <f>IF(OR(A2432="",E2432="","",A2432="?",E2432="?"),"duplicate?",IF(COUNTIFS($A:A,A2432,E:E,E2432)&gt;1,"yes","no"))</f>
        <v>duplicate?</v>
      </c>
      <c r="K2432" s="97" t="str">
        <f ca="1">IF(J2432="","Date",IF(J2432&lt;&gt;"",IF(K2432="Date",NOW(),K2432),""))</f>
        <v>Date</v>
      </c>
    </row>
    <row r="2433" spans="2:11">
      <c r="B2433" s="97" t="str">
        <f ca="1">IF(A2433="","Date",IF(A2433&lt;&gt;"",IF(B2433="Date",NOW(),B2433),""))</f>
        <v>Date</v>
      </c>
      <c r="C2433" s="19" t="str">
        <f>IF(ISBLANK(A2433),"Name",IF(ISNA(VLOOKUP(A2433,'Master List'!A:C,2,FALSE)), "Not Found", VLOOKUP(A2433,'Master List'!A:C,2,FALSE)))</f>
        <v>Name</v>
      </c>
      <c r="D2433" s="19" t="str">
        <f>IF(ISBLANK(A2433), "Email",IF(ISNA(VLOOKUP(A2433,'Master List'!A:C,3,FALSE)), "Not Found", VLOOKUP(A2433,'Master List'!A:C,3,FALSE)))</f>
        <v>Email</v>
      </c>
      <c r="F2433" s="4" t="str">
        <f>IF(OR(A2433="",E2433="","",A2433="?",E2433="?"),"duplicate?",IF(COUNTIFS($A:A,A2433,E:E,E2433)&gt;1,"yes","no"))</f>
        <v>duplicate?</v>
      </c>
      <c r="K2433" s="97" t="str">
        <f ca="1">IF(J2433="","Date",IF(J2433&lt;&gt;"",IF(K2433="Date",NOW(),K2433),""))</f>
        <v>Date</v>
      </c>
    </row>
    <row r="2434" spans="2:11">
      <c r="B2434" s="97" t="str">
        <f ca="1">IF(A2434="","Date",IF(A2434&lt;&gt;"",IF(B2434="Date",NOW(),B2434),""))</f>
        <v>Date</v>
      </c>
      <c r="C2434" s="19" t="str">
        <f>IF(ISBLANK(A2434),"Name",IF(ISNA(VLOOKUP(A2434,'Master List'!A:C,2,FALSE)), "Not Found", VLOOKUP(A2434,'Master List'!A:C,2,FALSE)))</f>
        <v>Name</v>
      </c>
      <c r="D2434" s="19" t="str">
        <f>IF(ISBLANK(A2434), "Email",IF(ISNA(VLOOKUP(A2434,'Master List'!A:C,3,FALSE)), "Not Found", VLOOKUP(A2434,'Master List'!A:C,3,FALSE)))</f>
        <v>Email</v>
      </c>
      <c r="F2434" s="4" t="str">
        <f>IF(OR(A2434="",E2434="","",A2434="?",E2434="?"),"duplicate?",IF(COUNTIFS($A:A,A2434,E:E,E2434)&gt;1,"yes","no"))</f>
        <v>duplicate?</v>
      </c>
      <c r="K2434" s="97" t="str">
        <f ca="1">IF(J2434="","Date",IF(J2434&lt;&gt;"",IF(K2434="Date",NOW(),K2434),""))</f>
        <v>Date</v>
      </c>
    </row>
    <row r="2435" spans="2:11">
      <c r="B2435" s="97" t="str">
        <f ca="1">IF(A2435="","Date",IF(A2435&lt;&gt;"",IF(B2435="Date",NOW(),B2435),""))</f>
        <v>Date</v>
      </c>
      <c r="C2435" s="19" t="str">
        <f>IF(ISBLANK(A2435),"Name",IF(ISNA(VLOOKUP(A2435,'Master List'!A:C,2,FALSE)), "Not Found", VLOOKUP(A2435,'Master List'!A:C,2,FALSE)))</f>
        <v>Name</v>
      </c>
      <c r="D2435" s="19" t="str">
        <f>IF(ISBLANK(A2435), "Email",IF(ISNA(VLOOKUP(A2435,'Master List'!A:C,3,FALSE)), "Not Found", VLOOKUP(A2435,'Master List'!A:C,3,FALSE)))</f>
        <v>Email</v>
      </c>
      <c r="F2435" s="4" t="str">
        <f>IF(OR(A2435="",E2435="","",A2435="?",E2435="?"),"duplicate?",IF(COUNTIFS($A:A,A2435,E:E,E2435)&gt;1,"yes","no"))</f>
        <v>duplicate?</v>
      </c>
      <c r="K2435" s="97" t="str">
        <f ca="1">IF(J2435="","Date",IF(J2435&lt;&gt;"",IF(K2435="Date",NOW(),K2435),""))</f>
        <v>Date</v>
      </c>
    </row>
    <row r="2436" spans="2:11">
      <c r="B2436" s="97" t="str">
        <f ca="1">IF(A2436="","Date",IF(A2436&lt;&gt;"",IF(B2436="Date",NOW(),B2436),""))</f>
        <v>Date</v>
      </c>
      <c r="C2436" s="19" t="str">
        <f>IF(ISBLANK(A2436),"Name",IF(ISNA(VLOOKUP(A2436,'Master List'!A:C,2,FALSE)), "Not Found", VLOOKUP(A2436,'Master List'!A:C,2,FALSE)))</f>
        <v>Name</v>
      </c>
      <c r="D2436" s="19" t="str">
        <f>IF(ISBLANK(A2436), "Email",IF(ISNA(VLOOKUP(A2436,'Master List'!A:C,3,FALSE)), "Not Found", VLOOKUP(A2436,'Master List'!A:C,3,FALSE)))</f>
        <v>Email</v>
      </c>
      <c r="F2436" s="4" t="str">
        <f>IF(OR(A2436="",E2436="","",A2436="?",E2436="?"),"duplicate?",IF(COUNTIFS($A:A,A2436,E:E,E2436)&gt;1,"yes","no"))</f>
        <v>duplicate?</v>
      </c>
      <c r="K2436" s="97" t="str">
        <f ca="1">IF(J2436="","Date",IF(J2436&lt;&gt;"",IF(K2436="Date",NOW(),K2436),""))</f>
        <v>Date</v>
      </c>
    </row>
    <row r="2437" spans="2:11">
      <c r="B2437" s="97" t="str">
        <f ca="1">IF(A2437="","Date",IF(A2437&lt;&gt;"",IF(B2437="Date",NOW(),B2437),""))</f>
        <v>Date</v>
      </c>
      <c r="C2437" s="19" t="str">
        <f>IF(ISBLANK(A2437),"Name",IF(ISNA(VLOOKUP(A2437,'Master List'!A:C,2,FALSE)), "Not Found", VLOOKUP(A2437,'Master List'!A:C,2,FALSE)))</f>
        <v>Name</v>
      </c>
      <c r="D2437" s="19" t="str">
        <f>IF(ISBLANK(A2437), "Email",IF(ISNA(VLOOKUP(A2437,'Master List'!A:C,3,FALSE)), "Not Found", VLOOKUP(A2437,'Master List'!A:C,3,FALSE)))</f>
        <v>Email</v>
      </c>
      <c r="F2437" s="4" t="str">
        <f>IF(OR(A2437="",E2437="","",A2437="?",E2437="?"),"duplicate?",IF(COUNTIFS($A:A,A2437,E:E,E2437)&gt;1,"yes","no"))</f>
        <v>duplicate?</v>
      </c>
      <c r="K2437" s="97" t="str">
        <f ca="1">IF(J2437="","Date",IF(J2437&lt;&gt;"",IF(K2437="Date",NOW(),K2437),""))</f>
        <v>Date</v>
      </c>
    </row>
    <row r="2438" spans="2:11">
      <c r="B2438" s="97" t="str">
        <f ca="1">IF(A2438="","Date",IF(A2438&lt;&gt;"",IF(B2438="Date",NOW(),B2438),""))</f>
        <v>Date</v>
      </c>
      <c r="C2438" s="19" t="str">
        <f>IF(ISBLANK(A2438),"Name",IF(ISNA(VLOOKUP(A2438,'Master List'!A:C,2,FALSE)), "Not Found", VLOOKUP(A2438,'Master List'!A:C,2,FALSE)))</f>
        <v>Name</v>
      </c>
      <c r="D2438" s="19" t="str">
        <f>IF(ISBLANK(A2438), "Email",IF(ISNA(VLOOKUP(A2438,'Master List'!A:C,3,FALSE)), "Not Found", VLOOKUP(A2438,'Master List'!A:C,3,FALSE)))</f>
        <v>Email</v>
      </c>
      <c r="F2438" s="4" t="str">
        <f>IF(OR(A2438="",E2438="","",A2438="?",E2438="?"),"duplicate?",IF(COUNTIFS($A:A,A2438,E:E,E2438)&gt;1,"yes","no"))</f>
        <v>duplicate?</v>
      </c>
      <c r="K2438" s="97" t="str">
        <f ca="1">IF(J2438="","Date",IF(J2438&lt;&gt;"",IF(K2438="Date",NOW(),K2438),""))</f>
        <v>Date</v>
      </c>
    </row>
    <row r="2439" spans="2:11">
      <c r="B2439" s="97" t="str">
        <f ca="1">IF(A2439="","Date",IF(A2439&lt;&gt;"",IF(B2439="Date",NOW(),B2439),""))</f>
        <v>Date</v>
      </c>
      <c r="C2439" s="19" t="str">
        <f>IF(ISBLANK(A2439),"Name",IF(ISNA(VLOOKUP(A2439,'Master List'!A:C,2,FALSE)), "Not Found", VLOOKUP(A2439,'Master List'!A:C,2,FALSE)))</f>
        <v>Name</v>
      </c>
      <c r="D2439" s="19" t="str">
        <f>IF(ISBLANK(A2439), "Email",IF(ISNA(VLOOKUP(A2439,'Master List'!A:C,3,FALSE)), "Not Found", VLOOKUP(A2439,'Master List'!A:C,3,FALSE)))</f>
        <v>Email</v>
      </c>
      <c r="F2439" s="4" t="str">
        <f>IF(OR(A2439="",E2439="","",A2439="?",E2439="?"),"duplicate?",IF(COUNTIFS($A:A,A2439,E:E,E2439)&gt;1,"yes","no"))</f>
        <v>duplicate?</v>
      </c>
      <c r="K2439" s="97" t="str">
        <f ca="1">IF(J2439="","Date",IF(J2439&lt;&gt;"",IF(K2439="Date",NOW(),K2439),""))</f>
        <v>Date</v>
      </c>
    </row>
    <row r="2440" spans="2:11">
      <c r="B2440" s="97" t="str">
        <f ca="1">IF(A2440="","Date",IF(A2440&lt;&gt;"",IF(B2440="Date",NOW(),B2440),""))</f>
        <v>Date</v>
      </c>
      <c r="C2440" s="19" t="str">
        <f>IF(ISBLANK(A2440),"Name",IF(ISNA(VLOOKUP(A2440,'Master List'!A:C,2,FALSE)), "Not Found", VLOOKUP(A2440,'Master List'!A:C,2,FALSE)))</f>
        <v>Name</v>
      </c>
      <c r="D2440" s="19" t="str">
        <f>IF(ISBLANK(A2440), "Email",IF(ISNA(VLOOKUP(A2440,'Master List'!A:C,3,FALSE)), "Not Found", VLOOKUP(A2440,'Master List'!A:C,3,FALSE)))</f>
        <v>Email</v>
      </c>
      <c r="F2440" s="4" t="str">
        <f>IF(OR(A2440="",E2440="","",A2440="?",E2440="?"),"duplicate?",IF(COUNTIFS($A:A,A2440,E:E,E2440)&gt;1,"yes","no"))</f>
        <v>duplicate?</v>
      </c>
      <c r="K2440" s="97" t="str">
        <f ca="1">IF(J2440="","Date",IF(J2440&lt;&gt;"",IF(K2440="Date",NOW(),K2440),""))</f>
        <v>Date</v>
      </c>
    </row>
    <row r="2441" spans="2:11">
      <c r="B2441" s="97" t="str">
        <f ca="1">IF(A2441="","Date",IF(A2441&lt;&gt;"",IF(B2441="Date",NOW(),B2441),""))</f>
        <v>Date</v>
      </c>
      <c r="C2441" s="19" t="str">
        <f>IF(ISBLANK(A2441),"Name",IF(ISNA(VLOOKUP(A2441,'Master List'!A:C,2,FALSE)), "Not Found", VLOOKUP(A2441,'Master List'!A:C,2,FALSE)))</f>
        <v>Name</v>
      </c>
      <c r="D2441" s="19" t="str">
        <f>IF(ISBLANK(A2441), "Email",IF(ISNA(VLOOKUP(A2441,'Master List'!A:C,3,FALSE)), "Not Found", VLOOKUP(A2441,'Master List'!A:C,3,FALSE)))</f>
        <v>Email</v>
      </c>
      <c r="F2441" s="4" t="str">
        <f>IF(OR(A2441="",E2441="","",A2441="?",E2441="?"),"duplicate?",IF(COUNTIFS($A:A,A2441,E:E,E2441)&gt;1,"yes","no"))</f>
        <v>duplicate?</v>
      </c>
      <c r="K2441" s="97" t="str">
        <f ca="1">IF(J2441="","Date",IF(J2441&lt;&gt;"",IF(K2441="Date",NOW(),K2441),""))</f>
        <v>Date</v>
      </c>
    </row>
    <row r="2442" spans="2:11">
      <c r="B2442" s="97" t="str">
        <f ca="1">IF(A2442="","Date",IF(A2442&lt;&gt;"",IF(B2442="Date",NOW(),B2442),""))</f>
        <v>Date</v>
      </c>
      <c r="C2442" s="19" t="str">
        <f>IF(ISBLANK(A2442),"Name",IF(ISNA(VLOOKUP(A2442,'Master List'!A:C,2,FALSE)), "Not Found", VLOOKUP(A2442,'Master List'!A:C,2,FALSE)))</f>
        <v>Name</v>
      </c>
      <c r="D2442" s="19" t="str">
        <f>IF(ISBLANK(A2442), "Email",IF(ISNA(VLOOKUP(A2442,'Master List'!A:C,3,FALSE)), "Not Found", VLOOKUP(A2442,'Master List'!A:C,3,FALSE)))</f>
        <v>Email</v>
      </c>
      <c r="F2442" s="4" t="str">
        <f>IF(OR(A2442="",E2442="","",A2442="?",E2442="?"),"duplicate?",IF(COUNTIFS($A:A,A2442,E:E,E2442)&gt;1,"yes","no"))</f>
        <v>duplicate?</v>
      </c>
      <c r="K2442" s="97" t="str">
        <f ca="1">IF(J2442="","Date",IF(J2442&lt;&gt;"",IF(K2442="Date",NOW(),K2442),""))</f>
        <v>Date</v>
      </c>
    </row>
    <row r="2443" spans="2:11">
      <c r="B2443" s="97" t="str">
        <f ca="1">IF(A2443="","Date",IF(A2443&lt;&gt;"",IF(B2443="Date",NOW(),B2443),""))</f>
        <v>Date</v>
      </c>
      <c r="C2443" s="19" t="str">
        <f>IF(ISBLANK(A2443),"Name",IF(ISNA(VLOOKUP(A2443,'Master List'!A:C,2,FALSE)), "Not Found", VLOOKUP(A2443,'Master List'!A:C,2,FALSE)))</f>
        <v>Name</v>
      </c>
      <c r="D2443" s="19" t="str">
        <f>IF(ISBLANK(A2443), "Email",IF(ISNA(VLOOKUP(A2443,'Master List'!A:C,3,FALSE)), "Not Found", VLOOKUP(A2443,'Master List'!A:C,3,FALSE)))</f>
        <v>Email</v>
      </c>
      <c r="F2443" s="4" t="str">
        <f>IF(OR(A2443="",E2443="","",A2443="?",E2443="?"),"duplicate?",IF(COUNTIFS($A:A,A2443,E:E,E2443)&gt;1,"yes","no"))</f>
        <v>duplicate?</v>
      </c>
      <c r="K2443" s="97" t="str">
        <f ca="1">IF(J2443="","Date",IF(J2443&lt;&gt;"",IF(K2443="Date",NOW(),K2443),""))</f>
        <v>Date</v>
      </c>
    </row>
    <row r="2444" spans="2:11">
      <c r="B2444" s="97" t="str">
        <f ca="1">IF(A2444="","Date",IF(A2444&lt;&gt;"",IF(B2444="Date",NOW(),B2444),""))</f>
        <v>Date</v>
      </c>
      <c r="C2444" s="19" t="str">
        <f>IF(ISBLANK(A2444),"Name",IF(ISNA(VLOOKUP(A2444,'Master List'!A:C,2,FALSE)), "Not Found", VLOOKUP(A2444,'Master List'!A:C,2,FALSE)))</f>
        <v>Name</v>
      </c>
      <c r="D2444" s="19" t="str">
        <f>IF(ISBLANK(A2444), "Email",IF(ISNA(VLOOKUP(A2444,'Master List'!A:C,3,FALSE)), "Not Found", VLOOKUP(A2444,'Master List'!A:C,3,FALSE)))</f>
        <v>Email</v>
      </c>
      <c r="F2444" s="4" t="str">
        <f>IF(OR(A2444="",E2444="","",A2444="?",E2444="?"),"duplicate?",IF(COUNTIFS($A:A,A2444,E:E,E2444)&gt;1,"yes","no"))</f>
        <v>duplicate?</v>
      </c>
      <c r="K2444" s="97" t="str">
        <f ca="1">IF(J2444="","Date",IF(J2444&lt;&gt;"",IF(K2444="Date",NOW(),K2444),""))</f>
        <v>Date</v>
      </c>
    </row>
    <row r="2445" spans="2:11">
      <c r="B2445" s="97" t="str">
        <f ca="1">IF(A2445="","Date",IF(A2445&lt;&gt;"",IF(B2445="Date",NOW(),B2445),""))</f>
        <v>Date</v>
      </c>
      <c r="C2445" s="19" t="str">
        <f>IF(ISBLANK(A2445),"Name",IF(ISNA(VLOOKUP(A2445,'Master List'!A:C,2,FALSE)), "Not Found", VLOOKUP(A2445,'Master List'!A:C,2,FALSE)))</f>
        <v>Name</v>
      </c>
      <c r="D2445" s="19" t="str">
        <f>IF(ISBLANK(A2445), "Email",IF(ISNA(VLOOKUP(A2445,'Master List'!A:C,3,FALSE)), "Not Found", VLOOKUP(A2445,'Master List'!A:C,3,FALSE)))</f>
        <v>Email</v>
      </c>
      <c r="F2445" s="4" t="str">
        <f>IF(OR(A2445="",E2445="","",A2445="?",E2445="?"),"duplicate?",IF(COUNTIFS($A:A,A2445,E:E,E2445)&gt;1,"yes","no"))</f>
        <v>duplicate?</v>
      </c>
      <c r="K2445" s="97" t="str">
        <f ca="1">IF(J2445="","Date",IF(J2445&lt;&gt;"",IF(K2445="Date",NOW(),K2445),""))</f>
        <v>Date</v>
      </c>
    </row>
    <row r="2446" spans="2:11">
      <c r="B2446" s="97" t="str">
        <f ca="1">IF(A2446="","Date",IF(A2446&lt;&gt;"",IF(B2446="Date",NOW(),B2446),""))</f>
        <v>Date</v>
      </c>
      <c r="C2446" s="19" t="str">
        <f>IF(ISBLANK(A2446),"Name",IF(ISNA(VLOOKUP(A2446,'Master List'!A:C,2,FALSE)), "Not Found", VLOOKUP(A2446,'Master List'!A:C,2,FALSE)))</f>
        <v>Name</v>
      </c>
      <c r="D2446" s="19" t="str">
        <f>IF(ISBLANK(A2446), "Email",IF(ISNA(VLOOKUP(A2446,'Master List'!A:C,3,FALSE)), "Not Found", VLOOKUP(A2446,'Master List'!A:C,3,FALSE)))</f>
        <v>Email</v>
      </c>
      <c r="F2446" s="4" t="str">
        <f>IF(OR(A2446="",E2446="","",A2446="?",E2446="?"),"duplicate?",IF(COUNTIFS($A:A,A2446,E:E,E2446)&gt;1,"yes","no"))</f>
        <v>duplicate?</v>
      </c>
      <c r="K2446" s="97" t="str">
        <f ca="1">IF(J2446="","Date",IF(J2446&lt;&gt;"",IF(K2446="Date",NOW(),K2446),""))</f>
        <v>Date</v>
      </c>
    </row>
    <row r="2447" spans="2:11">
      <c r="B2447" s="97" t="str">
        <f ca="1">IF(A2447="","Date",IF(A2447&lt;&gt;"",IF(B2447="Date",NOW(),B2447),""))</f>
        <v>Date</v>
      </c>
      <c r="C2447" s="19" t="str">
        <f>IF(ISBLANK(A2447),"Name",IF(ISNA(VLOOKUP(A2447,'Master List'!A:C,2,FALSE)), "Not Found", VLOOKUP(A2447,'Master List'!A:C,2,FALSE)))</f>
        <v>Name</v>
      </c>
      <c r="D2447" s="19" t="str">
        <f>IF(ISBLANK(A2447), "Email",IF(ISNA(VLOOKUP(A2447,'Master List'!A:C,3,FALSE)), "Not Found", VLOOKUP(A2447,'Master List'!A:C,3,FALSE)))</f>
        <v>Email</v>
      </c>
      <c r="F2447" s="4" t="str">
        <f>IF(OR(A2447="",E2447="","",A2447="?",E2447="?"),"duplicate?",IF(COUNTIFS($A:A,A2447,E:E,E2447)&gt;1,"yes","no"))</f>
        <v>duplicate?</v>
      </c>
      <c r="K2447" s="97" t="str">
        <f ca="1">IF(J2447="","Date",IF(J2447&lt;&gt;"",IF(K2447="Date",NOW(),K2447),""))</f>
        <v>Date</v>
      </c>
    </row>
    <row r="2448" spans="2:11">
      <c r="B2448" s="97" t="str">
        <f ca="1">IF(A2448="","Date",IF(A2448&lt;&gt;"",IF(B2448="Date",NOW(),B2448),""))</f>
        <v>Date</v>
      </c>
      <c r="C2448" s="19" t="str">
        <f>IF(ISBLANK(A2448),"Name",IF(ISNA(VLOOKUP(A2448,'Master List'!A:C,2,FALSE)), "Not Found", VLOOKUP(A2448,'Master List'!A:C,2,FALSE)))</f>
        <v>Name</v>
      </c>
      <c r="D2448" s="19" t="str">
        <f>IF(ISBLANK(A2448), "Email",IF(ISNA(VLOOKUP(A2448,'Master List'!A:C,3,FALSE)), "Not Found", VLOOKUP(A2448,'Master List'!A:C,3,FALSE)))</f>
        <v>Email</v>
      </c>
      <c r="F2448" s="4" t="str">
        <f>IF(OR(A2448="",E2448="","",A2448="?",E2448="?"),"duplicate?",IF(COUNTIFS($A:A,A2448,E:E,E2448)&gt;1,"yes","no"))</f>
        <v>duplicate?</v>
      </c>
      <c r="K2448" s="97" t="str">
        <f ca="1">IF(J2448="","Date",IF(J2448&lt;&gt;"",IF(K2448="Date",NOW(),K2448),""))</f>
        <v>Date</v>
      </c>
    </row>
    <row r="2449" spans="2:11">
      <c r="B2449" s="97" t="str">
        <f ca="1">IF(A2449="","Date",IF(A2449&lt;&gt;"",IF(B2449="Date",NOW(),B2449),""))</f>
        <v>Date</v>
      </c>
      <c r="C2449" s="19" t="str">
        <f>IF(ISBLANK(A2449),"Name",IF(ISNA(VLOOKUP(A2449,'Master List'!A:C,2,FALSE)), "Not Found", VLOOKUP(A2449,'Master List'!A:C,2,FALSE)))</f>
        <v>Name</v>
      </c>
      <c r="D2449" s="19" t="str">
        <f>IF(ISBLANK(A2449), "Email",IF(ISNA(VLOOKUP(A2449,'Master List'!A:C,3,FALSE)), "Not Found", VLOOKUP(A2449,'Master List'!A:C,3,FALSE)))</f>
        <v>Email</v>
      </c>
      <c r="F2449" s="4" t="str">
        <f>IF(OR(A2449="",E2449="","",A2449="?",E2449="?"),"duplicate?",IF(COUNTIFS($A:A,A2449,E:E,E2449)&gt;1,"yes","no"))</f>
        <v>duplicate?</v>
      </c>
      <c r="K2449" s="97" t="str">
        <f ca="1">IF(J2449="","Date",IF(J2449&lt;&gt;"",IF(K2449="Date",NOW(),K2449),""))</f>
        <v>Date</v>
      </c>
    </row>
    <row r="2450" spans="2:11">
      <c r="B2450" s="97" t="str">
        <f ca="1">IF(A2450="","Date",IF(A2450&lt;&gt;"",IF(B2450="Date",NOW(),B2450),""))</f>
        <v>Date</v>
      </c>
      <c r="C2450" s="19" t="str">
        <f>IF(ISBLANK(A2450),"Name",IF(ISNA(VLOOKUP(A2450,'Master List'!A:C,2,FALSE)), "Not Found", VLOOKUP(A2450,'Master List'!A:C,2,FALSE)))</f>
        <v>Name</v>
      </c>
      <c r="D2450" s="19" t="str">
        <f>IF(ISBLANK(A2450), "Email",IF(ISNA(VLOOKUP(A2450,'Master List'!A:C,3,FALSE)), "Not Found", VLOOKUP(A2450,'Master List'!A:C,3,FALSE)))</f>
        <v>Email</v>
      </c>
      <c r="F2450" s="4" t="str">
        <f>IF(OR(A2450="",E2450="","",A2450="?",E2450="?"),"duplicate?",IF(COUNTIFS($A:A,A2450,E:E,E2450)&gt;1,"yes","no"))</f>
        <v>duplicate?</v>
      </c>
      <c r="K2450" s="97" t="str">
        <f ca="1">IF(J2450="","Date",IF(J2450&lt;&gt;"",IF(K2450="Date",NOW(),K2450),""))</f>
        <v>Date</v>
      </c>
    </row>
    <row r="2451" spans="2:11">
      <c r="B2451" s="97" t="str">
        <f ca="1">IF(A2451="","Date",IF(A2451&lt;&gt;"",IF(B2451="Date",NOW(),B2451),""))</f>
        <v>Date</v>
      </c>
      <c r="C2451" s="19" t="str">
        <f>IF(ISBLANK(A2451),"Name",IF(ISNA(VLOOKUP(A2451,'Master List'!A:C,2,FALSE)), "Not Found", VLOOKUP(A2451,'Master List'!A:C,2,FALSE)))</f>
        <v>Name</v>
      </c>
      <c r="D2451" s="19" t="str">
        <f>IF(ISBLANK(A2451), "Email",IF(ISNA(VLOOKUP(A2451,'Master List'!A:C,3,FALSE)), "Not Found", VLOOKUP(A2451,'Master List'!A:C,3,FALSE)))</f>
        <v>Email</v>
      </c>
      <c r="F2451" s="4" t="str">
        <f>IF(OR(A2451="",E2451="","",A2451="?",E2451="?"),"duplicate?",IF(COUNTIFS($A:A,A2451,E:E,E2451)&gt;1,"yes","no"))</f>
        <v>duplicate?</v>
      </c>
      <c r="K2451" s="97" t="str">
        <f ca="1">IF(J2451="","Date",IF(J2451&lt;&gt;"",IF(K2451="Date",NOW(),K2451),""))</f>
        <v>Date</v>
      </c>
    </row>
    <row r="2452" spans="2:11">
      <c r="B2452" s="97" t="str">
        <f ca="1">IF(A2452="","Date",IF(A2452&lt;&gt;"",IF(B2452="Date",NOW(),B2452),""))</f>
        <v>Date</v>
      </c>
      <c r="C2452" s="19" t="str">
        <f>IF(ISBLANK(A2452),"Name",IF(ISNA(VLOOKUP(A2452,'Master List'!A:C,2,FALSE)), "Not Found", VLOOKUP(A2452,'Master List'!A:C,2,FALSE)))</f>
        <v>Name</v>
      </c>
      <c r="D2452" s="19" t="str">
        <f>IF(ISBLANK(A2452), "Email",IF(ISNA(VLOOKUP(A2452,'Master List'!A:C,3,FALSE)), "Not Found", VLOOKUP(A2452,'Master List'!A:C,3,FALSE)))</f>
        <v>Email</v>
      </c>
      <c r="F2452" s="4" t="str">
        <f>IF(OR(A2452="",E2452="","",A2452="?",E2452="?"),"duplicate?",IF(COUNTIFS($A:A,A2452,E:E,E2452)&gt;1,"yes","no"))</f>
        <v>duplicate?</v>
      </c>
      <c r="K2452" s="97" t="str">
        <f ca="1">IF(J2452="","Date",IF(J2452&lt;&gt;"",IF(K2452="Date",NOW(),K2452),""))</f>
        <v>Date</v>
      </c>
    </row>
    <row r="2453" spans="2:11">
      <c r="B2453" s="97" t="str">
        <f ca="1">IF(A2453="","Date",IF(A2453&lt;&gt;"",IF(B2453="Date",NOW(),B2453),""))</f>
        <v>Date</v>
      </c>
      <c r="C2453" s="19" t="str">
        <f>IF(ISBLANK(A2453),"Name",IF(ISNA(VLOOKUP(A2453,'Master List'!A:C,2,FALSE)), "Not Found", VLOOKUP(A2453,'Master List'!A:C,2,FALSE)))</f>
        <v>Name</v>
      </c>
      <c r="D2453" s="19" t="str">
        <f>IF(ISBLANK(A2453), "Email",IF(ISNA(VLOOKUP(A2453,'Master List'!A:C,3,FALSE)), "Not Found", VLOOKUP(A2453,'Master List'!A:C,3,FALSE)))</f>
        <v>Email</v>
      </c>
      <c r="F2453" s="4" t="str">
        <f>IF(OR(A2453="",E2453="","",A2453="?",E2453="?"),"duplicate?",IF(COUNTIFS($A:A,A2453,E:E,E2453)&gt;1,"yes","no"))</f>
        <v>duplicate?</v>
      </c>
      <c r="K2453" s="97" t="str">
        <f ca="1">IF(J2453="","Date",IF(J2453&lt;&gt;"",IF(K2453="Date",NOW(),K2453),""))</f>
        <v>Date</v>
      </c>
    </row>
    <row r="2454" spans="2:11">
      <c r="B2454" s="97" t="str">
        <f ca="1">IF(A2454="","Date",IF(A2454&lt;&gt;"",IF(B2454="Date",NOW(),B2454),""))</f>
        <v>Date</v>
      </c>
      <c r="C2454" s="19" t="str">
        <f>IF(ISBLANK(A2454),"Name",IF(ISNA(VLOOKUP(A2454,'Master List'!A:C,2,FALSE)), "Not Found", VLOOKUP(A2454,'Master List'!A:C,2,FALSE)))</f>
        <v>Name</v>
      </c>
      <c r="D2454" s="19" t="str">
        <f>IF(ISBLANK(A2454), "Email",IF(ISNA(VLOOKUP(A2454,'Master List'!A:C,3,FALSE)), "Not Found", VLOOKUP(A2454,'Master List'!A:C,3,FALSE)))</f>
        <v>Email</v>
      </c>
      <c r="F2454" s="4" t="str">
        <f>IF(OR(A2454="",E2454="","",A2454="?",E2454="?"),"duplicate?",IF(COUNTIFS($A:A,A2454,E:E,E2454)&gt;1,"yes","no"))</f>
        <v>duplicate?</v>
      </c>
      <c r="K2454" s="97" t="str">
        <f ca="1">IF(J2454="","Date",IF(J2454&lt;&gt;"",IF(K2454="Date",NOW(),K2454),""))</f>
        <v>Date</v>
      </c>
    </row>
    <row r="2455" spans="2:11">
      <c r="B2455" s="97" t="str">
        <f ca="1">IF(A2455="","Date",IF(A2455&lt;&gt;"",IF(B2455="Date",NOW(),B2455),""))</f>
        <v>Date</v>
      </c>
      <c r="C2455" s="19" t="str">
        <f>IF(ISBLANK(A2455),"Name",IF(ISNA(VLOOKUP(A2455,'Master List'!A:C,2,FALSE)), "Not Found", VLOOKUP(A2455,'Master List'!A:C,2,FALSE)))</f>
        <v>Name</v>
      </c>
      <c r="D2455" s="19" t="str">
        <f>IF(ISBLANK(A2455), "Email",IF(ISNA(VLOOKUP(A2455,'Master List'!A:C,3,FALSE)), "Not Found", VLOOKUP(A2455,'Master List'!A:C,3,FALSE)))</f>
        <v>Email</v>
      </c>
      <c r="F2455" s="4" t="str">
        <f>IF(OR(A2455="",E2455="","",A2455="?",E2455="?"),"duplicate?",IF(COUNTIFS($A:A,A2455,E:E,E2455)&gt;1,"yes","no"))</f>
        <v>duplicate?</v>
      </c>
      <c r="K2455" s="97" t="str">
        <f ca="1">IF(J2455="","Date",IF(J2455&lt;&gt;"",IF(K2455="Date",NOW(),K2455),""))</f>
        <v>Date</v>
      </c>
    </row>
    <row r="2456" spans="2:11">
      <c r="B2456" s="97" t="str">
        <f ca="1">IF(A2456="","Date",IF(A2456&lt;&gt;"",IF(B2456="Date",NOW(),B2456),""))</f>
        <v>Date</v>
      </c>
      <c r="C2456" s="19" t="str">
        <f>IF(ISBLANK(A2456),"Name",IF(ISNA(VLOOKUP(A2456,'Master List'!A:C,2,FALSE)), "Not Found", VLOOKUP(A2456,'Master List'!A:C,2,FALSE)))</f>
        <v>Name</v>
      </c>
      <c r="D2456" s="19" t="str">
        <f>IF(ISBLANK(A2456), "Email",IF(ISNA(VLOOKUP(A2456,'Master List'!A:C,3,FALSE)), "Not Found", VLOOKUP(A2456,'Master List'!A:C,3,FALSE)))</f>
        <v>Email</v>
      </c>
      <c r="F2456" s="4" t="str">
        <f>IF(OR(A2456="",E2456="","",A2456="?",E2456="?"),"duplicate?",IF(COUNTIFS($A:A,A2456,E:E,E2456)&gt;1,"yes","no"))</f>
        <v>duplicate?</v>
      </c>
      <c r="K2456" s="97" t="str">
        <f ca="1">IF(J2456="","Date",IF(J2456&lt;&gt;"",IF(K2456="Date",NOW(),K2456),""))</f>
        <v>Date</v>
      </c>
    </row>
    <row r="2457" spans="2:11">
      <c r="B2457" s="97" t="str">
        <f ca="1">IF(A2457="","Date",IF(A2457&lt;&gt;"",IF(B2457="Date",NOW(),B2457),""))</f>
        <v>Date</v>
      </c>
      <c r="C2457" s="19" t="str">
        <f>IF(ISBLANK(A2457),"Name",IF(ISNA(VLOOKUP(A2457,'Master List'!A:C,2,FALSE)), "Not Found", VLOOKUP(A2457,'Master List'!A:C,2,FALSE)))</f>
        <v>Name</v>
      </c>
      <c r="D2457" s="19" t="str">
        <f>IF(ISBLANK(A2457), "Email",IF(ISNA(VLOOKUP(A2457,'Master List'!A:C,3,FALSE)), "Not Found", VLOOKUP(A2457,'Master List'!A:C,3,FALSE)))</f>
        <v>Email</v>
      </c>
      <c r="F2457" s="4" t="str">
        <f>IF(OR(A2457="",E2457="","",A2457="?",E2457="?"),"duplicate?",IF(COUNTIFS($A:A,A2457,E:E,E2457)&gt;1,"yes","no"))</f>
        <v>duplicate?</v>
      </c>
      <c r="K2457" s="97" t="str">
        <f ca="1">IF(J2457="","Date",IF(J2457&lt;&gt;"",IF(K2457="Date",NOW(),K2457),""))</f>
        <v>Date</v>
      </c>
    </row>
    <row r="2458" spans="2:11">
      <c r="B2458" s="97" t="str">
        <f ca="1">IF(A2458="","Date",IF(A2458&lt;&gt;"",IF(B2458="Date",NOW(),B2458),""))</f>
        <v>Date</v>
      </c>
      <c r="C2458" s="19" t="str">
        <f>IF(ISBLANK(A2458),"Name",IF(ISNA(VLOOKUP(A2458,'Master List'!A:C,2,FALSE)), "Not Found", VLOOKUP(A2458,'Master List'!A:C,2,FALSE)))</f>
        <v>Name</v>
      </c>
      <c r="D2458" s="19" t="str">
        <f>IF(ISBLANK(A2458), "Email",IF(ISNA(VLOOKUP(A2458,'Master List'!A:C,3,FALSE)), "Not Found", VLOOKUP(A2458,'Master List'!A:C,3,FALSE)))</f>
        <v>Email</v>
      </c>
      <c r="F2458" s="4" t="str">
        <f>IF(OR(A2458="",E2458="","",A2458="?",E2458="?"),"duplicate?",IF(COUNTIFS($A:A,A2458,E:E,E2458)&gt;1,"yes","no"))</f>
        <v>duplicate?</v>
      </c>
      <c r="K2458" s="97" t="str">
        <f ca="1">IF(J2458="","Date",IF(J2458&lt;&gt;"",IF(K2458="Date",NOW(),K2458),""))</f>
        <v>Date</v>
      </c>
    </row>
    <row r="2459" spans="2:11">
      <c r="B2459" s="97" t="str">
        <f ca="1">IF(A2459="","Date",IF(A2459&lt;&gt;"",IF(B2459="Date",NOW(),B2459),""))</f>
        <v>Date</v>
      </c>
      <c r="C2459" s="19" t="str">
        <f>IF(ISBLANK(A2459),"Name",IF(ISNA(VLOOKUP(A2459,'Master List'!A:C,2,FALSE)), "Not Found", VLOOKUP(A2459,'Master List'!A:C,2,FALSE)))</f>
        <v>Name</v>
      </c>
      <c r="D2459" s="19" t="str">
        <f>IF(ISBLANK(A2459), "Email",IF(ISNA(VLOOKUP(A2459,'Master List'!A:C,3,FALSE)), "Not Found", VLOOKUP(A2459,'Master List'!A:C,3,FALSE)))</f>
        <v>Email</v>
      </c>
      <c r="F2459" s="4" t="str">
        <f>IF(OR(A2459="",E2459="","",A2459="?",E2459="?"),"duplicate?",IF(COUNTIFS($A:A,A2459,E:E,E2459)&gt;1,"yes","no"))</f>
        <v>duplicate?</v>
      </c>
      <c r="K2459" s="97" t="str">
        <f ca="1">IF(J2459="","Date",IF(J2459&lt;&gt;"",IF(K2459="Date",NOW(),K2459),""))</f>
        <v>Date</v>
      </c>
    </row>
    <row r="2460" spans="2:11">
      <c r="B2460" s="97" t="str">
        <f ca="1">IF(A2460="","Date",IF(A2460&lt;&gt;"",IF(B2460="Date",NOW(),B2460),""))</f>
        <v>Date</v>
      </c>
      <c r="C2460" s="19" t="str">
        <f>IF(ISBLANK(A2460),"Name",IF(ISNA(VLOOKUP(A2460,'Master List'!A:C,2,FALSE)), "Not Found", VLOOKUP(A2460,'Master List'!A:C,2,FALSE)))</f>
        <v>Name</v>
      </c>
      <c r="D2460" s="19" t="str">
        <f>IF(ISBLANK(A2460), "Email",IF(ISNA(VLOOKUP(A2460,'Master List'!A:C,3,FALSE)), "Not Found", VLOOKUP(A2460,'Master List'!A:C,3,FALSE)))</f>
        <v>Email</v>
      </c>
      <c r="F2460" s="4" t="str">
        <f>IF(OR(A2460="",E2460="","",A2460="?",E2460="?"),"duplicate?",IF(COUNTIFS($A:A,A2460,E:E,E2460)&gt;1,"yes","no"))</f>
        <v>duplicate?</v>
      </c>
      <c r="K2460" s="97" t="str">
        <f ca="1">IF(J2460="","Date",IF(J2460&lt;&gt;"",IF(K2460="Date",NOW(),K2460),""))</f>
        <v>Date</v>
      </c>
    </row>
    <row r="2461" spans="2:11">
      <c r="B2461" s="97" t="str">
        <f ca="1">IF(A2461="","Date",IF(A2461&lt;&gt;"",IF(B2461="Date",NOW(),B2461),""))</f>
        <v>Date</v>
      </c>
      <c r="C2461" s="19" t="str">
        <f>IF(ISBLANK(A2461),"Name",IF(ISNA(VLOOKUP(A2461,'Master List'!A:C,2,FALSE)), "Not Found", VLOOKUP(A2461,'Master List'!A:C,2,FALSE)))</f>
        <v>Name</v>
      </c>
      <c r="D2461" s="19" t="str">
        <f>IF(ISBLANK(A2461), "Email",IF(ISNA(VLOOKUP(A2461,'Master List'!A:C,3,FALSE)), "Not Found", VLOOKUP(A2461,'Master List'!A:C,3,FALSE)))</f>
        <v>Email</v>
      </c>
      <c r="F2461" s="4" t="str">
        <f>IF(OR(A2461="",E2461="","",A2461="?",E2461="?"),"duplicate?",IF(COUNTIFS($A:A,A2461,E:E,E2461)&gt;1,"yes","no"))</f>
        <v>duplicate?</v>
      </c>
      <c r="K2461" s="97" t="str">
        <f ca="1">IF(J2461="","Date",IF(J2461&lt;&gt;"",IF(K2461="Date",NOW(),K2461),""))</f>
        <v>Date</v>
      </c>
    </row>
    <row r="2462" spans="2:11">
      <c r="B2462" s="97" t="str">
        <f ca="1">IF(A2462="","Date",IF(A2462&lt;&gt;"",IF(B2462="Date",NOW(),B2462),""))</f>
        <v>Date</v>
      </c>
      <c r="C2462" s="19" t="str">
        <f>IF(ISBLANK(A2462),"Name",IF(ISNA(VLOOKUP(A2462,'Master List'!A:C,2,FALSE)), "Not Found", VLOOKUP(A2462,'Master List'!A:C,2,FALSE)))</f>
        <v>Name</v>
      </c>
      <c r="D2462" s="19" t="str">
        <f>IF(ISBLANK(A2462), "Email",IF(ISNA(VLOOKUP(A2462,'Master List'!A:C,3,FALSE)), "Not Found", VLOOKUP(A2462,'Master List'!A:C,3,FALSE)))</f>
        <v>Email</v>
      </c>
      <c r="F2462" s="4" t="str">
        <f>IF(OR(A2462="",E2462="","",A2462="?",E2462="?"),"duplicate?",IF(COUNTIFS($A:A,A2462,E:E,E2462)&gt;1,"yes","no"))</f>
        <v>duplicate?</v>
      </c>
      <c r="K2462" s="97" t="str">
        <f ca="1">IF(J2462="","Date",IF(J2462&lt;&gt;"",IF(K2462="Date",NOW(),K2462),""))</f>
        <v>Date</v>
      </c>
    </row>
    <row r="2463" spans="2:11">
      <c r="B2463" s="97" t="str">
        <f ca="1">IF(A2463="","Date",IF(A2463&lt;&gt;"",IF(B2463="Date",NOW(),B2463),""))</f>
        <v>Date</v>
      </c>
      <c r="C2463" s="19" t="str">
        <f>IF(ISBLANK(A2463),"Name",IF(ISNA(VLOOKUP(A2463,'Master List'!A:C,2,FALSE)), "Not Found", VLOOKUP(A2463,'Master List'!A:C,2,FALSE)))</f>
        <v>Name</v>
      </c>
      <c r="D2463" s="19" t="str">
        <f>IF(ISBLANK(A2463), "Email",IF(ISNA(VLOOKUP(A2463,'Master List'!A:C,3,FALSE)), "Not Found", VLOOKUP(A2463,'Master List'!A:C,3,FALSE)))</f>
        <v>Email</v>
      </c>
      <c r="F2463" s="4" t="str">
        <f>IF(OR(A2463="",E2463="","",A2463="?",E2463="?"),"duplicate?",IF(COUNTIFS($A:A,A2463,E:E,E2463)&gt;1,"yes","no"))</f>
        <v>duplicate?</v>
      </c>
      <c r="K2463" s="97" t="str">
        <f ca="1">IF(J2463="","Date",IF(J2463&lt;&gt;"",IF(K2463="Date",NOW(),K2463),""))</f>
        <v>Date</v>
      </c>
    </row>
    <row r="2464" spans="2:11">
      <c r="B2464" s="97" t="str">
        <f ca="1">IF(A2464="","Date",IF(A2464&lt;&gt;"",IF(B2464="Date",NOW(),B2464),""))</f>
        <v>Date</v>
      </c>
      <c r="C2464" s="19" t="str">
        <f>IF(ISBLANK(A2464),"Name",IF(ISNA(VLOOKUP(A2464,'Master List'!A:C,2,FALSE)), "Not Found", VLOOKUP(A2464,'Master List'!A:C,2,FALSE)))</f>
        <v>Name</v>
      </c>
      <c r="D2464" s="19" t="str">
        <f>IF(ISBLANK(A2464), "Email",IF(ISNA(VLOOKUP(A2464,'Master List'!A:C,3,FALSE)), "Not Found", VLOOKUP(A2464,'Master List'!A:C,3,FALSE)))</f>
        <v>Email</v>
      </c>
      <c r="F2464" s="4" t="str">
        <f>IF(OR(A2464="",E2464="","",A2464="?",E2464="?"),"duplicate?",IF(COUNTIFS($A:A,A2464,E:E,E2464)&gt;1,"yes","no"))</f>
        <v>duplicate?</v>
      </c>
      <c r="K2464" s="97" t="str">
        <f ca="1">IF(J2464="","Date",IF(J2464&lt;&gt;"",IF(K2464="Date",NOW(),K2464),""))</f>
        <v>Date</v>
      </c>
    </row>
    <row r="2465" spans="2:11">
      <c r="B2465" s="97" t="str">
        <f ca="1">IF(A2465="","Date",IF(A2465&lt;&gt;"",IF(B2465="Date",NOW(),B2465),""))</f>
        <v>Date</v>
      </c>
      <c r="C2465" s="19" t="str">
        <f>IF(ISBLANK(A2465),"Name",IF(ISNA(VLOOKUP(A2465,'Master List'!A:C,2,FALSE)), "Not Found", VLOOKUP(A2465,'Master List'!A:C,2,FALSE)))</f>
        <v>Name</v>
      </c>
      <c r="D2465" s="19" t="str">
        <f>IF(ISBLANK(A2465), "Email",IF(ISNA(VLOOKUP(A2465,'Master List'!A:C,3,FALSE)), "Not Found", VLOOKUP(A2465,'Master List'!A:C,3,FALSE)))</f>
        <v>Email</v>
      </c>
      <c r="F2465" s="4" t="str">
        <f>IF(OR(A2465="",E2465="","",A2465="?",E2465="?"),"duplicate?",IF(COUNTIFS($A:A,A2465,E:E,E2465)&gt;1,"yes","no"))</f>
        <v>duplicate?</v>
      </c>
      <c r="K2465" s="97" t="str">
        <f ca="1">IF(J2465="","Date",IF(J2465&lt;&gt;"",IF(K2465="Date",NOW(),K2465),""))</f>
        <v>Date</v>
      </c>
    </row>
    <row r="2466" spans="2:11">
      <c r="B2466" s="97" t="str">
        <f ca="1">IF(A2466="","Date",IF(A2466&lt;&gt;"",IF(B2466="Date",NOW(),B2466),""))</f>
        <v>Date</v>
      </c>
      <c r="C2466" s="19" t="str">
        <f>IF(ISBLANK(A2466),"Name",IF(ISNA(VLOOKUP(A2466,'Master List'!A:C,2,FALSE)), "Not Found", VLOOKUP(A2466,'Master List'!A:C,2,FALSE)))</f>
        <v>Name</v>
      </c>
      <c r="D2466" s="19" t="str">
        <f>IF(ISBLANK(A2466), "Email",IF(ISNA(VLOOKUP(A2466,'Master List'!A:C,3,FALSE)), "Not Found", VLOOKUP(A2466,'Master List'!A:C,3,FALSE)))</f>
        <v>Email</v>
      </c>
      <c r="F2466" s="4" t="str">
        <f>IF(OR(A2466="",E2466="","",A2466="?",E2466="?"),"duplicate?",IF(COUNTIFS($A:A,A2466,E:E,E2466)&gt;1,"yes","no"))</f>
        <v>duplicate?</v>
      </c>
      <c r="K2466" s="97" t="str">
        <f ca="1">IF(J2466="","Date",IF(J2466&lt;&gt;"",IF(K2466="Date",NOW(),K2466),""))</f>
        <v>Date</v>
      </c>
    </row>
    <row r="2467" spans="2:11">
      <c r="B2467" s="97" t="str">
        <f ca="1">IF(A2467="","Date",IF(A2467&lt;&gt;"",IF(B2467="Date",NOW(),B2467),""))</f>
        <v>Date</v>
      </c>
      <c r="C2467" s="19" t="str">
        <f>IF(ISBLANK(A2467),"Name",IF(ISNA(VLOOKUP(A2467,'Master List'!A:C,2,FALSE)), "Not Found", VLOOKUP(A2467,'Master List'!A:C,2,FALSE)))</f>
        <v>Name</v>
      </c>
      <c r="D2467" s="19" t="str">
        <f>IF(ISBLANK(A2467), "Email",IF(ISNA(VLOOKUP(A2467,'Master List'!A:C,3,FALSE)), "Not Found", VLOOKUP(A2467,'Master List'!A:C,3,FALSE)))</f>
        <v>Email</v>
      </c>
      <c r="F2467" s="4" t="str">
        <f>IF(OR(A2467="",E2467="","",A2467="?",E2467="?"),"duplicate?",IF(COUNTIFS($A:A,A2467,E:E,E2467)&gt;1,"yes","no"))</f>
        <v>duplicate?</v>
      </c>
      <c r="K2467" s="97" t="str">
        <f ca="1">IF(J2467="","Date",IF(J2467&lt;&gt;"",IF(K2467="Date",NOW(),K2467),""))</f>
        <v>Date</v>
      </c>
    </row>
    <row r="2468" spans="2:11">
      <c r="B2468" s="97" t="str">
        <f ca="1">IF(A2468="","Date",IF(A2468&lt;&gt;"",IF(B2468="Date",NOW(),B2468),""))</f>
        <v>Date</v>
      </c>
      <c r="C2468" s="19" t="str">
        <f>IF(ISBLANK(A2468),"Name",IF(ISNA(VLOOKUP(A2468,'Master List'!A:C,2,FALSE)), "Not Found", VLOOKUP(A2468,'Master List'!A:C,2,FALSE)))</f>
        <v>Name</v>
      </c>
      <c r="D2468" s="19" t="str">
        <f>IF(ISBLANK(A2468), "Email",IF(ISNA(VLOOKUP(A2468,'Master List'!A:C,3,FALSE)), "Not Found", VLOOKUP(A2468,'Master List'!A:C,3,FALSE)))</f>
        <v>Email</v>
      </c>
      <c r="F2468" s="4" t="str">
        <f>IF(OR(A2468="",E2468="","",A2468="?",E2468="?"),"duplicate?",IF(COUNTIFS($A:A,A2468,E:E,E2468)&gt;1,"yes","no"))</f>
        <v>duplicate?</v>
      </c>
      <c r="K2468" s="97" t="str">
        <f ca="1">IF(J2468="","Date",IF(J2468&lt;&gt;"",IF(K2468="Date",NOW(),K2468),""))</f>
        <v>Date</v>
      </c>
    </row>
    <row r="2469" spans="2:11">
      <c r="B2469" s="97" t="str">
        <f ca="1">IF(A2469="","Date",IF(A2469&lt;&gt;"",IF(B2469="Date",NOW(),B2469),""))</f>
        <v>Date</v>
      </c>
      <c r="C2469" s="19" t="str">
        <f>IF(ISBLANK(A2469),"Name",IF(ISNA(VLOOKUP(A2469,'Master List'!A:C,2,FALSE)), "Not Found", VLOOKUP(A2469,'Master List'!A:C,2,FALSE)))</f>
        <v>Name</v>
      </c>
      <c r="D2469" s="19" t="str">
        <f>IF(ISBLANK(A2469), "Email",IF(ISNA(VLOOKUP(A2469,'Master List'!A:C,3,FALSE)), "Not Found", VLOOKUP(A2469,'Master List'!A:C,3,FALSE)))</f>
        <v>Email</v>
      </c>
      <c r="F2469" s="4" t="str">
        <f>IF(OR(A2469="",E2469="","",A2469="?",E2469="?"),"duplicate?",IF(COUNTIFS($A:A,A2469,E:E,E2469)&gt;1,"yes","no"))</f>
        <v>duplicate?</v>
      </c>
      <c r="K2469" s="97" t="str">
        <f ca="1">IF(J2469="","Date",IF(J2469&lt;&gt;"",IF(K2469="Date",NOW(),K2469),""))</f>
        <v>Date</v>
      </c>
    </row>
    <row r="2470" spans="2:11">
      <c r="B2470" s="97" t="str">
        <f ca="1">IF(A2470="","Date",IF(A2470&lt;&gt;"",IF(B2470="Date",NOW(),B2470),""))</f>
        <v>Date</v>
      </c>
      <c r="C2470" s="19" t="str">
        <f>IF(ISBLANK(A2470),"Name",IF(ISNA(VLOOKUP(A2470,'Master List'!A:C,2,FALSE)), "Not Found", VLOOKUP(A2470,'Master List'!A:C,2,FALSE)))</f>
        <v>Name</v>
      </c>
      <c r="D2470" s="19" t="str">
        <f>IF(ISBLANK(A2470), "Email",IF(ISNA(VLOOKUP(A2470,'Master List'!A:C,3,FALSE)), "Not Found", VLOOKUP(A2470,'Master List'!A:C,3,FALSE)))</f>
        <v>Email</v>
      </c>
      <c r="F2470" s="4" t="str">
        <f>IF(OR(A2470="",E2470="","",A2470="?",E2470="?"),"duplicate?",IF(COUNTIFS($A:A,A2470,E:E,E2470)&gt;1,"yes","no"))</f>
        <v>duplicate?</v>
      </c>
      <c r="K2470" s="97" t="str">
        <f ca="1">IF(J2470="","Date",IF(J2470&lt;&gt;"",IF(K2470="Date",NOW(),K2470),""))</f>
        <v>Date</v>
      </c>
    </row>
    <row r="2471" spans="2:11">
      <c r="B2471" s="97" t="str">
        <f ca="1">IF(A2471="","Date",IF(A2471&lt;&gt;"",IF(B2471="Date",NOW(),B2471),""))</f>
        <v>Date</v>
      </c>
      <c r="C2471" s="19" t="str">
        <f>IF(ISBLANK(A2471),"Name",IF(ISNA(VLOOKUP(A2471,'Master List'!A:C,2,FALSE)), "Not Found", VLOOKUP(A2471,'Master List'!A:C,2,FALSE)))</f>
        <v>Name</v>
      </c>
      <c r="D2471" s="19" t="str">
        <f>IF(ISBLANK(A2471), "Email",IF(ISNA(VLOOKUP(A2471,'Master List'!A:C,3,FALSE)), "Not Found", VLOOKUP(A2471,'Master List'!A:C,3,FALSE)))</f>
        <v>Email</v>
      </c>
      <c r="F2471" s="4" t="str">
        <f>IF(OR(A2471="",E2471="","",A2471="?",E2471="?"),"duplicate?",IF(COUNTIFS($A:A,A2471,E:E,E2471)&gt;1,"yes","no"))</f>
        <v>duplicate?</v>
      </c>
      <c r="K2471" s="97" t="str">
        <f ca="1">IF(J2471="","Date",IF(J2471&lt;&gt;"",IF(K2471="Date",NOW(),K2471),""))</f>
        <v>Date</v>
      </c>
    </row>
    <row r="2472" spans="2:11">
      <c r="B2472" s="97" t="str">
        <f ca="1">IF(A2472="","Date",IF(A2472&lt;&gt;"",IF(B2472="Date",NOW(),B2472),""))</f>
        <v>Date</v>
      </c>
      <c r="C2472" s="19" t="str">
        <f>IF(ISBLANK(A2472),"Name",IF(ISNA(VLOOKUP(A2472,'Master List'!A:C,2,FALSE)), "Not Found", VLOOKUP(A2472,'Master List'!A:C,2,FALSE)))</f>
        <v>Name</v>
      </c>
      <c r="D2472" s="19" t="str">
        <f>IF(ISBLANK(A2472), "Email",IF(ISNA(VLOOKUP(A2472,'Master List'!A:C,3,FALSE)), "Not Found", VLOOKUP(A2472,'Master List'!A:C,3,FALSE)))</f>
        <v>Email</v>
      </c>
      <c r="F2472" s="4" t="str">
        <f>IF(OR(A2472="",E2472="","",A2472="?",E2472="?"),"duplicate?",IF(COUNTIFS($A:A,A2472,E:E,E2472)&gt;1,"yes","no"))</f>
        <v>duplicate?</v>
      </c>
      <c r="K2472" s="97" t="str">
        <f ca="1">IF(J2472="","Date",IF(J2472&lt;&gt;"",IF(K2472="Date",NOW(),K2472),""))</f>
        <v>Date</v>
      </c>
    </row>
    <row r="2473" spans="2:11">
      <c r="B2473" s="97" t="str">
        <f ca="1">IF(A2473="","Date",IF(A2473&lt;&gt;"",IF(B2473="Date",NOW(),B2473),""))</f>
        <v>Date</v>
      </c>
      <c r="C2473" s="19" t="str">
        <f>IF(ISBLANK(A2473),"Name",IF(ISNA(VLOOKUP(A2473,'Master List'!A:C,2,FALSE)), "Not Found", VLOOKUP(A2473,'Master List'!A:C,2,FALSE)))</f>
        <v>Name</v>
      </c>
      <c r="D2473" s="19" t="str">
        <f>IF(ISBLANK(A2473), "Email",IF(ISNA(VLOOKUP(A2473,'Master List'!A:C,3,FALSE)), "Not Found", VLOOKUP(A2473,'Master List'!A:C,3,FALSE)))</f>
        <v>Email</v>
      </c>
      <c r="F2473" s="4" t="str">
        <f>IF(OR(A2473="",E2473="","",A2473="?",E2473="?"),"duplicate?",IF(COUNTIFS($A:A,A2473,E:E,E2473)&gt;1,"yes","no"))</f>
        <v>duplicate?</v>
      </c>
      <c r="K2473" s="97" t="str">
        <f ca="1">IF(J2473="","Date",IF(J2473&lt;&gt;"",IF(K2473="Date",NOW(),K2473),""))</f>
        <v>Date</v>
      </c>
    </row>
    <row r="2474" spans="2:11">
      <c r="B2474" s="97" t="str">
        <f ca="1">IF(A2474="","Date",IF(A2474&lt;&gt;"",IF(B2474="Date",NOW(),B2474),""))</f>
        <v>Date</v>
      </c>
      <c r="C2474" s="19" t="str">
        <f>IF(ISBLANK(A2474),"Name",IF(ISNA(VLOOKUP(A2474,'Master List'!A:C,2,FALSE)), "Not Found", VLOOKUP(A2474,'Master List'!A:C,2,FALSE)))</f>
        <v>Name</v>
      </c>
      <c r="D2474" s="19" t="str">
        <f>IF(ISBLANK(A2474), "Email",IF(ISNA(VLOOKUP(A2474,'Master List'!A:C,3,FALSE)), "Not Found", VLOOKUP(A2474,'Master List'!A:C,3,FALSE)))</f>
        <v>Email</v>
      </c>
      <c r="F2474" s="4" t="str">
        <f>IF(OR(A2474="",E2474="","",A2474="?",E2474="?"),"duplicate?",IF(COUNTIFS($A:A,A2474,E:E,E2474)&gt;1,"yes","no"))</f>
        <v>duplicate?</v>
      </c>
      <c r="K2474" s="97" t="str">
        <f ca="1">IF(J2474="","Date",IF(J2474&lt;&gt;"",IF(K2474="Date",NOW(),K2474),""))</f>
        <v>Date</v>
      </c>
    </row>
    <row r="2475" spans="2:11">
      <c r="B2475" s="97" t="str">
        <f ca="1">IF(A2475="","Date",IF(A2475&lt;&gt;"",IF(B2475="Date",NOW(),B2475),""))</f>
        <v>Date</v>
      </c>
      <c r="C2475" s="19" t="str">
        <f>IF(ISBLANK(A2475),"Name",IF(ISNA(VLOOKUP(A2475,'Master List'!A:C,2,FALSE)), "Not Found", VLOOKUP(A2475,'Master List'!A:C,2,FALSE)))</f>
        <v>Name</v>
      </c>
      <c r="D2475" s="19" t="str">
        <f>IF(ISBLANK(A2475), "Email",IF(ISNA(VLOOKUP(A2475,'Master List'!A:C,3,FALSE)), "Not Found", VLOOKUP(A2475,'Master List'!A:C,3,FALSE)))</f>
        <v>Email</v>
      </c>
      <c r="F2475" s="4" t="str">
        <f>IF(OR(A2475="",E2475="","",A2475="?",E2475="?"),"duplicate?",IF(COUNTIFS($A:A,A2475,E:E,E2475)&gt;1,"yes","no"))</f>
        <v>duplicate?</v>
      </c>
      <c r="K2475" s="97" t="str">
        <f ca="1">IF(J2475="","Date",IF(J2475&lt;&gt;"",IF(K2475="Date",NOW(),K2475),""))</f>
        <v>Date</v>
      </c>
    </row>
    <row r="2476" spans="2:11">
      <c r="B2476" s="97" t="str">
        <f ca="1">IF(A2476="","Date",IF(A2476&lt;&gt;"",IF(B2476="Date",NOW(),B2476),""))</f>
        <v>Date</v>
      </c>
      <c r="C2476" s="19" t="str">
        <f>IF(ISBLANK(A2476),"Name",IF(ISNA(VLOOKUP(A2476,'Master List'!A:C,2,FALSE)), "Not Found", VLOOKUP(A2476,'Master List'!A:C,2,FALSE)))</f>
        <v>Name</v>
      </c>
      <c r="D2476" s="19" t="str">
        <f>IF(ISBLANK(A2476), "Email",IF(ISNA(VLOOKUP(A2476,'Master List'!A:C,3,FALSE)), "Not Found", VLOOKUP(A2476,'Master List'!A:C,3,FALSE)))</f>
        <v>Email</v>
      </c>
      <c r="F2476" s="4" t="str">
        <f>IF(OR(A2476="",E2476="","",A2476="?",E2476="?"),"duplicate?",IF(COUNTIFS($A:A,A2476,E:E,E2476)&gt;1,"yes","no"))</f>
        <v>duplicate?</v>
      </c>
      <c r="K2476" s="97" t="str">
        <f ca="1">IF(J2476="","Date",IF(J2476&lt;&gt;"",IF(K2476="Date",NOW(),K2476),""))</f>
        <v>Date</v>
      </c>
    </row>
    <row r="2477" spans="2:11">
      <c r="B2477" s="97" t="str">
        <f ca="1">IF(A2477="","Date",IF(A2477&lt;&gt;"",IF(B2477="Date",NOW(),B2477),""))</f>
        <v>Date</v>
      </c>
      <c r="C2477" s="19" t="str">
        <f>IF(ISBLANK(A2477),"Name",IF(ISNA(VLOOKUP(A2477,'Master List'!A:C,2,FALSE)), "Not Found", VLOOKUP(A2477,'Master List'!A:C,2,FALSE)))</f>
        <v>Name</v>
      </c>
      <c r="D2477" s="19" t="str">
        <f>IF(ISBLANK(A2477), "Email",IF(ISNA(VLOOKUP(A2477,'Master List'!A:C,3,FALSE)), "Not Found", VLOOKUP(A2477,'Master List'!A:C,3,FALSE)))</f>
        <v>Email</v>
      </c>
      <c r="F2477" s="4" t="str">
        <f>IF(OR(A2477="",E2477="","",A2477="?",E2477="?"),"duplicate?",IF(COUNTIFS($A:A,A2477,E:E,E2477)&gt;1,"yes","no"))</f>
        <v>duplicate?</v>
      </c>
      <c r="K2477" s="97" t="str">
        <f ca="1">IF(J2477="","Date",IF(J2477&lt;&gt;"",IF(K2477="Date",NOW(),K2477),""))</f>
        <v>Date</v>
      </c>
    </row>
    <row r="2478" spans="2:11">
      <c r="B2478" s="97" t="str">
        <f ca="1">IF(A2478="","Date",IF(A2478&lt;&gt;"",IF(B2478="Date",NOW(),B2478),""))</f>
        <v>Date</v>
      </c>
      <c r="C2478" s="19" t="str">
        <f>IF(ISBLANK(A2478),"Name",IF(ISNA(VLOOKUP(A2478,'Master List'!A:C,2,FALSE)), "Not Found", VLOOKUP(A2478,'Master List'!A:C,2,FALSE)))</f>
        <v>Name</v>
      </c>
      <c r="D2478" s="19" t="str">
        <f>IF(ISBLANK(A2478), "Email",IF(ISNA(VLOOKUP(A2478,'Master List'!A:C,3,FALSE)), "Not Found", VLOOKUP(A2478,'Master List'!A:C,3,FALSE)))</f>
        <v>Email</v>
      </c>
      <c r="F2478" s="4" t="str">
        <f>IF(OR(A2478="",E2478="","",A2478="?",E2478="?"),"duplicate?",IF(COUNTIFS($A:A,A2478,E:E,E2478)&gt;1,"yes","no"))</f>
        <v>duplicate?</v>
      </c>
      <c r="K2478" s="97" t="str">
        <f ca="1">IF(J2478="","Date",IF(J2478&lt;&gt;"",IF(K2478="Date",NOW(),K2478),""))</f>
        <v>Date</v>
      </c>
    </row>
    <row r="2479" spans="2:11">
      <c r="B2479" s="97" t="str">
        <f ca="1">IF(A2479="","Date",IF(A2479&lt;&gt;"",IF(B2479="Date",NOW(),B2479),""))</f>
        <v>Date</v>
      </c>
      <c r="C2479" s="19" t="str">
        <f>IF(ISBLANK(A2479),"Name",IF(ISNA(VLOOKUP(A2479,'Master List'!A:C,2,FALSE)), "Not Found", VLOOKUP(A2479,'Master List'!A:C,2,FALSE)))</f>
        <v>Name</v>
      </c>
      <c r="D2479" s="19" t="str">
        <f>IF(ISBLANK(A2479), "Email",IF(ISNA(VLOOKUP(A2479,'Master List'!A:C,3,FALSE)), "Not Found", VLOOKUP(A2479,'Master List'!A:C,3,FALSE)))</f>
        <v>Email</v>
      </c>
      <c r="F2479" s="4" t="str">
        <f>IF(OR(A2479="",E2479="","",A2479="?",E2479="?"),"duplicate?",IF(COUNTIFS($A:A,A2479,E:E,E2479)&gt;1,"yes","no"))</f>
        <v>duplicate?</v>
      </c>
      <c r="K2479" s="97" t="str">
        <f ca="1">IF(J2479="","Date",IF(J2479&lt;&gt;"",IF(K2479="Date",NOW(),K2479),""))</f>
        <v>Date</v>
      </c>
    </row>
    <row r="2480" spans="2:11">
      <c r="B2480" s="97" t="str">
        <f ca="1">IF(A2480="","Date",IF(A2480&lt;&gt;"",IF(B2480="Date",NOW(),B2480),""))</f>
        <v>Date</v>
      </c>
      <c r="C2480" s="19" t="str">
        <f>IF(ISBLANK(A2480),"Name",IF(ISNA(VLOOKUP(A2480,'Master List'!A:C,2,FALSE)), "Not Found", VLOOKUP(A2480,'Master List'!A:C,2,FALSE)))</f>
        <v>Name</v>
      </c>
      <c r="D2480" s="19" t="str">
        <f>IF(ISBLANK(A2480), "Email",IF(ISNA(VLOOKUP(A2480,'Master List'!A:C,3,FALSE)), "Not Found", VLOOKUP(A2480,'Master List'!A:C,3,FALSE)))</f>
        <v>Email</v>
      </c>
      <c r="F2480" s="4" t="str">
        <f>IF(OR(A2480="",E2480="","",A2480="?",E2480="?"),"duplicate?",IF(COUNTIFS($A:A,A2480,E:E,E2480)&gt;1,"yes","no"))</f>
        <v>duplicate?</v>
      </c>
      <c r="K2480" s="97" t="str">
        <f ca="1">IF(J2480="","Date",IF(J2480&lt;&gt;"",IF(K2480="Date",NOW(),K2480),""))</f>
        <v>Date</v>
      </c>
    </row>
    <row r="2481" spans="2:11">
      <c r="B2481" s="97" t="str">
        <f ca="1">IF(A2481="","Date",IF(A2481&lt;&gt;"",IF(B2481="Date",NOW(),B2481),""))</f>
        <v>Date</v>
      </c>
      <c r="C2481" s="19" t="str">
        <f>IF(ISBLANK(A2481),"Name",IF(ISNA(VLOOKUP(A2481,'Master List'!A:C,2,FALSE)), "Not Found", VLOOKUP(A2481,'Master List'!A:C,2,FALSE)))</f>
        <v>Name</v>
      </c>
      <c r="D2481" s="19" t="str">
        <f>IF(ISBLANK(A2481), "Email",IF(ISNA(VLOOKUP(A2481,'Master List'!A:C,3,FALSE)), "Not Found", VLOOKUP(A2481,'Master List'!A:C,3,FALSE)))</f>
        <v>Email</v>
      </c>
      <c r="F2481" s="4" t="str">
        <f>IF(OR(A2481="",E2481="","",A2481="?",E2481="?"),"duplicate?",IF(COUNTIFS($A:A,A2481,E:E,E2481)&gt;1,"yes","no"))</f>
        <v>duplicate?</v>
      </c>
      <c r="K2481" s="97" t="str">
        <f ca="1">IF(J2481="","Date",IF(J2481&lt;&gt;"",IF(K2481="Date",NOW(),K2481),""))</f>
        <v>Date</v>
      </c>
    </row>
    <row r="2482" spans="2:11">
      <c r="B2482" s="97" t="str">
        <f ca="1">IF(A2482="","Date",IF(A2482&lt;&gt;"",IF(B2482="Date",NOW(),B2482),""))</f>
        <v>Date</v>
      </c>
      <c r="C2482" s="19" t="str">
        <f>IF(ISBLANK(A2482),"Name",IF(ISNA(VLOOKUP(A2482,'Master List'!A:C,2,FALSE)), "Not Found", VLOOKUP(A2482,'Master List'!A:C,2,FALSE)))</f>
        <v>Name</v>
      </c>
      <c r="D2482" s="19" t="str">
        <f>IF(ISBLANK(A2482), "Email",IF(ISNA(VLOOKUP(A2482,'Master List'!A:C,3,FALSE)), "Not Found", VLOOKUP(A2482,'Master List'!A:C,3,FALSE)))</f>
        <v>Email</v>
      </c>
      <c r="F2482" s="4" t="str">
        <f>IF(OR(A2482="",E2482="","",A2482="?",E2482="?"),"duplicate?",IF(COUNTIFS($A:A,A2482,E:E,E2482)&gt;1,"yes","no"))</f>
        <v>duplicate?</v>
      </c>
      <c r="K2482" s="97" t="str">
        <f ca="1">IF(J2482="","Date",IF(J2482&lt;&gt;"",IF(K2482="Date",NOW(),K2482),""))</f>
        <v>Date</v>
      </c>
    </row>
    <row r="2483" spans="2:11">
      <c r="B2483" s="97" t="str">
        <f ca="1">IF(A2483="","Date",IF(A2483&lt;&gt;"",IF(B2483="Date",NOW(),B2483),""))</f>
        <v>Date</v>
      </c>
      <c r="C2483" s="19" t="str">
        <f>IF(ISBLANK(A2483),"Name",IF(ISNA(VLOOKUP(A2483,'Master List'!A:C,2,FALSE)), "Not Found", VLOOKUP(A2483,'Master List'!A:C,2,FALSE)))</f>
        <v>Name</v>
      </c>
      <c r="D2483" s="19" t="str">
        <f>IF(ISBLANK(A2483), "Email",IF(ISNA(VLOOKUP(A2483,'Master List'!A:C,3,FALSE)), "Not Found", VLOOKUP(A2483,'Master List'!A:C,3,FALSE)))</f>
        <v>Email</v>
      </c>
      <c r="F2483" s="4" t="str">
        <f>IF(OR(A2483="",E2483="","",A2483="?",E2483="?"),"duplicate?",IF(COUNTIFS($A:A,A2483,E:E,E2483)&gt;1,"yes","no"))</f>
        <v>duplicate?</v>
      </c>
      <c r="K2483" s="97" t="str">
        <f ca="1">IF(J2483="","Date",IF(J2483&lt;&gt;"",IF(K2483="Date",NOW(),K2483),""))</f>
        <v>Date</v>
      </c>
    </row>
    <row r="2484" spans="2:11">
      <c r="B2484" s="97" t="str">
        <f ca="1">IF(A2484="","Date",IF(A2484&lt;&gt;"",IF(B2484="Date",NOW(),B2484),""))</f>
        <v>Date</v>
      </c>
      <c r="C2484" s="19" t="str">
        <f>IF(ISBLANK(A2484),"Name",IF(ISNA(VLOOKUP(A2484,'Master List'!A:C,2,FALSE)), "Not Found", VLOOKUP(A2484,'Master List'!A:C,2,FALSE)))</f>
        <v>Name</v>
      </c>
      <c r="D2484" s="19" t="str">
        <f>IF(ISBLANK(A2484), "Email",IF(ISNA(VLOOKUP(A2484,'Master List'!A:C,3,FALSE)), "Not Found", VLOOKUP(A2484,'Master List'!A:C,3,FALSE)))</f>
        <v>Email</v>
      </c>
      <c r="F2484" s="4" t="str">
        <f>IF(OR(A2484="",E2484="","",A2484="?",E2484="?"),"duplicate?",IF(COUNTIFS($A:A,A2484,E:E,E2484)&gt;1,"yes","no"))</f>
        <v>duplicate?</v>
      </c>
      <c r="K2484" s="97" t="str">
        <f ca="1">IF(J2484="","Date",IF(J2484&lt;&gt;"",IF(K2484="Date",NOW(),K2484),""))</f>
        <v>Date</v>
      </c>
    </row>
    <row r="2485" spans="2:11">
      <c r="B2485" s="97" t="str">
        <f ca="1">IF(A2485="","Date",IF(A2485&lt;&gt;"",IF(B2485="Date",NOW(),B2485),""))</f>
        <v>Date</v>
      </c>
      <c r="C2485" s="19" t="str">
        <f>IF(ISBLANK(A2485),"Name",IF(ISNA(VLOOKUP(A2485,'Master List'!A:C,2,FALSE)), "Not Found", VLOOKUP(A2485,'Master List'!A:C,2,FALSE)))</f>
        <v>Name</v>
      </c>
      <c r="D2485" s="19" t="str">
        <f>IF(ISBLANK(A2485), "Email",IF(ISNA(VLOOKUP(A2485,'Master List'!A:C,3,FALSE)), "Not Found", VLOOKUP(A2485,'Master List'!A:C,3,FALSE)))</f>
        <v>Email</v>
      </c>
      <c r="F2485" s="4" t="str">
        <f>IF(OR(A2485="",E2485="","",A2485="?",E2485="?"),"duplicate?",IF(COUNTIFS($A:A,A2485,E:E,E2485)&gt;1,"yes","no"))</f>
        <v>duplicate?</v>
      </c>
      <c r="K2485" s="97" t="str">
        <f ca="1">IF(J2485="","Date",IF(J2485&lt;&gt;"",IF(K2485="Date",NOW(),K2485),""))</f>
        <v>Date</v>
      </c>
    </row>
    <row r="2486" spans="2:11">
      <c r="B2486" s="97" t="str">
        <f ca="1">IF(A2486="","Date",IF(A2486&lt;&gt;"",IF(B2486="Date",NOW(),B2486),""))</f>
        <v>Date</v>
      </c>
      <c r="C2486" s="19" t="str">
        <f>IF(ISBLANK(A2486),"Name",IF(ISNA(VLOOKUP(A2486,'Master List'!A:C,2,FALSE)), "Not Found", VLOOKUP(A2486,'Master List'!A:C,2,FALSE)))</f>
        <v>Name</v>
      </c>
      <c r="D2486" s="19" t="str">
        <f>IF(ISBLANK(A2486), "Email",IF(ISNA(VLOOKUP(A2486,'Master List'!A:C,3,FALSE)), "Not Found", VLOOKUP(A2486,'Master List'!A:C,3,FALSE)))</f>
        <v>Email</v>
      </c>
      <c r="F2486" s="4" t="str">
        <f>IF(OR(A2486="",E2486="","",A2486="?",E2486="?"),"duplicate?",IF(COUNTIFS($A:A,A2486,E:E,E2486)&gt;1,"yes","no"))</f>
        <v>duplicate?</v>
      </c>
      <c r="K2486" s="97" t="str">
        <f ca="1">IF(J2486="","Date",IF(J2486&lt;&gt;"",IF(K2486="Date",NOW(),K2486),""))</f>
        <v>Date</v>
      </c>
    </row>
    <row r="2487" spans="2:11">
      <c r="B2487" s="97" t="str">
        <f ca="1">IF(A2487="","Date",IF(A2487&lt;&gt;"",IF(B2487="Date",NOW(),B2487),""))</f>
        <v>Date</v>
      </c>
      <c r="C2487" s="19" t="str">
        <f>IF(ISBLANK(A2487),"Name",IF(ISNA(VLOOKUP(A2487,'Master List'!A:C,2,FALSE)), "Not Found", VLOOKUP(A2487,'Master List'!A:C,2,FALSE)))</f>
        <v>Name</v>
      </c>
      <c r="D2487" s="19" t="str">
        <f>IF(ISBLANK(A2487), "Email",IF(ISNA(VLOOKUP(A2487,'Master List'!A:C,3,FALSE)), "Not Found", VLOOKUP(A2487,'Master List'!A:C,3,FALSE)))</f>
        <v>Email</v>
      </c>
      <c r="F2487" s="4" t="str">
        <f>IF(OR(A2487="",E2487="","",A2487="?",E2487="?"),"duplicate?",IF(COUNTIFS($A:A,A2487,E:E,E2487)&gt;1,"yes","no"))</f>
        <v>duplicate?</v>
      </c>
      <c r="K2487" s="97" t="str">
        <f ca="1">IF(J2487="","Date",IF(J2487&lt;&gt;"",IF(K2487="Date",NOW(),K2487),""))</f>
        <v>Date</v>
      </c>
    </row>
    <row r="2488" spans="2:11">
      <c r="B2488" s="97" t="str">
        <f ca="1">IF(A2488="","Date",IF(A2488&lt;&gt;"",IF(B2488="Date",NOW(),B2488),""))</f>
        <v>Date</v>
      </c>
      <c r="C2488" s="19" t="str">
        <f>IF(ISBLANK(A2488),"Name",IF(ISNA(VLOOKUP(A2488,'Master List'!A:C,2,FALSE)), "Not Found", VLOOKUP(A2488,'Master List'!A:C,2,FALSE)))</f>
        <v>Name</v>
      </c>
      <c r="D2488" s="19" t="str">
        <f>IF(ISBLANK(A2488), "Email",IF(ISNA(VLOOKUP(A2488,'Master List'!A:C,3,FALSE)), "Not Found", VLOOKUP(A2488,'Master List'!A:C,3,FALSE)))</f>
        <v>Email</v>
      </c>
      <c r="F2488" s="4" t="str">
        <f>IF(OR(A2488="",E2488="","",A2488="?",E2488="?"),"duplicate?",IF(COUNTIFS($A:A,A2488,E:E,E2488)&gt;1,"yes","no"))</f>
        <v>duplicate?</v>
      </c>
      <c r="K2488" s="97" t="str">
        <f ca="1">IF(J2488="","Date",IF(J2488&lt;&gt;"",IF(K2488="Date",NOW(),K2488),""))</f>
        <v>Date</v>
      </c>
    </row>
    <row r="2489" spans="2:11">
      <c r="B2489" s="97" t="str">
        <f ca="1">IF(A2489="","Date",IF(A2489&lt;&gt;"",IF(B2489="Date",NOW(),B2489),""))</f>
        <v>Date</v>
      </c>
      <c r="C2489" s="19" t="str">
        <f>IF(ISBLANK(A2489),"Name",IF(ISNA(VLOOKUP(A2489,'Master List'!A:C,2,FALSE)), "Not Found", VLOOKUP(A2489,'Master List'!A:C,2,FALSE)))</f>
        <v>Name</v>
      </c>
      <c r="D2489" s="19" t="str">
        <f>IF(ISBLANK(A2489), "Email",IF(ISNA(VLOOKUP(A2489,'Master List'!A:C,3,FALSE)), "Not Found", VLOOKUP(A2489,'Master List'!A:C,3,FALSE)))</f>
        <v>Email</v>
      </c>
      <c r="F2489" s="4" t="str">
        <f>IF(OR(A2489="",E2489="","",A2489="?",E2489="?"),"duplicate?",IF(COUNTIFS($A:A,A2489,E:E,E2489)&gt;1,"yes","no"))</f>
        <v>duplicate?</v>
      </c>
      <c r="K2489" s="97" t="str">
        <f ca="1">IF(J2489="","Date",IF(J2489&lt;&gt;"",IF(K2489="Date",NOW(),K2489),""))</f>
        <v>Date</v>
      </c>
    </row>
    <row r="2490" spans="2:11">
      <c r="B2490" s="97" t="str">
        <f ca="1">IF(A2490="","Date",IF(A2490&lt;&gt;"",IF(B2490="Date",NOW(),B2490),""))</f>
        <v>Date</v>
      </c>
      <c r="C2490" s="19" t="str">
        <f>IF(ISBLANK(A2490),"Name",IF(ISNA(VLOOKUP(A2490,'Master List'!A:C,2,FALSE)), "Not Found", VLOOKUP(A2490,'Master List'!A:C,2,FALSE)))</f>
        <v>Name</v>
      </c>
      <c r="D2490" s="19" t="str">
        <f>IF(ISBLANK(A2490), "Email",IF(ISNA(VLOOKUP(A2490,'Master List'!A:C,3,FALSE)), "Not Found", VLOOKUP(A2490,'Master List'!A:C,3,FALSE)))</f>
        <v>Email</v>
      </c>
      <c r="F2490" s="4" t="str">
        <f>IF(OR(A2490="",E2490="","",A2490="?",E2490="?"),"duplicate?",IF(COUNTIFS($A:A,A2490,E:E,E2490)&gt;1,"yes","no"))</f>
        <v>duplicate?</v>
      </c>
      <c r="K2490" s="97" t="str">
        <f ca="1">IF(J2490="","Date",IF(J2490&lt;&gt;"",IF(K2490="Date",NOW(),K2490),""))</f>
        <v>Date</v>
      </c>
    </row>
    <row r="2491" spans="2:11">
      <c r="B2491" s="97" t="str">
        <f ca="1">IF(A2491="","Date",IF(A2491&lt;&gt;"",IF(B2491="Date",NOW(),B2491),""))</f>
        <v>Date</v>
      </c>
      <c r="C2491" s="19" t="str">
        <f>IF(ISBLANK(A2491),"Name",IF(ISNA(VLOOKUP(A2491,'Master List'!A:C,2,FALSE)), "Not Found", VLOOKUP(A2491,'Master List'!A:C,2,FALSE)))</f>
        <v>Name</v>
      </c>
      <c r="D2491" s="19" t="str">
        <f>IF(ISBLANK(A2491), "Email",IF(ISNA(VLOOKUP(A2491,'Master List'!A:C,3,FALSE)), "Not Found", VLOOKUP(A2491,'Master List'!A:C,3,FALSE)))</f>
        <v>Email</v>
      </c>
      <c r="F2491" s="4" t="str">
        <f>IF(OR(A2491="",E2491="","",A2491="?",E2491="?"),"duplicate?",IF(COUNTIFS($A:A,A2491,E:E,E2491)&gt;1,"yes","no"))</f>
        <v>duplicate?</v>
      </c>
      <c r="K2491" s="97" t="str">
        <f ca="1">IF(J2491="","Date",IF(J2491&lt;&gt;"",IF(K2491="Date",NOW(),K2491),""))</f>
        <v>Date</v>
      </c>
    </row>
    <row r="2492" spans="2:11">
      <c r="B2492" s="97" t="str">
        <f ca="1">IF(A2492="","Date",IF(A2492&lt;&gt;"",IF(B2492="Date",NOW(),B2492),""))</f>
        <v>Date</v>
      </c>
      <c r="C2492" s="19" t="str">
        <f>IF(ISBLANK(A2492),"Name",IF(ISNA(VLOOKUP(A2492,'Master List'!A:C,2,FALSE)), "Not Found", VLOOKUP(A2492,'Master List'!A:C,2,FALSE)))</f>
        <v>Name</v>
      </c>
      <c r="D2492" s="19" t="str">
        <f>IF(ISBLANK(A2492), "Email",IF(ISNA(VLOOKUP(A2492,'Master List'!A:C,3,FALSE)), "Not Found", VLOOKUP(A2492,'Master List'!A:C,3,FALSE)))</f>
        <v>Email</v>
      </c>
      <c r="F2492" s="4" t="str">
        <f>IF(OR(A2492="",E2492="","",A2492="?",E2492="?"),"duplicate?",IF(COUNTIFS($A:A,A2492,E:E,E2492)&gt;1,"yes","no"))</f>
        <v>duplicate?</v>
      </c>
      <c r="K2492" s="97" t="str">
        <f ca="1">IF(J2492="","Date",IF(J2492&lt;&gt;"",IF(K2492="Date",NOW(),K2492),""))</f>
        <v>Date</v>
      </c>
    </row>
    <row r="2493" spans="2:11">
      <c r="B2493" s="97" t="str">
        <f ca="1">IF(A2493="","Date",IF(A2493&lt;&gt;"",IF(B2493="Date",NOW(),B2493),""))</f>
        <v>Date</v>
      </c>
      <c r="C2493" s="19" t="str">
        <f>IF(ISBLANK(A2493),"Name",IF(ISNA(VLOOKUP(A2493,'Master List'!A:C,2,FALSE)), "Not Found", VLOOKUP(A2493,'Master List'!A:C,2,FALSE)))</f>
        <v>Name</v>
      </c>
      <c r="D2493" s="19" t="str">
        <f>IF(ISBLANK(A2493), "Email",IF(ISNA(VLOOKUP(A2493,'Master List'!A:C,3,FALSE)), "Not Found", VLOOKUP(A2493,'Master List'!A:C,3,FALSE)))</f>
        <v>Email</v>
      </c>
      <c r="F2493" s="4" t="str">
        <f>IF(OR(A2493="",E2493="","",A2493="?",E2493="?"),"duplicate?",IF(COUNTIFS($A:A,A2493,E:E,E2493)&gt;1,"yes","no"))</f>
        <v>duplicate?</v>
      </c>
      <c r="K2493" s="97" t="str">
        <f ca="1">IF(J2493="","Date",IF(J2493&lt;&gt;"",IF(K2493="Date",NOW(),K2493),""))</f>
        <v>Date</v>
      </c>
    </row>
    <row r="2494" spans="2:11">
      <c r="B2494" s="97" t="str">
        <f ca="1">IF(A2494="","Date",IF(A2494&lt;&gt;"",IF(B2494="Date",NOW(),B2494),""))</f>
        <v>Date</v>
      </c>
      <c r="C2494" s="19" t="str">
        <f>IF(ISBLANK(A2494),"Name",IF(ISNA(VLOOKUP(A2494,'Master List'!A:C,2,FALSE)), "Not Found", VLOOKUP(A2494,'Master List'!A:C,2,FALSE)))</f>
        <v>Name</v>
      </c>
      <c r="D2494" s="19" t="str">
        <f>IF(ISBLANK(A2494), "Email",IF(ISNA(VLOOKUP(A2494,'Master List'!A:C,3,FALSE)), "Not Found", VLOOKUP(A2494,'Master List'!A:C,3,FALSE)))</f>
        <v>Email</v>
      </c>
      <c r="F2494" s="4" t="str">
        <f>IF(OR(A2494="",E2494="","",A2494="?",E2494="?"),"duplicate?",IF(COUNTIFS($A:A,A2494,E:E,E2494)&gt;1,"yes","no"))</f>
        <v>duplicate?</v>
      </c>
      <c r="K2494" s="97" t="str">
        <f ca="1">IF(J2494="","Date",IF(J2494&lt;&gt;"",IF(K2494="Date",NOW(),K2494),""))</f>
        <v>Date</v>
      </c>
    </row>
    <row r="2495" spans="2:11">
      <c r="B2495" s="97" t="str">
        <f ca="1">IF(A2495="","Date",IF(A2495&lt;&gt;"",IF(B2495="Date",NOW(),B2495),""))</f>
        <v>Date</v>
      </c>
      <c r="C2495" s="19" t="str">
        <f>IF(ISBLANK(A2495),"Name",IF(ISNA(VLOOKUP(A2495,'Master List'!A:C,2,FALSE)), "Not Found", VLOOKUP(A2495,'Master List'!A:C,2,FALSE)))</f>
        <v>Name</v>
      </c>
      <c r="D2495" s="19" t="str">
        <f>IF(ISBLANK(A2495), "Email",IF(ISNA(VLOOKUP(A2495,'Master List'!A:C,3,FALSE)), "Not Found", VLOOKUP(A2495,'Master List'!A:C,3,FALSE)))</f>
        <v>Email</v>
      </c>
      <c r="F2495" s="4" t="str">
        <f>IF(OR(A2495="",E2495="","",A2495="?",E2495="?"),"duplicate?",IF(COUNTIFS($A:A,A2495,E:E,E2495)&gt;1,"yes","no"))</f>
        <v>duplicate?</v>
      </c>
      <c r="K2495" s="97" t="str">
        <f ca="1">IF(J2495="","Date",IF(J2495&lt;&gt;"",IF(K2495="Date",NOW(),K2495),""))</f>
        <v>Date</v>
      </c>
    </row>
    <row r="2496" spans="2:11">
      <c r="B2496" s="97" t="str">
        <f ca="1">IF(A2496="","Date",IF(A2496&lt;&gt;"",IF(B2496="Date",NOW(),B2496),""))</f>
        <v>Date</v>
      </c>
      <c r="C2496" s="19" t="str">
        <f>IF(ISBLANK(A2496),"Name",IF(ISNA(VLOOKUP(A2496,'Master List'!A:C,2,FALSE)), "Not Found", VLOOKUP(A2496,'Master List'!A:C,2,FALSE)))</f>
        <v>Name</v>
      </c>
      <c r="D2496" s="19" t="str">
        <f>IF(ISBLANK(A2496), "Email",IF(ISNA(VLOOKUP(A2496,'Master List'!A:C,3,FALSE)), "Not Found", VLOOKUP(A2496,'Master List'!A:C,3,FALSE)))</f>
        <v>Email</v>
      </c>
      <c r="F2496" s="4" t="str">
        <f>IF(OR(A2496="",E2496="","",A2496="?",E2496="?"),"duplicate?",IF(COUNTIFS($A:A,A2496,E:E,E2496)&gt;1,"yes","no"))</f>
        <v>duplicate?</v>
      </c>
      <c r="K2496" s="97" t="str">
        <f ca="1">IF(J2496="","Date",IF(J2496&lt;&gt;"",IF(K2496="Date",NOW(),K2496),""))</f>
        <v>Date</v>
      </c>
    </row>
    <row r="2497" spans="2:11">
      <c r="B2497" s="97" t="str">
        <f ca="1">IF(A2497="","Date",IF(A2497&lt;&gt;"",IF(B2497="Date",NOW(),B2497),""))</f>
        <v>Date</v>
      </c>
      <c r="C2497" s="19" t="str">
        <f>IF(ISBLANK(A2497),"Name",IF(ISNA(VLOOKUP(A2497,'Master List'!A:C,2,FALSE)), "Not Found", VLOOKUP(A2497,'Master List'!A:C,2,FALSE)))</f>
        <v>Name</v>
      </c>
      <c r="D2497" s="19" t="str">
        <f>IF(ISBLANK(A2497), "Email",IF(ISNA(VLOOKUP(A2497,'Master List'!A:C,3,FALSE)), "Not Found", VLOOKUP(A2497,'Master List'!A:C,3,FALSE)))</f>
        <v>Email</v>
      </c>
      <c r="F2497" s="4" t="str">
        <f>IF(OR(A2497="",E2497="","",A2497="?",E2497="?"),"duplicate?",IF(COUNTIFS($A:A,A2497,E:E,E2497)&gt;1,"yes","no"))</f>
        <v>duplicate?</v>
      </c>
      <c r="K2497" s="97" t="str">
        <f ca="1">IF(J2497="","Date",IF(J2497&lt;&gt;"",IF(K2497="Date",NOW(),K2497),""))</f>
        <v>Date</v>
      </c>
    </row>
    <row r="2498" spans="2:11">
      <c r="B2498" s="97" t="str">
        <f ca="1">IF(A2498="","Date",IF(A2498&lt;&gt;"",IF(B2498="Date",NOW(),B2498),""))</f>
        <v>Date</v>
      </c>
      <c r="C2498" s="19" t="str">
        <f>IF(ISBLANK(A2498),"Name",IF(ISNA(VLOOKUP(A2498,'Master List'!A:C,2,FALSE)), "Not Found", VLOOKUP(A2498,'Master List'!A:C,2,FALSE)))</f>
        <v>Name</v>
      </c>
      <c r="D2498" s="19" t="str">
        <f>IF(ISBLANK(A2498), "Email",IF(ISNA(VLOOKUP(A2498,'Master List'!A:C,3,FALSE)), "Not Found", VLOOKUP(A2498,'Master List'!A:C,3,FALSE)))</f>
        <v>Email</v>
      </c>
      <c r="F2498" s="4" t="str">
        <f>IF(OR(A2498="",E2498="","",A2498="?",E2498="?"),"duplicate?",IF(COUNTIFS($A:A,A2498,E:E,E2498)&gt;1,"yes","no"))</f>
        <v>duplicate?</v>
      </c>
      <c r="K2498" s="97" t="str">
        <f ca="1">IF(J2498="","Date",IF(J2498&lt;&gt;"",IF(K2498="Date",NOW(),K2498),""))</f>
        <v>Date</v>
      </c>
    </row>
    <row r="2499" spans="2:11">
      <c r="B2499" s="97" t="str">
        <f ca="1">IF(A2499="","Date",IF(A2499&lt;&gt;"",IF(B2499="Date",NOW(),B2499),""))</f>
        <v>Date</v>
      </c>
      <c r="C2499" s="19" t="str">
        <f>IF(ISBLANK(A2499),"Name",IF(ISNA(VLOOKUP(A2499,'Master List'!A:C,2,FALSE)), "Not Found", VLOOKUP(A2499,'Master List'!A:C,2,FALSE)))</f>
        <v>Name</v>
      </c>
      <c r="D2499" s="19" t="str">
        <f>IF(ISBLANK(A2499), "Email",IF(ISNA(VLOOKUP(A2499,'Master List'!A:C,3,FALSE)), "Not Found", VLOOKUP(A2499,'Master List'!A:C,3,FALSE)))</f>
        <v>Email</v>
      </c>
      <c r="F2499" s="4" t="str">
        <f>IF(OR(A2499="",E2499="","",A2499="?",E2499="?"),"duplicate?",IF(COUNTIFS($A:A,A2499,E:E,E2499)&gt;1,"yes","no"))</f>
        <v>duplicate?</v>
      </c>
      <c r="K2499" s="97" t="str">
        <f ca="1">IF(J2499="","Date",IF(J2499&lt;&gt;"",IF(K2499="Date",NOW(),K2499),""))</f>
        <v>Date</v>
      </c>
    </row>
    <row r="2500" spans="2:11">
      <c r="B2500" s="97" t="str">
        <f ca="1">IF(A2500="","Date",IF(A2500&lt;&gt;"",IF(B2500="Date",NOW(),B2500),""))</f>
        <v>Date</v>
      </c>
      <c r="C2500" s="19" t="str">
        <f>IF(ISBLANK(A2500),"Name",IF(ISNA(VLOOKUP(A2500,'Master List'!A:C,2,FALSE)), "Not Found", VLOOKUP(A2500,'Master List'!A:C,2,FALSE)))</f>
        <v>Name</v>
      </c>
      <c r="D2500" s="19" t="str">
        <f>IF(ISBLANK(A2500), "Email",IF(ISNA(VLOOKUP(A2500,'Master List'!A:C,3,FALSE)), "Not Found", VLOOKUP(A2500,'Master List'!A:C,3,FALSE)))</f>
        <v>Email</v>
      </c>
      <c r="F2500" s="4" t="str">
        <f>IF(OR(A2500="",E2500="","",A2500="?",E2500="?"),"duplicate?",IF(COUNTIFS($A:A,A2500,E:E,E2500)&gt;1,"yes","no"))</f>
        <v>duplicate?</v>
      </c>
      <c r="K2500" s="97" t="str">
        <f ca="1">IF(J2500="","Date",IF(J2500&lt;&gt;"",IF(K2500="Date",NOW(),K2500),""))</f>
        <v>Date</v>
      </c>
    </row>
    <row r="2501" spans="2:11">
      <c r="B2501" s="97" t="str">
        <f ca="1">IF(A2501="","Date",IF(A2501&lt;&gt;"",IF(B2501="Date",NOW(),B2501),""))</f>
        <v>Date</v>
      </c>
      <c r="C2501" s="19" t="str">
        <f>IF(ISBLANK(A2501),"Name",IF(ISNA(VLOOKUP(A2501,'Master List'!A:C,2,FALSE)), "Not Found", VLOOKUP(A2501,'Master List'!A:C,2,FALSE)))</f>
        <v>Name</v>
      </c>
      <c r="D2501" s="19" t="str">
        <f>IF(ISBLANK(A2501), "Email",IF(ISNA(VLOOKUP(A2501,'Master List'!A:C,3,FALSE)), "Not Found", VLOOKUP(A2501,'Master List'!A:C,3,FALSE)))</f>
        <v>Email</v>
      </c>
      <c r="F2501" s="4" t="str">
        <f>IF(OR(A2501="",E2501="","",A2501="?",E2501="?"),"duplicate?",IF(COUNTIFS($A:A,A2501,E:E,E2501)&gt;1,"yes","no"))</f>
        <v>duplicate?</v>
      </c>
      <c r="K2501" s="97" t="str">
        <f ca="1">IF(J2501="","Date",IF(J2501&lt;&gt;"",IF(K2501="Date",NOW(),K2501),""))</f>
        <v>Date</v>
      </c>
    </row>
    <row r="2502" spans="2:11">
      <c r="B2502" s="97" t="str">
        <f ca="1">IF(A2502="","Date",IF(A2502&lt;&gt;"",IF(B2502="Date",NOW(),B2502),""))</f>
        <v>Date</v>
      </c>
      <c r="C2502" s="19" t="str">
        <f>IF(ISBLANK(A2502),"Name",IF(ISNA(VLOOKUP(A2502,'Master List'!A:C,2,FALSE)), "Not Found", VLOOKUP(A2502,'Master List'!A:C,2,FALSE)))</f>
        <v>Name</v>
      </c>
      <c r="D2502" s="19" t="str">
        <f>IF(ISBLANK(A2502), "Email",IF(ISNA(VLOOKUP(A2502,'Master List'!A:C,3,FALSE)), "Not Found", VLOOKUP(A2502,'Master List'!A:C,3,FALSE)))</f>
        <v>Email</v>
      </c>
      <c r="F2502" s="4" t="str">
        <f>IF(OR(A2502="",E2502="","",A2502="?",E2502="?"),"duplicate?",IF(COUNTIFS($A:A,A2502,E:E,E2502)&gt;1,"yes","no"))</f>
        <v>duplicate?</v>
      </c>
      <c r="K2502" s="97" t="str">
        <f ca="1">IF(J2502="","Date",IF(J2502&lt;&gt;"",IF(K2502="Date",NOW(),K2502),""))</f>
        <v>Date</v>
      </c>
    </row>
    <row r="2503" spans="2:11">
      <c r="B2503" s="97" t="str">
        <f ca="1">IF(A2503="","Date",IF(A2503&lt;&gt;"",IF(B2503="Date",NOW(),B2503),""))</f>
        <v>Date</v>
      </c>
      <c r="C2503" s="19" t="str">
        <f>IF(ISBLANK(A2503),"Name",IF(ISNA(VLOOKUP(A2503,'Master List'!A:C,2,FALSE)), "Not Found", VLOOKUP(A2503,'Master List'!A:C,2,FALSE)))</f>
        <v>Name</v>
      </c>
      <c r="D2503" s="19" t="str">
        <f>IF(ISBLANK(A2503), "Email",IF(ISNA(VLOOKUP(A2503,'Master List'!A:C,3,FALSE)), "Not Found", VLOOKUP(A2503,'Master List'!A:C,3,FALSE)))</f>
        <v>Email</v>
      </c>
      <c r="F2503" s="4" t="str">
        <f>IF(OR(A2503="",E2503="","",A2503="?",E2503="?"),"duplicate?",IF(COUNTIFS($A:A,A2503,E:E,E2503)&gt;1,"yes","no"))</f>
        <v>duplicate?</v>
      </c>
      <c r="K2503" s="97" t="str">
        <f ca="1">IF(J2503="","Date",IF(J2503&lt;&gt;"",IF(K2503="Date",NOW(),K2503),""))</f>
        <v>Date</v>
      </c>
    </row>
    <row r="2504" spans="2:11">
      <c r="B2504" s="97" t="str">
        <f ca="1">IF(A2504="","Date",IF(A2504&lt;&gt;"",IF(B2504="Date",NOW(),B2504),""))</f>
        <v>Date</v>
      </c>
      <c r="C2504" s="19" t="str">
        <f>IF(ISBLANK(A2504),"Name",IF(ISNA(VLOOKUP(A2504,'Master List'!A:C,2,FALSE)), "Not Found", VLOOKUP(A2504,'Master List'!A:C,2,FALSE)))</f>
        <v>Name</v>
      </c>
      <c r="D2504" s="19" t="str">
        <f>IF(ISBLANK(A2504), "Email",IF(ISNA(VLOOKUP(A2504,'Master List'!A:C,3,FALSE)), "Not Found", VLOOKUP(A2504,'Master List'!A:C,3,FALSE)))</f>
        <v>Email</v>
      </c>
      <c r="F2504" s="4" t="str">
        <f>IF(OR(A2504="",E2504="","",A2504="?",E2504="?"),"duplicate?",IF(COUNTIFS($A:A,A2504,E:E,E2504)&gt;1,"yes","no"))</f>
        <v>duplicate?</v>
      </c>
      <c r="K2504" s="97" t="str">
        <f ca="1">IF(J2504="","Date",IF(J2504&lt;&gt;"",IF(K2504="Date",NOW(),K2504),""))</f>
        <v>Date</v>
      </c>
    </row>
    <row r="2505" spans="2:11">
      <c r="B2505" s="97" t="str">
        <f ca="1">IF(A2505="","Date",IF(A2505&lt;&gt;"",IF(B2505="Date",NOW(),B2505),""))</f>
        <v>Date</v>
      </c>
      <c r="C2505" s="19" t="str">
        <f>IF(ISBLANK(A2505),"Name",IF(ISNA(VLOOKUP(A2505,'Master List'!A:C,2,FALSE)), "Not Found", VLOOKUP(A2505,'Master List'!A:C,2,FALSE)))</f>
        <v>Name</v>
      </c>
      <c r="D2505" s="19" t="str">
        <f>IF(ISBLANK(A2505), "Email",IF(ISNA(VLOOKUP(A2505,'Master List'!A:C,3,FALSE)), "Not Found", VLOOKUP(A2505,'Master List'!A:C,3,FALSE)))</f>
        <v>Email</v>
      </c>
      <c r="F2505" s="4" t="str">
        <f>IF(OR(A2505="",E2505="","",A2505="?",E2505="?"),"duplicate?",IF(COUNTIFS($A:A,A2505,E:E,E2505)&gt;1,"yes","no"))</f>
        <v>duplicate?</v>
      </c>
      <c r="K2505" s="97" t="str">
        <f ca="1">IF(J2505="","Date",IF(J2505&lt;&gt;"",IF(K2505="Date",NOW(),K2505),""))</f>
        <v>Date</v>
      </c>
    </row>
    <row r="2506" spans="2:11">
      <c r="B2506" s="97" t="str">
        <f ca="1">IF(A2506="","Date",IF(A2506&lt;&gt;"",IF(B2506="Date",NOW(),B2506),""))</f>
        <v>Date</v>
      </c>
      <c r="C2506" s="19" t="str">
        <f>IF(ISBLANK(A2506),"Name",IF(ISNA(VLOOKUP(A2506,'Master List'!A:C,2,FALSE)), "Not Found", VLOOKUP(A2506,'Master List'!A:C,2,FALSE)))</f>
        <v>Name</v>
      </c>
      <c r="D2506" s="19" t="str">
        <f>IF(ISBLANK(A2506), "Email",IF(ISNA(VLOOKUP(A2506,'Master List'!A:C,3,FALSE)), "Not Found", VLOOKUP(A2506,'Master List'!A:C,3,FALSE)))</f>
        <v>Email</v>
      </c>
      <c r="F2506" s="4" t="str">
        <f>IF(OR(A2506="",E2506="","",A2506="?",E2506="?"),"duplicate?",IF(COUNTIFS($A:A,A2506,E:E,E2506)&gt;1,"yes","no"))</f>
        <v>duplicate?</v>
      </c>
      <c r="K2506" s="97" t="str">
        <f ca="1">IF(J2506="","Date",IF(J2506&lt;&gt;"",IF(K2506="Date",NOW(),K2506),""))</f>
        <v>Date</v>
      </c>
    </row>
    <row r="2507" spans="2:11">
      <c r="B2507" s="97" t="str">
        <f ca="1">IF(A2507="","Date",IF(A2507&lt;&gt;"",IF(B2507="Date",NOW(),B2507),""))</f>
        <v>Date</v>
      </c>
      <c r="C2507" s="19" t="str">
        <f>IF(ISBLANK(A2507),"Name",IF(ISNA(VLOOKUP(A2507,'Master List'!A:C,2,FALSE)), "Not Found", VLOOKUP(A2507,'Master List'!A:C,2,FALSE)))</f>
        <v>Name</v>
      </c>
      <c r="D2507" s="19" t="str">
        <f>IF(ISBLANK(A2507), "Email",IF(ISNA(VLOOKUP(A2507,'Master List'!A:C,3,FALSE)), "Not Found", VLOOKUP(A2507,'Master List'!A:C,3,FALSE)))</f>
        <v>Email</v>
      </c>
      <c r="F2507" s="4" t="str">
        <f>IF(OR(A2507="",E2507="","",A2507="?",E2507="?"),"duplicate?",IF(COUNTIFS($A:A,A2507,E:E,E2507)&gt;1,"yes","no"))</f>
        <v>duplicate?</v>
      </c>
      <c r="K2507" s="97" t="str">
        <f ca="1">IF(J2507="","Date",IF(J2507&lt;&gt;"",IF(K2507="Date",NOW(),K2507),""))</f>
        <v>Date</v>
      </c>
    </row>
    <row r="2508" spans="2:11">
      <c r="B2508" s="97" t="str">
        <f ca="1">IF(A2508="","Date",IF(A2508&lt;&gt;"",IF(B2508="Date",NOW(),B2508),""))</f>
        <v>Date</v>
      </c>
      <c r="C2508" s="19" t="str">
        <f>IF(ISBLANK(A2508),"Name",IF(ISNA(VLOOKUP(A2508,'Master List'!A:C,2,FALSE)), "Not Found", VLOOKUP(A2508,'Master List'!A:C,2,FALSE)))</f>
        <v>Name</v>
      </c>
      <c r="D2508" s="19" t="str">
        <f>IF(ISBLANK(A2508), "Email",IF(ISNA(VLOOKUP(A2508,'Master List'!A:C,3,FALSE)), "Not Found", VLOOKUP(A2508,'Master List'!A:C,3,FALSE)))</f>
        <v>Email</v>
      </c>
      <c r="F2508" s="4" t="str">
        <f>IF(OR(A2508="",E2508="","",A2508="?",E2508="?"),"duplicate?",IF(COUNTIFS($A:A,A2508,E:E,E2508)&gt;1,"yes","no"))</f>
        <v>duplicate?</v>
      </c>
      <c r="K2508" s="97" t="str">
        <f ca="1">IF(J2508="","Date",IF(J2508&lt;&gt;"",IF(K2508="Date",NOW(),K2508),""))</f>
        <v>Date</v>
      </c>
    </row>
    <row r="2509" spans="2:11">
      <c r="B2509" s="97" t="str">
        <f ca="1">IF(A2509="","Date",IF(A2509&lt;&gt;"",IF(B2509="Date",NOW(),B2509),""))</f>
        <v>Date</v>
      </c>
      <c r="C2509" s="19" t="str">
        <f>IF(ISBLANK(A2509),"Name",IF(ISNA(VLOOKUP(A2509,'Master List'!A:C,2,FALSE)), "Not Found", VLOOKUP(A2509,'Master List'!A:C,2,FALSE)))</f>
        <v>Name</v>
      </c>
      <c r="D2509" s="19" t="str">
        <f>IF(ISBLANK(A2509), "Email",IF(ISNA(VLOOKUP(A2509,'Master List'!A:C,3,FALSE)), "Not Found", VLOOKUP(A2509,'Master List'!A:C,3,FALSE)))</f>
        <v>Email</v>
      </c>
      <c r="F2509" s="4" t="str">
        <f>IF(OR(A2509="",E2509="","",A2509="?",E2509="?"),"duplicate?",IF(COUNTIFS($A:A,A2509,E:E,E2509)&gt;1,"yes","no"))</f>
        <v>duplicate?</v>
      </c>
      <c r="K2509" s="97" t="str">
        <f ca="1">IF(J2509="","Date",IF(J2509&lt;&gt;"",IF(K2509="Date",NOW(),K2509),""))</f>
        <v>Date</v>
      </c>
    </row>
    <row r="2510" spans="2:11">
      <c r="B2510" s="97" t="str">
        <f ca="1">IF(A2510="","Date",IF(A2510&lt;&gt;"",IF(B2510="Date",NOW(),B2510),""))</f>
        <v>Date</v>
      </c>
      <c r="C2510" s="19" t="str">
        <f>IF(ISBLANK(A2510),"Name",IF(ISNA(VLOOKUP(A2510,'Master List'!A:C,2,FALSE)), "Not Found", VLOOKUP(A2510,'Master List'!A:C,2,FALSE)))</f>
        <v>Name</v>
      </c>
      <c r="D2510" s="19" t="str">
        <f>IF(ISBLANK(A2510), "Email",IF(ISNA(VLOOKUP(A2510,'Master List'!A:C,3,FALSE)), "Not Found", VLOOKUP(A2510,'Master List'!A:C,3,FALSE)))</f>
        <v>Email</v>
      </c>
      <c r="F2510" s="4" t="str">
        <f>IF(OR(A2510="",E2510="","",A2510="?",E2510="?"),"duplicate?",IF(COUNTIFS($A:A,A2510,E:E,E2510)&gt;1,"yes","no"))</f>
        <v>duplicate?</v>
      </c>
      <c r="K2510" s="97" t="str">
        <f ca="1">IF(J2510="","Date",IF(J2510&lt;&gt;"",IF(K2510="Date",NOW(),K2510),""))</f>
        <v>Date</v>
      </c>
    </row>
    <row r="2511" spans="2:11">
      <c r="B2511" s="97" t="str">
        <f ca="1">IF(A2511="","Date",IF(A2511&lt;&gt;"",IF(B2511="Date",NOW(),B2511),""))</f>
        <v>Date</v>
      </c>
      <c r="C2511" s="19" t="str">
        <f>IF(ISBLANK(A2511),"Name",IF(ISNA(VLOOKUP(A2511,'Master List'!A:C,2,FALSE)), "Not Found", VLOOKUP(A2511,'Master List'!A:C,2,FALSE)))</f>
        <v>Name</v>
      </c>
      <c r="D2511" s="19" t="str">
        <f>IF(ISBLANK(A2511), "Email",IF(ISNA(VLOOKUP(A2511,'Master List'!A:C,3,FALSE)), "Not Found", VLOOKUP(A2511,'Master List'!A:C,3,FALSE)))</f>
        <v>Email</v>
      </c>
      <c r="F2511" s="4" t="str">
        <f>IF(OR(A2511="",E2511="","",A2511="?",E2511="?"),"duplicate?",IF(COUNTIFS($A:A,A2511,E:E,E2511)&gt;1,"yes","no"))</f>
        <v>duplicate?</v>
      </c>
      <c r="K2511" s="97" t="str">
        <f ca="1">IF(J2511="","Date",IF(J2511&lt;&gt;"",IF(K2511="Date",NOW(),K2511),""))</f>
        <v>Date</v>
      </c>
    </row>
    <row r="2512" spans="2:11">
      <c r="B2512" s="97" t="str">
        <f ca="1">IF(A2512="","Date",IF(A2512&lt;&gt;"",IF(B2512="Date",NOW(),B2512),""))</f>
        <v>Date</v>
      </c>
      <c r="C2512" s="19" t="str">
        <f>IF(ISBLANK(A2512),"Name",IF(ISNA(VLOOKUP(A2512,'Master List'!A:C,2,FALSE)), "Not Found", VLOOKUP(A2512,'Master List'!A:C,2,FALSE)))</f>
        <v>Name</v>
      </c>
      <c r="D2512" s="19" t="str">
        <f>IF(ISBLANK(A2512), "Email",IF(ISNA(VLOOKUP(A2512,'Master List'!A:C,3,FALSE)), "Not Found", VLOOKUP(A2512,'Master List'!A:C,3,FALSE)))</f>
        <v>Email</v>
      </c>
      <c r="F2512" s="4" t="str">
        <f>IF(OR(A2512="",E2512="","",A2512="?",E2512="?"),"duplicate?",IF(COUNTIFS($A:A,A2512,E:E,E2512)&gt;1,"yes","no"))</f>
        <v>duplicate?</v>
      </c>
      <c r="K2512" s="97" t="str">
        <f ca="1">IF(J2512="","Date",IF(J2512&lt;&gt;"",IF(K2512="Date",NOW(),K2512),""))</f>
        <v>Date</v>
      </c>
    </row>
    <row r="2513" spans="2:11">
      <c r="B2513" s="97" t="str">
        <f ca="1">IF(A2513="","Date",IF(A2513&lt;&gt;"",IF(B2513="Date",NOW(),B2513),""))</f>
        <v>Date</v>
      </c>
      <c r="C2513" s="19" t="str">
        <f>IF(ISBLANK(A2513),"Name",IF(ISNA(VLOOKUP(A2513,'Master List'!A:C,2,FALSE)), "Not Found", VLOOKUP(A2513,'Master List'!A:C,2,FALSE)))</f>
        <v>Name</v>
      </c>
      <c r="D2513" s="19" t="str">
        <f>IF(ISBLANK(A2513), "Email",IF(ISNA(VLOOKUP(A2513,'Master List'!A:C,3,FALSE)), "Not Found", VLOOKUP(A2513,'Master List'!A:C,3,FALSE)))</f>
        <v>Email</v>
      </c>
      <c r="F2513" s="4" t="str">
        <f>IF(OR(A2513="",E2513="","",A2513="?",E2513="?"),"duplicate?",IF(COUNTIFS($A:A,A2513,E:E,E2513)&gt;1,"yes","no"))</f>
        <v>duplicate?</v>
      </c>
      <c r="K2513" s="97" t="str">
        <f ca="1">IF(J2513="","Date",IF(J2513&lt;&gt;"",IF(K2513="Date",NOW(),K2513),""))</f>
        <v>Date</v>
      </c>
    </row>
    <row r="2514" spans="2:11">
      <c r="B2514" s="97" t="str">
        <f ca="1">IF(A2514="","Date",IF(A2514&lt;&gt;"",IF(B2514="Date",NOW(),B2514),""))</f>
        <v>Date</v>
      </c>
      <c r="C2514" s="19" t="str">
        <f>IF(ISBLANK(A2514),"Name",IF(ISNA(VLOOKUP(A2514,'Master List'!A:C,2,FALSE)), "Not Found", VLOOKUP(A2514,'Master List'!A:C,2,FALSE)))</f>
        <v>Name</v>
      </c>
      <c r="D2514" s="19" t="str">
        <f>IF(ISBLANK(A2514), "Email",IF(ISNA(VLOOKUP(A2514,'Master List'!A:C,3,FALSE)), "Not Found", VLOOKUP(A2514,'Master List'!A:C,3,FALSE)))</f>
        <v>Email</v>
      </c>
      <c r="F2514" s="4" t="str">
        <f>IF(OR(A2514="",E2514="","",A2514="?",E2514="?"),"duplicate?",IF(COUNTIFS($A:A,A2514,E:E,E2514)&gt;1,"yes","no"))</f>
        <v>duplicate?</v>
      </c>
      <c r="K2514" s="97" t="str">
        <f ca="1">IF(J2514="","Date",IF(J2514&lt;&gt;"",IF(K2514="Date",NOW(),K2514),""))</f>
        <v>Date</v>
      </c>
    </row>
    <row r="2515" spans="2:11">
      <c r="B2515" s="97" t="str">
        <f ca="1">IF(A2515="","Date",IF(A2515&lt;&gt;"",IF(B2515="Date",NOW(),B2515),""))</f>
        <v>Date</v>
      </c>
      <c r="C2515" s="19" t="str">
        <f>IF(ISBLANK(A2515),"Name",IF(ISNA(VLOOKUP(A2515,'Master List'!A:C,2,FALSE)), "Not Found", VLOOKUP(A2515,'Master List'!A:C,2,FALSE)))</f>
        <v>Name</v>
      </c>
      <c r="D2515" s="19" t="str">
        <f>IF(ISBLANK(A2515), "Email",IF(ISNA(VLOOKUP(A2515,'Master List'!A:C,3,FALSE)), "Not Found", VLOOKUP(A2515,'Master List'!A:C,3,FALSE)))</f>
        <v>Email</v>
      </c>
      <c r="F2515" s="4" t="str">
        <f>IF(OR(A2515="",E2515="","",A2515="?",E2515="?"),"duplicate?",IF(COUNTIFS($A:A,A2515,E:E,E2515)&gt;1,"yes","no"))</f>
        <v>duplicate?</v>
      </c>
      <c r="K2515" s="97" t="str">
        <f ca="1">IF(J2515="","Date",IF(J2515&lt;&gt;"",IF(K2515="Date",NOW(),K2515),""))</f>
        <v>Date</v>
      </c>
    </row>
    <row r="2516" spans="2:11">
      <c r="B2516" s="97" t="str">
        <f ca="1">IF(A2516="","Date",IF(A2516&lt;&gt;"",IF(B2516="Date",NOW(),B2516),""))</f>
        <v>Date</v>
      </c>
      <c r="C2516" s="19" t="str">
        <f>IF(ISBLANK(A2516),"Name",IF(ISNA(VLOOKUP(A2516,'Master List'!A:C,2,FALSE)), "Not Found", VLOOKUP(A2516,'Master List'!A:C,2,FALSE)))</f>
        <v>Name</v>
      </c>
      <c r="D2516" s="19" t="str">
        <f>IF(ISBLANK(A2516), "Email",IF(ISNA(VLOOKUP(A2516,'Master List'!A:C,3,FALSE)), "Not Found", VLOOKUP(A2516,'Master List'!A:C,3,FALSE)))</f>
        <v>Email</v>
      </c>
      <c r="F2516" s="4" t="str">
        <f>IF(OR(A2516="",E2516="","",A2516="?",E2516="?"),"duplicate?",IF(COUNTIFS($A:A,A2516,E:E,E2516)&gt;1,"yes","no"))</f>
        <v>duplicate?</v>
      </c>
      <c r="K2516" s="97" t="str">
        <f ca="1">IF(J2516="","Date",IF(J2516&lt;&gt;"",IF(K2516="Date",NOW(),K2516),""))</f>
        <v>Date</v>
      </c>
    </row>
    <row r="2517" spans="2:11">
      <c r="B2517" s="97" t="str">
        <f ca="1">IF(A2517="","Date",IF(A2517&lt;&gt;"",IF(B2517="Date",NOW(),B2517),""))</f>
        <v>Date</v>
      </c>
      <c r="C2517" s="19" t="str">
        <f>IF(ISBLANK(A2517),"Name",IF(ISNA(VLOOKUP(A2517,'Master List'!A:C,2,FALSE)), "Not Found", VLOOKUP(A2517,'Master List'!A:C,2,FALSE)))</f>
        <v>Name</v>
      </c>
      <c r="D2517" s="19" t="str">
        <f>IF(ISBLANK(A2517), "Email",IF(ISNA(VLOOKUP(A2517,'Master List'!A:C,3,FALSE)), "Not Found", VLOOKUP(A2517,'Master List'!A:C,3,FALSE)))</f>
        <v>Email</v>
      </c>
      <c r="F2517" s="4" t="str">
        <f>IF(OR(A2517="",E2517="","",A2517="?",E2517="?"),"duplicate?",IF(COUNTIFS($A:A,A2517,E:E,E2517)&gt;1,"yes","no"))</f>
        <v>duplicate?</v>
      </c>
      <c r="K2517" s="97" t="str">
        <f ca="1">IF(J2517="","Date",IF(J2517&lt;&gt;"",IF(K2517="Date",NOW(),K2517),""))</f>
        <v>Date</v>
      </c>
    </row>
    <row r="2518" spans="2:11">
      <c r="B2518" s="97" t="str">
        <f ca="1">IF(A2518="","Date",IF(A2518&lt;&gt;"",IF(B2518="Date",NOW(),B2518),""))</f>
        <v>Date</v>
      </c>
      <c r="C2518" s="19" t="str">
        <f>IF(ISBLANK(A2518),"Name",IF(ISNA(VLOOKUP(A2518,'Master List'!A:C,2,FALSE)), "Not Found", VLOOKUP(A2518,'Master List'!A:C,2,FALSE)))</f>
        <v>Name</v>
      </c>
      <c r="D2518" s="19" t="str">
        <f>IF(ISBLANK(A2518), "Email",IF(ISNA(VLOOKUP(A2518,'Master List'!A:C,3,FALSE)), "Not Found", VLOOKUP(A2518,'Master List'!A:C,3,FALSE)))</f>
        <v>Email</v>
      </c>
      <c r="F2518" s="4" t="str">
        <f>IF(OR(A2518="",E2518="","",A2518="?",E2518="?"),"duplicate?",IF(COUNTIFS($A:A,A2518,E:E,E2518)&gt;1,"yes","no"))</f>
        <v>duplicate?</v>
      </c>
      <c r="K2518" s="97" t="str">
        <f ca="1">IF(J2518="","Date",IF(J2518&lt;&gt;"",IF(K2518="Date",NOW(),K2518),""))</f>
        <v>Date</v>
      </c>
    </row>
    <row r="2519" spans="2:11">
      <c r="B2519" s="97" t="str">
        <f ca="1">IF(A2519="","Date",IF(A2519&lt;&gt;"",IF(B2519="Date",NOW(),B2519),""))</f>
        <v>Date</v>
      </c>
      <c r="C2519" s="19" t="str">
        <f>IF(ISBLANK(A2519),"Name",IF(ISNA(VLOOKUP(A2519,'Master List'!A:C,2,FALSE)), "Not Found", VLOOKUP(A2519,'Master List'!A:C,2,FALSE)))</f>
        <v>Name</v>
      </c>
      <c r="D2519" s="19" t="str">
        <f>IF(ISBLANK(A2519), "Email",IF(ISNA(VLOOKUP(A2519,'Master List'!A:C,3,FALSE)), "Not Found", VLOOKUP(A2519,'Master List'!A:C,3,FALSE)))</f>
        <v>Email</v>
      </c>
      <c r="F2519" s="4" t="str">
        <f>IF(OR(A2519="",E2519="","",A2519="?",E2519="?"),"duplicate?",IF(COUNTIFS($A:A,A2519,E:E,E2519)&gt;1,"yes","no"))</f>
        <v>duplicate?</v>
      </c>
      <c r="K2519" s="97" t="str">
        <f ca="1">IF(J2519="","Date",IF(J2519&lt;&gt;"",IF(K2519="Date",NOW(),K2519),""))</f>
        <v>Date</v>
      </c>
    </row>
    <row r="2520" spans="2:11">
      <c r="B2520" s="97" t="str">
        <f ca="1">IF(A2520="","Date",IF(A2520&lt;&gt;"",IF(B2520="Date",NOW(),B2520),""))</f>
        <v>Date</v>
      </c>
      <c r="C2520" s="19" t="str">
        <f>IF(ISBLANK(A2520),"Name",IF(ISNA(VLOOKUP(A2520,'Master List'!A:C,2,FALSE)), "Not Found", VLOOKUP(A2520,'Master List'!A:C,2,FALSE)))</f>
        <v>Name</v>
      </c>
      <c r="D2520" s="19" t="str">
        <f>IF(ISBLANK(A2520), "Email",IF(ISNA(VLOOKUP(A2520,'Master List'!A:C,3,FALSE)), "Not Found", VLOOKUP(A2520,'Master List'!A:C,3,FALSE)))</f>
        <v>Email</v>
      </c>
      <c r="F2520" s="4" t="str">
        <f>IF(OR(A2520="",E2520="","",A2520="?",E2520="?"),"duplicate?",IF(COUNTIFS($A:A,A2520,E:E,E2520)&gt;1,"yes","no"))</f>
        <v>duplicate?</v>
      </c>
      <c r="K2520" s="97" t="str">
        <f ca="1">IF(J2520="","Date",IF(J2520&lt;&gt;"",IF(K2520="Date",NOW(),K2520),""))</f>
        <v>Date</v>
      </c>
    </row>
    <row r="2521" spans="2:11">
      <c r="B2521" s="97" t="str">
        <f ca="1">IF(A2521="","Date",IF(A2521&lt;&gt;"",IF(B2521="Date",NOW(),B2521),""))</f>
        <v>Date</v>
      </c>
      <c r="C2521" s="19" t="str">
        <f>IF(ISBLANK(A2521),"Name",IF(ISNA(VLOOKUP(A2521,'Master List'!A:C,2,FALSE)), "Not Found", VLOOKUP(A2521,'Master List'!A:C,2,FALSE)))</f>
        <v>Name</v>
      </c>
      <c r="D2521" s="19" t="str">
        <f>IF(ISBLANK(A2521), "Email",IF(ISNA(VLOOKUP(A2521,'Master List'!A:C,3,FALSE)), "Not Found", VLOOKUP(A2521,'Master List'!A:C,3,FALSE)))</f>
        <v>Email</v>
      </c>
      <c r="F2521" s="4" t="str">
        <f>IF(OR(A2521="",E2521="","",A2521="?",E2521="?"),"duplicate?",IF(COUNTIFS($A:A,A2521,E:E,E2521)&gt;1,"yes","no"))</f>
        <v>duplicate?</v>
      </c>
      <c r="K2521" s="97" t="str">
        <f ca="1">IF(J2521="","Date",IF(J2521&lt;&gt;"",IF(K2521="Date",NOW(),K2521),""))</f>
        <v>Date</v>
      </c>
    </row>
    <row r="2522" spans="2:11">
      <c r="B2522" s="97" t="str">
        <f ca="1">IF(A2522="","Date",IF(A2522&lt;&gt;"",IF(B2522="Date",NOW(),B2522),""))</f>
        <v>Date</v>
      </c>
      <c r="C2522" s="19" t="str">
        <f>IF(ISBLANK(A2522),"Name",IF(ISNA(VLOOKUP(A2522,'Master List'!A:C,2,FALSE)), "Not Found", VLOOKUP(A2522,'Master List'!A:C,2,FALSE)))</f>
        <v>Name</v>
      </c>
      <c r="D2522" s="19" t="str">
        <f>IF(ISBLANK(A2522), "Email",IF(ISNA(VLOOKUP(A2522,'Master List'!A:C,3,FALSE)), "Not Found", VLOOKUP(A2522,'Master List'!A:C,3,FALSE)))</f>
        <v>Email</v>
      </c>
      <c r="F2522" s="4" t="str">
        <f>IF(OR(A2522="",E2522="","",A2522="?",E2522="?"),"duplicate?",IF(COUNTIFS($A:A,A2522,E:E,E2522)&gt;1,"yes","no"))</f>
        <v>duplicate?</v>
      </c>
      <c r="K2522" s="97" t="str">
        <f ca="1">IF(J2522="","Date",IF(J2522&lt;&gt;"",IF(K2522="Date",NOW(),K2522),""))</f>
        <v>Date</v>
      </c>
    </row>
    <row r="2523" spans="2:11">
      <c r="B2523" s="97" t="str">
        <f ca="1">IF(A2523="","Date",IF(A2523&lt;&gt;"",IF(B2523="Date",NOW(),B2523),""))</f>
        <v>Date</v>
      </c>
      <c r="C2523" s="19" t="str">
        <f>IF(ISBLANK(A2523),"Name",IF(ISNA(VLOOKUP(A2523,'Master List'!A:C,2,FALSE)), "Not Found", VLOOKUP(A2523,'Master List'!A:C,2,FALSE)))</f>
        <v>Name</v>
      </c>
      <c r="D2523" s="19" t="str">
        <f>IF(ISBLANK(A2523), "Email",IF(ISNA(VLOOKUP(A2523,'Master List'!A:C,3,FALSE)), "Not Found", VLOOKUP(A2523,'Master List'!A:C,3,FALSE)))</f>
        <v>Email</v>
      </c>
      <c r="F2523" s="4" t="str">
        <f>IF(OR(A2523="",E2523="","",A2523="?",E2523="?"),"duplicate?",IF(COUNTIFS($A:A,A2523,E:E,E2523)&gt;1,"yes","no"))</f>
        <v>duplicate?</v>
      </c>
      <c r="K2523" s="97" t="str">
        <f ca="1">IF(J2523="","Date",IF(J2523&lt;&gt;"",IF(K2523="Date",NOW(),K2523),""))</f>
        <v>Date</v>
      </c>
    </row>
    <row r="2524" spans="2:11">
      <c r="B2524" s="97" t="str">
        <f ca="1">IF(A2524="","Date",IF(A2524&lt;&gt;"",IF(B2524="Date",NOW(),B2524),""))</f>
        <v>Date</v>
      </c>
      <c r="C2524" s="19" t="str">
        <f>IF(ISBLANK(A2524),"Name",IF(ISNA(VLOOKUP(A2524,'Master List'!A:C,2,FALSE)), "Not Found", VLOOKUP(A2524,'Master List'!A:C,2,FALSE)))</f>
        <v>Name</v>
      </c>
      <c r="D2524" s="19" t="str">
        <f>IF(ISBLANK(A2524), "Email",IF(ISNA(VLOOKUP(A2524,'Master List'!A:C,3,FALSE)), "Not Found", VLOOKUP(A2524,'Master List'!A:C,3,FALSE)))</f>
        <v>Email</v>
      </c>
      <c r="F2524" s="4" t="str">
        <f>IF(OR(A2524="",E2524="","",A2524="?",E2524="?"),"duplicate?",IF(COUNTIFS($A:A,A2524,E:E,E2524)&gt;1,"yes","no"))</f>
        <v>duplicate?</v>
      </c>
      <c r="K2524" s="97" t="str">
        <f ca="1">IF(J2524="","Date",IF(J2524&lt;&gt;"",IF(K2524="Date",NOW(),K2524),""))</f>
        <v>Date</v>
      </c>
    </row>
    <row r="2525" spans="2:11">
      <c r="B2525" s="97" t="str">
        <f ca="1">IF(A2525="","Date",IF(A2525&lt;&gt;"",IF(B2525="Date",NOW(),B2525),""))</f>
        <v>Date</v>
      </c>
      <c r="C2525" s="19" t="str">
        <f>IF(ISBLANK(A2525),"Name",IF(ISNA(VLOOKUP(A2525,'Master List'!A:C,2,FALSE)), "Not Found", VLOOKUP(A2525,'Master List'!A:C,2,FALSE)))</f>
        <v>Name</v>
      </c>
      <c r="D2525" s="19" t="str">
        <f>IF(ISBLANK(A2525), "Email",IF(ISNA(VLOOKUP(A2525,'Master List'!A:C,3,FALSE)), "Not Found", VLOOKUP(A2525,'Master List'!A:C,3,FALSE)))</f>
        <v>Email</v>
      </c>
      <c r="F2525" s="4" t="str">
        <f>IF(OR(A2525="",E2525="","",A2525="?",E2525="?"),"duplicate?",IF(COUNTIFS($A:A,A2525,E:E,E2525)&gt;1,"yes","no"))</f>
        <v>duplicate?</v>
      </c>
      <c r="K2525" s="97" t="str">
        <f ca="1">IF(J2525="","Date",IF(J2525&lt;&gt;"",IF(K2525="Date",NOW(),K2525),""))</f>
        <v>Date</v>
      </c>
    </row>
    <row r="2526" spans="2:11">
      <c r="B2526" s="97" t="str">
        <f ca="1">IF(A2526="","Date",IF(A2526&lt;&gt;"",IF(B2526="Date",NOW(),B2526),""))</f>
        <v>Date</v>
      </c>
      <c r="C2526" s="19" t="str">
        <f>IF(ISBLANK(A2526),"Name",IF(ISNA(VLOOKUP(A2526,'Master List'!A:C,2,FALSE)), "Not Found", VLOOKUP(A2526,'Master List'!A:C,2,FALSE)))</f>
        <v>Name</v>
      </c>
      <c r="D2526" s="19" t="str">
        <f>IF(ISBLANK(A2526), "Email",IF(ISNA(VLOOKUP(A2526,'Master List'!A:C,3,FALSE)), "Not Found", VLOOKUP(A2526,'Master List'!A:C,3,FALSE)))</f>
        <v>Email</v>
      </c>
      <c r="F2526" s="4" t="str">
        <f>IF(OR(A2526="",E2526="","",A2526="?",E2526="?"),"duplicate?",IF(COUNTIFS($A:A,A2526,E:E,E2526)&gt;1,"yes","no"))</f>
        <v>duplicate?</v>
      </c>
      <c r="K2526" s="97" t="str">
        <f ca="1">IF(J2526="","Date",IF(J2526&lt;&gt;"",IF(K2526="Date",NOW(),K2526),""))</f>
        <v>Date</v>
      </c>
    </row>
    <row r="2527" spans="2:11">
      <c r="B2527" s="97" t="str">
        <f ca="1">IF(A2527="","Date",IF(A2527&lt;&gt;"",IF(B2527="Date",NOW(),B2527),""))</f>
        <v>Date</v>
      </c>
      <c r="C2527" s="19" t="str">
        <f>IF(ISBLANK(A2527),"Name",IF(ISNA(VLOOKUP(A2527,'Master List'!A:C,2,FALSE)), "Not Found", VLOOKUP(A2527,'Master List'!A:C,2,FALSE)))</f>
        <v>Name</v>
      </c>
      <c r="D2527" s="19" t="str">
        <f>IF(ISBLANK(A2527), "Email",IF(ISNA(VLOOKUP(A2527,'Master List'!A:C,3,FALSE)), "Not Found", VLOOKUP(A2527,'Master List'!A:C,3,FALSE)))</f>
        <v>Email</v>
      </c>
      <c r="F2527" s="4" t="str">
        <f>IF(OR(A2527="",E2527="","",A2527="?",E2527="?"),"duplicate?",IF(COUNTIFS($A:A,A2527,E:E,E2527)&gt;1,"yes","no"))</f>
        <v>duplicate?</v>
      </c>
      <c r="K2527" s="97" t="str">
        <f ca="1">IF(J2527="","Date",IF(J2527&lt;&gt;"",IF(K2527="Date",NOW(),K2527),""))</f>
        <v>Date</v>
      </c>
    </row>
    <row r="2528" spans="2:11">
      <c r="B2528" s="97" t="str">
        <f ca="1">IF(A2528="","Date",IF(A2528&lt;&gt;"",IF(B2528="Date",NOW(),B2528),""))</f>
        <v>Date</v>
      </c>
      <c r="C2528" s="19" t="str">
        <f>IF(ISBLANK(A2528),"Name",IF(ISNA(VLOOKUP(A2528,'Master List'!A:C,2,FALSE)), "Not Found", VLOOKUP(A2528,'Master List'!A:C,2,FALSE)))</f>
        <v>Name</v>
      </c>
      <c r="D2528" s="19" t="str">
        <f>IF(ISBLANK(A2528), "Email",IF(ISNA(VLOOKUP(A2528,'Master List'!A:C,3,FALSE)), "Not Found", VLOOKUP(A2528,'Master List'!A:C,3,FALSE)))</f>
        <v>Email</v>
      </c>
      <c r="F2528" s="4" t="str">
        <f>IF(OR(A2528="",E2528="","",A2528="?",E2528="?"),"duplicate?",IF(COUNTIFS($A:A,A2528,E:E,E2528)&gt;1,"yes","no"))</f>
        <v>duplicate?</v>
      </c>
      <c r="K2528" s="97" t="str">
        <f ca="1">IF(J2528="","Date",IF(J2528&lt;&gt;"",IF(K2528="Date",NOW(),K2528),""))</f>
        <v>Date</v>
      </c>
    </row>
    <row r="2529" spans="2:11">
      <c r="B2529" s="97" t="str">
        <f ca="1">IF(A2529="","Date",IF(A2529&lt;&gt;"",IF(B2529="Date",NOW(),B2529),""))</f>
        <v>Date</v>
      </c>
      <c r="C2529" s="19" t="str">
        <f>IF(ISBLANK(A2529),"Name",IF(ISNA(VLOOKUP(A2529,'Master List'!A:C,2,FALSE)), "Not Found", VLOOKUP(A2529,'Master List'!A:C,2,FALSE)))</f>
        <v>Name</v>
      </c>
      <c r="D2529" s="19" t="str">
        <f>IF(ISBLANK(A2529), "Email",IF(ISNA(VLOOKUP(A2529,'Master List'!A:C,3,FALSE)), "Not Found", VLOOKUP(A2529,'Master List'!A:C,3,FALSE)))</f>
        <v>Email</v>
      </c>
      <c r="F2529" s="4" t="str">
        <f>IF(OR(A2529="",E2529="","",A2529="?",E2529="?"),"duplicate?",IF(COUNTIFS($A:A,A2529,E:E,E2529)&gt;1,"yes","no"))</f>
        <v>duplicate?</v>
      </c>
      <c r="K2529" s="97" t="str">
        <f ca="1">IF(J2529="","Date",IF(J2529&lt;&gt;"",IF(K2529="Date",NOW(),K2529),""))</f>
        <v>Date</v>
      </c>
    </row>
    <row r="2530" spans="2:11">
      <c r="B2530" s="97" t="str">
        <f ca="1">IF(A2530="","Date",IF(A2530&lt;&gt;"",IF(B2530="Date",NOW(),B2530),""))</f>
        <v>Date</v>
      </c>
      <c r="C2530" s="19" t="str">
        <f>IF(ISBLANK(A2530),"Name",IF(ISNA(VLOOKUP(A2530,'Master List'!A:C,2,FALSE)), "Not Found", VLOOKUP(A2530,'Master List'!A:C,2,FALSE)))</f>
        <v>Name</v>
      </c>
      <c r="D2530" s="19" t="str">
        <f>IF(ISBLANK(A2530), "Email",IF(ISNA(VLOOKUP(A2530,'Master List'!A:C,3,FALSE)), "Not Found", VLOOKUP(A2530,'Master List'!A:C,3,FALSE)))</f>
        <v>Email</v>
      </c>
      <c r="F2530" s="4" t="str">
        <f>IF(OR(A2530="",E2530="","",A2530="?",E2530="?"),"duplicate?",IF(COUNTIFS($A:A,A2530,E:E,E2530)&gt;1,"yes","no"))</f>
        <v>duplicate?</v>
      </c>
      <c r="K2530" s="97" t="str">
        <f ca="1">IF(J2530="","Date",IF(J2530&lt;&gt;"",IF(K2530="Date",NOW(),K2530),""))</f>
        <v>Date</v>
      </c>
    </row>
    <row r="2531" spans="2:11">
      <c r="B2531" s="97" t="str">
        <f ca="1">IF(A2531="","Date",IF(A2531&lt;&gt;"",IF(B2531="Date",NOW(),B2531),""))</f>
        <v>Date</v>
      </c>
      <c r="C2531" s="19" t="str">
        <f>IF(ISBLANK(A2531),"Name",IF(ISNA(VLOOKUP(A2531,'Master List'!A:C,2,FALSE)), "Not Found", VLOOKUP(A2531,'Master List'!A:C,2,FALSE)))</f>
        <v>Name</v>
      </c>
      <c r="D2531" s="19" t="str">
        <f>IF(ISBLANK(A2531), "Email",IF(ISNA(VLOOKUP(A2531,'Master List'!A:C,3,FALSE)), "Not Found", VLOOKUP(A2531,'Master List'!A:C,3,FALSE)))</f>
        <v>Email</v>
      </c>
      <c r="F2531" s="4" t="str">
        <f>IF(OR(A2531="",E2531="","",A2531="?",E2531="?"),"duplicate?",IF(COUNTIFS($A:A,A2531,E:E,E2531)&gt;1,"yes","no"))</f>
        <v>duplicate?</v>
      </c>
      <c r="K2531" s="97" t="str">
        <f ca="1">IF(J2531="","Date",IF(J2531&lt;&gt;"",IF(K2531="Date",NOW(),K2531),""))</f>
        <v>Date</v>
      </c>
    </row>
    <row r="2532" spans="2:11">
      <c r="B2532" s="97" t="str">
        <f ca="1">IF(A2532="","Date",IF(A2532&lt;&gt;"",IF(B2532="Date",NOW(),B2532),""))</f>
        <v>Date</v>
      </c>
      <c r="C2532" s="19" t="str">
        <f>IF(ISBLANK(A2532),"Name",IF(ISNA(VLOOKUP(A2532,'Master List'!A:C,2,FALSE)), "Not Found", VLOOKUP(A2532,'Master List'!A:C,2,FALSE)))</f>
        <v>Name</v>
      </c>
      <c r="D2532" s="19" t="str">
        <f>IF(ISBLANK(A2532), "Email",IF(ISNA(VLOOKUP(A2532,'Master List'!A:C,3,FALSE)), "Not Found", VLOOKUP(A2532,'Master List'!A:C,3,FALSE)))</f>
        <v>Email</v>
      </c>
      <c r="F2532" s="4" t="str">
        <f>IF(OR(A2532="",E2532="","",A2532="?",E2532="?"),"duplicate?",IF(COUNTIFS($A:A,A2532,E:E,E2532)&gt;1,"yes","no"))</f>
        <v>duplicate?</v>
      </c>
      <c r="K2532" s="97" t="str">
        <f ca="1">IF(J2532="","Date",IF(J2532&lt;&gt;"",IF(K2532="Date",NOW(),K2532),""))</f>
        <v>Date</v>
      </c>
    </row>
    <row r="2533" spans="2:11">
      <c r="B2533" s="97" t="str">
        <f ca="1">IF(A2533="","Date",IF(A2533&lt;&gt;"",IF(B2533="Date",NOW(),B2533),""))</f>
        <v>Date</v>
      </c>
      <c r="C2533" s="19" t="str">
        <f>IF(ISBLANK(A2533),"Name",IF(ISNA(VLOOKUP(A2533,'Master List'!A:C,2,FALSE)), "Not Found", VLOOKUP(A2533,'Master List'!A:C,2,FALSE)))</f>
        <v>Name</v>
      </c>
      <c r="D2533" s="19" t="str">
        <f>IF(ISBLANK(A2533), "Email",IF(ISNA(VLOOKUP(A2533,'Master List'!A:C,3,FALSE)), "Not Found", VLOOKUP(A2533,'Master List'!A:C,3,FALSE)))</f>
        <v>Email</v>
      </c>
      <c r="F2533" s="4" t="str">
        <f>IF(OR(A2533="",E2533="","",A2533="?",E2533="?"),"duplicate?",IF(COUNTIFS($A:A,A2533,E:E,E2533)&gt;1,"yes","no"))</f>
        <v>duplicate?</v>
      </c>
      <c r="K2533" s="97" t="str">
        <f ca="1">IF(J2533="","Date",IF(J2533&lt;&gt;"",IF(K2533="Date",NOW(),K2533),""))</f>
        <v>Date</v>
      </c>
    </row>
    <row r="2534" spans="2:11">
      <c r="B2534" s="97" t="str">
        <f ca="1">IF(A2534="","Date",IF(A2534&lt;&gt;"",IF(B2534="Date",NOW(),B2534),""))</f>
        <v>Date</v>
      </c>
      <c r="C2534" s="19" t="str">
        <f>IF(ISBLANK(A2534),"Name",IF(ISNA(VLOOKUP(A2534,'Master List'!A:C,2,FALSE)), "Not Found", VLOOKUP(A2534,'Master List'!A:C,2,FALSE)))</f>
        <v>Name</v>
      </c>
      <c r="D2534" s="19" t="str">
        <f>IF(ISBLANK(A2534), "Email",IF(ISNA(VLOOKUP(A2534,'Master List'!A:C,3,FALSE)), "Not Found", VLOOKUP(A2534,'Master List'!A:C,3,FALSE)))</f>
        <v>Email</v>
      </c>
      <c r="F2534" s="4" t="str">
        <f>IF(OR(A2534="",E2534="","",A2534="?",E2534="?"),"duplicate?",IF(COUNTIFS($A:A,A2534,E:E,E2534)&gt;1,"yes","no"))</f>
        <v>duplicate?</v>
      </c>
      <c r="K2534" s="97" t="str">
        <f ca="1">IF(J2534="","Date",IF(J2534&lt;&gt;"",IF(K2534="Date",NOW(),K2534),""))</f>
        <v>Date</v>
      </c>
    </row>
    <row r="2535" spans="2:11">
      <c r="B2535" s="97" t="str">
        <f ca="1">IF(A2535="","Date",IF(A2535&lt;&gt;"",IF(B2535="Date",NOW(),B2535),""))</f>
        <v>Date</v>
      </c>
      <c r="C2535" s="19" t="str">
        <f>IF(ISBLANK(A2535),"Name",IF(ISNA(VLOOKUP(A2535,'Master List'!A:C,2,FALSE)), "Not Found", VLOOKUP(A2535,'Master List'!A:C,2,FALSE)))</f>
        <v>Name</v>
      </c>
      <c r="D2535" s="19" t="str">
        <f>IF(ISBLANK(A2535), "Email",IF(ISNA(VLOOKUP(A2535,'Master List'!A:C,3,FALSE)), "Not Found", VLOOKUP(A2535,'Master List'!A:C,3,FALSE)))</f>
        <v>Email</v>
      </c>
      <c r="F2535" s="4" t="str">
        <f>IF(OR(A2535="",E2535="","",A2535="?",E2535="?"),"duplicate?",IF(COUNTIFS($A:A,A2535,E:E,E2535)&gt;1,"yes","no"))</f>
        <v>duplicate?</v>
      </c>
      <c r="K2535" s="97" t="str">
        <f ca="1">IF(J2535="","Date",IF(J2535&lt;&gt;"",IF(K2535="Date",NOW(),K2535),""))</f>
        <v>Date</v>
      </c>
    </row>
    <row r="2536" spans="2:11">
      <c r="B2536" s="97" t="str">
        <f ca="1">IF(A2536="","Date",IF(A2536&lt;&gt;"",IF(B2536="Date",NOW(),B2536),""))</f>
        <v>Date</v>
      </c>
      <c r="C2536" s="19" t="str">
        <f>IF(ISBLANK(A2536),"Name",IF(ISNA(VLOOKUP(A2536,'Master List'!A:C,2,FALSE)), "Not Found", VLOOKUP(A2536,'Master List'!A:C,2,FALSE)))</f>
        <v>Name</v>
      </c>
      <c r="D2536" s="19" t="str">
        <f>IF(ISBLANK(A2536), "Email",IF(ISNA(VLOOKUP(A2536,'Master List'!A:C,3,FALSE)), "Not Found", VLOOKUP(A2536,'Master List'!A:C,3,FALSE)))</f>
        <v>Email</v>
      </c>
      <c r="F2536" s="4" t="str">
        <f>IF(OR(A2536="",E2536="","",A2536="?",E2536="?"),"duplicate?",IF(COUNTIFS($A:A,A2536,E:E,E2536)&gt;1,"yes","no"))</f>
        <v>duplicate?</v>
      </c>
      <c r="K2536" s="97" t="str">
        <f ca="1">IF(J2536="","Date",IF(J2536&lt;&gt;"",IF(K2536="Date",NOW(),K2536),""))</f>
        <v>Date</v>
      </c>
    </row>
    <row r="2537" spans="2:11">
      <c r="B2537" s="97" t="str">
        <f ca="1">IF(A2537="","Date",IF(A2537&lt;&gt;"",IF(B2537="Date",NOW(),B2537),""))</f>
        <v>Date</v>
      </c>
      <c r="C2537" s="19" t="str">
        <f>IF(ISBLANK(A2537),"Name",IF(ISNA(VLOOKUP(A2537,'Master List'!A:C,2,FALSE)), "Not Found", VLOOKUP(A2537,'Master List'!A:C,2,FALSE)))</f>
        <v>Name</v>
      </c>
      <c r="D2537" s="19" t="str">
        <f>IF(ISBLANK(A2537), "Email",IF(ISNA(VLOOKUP(A2537,'Master List'!A:C,3,FALSE)), "Not Found", VLOOKUP(A2537,'Master List'!A:C,3,FALSE)))</f>
        <v>Email</v>
      </c>
      <c r="F2537" s="4" t="str">
        <f>IF(OR(A2537="",E2537="","",A2537="?",E2537="?"),"duplicate?",IF(COUNTIFS($A:A,A2537,E:E,E2537)&gt;1,"yes","no"))</f>
        <v>duplicate?</v>
      </c>
      <c r="K2537" s="97" t="str">
        <f ca="1">IF(J2537="","Date",IF(J2537&lt;&gt;"",IF(K2537="Date",NOW(),K2537),""))</f>
        <v>Date</v>
      </c>
    </row>
    <row r="2538" spans="2:11">
      <c r="B2538" s="97" t="str">
        <f ca="1">IF(A2538="","Date",IF(A2538&lt;&gt;"",IF(B2538="Date",NOW(),B2538),""))</f>
        <v>Date</v>
      </c>
      <c r="C2538" s="19" t="str">
        <f>IF(ISBLANK(A2538),"Name",IF(ISNA(VLOOKUP(A2538,'Master List'!A:C,2,FALSE)), "Not Found", VLOOKUP(A2538,'Master List'!A:C,2,FALSE)))</f>
        <v>Name</v>
      </c>
      <c r="D2538" s="19" t="str">
        <f>IF(ISBLANK(A2538), "Email",IF(ISNA(VLOOKUP(A2538,'Master List'!A:C,3,FALSE)), "Not Found", VLOOKUP(A2538,'Master List'!A:C,3,FALSE)))</f>
        <v>Email</v>
      </c>
      <c r="F2538" s="4" t="str">
        <f>IF(OR(A2538="",E2538="","",A2538="?",E2538="?"),"duplicate?",IF(COUNTIFS($A:A,A2538,E:E,E2538)&gt;1,"yes","no"))</f>
        <v>duplicate?</v>
      </c>
      <c r="K2538" s="97" t="str">
        <f ca="1">IF(J2538="","Date",IF(J2538&lt;&gt;"",IF(K2538="Date",NOW(),K2538),""))</f>
        <v>Date</v>
      </c>
    </row>
    <row r="2539" spans="2:11">
      <c r="B2539" s="97" t="str">
        <f ca="1">IF(A2539="","Date",IF(A2539&lt;&gt;"",IF(B2539="Date",NOW(),B2539),""))</f>
        <v>Date</v>
      </c>
      <c r="C2539" s="19" t="str">
        <f>IF(ISBLANK(A2539),"Name",IF(ISNA(VLOOKUP(A2539,'Master List'!A:C,2,FALSE)), "Not Found", VLOOKUP(A2539,'Master List'!A:C,2,FALSE)))</f>
        <v>Name</v>
      </c>
      <c r="D2539" s="19" t="str">
        <f>IF(ISBLANK(A2539), "Email",IF(ISNA(VLOOKUP(A2539,'Master List'!A:C,3,FALSE)), "Not Found", VLOOKUP(A2539,'Master List'!A:C,3,FALSE)))</f>
        <v>Email</v>
      </c>
      <c r="F2539" s="4" t="str">
        <f>IF(OR(A2539="",E2539="","",A2539="?",E2539="?"),"duplicate?",IF(COUNTIFS($A:A,A2539,E:E,E2539)&gt;1,"yes","no"))</f>
        <v>duplicate?</v>
      </c>
      <c r="K2539" s="97" t="str">
        <f ca="1">IF(J2539="","Date",IF(J2539&lt;&gt;"",IF(K2539="Date",NOW(),K2539),""))</f>
        <v>Date</v>
      </c>
    </row>
    <row r="2540" spans="2:11">
      <c r="B2540" s="97" t="str">
        <f ca="1">IF(A2540="","Date",IF(A2540&lt;&gt;"",IF(B2540="Date",NOW(),B2540),""))</f>
        <v>Date</v>
      </c>
      <c r="C2540" s="19" t="str">
        <f>IF(ISBLANK(A2540),"Name",IF(ISNA(VLOOKUP(A2540,'Master List'!A:C,2,FALSE)), "Not Found", VLOOKUP(A2540,'Master List'!A:C,2,FALSE)))</f>
        <v>Name</v>
      </c>
      <c r="D2540" s="19" t="str">
        <f>IF(ISBLANK(A2540), "Email",IF(ISNA(VLOOKUP(A2540,'Master List'!A:C,3,FALSE)), "Not Found", VLOOKUP(A2540,'Master List'!A:C,3,FALSE)))</f>
        <v>Email</v>
      </c>
      <c r="F2540" s="4" t="str">
        <f>IF(OR(A2540="",E2540="","",A2540="?",E2540="?"),"duplicate?",IF(COUNTIFS($A:A,A2540,E:E,E2540)&gt;1,"yes","no"))</f>
        <v>duplicate?</v>
      </c>
      <c r="K2540" s="97" t="str">
        <f ca="1">IF(J2540="","Date",IF(J2540&lt;&gt;"",IF(K2540="Date",NOW(),K2540),""))</f>
        <v>Date</v>
      </c>
    </row>
    <row r="2541" spans="2:11">
      <c r="B2541" s="97" t="str">
        <f ca="1">IF(A2541="","Date",IF(A2541&lt;&gt;"",IF(B2541="Date",NOW(),B2541),""))</f>
        <v>Date</v>
      </c>
      <c r="C2541" s="19" t="str">
        <f>IF(ISBLANK(A2541),"Name",IF(ISNA(VLOOKUP(A2541,'Master List'!A:C,2,FALSE)), "Not Found", VLOOKUP(A2541,'Master List'!A:C,2,FALSE)))</f>
        <v>Name</v>
      </c>
      <c r="D2541" s="19" t="str">
        <f>IF(ISBLANK(A2541), "Email",IF(ISNA(VLOOKUP(A2541,'Master List'!A:C,3,FALSE)), "Not Found", VLOOKUP(A2541,'Master List'!A:C,3,FALSE)))</f>
        <v>Email</v>
      </c>
      <c r="F2541" s="4" t="str">
        <f>IF(OR(A2541="",E2541="","",A2541="?",E2541="?"),"duplicate?",IF(COUNTIFS($A:A,A2541,E:E,E2541)&gt;1,"yes","no"))</f>
        <v>duplicate?</v>
      </c>
      <c r="K2541" s="97" t="str">
        <f ca="1">IF(J2541="","Date",IF(J2541&lt;&gt;"",IF(K2541="Date",NOW(),K2541),""))</f>
        <v>Date</v>
      </c>
    </row>
    <row r="2542" spans="2:11">
      <c r="B2542" s="97" t="str">
        <f ca="1">IF(A2542="","Date",IF(A2542&lt;&gt;"",IF(B2542="Date",NOW(),B2542),""))</f>
        <v>Date</v>
      </c>
      <c r="C2542" s="19" t="str">
        <f>IF(ISBLANK(A2542),"Name",IF(ISNA(VLOOKUP(A2542,'Master List'!A:C,2,FALSE)), "Not Found", VLOOKUP(A2542,'Master List'!A:C,2,FALSE)))</f>
        <v>Name</v>
      </c>
      <c r="D2542" s="19" t="str">
        <f>IF(ISBLANK(A2542), "Email",IF(ISNA(VLOOKUP(A2542,'Master List'!A:C,3,FALSE)), "Not Found", VLOOKUP(A2542,'Master List'!A:C,3,FALSE)))</f>
        <v>Email</v>
      </c>
      <c r="F2542" s="4" t="str">
        <f>IF(OR(A2542="",E2542="","",A2542="?",E2542="?"),"duplicate?",IF(COUNTIFS($A:A,A2542,E:E,E2542)&gt;1,"yes","no"))</f>
        <v>duplicate?</v>
      </c>
      <c r="K2542" s="97" t="str">
        <f ca="1">IF(J2542="","Date",IF(J2542&lt;&gt;"",IF(K2542="Date",NOW(),K2542),""))</f>
        <v>Date</v>
      </c>
    </row>
    <row r="2543" spans="2:11">
      <c r="B2543" s="97" t="str">
        <f ca="1">IF(A2543="","Date",IF(A2543&lt;&gt;"",IF(B2543="Date",NOW(),B2543),""))</f>
        <v>Date</v>
      </c>
      <c r="C2543" s="19" t="str">
        <f>IF(ISBLANK(A2543),"Name",IF(ISNA(VLOOKUP(A2543,'Master List'!A:C,2,FALSE)), "Not Found", VLOOKUP(A2543,'Master List'!A:C,2,FALSE)))</f>
        <v>Name</v>
      </c>
      <c r="D2543" s="19" t="str">
        <f>IF(ISBLANK(A2543), "Email",IF(ISNA(VLOOKUP(A2543,'Master List'!A:C,3,FALSE)), "Not Found", VLOOKUP(A2543,'Master List'!A:C,3,FALSE)))</f>
        <v>Email</v>
      </c>
      <c r="F2543" s="4" t="str">
        <f>IF(OR(A2543="",E2543="","",A2543="?",E2543="?"),"duplicate?",IF(COUNTIFS($A:A,A2543,E:E,E2543)&gt;1,"yes","no"))</f>
        <v>duplicate?</v>
      </c>
      <c r="K2543" s="97" t="str">
        <f ca="1">IF(J2543="","Date",IF(J2543&lt;&gt;"",IF(K2543="Date",NOW(),K2543),""))</f>
        <v>Date</v>
      </c>
    </row>
    <row r="2544" spans="2:11">
      <c r="B2544" s="97" t="str">
        <f ca="1">IF(A2544="","Date",IF(A2544&lt;&gt;"",IF(B2544="Date",NOW(),B2544),""))</f>
        <v>Date</v>
      </c>
      <c r="C2544" s="19" t="str">
        <f>IF(ISBLANK(A2544),"Name",IF(ISNA(VLOOKUP(A2544,'Master List'!A:C,2,FALSE)), "Not Found", VLOOKUP(A2544,'Master List'!A:C,2,FALSE)))</f>
        <v>Name</v>
      </c>
      <c r="D2544" s="19" t="str">
        <f>IF(ISBLANK(A2544), "Email",IF(ISNA(VLOOKUP(A2544,'Master List'!A:C,3,FALSE)), "Not Found", VLOOKUP(A2544,'Master List'!A:C,3,FALSE)))</f>
        <v>Email</v>
      </c>
      <c r="F2544" s="4" t="str">
        <f>IF(OR(A2544="",E2544="","",A2544="?",E2544="?"),"duplicate?",IF(COUNTIFS($A:A,A2544,E:E,E2544)&gt;1,"yes","no"))</f>
        <v>duplicate?</v>
      </c>
      <c r="K2544" s="97" t="str">
        <f ca="1">IF(J2544="","Date",IF(J2544&lt;&gt;"",IF(K2544="Date",NOW(),K2544),""))</f>
        <v>Date</v>
      </c>
    </row>
    <row r="2545" spans="2:11">
      <c r="B2545" s="97" t="str">
        <f ca="1">IF(A2545="","Date",IF(A2545&lt;&gt;"",IF(B2545="Date",NOW(),B2545),""))</f>
        <v>Date</v>
      </c>
      <c r="C2545" s="19" t="str">
        <f>IF(ISBLANK(A2545),"Name",IF(ISNA(VLOOKUP(A2545,'Master List'!A:C,2,FALSE)), "Not Found", VLOOKUP(A2545,'Master List'!A:C,2,FALSE)))</f>
        <v>Name</v>
      </c>
      <c r="D2545" s="19" t="str">
        <f>IF(ISBLANK(A2545), "Email",IF(ISNA(VLOOKUP(A2545,'Master List'!A:C,3,FALSE)), "Not Found", VLOOKUP(A2545,'Master List'!A:C,3,FALSE)))</f>
        <v>Email</v>
      </c>
      <c r="F2545" s="4" t="str">
        <f>IF(OR(A2545="",E2545="","",A2545="?",E2545="?"),"duplicate?",IF(COUNTIFS($A:A,A2545,E:E,E2545)&gt;1,"yes","no"))</f>
        <v>duplicate?</v>
      </c>
      <c r="K2545" s="97" t="str">
        <f ca="1">IF(J2545="","Date",IF(J2545&lt;&gt;"",IF(K2545="Date",NOW(),K2545),""))</f>
        <v>Date</v>
      </c>
    </row>
    <row r="2546" spans="2:11">
      <c r="B2546" s="97" t="str">
        <f ca="1">IF(A2546="","Date",IF(A2546&lt;&gt;"",IF(B2546="Date",NOW(),B2546),""))</f>
        <v>Date</v>
      </c>
      <c r="C2546" s="19" t="str">
        <f>IF(ISBLANK(A2546),"Name",IF(ISNA(VLOOKUP(A2546,'Master List'!A:C,2,FALSE)), "Not Found", VLOOKUP(A2546,'Master List'!A:C,2,FALSE)))</f>
        <v>Name</v>
      </c>
      <c r="D2546" s="19" t="str">
        <f>IF(ISBLANK(A2546), "Email",IF(ISNA(VLOOKUP(A2546,'Master List'!A:C,3,FALSE)), "Not Found", VLOOKUP(A2546,'Master List'!A:C,3,FALSE)))</f>
        <v>Email</v>
      </c>
      <c r="F2546" s="4" t="str">
        <f>IF(OR(A2546="",E2546="","",A2546="?",E2546="?"),"duplicate?",IF(COUNTIFS($A:A,A2546,E:E,E2546)&gt;1,"yes","no"))</f>
        <v>duplicate?</v>
      </c>
      <c r="K2546" s="97" t="str">
        <f ca="1">IF(J2546="","Date",IF(J2546&lt;&gt;"",IF(K2546="Date",NOW(),K2546),""))</f>
        <v>Date</v>
      </c>
    </row>
    <row r="2547" spans="2:11">
      <c r="B2547" s="97" t="str">
        <f ca="1">IF(A2547="","Date",IF(A2547&lt;&gt;"",IF(B2547="Date",NOW(),B2547),""))</f>
        <v>Date</v>
      </c>
      <c r="C2547" s="19" t="str">
        <f>IF(ISBLANK(A2547),"Name",IF(ISNA(VLOOKUP(A2547,'Master List'!A:C,2,FALSE)), "Not Found", VLOOKUP(A2547,'Master List'!A:C,2,FALSE)))</f>
        <v>Name</v>
      </c>
      <c r="D2547" s="19" t="str">
        <f>IF(ISBLANK(A2547), "Email",IF(ISNA(VLOOKUP(A2547,'Master List'!A:C,3,FALSE)), "Not Found", VLOOKUP(A2547,'Master List'!A:C,3,FALSE)))</f>
        <v>Email</v>
      </c>
      <c r="F2547" s="4" t="str">
        <f>IF(OR(A2547="",E2547="","",A2547="?",E2547="?"),"duplicate?",IF(COUNTIFS($A:A,A2547,E:E,E2547)&gt;1,"yes","no"))</f>
        <v>duplicate?</v>
      </c>
      <c r="K2547" s="97" t="str">
        <f ca="1">IF(J2547="","Date",IF(J2547&lt;&gt;"",IF(K2547="Date",NOW(),K2547),""))</f>
        <v>Date</v>
      </c>
    </row>
    <row r="2548" spans="2:11">
      <c r="B2548" s="97" t="str">
        <f ca="1">IF(A2548="","Date",IF(A2548&lt;&gt;"",IF(B2548="Date",NOW(),B2548),""))</f>
        <v>Date</v>
      </c>
      <c r="C2548" s="19" t="str">
        <f>IF(ISBLANK(A2548),"Name",IF(ISNA(VLOOKUP(A2548,'Master List'!A:C,2,FALSE)), "Not Found", VLOOKUP(A2548,'Master List'!A:C,2,FALSE)))</f>
        <v>Name</v>
      </c>
      <c r="D2548" s="19" t="str">
        <f>IF(ISBLANK(A2548), "Email",IF(ISNA(VLOOKUP(A2548,'Master List'!A:C,3,FALSE)), "Not Found", VLOOKUP(A2548,'Master List'!A:C,3,FALSE)))</f>
        <v>Email</v>
      </c>
      <c r="F2548" s="4" t="str">
        <f>IF(OR(A2548="",E2548="","",A2548="?",E2548="?"),"duplicate?",IF(COUNTIFS($A:A,A2548,E:E,E2548)&gt;1,"yes","no"))</f>
        <v>duplicate?</v>
      </c>
      <c r="K2548" s="97" t="str">
        <f ca="1">IF(J2548="","Date",IF(J2548&lt;&gt;"",IF(K2548="Date",NOW(),K2548),""))</f>
        <v>Date</v>
      </c>
    </row>
    <row r="2549" spans="2:11">
      <c r="B2549" s="97" t="str">
        <f ca="1">IF(A2549="","Date",IF(A2549&lt;&gt;"",IF(B2549="Date",NOW(),B2549),""))</f>
        <v>Date</v>
      </c>
      <c r="C2549" s="19" t="str">
        <f>IF(ISBLANK(A2549),"Name",IF(ISNA(VLOOKUP(A2549,'Master List'!A:C,2,FALSE)), "Not Found", VLOOKUP(A2549,'Master List'!A:C,2,FALSE)))</f>
        <v>Name</v>
      </c>
      <c r="D2549" s="19" t="str">
        <f>IF(ISBLANK(A2549), "Email",IF(ISNA(VLOOKUP(A2549,'Master List'!A:C,3,FALSE)), "Not Found", VLOOKUP(A2549,'Master List'!A:C,3,FALSE)))</f>
        <v>Email</v>
      </c>
      <c r="F2549" s="4" t="str">
        <f>IF(OR(A2549="",E2549="","",A2549="?",E2549="?"),"duplicate?",IF(COUNTIFS($A:A,A2549,E:E,E2549)&gt;1,"yes","no"))</f>
        <v>duplicate?</v>
      </c>
      <c r="K2549" s="97" t="str">
        <f ca="1">IF(J2549="","Date",IF(J2549&lt;&gt;"",IF(K2549="Date",NOW(),K2549),""))</f>
        <v>Date</v>
      </c>
    </row>
    <row r="2550" spans="2:11">
      <c r="B2550" s="97" t="str">
        <f ca="1">IF(A2550="","Date",IF(A2550&lt;&gt;"",IF(B2550="Date",NOW(),B2550),""))</f>
        <v>Date</v>
      </c>
      <c r="C2550" s="19" t="str">
        <f>IF(ISBLANK(A2550),"Name",IF(ISNA(VLOOKUP(A2550,'Master List'!A:C,2,FALSE)), "Not Found", VLOOKUP(A2550,'Master List'!A:C,2,FALSE)))</f>
        <v>Name</v>
      </c>
      <c r="D2550" s="19" t="str">
        <f>IF(ISBLANK(A2550), "Email",IF(ISNA(VLOOKUP(A2550,'Master List'!A:C,3,FALSE)), "Not Found", VLOOKUP(A2550,'Master List'!A:C,3,FALSE)))</f>
        <v>Email</v>
      </c>
      <c r="F2550" s="4" t="str">
        <f>IF(OR(A2550="",E2550="","",A2550="?",E2550="?"),"duplicate?",IF(COUNTIFS($A:A,A2550,E:E,E2550)&gt;1,"yes","no"))</f>
        <v>duplicate?</v>
      </c>
      <c r="K2550" s="97" t="str">
        <f ca="1">IF(J2550="","Date",IF(J2550&lt;&gt;"",IF(K2550="Date",NOW(),K2550),""))</f>
        <v>Date</v>
      </c>
    </row>
    <row r="2551" spans="2:11">
      <c r="B2551" s="97" t="str">
        <f ca="1">IF(A2551="","Date",IF(A2551&lt;&gt;"",IF(B2551="Date",NOW(),B2551),""))</f>
        <v>Date</v>
      </c>
      <c r="C2551" s="19" t="str">
        <f>IF(ISBLANK(A2551),"Name",IF(ISNA(VLOOKUP(A2551,'Master List'!A:C,2,FALSE)), "Not Found", VLOOKUP(A2551,'Master List'!A:C,2,FALSE)))</f>
        <v>Name</v>
      </c>
      <c r="D2551" s="19" t="str">
        <f>IF(ISBLANK(A2551), "Email",IF(ISNA(VLOOKUP(A2551,'Master List'!A:C,3,FALSE)), "Not Found", VLOOKUP(A2551,'Master List'!A:C,3,FALSE)))</f>
        <v>Email</v>
      </c>
      <c r="F2551" s="4" t="str">
        <f>IF(OR(A2551="",E2551="","",A2551="?",E2551="?"),"duplicate?",IF(COUNTIFS($A:A,A2551,E:E,E2551)&gt;1,"yes","no"))</f>
        <v>duplicate?</v>
      </c>
      <c r="K2551" s="97" t="str">
        <f ca="1">IF(J2551="","Date",IF(J2551&lt;&gt;"",IF(K2551="Date",NOW(),K2551),""))</f>
        <v>Date</v>
      </c>
    </row>
    <row r="2552" spans="2:11">
      <c r="B2552" s="97" t="str">
        <f ca="1">IF(A2552="","Date",IF(A2552&lt;&gt;"",IF(B2552="Date",NOW(),B2552),""))</f>
        <v>Date</v>
      </c>
      <c r="C2552" s="19" t="str">
        <f>IF(ISBLANK(A2552),"Name",IF(ISNA(VLOOKUP(A2552,'Master List'!A:C,2,FALSE)), "Not Found", VLOOKUP(A2552,'Master List'!A:C,2,FALSE)))</f>
        <v>Name</v>
      </c>
      <c r="D2552" s="19" t="str">
        <f>IF(ISBLANK(A2552), "Email",IF(ISNA(VLOOKUP(A2552,'Master List'!A:C,3,FALSE)), "Not Found", VLOOKUP(A2552,'Master List'!A:C,3,FALSE)))</f>
        <v>Email</v>
      </c>
      <c r="F2552" s="4" t="str">
        <f>IF(OR(A2552="",E2552="","",A2552="?",E2552="?"),"duplicate?",IF(COUNTIFS($A:A,A2552,E:E,E2552)&gt;1,"yes","no"))</f>
        <v>duplicate?</v>
      </c>
      <c r="K2552" s="97" t="str">
        <f ca="1">IF(J2552="","Date",IF(J2552&lt;&gt;"",IF(K2552="Date",NOW(),K2552),""))</f>
        <v>Date</v>
      </c>
    </row>
    <row r="2553" spans="2:11">
      <c r="B2553" s="97" t="str">
        <f ca="1">IF(A2553="","Date",IF(A2553&lt;&gt;"",IF(B2553="Date",NOW(),B2553),""))</f>
        <v>Date</v>
      </c>
      <c r="C2553" s="19" t="str">
        <f>IF(ISBLANK(A2553),"Name",IF(ISNA(VLOOKUP(A2553,'Master List'!A:C,2,FALSE)), "Not Found", VLOOKUP(A2553,'Master List'!A:C,2,FALSE)))</f>
        <v>Name</v>
      </c>
      <c r="D2553" s="19" t="str">
        <f>IF(ISBLANK(A2553), "Email",IF(ISNA(VLOOKUP(A2553,'Master List'!A:C,3,FALSE)), "Not Found", VLOOKUP(A2553,'Master List'!A:C,3,FALSE)))</f>
        <v>Email</v>
      </c>
      <c r="F2553" s="4" t="str">
        <f>IF(OR(A2553="",E2553="","",A2553="?",E2553="?"),"duplicate?",IF(COUNTIFS($A:A,A2553,E:E,E2553)&gt;1,"yes","no"))</f>
        <v>duplicate?</v>
      </c>
      <c r="K2553" s="97" t="str">
        <f ca="1">IF(J2553="","Date",IF(J2553&lt;&gt;"",IF(K2553="Date",NOW(),K2553),""))</f>
        <v>Date</v>
      </c>
    </row>
    <row r="2554" spans="2:11">
      <c r="B2554" s="97" t="str">
        <f ca="1">IF(A2554="","Date",IF(A2554&lt;&gt;"",IF(B2554="Date",NOW(),B2554),""))</f>
        <v>Date</v>
      </c>
      <c r="C2554" s="19" t="str">
        <f>IF(ISBLANK(A2554),"Name",IF(ISNA(VLOOKUP(A2554,'Master List'!A:C,2,FALSE)), "Not Found", VLOOKUP(A2554,'Master List'!A:C,2,FALSE)))</f>
        <v>Name</v>
      </c>
      <c r="D2554" s="19" t="str">
        <f>IF(ISBLANK(A2554), "Email",IF(ISNA(VLOOKUP(A2554,'Master List'!A:C,3,FALSE)), "Not Found", VLOOKUP(A2554,'Master List'!A:C,3,FALSE)))</f>
        <v>Email</v>
      </c>
      <c r="F2554" s="4" t="str">
        <f>IF(OR(A2554="",E2554="","",A2554="?",E2554="?"),"duplicate?",IF(COUNTIFS($A:A,A2554,E:E,E2554)&gt;1,"yes","no"))</f>
        <v>duplicate?</v>
      </c>
      <c r="K2554" s="97" t="str">
        <f ca="1">IF(J2554="","Date",IF(J2554&lt;&gt;"",IF(K2554="Date",NOW(),K2554),""))</f>
        <v>Date</v>
      </c>
    </row>
    <row r="2555" spans="2:11">
      <c r="B2555" s="97" t="str">
        <f ca="1">IF(A2555="","Date",IF(A2555&lt;&gt;"",IF(B2555="Date",NOW(),B2555),""))</f>
        <v>Date</v>
      </c>
      <c r="C2555" s="19" t="str">
        <f>IF(ISBLANK(A2555),"Name",IF(ISNA(VLOOKUP(A2555,'Master List'!A:C,2,FALSE)), "Not Found", VLOOKUP(A2555,'Master List'!A:C,2,FALSE)))</f>
        <v>Name</v>
      </c>
      <c r="D2555" s="19" t="str">
        <f>IF(ISBLANK(A2555), "Email",IF(ISNA(VLOOKUP(A2555,'Master List'!A:C,3,FALSE)), "Not Found", VLOOKUP(A2555,'Master List'!A:C,3,FALSE)))</f>
        <v>Email</v>
      </c>
      <c r="F2555" s="4" t="str">
        <f>IF(OR(A2555="",E2555="","",A2555="?",E2555="?"),"duplicate?",IF(COUNTIFS($A:A,A2555,E:E,E2555)&gt;1,"yes","no"))</f>
        <v>duplicate?</v>
      </c>
      <c r="K2555" s="97" t="str">
        <f ca="1">IF(J2555="","Date",IF(J2555&lt;&gt;"",IF(K2555="Date",NOW(),K2555),""))</f>
        <v>Date</v>
      </c>
    </row>
    <row r="2556" spans="2:11">
      <c r="B2556" s="97" t="str">
        <f ca="1">IF(A2556="","Date",IF(A2556&lt;&gt;"",IF(B2556="Date",NOW(),B2556),""))</f>
        <v>Date</v>
      </c>
      <c r="C2556" s="19" t="str">
        <f>IF(ISBLANK(A2556),"Name",IF(ISNA(VLOOKUP(A2556,'Master List'!A:C,2,FALSE)), "Not Found", VLOOKUP(A2556,'Master List'!A:C,2,FALSE)))</f>
        <v>Name</v>
      </c>
      <c r="D2556" s="19" t="str">
        <f>IF(ISBLANK(A2556), "Email",IF(ISNA(VLOOKUP(A2556,'Master List'!A:C,3,FALSE)), "Not Found", VLOOKUP(A2556,'Master List'!A:C,3,FALSE)))</f>
        <v>Email</v>
      </c>
      <c r="F2556" s="4" t="str">
        <f>IF(OR(A2556="",E2556="","",A2556="?",E2556="?"),"duplicate?",IF(COUNTIFS($A:A,A2556,E:E,E2556)&gt;1,"yes","no"))</f>
        <v>duplicate?</v>
      </c>
      <c r="K2556" s="97" t="str">
        <f ca="1">IF(J2556="","Date",IF(J2556&lt;&gt;"",IF(K2556="Date",NOW(),K2556),""))</f>
        <v>Date</v>
      </c>
    </row>
    <row r="2557" spans="2:11">
      <c r="B2557" s="97" t="str">
        <f ca="1">IF(A2557="","Date",IF(A2557&lt;&gt;"",IF(B2557="Date",NOW(),B2557),""))</f>
        <v>Date</v>
      </c>
      <c r="C2557" s="19" t="str">
        <f>IF(ISBLANK(A2557),"Name",IF(ISNA(VLOOKUP(A2557,'Master List'!A:C,2,FALSE)), "Not Found", VLOOKUP(A2557,'Master List'!A:C,2,FALSE)))</f>
        <v>Name</v>
      </c>
      <c r="D2557" s="19" t="str">
        <f>IF(ISBLANK(A2557), "Email",IF(ISNA(VLOOKUP(A2557,'Master List'!A:C,3,FALSE)), "Not Found", VLOOKUP(A2557,'Master List'!A:C,3,FALSE)))</f>
        <v>Email</v>
      </c>
      <c r="F2557" s="4" t="str">
        <f>IF(OR(A2557="",E2557="","",A2557="?",E2557="?"),"duplicate?",IF(COUNTIFS($A:A,A2557,E:E,E2557)&gt;1,"yes","no"))</f>
        <v>duplicate?</v>
      </c>
      <c r="K2557" s="97" t="str">
        <f ca="1">IF(J2557="","Date",IF(J2557&lt;&gt;"",IF(K2557="Date",NOW(),K2557),""))</f>
        <v>Date</v>
      </c>
    </row>
    <row r="2558" spans="2:11">
      <c r="B2558" s="97" t="str">
        <f ca="1">IF(A2558="","Date",IF(A2558&lt;&gt;"",IF(B2558="Date",NOW(),B2558),""))</f>
        <v>Date</v>
      </c>
      <c r="C2558" s="19" t="str">
        <f>IF(ISBLANK(A2558),"Name",IF(ISNA(VLOOKUP(A2558,'Master List'!A:C,2,FALSE)), "Not Found", VLOOKUP(A2558,'Master List'!A:C,2,FALSE)))</f>
        <v>Name</v>
      </c>
      <c r="D2558" s="19" t="str">
        <f>IF(ISBLANK(A2558), "Email",IF(ISNA(VLOOKUP(A2558,'Master List'!A:C,3,FALSE)), "Not Found", VLOOKUP(A2558,'Master List'!A:C,3,FALSE)))</f>
        <v>Email</v>
      </c>
      <c r="F2558" s="4" t="str">
        <f>IF(OR(A2558="",E2558="","",A2558="?",E2558="?"),"duplicate?",IF(COUNTIFS($A:A,A2558,E:E,E2558)&gt;1,"yes","no"))</f>
        <v>duplicate?</v>
      </c>
      <c r="K2558" s="97" t="str">
        <f ca="1">IF(J2558="","Date",IF(J2558&lt;&gt;"",IF(K2558="Date",NOW(),K2558),""))</f>
        <v>Date</v>
      </c>
    </row>
    <row r="2559" spans="2:11">
      <c r="B2559" s="97" t="str">
        <f ca="1">IF(A2559="","Date",IF(A2559&lt;&gt;"",IF(B2559="Date",NOW(),B2559),""))</f>
        <v>Date</v>
      </c>
      <c r="C2559" s="19" t="str">
        <f>IF(ISBLANK(A2559),"Name",IF(ISNA(VLOOKUP(A2559,'Master List'!A:C,2,FALSE)), "Not Found", VLOOKUP(A2559,'Master List'!A:C,2,FALSE)))</f>
        <v>Name</v>
      </c>
      <c r="D2559" s="19" t="str">
        <f>IF(ISBLANK(A2559), "Email",IF(ISNA(VLOOKUP(A2559,'Master List'!A:C,3,FALSE)), "Not Found", VLOOKUP(A2559,'Master List'!A:C,3,FALSE)))</f>
        <v>Email</v>
      </c>
      <c r="F2559" s="4" t="str">
        <f>IF(OR(A2559="",E2559="","",A2559="?",E2559="?"),"duplicate?",IF(COUNTIFS($A:A,A2559,E:E,E2559)&gt;1,"yes","no"))</f>
        <v>duplicate?</v>
      </c>
      <c r="K2559" s="97" t="str">
        <f ca="1">IF(J2559="","Date",IF(J2559&lt;&gt;"",IF(K2559="Date",NOW(),K2559),""))</f>
        <v>Date</v>
      </c>
    </row>
    <row r="2560" spans="2:11">
      <c r="B2560" s="97" t="str">
        <f ca="1">IF(A2560="","Date",IF(A2560&lt;&gt;"",IF(B2560="Date",NOW(),B2560),""))</f>
        <v>Date</v>
      </c>
      <c r="C2560" s="19" t="str">
        <f>IF(ISBLANK(A2560),"Name",IF(ISNA(VLOOKUP(A2560,'Master List'!A:C,2,FALSE)), "Not Found", VLOOKUP(A2560,'Master List'!A:C,2,FALSE)))</f>
        <v>Name</v>
      </c>
      <c r="D2560" s="19" t="str">
        <f>IF(ISBLANK(A2560), "Email",IF(ISNA(VLOOKUP(A2560,'Master List'!A:C,3,FALSE)), "Not Found", VLOOKUP(A2560,'Master List'!A:C,3,FALSE)))</f>
        <v>Email</v>
      </c>
      <c r="F2560" s="4" t="str">
        <f>IF(OR(A2560="",E2560="","",A2560="?",E2560="?"),"duplicate?",IF(COUNTIFS($A:A,A2560,E:E,E2560)&gt;1,"yes","no"))</f>
        <v>duplicate?</v>
      </c>
      <c r="K2560" s="97" t="str">
        <f ca="1">IF(J2560="","Date",IF(J2560&lt;&gt;"",IF(K2560="Date",NOW(),K2560),""))</f>
        <v>Date</v>
      </c>
    </row>
    <row r="2561" spans="2:11">
      <c r="B2561" s="97" t="str">
        <f ca="1">IF(A2561="","Date",IF(A2561&lt;&gt;"",IF(B2561="Date",NOW(),B2561),""))</f>
        <v>Date</v>
      </c>
      <c r="C2561" s="19" t="str">
        <f>IF(ISBLANK(A2561),"Name",IF(ISNA(VLOOKUP(A2561,'Master List'!A:C,2,FALSE)), "Not Found", VLOOKUP(A2561,'Master List'!A:C,2,FALSE)))</f>
        <v>Name</v>
      </c>
      <c r="D2561" s="19" t="str">
        <f>IF(ISBLANK(A2561), "Email",IF(ISNA(VLOOKUP(A2561,'Master List'!A:C,3,FALSE)), "Not Found", VLOOKUP(A2561,'Master List'!A:C,3,FALSE)))</f>
        <v>Email</v>
      </c>
      <c r="F2561" s="4" t="str">
        <f>IF(OR(A2561="",E2561="","",A2561="?",E2561="?"),"duplicate?",IF(COUNTIFS($A:A,A2561,E:E,E2561)&gt;1,"yes","no"))</f>
        <v>duplicate?</v>
      </c>
      <c r="K2561" s="97" t="str">
        <f ca="1">IF(J2561="","Date",IF(J2561&lt;&gt;"",IF(K2561="Date",NOW(),K2561),""))</f>
        <v>Date</v>
      </c>
    </row>
    <row r="2562" spans="2:11">
      <c r="B2562" s="97" t="str">
        <f ca="1">IF(A2562="","Date",IF(A2562&lt;&gt;"",IF(B2562="Date",NOW(),B2562),""))</f>
        <v>Date</v>
      </c>
      <c r="C2562" s="19" t="str">
        <f>IF(ISBLANK(A2562),"Name",IF(ISNA(VLOOKUP(A2562,'Master List'!A:C,2,FALSE)), "Not Found", VLOOKUP(A2562,'Master List'!A:C,2,FALSE)))</f>
        <v>Name</v>
      </c>
      <c r="D2562" s="19" t="str">
        <f>IF(ISBLANK(A2562), "Email",IF(ISNA(VLOOKUP(A2562,'Master List'!A:C,3,FALSE)), "Not Found", VLOOKUP(A2562,'Master List'!A:C,3,FALSE)))</f>
        <v>Email</v>
      </c>
      <c r="F2562" s="4" t="str">
        <f>IF(OR(A2562="",E2562="","",A2562="?",E2562="?"),"duplicate?",IF(COUNTIFS($A:A,A2562,E:E,E2562)&gt;1,"yes","no"))</f>
        <v>duplicate?</v>
      </c>
      <c r="K2562" s="97" t="str">
        <f ca="1">IF(J2562="","Date",IF(J2562&lt;&gt;"",IF(K2562="Date",NOW(),K2562),""))</f>
        <v>Date</v>
      </c>
    </row>
    <row r="2563" spans="2:11">
      <c r="B2563" s="97" t="str">
        <f ca="1">IF(A2563="","Date",IF(A2563&lt;&gt;"",IF(B2563="Date",NOW(),B2563),""))</f>
        <v>Date</v>
      </c>
      <c r="C2563" s="19" t="str">
        <f>IF(ISBLANK(A2563),"Name",IF(ISNA(VLOOKUP(A2563,'Master List'!A:C,2,FALSE)), "Not Found", VLOOKUP(A2563,'Master List'!A:C,2,FALSE)))</f>
        <v>Name</v>
      </c>
      <c r="D2563" s="19" t="str">
        <f>IF(ISBLANK(A2563), "Email",IF(ISNA(VLOOKUP(A2563,'Master List'!A:C,3,FALSE)), "Not Found", VLOOKUP(A2563,'Master List'!A:C,3,FALSE)))</f>
        <v>Email</v>
      </c>
      <c r="F2563" s="4" t="str">
        <f>IF(OR(A2563="",E2563="","",A2563="?",E2563="?"),"duplicate?",IF(COUNTIFS($A:A,A2563,E:E,E2563)&gt;1,"yes","no"))</f>
        <v>duplicate?</v>
      </c>
      <c r="K2563" s="97" t="str">
        <f ca="1">IF(J2563="","Date",IF(J2563&lt;&gt;"",IF(K2563="Date",NOW(),K2563),""))</f>
        <v>Date</v>
      </c>
    </row>
    <row r="2564" spans="2:11">
      <c r="B2564" s="97" t="str">
        <f ca="1">IF(A2564="","Date",IF(A2564&lt;&gt;"",IF(B2564="Date",NOW(),B2564),""))</f>
        <v>Date</v>
      </c>
      <c r="C2564" s="19" t="str">
        <f>IF(ISBLANK(A2564),"Name",IF(ISNA(VLOOKUP(A2564,'Master List'!A:C,2,FALSE)), "Not Found", VLOOKUP(A2564,'Master List'!A:C,2,FALSE)))</f>
        <v>Name</v>
      </c>
      <c r="D2564" s="19" t="str">
        <f>IF(ISBLANK(A2564), "Email",IF(ISNA(VLOOKUP(A2564,'Master List'!A:C,3,FALSE)), "Not Found", VLOOKUP(A2564,'Master List'!A:C,3,FALSE)))</f>
        <v>Email</v>
      </c>
      <c r="F2564" s="4" t="str">
        <f>IF(OR(A2564="",E2564="","",A2564="?",E2564="?"),"duplicate?",IF(COUNTIFS($A:A,A2564,E:E,E2564)&gt;1,"yes","no"))</f>
        <v>duplicate?</v>
      </c>
      <c r="K2564" s="97" t="str">
        <f ca="1">IF(J2564="","Date",IF(J2564&lt;&gt;"",IF(K2564="Date",NOW(),K2564),""))</f>
        <v>Date</v>
      </c>
    </row>
    <row r="2565" spans="2:11">
      <c r="B2565" s="97" t="str">
        <f ca="1">IF(A2565="","Date",IF(A2565&lt;&gt;"",IF(B2565="Date",NOW(),B2565),""))</f>
        <v>Date</v>
      </c>
      <c r="C2565" s="19" t="str">
        <f>IF(ISBLANK(A2565),"Name",IF(ISNA(VLOOKUP(A2565,'Master List'!A:C,2,FALSE)), "Not Found", VLOOKUP(A2565,'Master List'!A:C,2,FALSE)))</f>
        <v>Name</v>
      </c>
      <c r="D2565" s="19" t="str">
        <f>IF(ISBLANK(A2565), "Email",IF(ISNA(VLOOKUP(A2565,'Master List'!A:C,3,FALSE)), "Not Found", VLOOKUP(A2565,'Master List'!A:C,3,FALSE)))</f>
        <v>Email</v>
      </c>
      <c r="F2565" s="4" t="str">
        <f>IF(OR(A2565="",E2565="","",A2565="?",E2565="?"),"duplicate?",IF(COUNTIFS($A:A,A2565,E:E,E2565)&gt;1,"yes","no"))</f>
        <v>duplicate?</v>
      </c>
      <c r="K2565" s="97" t="str">
        <f ca="1">IF(J2565="","Date",IF(J2565&lt;&gt;"",IF(K2565="Date",NOW(),K2565),""))</f>
        <v>Date</v>
      </c>
    </row>
    <row r="2566" spans="2:11">
      <c r="B2566" s="97" t="str">
        <f ca="1">IF(A2566="","Date",IF(A2566&lt;&gt;"",IF(B2566="Date",NOW(),B2566),""))</f>
        <v>Date</v>
      </c>
      <c r="C2566" s="19" t="str">
        <f>IF(ISBLANK(A2566),"Name",IF(ISNA(VLOOKUP(A2566,'Master List'!A:C,2,FALSE)), "Not Found", VLOOKUP(A2566,'Master List'!A:C,2,FALSE)))</f>
        <v>Name</v>
      </c>
      <c r="D2566" s="19" t="str">
        <f>IF(ISBLANK(A2566), "Email",IF(ISNA(VLOOKUP(A2566,'Master List'!A:C,3,FALSE)), "Not Found", VLOOKUP(A2566,'Master List'!A:C,3,FALSE)))</f>
        <v>Email</v>
      </c>
      <c r="F2566" s="4" t="str">
        <f>IF(OR(A2566="",E2566="","",A2566="?",E2566="?"),"duplicate?",IF(COUNTIFS($A:A,A2566,E:E,E2566)&gt;1,"yes","no"))</f>
        <v>duplicate?</v>
      </c>
      <c r="K2566" s="97" t="str">
        <f ca="1">IF(J2566="","Date",IF(J2566&lt;&gt;"",IF(K2566="Date",NOW(),K2566),""))</f>
        <v>Date</v>
      </c>
    </row>
    <row r="2567" spans="2:11">
      <c r="B2567" s="97" t="str">
        <f ca="1">IF(A2567="","Date",IF(A2567&lt;&gt;"",IF(B2567="Date",NOW(),B2567),""))</f>
        <v>Date</v>
      </c>
      <c r="C2567" s="19" t="str">
        <f>IF(ISBLANK(A2567),"Name",IF(ISNA(VLOOKUP(A2567,'Master List'!A:C,2,FALSE)), "Not Found", VLOOKUP(A2567,'Master List'!A:C,2,FALSE)))</f>
        <v>Name</v>
      </c>
      <c r="D2567" s="19" t="str">
        <f>IF(ISBLANK(A2567), "Email",IF(ISNA(VLOOKUP(A2567,'Master List'!A:C,3,FALSE)), "Not Found", VLOOKUP(A2567,'Master List'!A:C,3,FALSE)))</f>
        <v>Email</v>
      </c>
      <c r="F2567" s="4" t="str">
        <f>IF(OR(A2567="",E2567="","",A2567="?",E2567="?"),"duplicate?",IF(COUNTIFS($A:A,A2567,E:E,E2567)&gt;1,"yes","no"))</f>
        <v>duplicate?</v>
      </c>
      <c r="K2567" s="97" t="str">
        <f ca="1">IF(J2567="","Date",IF(J2567&lt;&gt;"",IF(K2567="Date",NOW(),K2567),""))</f>
        <v>Date</v>
      </c>
    </row>
    <row r="2568" spans="2:11">
      <c r="B2568" s="97" t="str">
        <f ca="1">IF(A2568="","Date",IF(A2568&lt;&gt;"",IF(B2568="Date",NOW(),B2568),""))</f>
        <v>Date</v>
      </c>
      <c r="C2568" s="19" t="str">
        <f>IF(ISBLANK(A2568),"Name",IF(ISNA(VLOOKUP(A2568,'Master List'!A:C,2,FALSE)), "Not Found", VLOOKUP(A2568,'Master List'!A:C,2,FALSE)))</f>
        <v>Name</v>
      </c>
      <c r="D2568" s="19" t="str">
        <f>IF(ISBLANK(A2568), "Email",IF(ISNA(VLOOKUP(A2568,'Master List'!A:C,3,FALSE)), "Not Found", VLOOKUP(A2568,'Master List'!A:C,3,FALSE)))</f>
        <v>Email</v>
      </c>
      <c r="F2568" s="4" t="str">
        <f>IF(OR(A2568="",E2568="","",A2568="?",E2568="?"),"duplicate?",IF(COUNTIFS($A:A,A2568,E:E,E2568)&gt;1,"yes","no"))</f>
        <v>duplicate?</v>
      </c>
      <c r="K2568" s="97" t="str">
        <f ca="1">IF(J2568="","Date",IF(J2568&lt;&gt;"",IF(K2568="Date",NOW(),K2568),""))</f>
        <v>Date</v>
      </c>
    </row>
    <row r="2569" spans="2:11">
      <c r="B2569" s="97" t="str">
        <f ca="1">IF(A2569="","Date",IF(A2569&lt;&gt;"",IF(B2569="Date",NOW(),B2569),""))</f>
        <v>Date</v>
      </c>
      <c r="C2569" s="19" t="str">
        <f>IF(ISBLANK(A2569),"Name",IF(ISNA(VLOOKUP(A2569,'Master List'!A:C,2,FALSE)), "Not Found", VLOOKUP(A2569,'Master List'!A:C,2,FALSE)))</f>
        <v>Name</v>
      </c>
      <c r="D2569" s="19" t="str">
        <f>IF(ISBLANK(A2569), "Email",IF(ISNA(VLOOKUP(A2569,'Master List'!A:C,3,FALSE)), "Not Found", VLOOKUP(A2569,'Master List'!A:C,3,FALSE)))</f>
        <v>Email</v>
      </c>
      <c r="F2569" s="4" t="str">
        <f>IF(OR(A2569="",E2569="","",A2569="?",E2569="?"),"duplicate?",IF(COUNTIFS($A:A,A2569,E:E,E2569)&gt;1,"yes","no"))</f>
        <v>duplicate?</v>
      </c>
      <c r="K2569" s="97" t="str">
        <f ca="1">IF(J2569="","Date",IF(J2569&lt;&gt;"",IF(K2569="Date",NOW(),K2569),""))</f>
        <v>Date</v>
      </c>
    </row>
    <row r="2570" spans="2:11">
      <c r="B2570" s="97" t="str">
        <f ca="1">IF(A2570="","Date",IF(A2570&lt;&gt;"",IF(B2570="Date",NOW(),B2570),""))</f>
        <v>Date</v>
      </c>
      <c r="C2570" s="19" t="str">
        <f>IF(ISBLANK(A2570),"Name",IF(ISNA(VLOOKUP(A2570,'Master List'!A:C,2,FALSE)), "Not Found", VLOOKUP(A2570,'Master List'!A:C,2,FALSE)))</f>
        <v>Name</v>
      </c>
      <c r="D2570" s="19" t="str">
        <f>IF(ISBLANK(A2570), "Email",IF(ISNA(VLOOKUP(A2570,'Master List'!A:C,3,FALSE)), "Not Found", VLOOKUP(A2570,'Master List'!A:C,3,FALSE)))</f>
        <v>Email</v>
      </c>
      <c r="F2570" s="4" t="str">
        <f>IF(OR(A2570="",E2570="","",A2570="?",E2570="?"),"duplicate?",IF(COUNTIFS($A:A,A2570,E:E,E2570)&gt;1,"yes","no"))</f>
        <v>duplicate?</v>
      </c>
      <c r="K2570" s="97" t="str">
        <f ca="1">IF(J2570="","Date",IF(J2570&lt;&gt;"",IF(K2570="Date",NOW(),K2570),""))</f>
        <v>Date</v>
      </c>
    </row>
    <row r="2571" spans="2:11">
      <c r="B2571" s="97" t="str">
        <f ca="1">IF(A2571="","Date",IF(A2571&lt;&gt;"",IF(B2571="Date",NOW(),B2571),""))</f>
        <v>Date</v>
      </c>
      <c r="C2571" s="19" t="str">
        <f>IF(ISBLANK(A2571),"Name",IF(ISNA(VLOOKUP(A2571,'Master List'!A:C,2,FALSE)), "Not Found", VLOOKUP(A2571,'Master List'!A:C,2,FALSE)))</f>
        <v>Name</v>
      </c>
      <c r="D2571" s="19" t="str">
        <f>IF(ISBLANK(A2571), "Email",IF(ISNA(VLOOKUP(A2571,'Master List'!A:C,3,FALSE)), "Not Found", VLOOKUP(A2571,'Master List'!A:C,3,FALSE)))</f>
        <v>Email</v>
      </c>
      <c r="F2571" s="4" t="str">
        <f>IF(OR(A2571="",E2571="","",A2571="?",E2571="?"),"duplicate?",IF(COUNTIFS($A:A,A2571,E:E,E2571)&gt;1,"yes","no"))</f>
        <v>duplicate?</v>
      </c>
      <c r="K2571" s="97" t="str">
        <f ca="1">IF(J2571="","Date",IF(J2571&lt;&gt;"",IF(K2571="Date",NOW(),K2571),""))</f>
        <v>Date</v>
      </c>
    </row>
    <row r="2572" spans="2:11">
      <c r="B2572" s="97" t="str">
        <f ca="1">IF(A2572="","Date",IF(A2572&lt;&gt;"",IF(B2572="Date",NOW(),B2572),""))</f>
        <v>Date</v>
      </c>
      <c r="C2572" s="19" t="str">
        <f>IF(ISBLANK(A2572),"Name",IF(ISNA(VLOOKUP(A2572,'Master List'!A:C,2,FALSE)), "Not Found", VLOOKUP(A2572,'Master List'!A:C,2,FALSE)))</f>
        <v>Name</v>
      </c>
      <c r="D2572" s="19" t="str">
        <f>IF(ISBLANK(A2572), "Email",IF(ISNA(VLOOKUP(A2572,'Master List'!A:C,3,FALSE)), "Not Found", VLOOKUP(A2572,'Master List'!A:C,3,FALSE)))</f>
        <v>Email</v>
      </c>
      <c r="F2572" s="4" t="str">
        <f>IF(OR(A2572="",E2572="","",A2572="?",E2572="?"),"duplicate?",IF(COUNTIFS($A:A,A2572,E:E,E2572)&gt;1,"yes","no"))</f>
        <v>duplicate?</v>
      </c>
      <c r="K2572" s="97" t="str">
        <f ca="1">IF(J2572="","Date",IF(J2572&lt;&gt;"",IF(K2572="Date",NOW(),K2572),""))</f>
        <v>Date</v>
      </c>
    </row>
    <row r="2573" spans="2:11">
      <c r="B2573" s="97" t="str">
        <f ca="1">IF(A2573="","Date",IF(A2573&lt;&gt;"",IF(B2573="Date",NOW(),B2573),""))</f>
        <v>Date</v>
      </c>
      <c r="C2573" s="19" t="str">
        <f>IF(ISBLANK(A2573),"Name",IF(ISNA(VLOOKUP(A2573,'Master List'!A:C,2,FALSE)), "Not Found", VLOOKUP(A2573,'Master List'!A:C,2,FALSE)))</f>
        <v>Name</v>
      </c>
      <c r="D2573" s="19" t="str">
        <f>IF(ISBLANK(A2573), "Email",IF(ISNA(VLOOKUP(A2573,'Master List'!A:C,3,FALSE)), "Not Found", VLOOKUP(A2573,'Master List'!A:C,3,FALSE)))</f>
        <v>Email</v>
      </c>
      <c r="F2573" s="4" t="str">
        <f>IF(OR(A2573="",E2573="","",A2573="?",E2573="?"),"duplicate?",IF(COUNTIFS($A:A,A2573,E:E,E2573)&gt;1,"yes","no"))</f>
        <v>duplicate?</v>
      </c>
      <c r="K2573" s="97" t="str">
        <f ca="1">IF(J2573="","Date",IF(J2573&lt;&gt;"",IF(K2573="Date",NOW(),K2573),""))</f>
        <v>Date</v>
      </c>
    </row>
    <row r="2574" spans="2:11">
      <c r="B2574" s="97" t="str">
        <f ca="1">IF(A2574="","Date",IF(A2574&lt;&gt;"",IF(B2574="Date",NOW(),B2574),""))</f>
        <v>Date</v>
      </c>
      <c r="C2574" s="19" t="str">
        <f>IF(ISBLANK(A2574),"Name",IF(ISNA(VLOOKUP(A2574,'Master List'!A:C,2,FALSE)), "Not Found", VLOOKUP(A2574,'Master List'!A:C,2,FALSE)))</f>
        <v>Name</v>
      </c>
      <c r="D2574" s="19" t="str">
        <f>IF(ISBLANK(A2574), "Email",IF(ISNA(VLOOKUP(A2574,'Master List'!A:C,3,FALSE)), "Not Found", VLOOKUP(A2574,'Master List'!A:C,3,FALSE)))</f>
        <v>Email</v>
      </c>
      <c r="F2574" s="4" t="str">
        <f>IF(OR(A2574="",E2574="","",A2574="?",E2574="?"),"duplicate?",IF(COUNTIFS($A:A,A2574,E:E,E2574)&gt;1,"yes","no"))</f>
        <v>duplicate?</v>
      </c>
      <c r="K2574" s="97" t="str">
        <f ca="1">IF(J2574="","Date",IF(J2574&lt;&gt;"",IF(K2574="Date",NOW(),K2574),""))</f>
        <v>Date</v>
      </c>
    </row>
    <row r="2575" spans="2:11">
      <c r="B2575" s="97" t="str">
        <f ca="1">IF(A2575="","Date",IF(A2575&lt;&gt;"",IF(B2575="Date",NOW(),B2575),""))</f>
        <v>Date</v>
      </c>
      <c r="C2575" s="19" t="str">
        <f>IF(ISBLANK(A2575),"Name",IF(ISNA(VLOOKUP(A2575,'Master List'!A:C,2,FALSE)), "Not Found", VLOOKUP(A2575,'Master List'!A:C,2,FALSE)))</f>
        <v>Name</v>
      </c>
      <c r="D2575" s="19" t="str">
        <f>IF(ISBLANK(A2575), "Email",IF(ISNA(VLOOKUP(A2575,'Master List'!A:C,3,FALSE)), "Not Found", VLOOKUP(A2575,'Master List'!A:C,3,FALSE)))</f>
        <v>Email</v>
      </c>
      <c r="F2575" s="4" t="str">
        <f>IF(OR(A2575="",E2575="","",A2575="?",E2575="?"),"duplicate?",IF(COUNTIFS($A:A,A2575,E:E,E2575)&gt;1,"yes","no"))</f>
        <v>duplicate?</v>
      </c>
      <c r="K2575" s="97" t="str">
        <f ca="1">IF(J2575="","Date",IF(J2575&lt;&gt;"",IF(K2575="Date",NOW(),K2575),""))</f>
        <v>Date</v>
      </c>
    </row>
    <row r="2576" spans="2:11">
      <c r="B2576" s="97" t="str">
        <f ca="1">IF(A2576="","Date",IF(A2576&lt;&gt;"",IF(B2576="Date",NOW(),B2576),""))</f>
        <v>Date</v>
      </c>
      <c r="C2576" s="19" t="str">
        <f>IF(ISBLANK(A2576),"Name",IF(ISNA(VLOOKUP(A2576,'Master List'!A:C,2,FALSE)), "Not Found", VLOOKUP(A2576,'Master List'!A:C,2,FALSE)))</f>
        <v>Name</v>
      </c>
      <c r="D2576" s="19" t="str">
        <f>IF(ISBLANK(A2576), "Email",IF(ISNA(VLOOKUP(A2576,'Master List'!A:C,3,FALSE)), "Not Found", VLOOKUP(A2576,'Master List'!A:C,3,FALSE)))</f>
        <v>Email</v>
      </c>
      <c r="F2576" s="4" t="str">
        <f>IF(OR(A2576="",E2576="","",A2576="?",E2576="?"),"duplicate?",IF(COUNTIFS($A:A,A2576,E:E,E2576)&gt;1,"yes","no"))</f>
        <v>duplicate?</v>
      </c>
      <c r="K2576" s="97" t="str">
        <f ca="1">IF(J2576="","Date",IF(J2576&lt;&gt;"",IF(K2576="Date",NOW(),K2576),""))</f>
        <v>Date</v>
      </c>
    </row>
    <row r="2577" spans="2:11">
      <c r="B2577" s="97" t="str">
        <f ca="1">IF(A2577="","Date",IF(A2577&lt;&gt;"",IF(B2577="Date",NOW(),B2577),""))</f>
        <v>Date</v>
      </c>
      <c r="C2577" s="19" t="str">
        <f>IF(ISBLANK(A2577),"Name",IF(ISNA(VLOOKUP(A2577,'Master List'!A:C,2,FALSE)), "Not Found", VLOOKUP(A2577,'Master List'!A:C,2,FALSE)))</f>
        <v>Name</v>
      </c>
      <c r="D2577" s="19" t="str">
        <f>IF(ISBLANK(A2577), "Email",IF(ISNA(VLOOKUP(A2577,'Master List'!A:C,3,FALSE)), "Not Found", VLOOKUP(A2577,'Master List'!A:C,3,FALSE)))</f>
        <v>Email</v>
      </c>
      <c r="F2577" s="4" t="str">
        <f>IF(OR(A2577="",E2577="","",A2577="?",E2577="?"),"duplicate?",IF(COUNTIFS($A:A,A2577,E:E,E2577)&gt;1,"yes","no"))</f>
        <v>duplicate?</v>
      </c>
      <c r="K2577" s="97" t="str">
        <f ca="1">IF(J2577="","Date",IF(J2577&lt;&gt;"",IF(K2577="Date",NOW(),K2577),""))</f>
        <v>Date</v>
      </c>
    </row>
    <row r="2578" spans="2:11">
      <c r="B2578" s="97" t="str">
        <f ca="1">IF(A2578="","Date",IF(A2578&lt;&gt;"",IF(B2578="Date",NOW(),B2578),""))</f>
        <v>Date</v>
      </c>
      <c r="C2578" s="19" t="str">
        <f>IF(ISBLANK(A2578),"Name",IF(ISNA(VLOOKUP(A2578,'Master List'!A:C,2,FALSE)), "Not Found", VLOOKUP(A2578,'Master List'!A:C,2,FALSE)))</f>
        <v>Name</v>
      </c>
      <c r="D2578" s="19" t="str">
        <f>IF(ISBLANK(A2578), "Email",IF(ISNA(VLOOKUP(A2578,'Master List'!A:C,3,FALSE)), "Not Found", VLOOKUP(A2578,'Master List'!A:C,3,FALSE)))</f>
        <v>Email</v>
      </c>
      <c r="F2578" s="4" t="str">
        <f>IF(OR(A2578="",E2578="","",A2578="?",E2578="?"),"duplicate?",IF(COUNTIFS($A:A,A2578,E:E,E2578)&gt;1,"yes","no"))</f>
        <v>duplicate?</v>
      </c>
      <c r="K2578" s="97" t="str">
        <f ca="1">IF(J2578="","Date",IF(J2578&lt;&gt;"",IF(K2578="Date",NOW(),K2578),""))</f>
        <v>Date</v>
      </c>
    </row>
    <row r="2579" spans="2:11">
      <c r="B2579" s="97" t="str">
        <f ca="1">IF(A2579="","Date",IF(A2579&lt;&gt;"",IF(B2579="Date",NOW(),B2579),""))</f>
        <v>Date</v>
      </c>
      <c r="C2579" s="19" t="str">
        <f>IF(ISBLANK(A2579),"Name",IF(ISNA(VLOOKUP(A2579,'Master List'!A:C,2,FALSE)), "Not Found", VLOOKUP(A2579,'Master List'!A:C,2,FALSE)))</f>
        <v>Name</v>
      </c>
      <c r="D2579" s="19" t="str">
        <f>IF(ISBLANK(A2579), "Email",IF(ISNA(VLOOKUP(A2579,'Master List'!A:C,3,FALSE)), "Not Found", VLOOKUP(A2579,'Master List'!A:C,3,FALSE)))</f>
        <v>Email</v>
      </c>
      <c r="F2579" s="4" t="str">
        <f>IF(OR(A2579="",E2579="","",A2579="?",E2579="?"),"duplicate?",IF(COUNTIFS($A:A,A2579,E:E,E2579)&gt;1,"yes","no"))</f>
        <v>duplicate?</v>
      </c>
      <c r="K2579" s="97" t="str">
        <f ca="1">IF(J2579="","Date",IF(J2579&lt;&gt;"",IF(K2579="Date",NOW(),K2579),""))</f>
        <v>Date</v>
      </c>
    </row>
    <row r="2580" spans="2:11">
      <c r="B2580" s="97" t="str">
        <f ca="1">IF(A2580="","Date",IF(A2580&lt;&gt;"",IF(B2580="Date",NOW(),B2580),""))</f>
        <v>Date</v>
      </c>
      <c r="C2580" s="19" t="str">
        <f>IF(ISBLANK(A2580),"Name",IF(ISNA(VLOOKUP(A2580,'Master List'!A:C,2,FALSE)), "Not Found", VLOOKUP(A2580,'Master List'!A:C,2,FALSE)))</f>
        <v>Name</v>
      </c>
      <c r="D2580" s="19" t="str">
        <f>IF(ISBLANK(A2580), "Email",IF(ISNA(VLOOKUP(A2580,'Master List'!A:C,3,FALSE)), "Not Found", VLOOKUP(A2580,'Master List'!A:C,3,FALSE)))</f>
        <v>Email</v>
      </c>
      <c r="F2580" s="4" t="str">
        <f>IF(OR(A2580="",E2580="","",A2580="?",E2580="?"),"duplicate?",IF(COUNTIFS($A:A,A2580,E:E,E2580)&gt;1,"yes","no"))</f>
        <v>duplicate?</v>
      </c>
      <c r="K2580" s="97" t="str">
        <f ca="1">IF(J2580="","Date",IF(J2580&lt;&gt;"",IF(K2580="Date",NOW(),K2580),""))</f>
        <v>Date</v>
      </c>
    </row>
    <row r="2581" spans="2:11">
      <c r="B2581" s="97" t="str">
        <f ca="1">IF(A2581="","Date",IF(A2581&lt;&gt;"",IF(B2581="Date",NOW(),B2581),""))</f>
        <v>Date</v>
      </c>
      <c r="C2581" s="19" t="str">
        <f>IF(ISBLANK(A2581),"Name",IF(ISNA(VLOOKUP(A2581,'Master List'!A:C,2,FALSE)), "Not Found", VLOOKUP(A2581,'Master List'!A:C,2,FALSE)))</f>
        <v>Name</v>
      </c>
      <c r="D2581" s="19" t="str">
        <f>IF(ISBLANK(A2581), "Email",IF(ISNA(VLOOKUP(A2581,'Master List'!A:C,3,FALSE)), "Not Found", VLOOKUP(A2581,'Master List'!A:C,3,FALSE)))</f>
        <v>Email</v>
      </c>
      <c r="F2581" s="4" t="str">
        <f>IF(OR(A2581="",E2581="","",A2581="?",E2581="?"),"duplicate?",IF(COUNTIFS($A:A,A2581,E:E,E2581)&gt;1,"yes","no"))</f>
        <v>duplicate?</v>
      </c>
      <c r="K2581" s="97" t="str">
        <f ca="1">IF(J2581="","Date",IF(J2581&lt;&gt;"",IF(K2581="Date",NOW(),K2581),""))</f>
        <v>Date</v>
      </c>
    </row>
    <row r="2582" spans="2:11">
      <c r="B2582" s="97" t="str">
        <f ca="1">IF(A2582="","Date",IF(A2582&lt;&gt;"",IF(B2582="Date",NOW(),B2582),""))</f>
        <v>Date</v>
      </c>
      <c r="C2582" s="19" t="str">
        <f>IF(ISBLANK(A2582),"Name",IF(ISNA(VLOOKUP(A2582,'Master List'!A:C,2,FALSE)), "Not Found", VLOOKUP(A2582,'Master List'!A:C,2,FALSE)))</f>
        <v>Name</v>
      </c>
      <c r="D2582" s="19" t="str">
        <f>IF(ISBLANK(A2582), "Email",IF(ISNA(VLOOKUP(A2582,'Master List'!A:C,3,FALSE)), "Not Found", VLOOKUP(A2582,'Master List'!A:C,3,FALSE)))</f>
        <v>Email</v>
      </c>
      <c r="F2582" s="4" t="str">
        <f>IF(OR(A2582="",E2582="","",A2582="?",E2582="?"),"duplicate?",IF(COUNTIFS($A:A,A2582,E:E,E2582)&gt;1,"yes","no"))</f>
        <v>duplicate?</v>
      </c>
      <c r="K2582" s="97" t="str">
        <f ca="1">IF(J2582="","Date",IF(J2582&lt;&gt;"",IF(K2582="Date",NOW(),K2582),""))</f>
        <v>Date</v>
      </c>
    </row>
    <row r="2583" spans="2:11">
      <c r="B2583" s="97" t="str">
        <f ca="1">IF(A2583="","Date",IF(A2583&lt;&gt;"",IF(B2583="Date",NOW(),B2583),""))</f>
        <v>Date</v>
      </c>
      <c r="C2583" s="19" t="str">
        <f>IF(ISBLANK(A2583),"Name",IF(ISNA(VLOOKUP(A2583,'Master List'!A:C,2,FALSE)), "Not Found", VLOOKUP(A2583,'Master List'!A:C,2,FALSE)))</f>
        <v>Name</v>
      </c>
      <c r="D2583" s="19" t="str">
        <f>IF(ISBLANK(A2583), "Email",IF(ISNA(VLOOKUP(A2583,'Master List'!A:C,3,FALSE)), "Not Found", VLOOKUP(A2583,'Master List'!A:C,3,FALSE)))</f>
        <v>Email</v>
      </c>
      <c r="F2583" s="4" t="str">
        <f>IF(OR(A2583="",E2583="","",A2583="?",E2583="?"),"duplicate?",IF(COUNTIFS($A:A,A2583,E:E,E2583)&gt;1,"yes","no"))</f>
        <v>duplicate?</v>
      </c>
      <c r="K2583" s="97" t="str">
        <f ca="1">IF(J2583="","Date",IF(J2583&lt;&gt;"",IF(K2583="Date",NOW(),K2583),""))</f>
        <v>Date</v>
      </c>
    </row>
    <row r="2584" spans="2:11">
      <c r="B2584" s="97" t="str">
        <f ca="1">IF(A2584="","Date",IF(A2584&lt;&gt;"",IF(B2584="Date",NOW(),B2584),""))</f>
        <v>Date</v>
      </c>
      <c r="C2584" s="19" t="str">
        <f>IF(ISBLANK(A2584),"Name",IF(ISNA(VLOOKUP(A2584,'Master List'!A:C,2,FALSE)), "Not Found", VLOOKUP(A2584,'Master List'!A:C,2,FALSE)))</f>
        <v>Name</v>
      </c>
      <c r="D2584" s="19" t="str">
        <f>IF(ISBLANK(A2584), "Email",IF(ISNA(VLOOKUP(A2584,'Master List'!A:C,3,FALSE)), "Not Found", VLOOKUP(A2584,'Master List'!A:C,3,FALSE)))</f>
        <v>Email</v>
      </c>
      <c r="F2584" s="4" t="str">
        <f>IF(OR(A2584="",E2584="","",A2584="?",E2584="?"),"duplicate?",IF(COUNTIFS($A:A,A2584,E:E,E2584)&gt;1,"yes","no"))</f>
        <v>duplicate?</v>
      </c>
      <c r="K2584" s="97" t="str">
        <f ca="1">IF(J2584="","Date",IF(J2584&lt;&gt;"",IF(K2584="Date",NOW(),K2584),""))</f>
        <v>Date</v>
      </c>
    </row>
    <row r="2585" spans="2:11">
      <c r="B2585" s="97" t="str">
        <f ca="1">IF(A2585="","Date",IF(A2585&lt;&gt;"",IF(B2585="Date",NOW(),B2585),""))</f>
        <v>Date</v>
      </c>
      <c r="C2585" s="19" t="str">
        <f>IF(ISBLANK(A2585),"Name",IF(ISNA(VLOOKUP(A2585,'Master List'!A:C,2,FALSE)), "Not Found", VLOOKUP(A2585,'Master List'!A:C,2,FALSE)))</f>
        <v>Name</v>
      </c>
      <c r="D2585" s="19" t="str">
        <f>IF(ISBLANK(A2585), "Email",IF(ISNA(VLOOKUP(A2585,'Master List'!A:C,3,FALSE)), "Not Found", VLOOKUP(A2585,'Master List'!A:C,3,FALSE)))</f>
        <v>Email</v>
      </c>
      <c r="F2585" s="4" t="str">
        <f>IF(OR(A2585="",E2585="","",A2585="?",E2585="?"),"duplicate?",IF(COUNTIFS($A:A,A2585,E:E,E2585)&gt;1,"yes","no"))</f>
        <v>duplicate?</v>
      </c>
      <c r="K2585" s="97" t="str">
        <f ca="1">IF(J2585="","Date",IF(J2585&lt;&gt;"",IF(K2585="Date",NOW(),K2585),""))</f>
        <v>Date</v>
      </c>
    </row>
    <row r="2586" spans="2:11">
      <c r="B2586" s="97" t="str">
        <f ca="1">IF(A2586="","Date",IF(A2586&lt;&gt;"",IF(B2586="Date",NOW(),B2586),""))</f>
        <v>Date</v>
      </c>
      <c r="C2586" s="19" t="str">
        <f>IF(ISBLANK(A2586),"Name",IF(ISNA(VLOOKUP(A2586,'Master List'!A:C,2,FALSE)), "Not Found", VLOOKUP(A2586,'Master List'!A:C,2,FALSE)))</f>
        <v>Name</v>
      </c>
      <c r="D2586" s="19" t="str">
        <f>IF(ISBLANK(A2586), "Email",IF(ISNA(VLOOKUP(A2586,'Master List'!A:C,3,FALSE)), "Not Found", VLOOKUP(A2586,'Master List'!A:C,3,FALSE)))</f>
        <v>Email</v>
      </c>
      <c r="F2586" s="4" t="str">
        <f>IF(OR(A2586="",E2586="","",A2586="?",E2586="?"),"duplicate?",IF(COUNTIFS($A:A,A2586,E:E,E2586)&gt;1,"yes","no"))</f>
        <v>duplicate?</v>
      </c>
      <c r="K2586" s="97" t="str">
        <f ca="1">IF(J2586="","Date",IF(J2586&lt;&gt;"",IF(K2586="Date",NOW(),K2586),""))</f>
        <v>Date</v>
      </c>
    </row>
    <row r="2587" spans="2:11">
      <c r="B2587" s="97" t="str">
        <f ca="1">IF(A2587="","Date",IF(A2587&lt;&gt;"",IF(B2587="Date",NOW(),B2587),""))</f>
        <v>Date</v>
      </c>
      <c r="C2587" s="19" t="str">
        <f>IF(ISBLANK(A2587),"Name",IF(ISNA(VLOOKUP(A2587,'Master List'!A:C,2,FALSE)), "Not Found", VLOOKUP(A2587,'Master List'!A:C,2,FALSE)))</f>
        <v>Name</v>
      </c>
      <c r="D2587" s="19" t="str">
        <f>IF(ISBLANK(A2587), "Email",IF(ISNA(VLOOKUP(A2587,'Master List'!A:C,3,FALSE)), "Not Found", VLOOKUP(A2587,'Master List'!A:C,3,FALSE)))</f>
        <v>Email</v>
      </c>
      <c r="F2587" s="4" t="str">
        <f>IF(OR(A2587="",E2587="","",A2587="?",E2587="?"),"duplicate?",IF(COUNTIFS($A:A,A2587,E:E,E2587)&gt;1,"yes","no"))</f>
        <v>duplicate?</v>
      </c>
      <c r="K2587" s="97" t="str">
        <f ca="1">IF(J2587="","Date",IF(J2587&lt;&gt;"",IF(K2587="Date",NOW(),K2587),""))</f>
        <v>Date</v>
      </c>
    </row>
    <row r="2588" spans="2:11">
      <c r="B2588" s="97" t="str">
        <f ca="1">IF(A2588="","Date",IF(A2588&lt;&gt;"",IF(B2588="Date",NOW(),B2588),""))</f>
        <v>Date</v>
      </c>
      <c r="C2588" s="19" t="str">
        <f>IF(ISBLANK(A2588),"Name",IF(ISNA(VLOOKUP(A2588,'Master List'!A:C,2,FALSE)), "Not Found", VLOOKUP(A2588,'Master List'!A:C,2,FALSE)))</f>
        <v>Name</v>
      </c>
      <c r="D2588" s="19" t="str">
        <f>IF(ISBLANK(A2588), "Email",IF(ISNA(VLOOKUP(A2588,'Master List'!A:C,3,FALSE)), "Not Found", VLOOKUP(A2588,'Master List'!A:C,3,FALSE)))</f>
        <v>Email</v>
      </c>
      <c r="F2588" s="4" t="str">
        <f>IF(OR(A2588="",E2588="","",A2588="?",E2588="?"),"duplicate?",IF(COUNTIFS($A:A,A2588,E:E,E2588)&gt;1,"yes","no"))</f>
        <v>duplicate?</v>
      </c>
      <c r="K2588" s="97" t="str">
        <f ca="1">IF(J2588="","Date",IF(J2588&lt;&gt;"",IF(K2588="Date",NOW(),K2588),""))</f>
        <v>Date</v>
      </c>
    </row>
    <row r="2589" spans="2:11">
      <c r="B2589" s="97" t="str">
        <f ca="1">IF(A2589="","Date",IF(A2589&lt;&gt;"",IF(B2589="Date",NOW(),B2589),""))</f>
        <v>Date</v>
      </c>
      <c r="C2589" s="19" t="str">
        <f>IF(ISBLANK(A2589),"Name",IF(ISNA(VLOOKUP(A2589,'Master List'!A:C,2,FALSE)), "Not Found", VLOOKUP(A2589,'Master List'!A:C,2,FALSE)))</f>
        <v>Name</v>
      </c>
      <c r="D2589" s="19" t="str">
        <f>IF(ISBLANK(A2589), "Email",IF(ISNA(VLOOKUP(A2589,'Master List'!A:C,3,FALSE)), "Not Found", VLOOKUP(A2589,'Master List'!A:C,3,FALSE)))</f>
        <v>Email</v>
      </c>
      <c r="F2589" s="4" t="str">
        <f>IF(OR(A2589="",E2589="","",A2589="?",E2589="?"),"duplicate?",IF(COUNTIFS($A:A,A2589,E:E,E2589)&gt;1,"yes","no"))</f>
        <v>duplicate?</v>
      </c>
      <c r="K2589" s="97" t="str">
        <f ca="1">IF(J2589="","Date",IF(J2589&lt;&gt;"",IF(K2589="Date",NOW(),K2589),""))</f>
        <v>Date</v>
      </c>
    </row>
    <row r="2590" spans="2:11">
      <c r="B2590" s="97" t="str">
        <f ca="1">IF(A2590="","Date",IF(A2590&lt;&gt;"",IF(B2590="Date",NOW(),B2590),""))</f>
        <v>Date</v>
      </c>
      <c r="C2590" s="19" t="str">
        <f>IF(ISBLANK(A2590),"Name",IF(ISNA(VLOOKUP(A2590,'Master List'!A:C,2,FALSE)), "Not Found", VLOOKUP(A2590,'Master List'!A:C,2,FALSE)))</f>
        <v>Name</v>
      </c>
      <c r="D2590" s="19" t="str">
        <f>IF(ISBLANK(A2590), "Email",IF(ISNA(VLOOKUP(A2590,'Master List'!A:C,3,FALSE)), "Not Found", VLOOKUP(A2590,'Master List'!A:C,3,FALSE)))</f>
        <v>Email</v>
      </c>
      <c r="F2590" s="4" t="str">
        <f>IF(OR(A2590="",E2590="","",A2590="?",E2590="?"),"duplicate?",IF(COUNTIFS($A:A,A2590,E:E,E2590)&gt;1,"yes","no"))</f>
        <v>duplicate?</v>
      </c>
      <c r="K2590" s="97" t="str">
        <f ca="1">IF(J2590="","Date",IF(J2590&lt;&gt;"",IF(K2590="Date",NOW(),K2590),""))</f>
        <v>Date</v>
      </c>
    </row>
    <row r="2591" spans="2:11">
      <c r="B2591" s="97" t="str">
        <f ca="1">IF(A2591="","Date",IF(A2591&lt;&gt;"",IF(B2591="Date",NOW(),B2591),""))</f>
        <v>Date</v>
      </c>
      <c r="C2591" s="19" t="str">
        <f>IF(ISBLANK(A2591),"Name",IF(ISNA(VLOOKUP(A2591,'Master List'!A:C,2,FALSE)), "Not Found", VLOOKUP(A2591,'Master List'!A:C,2,FALSE)))</f>
        <v>Name</v>
      </c>
      <c r="D2591" s="19" t="str">
        <f>IF(ISBLANK(A2591), "Email",IF(ISNA(VLOOKUP(A2591,'Master List'!A:C,3,FALSE)), "Not Found", VLOOKUP(A2591,'Master List'!A:C,3,FALSE)))</f>
        <v>Email</v>
      </c>
      <c r="F2591" s="4" t="str">
        <f>IF(OR(A2591="",E2591="","",A2591="?",E2591="?"),"duplicate?",IF(COUNTIFS($A:A,A2591,E:E,E2591)&gt;1,"yes","no"))</f>
        <v>duplicate?</v>
      </c>
      <c r="K2591" s="97" t="str">
        <f ca="1">IF(J2591="","Date",IF(J2591&lt;&gt;"",IF(K2591="Date",NOW(),K2591),""))</f>
        <v>Date</v>
      </c>
    </row>
    <row r="2592" spans="2:11">
      <c r="B2592" s="97" t="str">
        <f ca="1">IF(A2592="","Date",IF(A2592&lt;&gt;"",IF(B2592="Date",NOW(),B2592),""))</f>
        <v>Date</v>
      </c>
      <c r="C2592" s="19" t="str">
        <f>IF(ISBLANK(A2592),"Name",IF(ISNA(VLOOKUP(A2592,'Master List'!A:C,2,FALSE)), "Not Found", VLOOKUP(A2592,'Master List'!A:C,2,FALSE)))</f>
        <v>Name</v>
      </c>
      <c r="D2592" s="19" t="str">
        <f>IF(ISBLANK(A2592), "Email",IF(ISNA(VLOOKUP(A2592,'Master List'!A:C,3,FALSE)), "Not Found", VLOOKUP(A2592,'Master List'!A:C,3,FALSE)))</f>
        <v>Email</v>
      </c>
      <c r="F2592" s="4" t="str">
        <f>IF(OR(A2592="",E2592="","",A2592="?",E2592="?"),"duplicate?",IF(COUNTIFS($A:A,A2592,E:E,E2592)&gt;1,"yes","no"))</f>
        <v>duplicate?</v>
      </c>
      <c r="K2592" s="97" t="str">
        <f ca="1">IF(J2592="","Date",IF(J2592&lt;&gt;"",IF(K2592="Date",NOW(),K2592),""))</f>
        <v>Date</v>
      </c>
    </row>
    <row r="2593" spans="2:11">
      <c r="B2593" s="97" t="str">
        <f ca="1">IF(A2593="","Date",IF(A2593&lt;&gt;"",IF(B2593="Date",NOW(),B2593),""))</f>
        <v>Date</v>
      </c>
      <c r="C2593" s="19" t="str">
        <f>IF(ISBLANK(A2593),"Name",IF(ISNA(VLOOKUP(A2593,'Master List'!A:C,2,FALSE)), "Not Found", VLOOKUP(A2593,'Master List'!A:C,2,FALSE)))</f>
        <v>Name</v>
      </c>
      <c r="D2593" s="19" t="str">
        <f>IF(ISBLANK(A2593), "Email",IF(ISNA(VLOOKUP(A2593,'Master List'!A:C,3,FALSE)), "Not Found", VLOOKUP(A2593,'Master List'!A:C,3,FALSE)))</f>
        <v>Email</v>
      </c>
      <c r="F2593" s="4" t="str">
        <f>IF(OR(A2593="",E2593="","",A2593="?",E2593="?"),"duplicate?",IF(COUNTIFS($A:A,A2593,E:E,E2593)&gt;1,"yes","no"))</f>
        <v>duplicate?</v>
      </c>
      <c r="K2593" s="97" t="str">
        <f ca="1">IF(J2593="","Date",IF(J2593&lt;&gt;"",IF(K2593="Date",NOW(),K2593),""))</f>
        <v>Date</v>
      </c>
    </row>
    <row r="2594" spans="2:11">
      <c r="B2594" s="97" t="str">
        <f ca="1">IF(A2594="","Date",IF(A2594&lt;&gt;"",IF(B2594="Date",NOW(),B2594),""))</f>
        <v>Date</v>
      </c>
      <c r="C2594" s="19" t="str">
        <f>IF(ISBLANK(A2594),"Name",IF(ISNA(VLOOKUP(A2594,'Master List'!A:C,2,FALSE)), "Not Found", VLOOKUP(A2594,'Master List'!A:C,2,FALSE)))</f>
        <v>Name</v>
      </c>
      <c r="D2594" s="19" t="str">
        <f>IF(ISBLANK(A2594), "Email",IF(ISNA(VLOOKUP(A2594,'Master List'!A:C,3,FALSE)), "Not Found", VLOOKUP(A2594,'Master List'!A:C,3,FALSE)))</f>
        <v>Email</v>
      </c>
      <c r="F2594" s="4" t="str">
        <f>IF(OR(A2594="",E2594="","",A2594="?",E2594="?"),"duplicate?",IF(COUNTIFS($A:A,A2594,E:E,E2594)&gt;1,"yes","no"))</f>
        <v>duplicate?</v>
      </c>
      <c r="K2594" s="97" t="str">
        <f ca="1">IF(J2594="","Date",IF(J2594&lt;&gt;"",IF(K2594="Date",NOW(),K2594),""))</f>
        <v>Date</v>
      </c>
    </row>
    <row r="2595" spans="2:11">
      <c r="B2595" s="97" t="str">
        <f ca="1">IF(A2595="","Date",IF(A2595&lt;&gt;"",IF(B2595="Date",NOW(),B2595),""))</f>
        <v>Date</v>
      </c>
      <c r="C2595" s="19" t="str">
        <f>IF(ISBLANK(A2595),"Name",IF(ISNA(VLOOKUP(A2595,'Master List'!A:C,2,FALSE)), "Not Found", VLOOKUP(A2595,'Master List'!A:C,2,FALSE)))</f>
        <v>Name</v>
      </c>
      <c r="D2595" s="19" t="str">
        <f>IF(ISBLANK(A2595), "Email",IF(ISNA(VLOOKUP(A2595,'Master List'!A:C,3,FALSE)), "Not Found", VLOOKUP(A2595,'Master List'!A:C,3,FALSE)))</f>
        <v>Email</v>
      </c>
      <c r="F2595" s="4" t="str">
        <f>IF(OR(A2595="",E2595="","",A2595="?",E2595="?"),"duplicate?",IF(COUNTIFS($A:A,A2595,E:E,E2595)&gt;1,"yes","no"))</f>
        <v>duplicate?</v>
      </c>
      <c r="K2595" s="97" t="str">
        <f ca="1">IF(J2595="","Date",IF(J2595&lt;&gt;"",IF(K2595="Date",NOW(),K2595),""))</f>
        <v>Date</v>
      </c>
    </row>
    <row r="2596" spans="2:11">
      <c r="B2596" s="97" t="str">
        <f ca="1">IF(A2596="","Date",IF(A2596&lt;&gt;"",IF(B2596="Date",NOW(),B2596),""))</f>
        <v>Date</v>
      </c>
      <c r="C2596" s="19" t="str">
        <f>IF(ISBLANK(A2596),"Name",IF(ISNA(VLOOKUP(A2596,'Master List'!A:C,2,FALSE)), "Not Found", VLOOKUP(A2596,'Master List'!A:C,2,FALSE)))</f>
        <v>Name</v>
      </c>
      <c r="D2596" s="19" t="str">
        <f>IF(ISBLANK(A2596), "Email",IF(ISNA(VLOOKUP(A2596,'Master List'!A:C,3,FALSE)), "Not Found", VLOOKUP(A2596,'Master List'!A:C,3,FALSE)))</f>
        <v>Email</v>
      </c>
      <c r="F2596" s="4" t="str">
        <f>IF(OR(A2596="",E2596="","",A2596="?",E2596="?"),"duplicate?",IF(COUNTIFS($A:A,A2596,E:E,E2596)&gt;1,"yes","no"))</f>
        <v>duplicate?</v>
      </c>
      <c r="K2596" s="97" t="str">
        <f ca="1">IF(J2596="","Date",IF(J2596&lt;&gt;"",IF(K2596="Date",NOW(),K2596),""))</f>
        <v>Date</v>
      </c>
    </row>
    <row r="2597" spans="2:11">
      <c r="B2597" s="97" t="str">
        <f ca="1">IF(A2597="","Date",IF(A2597&lt;&gt;"",IF(B2597="Date",NOW(),B2597),""))</f>
        <v>Date</v>
      </c>
      <c r="C2597" s="19" t="str">
        <f>IF(ISBLANK(A2597),"Name",IF(ISNA(VLOOKUP(A2597,'Master List'!A:C,2,FALSE)), "Not Found", VLOOKUP(A2597,'Master List'!A:C,2,FALSE)))</f>
        <v>Name</v>
      </c>
      <c r="D2597" s="19" t="str">
        <f>IF(ISBLANK(A2597), "Email",IF(ISNA(VLOOKUP(A2597,'Master List'!A:C,3,FALSE)), "Not Found", VLOOKUP(A2597,'Master List'!A:C,3,FALSE)))</f>
        <v>Email</v>
      </c>
      <c r="F2597" s="4" t="str">
        <f>IF(OR(A2597="",E2597="","",A2597="?",E2597="?"),"duplicate?",IF(COUNTIFS($A:A,A2597,E:E,E2597)&gt;1,"yes","no"))</f>
        <v>duplicate?</v>
      </c>
      <c r="K2597" s="97" t="str">
        <f ca="1">IF(J2597="","Date",IF(J2597&lt;&gt;"",IF(K2597="Date",NOW(),K2597),""))</f>
        <v>Date</v>
      </c>
    </row>
    <row r="2598" spans="2:11">
      <c r="B2598" s="97" t="str">
        <f ca="1">IF(A2598="","Date",IF(A2598&lt;&gt;"",IF(B2598="Date",NOW(),B2598),""))</f>
        <v>Date</v>
      </c>
      <c r="C2598" s="19" t="str">
        <f>IF(ISBLANK(A2598),"Name",IF(ISNA(VLOOKUP(A2598,'Master List'!A:C,2,FALSE)), "Not Found", VLOOKUP(A2598,'Master List'!A:C,2,FALSE)))</f>
        <v>Name</v>
      </c>
      <c r="D2598" s="19" t="str">
        <f>IF(ISBLANK(A2598), "Email",IF(ISNA(VLOOKUP(A2598,'Master List'!A:C,3,FALSE)), "Not Found", VLOOKUP(A2598,'Master List'!A:C,3,FALSE)))</f>
        <v>Email</v>
      </c>
      <c r="F2598" s="4" t="str">
        <f>IF(OR(A2598="",E2598="","",A2598="?",E2598="?"),"duplicate?",IF(COUNTIFS($A:A,A2598,E:E,E2598)&gt;1,"yes","no"))</f>
        <v>duplicate?</v>
      </c>
      <c r="K2598" s="97" t="str">
        <f ca="1">IF(J2598="","Date",IF(J2598&lt;&gt;"",IF(K2598="Date",NOW(),K2598),""))</f>
        <v>Date</v>
      </c>
    </row>
    <row r="2599" spans="2:11">
      <c r="B2599" s="97" t="str">
        <f ca="1">IF(A2599="","Date",IF(A2599&lt;&gt;"",IF(B2599="Date",NOW(),B2599),""))</f>
        <v>Date</v>
      </c>
      <c r="C2599" s="19" t="str">
        <f>IF(ISBLANK(A2599),"Name",IF(ISNA(VLOOKUP(A2599,'Master List'!A:C,2,FALSE)), "Not Found", VLOOKUP(A2599,'Master List'!A:C,2,FALSE)))</f>
        <v>Name</v>
      </c>
      <c r="D2599" s="19" t="str">
        <f>IF(ISBLANK(A2599), "Email",IF(ISNA(VLOOKUP(A2599,'Master List'!A:C,3,FALSE)), "Not Found", VLOOKUP(A2599,'Master List'!A:C,3,FALSE)))</f>
        <v>Email</v>
      </c>
      <c r="F2599" s="4" t="str">
        <f>IF(OR(A2599="",E2599="","",A2599="?",E2599="?"),"duplicate?",IF(COUNTIFS($A:A,A2599,E:E,E2599)&gt;1,"yes","no"))</f>
        <v>duplicate?</v>
      </c>
      <c r="K2599" s="97" t="str">
        <f ca="1">IF(J2599="","Date",IF(J2599&lt;&gt;"",IF(K2599="Date",NOW(),K2599),""))</f>
        <v>Date</v>
      </c>
    </row>
    <row r="2600" spans="2:11">
      <c r="B2600" s="97" t="str">
        <f ca="1">IF(A2600="","Date",IF(A2600&lt;&gt;"",IF(B2600="Date",NOW(),B2600),""))</f>
        <v>Date</v>
      </c>
      <c r="C2600" s="19" t="str">
        <f>IF(ISBLANK(A2600),"Name",IF(ISNA(VLOOKUP(A2600,'Master List'!A:C,2,FALSE)), "Not Found", VLOOKUP(A2600,'Master List'!A:C,2,FALSE)))</f>
        <v>Name</v>
      </c>
      <c r="D2600" s="19" t="str">
        <f>IF(ISBLANK(A2600), "Email",IF(ISNA(VLOOKUP(A2600,'Master List'!A:C,3,FALSE)), "Not Found", VLOOKUP(A2600,'Master List'!A:C,3,FALSE)))</f>
        <v>Email</v>
      </c>
      <c r="F2600" s="4" t="str">
        <f>IF(OR(A2600="",E2600="","",A2600="?",E2600="?"),"duplicate?",IF(COUNTIFS($A:A,A2600,E:E,E2600)&gt;1,"yes","no"))</f>
        <v>duplicate?</v>
      </c>
      <c r="K2600" s="97" t="str">
        <f ca="1">IF(J2600="","Date",IF(J2600&lt;&gt;"",IF(K2600="Date",NOW(),K2600),""))</f>
        <v>Date</v>
      </c>
    </row>
    <row r="2601" spans="2:11">
      <c r="B2601" s="97" t="str">
        <f ca="1">IF(A2601="","Date",IF(A2601&lt;&gt;"",IF(B2601="Date",NOW(),B2601),""))</f>
        <v>Date</v>
      </c>
      <c r="C2601" s="19" t="str">
        <f>IF(ISBLANK(A2601),"Name",IF(ISNA(VLOOKUP(A2601,'Master List'!A:C,2,FALSE)), "Not Found", VLOOKUP(A2601,'Master List'!A:C,2,FALSE)))</f>
        <v>Name</v>
      </c>
      <c r="D2601" s="19" t="str">
        <f>IF(ISBLANK(A2601), "Email",IF(ISNA(VLOOKUP(A2601,'Master List'!A:C,3,FALSE)), "Not Found", VLOOKUP(A2601,'Master List'!A:C,3,FALSE)))</f>
        <v>Email</v>
      </c>
      <c r="F2601" s="4" t="str">
        <f>IF(OR(A2601="",E2601="","",A2601="?",E2601="?"),"duplicate?",IF(COUNTIFS($A:A,A2601,E:E,E2601)&gt;1,"yes","no"))</f>
        <v>duplicate?</v>
      </c>
      <c r="K2601" s="97" t="str">
        <f ca="1">IF(J2601="","Date",IF(J2601&lt;&gt;"",IF(K2601="Date",NOW(),K2601),""))</f>
        <v>Date</v>
      </c>
    </row>
    <row r="2602" spans="2:11">
      <c r="B2602" s="97" t="str">
        <f ca="1">IF(A2602="","Date",IF(A2602&lt;&gt;"",IF(B2602="Date",NOW(),B2602),""))</f>
        <v>Date</v>
      </c>
      <c r="C2602" s="19" t="str">
        <f>IF(ISBLANK(A2602),"Name",IF(ISNA(VLOOKUP(A2602,'Master List'!A:C,2,FALSE)), "Not Found", VLOOKUP(A2602,'Master List'!A:C,2,FALSE)))</f>
        <v>Name</v>
      </c>
      <c r="D2602" s="19" t="str">
        <f>IF(ISBLANK(A2602), "Email",IF(ISNA(VLOOKUP(A2602,'Master List'!A:C,3,FALSE)), "Not Found", VLOOKUP(A2602,'Master List'!A:C,3,FALSE)))</f>
        <v>Email</v>
      </c>
      <c r="F2602" s="4" t="str">
        <f>IF(OR(A2602="",E2602="","",A2602="?",E2602="?"),"duplicate?",IF(COUNTIFS($A:A,A2602,E:E,E2602)&gt;1,"yes","no"))</f>
        <v>duplicate?</v>
      </c>
      <c r="K2602" s="97" t="str">
        <f ca="1">IF(J2602="","Date",IF(J2602&lt;&gt;"",IF(K2602="Date",NOW(),K2602),""))</f>
        <v>Date</v>
      </c>
    </row>
    <row r="2603" spans="2:11">
      <c r="B2603" s="97" t="str">
        <f ca="1">IF(A2603="","Date",IF(A2603&lt;&gt;"",IF(B2603="Date",NOW(),B2603),""))</f>
        <v>Date</v>
      </c>
      <c r="C2603" s="19" t="str">
        <f>IF(ISBLANK(A2603),"Name",IF(ISNA(VLOOKUP(A2603,'Master List'!A:C,2,FALSE)), "Not Found", VLOOKUP(A2603,'Master List'!A:C,2,FALSE)))</f>
        <v>Name</v>
      </c>
      <c r="D2603" s="19" t="str">
        <f>IF(ISBLANK(A2603), "Email",IF(ISNA(VLOOKUP(A2603,'Master List'!A:C,3,FALSE)), "Not Found", VLOOKUP(A2603,'Master List'!A:C,3,FALSE)))</f>
        <v>Email</v>
      </c>
      <c r="F2603" s="4" t="str">
        <f>IF(OR(A2603="",E2603="","",A2603="?",E2603="?"),"duplicate?",IF(COUNTIFS($A:A,A2603,E:E,E2603)&gt;1,"yes","no"))</f>
        <v>duplicate?</v>
      </c>
      <c r="K2603" s="97" t="str">
        <f ca="1">IF(J2603="","Date",IF(J2603&lt;&gt;"",IF(K2603="Date",NOW(),K2603),""))</f>
        <v>Date</v>
      </c>
    </row>
    <row r="2604" spans="2:11">
      <c r="B2604" s="97" t="str">
        <f ca="1">IF(A2604="","Date",IF(A2604&lt;&gt;"",IF(B2604="Date",NOW(),B2604),""))</f>
        <v>Date</v>
      </c>
      <c r="C2604" s="19" t="str">
        <f>IF(ISBLANK(A2604),"Name",IF(ISNA(VLOOKUP(A2604,'Master List'!A:C,2,FALSE)), "Not Found", VLOOKUP(A2604,'Master List'!A:C,2,FALSE)))</f>
        <v>Name</v>
      </c>
      <c r="D2604" s="19" t="str">
        <f>IF(ISBLANK(A2604), "Email",IF(ISNA(VLOOKUP(A2604,'Master List'!A:C,3,FALSE)), "Not Found", VLOOKUP(A2604,'Master List'!A:C,3,FALSE)))</f>
        <v>Email</v>
      </c>
      <c r="F2604" s="4" t="str">
        <f>IF(OR(A2604="",E2604="","",A2604="?",E2604="?"),"duplicate?",IF(COUNTIFS($A:A,A2604,E:E,E2604)&gt;1,"yes","no"))</f>
        <v>duplicate?</v>
      </c>
      <c r="K2604" s="97" t="str">
        <f ca="1">IF(J2604="","Date",IF(J2604&lt;&gt;"",IF(K2604="Date",NOW(),K2604),""))</f>
        <v>Date</v>
      </c>
    </row>
    <row r="2605" spans="2:11">
      <c r="B2605" s="97" t="str">
        <f ca="1">IF(A2605="","Date",IF(A2605&lt;&gt;"",IF(B2605="Date",NOW(),B2605),""))</f>
        <v>Date</v>
      </c>
      <c r="C2605" s="19" t="str">
        <f>IF(ISBLANK(A2605),"Name",IF(ISNA(VLOOKUP(A2605,'Master List'!A:C,2,FALSE)), "Not Found", VLOOKUP(A2605,'Master List'!A:C,2,FALSE)))</f>
        <v>Name</v>
      </c>
      <c r="D2605" s="19" t="str">
        <f>IF(ISBLANK(A2605), "Email",IF(ISNA(VLOOKUP(A2605,'Master List'!A:C,3,FALSE)), "Not Found", VLOOKUP(A2605,'Master List'!A:C,3,FALSE)))</f>
        <v>Email</v>
      </c>
      <c r="F2605" s="4" t="str">
        <f>IF(OR(A2605="",E2605="","",A2605="?",E2605="?"),"duplicate?",IF(COUNTIFS($A:A,A2605,E:E,E2605)&gt;1,"yes","no"))</f>
        <v>duplicate?</v>
      </c>
      <c r="K2605" s="97" t="str">
        <f ca="1">IF(J2605="","Date",IF(J2605&lt;&gt;"",IF(K2605="Date",NOW(),K2605),""))</f>
        <v>Date</v>
      </c>
    </row>
    <row r="2606" spans="2:11">
      <c r="B2606" s="97" t="str">
        <f ca="1">IF(A2606="","Date",IF(A2606&lt;&gt;"",IF(B2606="Date",NOW(),B2606),""))</f>
        <v>Date</v>
      </c>
      <c r="C2606" s="19" t="str">
        <f>IF(ISBLANK(A2606),"Name",IF(ISNA(VLOOKUP(A2606,'Master List'!A:C,2,FALSE)), "Not Found", VLOOKUP(A2606,'Master List'!A:C,2,FALSE)))</f>
        <v>Name</v>
      </c>
      <c r="D2606" s="19" t="str">
        <f>IF(ISBLANK(A2606), "Email",IF(ISNA(VLOOKUP(A2606,'Master List'!A:C,3,FALSE)), "Not Found", VLOOKUP(A2606,'Master List'!A:C,3,FALSE)))</f>
        <v>Email</v>
      </c>
      <c r="F2606" s="4" t="str">
        <f>IF(OR(A2606="",E2606="","",A2606="?",E2606="?"),"duplicate?",IF(COUNTIFS($A:A,A2606,E:E,E2606)&gt;1,"yes","no"))</f>
        <v>duplicate?</v>
      </c>
      <c r="K2606" s="97" t="str">
        <f ca="1">IF(J2606="","Date",IF(J2606&lt;&gt;"",IF(K2606="Date",NOW(),K2606),""))</f>
        <v>Date</v>
      </c>
    </row>
    <row r="2607" spans="2:11">
      <c r="B2607" s="97" t="str">
        <f ca="1">IF(A2607="","Date",IF(A2607&lt;&gt;"",IF(B2607="Date",NOW(),B2607),""))</f>
        <v>Date</v>
      </c>
      <c r="C2607" s="19" t="str">
        <f>IF(ISBLANK(A2607),"Name",IF(ISNA(VLOOKUP(A2607,'Master List'!A:C,2,FALSE)), "Not Found", VLOOKUP(A2607,'Master List'!A:C,2,FALSE)))</f>
        <v>Name</v>
      </c>
      <c r="D2607" s="19" t="str">
        <f>IF(ISBLANK(A2607), "Email",IF(ISNA(VLOOKUP(A2607,'Master List'!A:C,3,FALSE)), "Not Found", VLOOKUP(A2607,'Master List'!A:C,3,FALSE)))</f>
        <v>Email</v>
      </c>
      <c r="F2607" s="4" t="str">
        <f>IF(OR(A2607="",E2607="","",A2607="?",E2607="?"),"duplicate?",IF(COUNTIFS($A:A,A2607,E:E,E2607)&gt;1,"yes","no"))</f>
        <v>duplicate?</v>
      </c>
      <c r="K2607" s="97" t="str">
        <f ca="1">IF(J2607="","Date",IF(J2607&lt;&gt;"",IF(K2607="Date",NOW(),K2607),""))</f>
        <v>Date</v>
      </c>
    </row>
    <row r="2608" spans="2:11">
      <c r="B2608" s="97" t="str">
        <f ca="1">IF(A2608="","Date",IF(A2608&lt;&gt;"",IF(B2608="Date",NOW(),B2608),""))</f>
        <v>Date</v>
      </c>
      <c r="C2608" s="19" t="str">
        <f>IF(ISBLANK(A2608),"Name",IF(ISNA(VLOOKUP(A2608,'Master List'!A:C,2,FALSE)), "Not Found", VLOOKUP(A2608,'Master List'!A:C,2,FALSE)))</f>
        <v>Name</v>
      </c>
      <c r="D2608" s="19" t="str">
        <f>IF(ISBLANK(A2608), "Email",IF(ISNA(VLOOKUP(A2608,'Master List'!A:C,3,FALSE)), "Not Found", VLOOKUP(A2608,'Master List'!A:C,3,FALSE)))</f>
        <v>Email</v>
      </c>
      <c r="F2608" s="4" t="str">
        <f>IF(OR(A2608="",E2608="","",A2608="?",E2608="?"),"duplicate?",IF(COUNTIFS($A:A,A2608,E:E,E2608)&gt;1,"yes","no"))</f>
        <v>duplicate?</v>
      </c>
      <c r="K2608" s="97" t="str">
        <f ca="1">IF(J2608="","Date",IF(J2608&lt;&gt;"",IF(K2608="Date",NOW(),K2608),""))</f>
        <v>Date</v>
      </c>
    </row>
    <row r="2609" spans="2:11">
      <c r="B2609" s="97" t="str">
        <f ca="1">IF(A2609="","Date",IF(A2609&lt;&gt;"",IF(B2609="Date",NOW(),B2609),""))</f>
        <v>Date</v>
      </c>
      <c r="C2609" s="19" t="str">
        <f>IF(ISBLANK(A2609),"Name",IF(ISNA(VLOOKUP(A2609,'Master List'!A:C,2,FALSE)), "Not Found", VLOOKUP(A2609,'Master List'!A:C,2,FALSE)))</f>
        <v>Name</v>
      </c>
      <c r="D2609" s="19" t="str">
        <f>IF(ISBLANK(A2609), "Email",IF(ISNA(VLOOKUP(A2609,'Master List'!A:C,3,FALSE)), "Not Found", VLOOKUP(A2609,'Master List'!A:C,3,FALSE)))</f>
        <v>Email</v>
      </c>
      <c r="F2609" s="4" t="str">
        <f>IF(OR(A2609="",E2609="","",A2609="?",E2609="?"),"duplicate?",IF(COUNTIFS($A:A,A2609,E:E,E2609)&gt;1,"yes","no"))</f>
        <v>duplicate?</v>
      </c>
      <c r="K2609" s="97" t="str">
        <f ca="1">IF(J2609="","Date",IF(J2609&lt;&gt;"",IF(K2609="Date",NOW(),K2609),""))</f>
        <v>Date</v>
      </c>
    </row>
    <row r="2610" spans="2:11">
      <c r="B2610" s="97" t="str">
        <f ca="1">IF(A2610="","Date",IF(A2610&lt;&gt;"",IF(B2610="Date",NOW(),B2610),""))</f>
        <v>Date</v>
      </c>
      <c r="C2610" s="19" t="str">
        <f>IF(ISBLANK(A2610),"Name",IF(ISNA(VLOOKUP(A2610,'Master List'!A:C,2,FALSE)), "Not Found", VLOOKUP(A2610,'Master List'!A:C,2,FALSE)))</f>
        <v>Name</v>
      </c>
      <c r="D2610" s="19" t="str">
        <f>IF(ISBLANK(A2610), "Email",IF(ISNA(VLOOKUP(A2610,'Master List'!A:C,3,FALSE)), "Not Found", VLOOKUP(A2610,'Master List'!A:C,3,FALSE)))</f>
        <v>Email</v>
      </c>
      <c r="F2610" s="4" t="str">
        <f>IF(OR(A2610="",E2610="","",A2610="?",E2610="?"),"duplicate?",IF(COUNTIFS($A:A,A2610,E:E,E2610)&gt;1,"yes","no"))</f>
        <v>duplicate?</v>
      </c>
      <c r="K2610" s="97" t="str">
        <f ca="1">IF(J2610="","Date",IF(J2610&lt;&gt;"",IF(K2610="Date",NOW(),K2610),""))</f>
        <v>Date</v>
      </c>
    </row>
    <row r="2611" spans="2:11">
      <c r="B2611" s="97" t="str">
        <f ca="1">IF(A2611="","Date",IF(A2611&lt;&gt;"",IF(B2611="Date",NOW(),B2611),""))</f>
        <v>Date</v>
      </c>
      <c r="C2611" s="19" t="str">
        <f>IF(ISBLANK(A2611),"Name",IF(ISNA(VLOOKUP(A2611,'Master List'!A:C,2,FALSE)), "Not Found", VLOOKUP(A2611,'Master List'!A:C,2,FALSE)))</f>
        <v>Name</v>
      </c>
      <c r="D2611" s="19" t="str">
        <f>IF(ISBLANK(A2611), "Email",IF(ISNA(VLOOKUP(A2611,'Master List'!A:C,3,FALSE)), "Not Found", VLOOKUP(A2611,'Master List'!A:C,3,FALSE)))</f>
        <v>Email</v>
      </c>
      <c r="F2611" s="4" t="str">
        <f>IF(OR(A2611="",E2611="","",A2611="?",E2611="?"),"duplicate?",IF(COUNTIFS($A:A,A2611,E:E,E2611)&gt;1,"yes","no"))</f>
        <v>duplicate?</v>
      </c>
      <c r="K2611" s="97" t="str">
        <f ca="1">IF(J2611="","Date",IF(J2611&lt;&gt;"",IF(K2611="Date",NOW(),K2611),""))</f>
        <v>Date</v>
      </c>
    </row>
    <row r="2612" spans="2:11">
      <c r="B2612" s="97" t="str">
        <f ca="1">IF(A2612="","Date",IF(A2612&lt;&gt;"",IF(B2612="Date",NOW(),B2612),""))</f>
        <v>Date</v>
      </c>
      <c r="C2612" s="19" t="str">
        <f>IF(ISBLANK(A2612),"Name",IF(ISNA(VLOOKUP(A2612,'Master List'!A:C,2,FALSE)), "Not Found", VLOOKUP(A2612,'Master List'!A:C,2,FALSE)))</f>
        <v>Name</v>
      </c>
      <c r="D2612" s="19" t="str">
        <f>IF(ISBLANK(A2612), "Email",IF(ISNA(VLOOKUP(A2612,'Master List'!A:C,3,FALSE)), "Not Found", VLOOKUP(A2612,'Master List'!A:C,3,FALSE)))</f>
        <v>Email</v>
      </c>
      <c r="F2612" s="4" t="str">
        <f>IF(OR(A2612="",E2612="","",A2612="?",E2612="?"),"duplicate?",IF(COUNTIFS($A:A,A2612,E:E,E2612)&gt;1,"yes","no"))</f>
        <v>duplicate?</v>
      </c>
      <c r="K2612" s="97" t="str">
        <f ca="1">IF(J2612="","Date",IF(J2612&lt;&gt;"",IF(K2612="Date",NOW(),K2612),""))</f>
        <v>Date</v>
      </c>
    </row>
    <row r="2613" spans="2:11">
      <c r="B2613" s="97" t="str">
        <f ca="1">IF(A2613="","Date",IF(A2613&lt;&gt;"",IF(B2613="Date",NOW(),B2613),""))</f>
        <v>Date</v>
      </c>
      <c r="C2613" s="19" t="str">
        <f>IF(ISBLANK(A2613),"Name",IF(ISNA(VLOOKUP(A2613,'Master List'!A:C,2,FALSE)), "Not Found", VLOOKUP(A2613,'Master List'!A:C,2,FALSE)))</f>
        <v>Name</v>
      </c>
      <c r="D2613" s="19" t="str">
        <f>IF(ISBLANK(A2613), "Email",IF(ISNA(VLOOKUP(A2613,'Master List'!A:C,3,FALSE)), "Not Found", VLOOKUP(A2613,'Master List'!A:C,3,FALSE)))</f>
        <v>Email</v>
      </c>
      <c r="F2613" s="4" t="str">
        <f>IF(OR(A2613="",E2613="","",A2613="?",E2613="?"),"duplicate?",IF(COUNTIFS($A:A,A2613,E:E,E2613)&gt;1,"yes","no"))</f>
        <v>duplicate?</v>
      </c>
      <c r="K2613" s="97" t="str">
        <f ca="1">IF(J2613="","Date",IF(J2613&lt;&gt;"",IF(K2613="Date",NOW(),K2613),""))</f>
        <v>Date</v>
      </c>
    </row>
    <row r="2614" spans="2:11">
      <c r="B2614" s="97" t="str">
        <f ca="1">IF(A2614="","Date",IF(A2614&lt;&gt;"",IF(B2614="Date",NOW(),B2614),""))</f>
        <v>Date</v>
      </c>
      <c r="C2614" s="19" t="str">
        <f>IF(ISBLANK(A2614),"Name",IF(ISNA(VLOOKUP(A2614,'Master List'!A:C,2,FALSE)), "Not Found", VLOOKUP(A2614,'Master List'!A:C,2,FALSE)))</f>
        <v>Name</v>
      </c>
      <c r="D2614" s="19" t="str">
        <f>IF(ISBLANK(A2614), "Email",IF(ISNA(VLOOKUP(A2614,'Master List'!A:C,3,FALSE)), "Not Found", VLOOKUP(A2614,'Master List'!A:C,3,FALSE)))</f>
        <v>Email</v>
      </c>
      <c r="F2614" s="4" t="str">
        <f>IF(OR(A2614="",E2614="","",A2614="?",E2614="?"),"duplicate?",IF(COUNTIFS($A:A,A2614,E:E,E2614)&gt;1,"yes","no"))</f>
        <v>duplicate?</v>
      </c>
      <c r="K2614" s="97" t="str">
        <f ca="1">IF(J2614="","Date",IF(J2614&lt;&gt;"",IF(K2614="Date",NOW(),K2614),""))</f>
        <v>Date</v>
      </c>
    </row>
    <row r="2615" spans="2:11">
      <c r="B2615" s="97" t="str">
        <f ca="1">IF(A2615="","Date",IF(A2615&lt;&gt;"",IF(B2615="Date",NOW(),B2615),""))</f>
        <v>Date</v>
      </c>
      <c r="C2615" s="19" t="str">
        <f>IF(ISBLANK(A2615),"Name",IF(ISNA(VLOOKUP(A2615,'Master List'!A:C,2,FALSE)), "Not Found", VLOOKUP(A2615,'Master List'!A:C,2,FALSE)))</f>
        <v>Name</v>
      </c>
      <c r="D2615" s="19" t="str">
        <f>IF(ISBLANK(A2615), "Email",IF(ISNA(VLOOKUP(A2615,'Master List'!A:C,3,FALSE)), "Not Found", VLOOKUP(A2615,'Master List'!A:C,3,FALSE)))</f>
        <v>Email</v>
      </c>
      <c r="F2615" s="4" t="str">
        <f>IF(OR(A2615="",E2615="","",A2615="?",E2615="?"),"duplicate?",IF(COUNTIFS($A:A,A2615,E:E,E2615)&gt;1,"yes","no"))</f>
        <v>duplicate?</v>
      </c>
      <c r="K2615" s="97" t="str">
        <f ca="1">IF(J2615="","Date",IF(J2615&lt;&gt;"",IF(K2615="Date",NOW(),K2615),""))</f>
        <v>Date</v>
      </c>
    </row>
    <row r="2616" spans="2:11">
      <c r="B2616" s="97" t="str">
        <f ca="1">IF(A2616="","Date",IF(A2616&lt;&gt;"",IF(B2616="Date",NOW(),B2616),""))</f>
        <v>Date</v>
      </c>
      <c r="C2616" s="19" t="str">
        <f>IF(ISBLANK(A2616),"Name",IF(ISNA(VLOOKUP(A2616,'Master List'!A:C,2,FALSE)), "Not Found", VLOOKUP(A2616,'Master List'!A:C,2,FALSE)))</f>
        <v>Name</v>
      </c>
      <c r="D2616" s="19" t="str">
        <f>IF(ISBLANK(A2616), "Email",IF(ISNA(VLOOKUP(A2616,'Master List'!A:C,3,FALSE)), "Not Found", VLOOKUP(A2616,'Master List'!A:C,3,FALSE)))</f>
        <v>Email</v>
      </c>
      <c r="F2616" s="4" t="str">
        <f>IF(OR(A2616="",E2616="","",A2616="?",E2616="?"),"duplicate?",IF(COUNTIFS($A:A,A2616,E:E,E2616)&gt;1,"yes","no"))</f>
        <v>duplicate?</v>
      </c>
      <c r="K2616" s="97" t="str">
        <f ca="1">IF(J2616="","Date",IF(J2616&lt;&gt;"",IF(K2616="Date",NOW(),K2616),""))</f>
        <v>Date</v>
      </c>
    </row>
    <row r="2617" spans="2:11">
      <c r="B2617" s="97" t="str">
        <f ca="1">IF(A2617="","Date",IF(A2617&lt;&gt;"",IF(B2617="Date",NOW(),B2617),""))</f>
        <v>Date</v>
      </c>
      <c r="C2617" s="19" t="str">
        <f>IF(ISBLANK(A2617),"Name",IF(ISNA(VLOOKUP(A2617,'Master List'!A:C,2,FALSE)), "Not Found", VLOOKUP(A2617,'Master List'!A:C,2,FALSE)))</f>
        <v>Name</v>
      </c>
      <c r="D2617" s="19" t="str">
        <f>IF(ISBLANK(A2617), "Email",IF(ISNA(VLOOKUP(A2617,'Master List'!A:C,3,FALSE)), "Not Found", VLOOKUP(A2617,'Master List'!A:C,3,FALSE)))</f>
        <v>Email</v>
      </c>
      <c r="F2617" s="4" t="str">
        <f>IF(OR(A2617="",E2617="","",A2617="?",E2617="?"),"duplicate?",IF(COUNTIFS($A:A,A2617,E:E,E2617)&gt;1,"yes","no"))</f>
        <v>duplicate?</v>
      </c>
      <c r="K2617" s="97" t="str">
        <f ca="1">IF(J2617="","Date",IF(J2617&lt;&gt;"",IF(K2617="Date",NOW(),K2617),""))</f>
        <v>Date</v>
      </c>
    </row>
    <row r="2618" spans="2:11">
      <c r="B2618" s="97" t="str">
        <f ca="1">IF(A2618="","Date",IF(A2618&lt;&gt;"",IF(B2618="Date",NOW(),B2618),""))</f>
        <v>Date</v>
      </c>
      <c r="C2618" s="19" t="str">
        <f>IF(ISBLANK(A2618),"Name",IF(ISNA(VLOOKUP(A2618,'Master List'!A:C,2,FALSE)), "Not Found", VLOOKUP(A2618,'Master List'!A:C,2,FALSE)))</f>
        <v>Name</v>
      </c>
      <c r="D2618" s="19" t="str">
        <f>IF(ISBLANK(A2618), "Email",IF(ISNA(VLOOKUP(A2618,'Master List'!A:C,3,FALSE)), "Not Found", VLOOKUP(A2618,'Master List'!A:C,3,FALSE)))</f>
        <v>Email</v>
      </c>
      <c r="F2618" s="4" t="str">
        <f>IF(OR(A2618="",E2618="","",A2618="?",E2618="?"),"duplicate?",IF(COUNTIFS($A:A,A2618,E:E,E2618)&gt;1,"yes","no"))</f>
        <v>duplicate?</v>
      </c>
      <c r="K2618" s="97" t="str">
        <f ca="1">IF(J2618="","Date",IF(J2618&lt;&gt;"",IF(K2618="Date",NOW(),K2618),""))</f>
        <v>Date</v>
      </c>
    </row>
    <row r="2619" spans="2:11">
      <c r="B2619" s="97" t="str">
        <f ca="1">IF(A2619="","Date",IF(A2619&lt;&gt;"",IF(B2619="Date",NOW(),B2619),""))</f>
        <v>Date</v>
      </c>
      <c r="C2619" s="19" t="str">
        <f>IF(ISBLANK(A2619),"Name",IF(ISNA(VLOOKUP(A2619,'Master List'!A:C,2,FALSE)), "Not Found", VLOOKUP(A2619,'Master List'!A:C,2,FALSE)))</f>
        <v>Name</v>
      </c>
      <c r="D2619" s="19" t="str">
        <f>IF(ISBLANK(A2619), "Email",IF(ISNA(VLOOKUP(A2619,'Master List'!A:C,3,FALSE)), "Not Found", VLOOKUP(A2619,'Master List'!A:C,3,FALSE)))</f>
        <v>Email</v>
      </c>
      <c r="F2619" s="4" t="str">
        <f>IF(OR(A2619="",E2619="","",A2619="?",E2619="?"),"duplicate?",IF(COUNTIFS($A:A,A2619,E:E,E2619)&gt;1,"yes","no"))</f>
        <v>duplicate?</v>
      </c>
      <c r="K2619" s="97" t="str">
        <f ca="1">IF(J2619="","Date",IF(J2619&lt;&gt;"",IF(K2619="Date",NOW(),K2619),""))</f>
        <v>Date</v>
      </c>
    </row>
    <row r="2620" spans="2:11">
      <c r="B2620" s="97" t="str">
        <f ca="1">IF(A2620="","Date",IF(A2620&lt;&gt;"",IF(B2620="Date",NOW(),B2620),""))</f>
        <v>Date</v>
      </c>
      <c r="C2620" s="19" t="str">
        <f>IF(ISBLANK(A2620),"Name",IF(ISNA(VLOOKUP(A2620,'Master List'!A:C,2,FALSE)), "Not Found", VLOOKUP(A2620,'Master List'!A:C,2,FALSE)))</f>
        <v>Name</v>
      </c>
      <c r="D2620" s="19" t="str">
        <f>IF(ISBLANK(A2620), "Email",IF(ISNA(VLOOKUP(A2620,'Master List'!A:C,3,FALSE)), "Not Found", VLOOKUP(A2620,'Master List'!A:C,3,FALSE)))</f>
        <v>Email</v>
      </c>
      <c r="F2620" s="4" t="str">
        <f>IF(OR(A2620="",E2620="","",A2620="?",E2620="?"),"duplicate?",IF(COUNTIFS($A:A,A2620,E:E,E2620)&gt;1,"yes","no"))</f>
        <v>duplicate?</v>
      </c>
      <c r="K2620" s="97" t="str">
        <f ca="1">IF(J2620="","Date",IF(J2620&lt;&gt;"",IF(K2620="Date",NOW(),K2620),""))</f>
        <v>Date</v>
      </c>
    </row>
    <row r="2621" spans="2:11">
      <c r="B2621" s="97" t="str">
        <f ca="1">IF(A2621="","Date",IF(A2621&lt;&gt;"",IF(B2621="Date",NOW(),B2621),""))</f>
        <v>Date</v>
      </c>
      <c r="C2621" s="19" t="str">
        <f>IF(ISBLANK(A2621),"Name",IF(ISNA(VLOOKUP(A2621,'Master List'!A:C,2,FALSE)), "Not Found", VLOOKUP(A2621,'Master List'!A:C,2,FALSE)))</f>
        <v>Name</v>
      </c>
      <c r="D2621" s="19" t="str">
        <f>IF(ISBLANK(A2621), "Email",IF(ISNA(VLOOKUP(A2621,'Master List'!A:C,3,FALSE)), "Not Found", VLOOKUP(A2621,'Master List'!A:C,3,FALSE)))</f>
        <v>Email</v>
      </c>
      <c r="F2621" s="4" t="str">
        <f>IF(OR(A2621="",E2621="","",A2621="?",E2621="?"),"duplicate?",IF(COUNTIFS($A:A,A2621,E:E,E2621)&gt;1,"yes","no"))</f>
        <v>duplicate?</v>
      </c>
      <c r="K2621" s="97" t="str">
        <f ca="1">IF(J2621="","Date",IF(J2621&lt;&gt;"",IF(K2621="Date",NOW(),K2621),""))</f>
        <v>Date</v>
      </c>
    </row>
    <row r="2622" spans="2:11">
      <c r="B2622" s="97" t="str">
        <f ca="1">IF(A2622="","Date",IF(A2622&lt;&gt;"",IF(B2622="Date",NOW(),B2622),""))</f>
        <v>Date</v>
      </c>
      <c r="C2622" s="19" t="str">
        <f>IF(ISBLANK(A2622),"Name",IF(ISNA(VLOOKUP(A2622,'Master List'!A:C,2,FALSE)), "Not Found", VLOOKUP(A2622,'Master List'!A:C,2,FALSE)))</f>
        <v>Name</v>
      </c>
      <c r="D2622" s="19" t="str">
        <f>IF(ISBLANK(A2622), "Email",IF(ISNA(VLOOKUP(A2622,'Master List'!A:C,3,FALSE)), "Not Found", VLOOKUP(A2622,'Master List'!A:C,3,FALSE)))</f>
        <v>Email</v>
      </c>
      <c r="F2622" s="4" t="str">
        <f>IF(OR(A2622="",E2622="","",A2622="?",E2622="?"),"duplicate?",IF(COUNTIFS($A:A,A2622,E:E,E2622)&gt;1,"yes","no"))</f>
        <v>duplicate?</v>
      </c>
      <c r="K2622" s="97" t="str">
        <f ca="1">IF(J2622="","Date",IF(J2622&lt;&gt;"",IF(K2622="Date",NOW(),K2622),""))</f>
        <v>Date</v>
      </c>
    </row>
    <row r="2623" spans="2:11">
      <c r="B2623" s="97" t="str">
        <f ca="1">IF(A2623="","Date",IF(A2623&lt;&gt;"",IF(B2623="Date",NOW(),B2623),""))</f>
        <v>Date</v>
      </c>
      <c r="C2623" s="19" t="str">
        <f>IF(ISBLANK(A2623),"Name",IF(ISNA(VLOOKUP(A2623,'Master List'!A:C,2,FALSE)), "Not Found", VLOOKUP(A2623,'Master List'!A:C,2,FALSE)))</f>
        <v>Name</v>
      </c>
      <c r="D2623" s="19" t="str">
        <f>IF(ISBLANK(A2623), "Email",IF(ISNA(VLOOKUP(A2623,'Master List'!A:C,3,FALSE)), "Not Found", VLOOKUP(A2623,'Master List'!A:C,3,FALSE)))</f>
        <v>Email</v>
      </c>
      <c r="F2623" s="4" t="str">
        <f>IF(OR(A2623="",E2623="","",A2623="?",E2623="?"),"duplicate?",IF(COUNTIFS($A:A,A2623,E:E,E2623)&gt;1,"yes","no"))</f>
        <v>duplicate?</v>
      </c>
      <c r="K2623" s="97" t="str">
        <f ca="1">IF(J2623="","Date",IF(J2623&lt;&gt;"",IF(K2623="Date",NOW(),K2623),""))</f>
        <v>Date</v>
      </c>
    </row>
    <row r="2624" spans="2:11">
      <c r="B2624" s="97" t="str">
        <f ca="1">IF(A2624="","Date",IF(A2624&lt;&gt;"",IF(B2624="Date",NOW(),B2624),""))</f>
        <v>Date</v>
      </c>
      <c r="C2624" s="19" t="str">
        <f>IF(ISBLANK(A2624),"Name",IF(ISNA(VLOOKUP(A2624,'Master List'!A:C,2,FALSE)), "Not Found", VLOOKUP(A2624,'Master List'!A:C,2,FALSE)))</f>
        <v>Name</v>
      </c>
      <c r="D2624" s="19" t="str">
        <f>IF(ISBLANK(A2624), "Email",IF(ISNA(VLOOKUP(A2624,'Master List'!A:C,3,FALSE)), "Not Found", VLOOKUP(A2624,'Master List'!A:C,3,FALSE)))</f>
        <v>Email</v>
      </c>
      <c r="F2624" s="4" t="str">
        <f>IF(OR(A2624="",E2624="","",A2624="?",E2624="?"),"duplicate?",IF(COUNTIFS($A:A,A2624,E:E,E2624)&gt;1,"yes","no"))</f>
        <v>duplicate?</v>
      </c>
      <c r="K2624" s="97" t="str">
        <f ca="1">IF(J2624="","Date",IF(J2624&lt;&gt;"",IF(K2624="Date",NOW(),K2624),""))</f>
        <v>Date</v>
      </c>
    </row>
    <row r="2625" spans="2:11">
      <c r="B2625" s="97" t="str">
        <f ca="1">IF(A2625="","Date",IF(A2625&lt;&gt;"",IF(B2625="Date",NOW(),B2625),""))</f>
        <v>Date</v>
      </c>
      <c r="C2625" s="19" t="str">
        <f>IF(ISBLANK(A2625),"Name",IF(ISNA(VLOOKUP(A2625,'Master List'!A:C,2,FALSE)), "Not Found", VLOOKUP(A2625,'Master List'!A:C,2,FALSE)))</f>
        <v>Name</v>
      </c>
      <c r="D2625" s="19" t="str">
        <f>IF(ISBLANK(A2625), "Email",IF(ISNA(VLOOKUP(A2625,'Master List'!A:C,3,FALSE)), "Not Found", VLOOKUP(A2625,'Master List'!A:C,3,FALSE)))</f>
        <v>Email</v>
      </c>
      <c r="F2625" s="4" t="str">
        <f>IF(OR(A2625="",E2625="","",A2625="?",E2625="?"),"duplicate?",IF(COUNTIFS($A:A,A2625,E:E,E2625)&gt;1,"yes","no"))</f>
        <v>duplicate?</v>
      </c>
      <c r="K2625" s="97" t="str">
        <f ca="1">IF(J2625="","Date",IF(J2625&lt;&gt;"",IF(K2625="Date",NOW(),K2625),""))</f>
        <v>Date</v>
      </c>
    </row>
    <row r="2626" spans="2:11">
      <c r="B2626" s="97" t="str">
        <f ca="1">IF(A2626="","Date",IF(A2626&lt;&gt;"",IF(B2626="Date",NOW(),B2626),""))</f>
        <v>Date</v>
      </c>
      <c r="C2626" s="19" t="str">
        <f>IF(ISBLANK(A2626),"Name",IF(ISNA(VLOOKUP(A2626,'Master List'!A:C,2,FALSE)), "Not Found", VLOOKUP(A2626,'Master List'!A:C,2,FALSE)))</f>
        <v>Name</v>
      </c>
      <c r="D2626" s="19" t="str">
        <f>IF(ISBLANK(A2626), "Email",IF(ISNA(VLOOKUP(A2626,'Master List'!A:C,3,FALSE)), "Not Found", VLOOKUP(A2626,'Master List'!A:C,3,FALSE)))</f>
        <v>Email</v>
      </c>
      <c r="F2626" s="4" t="str">
        <f>IF(OR(A2626="",E2626="","",A2626="?",E2626="?"),"duplicate?",IF(COUNTIFS($A:A,A2626,E:E,E2626)&gt;1,"yes","no"))</f>
        <v>duplicate?</v>
      </c>
      <c r="K2626" s="97" t="str">
        <f ca="1">IF(J2626="","Date",IF(J2626&lt;&gt;"",IF(K2626="Date",NOW(),K2626),""))</f>
        <v>Date</v>
      </c>
    </row>
    <row r="2627" spans="2:11">
      <c r="B2627" s="97" t="str">
        <f ca="1">IF(A2627="","Date",IF(A2627&lt;&gt;"",IF(B2627="Date",NOW(),B2627),""))</f>
        <v>Date</v>
      </c>
      <c r="C2627" s="19" t="str">
        <f>IF(ISBLANK(A2627),"Name",IF(ISNA(VLOOKUP(A2627,'Master List'!A:C,2,FALSE)), "Not Found", VLOOKUP(A2627,'Master List'!A:C,2,FALSE)))</f>
        <v>Name</v>
      </c>
      <c r="D2627" s="19" t="str">
        <f>IF(ISBLANK(A2627), "Email",IF(ISNA(VLOOKUP(A2627,'Master List'!A:C,3,FALSE)), "Not Found", VLOOKUP(A2627,'Master List'!A:C,3,FALSE)))</f>
        <v>Email</v>
      </c>
      <c r="F2627" s="4" t="str">
        <f>IF(OR(A2627="",E2627="","",A2627="?",E2627="?"),"duplicate?",IF(COUNTIFS($A:A,A2627,E:E,E2627)&gt;1,"yes","no"))</f>
        <v>duplicate?</v>
      </c>
      <c r="K2627" s="97" t="str">
        <f ca="1">IF(J2627="","Date",IF(J2627&lt;&gt;"",IF(K2627="Date",NOW(),K2627),""))</f>
        <v>Date</v>
      </c>
    </row>
    <row r="2628" spans="2:11">
      <c r="B2628" s="97" t="str">
        <f ca="1">IF(A2628="","Date",IF(A2628&lt;&gt;"",IF(B2628="Date",NOW(),B2628),""))</f>
        <v>Date</v>
      </c>
      <c r="C2628" s="19" t="str">
        <f>IF(ISBLANK(A2628),"Name",IF(ISNA(VLOOKUP(A2628,'Master List'!A:C,2,FALSE)), "Not Found", VLOOKUP(A2628,'Master List'!A:C,2,FALSE)))</f>
        <v>Name</v>
      </c>
      <c r="D2628" s="19" t="str">
        <f>IF(ISBLANK(A2628), "Email",IF(ISNA(VLOOKUP(A2628,'Master List'!A:C,3,FALSE)), "Not Found", VLOOKUP(A2628,'Master List'!A:C,3,FALSE)))</f>
        <v>Email</v>
      </c>
      <c r="F2628" s="4" t="str">
        <f>IF(OR(A2628="",E2628="","",A2628="?",E2628="?"),"duplicate?",IF(COUNTIFS($A:A,A2628,E:E,E2628)&gt;1,"yes","no"))</f>
        <v>duplicate?</v>
      </c>
      <c r="K2628" s="97" t="str">
        <f ca="1">IF(J2628="","Date",IF(J2628&lt;&gt;"",IF(K2628="Date",NOW(),K2628),""))</f>
        <v>Date</v>
      </c>
    </row>
    <row r="2629" spans="2:11">
      <c r="B2629" s="97" t="str">
        <f ca="1">IF(A2629="","Date",IF(A2629&lt;&gt;"",IF(B2629="Date",NOW(),B2629),""))</f>
        <v>Date</v>
      </c>
      <c r="C2629" s="19" t="str">
        <f>IF(ISBLANK(A2629),"Name",IF(ISNA(VLOOKUP(A2629,'Master List'!A:C,2,FALSE)), "Not Found", VLOOKUP(A2629,'Master List'!A:C,2,FALSE)))</f>
        <v>Name</v>
      </c>
      <c r="D2629" s="19" t="str">
        <f>IF(ISBLANK(A2629), "Email",IF(ISNA(VLOOKUP(A2629,'Master List'!A:C,3,FALSE)), "Not Found", VLOOKUP(A2629,'Master List'!A:C,3,FALSE)))</f>
        <v>Email</v>
      </c>
      <c r="F2629" s="4" t="str">
        <f>IF(OR(A2629="",E2629="","",A2629="?",E2629="?"),"duplicate?",IF(COUNTIFS($A:A,A2629,E:E,E2629)&gt;1,"yes","no"))</f>
        <v>duplicate?</v>
      </c>
      <c r="K2629" s="97" t="str">
        <f ca="1">IF(J2629="","Date",IF(J2629&lt;&gt;"",IF(K2629="Date",NOW(),K2629),""))</f>
        <v>Date</v>
      </c>
    </row>
    <row r="2630" spans="2:11">
      <c r="B2630" s="97" t="str">
        <f ca="1">IF(A2630="","Date",IF(A2630&lt;&gt;"",IF(B2630="Date",NOW(),B2630),""))</f>
        <v>Date</v>
      </c>
      <c r="C2630" s="19" t="str">
        <f>IF(ISBLANK(A2630),"Name",IF(ISNA(VLOOKUP(A2630,'Master List'!A:C,2,FALSE)), "Not Found", VLOOKUP(A2630,'Master List'!A:C,2,FALSE)))</f>
        <v>Name</v>
      </c>
      <c r="D2630" s="19" t="str">
        <f>IF(ISBLANK(A2630), "Email",IF(ISNA(VLOOKUP(A2630,'Master List'!A:C,3,FALSE)), "Not Found", VLOOKUP(A2630,'Master List'!A:C,3,FALSE)))</f>
        <v>Email</v>
      </c>
      <c r="F2630" s="4" t="str">
        <f>IF(OR(A2630="",E2630="","",A2630="?",E2630="?"),"duplicate?",IF(COUNTIFS($A:A,A2630,E:E,E2630)&gt;1,"yes","no"))</f>
        <v>duplicate?</v>
      </c>
      <c r="K2630" s="97" t="str">
        <f ca="1">IF(J2630="","Date",IF(J2630&lt;&gt;"",IF(K2630="Date",NOW(),K2630),""))</f>
        <v>Date</v>
      </c>
    </row>
    <row r="2631" spans="2:11">
      <c r="B2631" s="97" t="str">
        <f ca="1">IF(A2631="","Date",IF(A2631&lt;&gt;"",IF(B2631="Date",NOW(),B2631),""))</f>
        <v>Date</v>
      </c>
      <c r="C2631" s="19" t="str">
        <f>IF(ISBLANK(A2631),"Name",IF(ISNA(VLOOKUP(A2631,'Master List'!A:C,2,FALSE)), "Not Found", VLOOKUP(A2631,'Master List'!A:C,2,FALSE)))</f>
        <v>Name</v>
      </c>
      <c r="D2631" s="19" t="str">
        <f>IF(ISBLANK(A2631), "Email",IF(ISNA(VLOOKUP(A2631,'Master List'!A:C,3,FALSE)), "Not Found", VLOOKUP(A2631,'Master List'!A:C,3,FALSE)))</f>
        <v>Email</v>
      </c>
      <c r="F2631" s="4" t="str">
        <f>IF(OR(A2631="",E2631="","",A2631="?",E2631="?"),"duplicate?",IF(COUNTIFS($A:A,A2631,E:E,E2631)&gt;1,"yes","no"))</f>
        <v>duplicate?</v>
      </c>
      <c r="K2631" s="97" t="str">
        <f ca="1">IF(J2631="","Date",IF(J2631&lt;&gt;"",IF(K2631="Date",NOW(),K2631),""))</f>
        <v>Date</v>
      </c>
    </row>
    <row r="2632" spans="2:11">
      <c r="B2632" s="97" t="str">
        <f ca="1">IF(A2632="","Date",IF(A2632&lt;&gt;"",IF(B2632="Date",NOW(),B2632),""))</f>
        <v>Date</v>
      </c>
      <c r="C2632" s="19" t="str">
        <f>IF(ISBLANK(A2632),"Name",IF(ISNA(VLOOKUP(A2632,'Master List'!A:C,2,FALSE)), "Not Found", VLOOKUP(A2632,'Master List'!A:C,2,FALSE)))</f>
        <v>Name</v>
      </c>
      <c r="D2632" s="19" t="str">
        <f>IF(ISBLANK(A2632), "Email",IF(ISNA(VLOOKUP(A2632,'Master List'!A:C,3,FALSE)), "Not Found", VLOOKUP(A2632,'Master List'!A:C,3,FALSE)))</f>
        <v>Email</v>
      </c>
      <c r="F2632" s="4" t="str">
        <f>IF(OR(A2632="",E2632="","",A2632="?",E2632="?"),"duplicate?",IF(COUNTIFS($A:A,A2632,E:E,E2632)&gt;1,"yes","no"))</f>
        <v>duplicate?</v>
      </c>
      <c r="K2632" s="97" t="str">
        <f ca="1">IF(J2632="","Date",IF(J2632&lt;&gt;"",IF(K2632="Date",NOW(),K2632),""))</f>
        <v>Date</v>
      </c>
    </row>
    <row r="2633" spans="2:11">
      <c r="B2633" s="97" t="str">
        <f ca="1">IF(A2633="","Date",IF(A2633&lt;&gt;"",IF(B2633="Date",NOW(),B2633),""))</f>
        <v>Date</v>
      </c>
      <c r="C2633" s="19" t="str">
        <f>IF(ISBLANK(A2633),"Name",IF(ISNA(VLOOKUP(A2633,'Master List'!A:C,2,FALSE)), "Not Found", VLOOKUP(A2633,'Master List'!A:C,2,FALSE)))</f>
        <v>Name</v>
      </c>
      <c r="D2633" s="19" t="str">
        <f>IF(ISBLANK(A2633), "Email",IF(ISNA(VLOOKUP(A2633,'Master List'!A:C,3,FALSE)), "Not Found", VLOOKUP(A2633,'Master List'!A:C,3,FALSE)))</f>
        <v>Email</v>
      </c>
      <c r="F2633" s="4" t="str">
        <f>IF(OR(A2633="",E2633="","",A2633="?",E2633="?"),"duplicate?",IF(COUNTIFS($A:A,A2633,E:E,E2633)&gt;1,"yes","no"))</f>
        <v>duplicate?</v>
      </c>
      <c r="K2633" s="97" t="str">
        <f ca="1">IF(J2633="","Date",IF(J2633&lt;&gt;"",IF(K2633="Date",NOW(),K2633),""))</f>
        <v>Date</v>
      </c>
    </row>
    <row r="2634" spans="2:11">
      <c r="B2634" s="97" t="str">
        <f ca="1">IF(A2634="","Date",IF(A2634&lt;&gt;"",IF(B2634="Date",NOW(),B2634),""))</f>
        <v>Date</v>
      </c>
      <c r="C2634" s="19" t="str">
        <f>IF(ISBLANK(A2634),"Name",IF(ISNA(VLOOKUP(A2634,'Master List'!A:C,2,FALSE)), "Not Found", VLOOKUP(A2634,'Master List'!A:C,2,FALSE)))</f>
        <v>Name</v>
      </c>
      <c r="D2634" s="19" t="str">
        <f>IF(ISBLANK(A2634), "Email",IF(ISNA(VLOOKUP(A2634,'Master List'!A:C,3,FALSE)), "Not Found", VLOOKUP(A2634,'Master List'!A:C,3,FALSE)))</f>
        <v>Email</v>
      </c>
      <c r="F2634" s="4" t="str">
        <f>IF(OR(A2634="",E2634="","",A2634="?",E2634="?"),"duplicate?",IF(COUNTIFS($A:A,A2634,E:E,E2634)&gt;1,"yes","no"))</f>
        <v>duplicate?</v>
      </c>
      <c r="K2634" s="97" t="str">
        <f ca="1">IF(J2634="","Date",IF(J2634&lt;&gt;"",IF(K2634="Date",NOW(),K2634),""))</f>
        <v>Date</v>
      </c>
    </row>
    <row r="2635" spans="2:11">
      <c r="B2635" s="97" t="str">
        <f ca="1">IF(A2635="","Date",IF(A2635&lt;&gt;"",IF(B2635="Date",NOW(),B2635),""))</f>
        <v>Date</v>
      </c>
      <c r="C2635" s="19" t="str">
        <f>IF(ISBLANK(A2635),"Name",IF(ISNA(VLOOKUP(A2635,'Master List'!A:C,2,FALSE)), "Not Found", VLOOKUP(A2635,'Master List'!A:C,2,FALSE)))</f>
        <v>Name</v>
      </c>
      <c r="D2635" s="19" t="str">
        <f>IF(ISBLANK(A2635), "Email",IF(ISNA(VLOOKUP(A2635,'Master List'!A:C,3,FALSE)), "Not Found", VLOOKUP(A2635,'Master List'!A:C,3,FALSE)))</f>
        <v>Email</v>
      </c>
      <c r="F2635" s="4" t="str">
        <f>IF(OR(A2635="",E2635="","",A2635="?",E2635="?"),"duplicate?",IF(COUNTIFS($A:A,A2635,E:E,E2635)&gt;1,"yes","no"))</f>
        <v>duplicate?</v>
      </c>
      <c r="K2635" s="97" t="str">
        <f ca="1">IF(J2635="","Date",IF(J2635&lt;&gt;"",IF(K2635="Date",NOW(),K2635),""))</f>
        <v>Date</v>
      </c>
    </row>
    <row r="2636" spans="2:11">
      <c r="B2636" s="97" t="str">
        <f ca="1">IF(A2636="","Date",IF(A2636&lt;&gt;"",IF(B2636="Date",NOW(),B2636),""))</f>
        <v>Date</v>
      </c>
      <c r="C2636" s="19" t="str">
        <f>IF(ISBLANK(A2636),"Name",IF(ISNA(VLOOKUP(A2636,'Master List'!A:C,2,FALSE)), "Not Found", VLOOKUP(A2636,'Master List'!A:C,2,FALSE)))</f>
        <v>Name</v>
      </c>
      <c r="D2636" s="19" t="str">
        <f>IF(ISBLANK(A2636), "Email",IF(ISNA(VLOOKUP(A2636,'Master List'!A:C,3,FALSE)), "Not Found", VLOOKUP(A2636,'Master List'!A:C,3,FALSE)))</f>
        <v>Email</v>
      </c>
      <c r="F2636" s="4" t="str">
        <f>IF(OR(A2636="",E2636="","",A2636="?",E2636="?"),"duplicate?",IF(COUNTIFS($A:A,A2636,E:E,E2636)&gt;1,"yes","no"))</f>
        <v>duplicate?</v>
      </c>
      <c r="K2636" s="97" t="str">
        <f ca="1">IF(J2636="","Date",IF(J2636&lt;&gt;"",IF(K2636="Date",NOW(),K2636),""))</f>
        <v>Date</v>
      </c>
    </row>
    <row r="2637" spans="2:11">
      <c r="B2637" s="97" t="str">
        <f ca="1">IF(A2637="","Date",IF(A2637&lt;&gt;"",IF(B2637="Date",NOW(),B2637),""))</f>
        <v>Date</v>
      </c>
      <c r="C2637" s="19" t="str">
        <f>IF(ISBLANK(A2637),"Name",IF(ISNA(VLOOKUP(A2637,'Master List'!A:C,2,FALSE)), "Not Found", VLOOKUP(A2637,'Master List'!A:C,2,FALSE)))</f>
        <v>Name</v>
      </c>
      <c r="D2637" s="19" t="str">
        <f>IF(ISBLANK(A2637), "Email",IF(ISNA(VLOOKUP(A2637,'Master List'!A:C,3,FALSE)), "Not Found", VLOOKUP(A2637,'Master List'!A:C,3,FALSE)))</f>
        <v>Email</v>
      </c>
      <c r="F2637" s="4" t="str">
        <f>IF(OR(A2637="",E2637="","",A2637="?",E2637="?"),"duplicate?",IF(COUNTIFS($A:A,A2637,E:E,E2637)&gt;1,"yes","no"))</f>
        <v>duplicate?</v>
      </c>
      <c r="K2637" s="97" t="str">
        <f ca="1">IF(J2637="","Date",IF(J2637&lt;&gt;"",IF(K2637="Date",NOW(),K2637),""))</f>
        <v>Date</v>
      </c>
    </row>
    <row r="2638" spans="2:11">
      <c r="B2638" s="97" t="str">
        <f ca="1">IF(A2638="","Date",IF(A2638&lt;&gt;"",IF(B2638="Date",NOW(),B2638),""))</f>
        <v>Date</v>
      </c>
      <c r="C2638" s="19" t="str">
        <f>IF(ISBLANK(A2638),"Name",IF(ISNA(VLOOKUP(A2638,'Master List'!A:C,2,FALSE)), "Not Found", VLOOKUP(A2638,'Master List'!A:C,2,FALSE)))</f>
        <v>Name</v>
      </c>
      <c r="D2638" s="19" t="str">
        <f>IF(ISBLANK(A2638), "Email",IF(ISNA(VLOOKUP(A2638,'Master List'!A:C,3,FALSE)), "Not Found", VLOOKUP(A2638,'Master List'!A:C,3,FALSE)))</f>
        <v>Email</v>
      </c>
      <c r="F2638" s="4" t="str">
        <f>IF(OR(A2638="",E2638="","",A2638="?",E2638="?"),"duplicate?",IF(COUNTIFS($A:A,A2638,E:E,E2638)&gt;1,"yes","no"))</f>
        <v>duplicate?</v>
      </c>
      <c r="K2638" s="97" t="str">
        <f ca="1">IF(J2638="","Date",IF(J2638&lt;&gt;"",IF(K2638="Date",NOW(),K2638),""))</f>
        <v>Date</v>
      </c>
    </row>
    <row r="2639" spans="2:11">
      <c r="B2639" s="97" t="str">
        <f ca="1">IF(A2639="","Date",IF(A2639&lt;&gt;"",IF(B2639="Date",NOW(),B2639),""))</f>
        <v>Date</v>
      </c>
      <c r="C2639" s="19" t="str">
        <f>IF(ISBLANK(A2639),"Name",IF(ISNA(VLOOKUP(A2639,'Master List'!A:C,2,FALSE)), "Not Found", VLOOKUP(A2639,'Master List'!A:C,2,FALSE)))</f>
        <v>Name</v>
      </c>
      <c r="D2639" s="19" t="str">
        <f>IF(ISBLANK(A2639), "Email",IF(ISNA(VLOOKUP(A2639,'Master List'!A:C,3,FALSE)), "Not Found", VLOOKUP(A2639,'Master List'!A:C,3,FALSE)))</f>
        <v>Email</v>
      </c>
      <c r="F2639" s="4" t="str">
        <f>IF(OR(A2639="",E2639="","",A2639="?",E2639="?"),"duplicate?",IF(COUNTIFS($A:A,A2639,E:E,E2639)&gt;1,"yes","no"))</f>
        <v>duplicate?</v>
      </c>
      <c r="K2639" s="97" t="str">
        <f ca="1">IF(J2639="","Date",IF(J2639&lt;&gt;"",IF(K2639="Date",NOW(),K2639),""))</f>
        <v>Date</v>
      </c>
    </row>
    <row r="2640" spans="2:11">
      <c r="B2640" s="97" t="str">
        <f ca="1">IF(A2640="","Date",IF(A2640&lt;&gt;"",IF(B2640="Date",NOW(),B2640),""))</f>
        <v>Date</v>
      </c>
      <c r="C2640" s="19" t="str">
        <f>IF(ISBLANK(A2640),"Name",IF(ISNA(VLOOKUP(A2640,'Master List'!A:C,2,FALSE)), "Not Found", VLOOKUP(A2640,'Master List'!A:C,2,FALSE)))</f>
        <v>Name</v>
      </c>
      <c r="D2640" s="19" t="str">
        <f>IF(ISBLANK(A2640), "Email",IF(ISNA(VLOOKUP(A2640,'Master List'!A:C,3,FALSE)), "Not Found", VLOOKUP(A2640,'Master List'!A:C,3,FALSE)))</f>
        <v>Email</v>
      </c>
      <c r="F2640" s="4" t="str">
        <f>IF(OR(A2640="",E2640="","",A2640="?",E2640="?"),"duplicate?",IF(COUNTIFS($A:A,A2640,E:E,E2640)&gt;1,"yes","no"))</f>
        <v>duplicate?</v>
      </c>
      <c r="K2640" s="97" t="str">
        <f ca="1">IF(J2640="","Date",IF(J2640&lt;&gt;"",IF(K2640="Date",NOW(),K2640),""))</f>
        <v>Date</v>
      </c>
    </row>
    <row r="2641" spans="2:11">
      <c r="B2641" s="97" t="str">
        <f ca="1">IF(A2641="","Date",IF(A2641&lt;&gt;"",IF(B2641="Date",NOW(),B2641),""))</f>
        <v>Date</v>
      </c>
      <c r="C2641" s="19" t="str">
        <f>IF(ISBLANK(A2641),"Name",IF(ISNA(VLOOKUP(A2641,'Master List'!A:C,2,FALSE)), "Not Found", VLOOKUP(A2641,'Master List'!A:C,2,FALSE)))</f>
        <v>Name</v>
      </c>
      <c r="D2641" s="19" t="str">
        <f>IF(ISBLANK(A2641), "Email",IF(ISNA(VLOOKUP(A2641,'Master List'!A:C,3,FALSE)), "Not Found", VLOOKUP(A2641,'Master List'!A:C,3,FALSE)))</f>
        <v>Email</v>
      </c>
      <c r="F2641" s="4" t="str">
        <f>IF(OR(A2641="",E2641="","",A2641="?",E2641="?"),"duplicate?",IF(COUNTIFS($A:A,A2641,E:E,E2641)&gt;1,"yes","no"))</f>
        <v>duplicate?</v>
      </c>
      <c r="K2641" s="97" t="str">
        <f ca="1">IF(J2641="","Date",IF(J2641&lt;&gt;"",IF(K2641="Date",NOW(),K2641),""))</f>
        <v>Date</v>
      </c>
    </row>
    <row r="2642" spans="2:11">
      <c r="B2642" s="97" t="str">
        <f ca="1">IF(A2642="","Date",IF(A2642&lt;&gt;"",IF(B2642="Date",NOW(),B2642),""))</f>
        <v>Date</v>
      </c>
      <c r="C2642" s="19" t="str">
        <f>IF(ISBLANK(A2642),"Name",IF(ISNA(VLOOKUP(A2642,'Master List'!A:C,2,FALSE)), "Not Found", VLOOKUP(A2642,'Master List'!A:C,2,FALSE)))</f>
        <v>Name</v>
      </c>
      <c r="D2642" s="19" t="str">
        <f>IF(ISBLANK(A2642), "Email",IF(ISNA(VLOOKUP(A2642,'Master List'!A:C,3,FALSE)), "Not Found", VLOOKUP(A2642,'Master List'!A:C,3,FALSE)))</f>
        <v>Email</v>
      </c>
      <c r="F2642" s="4" t="str">
        <f>IF(OR(A2642="",E2642="","",A2642="?",E2642="?"),"duplicate?",IF(COUNTIFS($A:A,A2642,E:E,E2642)&gt;1,"yes","no"))</f>
        <v>duplicate?</v>
      </c>
      <c r="K2642" s="97" t="str">
        <f ca="1">IF(J2642="","Date",IF(J2642&lt;&gt;"",IF(K2642="Date",NOW(),K2642),""))</f>
        <v>Date</v>
      </c>
    </row>
    <row r="2643" spans="2:11">
      <c r="B2643" s="97" t="str">
        <f ca="1">IF(A2643="","Date",IF(A2643&lt;&gt;"",IF(B2643="Date",NOW(),B2643),""))</f>
        <v>Date</v>
      </c>
      <c r="C2643" s="19" t="str">
        <f>IF(ISBLANK(A2643),"Name",IF(ISNA(VLOOKUP(A2643,'Master List'!A:C,2,FALSE)), "Not Found", VLOOKUP(A2643,'Master List'!A:C,2,FALSE)))</f>
        <v>Name</v>
      </c>
      <c r="D2643" s="19" t="str">
        <f>IF(ISBLANK(A2643), "Email",IF(ISNA(VLOOKUP(A2643,'Master List'!A:C,3,FALSE)), "Not Found", VLOOKUP(A2643,'Master List'!A:C,3,FALSE)))</f>
        <v>Email</v>
      </c>
      <c r="F2643" s="4" t="str">
        <f>IF(OR(A2643="",E2643="","",A2643="?",E2643="?"),"duplicate?",IF(COUNTIFS($A:A,A2643,E:E,E2643)&gt;1,"yes","no"))</f>
        <v>duplicate?</v>
      </c>
      <c r="K2643" s="97" t="str">
        <f ca="1">IF(J2643="","Date",IF(J2643&lt;&gt;"",IF(K2643="Date",NOW(),K2643),""))</f>
        <v>Date</v>
      </c>
    </row>
    <row r="2644" spans="2:11">
      <c r="B2644" s="97" t="str">
        <f ca="1">IF(A2644="","Date",IF(A2644&lt;&gt;"",IF(B2644="Date",NOW(),B2644),""))</f>
        <v>Date</v>
      </c>
      <c r="C2644" s="19" t="str">
        <f>IF(ISBLANK(A2644),"Name",IF(ISNA(VLOOKUP(A2644,'Master List'!A:C,2,FALSE)), "Not Found", VLOOKUP(A2644,'Master List'!A:C,2,FALSE)))</f>
        <v>Name</v>
      </c>
      <c r="D2644" s="19" t="str">
        <f>IF(ISBLANK(A2644), "Email",IF(ISNA(VLOOKUP(A2644,'Master List'!A:C,3,FALSE)), "Not Found", VLOOKUP(A2644,'Master List'!A:C,3,FALSE)))</f>
        <v>Email</v>
      </c>
      <c r="F2644" s="4" t="str">
        <f>IF(OR(A2644="",E2644="","",A2644="?",E2644="?"),"duplicate?",IF(COUNTIFS($A:A,A2644,E:E,E2644)&gt;1,"yes","no"))</f>
        <v>duplicate?</v>
      </c>
      <c r="K2644" s="97" t="str">
        <f ca="1">IF(J2644="","Date",IF(J2644&lt;&gt;"",IF(K2644="Date",NOW(),K2644),""))</f>
        <v>Date</v>
      </c>
    </row>
    <row r="2645" spans="2:11">
      <c r="B2645" s="97" t="str">
        <f ca="1">IF(A2645="","Date",IF(A2645&lt;&gt;"",IF(B2645="Date",NOW(),B2645),""))</f>
        <v>Date</v>
      </c>
      <c r="C2645" s="19" t="str">
        <f>IF(ISBLANK(A2645),"Name",IF(ISNA(VLOOKUP(A2645,'Master List'!A:C,2,FALSE)), "Not Found", VLOOKUP(A2645,'Master List'!A:C,2,FALSE)))</f>
        <v>Name</v>
      </c>
      <c r="D2645" s="19" t="str">
        <f>IF(ISBLANK(A2645), "Email",IF(ISNA(VLOOKUP(A2645,'Master List'!A:C,3,FALSE)), "Not Found", VLOOKUP(A2645,'Master List'!A:C,3,FALSE)))</f>
        <v>Email</v>
      </c>
      <c r="F2645" s="4" t="str">
        <f>IF(OR(A2645="",E2645="","",A2645="?",E2645="?"),"duplicate?",IF(COUNTIFS($A:A,A2645,E:E,E2645)&gt;1,"yes","no"))</f>
        <v>duplicate?</v>
      </c>
      <c r="K2645" s="97" t="str">
        <f ca="1">IF(J2645="","Date",IF(J2645&lt;&gt;"",IF(K2645="Date",NOW(),K2645),""))</f>
        <v>Date</v>
      </c>
    </row>
    <row r="2646" spans="2:11">
      <c r="B2646" s="97" t="str">
        <f ca="1">IF(A2646="","Date",IF(A2646&lt;&gt;"",IF(B2646="Date",NOW(),B2646),""))</f>
        <v>Date</v>
      </c>
      <c r="C2646" s="19" t="str">
        <f>IF(ISBLANK(A2646),"Name",IF(ISNA(VLOOKUP(A2646,'Master List'!A:C,2,FALSE)), "Not Found", VLOOKUP(A2646,'Master List'!A:C,2,FALSE)))</f>
        <v>Name</v>
      </c>
      <c r="D2646" s="19" t="str">
        <f>IF(ISBLANK(A2646), "Email",IF(ISNA(VLOOKUP(A2646,'Master List'!A:C,3,FALSE)), "Not Found", VLOOKUP(A2646,'Master List'!A:C,3,FALSE)))</f>
        <v>Email</v>
      </c>
      <c r="F2646" s="4" t="str">
        <f>IF(OR(A2646="",E2646="","",A2646="?",E2646="?"),"duplicate?",IF(COUNTIFS($A:A,A2646,E:E,E2646)&gt;1,"yes","no"))</f>
        <v>duplicate?</v>
      </c>
      <c r="K2646" s="97" t="str">
        <f ca="1">IF(J2646="","Date",IF(J2646&lt;&gt;"",IF(K2646="Date",NOW(),K2646),""))</f>
        <v>Date</v>
      </c>
    </row>
    <row r="2647" spans="2:11">
      <c r="B2647" s="97" t="str">
        <f ca="1">IF(A2647="","Date",IF(A2647&lt;&gt;"",IF(B2647="Date",NOW(),B2647),""))</f>
        <v>Date</v>
      </c>
      <c r="C2647" s="19" t="str">
        <f>IF(ISBLANK(A2647),"Name",IF(ISNA(VLOOKUP(A2647,'Master List'!A:C,2,FALSE)), "Not Found", VLOOKUP(A2647,'Master List'!A:C,2,FALSE)))</f>
        <v>Name</v>
      </c>
      <c r="D2647" s="19" t="str">
        <f>IF(ISBLANK(A2647), "Email",IF(ISNA(VLOOKUP(A2647,'Master List'!A:C,3,FALSE)), "Not Found", VLOOKUP(A2647,'Master List'!A:C,3,FALSE)))</f>
        <v>Email</v>
      </c>
      <c r="F2647" s="4" t="str">
        <f>IF(OR(A2647="",E2647="","",A2647="?",E2647="?"),"duplicate?",IF(COUNTIFS($A:A,A2647,E:E,E2647)&gt;1,"yes","no"))</f>
        <v>duplicate?</v>
      </c>
      <c r="K2647" s="97" t="str">
        <f ca="1">IF(J2647="","Date",IF(J2647&lt;&gt;"",IF(K2647="Date",NOW(),K2647),""))</f>
        <v>Date</v>
      </c>
    </row>
    <row r="2648" spans="2:11">
      <c r="B2648" s="97" t="str">
        <f ca="1">IF(A2648="","Date",IF(A2648&lt;&gt;"",IF(B2648="Date",NOW(),B2648),""))</f>
        <v>Date</v>
      </c>
      <c r="C2648" s="19" t="str">
        <f>IF(ISBLANK(A2648),"Name",IF(ISNA(VLOOKUP(A2648,'Master List'!A:C,2,FALSE)), "Not Found", VLOOKUP(A2648,'Master List'!A:C,2,FALSE)))</f>
        <v>Name</v>
      </c>
      <c r="D2648" s="19" t="str">
        <f>IF(ISBLANK(A2648), "Email",IF(ISNA(VLOOKUP(A2648,'Master List'!A:C,3,FALSE)), "Not Found", VLOOKUP(A2648,'Master List'!A:C,3,FALSE)))</f>
        <v>Email</v>
      </c>
      <c r="F2648" s="4" t="str">
        <f>IF(OR(A2648="",E2648="","",A2648="?",E2648="?"),"duplicate?",IF(COUNTIFS($A:A,A2648,E:E,E2648)&gt;1,"yes","no"))</f>
        <v>duplicate?</v>
      </c>
      <c r="K2648" s="97" t="str">
        <f ca="1">IF(J2648="","Date",IF(J2648&lt;&gt;"",IF(K2648="Date",NOW(),K2648),""))</f>
        <v>Date</v>
      </c>
    </row>
    <row r="2649" spans="2:11">
      <c r="B2649" s="97" t="str">
        <f ca="1">IF(A2649="","Date",IF(A2649&lt;&gt;"",IF(B2649="Date",NOW(),B2649),""))</f>
        <v>Date</v>
      </c>
      <c r="C2649" s="19" t="str">
        <f>IF(ISBLANK(A2649),"Name",IF(ISNA(VLOOKUP(A2649,'Master List'!A:C,2,FALSE)), "Not Found", VLOOKUP(A2649,'Master List'!A:C,2,FALSE)))</f>
        <v>Name</v>
      </c>
      <c r="D2649" s="19" t="str">
        <f>IF(ISBLANK(A2649), "Email",IF(ISNA(VLOOKUP(A2649,'Master List'!A:C,3,FALSE)), "Not Found", VLOOKUP(A2649,'Master List'!A:C,3,FALSE)))</f>
        <v>Email</v>
      </c>
      <c r="F2649" s="4" t="str">
        <f>IF(OR(A2649="",E2649="","",A2649="?",E2649="?"),"duplicate?",IF(COUNTIFS($A:A,A2649,E:E,E2649)&gt;1,"yes","no"))</f>
        <v>duplicate?</v>
      </c>
      <c r="K2649" s="97" t="str">
        <f ca="1">IF(J2649="","Date",IF(J2649&lt;&gt;"",IF(K2649="Date",NOW(),K2649),""))</f>
        <v>Date</v>
      </c>
    </row>
    <row r="2650" spans="2:11">
      <c r="B2650" s="97" t="str">
        <f ca="1">IF(A2650="","Date",IF(A2650&lt;&gt;"",IF(B2650="Date",NOW(),B2650),""))</f>
        <v>Date</v>
      </c>
      <c r="C2650" s="19" t="str">
        <f>IF(ISBLANK(A2650),"Name",IF(ISNA(VLOOKUP(A2650,'Master List'!A:C,2,FALSE)), "Not Found", VLOOKUP(A2650,'Master List'!A:C,2,FALSE)))</f>
        <v>Name</v>
      </c>
      <c r="D2650" s="19" t="str">
        <f>IF(ISBLANK(A2650), "Email",IF(ISNA(VLOOKUP(A2650,'Master List'!A:C,3,FALSE)), "Not Found", VLOOKUP(A2650,'Master List'!A:C,3,FALSE)))</f>
        <v>Email</v>
      </c>
      <c r="F2650" s="4" t="str">
        <f>IF(OR(A2650="",E2650="","",A2650="?",E2650="?"),"duplicate?",IF(COUNTIFS($A:A,A2650,E:E,E2650)&gt;1,"yes","no"))</f>
        <v>duplicate?</v>
      </c>
      <c r="K2650" s="97" t="str">
        <f ca="1">IF(J2650="","Date",IF(J2650&lt;&gt;"",IF(K2650="Date",NOW(),K2650),""))</f>
        <v>Date</v>
      </c>
    </row>
    <row r="2651" spans="2:11">
      <c r="B2651" s="97" t="str">
        <f ca="1">IF(A2651="","Date",IF(A2651&lt;&gt;"",IF(B2651="Date",NOW(),B2651),""))</f>
        <v>Date</v>
      </c>
      <c r="C2651" s="19" t="str">
        <f>IF(ISBLANK(A2651),"Name",IF(ISNA(VLOOKUP(A2651,'Master List'!A:C,2,FALSE)), "Not Found", VLOOKUP(A2651,'Master List'!A:C,2,FALSE)))</f>
        <v>Name</v>
      </c>
      <c r="D2651" s="19" t="str">
        <f>IF(ISBLANK(A2651), "Email",IF(ISNA(VLOOKUP(A2651,'Master List'!A:C,3,FALSE)), "Not Found", VLOOKUP(A2651,'Master List'!A:C,3,FALSE)))</f>
        <v>Email</v>
      </c>
      <c r="F2651" s="4" t="str">
        <f>IF(OR(A2651="",E2651="","",A2651="?",E2651="?"),"duplicate?",IF(COUNTIFS($A:A,A2651,E:E,E2651)&gt;1,"yes","no"))</f>
        <v>duplicate?</v>
      </c>
      <c r="K2651" s="97" t="str">
        <f ca="1">IF(J2651="","Date",IF(J2651&lt;&gt;"",IF(K2651="Date",NOW(),K2651),""))</f>
        <v>Date</v>
      </c>
    </row>
    <row r="2652" spans="2:11">
      <c r="B2652" s="97" t="str">
        <f ca="1">IF(A2652="","Date",IF(A2652&lt;&gt;"",IF(B2652="Date",NOW(),B2652),""))</f>
        <v>Date</v>
      </c>
      <c r="C2652" s="19" t="str">
        <f>IF(ISBLANK(A2652),"Name",IF(ISNA(VLOOKUP(A2652,'Master List'!A:C,2,FALSE)), "Not Found", VLOOKUP(A2652,'Master List'!A:C,2,FALSE)))</f>
        <v>Name</v>
      </c>
      <c r="D2652" s="19" t="str">
        <f>IF(ISBLANK(A2652), "Email",IF(ISNA(VLOOKUP(A2652,'Master List'!A:C,3,FALSE)), "Not Found", VLOOKUP(A2652,'Master List'!A:C,3,FALSE)))</f>
        <v>Email</v>
      </c>
      <c r="F2652" s="4" t="str">
        <f>IF(OR(A2652="",E2652="","",A2652="?",E2652="?"),"duplicate?",IF(COUNTIFS($A:A,A2652,E:E,E2652)&gt;1,"yes","no"))</f>
        <v>duplicate?</v>
      </c>
      <c r="K2652" s="97" t="str">
        <f ca="1">IF(J2652="","Date",IF(J2652&lt;&gt;"",IF(K2652="Date",NOW(),K2652),""))</f>
        <v>Date</v>
      </c>
    </row>
    <row r="2653" spans="2:11">
      <c r="B2653" s="97" t="str">
        <f ca="1">IF(A2653="","Date",IF(A2653&lt;&gt;"",IF(B2653="Date",NOW(),B2653),""))</f>
        <v>Date</v>
      </c>
      <c r="C2653" s="19" t="str">
        <f>IF(ISBLANK(A2653),"Name",IF(ISNA(VLOOKUP(A2653,'Master List'!A:C,2,FALSE)), "Not Found", VLOOKUP(A2653,'Master List'!A:C,2,FALSE)))</f>
        <v>Name</v>
      </c>
      <c r="D2653" s="19" t="str">
        <f>IF(ISBLANK(A2653), "Email",IF(ISNA(VLOOKUP(A2653,'Master List'!A:C,3,FALSE)), "Not Found", VLOOKUP(A2653,'Master List'!A:C,3,FALSE)))</f>
        <v>Email</v>
      </c>
      <c r="F2653" s="4" t="str">
        <f>IF(OR(A2653="",E2653="","",A2653="?",E2653="?"),"duplicate?",IF(COUNTIFS($A:A,A2653,E:E,E2653)&gt;1,"yes","no"))</f>
        <v>duplicate?</v>
      </c>
      <c r="K2653" s="97" t="str">
        <f ca="1">IF(J2653="","Date",IF(J2653&lt;&gt;"",IF(K2653="Date",NOW(),K2653),""))</f>
        <v>Date</v>
      </c>
    </row>
    <row r="2654" spans="2:11">
      <c r="B2654" s="97" t="str">
        <f ca="1">IF(A2654="","Date",IF(A2654&lt;&gt;"",IF(B2654="Date",NOW(),B2654),""))</f>
        <v>Date</v>
      </c>
      <c r="C2654" s="19" t="str">
        <f>IF(ISBLANK(A2654),"Name",IF(ISNA(VLOOKUP(A2654,'Master List'!A:C,2,FALSE)), "Not Found", VLOOKUP(A2654,'Master List'!A:C,2,FALSE)))</f>
        <v>Name</v>
      </c>
      <c r="D2654" s="19" t="str">
        <f>IF(ISBLANK(A2654), "Email",IF(ISNA(VLOOKUP(A2654,'Master List'!A:C,3,FALSE)), "Not Found", VLOOKUP(A2654,'Master List'!A:C,3,FALSE)))</f>
        <v>Email</v>
      </c>
      <c r="F2654" s="4" t="str">
        <f>IF(OR(A2654="",E2654="","",A2654="?",E2654="?"),"duplicate?",IF(COUNTIFS($A:A,A2654,E:E,E2654)&gt;1,"yes","no"))</f>
        <v>duplicate?</v>
      </c>
      <c r="K2654" s="97" t="str">
        <f ca="1">IF(J2654="","Date",IF(J2654&lt;&gt;"",IF(K2654="Date",NOW(),K2654),""))</f>
        <v>Date</v>
      </c>
    </row>
    <row r="2655" spans="2:11">
      <c r="B2655" s="97" t="str">
        <f ca="1">IF(A2655="","Date",IF(A2655&lt;&gt;"",IF(B2655="Date",NOW(),B2655),""))</f>
        <v>Date</v>
      </c>
      <c r="C2655" s="19" t="str">
        <f>IF(ISBLANK(A2655),"Name",IF(ISNA(VLOOKUP(A2655,'Master List'!A:C,2,FALSE)), "Not Found", VLOOKUP(A2655,'Master List'!A:C,2,FALSE)))</f>
        <v>Name</v>
      </c>
      <c r="D2655" s="19" t="str">
        <f>IF(ISBLANK(A2655), "Email",IF(ISNA(VLOOKUP(A2655,'Master List'!A:C,3,FALSE)), "Not Found", VLOOKUP(A2655,'Master List'!A:C,3,FALSE)))</f>
        <v>Email</v>
      </c>
      <c r="F2655" s="4" t="str">
        <f>IF(OR(A2655="",E2655="","",A2655="?",E2655="?"),"duplicate?",IF(COUNTIFS($A:A,A2655,E:E,E2655)&gt;1,"yes","no"))</f>
        <v>duplicate?</v>
      </c>
      <c r="K2655" s="97" t="str">
        <f ca="1">IF(J2655="","Date",IF(J2655&lt;&gt;"",IF(K2655="Date",NOW(),K2655),""))</f>
        <v>Date</v>
      </c>
    </row>
    <row r="2656" spans="2:11">
      <c r="B2656" s="97" t="str">
        <f ca="1">IF(A2656="","Date",IF(A2656&lt;&gt;"",IF(B2656="Date",NOW(),B2656),""))</f>
        <v>Date</v>
      </c>
      <c r="C2656" s="19" t="str">
        <f>IF(ISBLANK(A2656),"Name",IF(ISNA(VLOOKUP(A2656,'Master List'!A:C,2,FALSE)), "Not Found", VLOOKUP(A2656,'Master List'!A:C,2,FALSE)))</f>
        <v>Name</v>
      </c>
      <c r="D2656" s="19" t="str">
        <f>IF(ISBLANK(A2656), "Email",IF(ISNA(VLOOKUP(A2656,'Master List'!A:C,3,FALSE)), "Not Found", VLOOKUP(A2656,'Master List'!A:C,3,FALSE)))</f>
        <v>Email</v>
      </c>
      <c r="F2656" s="4" t="str">
        <f>IF(OR(A2656="",E2656="","",A2656="?",E2656="?"),"duplicate?",IF(COUNTIFS($A:A,A2656,E:E,E2656)&gt;1,"yes","no"))</f>
        <v>duplicate?</v>
      </c>
      <c r="K2656" s="97" t="str">
        <f ca="1">IF(J2656="","Date",IF(J2656&lt;&gt;"",IF(K2656="Date",NOW(),K2656),""))</f>
        <v>Date</v>
      </c>
    </row>
    <row r="2657" spans="2:11">
      <c r="B2657" s="97" t="str">
        <f ca="1">IF(A2657="","Date",IF(A2657&lt;&gt;"",IF(B2657="Date",NOW(),B2657),""))</f>
        <v>Date</v>
      </c>
      <c r="C2657" s="19" t="str">
        <f>IF(ISBLANK(A2657),"Name",IF(ISNA(VLOOKUP(A2657,'Master List'!A:C,2,FALSE)), "Not Found", VLOOKUP(A2657,'Master List'!A:C,2,FALSE)))</f>
        <v>Name</v>
      </c>
      <c r="D2657" s="19" t="str">
        <f>IF(ISBLANK(A2657), "Email",IF(ISNA(VLOOKUP(A2657,'Master List'!A:C,3,FALSE)), "Not Found", VLOOKUP(A2657,'Master List'!A:C,3,FALSE)))</f>
        <v>Email</v>
      </c>
      <c r="F2657" s="4" t="str">
        <f>IF(OR(A2657="",E2657="","",A2657="?",E2657="?"),"duplicate?",IF(COUNTIFS($A:A,A2657,E:E,E2657)&gt;1,"yes","no"))</f>
        <v>duplicate?</v>
      </c>
      <c r="K2657" s="97" t="str">
        <f ca="1">IF(J2657="","Date",IF(J2657&lt;&gt;"",IF(K2657="Date",NOW(),K2657),""))</f>
        <v>Date</v>
      </c>
    </row>
    <row r="2658" spans="2:11">
      <c r="B2658" s="97" t="str">
        <f ca="1">IF(A2658="","Date",IF(A2658&lt;&gt;"",IF(B2658="Date",NOW(),B2658),""))</f>
        <v>Date</v>
      </c>
      <c r="C2658" s="19" t="str">
        <f>IF(ISBLANK(A2658),"Name",IF(ISNA(VLOOKUP(A2658,'Master List'!A:C,2,FALSE)), "Not Found", VLOOKUP(A2658,'Master List'!A:C,2,FALSE)))</f>
        <v>Name</v>
      </c>
      <c r="D2658" s="19" t="str">
        <f>IF(ISBLANK(A2658), "Email",IF(ISNA(VLOOKUP(A2658,'Master List'!A:C,3,FALSE)), "Not Found", VLOOKUP(A2658,'Master List'!A:C,3,FALSE)))</f>
        <v>Email</v>
      </c>
      <c r="F2658" s="4" t="str">
        <f>IF(OR(A2658="",E2658="","",A2658="?",E2658="?"),"duplicate?",IF(COUNTIFS($A:A,A2658,E:E,E2658)&gt;1,"yes","no"))</f>
        <v>duplicate?</v>
      </c>
      <c r="K2658" s="97" t="str">
        <f ca="1">IF(J2658="","Date",IF(J2658&lt;&gt;"",IF(K2658="Date",NOW(),K2658),""))</f>
        <v>Date</v>
      </c>
    </row>
    <row r="2659" spans="2:11">
      <c r="B2659" s="97" t="str">
        <f ca="1">IF(A2659="","Date",IF(A2659&lt;&gt;"",IF(B2659="Date",NOW(),B2659),""))</f>
        <v>Date</v>
      </c>
      <c r="C2659" s="19" t="str">
        <f>IF(ISBLANK(A2659),"Name",IF(ISNA(VLOOKUP(A2659,'Master List'!A:C,2,FALSE)), "Not Found", VLOOKUP(A2659,'Master List'!A:C,2,FALSE)))</f>
        <v>Name</v>
      </c>
      <c r="D2659" s="19" t="str">
        <f>IF(ISBLANK(A2659), "Email",IF(ISNA(VLOOKUP(A2659,'Master List'!A:C,3,FALSE)), "Not Found", VLOOKUP(A2659,'Master List'!A:C,3,FALSE)))</f>
        <v>Email</v>
      </c>
      <c r="F2659" s="4" t="str">
        <f>IF(OR(A2659="",E2659="","",A2659="?",E2659="?"),"duplicate?",IF(COUNTIFS($A:A,A2659,E:E,E2659)&gt;1,"yes","no"))</f>
        <v>duplicate?</v>
      </c>
      <c r="K2659" s="97" t="str">
        <f ca="1">IF(J2659="","Date",IF(J2659&lt;&gt;"",IF(K2659="Date",NOW(),K2659),""))</f>
        <v>Date</v>
      </c>
    </row>
    <row r="2660" spans="2:11">
      <c r="B2660" s="97" t="str">
        <f ca="1">IF(A2660="","Date",IF(A2660&lt;&gt;"",IF(B2660="Date",NOW(),B2660),""))</f>
        <v>Date</v>
      </c>
      <c r="C2660" s="19" t="str">
        <f>IF(ISBLANK(A2660),"Name",IF(ISNA(VLOOKUP(A2660,'Master List'!A:C,2,FALSE)), "Not Found", VLOOKUP(A2660,'Master List'!A:C,2,FALSE)))</f>
        <v>Name</v>
      </c>
      <c r="D2660" s="19" t="str">
        <f>IF(ISBLANK(A2660), "Email",IF(ISNA(VLOOKUP(A2660,'Master List'!A:C,3,FALSE)), "Not Found", VLOOKUP(A2660,'Master List'!A:C,3,FALSE)))</f>
        <v>Email</v>
      </c>
      <c r="F2660" s="4" t="str">
        <f>IF(OR(A2660="",E2660="","",A2660="?",E2660="?"),"duplicate?",IF(COUNTIFS($A:A,A2660,E:E,E2660)&gt;1,"yes","no"))</f>
        <v>duplicate?</v>
      </c>
      <c r="K2660" s="97" t="str">
        <f ca="1">IF(J2660="","Date",IF(J2660&lt;&gt;"",IF(K2660="Date",NOW(),K2660),""))</f>
        <v>Date</v>
      </c>
    </row>
    <row r="2661" spans="2:11">
      <c r="B2661" s="97" t="str">
        <f ca="1">IF(A2661="","Date",IF(A2661&lt;&gt;"",IF(B2661="Date",NOW(),B2661),""))</f>
        <v>Date</v>
      </c>
      <c r="C2661" s="19" t="str">
        <f>IF(ISBLANK(A2661),"Name",IF(ISNA(VLOOKUP(A2661,'Master List'!A:C,2,FALSE)), "Not Found", VLOOKUP(A2661,'Master List'!A:C,2,FALSE)))</f>
        <v>Name</v>
      </c>
      <c r="D2661" s="19" t="str">
        <f>IF(ISBLANK(A2661), "Email",IF(ISNA(VLOOKUP(A2661,'Master List'!A:C,3,FALSE)), "Not Found", VLOOKUP(A2661,'Master List'!A:C,3,FALSE)))</f>
        <v>Email</v>
      </c>
      <c r="F2661" s="4" t="str">
        <f>IF(OR(A2661="",E2661="","",A2661="?",E2661="?"),"duplicate?",IF(COUNTIFS($A:A,A2661,E:E,E2661)&gt;1,"yes","no"))</f>
        <v>duplicate?</v>
      </c>
      <c r="K2661" s="97" t="str">
        <f ca="1">IF(J2661="","Date",IF(J2661&lt;&gt;"",IF(K2661="Date",NOW(),K2661),""))</f>
        <v>Date</v>
      </c>
    </row>
    <row r="2662" spans="2:11">
      <c r="B2662" s="97" t="str">
        <f ca="1">IF(A2662="","Date",IF(A2662&lt;&gt;"",IF(B2662="Date",NOW(),B2662),""))</f>
        <v>Date</v>
      </c>
      <c r="C2662" s="19" t="str">
        <f>IF(ISBLANK(A2662),"Name",IF(ISNA(VLOOKUP(A2662,'Master List'!A:C,2,FALSE)), "Not Found", VLOOKUP(A2662,'Master List'!A:C,2,FALSE)))</f>
        <v>Name</v>
      </c>
      <c r="D2662" s="19" t="str">
        <f>IF(ISBLANK(A2662), "Email",IF(ISNA(VLOOKUP(A2662,'Master List'!A:C,3,FALSE)), "Not Found", VLOOKUP(A2662,'Master List'!A:C,3,FALSE)))</f>
        <v>Email</v>
      </c>
      <c r="F2662" s="4" t="str">
        <f>IF(OR(A2662="",E2662="","",A2662="?",E2662="?"),"duplicate?",IF(COUNTIFS($A:A,A2662,E:E,E2662)&gt;1,"yes","no"))</f>
        <v>duplicate?</v>
      </c>
      <c r="K2662" s="97" t="str">
        <f ca="1">IF(J2662="","Date",IF(J2662&lt;&gt;"",IF(K2662="Date",NOW(),K2662),""))</f>
        <v>Date</v>
      </c>
    </row>
    <row r="2663" spans="2:11">
      <c r="B2663" s="97" t="str">
        <f ca="1">IF(A2663="","Date",IF(A2663&lt;&gt;"",IF(B2663="Date",NOW(),B2663),""))</f>
        <v>Date</v>
      </c>
      <c r="C2663" s="19" t="str">
        <f>IF(ISBLANK(A2663),"Name",IF(ISNA(VLOOKUP(A2663,'Master List'!A:C,2,FALSE)), "Not Found", VLOOKUP(A2663,'Master List'!A:C,2,FALSE)))</f>
        <v>Name</v>
      </c>
      <c r="D2663" s="19" t="str">
        <f>IF(ISBLANK(A2663), "Email",IF(ISNA(VLOOKUP(A2663,'Master List'!A:C,3,FALSE)), "Not Found", VLOOKUP(A2663,'Master List'!A:C,3,FALSE)))</f>
        <v>Email</v>
      </c>
      <c r="F2663" s="4" t="str">
        <f>IF(OR(A2663="",E2663="","",A2663="?",E2663="?"),"duplicate?",IF(COUNTIFS($A:A,A2663,E:E,E2663)&gt;1,"yes","no"))</f>
        <v>duplicate?</v>
      </c>
      <c r="K2663" s="97" t="str">
        <f ca="1">IF(J2663="","Date",IF(J2663&lt;&gt;"",IF(K2663="Date",NOW(),K2663),""))</f>
        <v>Date</v>
      </c>
    </row>
    <row r="2664" spans="2:11">
      <c r="B2664" s="97" t="str">
        <f ca="1">IF(A2664="","Date",IF(A2664&lt;&gt;"",IF(B2664="Date",NOW(),B2664),""))</f>
        <v>Date</v>
      </c>
      <c r="C2664" s="19" t="str">
        <f>IF(ISBLANK(A2664),"Name",IF(ISNA(VLOOKUP(A2664,'Master List'!A:C,2,FALSE)), "Not Found", VLOOKUP(A2664,'Master List'!A:C,2,FALSE)))</f>
        <v>Name</v>
      </c>
      <c r="D2664" s="19" t="str">
        <f>IF(ISBLANK(A2664), "Email",IF(ISNA(VLOOKUP(A2664,'Master List'!A:C,3,FALSE)), "Not Found", VLOOKUP(A2664,'Master List'!A:C,3,FALSE)))</f>
        <v>Email</v>
      </c>
      <c r="F2664" s="4" t="str">
        <f>IF(OR(A2664="",E2664="","",A2664="?",E2664="?"),"duplicate?",IF(COUNTIFS($A:A,A2664,E:E,E2664)&gt;1,"yes","no"))</f>
        <v>duplicate?</v>
      </c>
      <c r="K2664" s="97" t="str">
        <f ca="1">IF(J2664="","Date",IF(J2664&lt;&gt;"",IF(K2664="Date",NOW(),K2664),""))</f>
        <v>Date</v>
      </c>
    </row>
    <row r="2665" spans="2:11">
      <c r="B2665" s="97" t="str">
        <f ca="1">IF(A2665="","Date",IF(A2665&lt;&gt;"",IF(B2665="Date",NOW(),B2665),""))</f>
        <v>Date</v>
      </c>
      <c r="C2665" s="19" t="str">
        <f>IF(ISBLANK(A2665),"Name",IF(ISNA(VLOOKUP(A2665,'Master List'!A:C,2,FALSE)), "Not Found", VLOOKUP(A2665,'Master List'!A:C,2,FALSE)))</f>
        <v>Name</v>
      </c>
      <c r="D2665" s="19" t="str">
        <f>IF(ISBLANK(A2665), "Email",IF(ISNA(VLOOKUP(A2665,'Master List'!A:C,3,FALSE)), "Not Found", VLOOKUP(A2665,'Master List'!A:C,3,FALSE)))</f>
        <v>Email</v>
      </c>
      <c r="F2665" s="4" t="str">
        <f>IF(OR(A2665="",E2665="","",A2665="?",E2665="?"),"duplicate?",IF(COUNTIFS($A:A,A2665,E:E,E2665)&gt;1,"yes","no"))</f>
        <v>duplicate?</v>
      </c>
      <c r="K2665" s="97" t="str">
        <f ca="1">IF(J2665="","Date",IF(J2665&lt;&gt;"",IF(K2665="Date",NOW(),K2665),""))</f>
        <v>Date</v>
      </c>
    </row>
    <row r="2666" spans="2:11">
      <c r="B2666" s="97" t="str">
        <f ca="1">IF(A2666="","Date",IF(A2666&lt;&gt;"",IF(B2666="Date",NOW(),B2666),""))</f>
        <v>Date</v>
      </c>
      <c r="C2666" s="19" t="str">
        <f>IF(ISBLANK(A2666),"Name",IF(ISNA(VLOOKUP(A2666,'Master List'!A:C,2,FALSE)), "Not Found", VLOOKUP(A2666,'Master List'!A:C,2,FALSE)))</f>
        <v>Name</v>
      </c>
      <c r="D2666" s="19" t="str">
        <f>IF(ISBLANK(A2666), "Email",IF(ISNA(VLOOKUP(A2666,'Master List'!A:C,3,FALSE)), "Not Found", VLOOKUP(A2666,'Master List'!A:C,3,FALSE)))</f>
        <v>Email</v>
      </c>
      <c r="F2666" s="4" t="str">
        <f>IF(OR(A2666="",E2666="","",A2666="?",E2666="?"),"duplicate?",IF(COUNTIFS($A:A,A2666,E:E,E2666)&gt;1,"yes","no"))</f>
        <v>duplicate?</v>
      </c>
      <c r="K2666" s="97" t="str">
        <f ca="1">IF(J2666="","Date",IF(J2666&lt;&gt;"",IF(K2666="Date",NOW(),K2666),""))</f>
        <v>Date</v>
      </c>
    </row>
    <row r="2667" spans="2:11">
      <c r="B2667" s="97" t="str">
        <f ca="1">IF(A2667="","Date",IF(A2667&lt;&gt;"",IF(B2667="Date",NOW(),B2667),""))</f>
        <v>Date</v>
      </c>
      <c r="C2667" s="19" t="str">
        <f>IF(ISBLANK(A2667),"Name",IF(ISNA(VLOOKUP(A2667,'Master List'!A:C,2,FALSE)), "Not Found", VLOOKUP(A2667,'Master List'!A:C,2,FALSE)))</f>
        <v>Name</v>
      </c>
      <c r="D2667" s="19" t="str">
        <f>IF(ISBLANK(A2667), "Email",IF(ISNA(VLOOKUP(A2667,'Master List'!A:C,3,FALSE)), "Not Found", VLOOKUP(A2667,'Master List'!A:C,3,FALSE)))</f>
        <v>Email</v>
      </c>
      <c r="F2667" s="4" t="str">
        <f>IF(OR(A2667="",E2667="","",A2667="?",E2667="?"),"duplicate?",IF(COUNTIFS($A:A,A2667,E:E,E2667)&gt;1,"yes","no"))</f>
        <v>duplicate?</v>
      </c>
      <c r="K2667" s="97" t="str">
        <f ca="1">IF(J2667="","Date",IF(J2667&lt;&gt;"",IF(K2667="Date",NOW(),K2667),""))</f>
        <v>Date</v>
      </c>
    </row>
    <row r="2668" spans="2:11">
      <c r="B2668" s="97" t="str">
        <f ca="1">IF(A2668="","Date",IF(A2668&lt;&gt;"",IF(B2668="Date",NOW(),B2668),""))</f>
        <v>Date</v>
      </c>
      <c r="C2668" s="19" t="str">
        <f>IF(ISBLANK(A2668),"Name",IF(ISNA(VLOOKUP(A2668,'Master List'!A:C,2,FALSE)), "Not Found", VLOOKUP(A2668,'Master List'!A:C,2,FALSE)))</f>
        <v>Name</v>
      </c>
      <c r="D2668" s="19" t="str">
        <f>IF(ISBLANK(A2668), "Email",IF(ISNA(VLOOKUP(A2668,'Master List'!A:C,3,FALSE)), "Not Found", VLOOKUP(A2668,'Master List'!A:C,3,FALSE)))</f>
        <v>Email</v>
      </c>
      <c r="F2668" s="4" t="str">
        <f>IF(OR(A2668="",E2668="","",A2668="?",E2668="?"),"duplicate?",IF(COUNTIFS($A:A,A2668,E:E,E2668)&gt;1,"yes","no"))</f>
        <v>duplicate?</v>
      </c>
      <c r="K2668" s="97" t="str">
        <f ca="1">IF(J2668="","Date",IF(J2668&lt;&gt;"",IF(K2668="Date",NOW(),K2668),""))</f>
        <v>Date</v>
      </c>
    </row>
    <row r="2669" spans="2:11">
      <c r="B2669" s="97" t="str">
        <f ca="1">IF(A2669="","Date",IF(A2669&lt;&gt;"",IF(B2669="Date",NOW(),B2669),""))</f>
        <v>Date</v>
      </c>
      <c r="C2669" s="19" t="str">
        <f>IF(ISBLANK(A2669),"Name",IF(ISNA(VLOOKUP(A2669,'Master List'!A:C,2,FALSE)), "Not Found", VLOOKUP(A2669,'Master List'!A:C,2,FALSE)))</f>
        <v>Name</v>
      </c>
      <c r="D2669" s="19" t="str">
        <f>IF(ISBLANK(A2669), "Email",IF(ISNA(VLOOKUP(A2669,'Master List'!A:C,3,FALSE)), "Not Found", VLOOKUP(A2669,'Master List'!A:C,3,FALSE)))</f>
        <v>Email</v>
      </c>
      <c r="F2669" s="4" t="str">
        <f>IF(OR(A2669="",E2669="","",A2669="?",E2669="?"),"duplicate?",IF(COUNTIFS($A:A,A2669,E:E,E2669)&gt;1,"yes","no"))</f>
        <v>duplicate?</v>
      </c>
      <c r="K2669" s="97" t="str">
        <f ca="1">IF(J2669="","Date",IF(J2669&lt;&gt;"",IF(K2669="Date",NOW(),K2669),""))</f>
        <v>Date</v>
      </c>
    </row>
    <row r="2670" spans="2:11">
      <c r="B2670" s="97" t="str">
        <f ca="1">IF(A2670="","Date",IF(A2670&lt;&gt;"",IF(B2670="Date",NOW(),B2670),""))</f>
        <v>Date</v>
      </c>
      <c r="C2670" s="19" t="str">
        <f>IF(ISBLANK(A2670),"Name",IF(ISNA(VLOOKUP(A2670,'Master List'!A:C,2,FALSE)), "Not Found", VLOOKUP(A2670,'Master List'!A:C,2,FALSE)))</f>
        <v>Name</v>
      </c>
      <c r="D2670" s="19" t="str">
        <f>IF(ISBLANK(A2670), "Email",IF(ISNA(VLOOKUP(A2670,'Master List'!A:C,3,FALSE)), "Not Found", VLOOKUP(A2670,'Master List'!A:C,3,FALSE)))</f>
        <v>Email</v>
      </c>
      <c r="F2670" s="4" t="str">
        <f>IF(OR(A2670="",E2670="","",A2670="?",E2670="?"),"duplicate?",IF(COUNTIFS($A:A,A2670,E:E,E2670)&gt;1,"yes","no"))</f>
        <v>duplicate?</v>
      </c>
      <c r="K2670" s="97" t="str">
        <f ca="1">IF(J2670="","Date",IF(J2670&lt;&gt;"",IF(K2670="Date",NOW(),K2670),""))</f>
        <v>Date</v>
      </c>
    </row>
    <row r="2671" spans="2:11">
      <c r="B2671" s="97" t="str">
        <f ca="1">IF(A2671="","Date",IF(A2671&lt;&gt;"",IF(B2671="Date",NOW(),B2671),""))</f>
        <v>Date</v>
      </c>
      <c r="C2671" s="19" t="str">
        <f>IF(ISBLANK(A2671),"Name",IF(ISNA(VLOOKUP(A2671,'Master List'!A:C,2,FALSE)), "Not Found", VLOOKUP(A2671,'Master List'!A:C,2,FALSE)))</f>
        <v>Name</v>
      </c>
      <c r="D2671" s="19" t="str">
        <f>IF(ISBLANK(A2671), "Email",IF(ISNA(VLOOKUP(A2671,'Master List'!A:C,3,FALSE)), "Not Found", VLOOKUP(A2671,'Master List'!A:C,3,FALSE)))</f>
        <v>Email</v>
      </c>
      <c r="F2671" s="4" t="str">
        <f>IF(OR(A2671="",E2671="","",A2671="?",E2671="?"),"duplicate?",IF(COUNTIFS($A:A,A2671,E:E,E2671)&gt;1,"yes","no"))</f>
        <v>duplicate?</v>
      </c>
      <c r="K2671" s="97" t="str">
        <f ca="1">IF(J2671="","Date",IF(J2671&lt;&gt;"",IF(K2671="Date",NOW(),K2671),""))</f>
        <v>Date</v>
      </c>
    </row>
    <row r="2672" spans="2:11">
      <c r="B2672" s="97" t="str">
        <f ca="1">IF(A2672="","Date",IF(A2672&lt;&gt;"",IF(B2672="Date",NOW(),B2672),""))</f>
        <v>Date</v>
      </c>
      <c r="C2672" s="19" t="str">
        <f>IF(ISBLANK(A2672),"Name",IF(ISNA(VLOOKUP(A2672,'Master List'!A:C,2,FALSE)), "Not Found", VLOOKUP(A2672,'Master List'!A:C,2,FALSE)))</f>
        <v>Name</v>
      </c>
      <c r="D2672" s="19" t="str">
        <f>IF(ISBLANK(A2672), "Email",IF(ISNA(VLOOKUP(A2672,'Master List'!A:C,3,FALSE)), "Not Found", VLOOKUP(A2672,'Master List'!A:C,3,FALSE)))</f>
        <v>Email</v>
      </c>
      <c r="F2672" s="4" t="str">
        <f>IF(OR(A2672="",E2672="","",A2672="?",E2672="?"),"duplicate?",IF(COUNTIFS($A:A,A2672,E:E,E2672)&gt;1,"yes","no"))</f>
        <v>duplicate?</v>
      </c>
      <c r="K2672" s="97" t="str">
        <f ca="1">IF(J2672="","Date",IF(J2672&lt;&gt;"",IF(K2672="Date",NOW(),K2672),""))</f>
        <v>Date</v>
      </c>
    </row>
    <row r="2673" spans="2:11">
      <c r="B2673" s="97" t="str">
        <f ca="1">IF(A2673="","Date",IF(A2673&lt;&gt;"",IF(B2673="Date",NOW(),B2673),""))</f>
        <v>Date</v>
      </c>
      <c r="C2673" s="19" t="str">
        <f>IF(ISBLANK(A2673),"Name",IF(ISNA(VLOOKUP(A2673,'Master List'!A:C,2,FALSE)), "Not Found", VLOOKUP(A2673,'Master List'!A:C,2,FALSE)))</f>
        <v>Name</v>
      </c>
      <c r="D2673" s="19" t="str">
        <f>IF(ISBLANK(A2673), "Email",IF(ISNA(VLOOKUP(A2673,'Master List'!A:C,3,FALSE)), "Not Found", VLOOKUP(A2673,'Master List'!A:C,3,FALSE)))</f>
        <v>Email</v>
      </c>
      <c r="F2673" s="4" t="str">
        <f>IF(OR(A2673="",E2673="","",A2673="?",E2673="?"),"duplicate?",IF(COUNTIFS($A:A,A2673,E:E,E2673)&gt;1,"yes","no"))</f>
        <v>duplicate?</v>
      </c>
      <c r="K2673" s="97" t="str">
        <f ca="1">IF(J2673="","Date",IF(J2673&lt;&gt;"",IF(K2673="Date",NOW(),K2673),""))</f>
        <v>Date</v>
      </c>
    </row>
    <row r="2674" spans="2:11">
      <c r="B2674" s="97" t="str">
        <f ca="1">IF(A2674="","Date",IF(A2674&lt;&gt;"",IF(B2674="Date",NOW(),B2674),""))</f>
        <v>Date</v>
      </c>
      <c r="C2674" s="19" t="str">
        <f>IF(ISBLANK(A2674),"Name",IF(ISNA(VLOOKUP(A2674,'Master List'!A:C,2,FALSE)), "Not Found", VLOOKUP(A2674,'Master List'!A:C,2,FALSE)))</f>
        <v>Name</v>
      </c>
      <c r="D2674" s="19" t="str">
        <f>IF(ISBLANK(A2674), "Email",IF(ISNA(VLOOKUP(A2674,'Master List'!A:C,3,FALSE)), "Not Found", VLOOKUP(A2674,'Master List'!A:C,3,FALSE)))</f>
        <v>Email</v>
      </c>
      <c r="F2674" s="4" t="str">
        <f>IF(OR(A2674="",E2674="","",A2674="?",E2674="?"),"duplicate?",IF(COUNTIFS($A:A,A2674,E:E,E2674)&gt;1,"yes","no"))</f>
        <v>duplicate?</v>
      </c>
      <c r="K2674" s="97" t="str">
        <f ca="1">IF(J2674="","Date",IF(J2674&lt;&gt;"",IF(K2674="Date",NOW(),K2674),""))</f>
        <v>Date</v>
      </c>
    </row>
    <row r="2675" spans="2:11">
      <c r="B2675" s="97" t="str">
        <f ca="1">IF(A2675="","Date",IF(A2675&lt;&gt;"",IF(B2675="Date",NOW(),B2675),""))</f>
        <v>Date</v>
      </c>
      <c r="C2675" s="19" t="str">
        <f>IF(ISBLANK(A2675),"Name",IF(ISNA(VLOOKUP(A2675,'Master List'!A:C,2,FALSE)), "Not Found", VLOOKUP(A2675,'Master List'!A:C,2,FALSE)))</f>
        <v>Name</v>
      </c>
      <c r="D2675" s="19" t="str">
        <f>IF(ISBLANK(A2675), "Email",IF(ISNA(VLOOKUP(A2675,'Master List'!A:C,3,FALSE)), "Not Found", VLOOKUP(A2675,'Master List'!A:C,3,FALSE)))</f>
        <v>Email</v>
      </c>
      <c r="F2675" s="4" t="str">
        <f>IF(OR(A2675="",E2675="","",A2675="?",E2675="?"),"duplicate?",IF(COUNTIFS($A:A,A2675,E:E,E2675)&gt;1,"yes","no"))</f>
        <v>duplicate?</v>
      </c>
      <c r="K2675" s="97" t="str">
        <f ca="1">IF(J2675="","Date",IF(J2675&lt;&gt;"",IF(K2675="Date",NOW(),K2675),""))</f>
        <v>Date</v>
      </c>
    </row>
    <row r="2676" spans="2:11">
      <c r="B2676" s="97" t="str">
        <f ca="1">IF(A2676="","Date",IF(A2676&lt;&gt;"",IF(B2676="Date",NOW(),B2676),""))</f>
        <v>Date</v>
      </c>
      <c r="C2676" s="19" t="str">
        <f>IF(ISBLANK(A2676),"Name",IF(ISNA(VLOOKUP(A2676,'Master List'!A:C,2,FALSE)), "Not Found", VLOOKUP(A2676,'Master List'!A:C,2,FALSE)))</f>
        <v>Name</v>
      </c>
      <c r="D2676" s="19" t="str">
        <f>IF(ISBLANK(A2676), "Email",IF(ISNA(VLOOKUP(A2676,'Master List'!A:C,3,FALSE)), "Not Found", VLOOKUP(A2676,'Master List'!A:C,3,FALSE)))</f>
        <v>Email</v>
      </c>
      <c r="F2676" s="4" t="str">
        <f>IF(OR(A2676="",E2676="","",A2676="?",E2676="?"),"duplicate?",IF(COUNTIFS($A:A,A2676,E:E,E2676)&gt;1,"yes","no"))</f>
        <v>duplicate?</v>
      </c>
      <c r="K2676" s="97" t="str">
        <f ca="1">IF(J2676="","Date",IF(J2676&lt;&gt;"",IF(K2676="Date",NOW(),K2676),""))</f>
        <v>Date</v>
      </c>
    </row>
    <row r="2677" spans="2:11">
      <c r="B2677" s="97" t="str">
        <f ca="1">IF(A2677="","Date",IF(A2677&lt;&gt;"",IF(B2677="Date",NOW(),B2677),""))</f>
        <v>Date</v>
      </c>
      <c r="C2677" s="19" t="str">
        <f>IF(ISBLANK(A2677),"Name",IF(ISNA(VLOOKUP(A2677,'Master List'!A:C,2,FALSE)), "Not Found", VLOOKUP(A2677,'Master List'!A:C,2,FALSE)))</f>
        <v>Name</v>
      </c>
      <c r="D2677" s="19" t="str">
        <f>IF(ISBLANK(A2677), "Email",IF(ISNA(VLOOKUP(A2677,'Master List'!A:C,3,FALSE)), "Not Found", VLOOKUP(A2677,'Master List'!A:C,3,FALSE)))</f>
        <v>Email</v>
      </c>
      <c r="F2677" s="4" t="str">
        <f>IF(OR(A2677="",E2677="","",A2677="?",E2677="?"),"duplicate?",IF(COUNTIFS($A:A,A2677,E:E,E2677)&gt;1,"yes","no"))</f>
        <v>duplicate?</v>
      </c>
      <c r="K2677" s="97" t="str">
        <f ca="1">IF(J2677="","Date",IF(J2677&lt;&gt;"",IF(K2677="Date",NOW(),K2677),""))</f>
        <v>Date</v>
      </c>
    </row>
    <row r="2678" spans="2:11">
      <c r="B2678" s="97" t="str">
        <f ca="1">IF(A2678="","Date",IF(A2678&lt;&gt;"",IF(B2678="Date",NOW(),B2678),""))</f>
        <v>Date</v>
      </c>
      <c r="C2678" s="19" t="str">
        <f>IF(ISBLANK(A2678),"Name",IF(ISNA(VLOOKUP(A2678,'Master List'!A:C,2,FALSE)), "Not Found", VLOOKUP(A2678,'Master List'!A:C,2,FALSE)))</f>
        <v>Name</v>
      </c>
      <c r="D2678" s="19" t="str">
        <f>IF(ISBLANK(A2678), "Email",IF(ISNA(VLOOKUP(A2678,'Master List'!A:C,3,FALSE)), "Not Found", VLOOKUP(A2678,'Master List'!A:C,3,FALSE)))</f>
        <v>Email</v>
      </c>
      <c r="F2678" s="4" t="str">
        <f>IF(OR(A2678="",E2678="","",A2678="?",E2678="?"),"duplicate?",IF(COUNTIFS($A:A,A2678,E:E,E2678)&gt;1,"yes","no"))</f>
        <v>duplicate?</v>
      </c>
      <c r="K2678" s="97" t="str">
        <f ca="1">IF(J2678="","Date",IF(J2678&lt;&gt;"",IF(K2678="Date",NOW(),K2678),""))</f>
        <v>Date</v>
      </c>
    </row>
    <row r="2679" spans="2:11">
      <c r="B2679" s="97" t="str">
        <f ca="1">IF(A2679="","Date",IF(A2679&lt;&gt;"",IF(B2679="Date",NOW(),B2679),""))</f>
        <v>Date</v>
      </c>
      <c r="C2679" s="19" t="str">
        <f>IF(ISBLANK(A2679),"Name",IF(ISNA(VLOOKUP(A2679,'Master List'!A:C,2,FALSE)), "Not Found", VLOOKUP(A2679,'Master List'!A:C,2,FALSE)))</f>
        <v>Name</v>
      </c>
      <c r="D2679" s="19" t="str">
        <f>IF(ISBLANK(A2679), "Email",IF(ISNA(VLOOKUP(A2679,'Master List'!A:C,3,FALSE)), "Not Found", VLOOKUP(A2679,'Master List'!A:C,3,FALSE)))</f>
        <v>Email</v>
      </c>
      <c r="F2679" s="4" t="str">
        <f>IF(OR(A2679="",E2679="","",A2679="?",E2679="?"),"duplicate?",IF(COUNTIFS($A:A,A2679,E:E,E2679)&gt;1,"yes","no"))</f>
        <v>duplicate?</v>
      </c>
      <c r="K2679" s="97" t="str">
        <f ca="1">IF(J2679="","Date",IF(J2679&lt;&gt;"",IF(K2679="Date",NOW(),K2679),""))</f>
        <v>Date</v>
      </c>
    </row>
    <row r="2680" spans="2:11">
      <c r="B2680" s="97" t="str">
        <f ca="1">IF(A2680="","Date",IF(A2680&lt;&gt;"",IF(B2680="Date",NOW(),B2680),""))</f>
        <v>Date</v>
      </c>
      <c r="C2680" s="19" t="str">
        <f>IF(ISBLANK(A2680),"Name",IF(ISNA(VLOOKUP(A2680,'Master List'!A:C,2,FALSE)), "Not Found", VLOOKUP(A2680,'Master List'!A:C,2,FALSE)))</f>
        <v>Name</v>
      </c>
      <c r="D2680" s="19" t="str">
        <f>IF(ISBLANK(A2680), "Email",IF(ISNA(VLOOKUP(A2680,'Master List'!A:C,3,FALSE)), "Not Found", VLOOKUP(A2680,'Master List'!A:C,3,FALSE)))</f>
        <v>Email</v>
      </c>
      <c r="F2680" s="4" t="str">
        <f>IF(OR(A2680="",E2680="","",A2680="?",E2680="?"),"duplicate?",IF(COUNTIFS($A:A,A2680,E:E,E2680)&gt;1,"yes","no"))</f>
        <v>duplicate?</v>
      </c>
      <c r="K2680" s="97" t="str">
        <f ca="1">IF(J2680="","Date",IF(J2680&lt;&gt;"",IF(K2680="Date",NOW(),K2680),""))</f>
        <v>Date</v>
      </c>
    </row>
    <row r="2681" spans="2:11">
      <c r="B2681" s="97" t="str">
        <f ca="1">IF(A2681="","Date",IF(A2681&lt;&gt;"",IF(B2681="Date",NOW(),B2681),""))</f>
        <v>Date</v>
      </c>
      <c r="C2681" s="19" t="str">
        <f>IF(ISBLANK(A2681),"Name",IF(ISNA(VLOOKUP(A2681,'Master List'!A:C,2,FALSE)), "Not Found", VLOOKUP(A2681,'Master List'!A:C,2,FALSE)))</f>
        <v>Name</v>
      </c>
      <c r="D2681" s="19" t="str">
        <f>IF(ISBLANK(A2681), "Email",IF(ISNA(VLOOKUP(A2681,'Master List'!A:C,3,FALSE)), "Not Found", VLOOKUP(A2681,'Master List'!A:C,3,FALSE)))</f>
        <v>Email</v>
      </c>
      <c r="F2681" s="4" t="str">
        <f>IF(OR(A2681="",E2681="","",A2681="?",E2681="?"),"duplicate?",IF(COUNTIFS($A:A,A2681,E:E,E2681)&gt;1,"yes","no"))</f>
        <v>duplicate?</v>
      </c>
      <c r="K2681" s="97" t="str">
        <f ca="1">IF(J2681="","Date",IF(J2681&lt;&gt;"",IF(K2681="Date",NOW(),K2681),""))</f>
        <v>Date</v>
      </c>
    </row>
    <row r="2682" spans="2:11">
      <c r="B2682" s="97" t="str">
        <f ca="1">IF(A2682="","Date",IF(A2682&lt;&gt;"",IF(B2682="Date",NOW(),B2682),""))</f>
        <v>Date</v>
      </c>
      <c r="C2682" s="19" t="str">
        <f>IF(ISBLANK(A2682),"Name",IF(ISNA(VLOOKUP(A2682,'Master List'!A:C,2,FALSE)), "Not Found", VLOOKUP(A2682,'Master List'!A:C,2,FALSE)))</f>
        <v>Name</v>
      </c>
      <c r="D2682" s="19" t="str">
        <f>IF(ISBLANK(A2682), "Email",IF(ISNA(VLOOKUP(A2682,'Master List'!A:C,3,FALSE)), "Not Found", VLOOKUP(A2682,'Master List'!A:C,3,FALSE)))</f>
        <v>Email</v>
      </c>
      <c r="F2682" s="4" t="str">
        <f>IF(OR(A2682="",E2682="","",A2682="?",E2682="?"),"duplicate?",IF(COUNTIFS($A:A,A2682,E:E,E2682)&gt;1,"yes","no"))</f>
        <v>duplicate?</v>
      </c>
      <c r="K2682" s="97" t="str">
        <f ca="1">IF(J2682="","Date",IF(J2682&lt;&gt;"",IF(K2682="Date",NOW(),K2682),""))</f>
        <v>Date</v>
      </c>
    </row>
    <row r="2683" spans="2:11">
      <c r="B2683" s="97" t="str">
        <f ca="1">IF(A2683="","Date",IF(A2683&lt;&gt;"",IF(B2683="Date",NOW(),B2683),""))</f>
        <v>Date</v>
      </c>
      <c r="C2683" s="19" t="str">
        <f>IF(ISBLANK(A2683),"Name",IF(ISNA(VLOOKUP(A2683,'Master List'!A:C,2,FALSE)), "Not Found", VLOOKUP(A2683,'Master List'!A:C,2,FALSE)))</f>
        <v>Name</v>
      </c>
      <c r="D2683" s="19" t="str">
        <f>IF(ISBLANK(A2683), "Email",IF(ISNA(VLOOKUP(A2683,'Master List'!A:C,3,FALSE)), "Not Found", VLOOKUP(A2683,'Master List'!A:C,3,FALSE)))</f>
        <v>Email</v>
      </c>
      <c r="F2683" s="4" t="str">
        <f>IF(OR(A2683="",E2683="","",A2683="?",E2683="?"),"duplicate?",IF(COUNTIFS($A:A,A2683,E:E,E2683)&gt;1,"yes","no"))</f>
        <v>duplicate?</v>
      </c>
      <c r="K2683" s="97" t="str">
        <f ca="1">IF(J2683="","Date",IF(J2683&lt;&gt;"",IF(K2683="Date",NOW(),K2683),""))</f>
        <v>Date</v>
      </c>
    </row>
    <row r="2684" spans="2:11">
      <c r="B2684" s="97" t="str">
        <f ca="1">IF(A2684="","Date",IF(A2684&lt;&gt;"",IF(B2684="Date",NOW(),B2684),""))</f>
        <v>Date</v>
      </c>
      <c r="C2684" s="19" t="str">
        <f>IF(ISBLANK(A2684),"Name",IF(ISNA(VLOOKUP(A2684,'Master List'!A:C,2,FALSE)), "Not Found", VLOOKUP(A2684,'Master List'!A:C,2,FALSE)))</f>
        <v>Name</v>
      </c>
      <c r="D2684" s="19" t="str">
        <f>IF(ISBLANK(A2684), "Email",IF(ISNA(VLOOKUP(A2684,'Master List'!A:C,3,FALSE)), "Not Found", VLOOKUP(A2684,'Master List'!A:C,3,FALSE)))</f>
        <v>Email</v>
      </c>
      <c r="F2684" s="4" t="str">
        <f>IF(OR(A2684="",E2684="","",A2684="?",E2684="?"),"duplicate?",IF(COUNTIFS($A:A,A2684,E:E,E2684)&gt;1,"yes","no"))</f>
        <v>duplicate?</v>
      </c>
      <c r="K2684" s="97" t="str">
        <f ca="1">IF(J2684="","Date",IF(J2684&lt;&gt;"",IF(K2684="Date",NOW(),K2684),""))</f>
        <v>Date</v>
      </c>
    </row>
    <row r="2685" spans="2:11">
      <c r="B2685" s="97" t="str">
        <f ca="1">IF(A2685="","Date",IF(A2685&lt;&gt;"",IF(B2685="Date",NOW(),B2685),""))</f>
        <v>Date</v>
      </c>
      <c r="C2685" s="19" t="str">
        <f>IF(ISBLANK(A2685),"Name",IF(ISNA(VLOOKUP(A2685,'Master List'!A:C,2,FALSE)), "Not Found", VLOOKUP(A2685,'Master List'!A:C,2,FALSE)))</f>
        <v>Name</v>
      </c>
      <c r="D2685" s="19" t="str">
        <f>IF(ISBLANK(A2685), "Email",IF(ISNA(VLOOKUP(A2685,'Master List'!A:C,3,FALSE)), "Not Found", VLOOKUP(A2685,'Master List'!A:C,3,FALSE)))</f>
        <v>Email</v>
      </c>
      <c r="F2685" s="4" t="str">
        <f>IF(OR(A2685="",E2685="","",A2685="?",E2685="?"),"duplicate?",IF(COUNTIFS($A:A,A2685,E:E,E2685)&gt;1,"yes","no"))</f>
        <v>duplicate?</v>
      </c>
      <c r="K2685" s="97" t="str">
        <f ca="1">IF(J2685="","Date",IF(J2685&lt;&gt;"",IF(K2685="Date",NOW(),K2685),""))</f>
        <v>Date</v>
      </c>
    </row>
    <row r="2686" spans="2:11">
      <c r="B2686" s="97" t="str">
        <f ca="1">IF(A2686="","Date",IF(A2686&lt;&gt;"",IF(B2686="Date",NOW(),B2686),""))</f>
        <v>Date</v>
      </c>
      <c r="C2686" s="19" t="str">
        <f>IF(ISBLANK(A2686),"Name",IF(ISNA(VLOOKUP(A2686,'Master List'!A:C,2,FALSE)), "Not Found", VLOOKUP(A2686,'Master List'!A:C,2,FALSE)))</f>
        <v>Name</v>
      </c>
      <c r="D2686" s="19" t="str">
        <f>IF(ISBLANK(A2686), "Email",IF(ISNA(VLOOKUP(A2686,'Master List'!A:C,3,FALSE)), "Not Found", VLOOKUP(A2686,'Master List'!A:C,3,FALSE)))</f>
        <v>Email</v>
      </c>
      <c r="F2686" s="4" t="str">
        <f>IF(OR(A2686="",E2686="","",A2686="?",E2686="?"),"duplicate?",IF(COUNTIFS($A:A,A2686,E:E,E2686)&gt;1,"yes","no"))</f>
        <v>duplicate?</v>
      </c>
      <c r="K2686" s="97" t="str">
        <f ca="1">IF(J2686="","Date",IF(J2686&lt;&gt;"",IF(K2686="Date",NOW(),K2686),""))</f>
        <v>Date</v>
      </c>
    </row>
    <row r="2687" spans="2:11">
      <c r="B2687" s="97" t="str">
        <f ca="1">IF(A2687="","Date",IF(A2687&lt;&gt;"",IF(B2687="Date",NOW(),B2687),""))</f>
        <v>Date</v>
      </c>
      <c r="C2687" s="19" t="str">
        <f>IF(ISBLANK(A2687),"Name",IF(ISNA(VLOOKUP(A2687,'Master List'!A:C,2,FALSE)), "Not Found", VLOOKUP(A2687,'Master List'!A:C,2,FALSE)))</f>
        <v>Name</v>
      </c>
      <c r="D2687" s="19" t="str">
        <f>IF(ISBLANK(A2687), "Email",IF(ISNA(VLOOKUP(A2687,'Master List'!A:C,3,FALSE)), "Not Found", VLOOKUP(A2687,'Master List'!A:C,3,FALSE)))</f>
        <v>Email</v>
      </c>
      <c r="F2687" s="4" t="str">
        <f>IF(OR(A2687="",E2687="","",A2687="?",E2687="?"),"duplicate?",IF(COUNTIFS($A:A,A2687,E:E,E2687)&gt;1,"yes","no"))</f>
        <v>duplicate?</v>
      </c>
      <c r="K2687" s="97" t="str">
        <f ca="1">IF(J2687="","Date",IF(J2687&lt;&gt;"",IF(K2687="Date",NOW(),K2687),""))</f>
        <v>Date</v>
      </c>
    </row>
    <row r="2688" spans="2:11">
      <c r="B2688" s="97" t="str">
        <f ca="1">IF(A2688="","Date",IF(A2688&lt;&gt;"",IF(B2688="Date",NOW(),B2688),""))</f>
        <v>Date</v>
      </c>
      <c r="C2688" s="19" t="str">
        <f>IF(ISBLANK(A2688),"Name",IF(ISNA(VLOOKUP(A2688,'Master List'!A:C,2,FALSE)), "Not Found", VLOOKUP(A2688,'Master List'!A:C,2,FALSE)))</f>
        <v>Name</v>
      </c>
      <c r="D2688" s="19" t="str">
        <f>IF(ISBLANK(A2688), "Email",IF(ISNA(VLOOKUP(A2688,'Master List'!A:C,3,FALSE)), "Not Found", VLOOKUP(A2688,'Master List'!A:C,3,FALSE)))</f>
        <v>Email</v>
      </c>
      <c r="F2688" s="4" t="str">
        <f>IF(OR(A2688="",E2688="","",A2688="?",E2688="?"),"duplicate?",IF(COUNTIFS($A:A,A2688,E:E,E2688)&gt;1,"yes","no"))</f>
        <v>duplicate?</v>
      </c>
      <c r="K2688" s="97" t="str">
        <f ca="1">IF(J2688="","Date",IF(J2688&lt;&gt;"",IF(K2688="Date",NOW(),K2688),""))</f>
        <v>Date</v>
      </c>
    </row>
    <row r="2689" spans="2:11">
      <c r="B2689" s="97" t="str">
        <f ca="1">IF(A2689="","Date",IF(A2689&lt;&gt;"",IF(B2689="Date",NOW(),B2689),""))</f>
        <v>Date</v>
      </c>
      <c r="C2689" s="19" t="str">
        <f>IF(ISBLANK(A2689),"Name",IF(ISNA(VLOOKUP(A2689,'Master List'!A:C,2,FALSE)), "Not Found", VLOOKUP(A2689,'Master List'!A:C,2,FALSE)))</f>
        <v>Name</v>
      </c>
      <c r="D2689" s="19" t="str">
        <f>IF(ISBLANK(A2689), "Email",IF(ISNA(VLOOKUP(A2689,'Master List'!A:C,3,FALSE)), "Not Found", VLOOKUP(A2689,'Master List'!A:C,3,FALSE)))</f>
        <v>Email</v>
      </c>
      <c r="F2689" s="4" t="str">
        <f>IF(OR(A2689="",E2689="","",A2689="?",E2689="?"),"duplicate?",IF(COUNTIFS($A:A,A2689,E:E,E2689)&gt;1,"yes","no"))</f>
        <v>duplicate?</v>
      </c>
      <c r="K2689" s="97" t="str">
        <f ca="1">IF(J2689="","Date",IF(J2689&lt;&gt;"",IF(K2689="Date",NOW(),K2689),""))</f>
        <v>Date</v>
      </c>
    </row>
    <row r="2690" spans="2:11">
      <c r="B2690" s="97" t="str">
        <f ca="1">IF(A2690="","Date",IF(A2690&lt;&gt;"",IF(B2690="Date",NOW(),B2690),""))</f>
        <v>Date</v>
      </c>
      <c r="C2690" s="19" t="str">
        <f>IF(ISBLANK(A2690),"Name",IF(ISNA(VLOOKUP(A2690,'Master List'!A:C,2,FALSE)), "Not Found", VLOOKUP(A2690,'Master List'!A:C,2,FALSE)))</f>
        <v>Name</v>
      </c>
      <c r="D2690" s="19" t="str">
        <f>IF(ISBLANK(A2690), "Email",IF(ISNA(VLOOKUP(A2690,'Master List'!A:C,3,FALSE)), "Not Found", VLOOKUP(A2690,'Master List'!A:C,3,FALSE)))</f>
        <v>Email</v>
      </c>
      <c r="F2690" s="4" t="str">
        <f>IF(OR(A2690="",E2690="","",A2690="?",E2690="?"),"duplicate?",IF(COUNTIFS($A:A,A2690,E:E,E2690)&gt;1,"yes","no"))</f>
        <v>duplicate?</v>
      </c>
      <c r="K2690" s="97" t="str">
        <f ca="1">IF(J2690="","Date",IF(J2690&lt;&gt;"",IF(K2690="Date",NOW(),K2690),""))</f>
        <v>Date</v>
      </c>
    </row>
    <row r="2691" spans="2:11">
      <c r="B2691" s="97" t="str">
        <f ca="1">IF(A2691="","Date",IF(A2691&lt;&gt;"",IF(B2691="Date",NOW(),B2691),""))</f>
        <v>Date</v>
      </c>
      <c r="C2691" s="19" t="str">
        <f>IF(ISBLANK(A2691),"Name",IF(ISNA(VLOOKUP(A2691,'Master List'!A:C,2,FALSE)), "Not Found", VLOOKUP(A2691,'Master List'!A:C,2,FALSE)))</f>
        <v>Name</v>
      </c>
      <c r="D2691" s="19" t="str">
        <f>IF(ISBLANK(A2691), "Email",IF(ISNA(VLOOKUP(A2691,'Master List'!A:C,3,FALSE)), "Not Found", VLOOKUP(A2691,'Master List'!A:C,3,FALSE)))</f>
        <v>Email</v>
      </c>
      <c r="F2691" s="4" t="str">
        <f>IF(OR(A2691="",E2691="","",A2691="?",E2691="?"),"duplicate?",IF(COUNTIFS($A:A,A2691,E:E,E2691)&gt;1,"yes","no"))</f>
        <v>duplicate?</v>
      </c>
      <c r="K2691" s="97" t="str">
        <f ca="1">IF(J2691="","Date",IF(J2691&lt;&gt;"",IF(K2691="Date",NOW(),K2691),""))</f>
        <v>Date</v>
      </c>
    </row>
    <row r="2692" spans="2:11">
      <c r="B2692" s="97" t="str">
        <f ca="1">IF(A2692="","Date",IF(A2692&lt;&gt;"",IF(B2692="Date",NOW(),B2692),""))</f>
        <v>Date</v>
      </c>
      <c r="C2692" s="19" t="str">
        <f>IF(ISBLANK(A2692),"Name",IF(ISNA(VLOOKUP(A2692,'Master List'!A:C,2,FALSE)), "Not Found", VLOOKUP(A2692,'Master List'!A:C,2,FALSE)))</f>
        <v>Name</v>
      </c>
      <c r="D2692" s="19" t="str">
        <f>IF(ISBLANK(A2692), "Email",IF(ISNA(VLOOKUP(A2692,'Master List'!A:C,3,FALSE)), "Not Found", VLOOKUP(A2692,'Master List'!A:C,3,FALSE)))</f>
        <v>Email</v>
      </c>
      <c r="F2692" s="4" t="str">
        <f>IF(OR(A2692="",E2692="","",A2692="?",E2692="?"),"duplicate?",IF(COUNTIFS($A:A,A2692,E:E,E2692)&gt;1,"yes","no"))</f>
        <v>duplicate?</v>
      </c>
      <c r="K2692" s="97" t="str">
        <f ca="1">IF(J2692="","Date",IF(J2692&lt;&gt;"",IF(K2692="Date",NOW(),K2692),""))</f>
        <v>Date</v>
      </c>
    </row>
    <row r="2693" spans="2:11">
      <c r="B2693" s="97" t="str">
        <f ca="1">IF(A2693="","Date",IF(A2693&lt;&gt;"",IF(B2693="Date",NOW(),B2693),""))</f>
        <v>Date</v>
      </c>
      <c r="C2693" s="19" t="str">
        <f>IF(ISBLANK(A2693),"Name",IF(ISNA(VLOOKUP(A2693,'Master List'!A:C,2,FALSE)), "Not Found", VLOOKUP(A2693,'Master List'!A:C,2,FALSE)))</f>
        <v>Name</v>
      </c>
      <c r="D2693" s="19" t="str">
        <f>IF(ISBLANK(A2693), "Email",IF(ISNA(VLOOKUP(A2693,'Master List'!A:C,3,FALSE)), "Not Found", VLOOKUP(A2693,'Master List'!A:C,3,FALSE)))</f>
        <v>Email</v>
      </c>
      <c r="F2693" s="4" t="str">
        <f>IF(OR(A2693="",E2693="","",A2693="?",E2693="?"),"duplicate?",IF(COUNTIFS($A:A,A2693,E:E,E2693)&gt;1,"yes","no"))</f>
        <v>duplicate?</v>
      </c>
      <c r="K2693" s="97" t="str">
        <f ca="1">IF(J2693="","Date",IF(J2693&lt;&gt;"",IF(K2693="Date",NOW(),K2693),""))</f>
        <v>Date</v>
      </c>
    </row>
    <row r="2694" spans="2:11">
      <c r="B2694" s="97" t="str">
        <f ca="1">IF(A2694="","Date",IF(A2694&lt;&gt;"",IF(B2694="Date",NOW(),B2694),""))</f>
        <v>Date</v>
      </c>
      <c r="C2694" s="19" t="str">
        <f>IF(ISBLANK(A2694),"Name",IF(ISNA(VLOOKUP(A2694,'Master List'!A:C,2,FALSE)), "Not Found", VLOOKUP(A2694,'Master List'!A:C,2,FALSE)))</f>
        <v>Name</v>
      </c>
      <c r="D2694" s="19" t="str">
        <f>IF(ISBLANK(A2694), "Email",IF(ISNA(VLOOKUP(A2694,'Master List'!A:C,3,FALSE)), "Not Found", VLOOKUP(A2694,'Master List'!A:C,3,FALSE)))</f>
        <v>Email</v>
      </c>
      <c r="F2694" s="4" t="str">
        <f>IF(OR(A2694="",E2694="","",A2694="?",E2694="?"),"duplicate?",IF(COUNTIFS($A:A,A2694,E:E,E2694)&gt;1,"yes","no"))</f>
        <v>duplicate?</v>
      </c>
      <c r="K2694" s="97" t="str">
        <f ca="1">IF(J2694="","Date",IF(J2694&lt;&gt;"",IF(K2694="Date",NOW(),K2694),""))</f>
        <v>Date</v>
      </c>
    </row>
    <row r="2695" spans="2:11">
      <c r="B2695" s="97" t="str">
        <f ca="1">IF(A2695="","Date",IF(A2695&lt;&gt;"",IF(B2695="Date",NOW(),B2695),""))</f>
        <v>Date</v>
      </c>
      <c r="C2695" s="19" t="str">
        <f>IF(ISBLANK(A2695),"Name",IF(ISNA(VLOOKUP(A2695,'Master List'!A:C,2,FALSE)), "Not Found", VLOOKUP(A2695,'Master List'!A:C,2,FALSE)))</f>
        <v>Name</v>
      </c>
      <c r="D2695" s="19" t="str">
        <f>IF(ISBLANK(A2695), "Email",IF(ISNA(VLOOKUP(A2695,'Master List'!A:C,3,FALSE)), "Not Found", VLOOKUP(A2695,'Master List'!A:C,3,FALSE)))</f>
        <v>Email</v>
      </c>
      <c r="F2695" s="4" t="str">
        <f>IF(OR(A2695="",E2695="","",A2695="?",E2695="?"),"duplicate?",IF(COUNTIFS($A:A,A2695,E:E,E2695)&gt;1,"yes","no"))</f>
        <v>duplicate?</v>
      </c>
      <c r="K2695" s="97" t="str">
        <f ca="1">IF(J2695="","Date",IF(J2695&lt;&gt;"",IF(K2695="Date",NOW(),K2695),""))</f>
        <v>Date</v>
      </c>
    </row>
    <row r="2696" spans="2:11">
      <c r="B2696" s="97" t="str">
        <f ca="1">IF(A2696="","Date",IF(A2696&lt;&gt;"",IF(B2696="Date",NOW(),B2696),""))</f>
        <v>Date</v>
      </c>
      <c r="C2696" s="19" t="str">
        <f>IF(ISBLANK(A2696),"Name",IF(ISNA(VLOOKUP(A2696,'Master List'!A:C,2,FALSE)), "Not Found", VLOOKUP(A2696,'Master List'!A:C,2,FALSE)))</f>
        <v>Name</v>
      </c>
      <c r="D2696" s="19" t="str">
        <f>IF(ISBLANK(A2696), "Email",IF(ISNA(VLOOKUP(A2696,'Master List'!A:C,3,FALSE)), "Not Found", VLOOKUP(A2696,'Master List'!A:C,3,FALSE)))</f>
        <v>Email</v>
      </c>
      <c r="F2696" s="4" t="str">
        <f>IF(OR(A2696="",E2696="","",A2696="?",E2696="?"),"duplicate?",IF(COUNTIFS($A:A,A2696,E:E,E2696)&gt;1,"yes","no"))</f>
        <v>duplicate?</v>
      </c>
      <c r="K2696" s="97" t="str">
        <f ca="1">IF(J2696="","Date",IF(J2696&lt;&gt;"",IF(K2696="Date",NOW(),K2696),""))</f>
        <v>Date</v>
      </c>
    </row>
    <row r="2697" spans="2:11">
      <c r="B2697" s="97" t="str">
        <f ca="1">IF(A2697="","Date",IF(A2697&lt;&gt;"",IF(B2697="Date",NOW(),B2697),""))</f>
        <v>Date</v>
      </c>
      <c r="C2697" s="19" t="str">
        <f>IF(ISBLANK(A2697),"Name",IF(ISNA(VLOOKUP(A2697,'Master List'!A:C,2,FALSE)), "Not Found", VLOOKUP(A2697,'Master List'!A:C,2,FALSE)))</f>
        <v>Name</v>
      </c>
      <c r="D2697" s="19" t="str">
        <f>IF(ISBLANK(A2697), "Email",IF(ISNA(VLOOKUP(A2697,'Master List'!A:C,3,FALSE)), "Not Found", VLOOKUP(A2697,'Master List'!A:C,3,FALSE)))</f>
        <v>Email</v>
      </c>
      <c r="F2697" s="4" t="str">
        <f>IF(OR(A2697="",E2697="","",A2697="?",E2697="?"),"duplicate?",IF(COUNTIFS($A:A,A2697,E:E,E2697)&gt;1,"yes","no"))</f>
        <v>duplicate?</v>
      </c>
      <c r="K2697" s="97" t="str">
        <f ca="1">IF(J2697="","Date",IF(J2697&lt;&gt;"",IF(K2697="Date",NOW(),K2697),""))</f>
        <v>Date</v>
      </c>
    </row>
    <row r="2698" spans="2:11">
      <c r="B2698" s="97" t="str">
        <f ca="1">IF(A2698="","Date",IF(A2698&lt;&gt;"",IF(B2698="Date",NOW(),B2698),""))</f>
        <v>Date</v>
      </c>
      <c r="C2698" s="19" t="str">
        <f>IF(ISBLANK(A2698),"Name",IF(ISNA(VLOOKUP(A2698,'Master List'!A:C,2,FALSE)), "Not Found", VLOOKUP(A2698,'Master List'!A:C,2,FALSE)))</f>
        <v>Name</v>
      </c>
      <c r="D2698" s="19" t="str">
        <f>IF(ISBLANK(A2698), "Email",IF(ISNA(VLOOKUP(A2698,'Master List'!A:C,3,FALSE)), "Not Found", VLOOKUP(A2698,'Master List'!A:C,3,FALSE)))</f>
        <v>Email</v>
      </c>
      <c r="F2698" s="4" t="str">
        <f>IF(OR(A2698="",E2698="","",A2698="?",E2698="?"),"duplicate?",IF(COUNTIFS($A:A,A2698,E:E,E2698)&gt;1,"yes","no"))</f>
        <v>duplicate?</v>
      </c>
      <c r="K2698" s="97" t="str">
        <f ca="1">IF(J2698="","Date",IF(J2698&lt;&gt;"",IF(K2698="Date",NOW(),K2698),""))</f>
        <v>Date</v>
      </c>
    </row>
    <row r="2699" spans="2:11">
      <c r="B2699" s="97" t="str">
        <f ca="1">IF(A2699="","Date",IF(A2699&lt;&gt;"",IF(B2699="Date",NOW(),B2699),""))</f>
        <v>Date</v>
      </c>
      <c r="C2699" s="19" t="str">
        <f>IF(ISBLANK(A2699),"Name",IF(ISNA(VLOOKUP(A2699,'Master List'!A:C,2,FALSE)), "Not Found", VLOOKUP(A2699,'Master List'!A:C,2,FALSE)))</f>
        <v>Name</v>
      </c>
      <c r="D2699" s="19" t="str">
        <f>IF(ISBLANK(A2699), "Email",IF(ISNA(VLOOKUP(A2699,'Master List'!A:C,3,FALSE)), "Not Found", VLOOKUP(A2699,'Master List'!A:C,3,FALSE)))</f>
        <v>Email</v>
      </c>
      <c r="F2699" s="4" t="str">
        <f>IF(OR(A2699="",E2699="","",A2699="?",E2699="?"),"duplicate?",IF(COUNTIFS($A:A,A2699,E:E,E2699)&gt;1,"yes","no"))</f>
        <v>duplicate?</v>
      </c>
      <c r="K2699" s="97" t="str">
        <f ca="1">IF(J2699="","Date",IF(J2699&lt;&gt;"",IF(K2699="Date",NOW(),K2699),""))</f>
        <v>Date</v>
      </c>
    </row>
    <row r="2700" spans="2:11">
      <c r="B2700" s="97" t="str">
        <f ca="1">IF(A2700="","Date",IF(A2700&lt;&gt;"",IF(B2700="Date",NOW(),B2700),""))</f>
        <v>Date</v>
      </c>
      <c r="C2700" s="19" t="str">
        <f>IF(ISBLANK(A2700),"Name",IF(ISNA(VLOOKUP(A2700,'Master List'!A:C,2,FALSE)), "Not Found", VLOOKUP(A2700,'Master List'!A:C,2,FALSE)))</f>
        <v>Name</v>
      </c>
      <c r="D2700" s="19" t="str">
        <f>IF(ISBLANK(A2700), "Email",IF(ISNA(VLOOKUP(A2700,'Master List'!A:C,3,FALSE)), "Not Found", VLOOKUP(A2700,'Master List'!A:C,3,FALSE)))</f>
        <v>Email</v>
      </c>
      <c r="F2700" s="4" t="str">
        <f>IF(OR(A2700="",E2700="","",A2700="?",E2700="?"),"duplicate?",IF(COUNTIFS($A:A,A2700,E:E,E2700)&gt;1,"yes","no"))</f>
        <v>duplicate?</v>
      </c>
      <c r="K2700" s="97" t="str">
        <f ca="1">IF(J2700="","Date",IF(J2700&lt;&gt;"",IF(K2700="Date",NOW(),K2700),""))</f>
        <v>Date</v>
      </c>
    </row>
    <row r="2701" spans="2:11">
      <c r="B2701" s="97" t="str">
        <f ca="1">IF(A2701="","Date",IF(A2701&lt;&gt;"",IF(B2701="Date",NOW(),B2701),""))</f>
        <v>Date</v>
      </c>
      <c r="C2701" s="19" t="str">
        <f>IF(ISBLANK(A2701),"Name",IF(ISNA(VLOOKUP(A2701,'Master List'!A:C,2,FALSE)), "Not Found", VLOOKUP(A2701,'Master List'!A:C,2,FALSE)))</f>
        <v>Name</v>
      </c>
      <c r="D2701" s="19" t="str">
        <f>IF(ISBLANK(A2701), "Email",IF(ISNA(VLOOKUP(A2701,'Master List'!A:C,3,FALSE)), "Not Found", VLOOKUP(A2701,'Master List'!A:C,3,FALSE)))</f>
        <v>Email</v>
      </c>
      <c r="F2701" s="4" t="str">
        <f>IF(OR(A2701="",E2701="","",A2701="?",E2701="?"),"duplicate?",IF(COUNTIFS($A:A,A2701,E:E,E2701)&gt;1,"yes","no"))</f>
        <v>duplicate?</v>
      </c>
      <c r="K2701" s="97" t="str">
        <f ca="1">IF(J2701="","Date",IF(J2701&lt;&gt;"",IF(K2701="Date",NOW(),K2701),""))</f>
        <v>Date</v>
      </c>
    </row>
    <row r="2702" spans="2:11">
      <c r="B2702" s="97" t="str">
        <f ca="1">IF(A2702="","Date",IF(A2702&lt;&gt;"",IF(B2702="Date",NOW(),B2702),""))</f>
        <v>Date</v>
      </c>
      <c r="C2702" s="19" t="str">
        <f>IF(ISBLANK(A2702),"Name",IF(ISNA(VLOOKUP(A2702,'Master List'!A:C,2,FALSE)), "Not Found", VLOOKUP(A2702,'Master List'!A:C,2,FALSE)))</f>
        <v>Name</v>
      </c>
      <c r="D2702" s="19" t="str">
        <f>IF(ISBLANK(A2702), "Email",IF(ISNA(VLOOKUP(A2702,'Master List'!A:C,3,FALSE)), "Not Found", VLOOKUP(A2702,'Master List'!A:C,3,FALSE)))</f>
        <v>Email</v>
      </c>
      <c r="F2702" s="4" t="str">
        <f>IF(OR(A2702="",E2702="","",A2702="?",E2702="?"),"duplicate?",IF(COUNTIFS($A:A,A2702,E:E,E2702)&gt;1,"yes","no"))</f>
        <v>duplicate?</v>
      </c>
      <c r="K2702" s="97" t="str">
        <f ca="1">IF(J2702="","Date",IF(J2702&lt;&gt;"",IF(K2702="Date",NOW(),K2702),""))</f>
        <v>Date</v>
      </c>
    </row>
    <row r="2703" spans="2:11">
      <c r="B2703" s="97" t="str">
        <f ca="1">IF(A2703="","Date",IF(A2703&lt;&gt;"",IF(B2703="Date",NOW(),B2703),""))</f>
        <v>Date</v>
      </c>
      <c r="C2703" s="19" t="str">
        <f>IF(ISBLANK(A2703),"Name",IF(ISNA(VLOOKUP(A2703,'Master List'!A:C,2,FALSE)), "Not Found", VLOOKUP(A2703,'Master List'!A:C,2,FALSE)))</f>
        <v>Name</v>
      </c>
      <c r="D2703" s="19" t="str">
        <f>IF(ISBLANK(A2703), "Email",IF(ISNA(VLOOKUP(A2703,'Master List'!A:C,3,FALSE)), "Not Found", VLOOKUP(A2703,'Master List'!A:C,3,FALSE)))</f>
        <v>Email</v>
      </c>
      <c r="F2703" s="4" t="str">
        <f>IF(OR(A2703="",E2703="","",A2703="?",E2703="?"),"duplicate?",IF(COUNTIFS($A:A,A2703,E:E,E2703)&gt;1,"yes","no"))</f>
        <v>duplicate?</v>
      </c>
      <c r="K2703" s="97" t="str">
        <f ca="1">IF(J2703="","Date",IF(J2703&lt;&gt;"",IF(K2703="Date",NOW(),K2703),""))</f>
        <v>Date</v>
      </c>
    </row>
    <row r="2704" spans="2:11">
      <c r="B2704" s="97" t="str">
        <f ca="1">IF(A2704="","Date",IF(A2704&lt;&gt;"",IF(B2704="Date",NOW(),B2704),""))</f>
        <v>Date</v>
      </c>
      <c r="C2704" s="19" t="str">
        <f>IF(ISBLANK(A2704),"Name",IF(ISNA(VLOOKUP(A2704,'Master List'!A:C,2,FALSE)), "Not Found", VLOOKUP(A2704,'Master List'!A:C,2,FALSE)))</f>
        <v>Name</v>
      </c>
      <c r="D2704" s="19" t="str">
        <f>IF(ISBLANK(A2704), "Email",IF(ISNA(VLOOKUP(A2704,'Master List'!A:C,3,FALSE)), "Not Found", VLOOKUP(A2704,'Master List'!A:C,3,FALSE)))</f>
        <v>Email</v>
      </c>
      <c r="F2704" s="4" t="str">
        <f>IF(OR(A2704="",E2704="","",A2704="?",E2704="?"),"duplicate?",IF(COUNTIFS($A:A,A2704,E:E,E2704)&gt;1,"yes","no"))</f>
        <v>duplicate?</v>
      </c>
      <c r="K2704" s="97" t="str">
        <f ca="1">IF(J2704="","Date",IF(J2704&lt;&gt;"",IF(K2704="Date",NOW(),K2704),""))</f>
        <v>Date</v>
      </c>
    </row>
    <row r="2705" spans="2:11">
      <c r="B2705" s="97" t="str">
        <f ca="1">IF(A2705="","Date",IF(A2705&lt;&gt;"",IF(B2705="Date",NOW(),B2705),""))</f>
        <v>Date</v>
      </c>
      <c r="C2705" s="19" t="str">
        <f>IF(ISBLANK(A2705),"Name",IF(ISNA(VLOOKUP(A2705,'Master List'!A:C,2,FALSE)), "Not Found", VLOOKUP(A2705,'Master List'!A:C,2,FALSE)))</f>
        <v>Name</v>
      </c>
      <c r="D2705" s="19" t="str">
        <f>IF(ISBLANK(A2705), "Email",IF(ISNA(VLOOKUP(A2705,'Master List'!A:C,3,FALSE)), "Not Found", VLOOKUP(A2705,'Master List'!A:C,3,FALSE)))</f>
        <v>Email</v>
      </c>
      <c r="F2705" s="4" t="str">
        <f>IF(OR(A2705="",E2705="","",A2705="?",E2705="?"),"duplicate?",IF(COUNTIFS($A:A,A2705,E:E,E2705)&gt;1,"yes","no"))</f>
        <v>duplicate?</v>
      </c>
      <c r="K2705" s="97" t="str">
        <f ca="1">IF(J2705="","Date",IF(J2705&lt;&gt;"",IF(K2705="Date",NOW(),K2705),""))</f>
        <v>Date</v>
      </c>
    </row>
    <row r="2706" spans="2:11">
      <c r="B2706" s="97" t="str">
        <f ca="1">IF(A2706="","Date",IF(A2706&lt;&gt;"",IF(B2706="Date",NOW(),B2706),""))</f>
        <v>Date</v>
      </c>
      <c r="C2706" s="19" t="str">
        <f>IF(ISBLANK(A2706),"Name",IF(ISNA(VLOOKUP(A2706,'Master List'!A:C,2,FALSE)), "Not Found", VLOOKUP(A2706,'Master List'!A:C,2,FALSE)))</f>
        <v>Name</v>
      </c>
      <c r="D2706" s="19" t="str">
        <f>IF(ISBLANK(A2706), "Email",IF(ISNA(VLOOKUP(A2706,'Master List'!A:C,3,FALSE)), "Not Found", VLOOKUP(A2706,'Master List'!A:C,3,FALSE)))</f>
        <v>Email</v>
      </c>
      <c r="F2706" s="4" t="str">
        <f>IF(OR(A2706="",E2706="","",A2706="?",E2706="?"),"duplicate?",IF(COUNTIFS($A:A,A2706,E:E,E2706)&gt;1,"yes","no"))</f>
        <v>duplicate?</v>
      </c>
      <c r="K2706" s="97" t="str">
        <f ca="1">IF(J2706="","Date",IF(J2706&lt;&gt;"",IF(K2706="Date",NOW(),K2706),""))</f>
        <v>Date</v>
      </c>
    </row>
    <row r="2707" spans="2:11">
      <c r="B2707" s="97" t="str">
        <f ca="1">IF(A2707="","Date",IF(A2707&lt;&gt;"",IF(B2707="Date",NOW(),B2707),""))</f>
        <v>Date</v>
      </c>
      <c r="C2707" s="19" t="str">
        <f>IF(ISBLANK(A2707),"Name",IF(ISNA(VLOOKUP(A2707,'Master List'!A:C,2,FALSE)), "Not Found", VLOOKUP(A2707,'Master List'!A:C,2,FALSE)))</f>
        <v>Name</v>
      </c>
      <c r="D2707" s="19" t="str">
        <f>IF(ISBLANK(A2707), "Email",IF(ISNA(VLOOKUP(A2707,'Master List'!A:C,3,FALSE)), "Not Found", VLOOKUP(A2707,'Master List'!A:C,3,FALSE)))</f>
        <v>Email</v>
      </c>
      <c r="F2707" s="4" t="str">
        <f>IF(OR(A2707="",E2707="","",A2707="?",E2707="?"),"duplicate?",IF(COUNTIFS($A:A,A2707,E:E,E2707)&gt;1,"yes","no"))</f>
        <v>duplicate?</v>
      </c>
      <c r="K2707" s="97" t="str">
        <f ca="1">IF(J2707="","Date",IF(J2707&lt;&gt;"",IF(K2707="Date",NOW(),K2707),""))</f>
        <v>Date</v>
      </c>
    </row>
    <row r="2708" spans="2:11">
      <c r="B2708" s="97" t="str">
        <f ca="1">IF(A2708="","Date",IF(A2708&lt;&gt;"",IF(B2708="Date",NOW(),B2708),""))</f>
        <v>Date</v>
      </c>
      <c r="C2708" s="19" t="str">
        <f>IF(ISBLANK(A2708),"Name",IF(ISNA(VLOOKUP(A2708,'Master List'!A:C,2,FALSE)), "Not Found", VLOOKUP(A2708,'Master List'!A:C,2,FALSE)))</f>
        <v>Name</v>
      </c>
      <c r="D2708" s="19" t="str">
        <f>IF(ISBLANK(A2708), "Email",IF(ISNA(VLOOKUP(A2708,'Master List'!A:C,3,FALSE)), "Not Found", VLOOKUP(A2708,'Master List'!A:C,3,FALSE)))</f>
        <v>Email</v>
      </c>
      <c r="F2708" s="4" t="str">
        <f>IF(OR(A2708="",E2708="","",A2708="?",E2708="?"),"duplicate?",IF(COUNTIFS($A:A,A2708,E:E,E2708)&gt;1,"yes","no"))</f>
        <v>duplicate?</v>
      </c>
      <c r="K2708" s="97" t="str">
        <f ca="1">IF(J2708="","Date",IF(J2708&lt;&gt;"",IF(K2708="Date",NOW(),K2708),""))</f>
        <v>Date</v>
      </c>
    </row>
    <row r="2709" spans="2:11">
      <c r="B2709" s="97" t="str">
        <f ca="1">IF(A2709="","Date",IF(A2709&lt;&gt;"",IF(B2709="Date",NOW(),B2709),""))</f>
        <v>Date</v>
      </c>
      <c r="C2709" s="19" t="str">
        <f>IF(ISBLANK(A2709),"Name",IF(ISNA(VLOOKUP(A2709,'Master List'!A:C,2,FALSE)), "Not Found", VLOOKUP(A2709,'Master List'!A:C,2,FALSE)))</f>
        <v>Name</v>
      </c>
      <c r="D2709" s="19" t="str">
        <f>IF(ISBLANK(A2709), "Email",IF(ISNA(VLOOKUP(A2709,'Master List'!A:C,3,FALSE)), "Not Found", VLOOKUP(A2709,'Master List'!A:C,3,FALSE)))</f>
        <v>Email</v>
      </c>
      <c r="F2709" s="4" t="str">
        <f>IF(OR(A2709="",E2709="","",A2709="?",E2709="?"),"duplicate?",IF(COUNTIFS($A:A,A2709,E:E,E2709)&gt;1,"yes","no"))</f>
        <v>duplicate?</v>
      </c>
      <c r="K2709" s="97" t="str">
        <f ca="1">IF(J2709="","Date",IF(J2709&lt;&gt;"",IF(K2709="Date",NOW(),K2709),""))</f>
        <v>Date</v>
      </c>
    </row>
    <row r="2710" spans="2:11">
      <c r="B2710" s="97" t="str">
        <f ca="1">IF(A2710="","Date",IF(A2710&lt;&gt;"",IF(B2710="Date",NOW(),B2710),""))</f>
        <v>Date</v>
      </c>
      <c r="C2710" s="19" t="str">
        <f>IF(ISBLANK(A2710),"Name",IF(ISNA(VLOOKUP(A2710,'Master List'!A:C,2,FALSE)), "Not Found", VLOOKUP(A2710,'Master List'!A:C,2,FALSE)))</f>
        <v>Name</v>
      </c>
      <c r="D2710" s="19" t="str">
        <f>IF(ISBLANK(A2710), "Email",IF(ISNA(VLOOKUP(A2710,'Master List'!A:C,3,FALSE)), "Not Found", VLOOKUP(A2710,'Master List'!A:C,3,FALSE)))</f>
        <v>Email</v>
      </c>
      <c r="F2710" s="4" t="str">
        <f>IF(OR(A2710="",E2710="","",A2710="?",E2710="?"),"duplicate?",IF(COUNTIFS($A:A,A2710,E:E,E2710)&gt;1,"yes","no"))</f>
        <v>duplicate?</v>
      </c>
      <c r="K2710" s="97" t="str">
        <f ca="1">IF(J2710="","Date",IF(J2710&lt;&gt;"",IF(K2710="Date",NOW(),K2710),""))</f>
        <v>Date</v>
      </c>
    </row>
    <row r="2711" spans="2:11">
      <c r="B2711" s="97" t="str">
        <f ca="1">IF(A2711="","Date",IF(A2711&lt;&gt;"",IF(B2711="Date",NOW(),B2711),""))</f>
        <v>Date</v>
      </c>
      <c r="C2711" s="19" t="str">
        <f>IF(ISBLANK(A2711),"Name",IF(ISNA(VLOOKUP(A2711,'Master List'!A:C,2,FALSE)), "Not Found", VLOOKUP(A2711,'Master List'!A:C,2,FALSE)))</f>
        <v>Name</v>
      </c>
      <c r="D2711" s="19" t="str">
        <f>IF(ISBLANK(A2711), "Email",IF(ISNA(VLOOKUP(A2711,'Master List'!A:C,3,FALSE)), "Not Found", VLOOKUP(A2711,'Master List'!A:C,3,FALSE)))</f>
        <v>Email</v>
      </c>
      <c r="F2711" s="4" t="str">
        <f>IF(OR(A2711="",E2711="","",A2711="?",E2711="?"),"duplicate?",IF(COUNTIFS($A:A,A2711,E:E,E2711)&gt;1,"yes","no"))</f>
        <v>duplicate?</v>
      </c>
      <c r="K2711" s="97" t="str">
        <f ca="1">IF(J2711="","Date",IF(J2711&lt;&gt;"",IF(K2711="Date",NOW(),K2711),""))</f>
        <v>Date</v>
      </c>
    </row>
    <row r="2712" spans="2:11">
      <c r="B2712" s="97" t="str">
        <f ca="1">IF(A2712="","Date",IF(A2712&lt;&gt;"",IF(B2712="Date",NOW(),B2712),""))</f>
        <v>Date</v>
      </c>
      <c r="C2712" s="19" t="str">
        <f>IF(ISBLANK(A2712),"Name",IF(ISNA(VLOOKUP(A2712,'Master List'!A:C,2,FALSE)), "Not Found", VLOOKUP(A2712,'Master List'!A:C,2,FALSE)))</f>
        <v>Name</v>
      </c>
      <c r="D2712" s="19" t="str">
        <f>IF(ISBLANK(A2712), "Email",IF(ISNA(VLOOKUP(A2712,'Master List'!A:C,3,FALSE)), "Not Found", VLOOKUP(A2712,'Master List'!A:C,3,FALSE)))</f>
        <v>Email</v>
      </c>
      <c r="F2712" s="4" t="str">
        <f>IF(OR(A2712="",E2712="","",A2712="?",E2712="?"),"duplicate?",IF(COUNTIFS($A:A,A2712,E:E,E2712)&gt;1,"yes","no"))</f>
        <v>duplicate?</v>
      </c>
      <c r="K2712" s="97" t="str">
        <f ca="1">IF(J2712="","Date",IF(J2712&lt;&gt;"",IF(K2712="Date",NOW(),K2712),""))</f>
        <v>Date</v>
      </c>
    </row>
    <row r="2713" spans="2:11">
      <c r="B2713" s="97" t="str">
        <f ca="1">IF(A2713="","Date",IF(A2713&lt;&gt;"",IF(B2713="Date",NOW(),B2713),""))</f>
        <v>Date</v>
      </c>
      <c r="C2713" s="19" t="str">
        <f>IF(ISBLANK(A2713),"Name",IF(ISNA(VLOOKUP(A2713,'Master List'!A:C,2,FALSE)), "Not Found", VLOOKUP(A2713,'Master List'!A:C,2,FALSE)))</f>
        <v>Name</v>
      </c>
      <c r="D2713" s="19" t="str">
        <f>IF(ISBLANK(A2713), "Email",IF(ISNA(VLOOKUP(A2713,'Master List'!A:C,3,FALSE)), "Not Found", VLOOKUP(A2713,'Master List'!A:C,3,FALSE)))</f>
        <v>Email</v>
      </c>
      <c r="F2713" s="4" t="str">
        <f>IF(OR(A2713="",E2713="","",A2713="?",E2713="?"),"duplicate?",IF(COUNTIFS($A:A,A2713,E:E,E2713)&gt;1,"yes","no"))</f>
        <v>duplicate?</v>
      </c>
      <c r="K2713" s="97" t="str">
        <f ca="1">IF(J2713="","Date",IF(J2713&lt;&gt;"",IF(K2713="Date",NOW(),K2713),""))</f>
        <v>Date</v>
      </c>
    </row>
    <row r="2714" spans="2:11">
      <c r="B2714" s="97" t="str">
        <f ca="1">IF(A2714="","Date",IF(A2714&lt;&gt;"",IF(B2714="Date",NOW(),B2714),""))</f>
        <v>Date</v>
      </c>
      <c r="C2714" s="19" t="str">
        <f>IF(ISBLANK(A2714),"Name",IF(ISNA(VLOOKUP(A2714,'Master List'!A:C,2,FALSE)), "Not Found", VLOOKUP(A2714,'Master List'!A:C,2,FALSE)))</f>
        <v>Name</v>
      </c>
      <c r="D2714" s="19" t="str">
        <f>IF(ISBLANK(A2714), "Email",IF(ISNA(VLOOKUP(A2714,'Master List'!A:C,3,FALSE)), "Not Found", VLOOKUP(A2714,'Master List'!A:C,3,FALSE)))</f>
        <v>Email</v>
      </c>
      <c r="F2714" s="4" t="str">
        <f>IF(OR(A2714="",E2714="","",A2714="?",E2714="?"),"duplicate?",IF(COUNTIFS($A:A,A2714,E:E,E2714)&gt;1,"yes","no"))</f>
        <v>duplicate?</v>
      </c>
      <c r="K2714" s="97" t="str">
        <f ca="1">IF(J2714="","Date",IF(J2714&lt;&gt;"",IF(K2714="Date",NOW(),K2714),""))</f>
        <v>Date</v>
      </c>
    </row>
    <row r="2715" spans="2:11">
      <c r="B2715" s="97" t="str">
        <f ca="1">IF(A2715="","Date",IF(A2715&lt;&gt;"",IF(B2715="Date",NOW(),B2715),""))</f>
        <v>Date</v>
      </c>
      <c r="C2715" s="19" t="str">
        <f>IF(ISBLANK(A2715),"Name",IF(ISNA(VLOOKUP(A2715,'Master List'!A:C,2,FALSE)), "Not Found", VLOOKUP(A2715,'Master List'!A:C,2,FALSE)))</f>
        <v>Name</v>
      </c>
      <c r="D2715" s="19" t="str">
        <f>IF(ISBLANK(A2715), "Email",IF(ISNA(VLOOKUP(A2715,'Master List'!A:C,3,FALSE)), "Not Found", VLOOKUP(A2715,'Master List'!A:C,3,FALSE)))</f>
        <v>Email</v>
      </c>
      <c r="F2715" s="4" t="str">
        <f>IF(OR(A2715="",E2715="","",A2715="?",E2715="?"),"duplicate?",IF(COUNTIFS($A:A,A2715,E:E,E2715)&gt;1,"yes","no"))</f>
        <v>duplicate?</v>
      </c>
      <c r="K2715" s="97" t="str">
        <f ca="1">IF(J2715="","Date",IF(J2715&lt;&gt;"",IF(K2715="Date",NOW(),K2715),""))</f>
        <v>Date</v>
      </c>
    </row>
    <row r="2716" spans="2:11">
      <c r="B2716" s="97" t="str">
        <f ca="1">IF(A2716="","Date",IF(A2716&lt;&gt;"",IF(B2716="Date",NOW(),B2716),""))</f>
        <v>Date</v>
      </c>
      <c r="C2716" s="19" t="str">
        <f>IF(ISBLANK(A2716),"Name",IF(ISNA(VLOOKUP(A2716,'Master List'!A:C,2,FALSE)), "Not Found", VLOOKUP(A2716,'Master List'!A:C,2,FALSE)))</f>
        <v>Name</v>
      </c>
      <c r="D2716" s="19" t="str">
        <f>IF(ISBLANK(A2716), "Email",IF(ISNA(VLOOKUP(A2716,'Master List'!A:C,3,FALSE)), "Not Found", VLOOKUP(A2716,'Master List'!A:C,3,FALSE)))</f>
        <v>Email</v>
      </c>
      <c r="F2716" s="4" t="str">
        <f>IF(OR(A2716="",E2716="","",A2716="?",E2716="?"),"duplicate?",IF(COUNTIFS($A:A,A2716,E:E,E2716)&gt;1,"yes","no"))</f>
        <v>duplicate?</v>
      </c>
      <c r="K2716" s="97" t="str">
        <f ca="1">IF(J2716="","Date",IF(J2716&lt;&gt;"",IF(K2716="Date",NOW(),K2716),""))</f>
        <v>Date</v>
      </c>
    </row>
    <row r="2717" spans="2:11">
      <c r="B2717" s="97" t="str">
        <f ca="1">IF(A2717="","Date",IF(A2717&lt;&gt;"",IF(B2717="Date",NOW(),B2717),""))</f>
        <v>Date</v>
      </c>
      <c r="C2717" s="19" t="str">
        <f>IF(ISBLANK(A2717),"Name",IF(ISNA(VLOOKUP(A2717,'Master List'!A:C,2,FALSE)), "Not Found", VLOOKUP(A2717,'Master List'!A:C,2,FALSE)))</f>
        <v>Name</v>
      </c>
      <c r="D2717" s="19" t="str">
        <f>IF(ISBLANK(A2717), "Email",IF(ISNA(VLOOKUP(A2717,'Master List'!A:C,3,FALSE)), "Not Found", VLOOKUP(A2717,'Master List'!A:C,3,FALSE)))</f>
        <v>Email</v>
      </c>
      <c r="F2717" s="4" t="str">
        <f>IF(OR(A2717="",E2717="","",A2717="?",E2717="?"),"duplicate?",IF(COUNTIFS($A:A,A2717,E:E,E2717)&gt;1,"yes","no"))</f>
        <v>duplicate?</v>
      </c>
      <c r="K2717" s="97" t="str">
        <f ca="1">IF(J2717="","Date",IF(J2717&lt;&gt;"",IF(K2717="Date",NOW(),K2717),""))</f>
        <v>Date</v>
      </c>
    </row>
    <row r="2718" spans="2:11">
      <c r="B2718" s="97" t="str">
        <f ca="1">IF(A2718="","Date",IF(A2718&lt;&gt;"",IF(B2718="Date",NOW(),B2718),""))</f>
        <v>Date</v>
      </c>
      <c r="C2718" s="19" t="str">
        <f>IF(ISBLANK(A2718),"Name",IF(ISNA(VLOOKUP(A2718,'Master List'!A:C,2,FALSE)), "Not Found", VLOOKUP(A2718,'Master List'!A:C,2,FALSE)))</f>
        <v>Name</v>
      </c>
      <c r="D2718" s="19" t="str">
        <f>IF(ISBLANK(A2718), "Email",IF(ISNA(VLOOKUP(A2718,'Master List'!A:C,3,FALSE)), "Not Found", VLOOKUP(A2718,'Master List'!A:C,3,FALSE)))</f>
        <v>Email</v>
      </c>
      <c r="F2718" s="4" t="str">
        <f>IF(OR(A2718="",E2718="","",A2718="?",E2718="?"),"duplicate?",IF(COUNTIFS($A:A,A2718,E:E,E2718)&gt;1,"yes","no"))</f>
        <v>duplicate?</v>
      </c>
      <c r="K2718" s="97" t="str">
        <f ca="1">IF(J2718="","Date",IF(J2718&lt;&gt;"",IF(K2718="Date",NOW(),K2718),""))</f>
        <v>Date</v>
      </c>
    </row>
    <row r="2719" spans="2:11">
      <c r="B2719" s="97" t="str">
        <f ca="1">IF(A2719="","Date",IF(A2719&lt;&gt;"",IF(B2719="Date",NOW(),B2719),""))</f>
        <v>Date</v>
      </c>
      <c r="C2719" s="19" t="str">
        <f>IF(ISBLANK(A2719),"Name",IF(ISNA(VLOOKUP(A2719,'Master List'!A:C,2,FALSE)), "Not Found", VLOOKUP(A2719,'Master List'!A:C,2,FALSE)))</f>
        <v>Name</v>
      </c>
      <c r="D2719" s="19" t="str">
        <f>IF(ISBLANK(A2719), "Email",IF(ISNA(VLOOKUP(A2719,'Master List'!A:C,3,FALSE)), "Not Found", VLOOKUP(A2719,'Master List'!A:C,3,FALSE)))</f>
        <v>Email</v>
      </c>
      <c r="F2719" s="4" t="str">
        <f>IF(OR(A2719="",E2719="","",A2719="?",E2719="?"),"duplicate?",IF(COUNTIFS($A:A,A2719,E:E,E2719)&gt;1,"yes","no"))</f>
        <v>duplicate?</v>
      </c>
      <c r="K2719" s="97" t="str">
        <f ca="1">IF(J2719="","Date",IF(J2719&lt;&gt;"",IF(K2719="Date",NOW(),K2719),""))</f>
        <v>Date</v>
      </c>
    </row>
    <row r="2720" spans="2:11">
      <c r="B2720" s="97" t="str">
        <f ca="1">IF(A2720="","Date",IF(A2720&lt;&gt;"",IF(B2720="Date",NOW(),B2720),""))</f>
        <v>Date</v>
      </c>
      <c r="C2720" s="19" t="str">
        <f>IF(ISBLANK(A2720),"Name",IF(ISNA(VLOOKUP(A2720,'Master List'!A:C,2,FALSE)), "Not Found", VLOOKUP(A2720,'Master List'!A:C,2,FALSE)))</f>
        <v>Name</v>
      </c>
      <c r="D2720" s="19" t="str">
        <f>IF(ISBLANK(A2720), "Email",IF(ISNA(VLOOKUP(A2720,'Master List'!A:C,3,FALSE)), "Not Found", VLOOKUP(A2720,'Master List'!A:C,3,FALSE)))</f>
        <v>Email</v>
      </c>
      <c r="F2720" s="4" t="str">
        <f>IF(OR(A2720="",E2720="","",A2720="?",E2720="?"),"duplicate?",IF(COUNTIFS($A:A,A2720,E:E,E2720)&gt;1,"yes","no"))</f>
        <v>duplicate?</v>
      </c>
      <c r="K2720" s="97" t="str">
        <f ca="1">IF(J2720="","Date",IF(J2720&lt;&gt;"",IF(K2720="Date",NOW(),K2720),""))</f>
        <v>Date</v>
      </c>
    </row>
    <row r="2721" spans="2:11">
      <c r="B2721" s="97" t="str">
        <f ca="1">IF(A2721="","Date",IF(A2721&lt;&gt;"",IF(B2721="Date",NOW(),B2721),""))</f>
        <v>Date</v>
      </c>
      <c r="C2721" s="19" t="str">
        <f>IF(ISBLANK(A2721),"Name",IF(ISNA(VLOOKUP(A2721,'Master List'!A:C,2,FALSE)), "Not Found", VLOOKUP(A2721,'Master List'!A:C,2,FALSE)))</f>
        <v>Name</v>
      </c>
      <c r="D2721" s="19" t="str">
        <f>IF(ISBLANK(A2721), "Email",IF(ISNA(VLOOKUP(A2721,'Master List'!A:C,3,FALSE)), "Not Found", VLOOKUP(A2721,'Master List'!A:C,3,FALSE)))</f>
        <v>Email</v>
      </c>
      <c r="F2721" s="4" t="str">
        <f>IF(OR(A2721="",E2721="","",A2721="?",E2721="?"),"duplicate?",IF(COUNTIFS($A:A,A2721,E:E,E2721)&gt;1,"yes","no"))</f>
        <v>duplicate?</v>
      </c>
      <c r="K2721" s="97" t="str">
        <f ca="1">IF(J2721="","Date",IF(J2721&lt;&gt;"",IF(K2721="Date",NOW(),K2721),""))</f>
        <v>Date</v>
      </c>
    </row>
    <row r="2722" spans="2:11">
      <c r="B2722" s="97" t="str">
        <f ca="1">IF(A2722="","Date",IF(A2722&lt;&gt;"",IF(B2722="Date",NOW(),B2722),""))</f>
        <v>Date</v>
      </c>
      <c r="C2722" s="19" t="str">
        <f>IF(ISBLANK(A2722),"Name",IF(ISNA(VLOOKUP(A2722,'Master List'!A:C,2,FALSE)), "Not Found", VLOOKUP(A2722,'Master List'!A:C,2,FALSE)))</f>
        <v>Name</v>
      </c>
      <c r="D2722" s="19" t="str">
        <f>IF(ISBLANK(A2722), "Email",IF(ISNA(VLOOKUP(A2722,'Master List'!A:C,3,FALSE)), "Not Found", VLOOKUP(A2722,'Master List'!A:C,3,FALSE)))</f>
        <v>Email</v>
      </c>
      <c r="F2722" s="4" t="str">
        <f>IF(OR(A2722="",E2722="","",A2722="?",E2722="?"),"duplicate?",IF(COUNTIFS($A:A,A2722,E:E,E2722)&gt;1,"yes","no"))</f>
        <v>duplicate?</v>
      </c>
      <c r="K2722" s="97" t="str">
        <f ca="1">IF(J2722="","Date",IF(J2722&lt;&gt;"",IF(K2722="Date",NOW(),K2722),""))</f>
        <v>Date</v>
      </c>
    </row>
    <row r="2723" spans="2:11">
      <c r="B2723" s="97" t="str">
        <f ca="1">IF(A2723="","Date",IF(A2723&lt;&gt;"",IF(B2723="Date",NOW(),B2723),""))</f>
        <v>Date</v>
      </c>
      <c r="C2723" s="19" t="str">
        <f>IF(ISBLANK(A2723),"Name",IF(ISNA(VLOOKUP(A2723,'Master List'!A:C,2,FALSE)), "Not Found", VLOOKUP(A2723,'Master List'!A:C,2,FALSE)))</f>
        <v>Name</v>
      </c>
      <c r="D2723" s="19" t="str">
        <f>IF(ISBLANK(A2723), "Email",IF(ISNA(VLOOKUP(A2723,'Master List'!A:C,3,FALSE)), "Not Found", VLOOKUP(A2723,'Master List'!A:C,3,FALSE)))</f>
        <v>Email</v>
      </c>
      <c r="F2723" s="4" t="str">
        <f>IF(OR(A2723="",E2723="","",A2723="?",E2723="?"),"duplicate?",IF(COUNTIFS($A:A,A2723,E:E,E2723)&gt;1,"yes","no"))</f>
        <v>duplicate?</v>
      </c>
      <c r="K2723" s="97" t="str">
        <f ca="1">IF(J2723="","Date",IF(J2723&lt;&gt;"",IF(K2723="Date",NOW(),K2723),""))</f>
        <v>Date</v>
      </c>
    </row>
    <row r="2724" spans="2:11">
      <c r="B2724" s="97" t="str">
        <f ca="1">IF(A2724="","Date",IF(A2724&lt;&gt;"",IF(B2724="Date",NOW(),B2724),""))</f>
        <v>Date</v>
      </c>
      <c r="C2724" s="19" t="str">
        <f>IF(ISBLANK(A2724),"Name",IF(ISNA(VLOOKUP(A2724,'Master List'!A:C,2,FALSE)), "Not Found", VLOOKUP(A2724,'Master List'!A:C,2,FALSE)))</f>
        <v>Name</v>
      </c>
      <c r="D2724" s="19" t="str">
        <f>IF(ISBLANK(A2724), "Email",IF(ISNA(VLOOKUP(A2724,'Master List'!A:C,3,FALSE)), "Not Found", VLOOKUP(A2724,'Master List'!A:C,3,FALSE)))</f>
        <v>Email</v>
      </c>
      <c r="F2724" s="4" t="str">
        <f>IF(OR(A2724="",E2724="","",A2724="?",E2724="?"),"duplicate?",IF(COUNTIFS($A:A,A2724,E:E,E2724)&gt;1,"yes","no"))</f>
        <v>duplicate?</v>
      </c>
      <c r="K2724" s="97" t="str">
        <f ca="1">IF(J2724="","Date",IF(J2724&lt;&gt;"",IF(K2724="Date",NOW(),K2724),""))</f>
        <v>Date</v>
      </c>
    </row>
    <row r="2725" spans="2:11">
      <c r="B2725" s="97" t="str">
        <f ca="1">IF(A2725="","Date",IF(A2725&lt;&gt;"",IF(B2725="Date",NOW(),B2725),""))</f>
        <v>Date</v>
      </c>
      <c r="C2725" s="19" t="str">
        <f>IF(ISBLANK(A2725),"Name",IF(ISNA(VLOOKUP(A2725,'Master List'!A:C,2,FALSE)), "Not Found", VLOOKUP(A2725,'Master List'!A:C,2,FALSE)))</f>
        <v>Name</v>
      </c>
      <c r="D2725" s="19" t="str">
        <f>IF(ISBLANK(A2725), "Email",IF(ISNA(VLOOKUP(A2725,'Master List'!A:C,3,FALSE)), "Not Found", VLOOKUP(A2725,'Master List'!A:C,3,FALSE)))</f>
        <v>Email</v>
      </c>
      <c r="F2725" s="4" t="str">
        <f>IF(OR(A2725="",E2725="","",A2725="?",E2725="?"),"duplicate?",IF(COUNTIFS($A:A,A2725,E:E,E2725)&gt;1,"yes","no"))</f>
        <v>duplicate?</v>
      </c>
      <c r="K2725" s="97" t="str">
        <f ca="1">IF(J2725="","Date",IF(J2725&lt;&gt;"",IF(K2725="Date",NOW(),K2725),""))</f>
        <v>Date</v>
      </c>
    </row>
    <row r="2726" spans="2:11">
      <c r="B2726" s="97" t="str">
        <f ca="1">IF(A2726="","Date",IF(A2726&lt;&gt;"",IF(B2726="Date",NOW(),B2726),""))</f>
        <v>Date</v>
      </c>
      <c r="C2726" s="19" t="str">
        <f>IF(ISBLANK(A2726),"Name",IF(ISNA(VLOOKUP(A2726,'Master List'!A:C,2,FALSE)), "Not Found", VLOOKUP(A2726,'Master List'!A:C,2,FALSE)))</f>
        <v>Name</v>
      </c>
      <c r="D2726" s="19" t="str">
        <f>IF(ISBLANK(A2726), "Email",IF(ISNA(VLOOKUP(A2726,'Master List'!A:C,3,FALSE)), "Not Found", VLOOKUP(A2726,'Master List'!A:C,3,FALSE)))</f>
        <v>Email</v>
      </c>
      <c r="F2726" s="4" t="str">
        <f>IF(OR(A2726="",E2726="","",A2726="?",E2726="?"),"duplicate?",IF(COUNTIFS($A:A,A2726,E:E,E2726)&gt;1,"yes","no"))</f>
        <v>duplicate?</v>
      </c>
      <c r="K2726" s="97" t="str">
        <f ca="1">IF(J2726="","Date",IF(J2726&lt;&gt;"",IF(K2726="Date",NOW(),K2726),""))</f>
        <v>Date</v>
      </c>
    </row>
    <row r="2727" spans="2:11">
      <c r="B2727" s="97" t="str">
        <f ca="1">IF(A2727="","Date",IF(A2727&lt;&gt;"",IF(B2727="Date",NOW(),B2727),""))</f>
        <v>Date</v>
      </c>
      <c r="C2727" s="19" t="str">
        <f>IF(ISBLANK(A2727),"Name",IF(ISNA(VLOOKUP(A2727,'Master List'!A:C,2,FALSE)), "Not Found", VLOOKUP(A2727,'Master List'!A:C,2,FALSE)))</f>
        <v>Name</v>
      </c>
      <c r="D2727" s="19" t="str">
        <f>IF(ISBLANK(A2727), "Email",IF(ISNA(VLOOKUP(A2727,'Master List'!A:C,3,FALSE)), "Not Found", VLOOKUP(A2727,'Master List'!A:C,3,FALSE)))</f>
        <v>Email</v>
      </c>
      <c r="F2727" s="4" t="str">
        <f>IF(OR(A2727="",E2727="","",A2727="?",E2727="?"),"duplicate?",IF(COUNTIFS($A:A,A2727,E:E,E2727)&gt;1,"yes","no"))</f>
        <v>duplicate?</v>
      </c>
      <c r="K2727" s="97" t="str">
        <f ca="1">IF(J2727="","Date",IF(J2727&lt;&gt;"",IF(K2727="Date",NOW(),K2727),""))</f>
        <v>Date</v>
      </c>
    </row>
    <row r="2728" spans="2:11">
      <c r="B2728" s="97" t="str">
        <f ca="1">IF(A2728="","Date",IF(A2728&lt;&gt;"",IF(B2728="Date",NOW(),B2728),""))</f>
        <v>Date</v>
      </c>
      <c r="C2728" s="19" t="str">
        <f>IF(ISBLANK(A2728),"Name",IF(ISNA(VLOOKUP(A2728,'Master List'!A:C,2,FALSE)), "Not Found", VLOOKUP(A2728,'Master List'!A:C,2,FALSE)))</f>
        <v>Name</v>
      </c>
      <c r="D2728" s="19" t="str">
        <f>IF(ISBLANK(A2728), "Email",IF(ISNA(VLOOKUP(A2728,'Master List'!A:C,3,FALSE)), "Not Found", VLOOKUP(A2728,'Master List'!A:C,3,FALSE)))</f>
        <v>Email</v>
      </c>
      <c r="F2728" s="4" t="str">
        <f>IF(OR(A2728="",E2728="","",A2728="?",E2728="?"),"duplicate?",IF(COUNTIFS($A:A,A2728,E:E,E2728)&gt;1,"yes","no"))</f>
        <v>duplicate?</v>
      </c>
      <c r="K2728" s="97" t="str">
        <f ca="1">IF(J2728="","Date",IF(J2728&lt;&gt;"",IF(K2728="Date",NOW(),K2728),""))</f>
        <v>Date</v>
      </c>
    </row>
    <row r="2729" spans="2:11">
      <c r="B2729" s="97" t="str">
        <f ca="1">IF(A2729="","Date",IF(A2729&lt;&gt;"",IF(B2729="Date",NOW(),B2729),""))</f>
        <v>Date</v>
      </c>
      <c r="C2729" s="19" t="str">
        <f>IF(ISBLANK(A2729),"Name",IF(ISNA(VLOOKUP(A2729,'Master List'!A:C,2,FALSE)), "Not Found", VLOOKUP(A2729,'Master List'!A:C,2,FALSE)))</f>
        <v>Name</v>
      </c>
      <c r="D2729" s="19" t="str">
        <f>IF(ISBLANK(A2729), "Email",IF(ISNA(VLOOKUP(A2729,'Master List'!A:C,3,FALSE)), "Not Found", VLOOKUP(A2729,'Master List'!A:C,3,FALSE)))</f>
        <v>Email</v>
      </c>
      <c r="F2729" s="4" t="str">
        <f>IF(OR(A2729="",E2729="","",A2729="?",E2729="?"),"duplicate?",IF(COUNTIFS($A:A,A2729,E:E,E2729)&gt;1,"yes","no"))</f>
        <v>duplicate?</v>
      </c>
      <c r="K2729" s="97" t="str">
        <f ca="1">IF(J2729="","Date",IF(J2729&lt;&gt;"",IF(K2729="Date",NOW(),K2729),""))</f>
        <v>Date</v>
      </c>
    </row>
    <row r="2730" spans="2:11">
      <c r="B2730" s="97" t="str">
        <f ca="1">IF(A2730="","Date",IF(A2730&lt;&gt;"",IF(B2730="Date",NOW(),B2730),""))</f>
        <v>Date</v>
      </c>
      <c r="C2730" s="19" t="str">
        <f>IF(ISBLANK(A2730),"Name",IF(ISNA(VLOOKUP(A2730,'Master List'!A:C,2,FALSE)), "Not Found", VLOOKUP(A2730,'Master List'!A:C,2,FALSE)))</f>
        <v>Name</v>
      </c>
      <c r="D2730" s="19" t="str">
        <f>IF(ISBLANK(A2730), "Email",IF(ISNA(VLOOKUP(A2730,'Master List'!A:C,3,FALSE)), "Not Found", VLOOKUP(A2730,'Master List'!A:C,3,FALSE)))</f>
        <v>Email</v>
      </c>
      <c r="F2730" s="4" t="str">
        <f>IF(OR(A2730="",E2730="","",A2730="?",E2730="?"),"duplicate?",IF(COUNTIFS($A:A,A2730,E:E,E2730)&gt;1,"yes","no"))</f>
        <v>duplicate?</v>
      </c>
      <c r="K2730" s="97" t="str">
        <f ca="1">IF(J2730="","Date",IF(J2730&lt;&gt;"",IF(K2730="Date",NOW(),K2730),""))</f>
        <v>Date</v>
      </c>
    </row>
    <row r="2731" spans="2:11">
      <c r="B2731" s="97" t="str">
        <f ca="1">IF(A2731="","Date",IF(A2731&lt;&gt;"",IF(B2731="Date",NOW(),B2731),""))</f>
        <v>Date</v>
      </c>
      <c r="C2731" s="19" t="str">
        <f>IF(ISBLANK(A2731),"Name",IF(ISNA(VLOOKUP(A2731,'Master List'!A:C,2,FALSE)), "Not Found", VLOOKUP(A2731,'Master List'!A:C,2,FALSE)))</f>
        <v>Name</v>
      </c>
      <c r="D2731" s="19" t="str">
        <f>IF(ISBLANK(A2731), "Email",IF(ISNA(VLOOKUP(A2731,'Master List'!A:C,3,FALSE)), "Not Found", VLOOKUP(A2731,'Master List'!A:C,3,FALSE)))</f>
        <v>Email</v>
      </c>
      <c r="F2731" s="4" t="str">
        <f>IF(OR(A2731="",E2731="","",A2731="?",E2731="?"),"duplicate?",IF(COUNTIFS($A:A,A2731,E:E,E2731)&gt;1,"yes","no"))</f>
        <v>duplicate?</v>
      </c>
      <c r="K2731" s="97" t="str">
        <f ca="1">IF(J2731="","Date",IF(J2731&lt;&gt;"",IF(K2731="Date",NOW(),K2731),""))</f>
        <v>Date</v>
      </c>
    </row>
    <row r="2732" spans="2:11">
      <c r="B2732" s="97" t="str">
        <f ca="1">IF(A2732="","Date",IF(A2732&lt;&gt;"",IF(B2732="Date",NOW(),B2732),""))</f>
        <v>Date</v>
      </c>
      <c r="C2732" s="19" t="str">
        <f>IF(ISBLANK(A2732),"Name",IF(ISNA(VLOOKUP(A2732,'Master List'!A:C,2,FALSE)), "Not Found", VLOOKUP(A2732,'Master List'!A:C,2,FALSE)))</f>
        <v>Name</v>
      </c>
      <c r="D2732" s="19" t="str">
        <f>IF(ISBLANK(A2732), "Email",IF(ISNA(VLOOKUP(A2732,'Master List'!A:C,3,FALSE)), "Not Found", VLOOKUP(A2732,'Master List'!A:C,3,FALSE)))</f>
        <v>Email</v>
      </c>
      <c r="F2732" s="4" t="str">
        <f>IF(OR(A2732="",E2732="","",A2732="?",E2732="?"),"duplicate?",IF(COUNTIFS($A:A,A2732,E:E,E2732)&gt;1,"yes","no"))</f>
        <v>duplicate?</v>
      </c>
      <c r="K2732" s="97" t="str">
        <f ca="1">IF(J2732="","Date",IF(J2732&lt;&gt;"",IF(K2732="Date",NOW(),K2732),""))</f>
        <v>Date</v>
      </c>
    </row>
    <row r="2733" spans="2:11">
      <c r="B2733" s="97" t="str">
        <f ca="1">IF(A2733="","Date",IF(A2733&lt;&gt;"",IF(B2733="Date",NOW(),B2733),""))</f>
        <v>Date</v>
      </c>
      <c r="C2733" s="19" t="str">
        <f>IF(ISBLANK(A2733),"Name",IF(ISNA(VLOOKUP(A2733,'Master List'!A:C,2,FALSE)), "Not Found", VLOOKUP(A2733,'Master List'!A:C,2,FALSE)))</f>
        <v>Name</v>
      </c>
      <c r="D2733" s="19" t="str">
        <f>IF(ISBLANK(A2733), "Email",IF(ISNA(VLOOKUP(A2733,'Master List'!A:C,3,FALSE)), "Not Found", VLOOKUP(A2733,'Master List'!A:C,3,FALSE)))</f>
        <v>Email</v>
      </c>
      <c r="F2733" s="4" t="str">
        <f>IF(OR(A2733="",E2733="","",A2733="?",E2733="?"),"duplicate?",IF(COUNTIFS($A:A,A2733,E:E,E2733)&gt;1,"yes","no"))</f>
        <v>duplicate?</v>
      </c>
      <c r="K2733" s="97" t="str">
        <f ca="1">IF(J2733="","Date",IF(J2733&lt;&gt;"",IF(K2733="Date",NOW(),K2733),""))</f>
        <v>Date</v>
      </c>
    </row>
    <row r="2734" spans="2:11">
      <c r="B2734" s="97" t="str">
        <f ca="1">IF(A2734="","Date",IF(A2734&lt;&gt;"",IF(B2734="Date",NOW(),B2734),""))</f>
        <v>Date</v>
      </c>
      <c r="C2734" s="19" t="str">
        <f>IF(ISBLANK(A2734),"Name",IF(ISNA(VLOOKUP(A2734,'Master List'!A:C,2,FALSE)), "Not Found", VLOOKUP(A2734,'Master List'!A:C,2,FALSE)))</f>
        <v>Name</v>
      </c>
      <c r="D2734" s="19" t="str">
        <f>IF(ISBLANK(A2734), "Email",IF(ISNA(VLOOKUP(A2734,'Master List'!A:C,3,FALSE)), "Not Found", VLOOKUP(A2734,'Master List'!A:C,3,FALSE)))</f>
        <v>Email</v>
      </c>
      <c r="F2734" s="4" t="str">
        <f>IF(OR(A2734="",E2734="","",A2734="?",E2734="?"),"duplicate?",IF(COUNTIFS($A:A,A2734,E:E,E2734)&gt;1,"yes","no"))</f>
        <v>duplicate?</v>
      </c>
      <c r="K2734" s="97" t="str">
        <f ca="1">IF(J2734="","Date",IF(J2734&lt;&gt;"",IF(K2734="Date",NOW(),K2734),""))</f>
        <v>Date</v>
      </c>
    </row>
    <row r="2735" spans="2:11">
      <c r="B2735" s="97" t="str">
        <f ca="1">IF(A2735="","Date",IF(A2735&lt;&gt;"",IF(B2735="Date",NOW(),B2735),""))</f>
        <v>Date</v>
      </c>
      <c r="C2735" s="19" t="str">
        <f>IF(ISBLANK(A2735),"Name",IF(ISNA(VLOOKUP(A2735,'Master List'!A:C,2,FALSE)), "Not Found", VLOOKUP(A2735,'Master List'!A:C,2,FALSE)))</f>
        <v>Name</v>
      </c>
      <c r="D2735" s="19" t="str">
        <f>IF(ISBLANK(A2735), "Email",IF(ISNA(VLOOKUP(A2735,'Master List'!A:C,3,FALSE)), "Not Found", VLOOKUP(A2735,'Master List'!A:C,3,FALSE)))</f>
        <v>Email</v>
      </c>
      <c r="F2735" s="4" t="str">
        <f>IF(OR(A2735="",E2735="","",A2735="?",E2735="?"),"duplicate?",IF(COUNTIFS($A:A,A2735,E:E,E2735)&gt;1,"yes","no"))</f>
        <v>duplicate?</v>
      </c>
      <c r="K2735" s="97" t="str">
        <f ca="1">IF(J2735="","Date",IF(J2735&lt;&gt;"",IF(K2735="Date",NOW(),K2735),""))</f>
        <v>Date</v>
      </c>
    </row>
    <row r="2736" spans="2:11">
      <c r="B2736" s="97" t="str">
        <f ca="1">IF(A2736="","Date",IF(A2736&lt;&gt;"",IF(B2736="Date",NOW(),B2736),""))</f>
        <v>Date</v>
      </c>
      <c r="C2736" s="19" t="str">
        <f>IF(ISBLANK(A2736),"Name",IF(ISNA(VLOOKUP(A2736,'Master List'!A:C,2,FALSE)), "Not Found", VLOOKUP(A2736,'Master List'!A:C,2,FALSE)))</f>
        <v>Name</v>
      </c>
      <c r="D2736" s="19" t="str">
        <f>IF(ISBLANK(A2736), "Email",IF(ISNA(VLOOKUP(A2736,'Master List'!A:C,3,FALSE)), "Not Found", VLOOKUP(A2736,'Master List'!A:C,3,FALSE)))</f>
        <v>Email</v>
      </c>
      <c r="F2736" s="4" t="str">
        <f>IF(OR(A2736="",E2736="","",A2736="?",E2736="?"),"duplicate?",IF(COUNTIFS($A:A,A2736,E:E,E2736)&gt;1,"yes","no"))</f>
        <v>duplicate?</v>
      </c>
      <c r="K2736" s="97" t="str">
        <f ca="1">IF(J2736="","Date",IF(J2736&lt;&gt;"",IF(K2736="Date",NOW(),K2736),""))</f>
        <v>Date</v>
      </c>
    </row>
    <row r="2737" spans="2:11">
      <c r="B2737" s="97" t="str">
        <f ca="1">IF(A2737="","Date",IF(A2737&lt;&gt;"",IF(B2737="Date",NOW(),B2737),""))</f>
        <v>Date</v>
      </c>
      <c r="C2737" s="19" t="str">
        <f>IF(ISBLANK(A2737),"Name",IF(ISNA(VLOOKUP(A2737,'Master List'!A:C,2,FALSE)), "Not Found", VLOOKUP(A2737,'Master List'!A:C,2,FALSE)))</f>
        <v>Name</v>
      </c>
      <c r="D2737" s="19" t="str">
        <f>IF(ISBLANK(A2737), "Email",IF(ISNA(VLOOKUP(A2737,'Master List'!A:C,3,FALSE)), "Not Found", VLOOKUP(A2737,'Master List'!A:C,3,FALSE)))</f>
        <v>Email</v>
      </c>
      <c r="F2737" s="4" t="str">
        <f>IF(OR(A2737="",E2737="","",A2737="?",E2737="?"),"duplicate?",IF(COUNTIFS($A:A,A2737,E:E,E2737)&gt;1,"yes","no"))</f>
        <v>duplicate?</v>
      </c>
      <c r="K2737" s="97" t="str">
        <f ca="1">IF(J2737="","Date",IF(J2737&lt;&gt;"",IF(K2737="Date",NOW(),K2737),""))</f>
        <v>Date</v>
      </c>
    </row>
    <row r="2738" spans="2:11">
      <c r="B2738" s="97" t="str">
        <f ca="1">IF(A2738="","Date",IF(A2738&lt;&gt;"",IF(B2738="Date",NOW(),B2738),""))</f>
        <v>Date</v>
      </c>
      <c r="C2738" s="19" t="str">
        <f>IF(ISBLANK(A2738),"Name",IF(ISNA(VLOOKUP(A2738,'Master List'!A:C,2,FALSE)), "Not Found", VLOOKUP(A2738,'Master List'!A:C,2,FALSE)))</f>
        <v>Name</v>
      </c>
      <c r="D2738" s="19" t="str">
        <f>IF(ISBLANK(A2738), "Email",IF(ISNA(VLOOKUP(A2738,'Master List'!A:C,3,FALSE)), "Not Found", VLOOKUP(A2738,'Master List'!A:C,3,FALSE)))</f>
        <v>Email</v>
      </c>
      <c r="F2738" s="4" t="str">
        <f>IF(OR(A2738="",E2738="","",A2738="?",E2738="?"),"duplicate?",IF(COUNTIFS($A:A,A2738,E:E,E2738)&gt;1,"yes","no"))</f>
        <v>duplicate?</v>
      </c>
      <c r="K2738" s="97" t="str">
        <f ca="1">IF(J2738="","Date",IF(J2738&lt;&gt;"",IF(K2738="Date",NOW(),K2738),""))</f>
        <v>Date</v>
      </c>
    </row>
    <row r="2739" spans="2:11">
      <c r="B2739" s="97" t="str">
        <f ca="1">IF(A2739="","Date",IF(A2739&lt;&gt;"",IF(B2739="Date",NOW(),B2739),""))</f>
        <v>Date</v>
      </c>
      <c r="C2739" s="19" t="str">
        <f>IF(ISBLANK(A2739),"Name",IF(ISNA(VLOOKUP(A2739,'Master List'!A:C,2,FALSE)), "Not Found", VLOOKUP(A2739,'Master List'!A:C,2,FALSE)))</f>
        <v>Name</v>
      </c>
      <c r="D2739" s="19" t="str">
        <f>IF(ISBLANK(A2739), "Email",IF(ISNA(VLOOKUP(A2739,'Master List'!A:C,3,FALSE)), "Not Found", VLOOKUP(A2739,'Master List'!A:C,3,FALSE)))</f>
        <v>Email</v>
      </c>
      <c r="F2739" s="4" t="str">
        <f>IF(OR(A2739="",E2739="","",A2739="?",E2739="?"),"duplicate?",IF(COUNTIFS($A:A,A2739,E:E,E2739)&gt;1,"yes","no"))</f>
        <v>duplicate?</v>
      </c>
      <c r="K2739" s="97" t="str">
        <f ca="1">IF(J2739="","Date",IF(J2739&lt;&gt;"",IF(K2739="Date",NOW(),K2739),""))</f>
        <v>Date</v>
      </c>
    </row>
    <row r="2740" spans="2:11">
      <c r="B2740" s="97" t="str">
        <f ca="1">IF(A2740="","Date",IF(A2740&lt;&gt;"",IF(B2740="Date",NOW(),B2740),""))</f>
        <v>Date</v>
      </c>
      <c r="C2740" s="19" t="str">
        <f>IF(ISBLANK(A2740),"Name",IF(ISNA(VLOOKUP(A2740,'Master List'!A:C,2,FALSE)), "Not Found", VLOOKUP(A2740,'Master List'!A:C,2,FALSE)))</f>
        <v>Name</v>
      </c>
      <c r="D2740" s="19" t="str">
        <f>IF(ISBLANK(A2740), "Email",IF(ISNA(VLOOKUP(A2740,'Master List'!A:C,3,FALSE)), "Not Found", VLOOKUP(A2740,'Master List'!A:C,3,FALSE)))</f>
        <v>Email</v>
      </c>
      <c r="F2740" s="4" t="str">
        <f>IF(OR(A2740="",E2740="","",A2740="?",E2740="?"),"duplicate?",IF(COUNTIFS($A:A,A2740,E:E,E2740)&gt;1,"yes","no"))</f>
        <v>duplicate?</v>
      </c>
      <c r="K2740" s="97" t="str">
        <f ca="1">IF(J2740="","Date",IF(J2740&lt;&gt;"",IF(K2740="Date",NOW(),K2740),""))</f>
        <v>Date</v>
      </c>
    </row>
    <row r="2741" spans="2:11">
      <c r="B2741" s="97" t="str">
        <f ca="1">IF(A2741="","Date",IF(A2741&lt;&gt;"",IF(B2741="Date",NOW(),B2741),""))</f>
        <v>Date</v>
      </c>
      <c r="C2741" s="19" t="str">
        <f>IF(ISBLANK(A2741),"Name",IF(ISNA(VLOOKUP(A2741,'Master List'!A:C,2,FALSE)), "Not Found", VLOOKUP(A2741,'Master List'!A:C,2,FALSE)))</f>
        <v>Name</v>
      </c>
      <c r="D2741" s="19" t="str">
        <f>IF(ISBLANK(A2741), "Email",IF(ISNA(VLOOKUP(A2741,'Master List'!A:C,3,FALSE)), "Not Found", VLOOKUP(A2741,'Master List'!A:C,3,FALSE)))</f>
        <v>Email</v>
      </c>
      <c r="F2741" s="4" t="str">
        <f>IF(OR(A2741="",E2741="","",A2741="?",E2741="?"),"duplicate?",IF(COUNTIFS($A:A,A2741,E:E,E2741)&gt;1,"yes","no"))</f>
        <v>duplicate?</v>
      </c>
      <c r="K2741" s="97" t="str">
        <f ca="1">IF(J2741="","Date",IF(J2741&lt;&gt;"",IF(K2741="Date",NOW(),K2741),""))</f>
        <v>Date</v>
      </c>
    </row>
    <row r="2742" spans="2:11">
      <c r="B2742" s="97" t="str">
        <f ca="1">IF(A2742="","Date",IF(A2742&lt;&gt;"",IF(B2742="Date",NOW(),B2742),""))</f>
        <v>Date</v>
      </c>
      <c r="C2742" s="19" t="str">
        <f>IF(ISBLANK(A2742),"Name",IF(ISNA(VLOOKUP(A2742,'Master List'!A:C,2,FALSE)), "Not Found", VLOOKUP(A2742,'Master List'!A:C,2,FALSE)))</f>
        <v>Name</v>
      </c>
      <c r="D2742" s="19" t="str">
        <f>IF(ISBLANK(A2742), "Email",IF(ISNA(VLOOKUP(A2742,'Master List'!A:C,3,FALSE)), "Not Found", VLOOKUP(A2742,'Master List'!A:C,3,FALSE)))</f>
        <v>Email</v>
      </c>
      <c r="F2742" s="4" t="str">
        <f>IF(OR(A2742="",E2742="","",A2742="?",E2742="?"),"duplicate?",IF(COUNTIFS($A:A,A2742,E:E,E2742)&gt;1,"yes","no"))</f>
        <v>duplicate?</v>
      </c>
      <c r="K2742" s="97" t="str">
        <f ca="1">IF(J2742="","Date",IF(J2742&lt;&gt;"",IF(K2742="Date",NOW(),K2742),""))</f>
        <v>Date</v>
      </c>
    </row>
    <row r="2743" spans="2:11">
      <c r="B2743" s="97" t="str">
        <f ca="1">IF(A2743="","Date",IF(A2743&lt;&gt;"",IF(B2743="Date",NOW(),B2743),""))</f>
        <v>Date</v>
      </c>
      <c r="C2743" s="19" t="str">
        <f>IF(ISBLANK(A2743),"Name",IF(ISNA(VLOOKUP(A2743,'Master List'!A:C,2,FALSE)), "Not Found", VLOOKUP(A2743,'Master List'!A:C,2,FALSE)))</f>
        <v>Name</v>
      </c>
      <c r="D2743" s="19" t="str">
        <f>IF(ISBLANK(A2743), "Email",IF(ISNA(VLOOKUP(A2743,'Master List'!A:C,3,FALSE)), "Not Found", VLOOKUP(A2743,'Master List'!A:C,3,FALSE)))</f>
        <v>Email</v>
      </c>
      <c r="F2743" s="4" t="str">
        <f>IF(OR(A2743="",E2743="","",A2743="?",E2743="?"),"duplicate?",IF(COUNTIFS($A:A,A2743,E:E,E2743)&gt;1,"yes","no"))</f>
        <v>duplicate?</v>
      </c>
      <c r="K2743" s="97" t="str">
        <f ca="1">IF(J2743="","Date",IF(J2743&lt;&gt;"",IF(K2743="Date",NOW(),K2743),""))</f>
        <v>Date</v>
      </c>
    </row>
    <row r="2744" spans="2:11">
      <c r="B2744" s="97" t="str">
        <f ca="1">IF(A2744="","Date",IF(A2744&lt;&gt;"",IF(B2744="Date",NOW(),B2744),""))</f>
        <v>Date</v>
      </c>
      <c r="C2744" s="19" t="str">
        <f>IF(ISBLANK(A2744),"Name",IF(ISNA(VLOOKUP(A2744,'Master List'!A:C,2,FALSE)), "Not Found", VLOOKUP(A2744,'Master List'!A:C,2,FALSE)))</f>
        <v>Name</v>
      </c>
      <c r="D2744" s="19" t="str">
        <f>IF(ISBLANK(A2744), "Email",IF(ISNA(VLOOKUP(A2744,'Master List'!A:C,3,FALSE)), "Not Found", VLOOKUP(A2744,'Master List'!A:C,3,FALSE)))</f>
        <v>Email</v>
      </c>
      <c r="F2744" s="4" t="str">
        <f>IF(OR(A2744="",E2744="","",A2744="?",E2744="?"),"duplicate?",IF(COUNTIFS($A:A,A2744,E:E,E2744)&gt;1,"yes","no"))</f>
        <v>duplicate?</v>
      </c>
      <c r="K2744" s="97" t="str">
        <f ca="1">IF(J2744="","Date",IF(J2744&lt;&gt;"",IF(K2744="Date",NOW(),K2744),""))</f>
        <v>Date</v>
      </c>
    </row>
    <row r="2745" spans="2:11">
      <c r="B2745" s="97" t="str">
        <f ca="1">IF(A2745="","Date",IF(A2745&lt;&gt;"",IF(B2745="Date",NOW(),B2745),""))</f>
        <v>Date</v>
      </c>
      <c r="C2745" s="19" t="str">
        <f>IF(ISBLANK(A2745),"Name",IF(ISNA(VLOOKUP(A2745,'Master List'!A:C,2,FALSE)), "Not Found", VLOOKUP(A2745,'Master List'!A:C,2,FALSE)))</f>
        <v>Name</v>
      </c>
      <c r="D2745" s="19" t="str">
        <f>IF(ISBLANK(A2745), "Email",IF(ISNA(VLOOKUP(A2745,'Master List'!A:C,3,FALSE)), "Not Found", VLOOKUP(A2745,'Master List'!A:C,3,FALSE)))</f>
        <v>Email</v>
      </c>
      <c r="F2745" s="4" t="str">
        <f>IF(OR(A2745="",E2745="","",A2745="?",E2745="?"),"duplicate?",IF(COUNTIFS($A:A,A2745,E:E,E2745)&gt;1,"yes","no"))</f>
        <v>duplicate?</v>
      </c>
      <c r="K2745" s="97" t="str">
        <f ca="1">IF(J2745="","Date",IF(J2745&lt;&gt;"",IF(K2745="Date",NOW(),K2745),""))</f>
        <v>Date</v>
      </c>
    </row>
    <row r="2746" spans="2:11">
      <c r="B2746" s="97" t="str">
        <f ca="1">IF(A2746="","Date",IF(A2746&lt;&gt;"",IF(B2746="Date",NOW(),B2746),""))</f>
        <v>Date</v>
      </c>
      <c r="C2746" s="19" t="str">
        <f>IF(ISBLANK(A2746),"Name",IF(ISNA(VLOOKUP(A2746,'Master List'!A:C,2,FALSE)), "Not Found", VLOOKUP(A2746,'Master List'!A:C,2,FALSE)))</f>
        <v>Name</v>
      </c>
      <c r="D2746" s="19" t="str">
        <f>IF(ISBLANK(A2746), "Email",IF(ISNA(VLOOKUP(A2746,'Master List'!A:C,3,FALSE)), "Not Found", VLOOKUP(A2746,'Master List'!A:C,3,FALSE)))</f>
        <v>Email</v>
      </c>
      <c r="F2746" s="4" t="str">
        <f>IF(OR(A2746="",E2746="","",A2746="?",E2746="?"),"duplicate?",IF(COUNTIFS($A:A,A2746,E:E,E2746)&gt;1,"yes","no"))</f>
        <v>duplicate?</v>
      </c>
      <c r="K2746" s="97" t="str">
        <f ca="1">IF(J2746="","Date",IF(J2746&lt;&gt;"",IF(K2746="Date",NOW(),K2746),""))</f>
        <v>Date</v>
      </c>
    </row>
    <row r="2747" spans="2:11">
      <c r="B2747" s="97" t="str">
        <f ca="1">IF(A2747="","Date",IF(A2747&lt;&gt;"",IF(B2747="Date",NOW(),B2747),""))</f>
        <v>Date</v>
      </c>
      <c r="C2747" s="19" t="str">
        <f>IF(ISBLANK(A2747),"Name",IF(ISNA(VLOOKUP(A2747,'Master List'!A:C,2,FALSE)), "Not Found", VLOOKUP(A2747,'Master List'!A:C,2,FALSE)))</f>
        <v>Name</v>
      </c>
      <c r="D2747" s="19" t="str">
        <f>IF(ISBLANK(A2747), "Email",IF(ISNA(VLOOKUP(A2747,'Master List'!A:C,3,FALSE)), "Not Found", VLOOKUP(A2747,'Master List'!A:C,3,FALSE)))</f>
        <v>Email</v>
      </c>
      <c r="F2747" s="4" t="str">
        <f>IF(OR(A2747="",E2747="","",A2747="?",E2747="?"),"duplicate?",IF(COUNTIFS($A:A,A2747,E:E,E2747)&gt;1,"yes","no"))</f>
        <v>duplicate?</v>
      </c>
      <c r="K2747" s="97" t="str">
        <f ca="1">IF(J2747="","Date",IF(J2747&lt;&gt;"",IF(K2747="Date",NOW(),K2747),""))</f>
        <v>Date</v>
      </c>
    </row>
    <row r="2748" spans="2:11">
      <c r="B2748" s="97" t="str">
        <f ca="1">IF(A2748="","Date",IF(A2748&lt;&gt;"",IF(B2748="Date",NOW(),B2748),""))</f>
        <v>Date</v>
      </c>
      <c r="C2748" s="19" t="str">
        <f>IF(ISBLANK(A2748),"Name",IF(ISNA(VLOOKUP(A2748,'Master List'!A:C,2,FALSE)), "Not Found", VLOOKUP(A2748,'Master List'!A:C,2,FALSE)))</f>
        <v>Name</v>
      </c>
      <c r="D2748" s="19" t="str">
        <f>IF(ISBLANK(A2748), "Email",IF(ISNA(VLOOKUP(A2748,'Master List'!A:C,3,FALSE)), "Not Found", VLOOKUP(A2748,'Master List'!A:C,3,FALSE)))</f>
        <v>Email</v>
      </c>
      <c r="F2748" s="4" t="str">
        <f>IF(OR(A2748="",E2748="","",A2748="?",E2748="?"),"duplicate?",IF(COUNTIFS($A:A,A2748,E:E,E2748)&gt;1,"yes","no"))</f>
        <v>duplicate?</v>
      </c>
      <c r="K2748" s="97" t="str">
        <f ca="1">IF(J2748="","Date",IF(J2748&lt;&gt;"",IF(K2748="Date",NOW(),K2748),""))</f>
        <v>Date</v>
      </c>
    </row>
    <row r="2749" spans="2:11">
      <c r="B2749" s="97" t="str">
        <f ca="1">IF(A2749="","Date",IF(A2749&lt;&gt;"",IF(B2749="Date",NOW(),B2749),""))</f>
        <v>Date</v>
      </c>
      <c r="C2749" s="19" t="str">
        <f>IF(ISBLANK(A2749),"Name",IF(ISNA(VLOOKUP(A2749,'Master List'!A:C,2,FALSE)), "Not Found", VLOOKUP(A2749,'Master List'!A:C,2,FALSE)))</f>
        <v>Name</v>
      </c>
      <c r="D2749" s="19" t="str">
        <f>IF(ISBLANK(A2749), "Email",IF(ISNA(VLOOKUP(A2749,'Master List'!A:C,3,FALSE)), "Not Found", VLOOKUP(A2749,'Master List'!A:C,3,FALSE)))</f>
        <v>Email</v>
      </c>
      <c r="F2749" s="4" t="str">
        <f>IF(OR(A2749="",E2749="","",A2749="?",E2749="?"),"duplicate?",IF(COUNTIFS($A:A,A2749,E:E,E2749)&gt;1,"yes","no"))</f>
        <v>duplicate?</v>
      </c>
      <c r="K2749" s="97" t="str">
        <f ca="1">IF(J2749="","Date",IF(J2749&lt;&gt;"",IF(K2749="Date",NOW(),K2749),""))</f>
        <v>Date</v>
      </c>
    </row>
    <row r="2750" spans="2:11">
      <c r="B2750" s="97" t="str">
        <f ca="1">IF(A2750="","Date",IF(A2750&lt;&gt;"",IF(B2750="Date",NOW(),B2750),""))</f>
        <v>Date</v>
      </c>
      <c r="C2750" s="19" t="str">
        <f>IF(ISBLANK(A2750),"Name",IF(ISNA(VLOOKUP(A2750,'Master List'!A:C,2,FALSE)), "Not Found", VLOOKUP(A2750,'Master List'!A:C,2,FALSE)))</f>
        <v>Name</v>
      </c>
      <c r="D2750" s="19" t="str">
        <f>IF(ISBLANK(A2750), "Email",IF(ISNA(VLOOKUP(A2750,'Master List'!A:C,3,FALSE)), "Not Found", VLOOKUP(A2750,'Master List'!A:C,3,FALSE)))</f>
        <v>Email</v>
      </c>
      <c r="F2750" s="4" t="str">
        <f>IF(OR(A2750="",E2750="","",A2750="?",E2750="?"),"duplicate?",IF(COUNTIFS($A:A,A2750,E:E,E2750)&gt;1,"yes","no"))</f>
        <v>duplicate?</v>
      </c>
      <c r="K2750" s="97" t="str">
        <f ca="1">IF(J2750="","Date",IF(J2750&lt;&gt;"",IF(K2750="Date",NOW(),K2750),""))</f>
        <v>Date</v>
      </c>
    </row>
    <row r="2751" spans="2:11">
      <c r="B2751" s="97" t="str">
        <f ca="1">IF(A2751="","Date",IF(A2751&lt;&gt;"",IF(B2751="Date",NOW(),B2751),""))</f>
        <v>Date</v>
      </c>
      <c r="C2751" s="19" t="str">
        <f>IF(ISBLANK(A2751),"Name",IF(ISNA(VLOOKUP(A2751,'Master List'!A:C,2,FALSE)), "Not Found", VLOOKUP(A2751,'Master List'!A:C,2,FALSE)))</f>
        <v>Name</v>
      </c>
      <c r="D2751" s="19" t="str">
        <f>IF(ISBLANK(A2751), "Email",IF(ISNA(VLOOKUP(A2751,'Master List'!A:C,3,FALSE)), "Not Found", VLOOKUP(A2751,'Master List'!A:C,3,FALSE)))</f>
        <v>Email</v>
      </c>
      <c r="F2751" s="4" t="str">
        <f>IF(OR(A2751="",E2751="","",A2751="?",E2751="?"),"duplicate?",IF(COUNTIFS($A:A,A2751,E:E,E2751)&gt;1,"yes","no"))</f>
        <v>duplicate?</v>
      </c>
      <c r="K2751" s="97" t="str">
        <f ca="1">IF(J2751="","Date",IF(J2751&lt;&gt;"",IF(K2751="Date",NOW(),K2751),""))</f>
        <v>Date</v>
      </c>
    </row>
    <row r="2752" spans="2:11">
      <c r="B2752" s="97" t="str">
        <f ca="1">IF(A2752="","Date",IF(A2752&lt;&gt;"",IF(B2752="Date",NOW(),B2752),""))</f>
        <v>Date</v>
      </c>
      <c r="C2752" s="19" t="str">
        <f>IF(ISBLANK(A2752),"Name",IF(ISNA(VLOOKUP(A2752,'Master List'!A:C,2,FALSE)), "Not Found", VLOOKUP(A2752,'Master List'!A:C,2,FALSE)))</f>
        <v>Name</v>
      </c>
      <c r="D2752" s="19" t="str">
        <f>IF(ISBLANK(A2752), "Email",IF(ISNA(VLOOKUP(A2752,'Master List'!A:C,3,FALSE)), "Not Found", VLOOKUP(A2752,'Master List'!A:C,3,FALSE)))</f>
        <v>Email</v>
      </c>
      <c r="F2752" s="4" t="str">
        <f>IF(OR(A2752="",E2752="","",A2752="?",E2752="?"),"duplicate?",IF(COUNTIFS($A:A,A2752,E:E,E2752)&gt;1,"yes","no"))</f>
        <v>duplicate?</v>
      </c>
      <c r="K2752" s="97" t="str">
        <f ca="1">IF(J2752="","Date",IF(J2752&lt;&gt;"",IF(K2752="Date",NOW(),K2752),""))</f>
        <v>Date</v>
      </c>
    </row>
    <row r="2753" spans="2:11">
      <c r="B2753" s="97" t="str">
        <f ca="1">IF(A2753="","Date",IF(A2753&lt;&gt;"",IF(B2753="Date",NOW(),B2753),""))</f>
        <v>Date</v>
      </c>
      <c r="C2753" s="19" t="str">
        <f>IF(ISBLANK(A2753),"Name",IF(ISNA(VLOOKUP(A2753,'Master List'!A:C,2,FALSE)), "Not Found", VLOOKUP(A2753,'Master List'!A:C,2,FALSE)))</f>
        <v>Name</v>
      </c>
      <c r="D2753" s="19" t="str">
        <f>IF(ISBLANK(A2753), "Email",IF(ISNA(VLOOKUP(A2753,'Master List'!A:C,3,FALSE)), "Not Found", VLOOKUP(A2753,'Master List'!A:C,3,FALSE)))</f>
        <v>Email</v>
      </c>
      <c r="F2753" s="4" t="str">
        <f>IF(OR(A2753="",E2753="","",A2753="?",E2753="?"),"duplicate?",IF(COUNTIFS($A:A,A2753,E:E,E2753)&gt;1,"yes","no"))</f>
        <v>duplicate?</v>
      </c>
      <c r="K2753" s="97" t="str">
        <f ca="1">IF(J2753="","Date",IF(J2753&lt;&gt;"",IF(K2753="Date",NOW(),K2753),""))</f>
        <v>Date</v>
      </c>
    </row>
    <row r="2754" spans="2:11">
      <c r="B2754" s="97" t="str">
        <f ca="1">IF(A2754="","Date",IF(A2754&lt;&gt;"",IF(B2754="Date",NOW(),B2754),""))</f>
        <v>Date</v>
      </c>
      <c r="C2754" s="19" t="str">
        <f>IF(ISBLANK(A2754),"Name",IF(ISNA(VLOOKUP(A2754,'Master List'!A:C,2,FALSE)), "Not Found", VLOOKUP(A2754,'Master List'!A:C,2,FALSE)))</f>
        <v>Name</v>
      </c>
      <c r="D2754" s="19" t="str">
        <f>IF(ISBLANK(A2754), "Email",IF(ISNA(VLOOKUP(A2754,'Master List'!A:C,3,FALSE)), "Not Found", VLOOKUP(A2754,'Master List'!A:C,3,FALSE)))</f>
        <v>Email</v>
      </c>
      <c r="F2754" s="4" t="str">
        <f>IF(OR(A2754="",E2754="","",A2754="?",E2754="?"),"duplicate?",IF(COUNTIFS($A:A,A2754,E:E,E2754)&gt;1,"yes","no"))</f>
        <v>duplicate?</v>
      </c>
      <c r="K2754" s="97" t="str">
        <f ca="1">IF(J2754="","Date",IF(J2754&lt;&gt;"",IF(K2754="Date",NOW(),K2754),""))</f>
        <v>Date</v>
      </c>
    </row>
    <row r="2755" spans="2:11">
      <c r="B2755" s="97" t="str">
        <f ca="1">IF(A2755="","Date",IF(A2755&lt;&gt;"",IF(B2755="Date",NOW(),B2755),""))</f>
        <v>Date</v>
      </c>
      <c r="C2755" s="19" t="str">
        <f>IF(ISBLANK(A2755),"Name",IF(ISNA(VLOOKUP(A2755,'Master List'!A:C,2,FALSE)), "Not Found", VLOOKUP(A2755,'Master List'!A:C,2,FALSE)))</f>
        <v>Name</v>
      </c>
      <c r="D2755" s="19" t="str">
        <f>IF(ISBLANK(A2755), "Email",IF(ISNA(VLOOKUP(A2755,'Master List'!A:C,3,FALSE)), "Not Found", VLOOKUP(A2755,'Master List'!A:C,3,FALSE)))</f>
        <v>Email</v>
      </c>
      <c r="F2755" s="4" t="str">
        <f>IF(OR(A2755="",E2755="","",A2755="?",E2755="?"),"duplicate?",IF(COUNTIFS($A:A,A2755,E:E,E2755)&gt;1,"yes","no"))</f>
        <v>duplicate?</v>
      </c>
      <c r="K2755" s="97" t="str">
        <f ca="1">IF(J2755="","Date",IF(J2755&lt;&gt;"",IF(K2755="Date",NOW(),K2755),""))</f>
        <v>Date</v>
      </c>
    </row>
    <row r="2756" spans="2:11">
      <c r="B2756" s="97" t="str">
        <f ca="1">IF(A2756="","Date",IF(A2756&lt;&gt;"",IF(B2756="Date",NOW(),B2756),""))</f>
        <v>Date</v>
      </c>
      <c r="C2756" s="19" t="str">
        <f>IF(ISBLANK(A2756),"Name",IF(ISNA(VLOOKUP(A2756,'Master List'!A:C,2,FALSE)), "Not Found", VLOOKUP(A2756,'Master List'!A:C,2,FALSE)))</f>
        <v>Name</v>
      </c>
      <c r="D2756" s="19" t="str">
        <f>IF(ISBLANK(A2756), "Email",IF(ISNA(VLOOKUP(A2756,'Master List'!A:C,3,FALSE)), "Not Found", VLOOKUP(A2756,'Master List'!A:C,3,FALSE)))</f>
        <v>Email</v>
      </c>
      <c r="F2756" s="4" t="str">
        <f>IF(OR(A2756="",E2756="","",A2756="?",E2756="?"),"duplicate?",IF(COUNTIFS($A:A,A2756,E:E,E2756)&gt;1,"yes","no"))</f>
        <v>duplicate?</v>
      </c>
      <c r="K2756" s="97" t="str">
        <f ca="1">IF(J2756="","Date",IF(J2756&lt;&gt;"",IF(K2756="Date",NOW(),K2756),""))</f>
        <v>Date</v>
      </c>
    </row>
    <row r="2757" spans="2:11">
      <c r="B2757" s="97" t="str">
        <f ca="1">IF(A2757="","Date",IF(A2757&lt;&gt;"",IF(B2757="Date",NOW(),B2757),""))</f>
        <v>Date</v>
      </c>
      <c r="C2757" s="19" t="str">
        <f>IF(ISBLANK(A2757),"Name",IF(ISNA(VLOOKUP(A2757,'Master List'!A:C,2,FALSE)), "Not Found", VLOOKUP(A2757,'Master List'!A:C,2,FALSE)))</f>
        <v>Name</v>
      </c>
      <c r="D2757" s="19" t="str">
        <f>IF(ISBLANK(A2757), "Email",IF(ISNA(VLOOKUP(A2757,'Master List'!A:C,3,FALSE)), "Not Found", VLOOKUP(A2757,'Master List'!A:C,3,FALSE)))</f>
        <v>Email</v>
      </c>
      <c r="F2757" s="4" t="str">
        <f>IF(OR(A2757="",E2757="","",A2757="?",E2757="?"),"duplicate?",IF(COUNTIFS($A:A,A2757,E:E,E2757)&gt;1,"yes","no"))</f>
        <v>duplicate?</v>
      </c>
      <c r="K2757" s="97" t="str">
        <f ca="1">IF(J2757="","Date",IF(J2757&lt;&gt;"",IF(K2757="Date",NOW(),K2757),""))</f>
        <v>Date</v>
      </c>
    </row>
    <row r="2758" spans="2:11">
      <c r="B2758" s="97" t="str">
        <f ca="1">IF(A2758="","Date",IF(A2758&lt;&gt;"",IF(B2758="Date",NOW(),B2758),""))</f>
        <v>Date</v>
      </c>
      <c r="C2758" s="19" t="str">
        <f>IF(ISBLANK(A2758),"Name",IF(ISNA(VLOOKUP(A2758,'Master List'!A:C,2,FALSE)), "Not Found", VLOOKUP(A2758,'Master List'!A:C,2,FALSE)))</f>
        <v>Name</v>
      </c>
      <c r="D2758" s="19" t="str">
        <f>IF(ISBLANK(A2758), "Email",IF(ISNA(VLOOKUP(A2758,'Master List'!A:C,3,FALSE)), "Not Found", VLOOKUP(A2758,'Master List'!A:C,3,FALSE)))</f>
        <v>Email</v>
      </c>
      <c r="F2758" s="4" t="str">
        <f>IF(OR(A2758="",E2758="","",A2758="?",E2758="?"),"duplicate?",IF(COUNTIFS($A:A,A2758,E:E,E2758)&gt;1,"yes","no"))</f>
        <v>duplicate?</v>
      </c>
      <c r="K2758" s="97" t="str">
        <f ca="1">IF(J2758="","Date",IF(J2758&lt;&gt;"",IF(K2758="Date",NOW(),K2758),""))</f>
        <v>Date</v>
      </c>
    </row>
    <row r="2759" spans="2:11">
      <c r="B2759" s="97" t="str">
        <f ca="1">IF(A2759="","Date",IF(A2759&lt;&gt;"",IF(B2759="Date",NOW(),B2759),""))</f>
        <v>Date</v>
      </c>
      <c r="C2759" s="19" t="str">
        <f>IF(ISBLANK(A2759),"Name",IF(ISNA(VLOOKUP(A2759,'Master List'!A:C,2,FALSE)), "Not Found", VLOOKUP(A2759,'Master List'!A:C,2,FALSE)))</f>
        <v>Name</v>
      </c>
      <c r="D2759" s="19" t="str">
        <f>IF(ISBLANK(A2759), "Email",IF(ISNA(VLOOKUP(A2759,'Master List'!A:C,3,FALSE)), "Not Found", VLOOKUP(A2759,'Master List'!A:C,3,FALSE)))</f>
        <v>Email</v>
      </c>
      <c r="F2759" s="4" t="str">
        <f>IF(OR(A2759="",E2759="","",A2759="?",E2759="?"),"duplicate?",IF(COUNTIFS($A:A,A2759,E:E,E2759)&gt;1,"yes","no"))</f>
        <v>duplicate?</v>
      </c>
      <c r="K2759" s="97" t="str">
        <f ca="1">IF(J2759="","Date",IF(J2759&lt;&gt;"",IF(K2759="Date",NOW(),K2759),""))</f>
        <v>Date</v>
      </c>
    </row>
    <row r="2760" spans="2:11">
      <c r="B2760" s="97" t="str">
        <f ca="1">IF(A2760="","Date",IF(A2760&lt;&gt;"",IF(B2760="Date",NOW(),B2760),""))</f>
        <v>Date</v>
      </c>
      <c r="C2760" s="19" t="str">
        <f>IF(ISBLANK(A2760),"Name",IF(ISNA(VLOOKUP(A2760,'Master List'!A:C,2,FALSE)), "Not Found", VLOOKUP(A2760,'Master List'!A:C,2,FALSE)))</f>
        <v>Name</v>
      </c>
      <c r="D2760" s="19" t="str">
        <f>IF(ISBLANK(A2760), "Email",IF(ISNA(VLOOKUP(A2760,'Master List'!A:C,3,FALSE)), "Not Found", VLOOKUP(A2760,'Master List'!A:C,3,FALSE)))</f>
        <v>Email</v>
      </c>
      <c r="F2760" s="4" t="str">
        <f>IF(OR(A2760="",E2760="","",A2760="?",E2760="?"),"duplicate?",IF(COUNTIFS($A:A,A2760,E:E,E2760)&gt;1,"yes","no"))</f>
        <v>duplicate?</v>
      </c>
      <c r="K2760" s="97" t="str">
        <f ca="1">IF(J2760="","Date",IF(J2760&lt;&gt;"",IF(K2760="Date",NOW(),K2760),""))</f>
        <v>Date</v>
      </c>
    </row>
    <row r="2761" spans="2:11">
      <c r="B2761" s="97" t="str">
        <f ca="1">IF(A2761="","Date",IF(A2761&lt;&gt;"",IF(B2761="Date",NOW(),B2761),""))</f>
        <v>Date</v>
      </c>
      <c r="C2761" s="19" t="str">
        <f>IF(ISBLANK(A2761),"Name",IF(ISNA(VLOOKUP(A2761,'Master List'!A:C,2,FALSE)), "Not Found", VLOOKUP(A2761,'Master List'!A:C,2,FALSE)))</f>
        <v>Name</v>
      </c>
      <c r="D2761" s="19" t="str">
        <f>IF(ISBLANK(A2761), "Email",IF(ISNA(VLOOKUP(A2761,'Master List'!A:C,3,FALSE)), "Not Found", VLOOKUP(A2761,'Master List'!A:C,3,FALSE)))</f>
        <v>Email</v>
      </c>
      <c r="F2761" s="4" t="str">
        <f>IF(OR(A2761="",E2761="","",A2761="?",E2761="?"),"duplicate?",IF(COUNTIFS($A:A,A2761,E:E,E2761)&gt;1,"yes","no"))</f>
        <v>duplicate?</v>
      </c>
      <c r="K2761" s="97" t="str">
        <f ca="1">IF(J2761="","Date",IF(J2761&lt;&gt;"",IF(K2761="Date",NOW(),K2761),""))</f>
        <v>Date</v>
      </c>
    </row>
    <row r="2762" spans="2:11">
      <c r="B2762" s="97" t="str">
        <f ca="1">IF(A2762="","Date",IF(A2762&lt;&gt;"",IF(B2762="Date",NOW(),B2762),""))</f>
        <v>Date</v>
      </c>
      <c r="C2762" s="19" t="str">
        <f>IF(ISBLANK(A2762),"Name",IF(ISNA(VLOOKUP(A2762,'Master List'!A:C,2,FALSE)), "Not Found", VLOOKUP(A2762,'Master List'!A:C,2,FALSE)))</f>
        <v>Name</v>
      </c>
      <c r="D2762" s="19" t="str">
        <f>IF(ISBLANK(A2762), "Email",IF(ISNA(VLOOKUP(A2762,'Master List'!A:C,3,FALSE)), "Not Found", VLOOKUP(A2762,'Master List'!A:C,3,FALSE)))</f>
        <v>Email</v>
      </c>
      <c r="F2762" s="4" t="str">
        <f>IF(OR(A2762="",E2762="","",A2762="?",E2762="?"),"duplicate?",IF(COUNTIFS($A:A,A2762,E:E,E2762)&gt;1,"yes","no"))</f>
        <v>duplicate?</v>
      </c>
      <c r="K2762" s="97" t="str">
        <f ca="1">IF(J2762="","Date",IF(J2762&lt;&gt;"",IF(K2762="Date",NOW(),K2762),""))</f>
        <v>Date</v>
      </c>
    </row>
    <row r="2763" spans="2:11">
      <c r="B2763" s="97" t="str">
        <f ca="1">IF(A2763="","Date",IF(A2763&lt;&gt;"",IF(B2763="Date",NOW(),B2763),""))</f>
        <v>Date</v>
      </c>
      <c r="C2763" s="19" t="str">
        <f>IF(ISBLANK(A2763),"Name",IF(ISNA(VLOOKUP(A2763,'Master List'!A:C,2,FALSE)), "Not Found", VLOOKUP(A2763,'Master List'!A:C,2,FALSE)))</f>
        <v>Name</v>
      </c>
      <c r="D2763" s="19" t="str">
        <f>IF(ISBLANK(A2763), "Email",IF(ISNA(VLOOKUP(A2763,'Master List'!A:C,3,FALSE)), "Not Found", VLOOKUP(A2763,'Master List'!A:C,3,FALSE)))</f>
        <v>Email</v>
      </c>
      <c r="F2763" s="4" t="str">
        <f>IF(OR(A2763="",E2763="","",A2763="?",E2763="?"),"duplicate?",IF(COUNTIFS($A:A,A2763,E:E,E2763)&gt;1,"yes","no"))</f>
        <v>duplicate?</v>
      </c>
      <c r="K2763" s="97" t="str">
        <f ca="1">IF(J2763="","Date",IF(J2763&lt;&gt;"",IF(K2763="Date",NOW(),K2763),""))</f>
        <v>Date</v>
      </c>
    </row>
    <row r="2764" spans="2:11">
      <c r="B2764" s="97" t="str">
        <f ca="1">IF(A2764="","Date",IF(A2764&lt;&gt;"",IF(B2764="Date",NOW(),B2764),""))</f>
        <v>Date</v>
      </c>
      <c r="C2764" s="19" t="str">
        <f>IF(ISBLANK(A2764),"Name",IF(ISNA(VLOOKUP(A2764,'Master List'!A:C,2,FALSE)), "Not Found", VLOOKUP(A2764,'Master List'!A:C,2,FALSE)))</f>
        <v>Name</v>
      </c>
      <c r="D2764" s="19" t="str">
        <f>IF(ISBLANK(A2764), "Email",IF(ISNA(VLOOKUP(A2764,'Master List'!A:C,3,FALSE)), "Not Found", VLOOKUP(A2764,'Master List'!A:C,3,FALSE)))</f>
        <v>Email</v>
      </c>
      <c r="F2764" s="4" t="str">
        <f>IF(OR(A2764="",E2764="","",A2764="?",E2764="?"),"duplicate?",IF(COUNTIFS($A:A,A2764,E:E,E2764)&gt;1,"yes","no"))</f>
        <v>duplicate?</v>
      </c>
      <c r="K2764" s="97" t="str">
        <f ca="1">IF(J2764="","Date",IF(J2764&lt;&gt;"",IF(K2764="Date",NOW(),K2764),""))</f>
        <v>Date</v>
      </c>
    </row>
    <row r="2765" spans="2:11">
      <c r="B2765" s="97" t="str">
        <f ca="1">IF(A2765="","Date",IF(A2765&lt;&gt;"",IF(B2765="Date",NOW(),B2765),""))</f>
        <v>Date</v>
      </c>
      <c r="C2765" s="19" t="str">
        <f>IF(ISBLANK(A2765),"Name",IF(ISNA(VLOOKUP(A2765,'Master List'!A:C,2,FALSE)), "Not Found", VLOOKUP(A2765,'Master List'!A:C,2,FALSE)))</f>
        <v>Name</v>
      </c>
      <c r="D2765" s="19" t="str">
        <f>IF(ISBLANK(A2765), "Email",IF(ISNA(VLOOKUP(A2765,'Master List'!A:C,3,FALSE)), "Not Found", VLOOKUP(A2765,'Master List'!A:C,3,FALSE)))</f>
        <v>Email</v>
      </c>
      <c r="F2765" s="4" t="str">
        <f>IF(OR(A2765="",E2765="","",A2765="?",E2765="?"),"duplicate?",IF(COUNTIFS($A:A,A2765,E:E,E2765)&gt;1,"yes","no"))</f>
        <v>duplicate?</v>
      </c>
      <c r="K2765" s="97" t="str">
        <f ca="1">IF(J2765="","Date",IF(J2765&lt;&gt;"",IF(K2765="Date",NOW(),K2765),""))</f>
        <v>Date</v>
      </c>
    </row>
    <row r="2766" spans="2:11">
      <c r="B2766" s="97" t="str">
        <f ca="1">IF(A2766="","Date",IF(A2766&lt;&gt;"",IF(B2766="Date",NOW(),B2766),""))</f>
        <v>Date</v>
      </c>
      <c r="C2766" s="19" t="str">
        <f>IF(ISBLANK(A2766),"Name",IF(ISNA(VLOOKUP(A2766,'Master List'!A:C,2,FALSE)), "Not Found", VLOOKUP(A2766,'Master List'!A:C,2,FALSE)))</f>
        <v>Name</v>
      </c>
      <c r="D2766" s="19" t="str">
        <f>IF(ISBLANK(A2766), "Email",IF(ISNA(VLOOKUP(A2766,'Master List'!A:C,3,FALSE)), "Not Found", VLOOKUP(A2766,'Master List'!A:C,3,FALSE)))</f>
        <v>Email</v>
      </c>
      <c r="F2766" s="4" t="str">
        <f>IF(OR(A2766="",E2766="","",A2766="?",E2766="?"),"duplicate?",IF(COUNTIFS($A:A,A2766,E:E,E2766)&gt;1,"yes","no"))</f>
        <v>duplicate?</v>
      </c>
      <c r="K2766" s="97" t="str">
        <f ca="1">IF(J2766="","Date",IF(J2766&lt;&gt;"",IF(K2766="Date",NOW(),K2766),""))</f>
        <v>Date</v>
      </c>
    </row>
    <row r="2767" spans="2:11">
      <c r="B2767" s="97" t="str">
        <f ca="1">IF(A2767="","Date",IF(A2767&lt;&gt;"",IF(B2767="Date",NOW(),B2767),""))</f>
        <v>Date</v>
      </c>
      <c r="C2767" s="19" t="str">
        <f>IF(ISBLANK(A2767),"Name",IF(ISNA(VLOOKUP(A2767,'Master List'!A:C,2,FALSE)), "Not Found", VLOOKUP(A2767,'Master List'!A:C,2,FALSE)))</f>
        <v>Name</v>
      </c>
      <c r="D2767" s="19" t="str">
        <f>IF(ISBLANK(A2767), "Email",IF(ISNA(VLOOKUP(A2767,'Master List'!A:C,3,FALSE)), "Not Found", VLOOKUP(A2767,'Master List'!A:C,3,FALSE)))</f>
        <v>Email</v>
      </c>
      <c r="F2767" s="4" t="str">
        <f>IF(OR(A2767="",E2767="","",A2767="?",E2767="?"),"duplicate?",IF(COUNTIFS($A:A,A2767,E:E,E2767)&gt;1,"yes","no"))</f>
        <v>duplicate?</v>
      </c>
      <c r="K2767" s="97" t="str">
        <f ca="1">IF(J2767="","Date",IF(J2767&lt;&gt;"",IF(K2767="Date",NOW(),K2767),""))</f>
        <v>Date</v>
      </c>
    </row>
    <row r="2768" spans="2:11">
      <c r="B2768" s="97" t="str">
        <f ca="1">IF(A2768="","Date",IF(A2768&lt;&gt;"",IF(B2768="Date",NOW(),B2768),""))</f>
        <v>Date</v>
      </c>
      <c r="C2768" s="19" t="str">
        <f>IF(ISBLANK(A2768),"Name",IF(ISNA(VLOOKUP(A2768,'Master List'!A:C,2,FALSE)), "Not Found", VLOOKUP(A2768,'Master List'!A:C,2,FALSE)))</f>
        <v>Name</v>
      </c>
      <c r="D2768" s="19" t="str">
        <f>IF(ISBLANK(A2768), "Email",IF(ISNA(VLOOKUP(A2768,'Master List'!A:C,3,FALSE)), "Not Found", VLOOKUP(A2768,'Master List'!A:C,3,FALSE)))</f>
        <v>Email</v>
      </c>
      <c r="F2768" s="4" t="str">
        <f>IF(OR(A2768="",E2768="","",A2768="?",E2768="?"),"duplicate?",IF(COUNTIFS($A:A,A2768,E:E,E2768)&gt;1,"yes","no"))</f>
        <v>duplicate?</v>
      </c>
      <c r="K2768" s="97" t="str">
        <f ca="1">IF(J2768="","Date",IF(J2768&lt;&gt;"",IF(K2768="Date",NOW(),K2768),""))</f>
        <v>Date</v>
      </c>
    </row>
    <row r="2769" spans="2:11">
      <c r="B2769" s="97" t="str">
        <f ca="1">IF(A2769="","Date",IF(A2769&lt;&gt;"",IF(B2769="Date",NOW(),B2769),""))</f>
        <v>Date</v>
      </c>
      <c r="C2769" s="19" t="str">
        <f>IF(ISBLANK(A2769),"Name",IF(ISNA(VLOOKUP(A2769,'Master List'!A:C,2,FALSE)), "Not Found", VLOOKUP(A2769,'Master List'!A:C,2,FALSE)))</f>
        <v>Name</v>
      </c>
      <c r="D2769" s="19" t="str">
        <f>IF(ISBLANK(A2769), "Email",IF(ISNA(VLOOKUP(A2769,'Master List'!A:C,3,FALSE)), "Not Found", VLOOKUP(A2769,'Master List'!A:C,3,FALSE)))</f>
        <v>Email</v>
      </c>
      <c r="F2769" s="4" t="str">
        <f>IF(OR(A2769="",E2769="","",A2769="?",E2769="?"),"duplicate?",IF(COUNTIFS($A:A,A2769,E:E,E2769)&gt;1,"yes","no"))</f>
        <v>duplicate?</v>
      </c>
      <c r="K2769" s="97" t="str">
        <f ca="1">IF(J2769="","Date",IF(J2769&lt;&gt;"",IF(K2769="Date",NOW(),K2769),""))</f>
        <v>Date</v>
      </c>
    </row>
    <row r="2770" spans="2:11">
      <c r="B2770" s="97" t="str">
        <f ca="1">IF(A2770="","Date",IF(A2770&lt;&gt;"",IF(B2770="Date",NOW(),B2770),""))</f>
        <v>Date</v>
      </c>
      <c r="C2770" s="19" t="str">
        <f>IF(ISBLANK(A2770),"Name",IF(ISNA(VLOOKUP(A2770,'Master List'!A:C,2,FALSE)), "Not Found", VLOOKUP(A2770,'Master List'!A:C,2,FALSE)))</f>
        <v>Name</v>
      </c>
      <c r="D2770" s="19" t="str">
        <f>IF(ISBLANK(A2770), "Email",IF(ISNA(VLOOKUP(A2770,'Master List'!A:C,3,FALSE)), "Not Found", VLOOKUP(A2770,'Master List'!A:C,3,FALSE)))</f>
        <v>Email</v>
      </c>
      <c r="F2770" s="4" t="str">
        <f>IF(OR(A2770="",E2770="","",A2770="?",E2770="?"),"duplicate?",IF(COUNTIFS($A:A,A2770,E:E,E2770)&gt;1,"yes","no"))</f>
        <v>duplicate?</v>
      </c>
      <c r="K2770" s="97" t="str">
        <f ca="1">IF(J2770="","Date",IF(J2770&lt;&gt;"",IF(K2770="Date",NOW(),K2770),""))</f>
        <v>Date</v>
      </c>
    </row>
    <row r="2771" spans="2:11">
      <c r="B2771" s="97" t="str">
        <f ca="1">IF(A2771="","Date",IF(A2771&lt;&gt;"",IF(B2771="Date",NOW(),B2771),""))</f>
        <v>Date</v>
      </c>
      <c r="C2771" s="19" t="str">
        <f>IF(ISBLANK(A2771),"Name",IF(ISNA(VLOOKUP(A2771,'Master List'!A:C,2,FALSE)), "Not Found", VLOOKUP(A2771,'Master List'!A:C,2,FALSE)))</f>
        <v>Name</v>
      </c>
      <c r="D2771" s="19" t="str">
        <f>IF(ISBLANK(A2771), "Email",IF(ISNA(VLOOKUP(A2771,'Master List'!A:C,3,FALSE)), "Not Found", VLOOKUP(A2771,'Master List'!A:C,3,FALSE)))</f>
        <v>Email</v>
      </c>
      <c r="F2771" s="4" t="str">
        <f>IF(OR(A2771="",E2771="","",A2771="?",E2771="?"),"duplicate?",IF(COUNTIFS($A:A,A2771,E:E,E2771)&gt;1,"yes","no"))</f>
        <v>duplicate?</v>
      </c>
      <c r="K2771" s="97" t="str">
        <f ca="1">IF(J2771="","Date",IF(J2771&lt;&gt;"",IF(K2771="Date",NOW(),K2771),""))</f>
        <v>Date</v>
      </c>
    </row>
    <row r="2772" spans="2:11">
      <c r="B2772" s="97" t="str">
        <f ca="1">IF(A2772="","Date",IF(A2772&lt;&gt;"",IF(B2772="Date",NOW(),B2772),""))</f>
        <v>Date</v>
      </c>
      <c r="C2772" s="19" t="str">
        <f>IF(ISBLANK(A2772),"Name",IF(ISNA(VLOOKUP(A2772,'Master List'!A:C,2,FALSE)), "Not Found", VLOOKUP(A2772,'Master List'!A:C,2,FALSE)))</f>
        <v>Name</v>
      </c>
      <c r="D2772" s="19" t="str">
        <f>IF(ISBLANK(A2772), "Email",IF(ISNA(VLOOKUP(A2772,'Master List'!A:C,3,FALSE)), "Not Found", VLOOKUP(A2772,'Master List'!A:C,3,FALSE)))</f>
        <v>Email</v>
      </c>
      <c r="F2772" s="4" t="str">
        <f>IF(OR(A2772="",E2772="","",A2772="?",E2772="?"),"duplicate?",IF(COUNTIFS($A:A,A2772,E:E,E2772)&gt;1,"yes","no"))</f>
        <v>duplicate?</v>
      </c>
      <c r="K2772" s="97" t="str">
        <f ca="1">IF(J2772="","Date",IF(J2772&lt;&gt;"",IF(K2772="Date",NOW(),K2772),""))</f>
        <v>Date</v>
      </c>
    </row>
    <row r="2773" spans="2:11">
      <c r="B2773" s="97" t="str">
        <f ca="1">IF(A2773="","Date",IF(A2773&lt;&gt;"",IF(B2773="Date",NOW(),B2773),""))</f>
        <v>Date</v>
      </c>
      <c r="C2773" s="19" t="str">
        <f>IF(ISBLANK(A2773),"Name",IF(ISNA(VLOOKUP(A2773,'Master List'!A:C,2,FALSE)), "Not Found", VLOOKUP(A2773,'Master List'!A:C,2,FALSE)))</f>
        <v>Name</v>
      </c>
      <c r="D2773" s="19" t="str">
        <f>IF(ISBLANK(A2773), "Email",IF(ISNA(VLOOKUP(A2773,'Master List'!A:C,3,FALSE)), "Not Found", VLOOKUP(A2773,'Master List'!A:C,3,FALSE)))</f>
        <v>Email</v>
      </c>
      <c r="F2773" s="4" t="str">
        <f>IF(OR(A2773="",E2773="","",A2773="?",E2773="?"),"duplicate?",IF(COUNTIFS($A:A,A2773,E:E,E2773)&gt;1,"yes","no"))</f>
        <v>duplicate?</v>
      </c>
      <c r="K2773" s="97" t="str">
        <f ca="1">IF(J2773="","Date",IF(J2773&lt;&gt;"",IF(K2773="Date",NOW(),K2773),""))</f>
        <v>Date</v>
      </c>
    </row>
    <row r="2774" spans="2:11">
      <c r="B2774" s="97" t="str">
        <f ca="1">IF(A2774="","Date",IF(A2774&lt;&gt;"",IF(B2774="Date",NOW(),B2774),""))</f>
        <v>Date</v>
      </c>
      <c r="C2774" s="19" t="str">
        <f>IF(ISBLANK(A2774),"Name",IF(ISNA(VLOOKUP(A2774,'Master List'!A:C,2,FALSE)), "Not Found", VLOOKUP(A2774,'Master List'!A:C,2,FALSE)))</f>
        <v>Name</v>
      </c>
      <c r="D2774" s="19" t="str">
        <f>IF(ISBLANK(A2774), "Email",IF(ISNA(VLOOKUP(A2774,'Master List'!A:C,3,FALSE)), "Not Found", VLOOKUP(A2774,'Master List'!A:C,3,FALSE)))</f>
        <v>Email</v>
      </c>
      <c r="F2774" s="4" t="str">
        <f>IF(OR(A2774="",E2774="","",A2774="?",E2774="?"),"duplicate?",IF(COUNTIFS($A:A,A2774,E:E,E2774)&gt;1,"yes","no"))</f>
        <v>duplicate?</v>
      </c>
      <c r="K2774" s="97" t="str">
        <f ca="1">IF(J2774="","Date",IF(J2774&lt;&gt;"",IF(K2774="Date",NOW(),K2774),""))</f>
        <v>Date</v>
      </c>
    </row>
    <row r="2775" spans="2:11">
      <c r="B2775" s="97" t="str">
        <f ca="1">IF(A2775="","Date",IF(A2775&lt;&gt;"",IF(B2775="Date",NOW(),B2775),""))</f>
        <v>Date</v>
      </c>
      <c r="C2775" s="19" t="str">
        <f>IF(ISBLANK(A2775),"Name",IF(ISNA(VLOOKUP(A2775,'Master List'!A:C,2,FALSE)), "Not Found", VLOOKUP(A2775,'Master List'!A:C,2,FALSE)))</f>
        <v>Name</v>
      </c>
      <c r="D2775" s="19" t="str">
        <f>IF(ISBLANK(A2775), "Email",IF(ISNA(VLOOKUP(A2775,'Master List'!A:C,3,FALSE)), "Not Found", VLOOKUP(A2775,'Master List'!A:C,3,FALSE)))</f>
        <v>Email</v>
      </c>
      <c r="F2775" s="4" t="str">
        <f>IF(OR(A2775="",E2775="","",A2775="?",E2775="?"),"duplicate?",IF(COUNTIFS($A:A,A2775,E:E,E2775)&gt;1,"yes","no"))</f>
        <v>duplicate?</v>
      </c>
      <c r="K2775" s="97" t="str">
        <f ca="1">IF(J2775="","Date",IF(J2775&lt;&gt;"",IF(K2775="Date",NOW(),K2775),""))</f>
        <v>Date</v>
      </c>
    </row>
    <row r="2776" spans="2:11">
      <c r="B2776" s="97" t="str">
        <f ca="1">IF(A2776="","Date",IF(A2776&lt;&gt;"",IF(B2776="Date",NOW(),B2776),""))</f>
        <v>Date</v>
      </c>
      <c r="C2776" s="19" t="str">
        <f>IF(ISBLANK(A2776),"Name",IF(ISNA(VLOOKUP(A2776,'Master List'!A:C,2,FALSE)), "Not Found", VLOOKUP(A2776,'Master List'!A:C,2,FALSE)))</f>
        <v>Name</v>
      </c>
      <c r="D2776" s="19" t="str">
        <f>IF(ISBLANK(A2776), "Email",IF(ISNA(VLOOKUP(A2776,'Master List'!A:C,3,FALSE)), "Not Found", VLOOKUP(A2776,'Master List'!A:C,3,FALSE)))</f>
        <v>Email</v>
      </c>
      <c r="F2776" s="4" t="str">
        <f>IF(OR(A2776="",E2776="","",A2776="?",E2776="?"),"duplicate?",IF(COUNTIFS($A:A,A2776,E:E,E2776)&gt;1,"yes","no"))</f>
        <v>duplicate?</v>
      </c>
      <c r="K2776" s="97" t="str">
        <f ca="1">IF(J2776="","Date",IF(J2776&lt;&gt;"",IF(K2776="Date",NOW(),K2776),""))</f>
        <v>Date</v>
      </c>
    </row>
    <row r="2777" spans="2:11">
      <c r="B2777" s="97" t="str">
        <f ca="1">IF(A2777="","Date",IF(A2777&lt;&gt;"",IF(B2777="Date",NOW(),B2777),""))</f>
        <v>Date</v>
      </c>
      <c r="C2777" s="19" t="str">
        <f>IF(ISBLANK(A2777),"Name",IF(ISNA(VLOOKUP(A2777,'Master List'!A:C,2,FALSE)), "Not Found", VLOOKUP(A2777,'Master List'!A:C,2,FALSE)))</f>
        <v>Name</v>
      </c>
      <c r="D2777" s="19" t="str">
        <f>IF(ISBLANK(A2777), "Email",IF(ISNA(VLOOKUP(A2777,'Master List'!A:C,3,FALSE)), "Not Found", VLOOKUP(A2777,'Master List'!A:C,3,FALSE)))</f>
        <v>Email</v>
      </c>
      <c r="F2777" s="4" t="str">
        <f>IF(OR(A2777="",E2777="","",A2777="?",E2777="?"),"duplicate?",IF(COUNTIFS($A:A,A2777,E:E,E2777)&gt;1,"yes","no"))</f>
        <v>duplicate?</v>
      </c>
      <c r="K2777" s="97" t="str">
        <f ca="1">IF(J2777="","Date",IF(J2777&lt;&gt;"",IF(K2777="Date",NOW(),K2777),""))</f>
        <v>Date</v>
      </c>
    </row>
    <row r="2778" spans="2:11">
      <c r="B2778" s="97" t="str">
        <f ca="1">IF(A2778="","Date",IF(A2778&lt;&gt;"",IF(B2778="Date",NOW(),B2778),""))</f>
        <v>Date</v>
      </c>
      <c r="C2778" s="19" t="str">
        <f>IF(ISBLANK(A2778),"Name",IF(ISNA(VLOOKUP(A2778,'Master List'!A:C,2,FALSE)), "Not Found", VLOOKUP(A2778,'Master List'!A:C,2,FALSE)))</f>
        <v>Name</v>
      </c>
      <c r="D2778" s="19" t="str">
        <f>IF(ISBLANK(A2778), "Email",IF(ISNA(VLOOKUP(A2778,'Master List'!A:C,3,FALSE)), "Not Found", VLOOKUP(A2778,'Master List'!A:C,3,FALSE)))</f>
        <v>Email</v>
      </c>
      <c r="F2778" s="4" t="str">
        <f>IF(OR(A2778="",E2778="","",A2778="?",E2778="?"),"duplicate?",IF(COUNTIFS($A:A,A2778,E:E,E2778)&gt;1,"yes","no"))</f>
        <v>duplicate?</v>
      </c>
      <c r="K2778" s="97" t="str">
        <f ca="1">IF(J2778="","Date",IF(J2778&lt;&gt;"",IF(K2778="Date",NOW(),K2778),""))</f>
        <v>Date</v>
      </c>
    </row>
    <row r="2779" spans="2:11">
      <c r="B2779" s="97" t="str">
        <f ca="1">IF(A2779="","Date",IF(A2779&lt;&gt;"",IF(B2779="Date",NOW(),B2779),""))</f>
        <v>Date</v>
      </c>
      <c r="C2779" s="19" t="str">
        <f>IF(ISBLANK(A2779),"Name",IF(ISNA(VLOOKUP(A2779,'Master List'!A:C,2,FALSE)), "Not Found", VLOOKUP(A2779,'Master List'!A:C,2,FALSE)))</f>
        <v>Name</v>
      </c>
      <c r="D2779" s="19" t="str">
        <f>IF(ISBLANK(A2779), "Email",IF(ISNA(VLOOKUP(A2779,'Master List'!A:C,3,FALSE)), "Not Found", VLOOKUP(A2779,'Master List'!A:C,3,FALSE)))</f>
        <v>Email</v>
      </c>
      <c r="F2779" s="4" t="str">
        <f>IF(OR(A2779="",E2779="","",A2779="?",E2779="?"),"duplicate?",IF(COUNTIFS($A:A,A2779,E:E,E2779)&gt;1,"yes","no"))</f>
        <v>duplicate?</v>
      </c>
      <c r="K2779" s="97" t="str">
        <f ca="1">IF(J2779="","Date",IF(J2779&lt;&gt;"",IF(K2779="Date",NOW(),K2779),""))</f>
        <v>Date</v>
      </c>
    </row>
    <row r="2780" spans="2:11">
      <c r="B2780" s="97" t="str">
        <f ca="1">IF(A2780="","Date",IF(A2780&lt;&gt;"",IF(B2780="Date",NOW(),B2780),""))</f>
        <v>Date</v>
      </c>
      <c r="C2780" s="19" t="str">
        <f>IF(ISBLANK(A2780),"Name",IF(ISNA(VLOOKUP(A2780,'Master List'!A:C,2,FALSE)), "Not Found", VLOOKUP(A2780,'Master List'!A:C,2,FALSE)))</f>
        <v>Name</v>
      </c>
      <c r="D2780" s="19" t="str">
        <f>IF(ISBLANK(A2780), "Email",IF(ISNA(VLOOKUP(A2780,'Master List'!A:C,3,FALSE)), "Not Found", VLOOKUP(A2780,'Master List'!A:C,3,FALSE)))</f>
        <v>Email</v>
      </c>
      <c r="F2780" s="4" t="str">
        <f>IF(OR(A2780="",E2780="","",A2780="?",E2780="?"),"duplicate?",IF(COUNTIFS($A:A,A2780,E:E,E2780)&gt;1,"yes","no"))</f>
        <v>duplicate?</v>
      </c>
      <c r="K2780" s="97" t="str">
        <f ca="1">IF(J2780="","Date",IF(J2780&lt;&gt;"",IF(K2780="Date",NOW(),K2780),""))</f>
        <v>Date</v>
      </c>
    </row>
    <row r="2781" spans="2:11">
      <c r="B2781" s="97" t="str">
        <f ca="1">IF(A2781="","Date",IF(A2781&lt;&gt;"",IF(B2781="Date",NOW(),B2781),""))</f>
        <v>Date</v>
      </c>
      <c r="C2781" s="19" t="str">
        <f>IF(ISBLANK(A2781),"Name",IF(ISNA(VLOOKUP(A2781,'Master List'!A:C,2,FALSE)), "Not Found", VLOOKUP(A2781,'Master List'!A:C,2,FALSE)))</f>
        <v>Name</v>
      </c>
      <c r="D2781" s="19" t="str">
        <f>IF(ISBLANK(A2781), "Email",IF(ISNA(VLOOKUP(A2781,'Master List'!A:C,3,FALSE)), "Not Found", VLOOKUP(A2781,'Master List'!A:C,3,FALSE)))</f>
        <v>Email</v>
      </c>
      <c r="F2781" s="4" t="str">
        <f>IF(OR(A2781="",E2781="","",A2781="?",E2781="?"),"duplicate?",IF(COUNTIFS($A:A,A2781,E:E,E2781)&gt;1,"yes","no"))</f>
        <v>duplicate?</v>
      </c>
      <c r="K2781" s="97" t="str">
        <f ca="1">IF(J2781="","Date",IF(J2781&lt;&gt;"",IF(K2781="Date",NOW(),K2781),""))</f>
        <v>Date</v>
      </c>
    </row>
    <row r="2782" spans="2:11">
      <c r="B2782" s="97" t="str">
        <f ca="1">IF(A2782="","Date",IF(A2782&lt;&gt;"",IF(B2782="Date",NOW(),B2782),""))</f>
        <v>Date</v>
      </c>
      <c r="C2782" s="19" t="str">
        <f>IF(ISBLANK(A2782),"Name",IF(ISNA(VLOOKUP(A2782,'Master List'!A:C,2,FALSE)), "Not Found", VLOOKUP(A2782,'Master List'!A:C,2,FALSE)))</f>
        <v>Name</v>
      </c>
      <c r="D2782" s="19" t="str">
        <f>IF(ISBLANK(A2782), "Email",IF(ISNA(VLOOKUP(A2782,'Master List'!A:C,3,FALSE)), "Not Found", VLOOKUP(A2782,'Master List'!A:C,3,FALSE)))</f>
        <v>Email</v>
      </c>
      <c r="F2782" s="4" t="str">
        <f>IF(OR(A2782="",E2782="","",A2782="?",E2782="?"),"duplicate?",IF(COUNTIFS($A:A,A2782,E:E,E2782)&gt;1,"yes","no"))</f>
        <v>duplicate?</v>
      </c>
      <c r="K2782" s="97" t="str">
        <f ca="1">IF(J2782="","Date",IF(J2782&lt;&gt;"",IF(K2782="Date",NOW(),K2782),""))</f>
        <v>Date</v>
      </c>
    </row>
    <row r="2783" spans="2:11">
      <c r="B2783" s="97" t="str">
        <f ca="1">IF(A2783="","Date",IF(A2783&lt;&gt;"",IF(B2783="Date",NOW(),B2783),""))</f>
        <v>Date</v>
      </c>
      <c r="C2783" s="19" t="str">
        <f>IF(ISBLANK(A2783),"Name",IF(ISNA(VLOOKUP(A2783,'Master List'!A:C,2,FALSE)), "Not Found", VLOOKUP(A2783,'Master List'!A:C,2,FALSE)))</f>
        <v>Name</v>
      </c>
      <c r="D2783" s="19" t="str">
        <f>IF(ISBLANK(A2783), "Email",IF(ISNA(VLOOKUP(A2783,'Master List'!A:C,3,FALSE)), "Not Found", VLOOKUP(A2783,'Master List'!A:C,3,FALSE)))</f>
        <v>Email</v>
      </c>
      <c r="F2783" s="4" t="str">
        <f>IF(OR(A2783="",E2783="","",A2783="?",E2783="?"),"duplicate?",IF(COUNTIFS($A:A,A2783,E:E,E2783)&gt;1,"yes","no"))</f>
        <v>duplicate?</v>
      </c>
      <c r="K2783" s="97" t="str">
        <f ca="1">IF(J2783="","Date",IF(J2783&lt;&gt;"",IF(K2783="Date",NOW(),K2783),""))</f>
        <v>Date</v>
      </c>
    </row>
    <row r="2784" spans="2:11">
      <c r="B2784" s="97" t="str">
        <f ca="1">IF(A2784="","Date",IF(A2784&lt;&gt;"",IF(B2784="Date",NOW(),B2784),""))</f>
        <v>Date</v>
      </c>
      <c r="C2784" s="19" t="str">
        <f>IF(ISBLANK(A2784),"Name",IF(ISNA(VLOOKUP(A2784,'Master List'!A:C,2,FALSE)), "Not Found", VLOOKUP(A2784,'Master List'!A:C,2,FALSE)))</f>
        <v>Name</v>
      </c>
      <c r="D2784" s="19" t="str">
        <f>IF(ISBLANK(A2784), "Email",IF(ISNA(VLOOKUP(A2784,'Master List'!A:C,3,FALSE)), "Not Found", VLOOKUP(A2784,'Master List'!A:C,3,FALSE)))</f>
        <v>Email</v>
      </c>
      <c r="F2784" s="4" t="str">
        <f>IF(OR(A2784="",E2784="","",A2784="?",E2784="?"),"duplicate?",IF(COUNTIFS($A:A,A2784,E:E,E2784)&gt;1,"yes","no"))</f>
        <v>duplicate?</v>
      </c>
      <c r="K2784" s="97" t="str">
        <f ca="1">IF(J2784="","Date",IF(J2784&lt;&gt;"",IF(K2784="Date",NOW(),K2784),""))</f>
        <v>Date</v>
      </c>
    </row>
    <row r="2785" spans="2:11">
      <c r="B2785" s="97" t="str">
        <f ca="1">IF(A2785="","Date",IF(A2785&lt;&gt;"",IF(B2785="Date",NOW(),B2785),""))</f>
        <v>Date</v>
      </c>
      <c r="C2785" s="19" t="str">
        <f>IF(ISBLANK(A2785),"Name",IF(ISNA(VLOOKUP(A2785,'Master List'!A:C,2,FALSE)), "Not Found", VLOOKUP(A2785,'Master List'!A:C,2,FALSE)))</f>
        <v>Name</v>
      </c>
      <c r="D2785" s="19" t="str">
        <f>IF(ISBLANK(A2785), "Email",IF(ISNA(VLOOKUP(A2785,'Master List'!A:C,3,FALSE)), "Not Found", VLOOKUP(A2785,'Master List'!A:C,3,FALSE)))</f>
        <v>Email</v>
      </c>
      <c r="F2785" s="4" t="str">
        <f>IF(OR(A2785="",E2785="","",A2785="?",E2785="?"),"duplicate?",IF(COUNTIFS($A:A,A2785,E:E,E2785)&gt;1,"yes","no"))</f>
        <v>duplicate?</v>
      </c>
      <c r="K2785" s="97" t="str">
        <f ca="1">IF(J2785="","Date",IF(J2785&lt;&gt;"",IF(K2785="Date",NOW(),K2785),""))</f>
        <v>Date</v>
      </c>
    </row>
    <row r="2786" spans="2:11">
      <c r="B2786" s="97" t="str">
        <f ca="1">IF(A2786="","Date",IF(A2786&lt;&gt;"",IF(B2786="Date",NOW(),B2786),""))</f>
        <v>Date</v>
      </c>
      <c r="C2786" s="19" t="str">
        <f>IF(ISBLANK(A2786),"Name",IF(ISNA(VLOOKUP(A2786,'Master List'!A:C,2,FALSE)), "Not Found", VLOOKUP(A2786,'Master List'!A:C,2,FALSE)))</f>
        <v>Name</v>
      </c>
      <c r="D2786" s="19" t="str">
        <f>IF(ISBLANK(A2786), "Email",IF(ISNA(VLOOKUP(A2786,'Master List'!A:C,3,FALSE)), "Not Found", VLOOKUP(A2786,'Master List'!A:C,3,FALSE)))</f>
        <v>Email</v>
      </c>
      <c r="F2786" s="4" t="str">
        <f>IF(OR(A2786="",E2786="","",A2786="?",E2786="?"),"duplicate?",IF(COUNTIFS($A:A,A2786,E:E,E2786)&gt;1,"yes","no"))</f>
        <v>duplicate?</v>
      </c>
      <c r="K2786" s="97" t="str">
        <f ca="1">IF(J2786="","Date",IF(J2786&lt;&gt;"",IF(K2786="Date",NOW(),K2786),""))</f>
        <v>Date</v>
      </c>
    </row>
    <row r="2787" spans="2:11">
      <c r="B2787" s="97" t="str">
        <f ca="1">IF(A2787="","Date",IF(A2787&lt;&gt;"",IF(B2787="Date",NOW(),B2787),""))</f>
        <v>Date</v>
      </c>
      <c r="C2787" s="19" t="str">
        <f>IF(ISBLANK(A2787),"Name",IF(ISNA(VLOOKUP(A2787,'Master List'!A:C,2,FALSE)), "Not Found", VLOOKUP(A2787,'Master List'!A:C,2,FALSE)))</f>
        <v>Name</v>
      </c>
      <c r="D2787" s="19" t="str">
        <f>IF(ISBLANK(A2787), "Email",IF(ISNA(VLOOKUP(A2787,'Master List'!A:C,3,FALSE)), "Not Found", VLOOKUP(A2787,'Master List'!A:C,3,FALSE)))</f>
        <v>Email</v>
      </c>
      <c r="F2787" s="4" t="str">
        <f>IF(OR(A2787="",E2787="","",A2787="?",E2787="?"),"duplicate?",IF(COUNTIFS($A:A,A2787,E:E,E2787)&gt;1,"yes","no"))</f>
        <v>duplicate?</v>
      </c>
      <c r="K2787" s="97" t="str">
        <f ca="1">IF(J2787="","Date",IF(J2787&lt;&gt;"",IF(K2787="Date",NOW(),K2787),""))</f>
        <v>Date</v>
      </c>
    </row>
    <row r="2788" spans="2:11">
      <c r="B2788" s="97" t="str">
        <f ca="1">IF(A2788="","Date",IF(A2788&lt;&gt;"",IF(B2788="Date",NOW(),B2788),""))</f>
        <v>Date</v>
      </c>
      <c r="C2788" s="19" t="str">
        <f>IF(ISBLANK(A2788),"Name",IF(ISNA(VLOOKUP(A2788,'Master List'!A:C,2,FALSE)), "Not Found", VLOOKUP(A2788,'Master List'!A:C,2,FALSE)))</f>
        <v>Name</v>
      </c>
      <c r="D2788" s="19" t="str">
        <f>IF(ISBLANK(A2788), "Email",IF(ISNA(VLOOKUP(A2788,'Master List'!A:C,3,FALSE)), "Not Found", VLOOKUP(A2788,'Master List'!A:C,3,FALSE)))</f>
        <v>Email</v>
      </c>
      <c r="F2788" s="4" t="str">
        <f>IF(OR(A2788="",E2788="","",A2788="?",E2788="?"),"duplicate?",IF(COUNTIFS($A:A,A2788,E:E,E2788)&gt;1,"yes","no"))</f>
        <v>duplicate?</v>
      </c>
      <c r="K2788" s="97" t="str">
        <f ca="1">IF(J2788="","Date",IF(J2788&lt;&gt;"",IF(K2788="Date",NOW(),K2788),""))</f>
        <v>Date</v>
      </c>
    </row>
    <row r="2789" spans="2:11">
      <c r="B2789" s="97" t="str">
        <f ca="1">IF(A2789="","Date",IF(A2789&lt;&gt;"",IF(B2789="Date",NOW(),B2789),""))</f>
        <v>Date</v>
      </c>
      <c r="C2789" s="19" t="str">
        <f>IF(ISBLANK(A2789),"Name",IF(ISNA(VLOOKUP(A2789,'Master List'!A:C,2,FALSE)), "Not Found", VLOOKUP(A2789,'Master List'!A:C,2,FALSE)))</f>
        <v>Name</v>
      </c>
      <c r="D2789" s="19" t="str">
        <f>IF(ISBLANK(A2789), "Email",IF(ISNA(VLOOKUP(A2789,'Master List'!A:C,3,FALSE)), "Not Found", VLOOKUP(A2789,'Master List'!A:C,3,FALSE)))</f>
        <v>Email</v>
      </c>
      <c r="F2789" s="4" t="str">
        <f>IF(OR(A2789="",E2789="","",A2789="?",E2789="?"),"duplicate?",IF(COUNTIFS($A:A,A2789,E:E,E2789)&gt;1,"yes","no"))</f>
        <v>duplicate?</v>
      </c>
      <c r="K2789" s="97" t="str">
        <f ca="1">IF(J2789="","Date",IF(J2789&lt;&gt;"",IF(K2789="Date",NOW(),K2789),""))</f>
        <v>Date</v>
      </c>
    </row>
    <row r="2790" spans="2:11">
      <c r="B2790" s="97" t="str">
        <f ca="1">IF(A2790="","Date",IF(A2790&lt;&gt;"",IF(B2790="Date",NOW(),B2790),""))</f>
        <v>Date</v>
      </c>
      <c r="C2790" s="19" t="str">
        <f>IF(ISBLANK(A2790),"Name",IF(ISNA(VLOOKUP(A2790,'Master List'!A:C,2,FALSE)), "Not Found", VLOOKUP(A2790,'Master List'!A:C,2,FALSE)))</f>
        <v>Name</v>
      </c>
      <c r="D2790" s="19" t="str">
        <f>IF(ISBLANK(A2790), "Email",IF(ISNA(VLOOKUP(A2790,'Master List'!A:C,3,FALSE)), "Not Found", VLOOKUP(A2790,'Master List'!A:C,3,FALSE)))</f>
        <v>Email</v>
      </c>
      <c r="F2790" s="4" t="str">
        <f>IF(OR(A2790="",E2790="","",A2790="?",E2790="?"),"duplicate?",IF(COUNTIFS($A:A,A2790,E:E,E2790)&gt;1,"yes","no"))</f>
        <v>duplicate?</v>
      </c>
      <c r="K2790" s="97" t="str">
        <f ca="1">IF(J2790="","Date",IF(J2790&lt;&gt;"",IF(K2790="Date",NOW(),K2790),""))</f>
        <v>Date</v>
      </c>
    </row>
    <row r="2791" spans="2:11">
      <c r="B2791" s="97" t="str">
        <f ca="1">IF(A2791="","Date",IF(A2791&lt;&gt;"",IF(B2791="Date",NOW(),B2791),""))</f>
        <v>Date</v>
      </c>
      <c r="C2791" s="19" t="str">
        <f>IF(ISBLANK(A2791),"Name",IF(ISNA(VLOOKUP(A2791,'Master List'!A:C,2,FALSE)), "Not Found", VLOOKUP(A2791,'Master List'!A:C,2,FALSE)))</f>
        <v>Name</v>
      </c>
      <c r="D2791" s="19" t="str">
        <f>IF(ISBLANK(A2791), "Email",IF(ISNA(VLOOKUP(A2791,'Master List'!A:C,3,FALSE)), "Not Found", VLOOKUP(A2791,'Master List'!A:C,3,FALSE)))</f>
        <v>Email</v>
      </c>
      <c r="F2791" s="4" t="str">
        <f>IF(OR(A2791="",E2791="","",A2791="?",E2791="?"),"duplicate?",IF(COUNTIFS($A:A,A2791,E:E,E2791)&gt;1,"yes","no"))</f>
        <v>duplicate?</v>
      </c>
      <c r="K2791" s="97" t="str">
        <f ca="1">IF(J2791="","Date",IF(J2791&lt;&gt;"",IF(K2791="Date",NOW(),K2791),""))</f>
        <v>Date</v>
      </c>
    </row>
    <row r="2792" spans="2:11">
      <c r="B2792" s="97" t="str">
        <f ca="1">IF(A2792="","Date",IF(A2792&lt;&gt;"",IF(B2792="Date",NOW(),B2792),""))</f>
        <v>Date</v>
      </c>
      <c r="C2792" s="19" t="str">
        <f>IF(ISBLANK(A2792),"Name",IF(ISNA(VLOOKUP(A2792,'Master List'!A:C,2,FALSE)), "Not Found", VLOOKUP(A2792,'Master List'!A:C,2,FALSE)))</f>
        <v>Name</v>
      </c>
      <c r="D2792" s="19" t="str">
        <f>IF(ISBLANK(A2792), "Email",IF(ISNA(VLOOKUP(A2792,'Master List'!A:C,3,FALSE)), "Not Found", VLOOKUP(A2792,'Master List'!A:C,3,FALSE)))</f>
        <v>Email</v>
      </c>
      <c r="F2792" s="4" t="str">
        <f>IF(OR(A2792="",E2792="","",A2792="?",E2792="?"),"duplicate?",IF(COUNTIFS($A:A,A2792,E:E,E2792)&gt;1,"yes","no"))</f>
        <v>duplicate?</v>
      </c>
      <c r="K2792" s="97" t="str">
        <f ca="1">IF(J2792="","Date",IF(J2792&lt;&gt;"",IF(K2792="Date",NOW(),K2792),""))</f>
        <v>Date</v>
      </c>
    </row>
    <row r="2793" spans="2:11">
      <c r="B2793" s="97" t="str">
        <f ca="1">IF(A2793="","Date",IF(A2793&lt;&gt;"",IF(B2793="Date",NOW(),B2793),""))</f>
        <v>Date</v>
      </c>
      <c r="C2793" s="19" t="str">
        <f>IF(ISBLANK(A2793),"Name",IF(ISNA(VLOOKUP(A2793,'Master List'!A:C,2,FALSE)), "Not Found", VLOOKUP(A2793,'Master List'!A:C,2,FALSE)))</f>
        <v>Name</v>
      </c>
      <c r="D2793" s="19" t="str">
        <f>IF(ISBLANK(A2793), "Email",IF(ISNA(VLOOKUP(A2793,'Master List'!A:C,3,FALSE)), "Not Found", VLOOKUP(A2793,'Master List'!A:C,3,FALSE)))</f>
        <v>Email</v>
      </c>
      <c r="F2793" s="4" t="str">
        <f>IF(OR(A2793="",E2793="","",A2793="?",E2793="?"),"duplicate?",IF(COUNTIFS($A:A,A2793,E:E,E2793)&gt;1,"yes","no"))</f>
        <v>duplicate?</v>
      </c>
      <c r="K2793" s="97" t="str">
        <f ca="1">IF(J2793="","Date",IF(J2793&lt;&gt;"",IF(K2793="Date",NOW(),K2793),""))</f>
        <v>Date</v>
      </c>
    </row>
    <row r="2794" spans="2:11">
      <c r="B2794" s="97" t="str">
        <f ca="1">IF(A2794="","Date",IF(A2794&lt;&gt;"",IF(B2794="Date",NOW(),B2794),""))</f>
        <v>Date</v>
      </c>
      <c r="C2794" s="19" t="str">
        <f>IF(ISBLANK(A2794),"Name",IF(ISNA(VLOOKUP(A2794,'Master List'!A:C,2,FALSE)), "Not Found", VLOOKUP(A2794,'Master List'!A:C,2,FALSE)))</f>
        <v>Name</v>
      </c>
      <c r="D2794" s="19" t="str">
        <f>IF(ISBLANK(A2794), "Email",IF(ISNA(VLOOKUP(A2794,'Master List'!A:C,3,FALSE)), "Not Found", VLOOKUP(A2794,'Master List'!A:C,3,FALSE)))</f>
        <v>Email</v>
      </c>
      <c r="F2794" s="4" t="str">
        <f>IF(OR(A2794="",E2794="","",A2794="?",E2794="?"),"duplicate?",IF(COUNTIFS($A:A,A2794,E:E,E2794)&gt;1,"yes","no"))</f>
        <v>duplicate?</v>
      </c>
      <c r="K2794" s="97" t="str">
        <f ca="1">IF(J2794="","Date",IF(J2794&lt;&gt;"",IF(K2794="Date",NOW(),K2794),""))</f>
        <v>Date</v>
      </c>
    </row>
    <row r="2795" spans="2:11">
      <c r="B2795" s="97" t="str">
        <f ca="1">IF(A2795="","Date",IF(A2795&lt;&gt;"",IF(B2795="Date",NOW(),B2795),""))</f>
        <v>Date</v>
      </c>
      <c r="C2795" s="19" t="str">
        <f>IF(ISBLANK(A2795),"Name",IF(ISNA(VLOOKUP(A2795,'Master List'!A:C,2,FALSE)), "Not Found", VLOOKUP(A2795,'Master List'!A:C,2,FALSE)))</f>
        <v>Name</v>
      </c>
      <c r="D2795" s="19" t="str">
        <f>IF(ISBLANK(A2795), "Email",IF(ISNA(VLOOKUP(A2795,'Master List'!A:C,3,FALSE)), "Not Found", VLOOKUP(A2795,'Master List'!A:C,3,FALSE)))</f>
        <v>Email</v>
      </c>
      <c r="F2795" s="4" t="str">
        <f>IF(OR(A2795="",E2795="","",A2795="?",E2795="?"),"duplicate?",IF(COUNTIFS($A:A,A2795,E:E,E2795)&gt;1,"yes","no"))</f>
        <v>duplicate?</v>
      </c>
      <c r="K2795" s="97" t="str">
        <f ca="1">IF(J2795="","Date",IF(J2795&lt;&gt;"",IF(K2795="Date",NOW(),K2795),""))</f>
        <v>Date</v>
      </c>
    </row>
    <row r="2796" spans="2:11">
      <c r="B2796" s="97" t="str">
        <f ca="1">IF(A2796="","Date",IF(A2796&lt;&gt;"",IF(B2796="Date",NOW(),B2796),""))</f>
        <v>Date</v>
      </c>
      <c r="C2796" s="19" t="str">
        <f>IF(ISBLANK(A2796),"Name",IF(ISNA(VLOOKUP(A2796,'Master List'!A:C,2,FALSE)), "Not Found", VLOOKUP(A2796,'Master List'!A:C,2,FALSE)))</f>
        <v>Name</v>
      </c>
      <c r="D2796" s="19" t="str">
        <f>IF(ISBLANK(A2796), "Email",IF(ISNA(VLOOKUP(A2796,'Master List'!A:C,3,FALSE)), "Not Found", VLOOKUP(A2796,'Master List'!A:C,3,FALSE)))</f>
        <v>Email</v>
      </c>
      <c r="F2796" s="4" t="str">
        <f>IF(OR(A2796="",E2796="","",A2796="?",E2796="?"),"duplicate?",IF(COUNTIFS($A:A,A2796,E:E,E2796)&gt;1,"yes","no"))</f>
        <v>duplicate?</v>
      </c>
      <c r="K2796" s="97" t="str">
        <f ca="1">IF(J2796="","Date",IF(J2796&lt;&gt;"",IF(K2796="Date",NOW(),K2796),""))</f>
        <v>Date</v>
      </c>
    </row>
    <row r="2797" spans="2:11">
      <c r="B2797" s="97" t="str">
        <f ca="1">IF(A2797="","Date",IF(A2797&lt;&gt;"",IF(B2797="Date",NOW(),B2797),""))</f>
        <v>Date</v>
      </c>
      <c r="C2797" s="19" t="str">
        <f>IF(ISBLANK(A2797),"Name",IF(ISNA(VLOOKUP(A2797,'Master List'!A:C,2,FALSE)), "Not Found", VLOOKUP(A2797,'Master List'!A:C,2,FALSE)))</f>
        <v>Name</v>
      </c>
      <c r="D2797" s="19" t="str">
        <f>IF(ISBLANK(A2797), "Email",IF(ISNA(VLOOKUP(A2797,'Master List'!A:C,3,FALSE)), "Not Found", VLOOKUP(A2797,'Master List'!A:C,3,FALSE)))</f>
        <v>Email</v>
      </c>
      <c r="F2797" s="4" t="str">
        <f>IF(OR(A2797="",E2797="","",A2797="?",E2797="?"),"duplicate?",IF(COUNTIFS($A:A,A2797,E:E,E2797)&gt;1,"yes","no"))</f>
        <v>duplicate?</v>
      </c>
      <c r="K2797" s="97" t="str">
        <f ca="1">IF(J2797="","Date",IF(J2797&lt;&gt;"",IF(K2797="Date",NOW(),K2797),""))</f>
        <v>Date</v>
      </c>
    </row>
    <row r="2798" spans="2:11">
      <c r="B2798" s="97" t="str">
        <f ca="1">IF(A2798="","Date",IF(A2798&lt;&gt;"",IF(B2798="Date",NOW(),B2798),""))</f>
        <v>Date</v>
      </c>
      <c r="C2798" s="19" t="str">
        <f>IF(ISBLANK(A2798),"Name",IF(ISNA(VLOOKUP(A2798,'Master List'!A:C,2,FALSE)), "Not Found", VLOOKUP(A2798,'Master List'!A:C,2,FALSE)))</f>
        <v>Name</v>
      </c>
      <c r="D2798" s="19" t="str">
        <f>IF(ISBLANK(A2798), "Email",IF(ISNA(VLOOKUP(A2798,'Master List'!A:C,3,FALSE)), "Not Found", VLOOKUP(A2798,'Master List'!A:C,3,FALSE)))</f>
        <v>Email</v>
      </c>
      <c r="F2798" s="4" t="str">
        <f>IF(OR(A2798="",E2798="","",A2798="?",E2798="?"),"duplicate?",IF(COUNTIFS($A:A,A2798,E:E,E2798)&gt;1,"yes","no"))</f>
        <v>duplicate?</v>
      </c>
      <c r="K2798" s="97" t="str">
        <f ca="1">IF(J2798="","Date",IF(J2798&lt;&gt;"",IF(K2798="Date",NOW(),K2798),""))</f>
        <v>Date</v>
      </c>
    </row>
    <row r="2799" spans="2:11">
      <c r="B2799" s="97" t="str">
        <f ca="1">IF(A2799="","Date",IF(A2799&lt;&gt;"",IF(B2799="Date",NOW(),B2799),""))</f>
        <v>Date</v>
      </c>
      <c r="C2799" s="19" t="str">
        <f>IF(ISBLANK(A2799),"Name",IF(ISNA(VLOOKUP(A2799,'Master List'!A:C,2,FALSE)), "Not Found", VLOOKUP(A2799,'Master List'!A:C,2,FALSE)))</f>
        <v>Name</v>
      </c>
      <c r="D2799" s="19" t="str">
        <f>IF(ISBLANK(A2799), "Email",IF(ISNA(VLOOKUP(A2799,'Master List'!A:C,3,FALSE)), "Not Found", VLOOKUP(A2799,'Master List'!A:C,3,FALSE)))</f>
        <v>Email</v>
      </c>
      <c r="F2799" s="4" t="str">
        <f>IF(OR(A2799="",E2799="","",A2799="?",E2799="?"),"duplicate?",IF(COUNTIFS($A:A,A2799,E:E,E2799)&gt;1,"yes","no"))</f>
        <v>duplicate?</v>
      </c>
      <c r="K2799" s="97" t="str">
        <f ca="1">IF(J2799="","Date",IF(J2799&lt;&gt;"",IF(K2799="Date",NOW(),K2799),""))</f>
        <v>Date</v>
      </c>
    </row>
    <row r="2800" spans="2:11">
      <c r="B2800" s="97" t="str">
        <f ca="1">IF(A2800="","Date",IF(A2800&lt;&gt;"",IF(B2800="Date",NOW(),B2800),""))</f>
        <v>Date</v>
      </c>
      <c r="C2800" s="19" t="str">
        <f>IF(ISBLANK(A2800),"Name",IF(ISNA(VLOOKUP(A2800,'Master List'!A:C,2,FALSE)), "Not Found", VLOOKUP(A2800,'Master List'!A:C,2,FALSE)))</f>
        <v>Name</v>
      </c>
      <c r="D2800" s="19" t="str">
        <f>IF(ISBLANK(A2800), "Email",IF(ISNA(VLOOKUP(A2800,'Master List'!A:C,3,FALSE)), "Not Found", VLOOKUP(A2800,'Master List'!A:C,3,FALSE)))</f>
        <v>Email</v>
      </c>
      <c r="F2800" s="4" t="str">
        <f>IF(OR(A2800="",E2800="","",A2800="?",E2800="?"),"duplicate?",IF(COUNTIFS($A:A,A2800,E:E,E2800)&gt;1,"yes","no"))</f>
        <v>duplicate?</v>
      </c>
      <c r="K2800" s="97" t="str">
        <f ca="1">IF(J2800="","Date",IF(J2800&lt;&gt;"",IF(K2800="Date",NOW(),K2800),""))</f>
        <v>Date</v>
      </c>
    </row>
    <row r="2801" spans="2:11">
      <c r="B2801" s="97" t="str">
        <f ca="1">IF(A2801="","Date",IF(A2801&lt;&gt;"",IF(B2801="Date",NOW(),B2801),""))</f>
        <v>Date</v>
      </c>
      <c r="C2801" s="19" t="str">
        <f>IF(ISBLANK(A2801),"Name",IF(ISNA(VLOOKUP(A2801,'Master List'!A:C,2,FALSE)), "Not Found", VLOOKUP(A2801,'Master List'!A:C,2,FALSE)))</f>
        <v>Name</v>
      </c>
      <c r="D2801" s="19" t="str">
        <f>IF(ISBLANK(A2801), "Email",IF(ISNA(VLOOKUP(A2801,'Master List'!A:C,3,FALSE)), "Not Found", VLOOKUP(A2801,'Master List'!A:C,3,FALSE)))</f>
        <v>Email</v>
      </c>
      <c r="F2801" s="4" t="str">
        <f>IF(OR(A2801="",E2801="","",A2801="?",E2801="?"),"duplicate?",IF(COUNTIFS($A:A,A2801,E:E,E2801)&gt;1,"yes","no"))</f>
        <v>duplicate?</v>
      </c>
      <c r="K2801" s="97" t="str">
        <f ca="1">IF(J2801="","Date",IF(J2801&lt;&gt;"",IF(K2801="Date",NOW(),K2801),""))</f>
        <v>Date</v>
      </c>
    </row>
    <row r="2802" spans="2:11">
      <c r="B2802" s="97" t="str">
        <f ca="1">IF(A2802="","Date",IF(A2802&lt;&gt;"",IF(B2802="Date",NOW(),B2802),""))</f>
        <v>Date</v>
      </c>
      <c r="C2802" s="19" t="str">
        <f>IF(ISBLANK(A2802),"Name",IF(ISNA(VLOOKUP(A2802,'Master List'!A:C,2,FALSE)), "Not Found", VLOOKUP(A2802,'Master List'!A:C,2,FALSE)))</f>
        <v>Name</v>
      </c>
      <c r="D2802" s="19" t="str">
        <f>IF(ISBLANK(A2802), "Email",IF(ISNA(VLOOKUP(A2802,'Master List'!A:C,3,FALSE)), "Not Found", VLOOKUP(A2802,'Master List'!A:C,3,FALSE)))</f>
        <v>Email</v>
      </c>
      <c r="F2802" s="4" t="str">
        <f>IF(OR(A2802="",E2802="","",A2802="?",E2802="?"),"duplicate?",IF(COUNTIFS($A:A,A2802,E:E,E2802)&gt;1,"yes","no"))</f>
        <v>duplicate?</v>
      </c>
      <c r="K2802" s="97" t="str">
        <f ca="1">IF(J2802="","Date",IF(J2802&lt;&gt;"",IF(K2802="Date",NOW(),K2802),""))</f>
        <v>Date</v>
      </c>
    </row>
    <row r="2803" spans="2:11">
      <c r="B2803" s="97" t="str">
        <f ca="1">IF(A2803="","Date",IF(A2803&lt;&gt;"",IF(B2803="Date",NOW(),B2803),""))</f>
        <v>Date</v>
      </c>
      <c r="C2803" s="19" t="str">
        <f>IF(ISBLANK(A2803),"Name",IF(ISNA(VLOOKUP(A2803,'Master List'!A:C,2,FALSE)), "Not Found", VLOOKUP(A2803,'Master List'!A:C,2,FALSE)))</f>
        <v>Name</v>
      </c>
      <c r="D2803" s="19" t="str">
        <f>IF(ISBLANK(A2803), "Email",IF(ISNA(VLOOKUP(A2803,'Master List'!A:C,3,FALSE)), "Not Found", VLOOKUP(A2803,'Master List'!A:C,3,FALSE)))</f>
        <v>Email</v>
      </c>
      <c r="F2803" s="4" t="str">
        <f>IF(OR(A2803="",E2803="","",A2803="?",E2803="?"),"duplicate?",IF(COUNTIFS($A:A,A2803,E:E,E2803)&gt;1,"yes","no"))</f>
        <v>duplicate?</v>
      </c>
      <c r="K2803" s="97" t="str">
        <f ca="1">IF(J2803="","Date",IF(J2803&lt;&gt;"",IF(K2803="Date",NOW(),K2803),""))</f>
        <v>Date</v>
      </c>
    </row>
    <row r="2804" spans="2:11">
      <c r="B2804" s="97" t="str">
        <f ca="1">IF(A2804="","Date",IF(A2804&lt;&gt;"",IF(B2804="Date",NOW(),B2804),""))</f>
        <v>Date</v>
      </c>
      <c r="C2804" s="19" t="str">
        <f>IF(ISBLANK(A2804),"Name",IF(ISNA(VLOOKUP(A2804,'Master List'!A:C,2,FALSE)), "Not Found", VLOOKUP(A2804,'Master List'!A:C,2,FALSE)))</f>
        <v>Name</v>
      </c>
      <c r="D2804" s="19" t="str">
        <f>IF(ISBLANK(A2804), "Email",IF(ISNA(VLOOKUP(A2804,'Master List'!A:C,3,FALSE)), "Not Found", VLOOKUP(A2804,'Master List'!A:C,3,FALSE)))</f>
        <v>Email</v>
      </c>
      <c r="F2804" s="4" t="str">
        <f>IF(OR(A2804="",E2804="","",A2804="?",E2804="?"),"duplicate?",IF(COUNTIFS($A:A,A2804,E:E,E2804)&gt;1,"yes","no"))</f>
        <v>duplicate?</v>
      </c>
      <c r="K2804" s="97" t="str">
        <f ca="1">IF(J2804="","Date",IF(J2804&lt;&gt;"",IF(K2804="Date",NOW(),K2804),""))</f>
        <v>Date</v>
      </c>
    </row>
    <row r="2805" spans="2:11">
      <c r="B2805" s="97" t="str">
        <f ca="1">IF(A2805="","Date",IF(A2805&lt;&gt;"",IF(B2805="Date",NOW(),B2805),""))</f>
        <v>Date</v>
      </c>
      <c r="C2805" s="19" t="str">
        <f>IF(ISBLANK(A2805),"Name",IF(ISNA(VLOOKUP(A2805,'Master List'!A:C,2,FALSE)), "Not Found", VLOOKUP(A2805,'Master List'!A:C,2,FALSE)))</f>
        <v>Name</v>
      </c>
      <c r="D2805" s="19" t="str">
        <f>IF(ISBLANK(A2805), "Email",IF(ISNA(VLOOKUP(A2805,'Master List'!A:C,3,FALSE)), "Not Found", VLOOKUP(A2805,'Master List'!A:C,3,FALSE)))</f>
        <v>Email</v>
      </c>
      <c r="F2805" s="4" t="str">
        <f>IF(OR(A2805="",E2805="","",A2805="?",E2805="?"),"duplicate?",IF(COUNTIFS($A:A,A2805,E:E,E2805)&gt;1,"yes","no"))</f>
        <v>duplicate?</v>
      </c>
      <c r="K2805" s="97" t="str">
        <f ca="1">IF(J2805="","Date",IF(J2805&lt;&gt;"",IF(K2805="Date",NOW(),K2805),""))</f>
        <v>Date</v>
      </c>
    </row>
    <row r="2806" spans="2:11">
      <c r="B2806" s="97" t="str">
        <f ca="1">IF(A2806="","Date",IF(A2806&lt;&gt;"",IF(B2806="Date",NOW(),B2806),""))</f>
        <v>Date</v>
      </c>
      <c r="C2806" s="19" t="str">
        <f>IF(ISBLANK(A2806),"Name",IF(ISNA(VLOOKUP(A2806,'Master List'!A:C,2,FALSE)), "Not Found", VLOOKUP(A2806,'Master List'!A:C,2,FALSE)))</f>
        <v>Name</v>
      </c>
      <c r="D2806" s="19" t="str">
        <f>IF(ISBLANK(A2806), "Email",IF(ISNA(VLOOKUP(A2806,'Master List'!A:C,3,FALSE)), "Not Found", VLOOKUP(A2806,'Master List'!A:C,3,FALSE)))</f>
        <v>Email</v>
      </c>
      <c r="F2806" s="4" t="str">
        <f>IF(OR(A2806="",E2806="","",A2806="?",E2806="?"),"duplicate?",IF(COUNTIFS($A:A,A2806,E:E,E2806)&gt;1,"yes","no"))</f>
        <v>duplicate?</v>
      </c>
      <c r="K2806" s="97" t="str">
        <f ca="1">IF(J2806="","Date",IF(J2806&lt;&gt;"",IF(K2806="Date",NOW(),K2806),""))</f>
        <v>Date</v>
      </c>
    </row>
    <row r="2807" spans="2:11">
      <c r="B2807" s="97" t="str">
        <f ca="1">IF(A2807="","Date",IF(A2807&lt;&gt;"",IF(B2807="Date",NOW(),B2807),""))</f>
        <v>Date</v>
      </c>
      <c r="C2807" s="19" t="str">
        <f>IF(ISBLANK(A2807),"Name",IF(ISNA(VLOOKUP(A2807,'Master List'!A:C,2,FALSE)), "Not Found", VLOOKUP(A2807,'Master List'!A:C,2,FALSE)))</f>
        <v>Name</v>
      </c>
      <c r="D2807" s="19" t="str">
        <f>IF(ISBLANK(A2807), "Email",IF(ISNA(VLOOKUP(A2807,'Master List'!A:C,3,FALSE)), "Not Found", VLOOKUP(A2807,'Master List'!A:C,3,FALSE)))</f>
        <v>Email</v>
      </c>
      <c r="F2807" s="4" t="str">
        <f>IF(OR(A2807="",E2807="","",A2807="?",E2807="?"),"duplicate?",IF(COUNTIFS($A:A,A2807,E:E,E2807)&gt;1,"yes","no"))</f>
        <v>duplicate?</v>
      </c>
      <c r="K2807" s="97" t="str">
        <f ca="1">IF(J2807="","Date",IF(J2807&lt;&gt;"",IF(K2807="Date",NOW(),K2807),""))</f>
        <v>Date</v>
      </c>
    </row>
    <row r="2808" spans="2:11">
      <c r="B2808" s="97" t="str">
        <f ca="1">IF(A2808="","Date",IF(A2808&lt;&gt;"",IF(B2808="Date",NOW(),B2808),""))</f>
        <v>Date</v>
      </c>
      <c r="C2808" s="19" t="str">
        <f>IF(ISBLANK(A2808),"Name",IF(ISNA(VLOOKUP(A2808,'Master List'!A:C,2,FALSE)), "Not Found", VLOOKUP(A2808,'Master List'!A:C,2,FALSE)))</f>
        <v>Name</v>
      </c>
      <c r="D2808" s="19" t="str">
        <f>IF(ISBLANK(A2808), "Email",IF(ISNA(VLOOKUP(A2808,'Master List'!A:C,3,FALSE)), "Not Found", VLOOKUP(A2808,'Master List'!A:C,3,FALSE)))</f>
        <v>Email</v>
      </c>
      <c r="F2808" s="4" t="str">
        <f>IF(OR(A2808="",E2808="","",A2808="?",E2808="?"),"duplicate?",IF(COUNTIFS($A:A,A2808,E:E,E2808)&gt;1,"yes","no"))</f>
        <v>duplicate?</v>
      </c>
      <c r="K2808" s="97" t="str">
        <f ca="1">IF(J2808="","Date",IF(J2808&lt;&gt;"",IF(K2808="Date",NOW(),K2808),""))</f>
        <v>Date</v>
      </c>
    </row>
    <row r="2809" spans="2:11">
      <c r="B2809" s="97" t="str">
        <f ca="1">IF(A2809="","Date",IF(A2809&lt;&gt;"",IF(B2809="Date",NOW(),B2809),""))</f>
        <v>Date</v>
      </c>
      <c r="C2809" s="19" t="str">
        <f>IF(ISBLANK(A2809),"Name",IF(ISNA(VLOOKUP(A2809,'Master List'!A:C,2,FALSE)), "Not Found", VLOOKUP(A2809,'Master List'!A:C,2,FALSE)))</f>
        <v>Name</v>
      </c>
      <c r="D2809" s="19" t="str">
        <f>IF(ISBLANK(A2809), "Email",IF(ISNA(VLOOKUP(A2809,'Master List'!A:C,3,FALSE)), "Not Found", VLOOKUP(A2809,'Master List'!A:C,3,FALSE)))</f>
        <v>Email</v>
      </c>
      <c r="F2809" s="4" t="str">
        <f>IF(OR(A2809="",E2809="","",A2809="?",E2809="?"),"duplicate?",IF(COUNTIFS($A:A,A2809,E:E,E2809)&gt;1,"yes","no"))</f>
        <v>duplicate?</v>
      </c>
      <c r="K2809" s="97" t="str">
        <f ca="1">IF(J2809="","Date",IF(J2809&lt;&gt;"",IF(K2809="Date",NOW(),K2809),""))</f>
        <v>Date</v>
      </c>
    </row>
    <row r="2810" spans="2:11">
      <c r="B2810" s="97" t="str">
        <f ca="1">IF(A2810="","Date",IF(A2810&lt;&gt;"",IF(B2810="Date",NOW(),B2810),""))</f>
        <v>Date</v>
      </c>
      <c r="C2810" s="19" t="str">
        <f>IF(ISBLANK(A2810),"Name",IF(ISNA(VLOOKUP(A2810,'Master List'!A:C,2,FALSE)), "Not Found", VLOOKUP(A2810,'Master List'!A:C,2,FALSE)))</f>
        <v>Name</v>
      </c>
      <c r="D2810" s="19" t="str">
        <f>IF(ISBLANK(A2810), "Email",IF(ISNA(VLOOKUP(A2810,'Master List'!A:C,3,FALSE)), "Not Found", VLOOKUP(A2810,'Master List'!A:C,3,FALSE)))</f>
        <v>Email</v>
      </c>
      <c r="F2810" s="4" t="str">
        <f>IF(OR(A2810="",E2810="","",A2810="?",E2810="?"),"duplicate?",IF(COUNTIFS($A:A,A2810,E:E,E2810)&gt;1,"yes","no"))</f>
        <v>duplicate?</v>
      </c>
      <c r="K2810" s="97" t="str">
        <f ca="1">IF(J2810="","Date",IF(J2810&lt;&gt;"",IF(K2810="Date",NOW(),K2810),""))</f>
        <v>Date</v>
      </c>
    </row>
    <row r="2811" spans="2:11">
      <c r="B2811" s="97" t="str">
        <f ca="1">IF(A2811="","Date",IF(A2811&lt;&gt;"",IF(B2811="Date",NOW(),B2811),""))</f>
        <v>Date</v>
      </c>
      <c r="C2811" s="19" t="str">
        <f>IF(ISBLANK(A2811),"Name",IF(ISNA(VLOOKUP(A2811,'Master List'!A:C,2,FALSE)), "Not Found", VLOOKUP(A2811,'Master List'!A:C,2,FALSE)))</f>
        <v>Name</v>
      </c>
      <c r="D2811" s="19" t="str">
        <f>IF(ISBLANK(A2811), "Email",IF(ISNA(VLOOKUP(A2811,'Master List'!A:C,3,FALSE)), "Not Found", VLOOKUP(A2811,'Master List'!A:C,3,FALSE)))</f>
        <v>Email</v>
      </c>
      <c r="F2811" s="4" t="str">
        <f>IF(OR(A2811="",E2811="","",A2811="?",E2811="?"),"duplicate?",IF(COUNTIFS($A:A,A2811,E:E,E2811)&gt;1,"yes","no"))</f>
        <v>duplicate?</v>
      </c>
      <c r="K2811" s="97" t="str">
        <f ca="1">IF(J2811="","Date",IF(J2811&lt;&gt;"",IF(K2811="Date",NOW(),K2811),""))</f>
        <v>Date</v>
      </c>
    </row>
    <row r="2812" spans="2:11">
      <c r="B2812" s="97" t="str">
        <f ca="1">IF(A2812="","Date",IF(A2812&lt;&gt;"",IF(B2812="Date",NOW(),B2812),""))</f>
        <v>Date</v>
      </c>
      <c r="C2812" s="19" t="str">
        <f>IF(ISBLANK(A2812),"Name",IF(ISNA(VLOOKUP(A2812,'Master List'!A:C,2,FALSE)), "Not Found", VLOOKUP(A2812,'Master List'!A:C,2,FALSE)))</f>
        <v>Name</v>
      </c>
      <c r="D2812" s="19" t="str">
        <f>IF(ISBLANK(A2812), "Email",IF(ISNA(VLOOKUP(A2812,'Master List'!A:C,3,FALSE)), "Not Found", VLOOKUP(A2812,'Master List'!A:C,3,FALSE)))</f>
        <v>Email</v>
      </c>
      <c r="F2812" s="4" t="str">
        <f>IF(OR(A2812="",E2812="","",A2812="?",E2812="?"),"duplicate?",IF(COUNTIFS($A:A,A2812,E:E,E2812)&gt;1,"yes","no"))</f>
        <v>duplicate?</v>
      </c>
      <c r="K2812" s="97" t="str">
        <f ca="1">IF(J2812="","Date",IF(J2812&lt;&gt;"",IF(K2812="Date",NOW(),K2812),""))</f>
        <v>Date</v>
      </c>
    </row>
    <row r="2813" spans="2:11">
      <c r="B2813" s="97" t="str">
        <f ca="1">IF(A2813="","Date",IF(A2813&lt;&gt;"",IF(B2813="Date",NOW(),B2813),""))</f>
        <v>Date</v>
      </c>
      <c r="C2813" s="19" t="str">
        <f>IF(ISBLANK(A2813),"Name",IF(ISNA(VLOOKUP(A2813,'Master List'!A:C,2,FALSE)), "Not Found", VLOOKUP(A2813,'Master List'!A:C,2,FALSE)))</f>
        <v>Name</v>
      </c>
      <c r="D2813" s="19" t="str">
        <f>IF(ISBLANK(A2813), "Email",IF(ISNA(VLOOKUP(A2813,'Master List'!A:C,3,FALSE)), "Not Found", VLOOKUP(A2813,'Master List'!A:C,3,FALSE)))</f>
        <v>Email</v>
      </c>
      <c r="F2813" s="4" t="str">
        <f>IF(OR(A2813="",E2813="","",A2813="?",E2813="?"),"duplicate?",IF(COUNTIFS($A:A,A2813,E:E,E2813)&gt;1,"yes","no"))</f>
        <v>duplicate?</v>
      </c>
      <c r="K2813" s="97" t="str">
        <f ca="1">IF(J2813="","Date",IF(J2813&lt;&gt;"",IF(K2813="Date",NOW(),K2813),""))</f>
        <v>Date</v>
      </c>
    </row>
    <row r="2814" spans="2:11">
      <c r="B2814" s="97" t="str">
        <f ca="1">IF(A2814="","Date",IF(A2814&lt;&gt;"",IF(B2814="Date",NOW(),B2814),""))</f>
        <v>Date</v>
      </c>
      <c r="C2814" s="19" t="str">
        <f>IF(ISBLANK(A2814),"Name",IF(ISNA(VLOOKUP(A2814,'Master List'!A:C,2,FALSE)), "Not Found", VLOOKUP(A2814,'Master List'!A:C,2,FALSE)))</f>
        <v>Name</v>
      </c>
      <c r="D2814" s="19" t="str">
        <f>IF(ISBLANK(A2814), "Email",IF(ISNA(VLOOKUP(A2814,'Master List'!A:C,3,FALSE)), "Not Found", VLOOKUP(A2814,'Master List'!A:C,3,FALSE)))</f>
        <v>Email</v>
      </c>
      <c r="F2814" s="4" t="str">
        <f>IF(OR(A2814="",E2814="","",A2814="?",E2814="?"),"duplicate?",IF(COUNTIFS($A:A,A2814,E:E,E2814)&gt;1,"yes","no"))</f>
        <v>duplicate?</v>
      </c>
      <c r="K2814" s="97" t="str">
        <f ca="1">IF(J2814="","Date",IF(J2814&lt;&gt;"",IF(K2814="Date",NOW(),K2814),""))</f>
        <v>Date</v>
      </c>
    </row>
    <row r="2815" spans="2:11">
      <c r="B2815" s="97" t="str">
        <f ca="1">IF(A2815="","Date",IF(A2815&lt;&gt;"",IF(B2815="Date",NOW(),B2815),""))</f>
        <v>Date</v>
      </c>
      <c r="C2815" s="19" t="str">
        <f>IF(ISBLANK(A2815),"Name",IF(ISNA(VLOOKUP(A2815,'Master List'!A:C,2,FALSE)), "Not Found", VLOOKUP(A2815,'Master List'!A:C,2,FALSE)))</f>
        <v>Name</v>
      </c>
      <c r="D2815" s="19" t="str">
        <f>IF(ISBLANK(A2815), "Email",IF(ISNA(VLOOKUP(A2815,'Master List'!A:C,3,FALSE)), "Not Found", VLOOKUP(A2815,'Master List'!A:C,3,FALSE)))</f>
        <v>Email</v>
      </c>
      <c r="F2815" s="4" t="str">
        <f>IF(OR(A2815="",E2815="","",A2815="?",E2815="?"),"duplicate?",IF(COUNTIFS($A:A,A2815,E:E,E2815)&gt;1,"yes","no"))</f>
        <v>duplicate?</v>
      </c>
      <c r="K2815" s="97" t="str">
        <f ca="1">IF(J2815="","Date",IF(J2815&lt;&gt;"",IF(K2815="Date",NOW(),K2815),""))</f>
        <v>Date</v>
      </c>
    </row>
    <row r="2816" spans="2:11">
      <c r="B2816" s="97" t="str">
        <f ca="1">IF(A2816="","Date",IF(A2816&lt;&gt;"",IF(B2816="Date",NOW(),B2816),""))</f>
        <v>Date</v>
      </c>
      <c r="C2816" s="19" t="str">
        <f>IF(ISBLANK(A2816),"Name",IF(ISNA(VLOOKUP(A2816,'Master List'!A:C,2,FALSE)), "Not Found", VLOOKUP(A2816,'Master List'!A:C,2,FALSE)))</f>
        <v>Name</v>
      </c>
      <c r="D2816" s="19" t="str">
        <f>IF(ISBLANK(A2816), "Email",IF(ISNA(VLOOKUP(A2816,'Master List'!A:C,3,FALSE)), "Not Found", VLOOKUP(A2816,'Master List'!A:C,3,FALSE)))</f>
        <v>Email</v>
      </c>
      <c r="F2816" s="4" t="str">
        <f>IF(OR(A2816="",E2816="","",A2816="?",E2816="?"),"duplicate?",IF(COUNTIFS($A:A,A2816,E:E,E2816)&gt;1,"yes","no"))</f>
        <v>duplicate?</v>
      </c>
      <c r="K2816" s="97" t="str">
        <f ca="1">IF(J2816="","Date",IF(J2816&lt;&gt;"",IF(K2816="Date",NOW(),K2816),""))</f>
        <v>Date</v>
      </c>
    </row>
    <row r="2817" spans="2:11">
      <c r="B2817" s="97" t="str">
        <f ca="1">IF(A2817="","Date",IF(A2817&lt;&gt;"",IF(B2817="Date",NOW(),B2817),""))</f>
        <v>Date</v>
      </c>
      <c r="C2817" s="19" t="str">
        <f>IF(ISBLANK(A2817),"Name",IF(ISNA(VLOOKUP(A2817,'Master List'!A:C,2,FALSE)), "Not Found", VLOOKUP(A2817,'Master List'!A:C,2,FALSE)))</f>
        <v>Name</v>
      </c>
      <c r="D2817" s="19" t="str">
        <f>IF(ISBLANK(A2817), "Email",IF(ISNA(VLOOKUP(A2817,'Master List'!A:C,3,FALSE)), "Not Found", VLOOKUP(A2817,'Master List'!A:C,3,FALSE)))</f>
        <v>Email</v>
      </c>
      <c r="F2817" s="4" t="str">
        <f>IF(OR(A2817="",E2817="","",A2817="?",E2817="?"),"duplicate?",IF(COUNTIFS($A:A,A2817,E:E,E2817)&gt;1,"yes","no"))</f>
        <v>duplicate?</v>
      </c>
      <c r="K2817" s="97" t="str">
        <f ca="1">IF(J2817="","Date",IF(J2817&lt;&gt;"",IF(K2817="Date",NOW(),K2817),""))</f>
        <v>Date</v>
      </c>
    </row>
    <row r="2818" spans="2:11">
      <c r="B2818" s="97" t="str">
        <f ca="1">IF(A2818="","Date",IF(A2818&lt;&gt;"",IF(B2818="Date",NOW(),B2818),""))</f>
        <v>Date</v>
      </c>
      <c r="C2818" s="19" t="str">
        <f>IF(ISBLANK(A2818),"Name",IF(ISNA(VLOOKUP(A2818,'Master List'!A:C,2,FALSE)), "Not Found", VLOOKUP(A2818,'Master List'!A:C,2,FALSE)))</f>
        <v>Name</v>
      </c>
      <c r="D2818" s="19" t="str">
        <f>IF(ISBLANK(A2818), "Email",IF(ISNA(VLOOKUP(A2818,'Master List'!A:C,3,FALSE)), "Not Found", VLOOKUP(A2818,'Master List'!A:C,3,FALSE)))</f>
        <v>Email</v>
      </c>
      <c r="F2818" s="4" t="str">
        <f>IF(OR(A2818="",E2818="","",A2818="?",E2818="?"),"duplicate?",IF(COUNTIFS($A:A,A2818,E:E,E2818)&gt;1,"yes","no"))</f>
        <v>duplicate?</v>
      </c>
      <c r="K2818" s="97" t="str">
        <f ca="1">IF(J2818="","Date",IF(J2818&lt;&gt;"",IF(K2818="Date",NOW(),K2818),""))</f>
        <v>Date</v>
      </c>
    </row>
    <row r="2819" spans="2:11">
      <c r="B2819" s="97" t="str">
        <f ca="1">IF(A2819="","Date",IF(A2819&lt;&gt;"",IF(B2819="Date",NOW(),B2819),""))</f>
        <v>Date</v>
      </c>
      <c r="C2819" s="19" t="str">
        <f>IF(ISBLANK(A2819),"Name",IF(ISNA(VLOOKUP(A2819,'Master List'!A:C,2,FALSE)), "Not Found", VLOOKUP(A2819,'Master List'!A:C,2,FALSE)))</f>
        <v>Name</v>
      </c>
      <c r="D2819" s="19" t="str">
        <f>IF(ISBLANK(A2819), "Email",IF(ISNA(VLOOKUP(A2819,'Master List'!A:C,3,FALSE)), "Not Found", VLOOKUP(A2819,'Master List'!A:C,3,FALSE)))</f>
        <v>Email</v>
      </c>
      <c r="F2819" s="4" t="str">
        <f>IF(OR(A2819="",E2819="","",A2819="?",E2819="?"),"duplicate?",IF(COUNTIFS($A:A,A2819,E:E,E2819)&gt;1,"yes","no"))</f>
        <v>duplicate?</v>
      </c>
      <c r="K2819" s="97" t="str">
        <f ca="1">IF(J2819="","Date",IF(J2819&lt;&gt;"",IF(K2819="Date",NOW(),K2819),""))</f>
        <v>Date</v>
      </c>
    </row>
    <row r="2820" spans="2:11">
      <c r="B2820" s="97" t="str">
        <f ca="1">IF(A2820="","Date",IF(A2820&lt;&gt;"",IF(B2820="Date",NOW(),B2820),""))</f>
        <v>Date</v>
      </c>
      <c r="C2820" s="19" t="str">
        <f>IF(ISBLANK(A2820),"Name",IF(ISNA(VLOOKUP(A2820,'Master List'!A:C,2,FALSE)), "Not Found", VLOOKUP(A2820,'Master List'!A:C,2,FALSE)))</f>
        <v>Name</v>
      </c>
      <c r="D2820" s="19" t="str">
        <f>IF(ISBLANK(A2820), "Email",IF(ISNA(VLOOKUP(A2820,'Master List'!A:C,3,FALSE)), "Not Found", VLOOKUP(A2820,'Master List'!A:C,3,FALSE)))</f>
        <v>Email</v>
      </c>
      <c r="F2820" s="4" t="str">
        <f>IF(OR(A2820="",E2820="","",A2820="?",E2820="?"),"duplicate?",IF(COUNTIFS($A:A,A2820,E:E,E2820)&gt;1,"yes","no"))</f>
        <v>duplicate?</v>
      </c>
      <c r="K2820" s="97" t="str">
        <f ca="1">IF(J2820="","Date",IF(J2820&lt;&gt;"",IF(K2820="Date",NOW(),K2820),""))</f>
        <v>Date</v>
      </c>
    </row>
    <row r="2821" spans="2:11">
      <c r="B2821" s="97" t="str">
        <f ca="1">IF(A2821="","Date",IF(A2821&lt;&gt;"",IF(B2821="Date",NOW(),B2821),""))</f>
        <v>Date</v>
      </c>
      <c r="C2821" s="19" t="str">
        <f>IF(ISBLANK(A2821),"Name",IF(ISNA(VLOOKUP(A2821,'Master List'!A:C,2,FALSE)), "Not Found", VLOOKUP(A2821,'Master List'!A:C,2,FALSE)))</f>
        <v>Name</v>
      </c>
      <c r="D2821" s="19" t="str">
        <f>IF(ISBLANK(A2821), "Email",IF(ISNA(VLOOKUP(A2821,'Master List'!A:C,3,FALSE)), "Not Found", VLOOKUP(A2821,'Master List'!A:C,3,FALSE)))</f>
        <v>Email</v>
      </c>
      <c r="F2821" s="4" t="str">
        <f>IF(OR(A2821="",E2821="","",A2821="?",E2821="?"),"duplicate?",IF(COUNTIFS($A:A,A2821,E:E,E2821)&gt;1,"yes","no"))</f>
        <v>duplicate?</v>
      </c>
      <c r="K2821" s="97" t="str">
        <f ca="1">IF(J2821="","Date",IF(J2821&lt;&gt;"",IF(K2821="Date",NOW(),K2821),""))</f>
        <v>Date</v>
      </c>
    </row>
    <row r="2822" spans="2:11">
      <c r="B2822" s="97" t="str">
        <f ca="1">IF(A2822="","Date",IF(A2822&lt;&gt;"",IF(B2822="Date",NOW(),B2822),""))</f>
        <v>Date</v>
      </c>
      <c r="C2822" s="19" t="str">
        <f>IF(ISBLANK(A2822),"Name",IF(ISNA(VLOOKUP(A2822,'Master List'!A:C,2,FALSE)), "Not Found", VLOOKUP(A2822,'Master List'!A:C,2,FALSE)))</f>
        <v>Name</v>
      </c>
      <c r="D2822" s="19" t="str">
        <f>IF(ISBLANK(A2822), "Email",IF(ISNA(VLOOKUP(A2822,'Master List'!A:C,3,FALSE)), "Not Found", VLOOKUP(A2822,'Master List'!A:C,3,FALSE)))</f>
        <v>Email</v>
      </c>
      <c r="F2822" s="4" t="str">
        <f>IF(OR(A2822="",E2822="","",A2822="?",E2822="?"),"duplicate?",IF(COUNTIFS($A:A,A2822,E:E,E2822)&gt;1,"yes","no"))</f>
        <v>duplicate?</v>
      </c>
      <c r="K2822" s="97" t="str">
        <f ca="1">IF(J2822="","Date",IF(J2822&lt;&gt;"",IF(K2822="Date",NOW(),K2822),""))</f>
        <v>Date</v>
      </c>
    </row>
    <row r="2823" spans="2:11">
      <c r="B2823" s="97" t="str">
        <f ca="1">IF(A2823="","Date",IF(A2823&lt;&gt;"",IF(B2823="Date",NOW(),B2823),""))</f>
        <v>Date</v>
      </c>
      <c r="C2823" s="19" t="str">
        <f>IF(ISBLANK(A2823),"Name",IF(ISNA(VLOOKUP(A2823,'Master List'!A:C,2,FALSE)), "Not Found", VLOOKUP(A2823,'Master List'!A:C,2,FALSE)))</f>
        <v>Name</v>
      </c>
      <c r="D2823" s="19" t="str">
        <f>IF(ISBLANK(A2823), "Email",IF(ISNA(VLOOKUP(A2823,'Master List'!A:C,3,FALSE)), "Not Found", VLOOKUP(A2823,'Master List'!A:C,3,FALSE)))</f>
        <v>Email</v>
      </c>
      <c r="F2823" s="4" t="str">
        <f>IF(OR(A2823="",E2823="","",A2823="?",E2823="?"),"duplicate?",IF(COUNTIFS($A:A,A2823,E:E,E2823)&gt;1,"yes","no"))</f>
        <v>duplicate?</v>
      </c>
      <c r="K2823" s="97" t="str">
        <f ca="1">IF(J2823="","Date",IF(J2823&lt;&gt;"",IF(K2823="Date",NOW(),K2823),""))</f>
        <v>Date</v>
      </c>
    </row>
    <row r="2824" spans="2:11">
      <c r="B2824" s="97" t="str">
        <f ca="1">IF(A2824="","Date",IF(A2824&lt;&gt;"",IF(B2824="Date",NOW(),B2824),""))</f>
        <v>Date</v>
      </c>
      <c r="C2824" s="19" t="str">
        <f>IF(ISBLANK(A2824),"Name",IF(ISNA(VLOOKUP(A2824,'Master List'!A:C,2,FALSE)), "Not Found", VLOOKUP(A2824,'Master List'!A:C,2,FALSE)))</f>
        <v>Name</v>
      </c>
      <c r="D2824" s="19" t="str">
        <f>IF(ISBLANK(A2824), "Email",IF(ISNA(VLOOKUP(A2824,'Master List'!A:C,3,FALSE)), "Not Found", VLOOKUP(A2824,'Master List'!A:C,3,FALSE)))</f>
        <v>Email</v>
      </c>
      <c r="F2824" s="4" t="str">
        <f>IF(OR(A2824="",E2824="","",A2824="?",E2824="?"),"duplicate?",IF(COUNTIFS($A:A,A2824,E:E,E2824)&gt;1,"yes","no"))</f>
        <v>duplicate?</v>
      </c>
      <c r="K2824" s="97" t="str">
        <f ca="1">IF(J2824="","Date",IF(J2824&lt;&gt;"",IF(K2824="Date",NOW(),K2824),""))</f>
        <v>Date</v>
      </c>
    </row>
    <row r="2825" spans="2:11">
      <c r="B2825" s="97" t="str">
        <f ca="1">IF(A2825="","Date",IF(A2825&lt;&gt;"",IF(B2825="Date",NOW(),B2825),""))</f>
        <v>Date</v>
      </c>
      <c r="C2825" s="19" t="str">
        <f>IF(ISBLANK(A2825),"Name",IF(ISNA(VLOOKUP(A2825,'Master List'!A:C,2,FALSE)), "Not Found", VLOOKUP(A2825,'Master List'!A:C,2,FALSE)))</f>
        <v>Name</v>
      </c>
      <c r="D2825" s="19" t="str">
        <f>IF(ISBLANK(A2825), "Email",IF(ISNA(VLOOKUP(A2825,'Master List'!A:C,3,FALSE)), "Not Found", VLOOKUP(A2825,'Master List'!A:C,3,FALSE)))</f>
        <v>Email</v>
      </c>
      <c r="F2825" s="4" t="str">
        <f>IF(OR(A2825="",E2825="","",A2825="?",E2825="?"),"duplicate?",IF(COUNTIFS($A:A,A2825,E:E,E2825)&gt;1,"yes","no"))</f>
        <v>duplicate?</v>
      </c>
      <c r="K2825" s="97" t="str">
        <f ca="1">IF(J2825="","Date",IF(J2825&lt;&gt;"",IF(K2825="Date",NOW(),K2825),""))</f>
        <v>Date</v>
      </c>
    </row>
    <row r="2826" spans="2:11">
      <c r="B2826" s="97" t="str">
        <f ca="1">IF(A2826="","Date",IF(A2826&lt;&gt;"",IF(B2826="Date",NOW(),B2826),""))</f>
        <v>Date</v>
      </c>
      <c r="C2826" s="19" t="str">
        <f>IF(ISBLANK(A2826),"Name",IF(ISNA(VLOOKUP(A2826,'Master List'!A:C,2,FALSE)), "Not Found", VLOOKUP(A2826,'Master List'!A:C,2,FALSE)))</f>
        <v>Name</v>
      </c>
      <c r="D2826" s="19" t="str">
        <f>IF(ISBLANK(A2826), "Email",IF(ISNA(VLOOKUP(A2826,'Master List'!A:C,3,FALSE)), "Not Found", VLOOKUP(A2826,'Master List'!A:C,3,FALSE)))</f>
        <v>Email</v>
      </c>
      <c r="F2826" s="4" t="str">
        <f>IF(OR(A2826="",E2826="","",A2826="?",E2826="?"),"duplicate?",IF(COUNTIFS($A:A,A2826,E:E,E2826)&gt;1,"yes","no"))</f>
        <v>duplicate?</v>
      </c>
      <c r="K2826" s="97" t="str">
        <f ca="1">IF(J2826="","Date",IF(J2826&lt;&gt;"",IF(K2826="Date",NOW(),K2826),""))</f>
        <v>Date</v>
      </c>
    </row>
    <row r="2827" spans="2:11">
      <c r="B2827" s="97" t="str">
        <f ca="1">IF(A2827="","Date",IF(A2827&lt;&gt;"",IF(B2827="Date",NOW(),B2827),""))</f>
        <v>Date</v>
      </c>
      <c r="C2827" s="19" t="str">
        <f>IF(ISBLANK(A2827),"Name",IF(ISNA(VLOOKUP(A2827,'Master List'!A:C,2,FALSE)), "Not Found", VLOOKUP(A2827,'Master List'!A:C,2,FALSE)))</f>
        <v>Name</v>
      </c>
      <c r="D2827" s="19" t="str">
        <f>IF(ISBLANK(A2827), "Email",IF(ISNA(VLOOKUP(A2827,'Master List'!A:C,3,FALSE)), "Not Found", VLOOKUP(A2827,'Master List'!A:C,3,FALSE)))</f>
        <v>Email</v>
      </c>
      <c r="F2827" s="4" t="str">
        <f>IF(OR(A2827="",E2827="","",A2827="?",E2827="?"),"duplicate?",IF(COUNTIFS($A:A,A2827,E:E,E2827)&gt;1,"yes","no"))</f>
        <v>duplicate?</v>
      </c>
      <c r="K2827" s="97" t="str">
        <f ca="1">IF(J2827="","Date",IF(J2827&lt;&gt;"",IF(K2827="Date",NOW(),K2827),""))</f>
        <v>Date</v>
      </c>
    </row>
    <row r="2828" spans="2:11">
      <c r="B2828" s="97" t="str">
        <f ca="1">IF(A2828="","Date",IF(A2828&lt;&gt;"",IF(B2828="Date",NOW(),B2828),""))</f>
        <v>Date</v>
      </c>
      <c r="C2828" s="19" t="str">
        <f>IF(ISBLANK(A2828),"Name",IF(ISNA(VLOOKUP(A2828,'Master List'!A:C,2,FALSE)), "Not Found", VLOOKUP(A2828,'Master List'!A:C,2,FALSE)))</f>
        <v>Name</v>
      </c>
      <c r="D2828" s="19" t="str">
        <f>IF(ISBLANK(A2828), "Email",IF(ISNA(VLOOKUP(A2828,'Master List'!A:C,3,FALSE)), "Not Found", VLOOKUP(A2828,'Master List'!A:C,3,FALSE)))</f>
        <v>Email</v>
      </c>
      <c r="F2828" s="4" t="str">
        <f>IF(OR(A2828="",E2828="","",A2828="?",E2828="?"),"duplicate?",IF(COUNTIFS($A:A,A2828,E:E,E2828)&gt;1,"yes","no"))</f>
        <v>duplicate?</v>
      </c>
      <c r="K2828" s="97" t="str">
        <f ca="1">IF(J2828="","Date",IF(J2828&lt;&gt;"",IF(K2828="Date",NOW(),K2828),""))</f>
        <v>Date</v>
      </c>
    </row>
    <row r="2829" spans="2:11">
      <c r="B2829" s="97" t="str">
        <f ca="1">IF(A2829="","Date",IF(A2829&lt;&gt;"",IF(B2829="Date",NOW(),B2829),""))</f>
        <v>Date</v>
      </c>
      <c r="C2829" s="19" t="str">
        <f>IF(ISBLANK(A2829),"Name",IF(ISNA(VLOOKUP(A2829,'Master List'!A:C,2,FALSE)), "Not Found", VLOOKUP(A2829,'Master List'!A:C,2,FALSE)))</f>
        <v>Name</v>
      </c>
      <c r="D2829" s="19" t="str">
        <f>IF(ISBLANK(A2829), "Email",IF(ISNA(VLOOKUP(A2829,'Master List'!A:C,3,FALSE)), "Not Found", VLOOKUP(A2829,'Master List'!A:C,3,FALSE)))</f>
        <v>Email</v>
      </c>
      <c r="F2829" s="4" t="str">
        <f>IF(OR(A2829="",E2829="","",A2829="?",E2829="?"),"duplicate?",IF(COUNTIFS($A:A,A2829,E:E,E2829)&gt;1,"yes","no"))</f>
        <v>duplicate?</v>
      </c>
      <c r="K2829" s="97" t="str">
        <f ca="1">IF(J2829="","Date",IF(J2829&lt;&gt;"",IF(K2829="Date",NOW(),K2829),""))</f>
        <v>Date</v>
      </c>
    </row>
    <row r="2830" spans="2:11">
      <c r="B2830" s="97" t="str">
        <f ca="1">IF(A2830="","Date",IF(A2830&lt;&gt;"",IF(B2830="Date",NOW(),B2830),""))</f>
        <v>Date</v>
      </c>
      <c r="C2830" s="19" t="str">
        <f>IF(ISBLANK(A2830),"Name",IF(ISNA(VLOOKUP(A2830,'Master List'!A:C,2,FALSE)), "Not Found", VLOOKUP(A2830,'Master List'!A:C,2,FALSE)))</f>
        <v>Name</v>
      </c>
      <c r="D2830" s="19" t="str">
        <f>IF(ISBLANK(A2830), "Email",IF(ISNA(VLOOKUP(A2830,'Master List'!A:C,3,FALSE)), "Not Found", VLOOKUP(A2830,'Master List'!A:C,3,FALSE)))</f>
        <v>Email</v>
      </c>
      <c r="F2830" s="4" t="str">
        <f>IF(OR(A2830="",E2830="","",A2830="?",E2830="?"),"duplicate?",IF(COUNTIFS($A:A,A2830,E:E,E2830)&gt;1,"yes","no"))</f>
        <v>duplicate?</v>
      </c>
      <c r="K2830" s="97" t="str">
        <f ca="1">IF(J2830="","Date",IF(J2830&lt;&gt;"",IF(K2830="Date",NOW(),K2830),""))</f>
        <v>Date</v>
      </c>
    </row>
    <row r="2831" spans="2:11">
      <c r="B2831" s="97" t="str">
        <f ca="1">IF(A2831="","Date",IF(A2831&lt;&gt;"",IF(B2831="Date",NOW(),B2831),""))</f>
        <v>Date</v>
      </c>
      <c r="C2831" s="19" t="str">
        <f>IF(ISBLANK(A2831),"Name",IF(ISNA(VLOOKUP(A2831,'Master List'!A:C,2,FALSE)), "Not Found", VLOOKUP(A2831,'Master List'!A:C,2,FALSE)))</f>
        <v>Name</v>
      </c>
      <c r="D2831" s="19" t="str">
        <f>IF(ISBLANK(A2831), "Email",IF(ISNA(VLOOKUP(A2831,'Master List'!A:C,3,FALSE)), "Not Found", VLOOKUP(A2831,'Master List'!A:C,3,FALSE)))</f>
        <v>Email</v>
      </c>
      <c r="F2831" s="4" t="str">
        <f>IF(OR(A2831="",E2831="","",A2831="?",E2831="?"),"duplicate?",IF(COUNTIFS($A:A,A2831,E:E,E2831)&gt;1,"yes","no"))</f>
        <v>duplicate?</v>
      </c>
      <c r="K2831" s="97" t="str">
        <f ca="1">IF(J2831="","Date",IF(J2831&lt;&gt;"",IF(K2831="Date",NOW(),K2831),""))</f>
        <v>Date</v>
      </c>
    </row>
    <row r="2832" spans="2:11">
      <c r="B2832" s="97" t="str">
        <f ca="1">IF(A2832="","Date",IF(A2832&lt;&gt;"",IF(B2832="Date",NOW(),B2832),""))</f>
        <v>Date</v>
      </c>
      <c r="C2832" s="19" t="str">
        <f>IF(ISBLANK(A2832),"Name",IF(ISNA(VLOOKUP(A2832,'Master List'!A:C,2,FALSE)), "Not Found", VLOOKUP(A2832,'Master List'!A:C,2,FALSE)))</f>
        <v>Name</v>
      </c>
      <c r="D2832" s="19" t="str">
        <f>IF(ISBLANK(A2832), "Email",IF(ISNA(VLOOKUP(A2832,'Master List'!A:C,3,FALSE)), "Not Found", VLOOKUP(A2832,'Master List'!A:C,3,FALSE)))</f>
        <v>Email</v>
      </c>
      <c r="F2832" s="4" t="str">
        <f>IF(OR(A2832="",E2832="","",A2832="?",E2832="?"),"duplicate?",IF(COUNTIFS($A:A,A2832,E:E,E2832)&gt;1,"yes","no"))</f>
        <v>duplicate?</v>
      </c>
      <c r="K2832" s="97" t="str">
        <f ca="1">IF(J2832="","Date",IF(J2832&lt;&gt;"",IF(K2832="Date",NOW(),K2832),""))</f>
        <v>Date</v>
      </c>
    </row>
    <row r="2833" spans="2:11">
      <c r="B2833" s="97" t="str">
        <f ca="1">IF(A2833="","Date",IF(A2833&lt;&gt;"",IF(B2833="Date",NOW(),B2833),""))</f>
        <v>Date</v>
      </c>
      <c r="C2833" s="19" t="str">
        <f>IF(ISBLANK(A2833),"Name",IF(ISNA(VLOOKUP(A2833,'Master List'!A:C,2,FALSE)), "Not Found", VLOOKUP(A2833,'Master List'!A:C,2,FALSE)))</f>
        <v>Name</v>
      </c>
      <c r="D2833" s="19" t="str">
        <f>IF(ISBLANK(A2833), "Email",IF(ISNA(VLOOKUP(A2833,'Master List'!A:C,3,FALSE)), "Not Found", VLOOKUP(A2833,'Master List'!A:C,3,FALSE)))</f>
        <v>Email</v>
      </c>
      <c r="F2833" s="4" t="str">
        <f>IF(OR(A2833="",E2833="","",A2833="?",E2833="?"),"duplicate?",IF(COUNTIFS($A:A,A2833,E:E,E2833)&gt;1,"yes","no"))</f>
        <v>duplicate?</v>
      </c>
      <c r="K2833" s="97" t="str">
        <f ca="1">IF(J2833="","Date",IF(J2833&lt;&gt;"",IF(K2833="Date",NOW(),K2833),""))</f>
        <v>Date</v>
      </c>
    </row>
    <row r="2834" spans="2:11">
      <c r="B2834" s="97" t="str">
        <f ca="1">IF(A2834="","Date",IF(A2834&lt;&gt;"",IF(B2834="Date",NOW(),B2834),""))</f>
        <v>Date</v>
      </c>
      <c r="C2834" s="19" t="str">
        <f>IF(ISBLANK(A2834),"Name",IF(ISNA(VLOOKUP(A2834,'Master List'!A:C,2,FALSE)), "Not Found", VLOOKUP(A2834,'Master List'!A:C,2,FALSE)))</f>
        <v>Name</v>
      </c>
      <c r="D2834" s="19" t="str">
        <f>IF(ISBLANK(A2834), "Email",IF(ISNA(VLOOKUP(A2834,'Master List'!A:C,3,FALSE)), "Not Found", VLOOKUP(A2834,'Master List'!A:C,3,FALSE)))</f>
        <v>Email</v>
      </c>
      <c r="F2834" s="4" t="str">
        <f>IF(OR(A2834="",E2834="","",A2834="?",E2834="?"),"duplicate?",IF(COUNTIFS($A:A,A2834,E:E,E2834)&gt;1,"yes","no"))</f>
        <v>duplicate?</v>
      </c>
      <c r="K2834" s="97" t="str">
        <f ca="1">IF(J2834="","Date",IF(J2834&lt;&gt;"",IF(K2834="Date",NOW(),K2834),""))</f>
        <v>Date</v>
      </c>
    </row>
    <row r="2835" spans="2:11">
      <c r="B2835" s="97" t="str">
        <f ca="1">IF(A2835="","Date",IF(A2835&lt;&gt;"",IF(B2835="Date",NOW(),B2835),""))</f>
        <v>Date</v>
      </c>
      <c r="C2835" s="19" t="str">
        <f>IF(ISBLANK(A2835),"Name",IF(ISNA(VLOOKUP(A2835,'Master List'!A:C,2,FALSE)), "Not Found", VLOOKUP(A2835,'Master List'!A:C,2,FALSE)))</f>
        <v>Name</v>
      </c>
      <c r="D2835" s="19" t="str">
        <f>IF(ISBLANK(A2835), "Email",IF(ISNA(VLOOKUP(A2835,'Master List'!A:C,3,FALSE)), "Not Found", VLOOKUP(A2835,'Master List'!A:C,3,FALSE)))</f>
        <v>Email</v>
      </c>
      <c r="F2835" s="4" t="str">
        <f>IF(OR(A2835="",E2835="","",A2835="?",E2835="?"),"duplicate?",IF(COUNTIFS($A:A,A2835,E:E,E2835)&gt;1,"yes","no"))</f>
        <v>duplicate?</v>
      </c>
      <c r="K2835" s="97" t="str">
        <f ca="1">IF(J2835="","Date",IF(J2835&lt;&gt;"",IF(K2835="Date",NOW(),K2835),""))</f>
        <v>Date</v>
      </c>
    </row>
    <row r="2836" spans="2:11">
      <c r="B2836" s="97" t="str">
        <f ca="1">IF(A2836="","Date",IF(A2836&lt;&gt;"",IF(B2836="Date",NOW(),B2836),""))</f>
        <v>Date</v>
      </c>
      <c r="C2836" s="19" t="str">
        <f>IF(ISBLANK(A2836),"Name",IF(ISNA(VLOOKUP(A2836,'Master List'!A:C,2,FALSE)), "Not Found", VLOOKUP(A2836,'Master List'!A:C,2,FALSE)))</f>
        <v>Name</v>
      </c>
      <c r="D2836" s="19" t="str">
        <f>IF(ISBLANK(A2836), "Email",IF(ISNA(VLOOKUP(A2836,'Master List'!A:C,3,FALSE)), "Not Found", VLOOKUP(A2836,'Master List'!A:C,3,FALSE)))</f>
        <v>Email</v>
      </c>
      <c r="F2836" s="4" t="str">
        <f>IF(OR(A2836="",E2836="","",A2836="?",E2836="?"),"duplicate?",IF(COUNTIFS($A:A,A2836,E:E,E2836)&gt;1,"yes","no"))</f>
        <v>duplicate?</v>
      </c>
      <c r="K2836" s="97" t="str">
        <f ca="1">IF(J2836="","Date",IF(J2836&lt;&gt;"",IF(K2836="Date",NOW(),K2836),""))</f>
        <v>Date</v>
      </c>
    </row>
    <row r="2837" spans="2:11">
      <c r="B2837" s="97" t="str">
        <f ca="1">IF(A2837="","Date",IF(A2837&lt;&gt;"",IF(B2837="Date",NOW(),B2837),""))</f>
        <v>Date</v>
      </c>
      <c r="C2837" s="19" t="str">
        <f>IF(ISBLANK(A2837),"Name",IF(ISNA(VLOOKUP(A2837,'Master List'!A:C,2,FALSE)), "Not Found", VLOOKUP(A2837,'Master List'!A:C,2,FALSE)))</f>
        <v>Name</v>
      </c>
      <c r="D2837" s="19" t="str">
        <f>IF(ISBLANK(A2837), "Email",IF(ISNA(VLOOKUP(A2837,'Master List'!A:C,3,FALSE)), "Not Found", VLOOKUP(A2837,'Master List'!A:C,3,FALSE)))</f>
        <v>Email</v>
      </c>
      <c r="F2837" s="4" t="str">
        <f>IF(OR(A2837="",E2837="","",A2837="?",E2837="?"),"duplicate?",IF(COUNTIFS($A:A,A2837,E:E,E2837)&gt;1,"yes","no"))</f>
        <v>duplicate?</v>
      </c>
      <c r="K2837" s="97" t="str">
        <f ca="1">IF(J2837="","Date",IF(J2837&lt;&gt;"",IF(K2837="Date",NOW(),K2837),""))</f>
        <v>Date</v>
      </c>
    </row>
    <row r="2838" spans="2:11">
      <c r="B2838" s="97" t="str">
        <f ca="1">IF(A2838="","Date",IF(A2838&lt;&gt;"",IF(B2838="Date",NOW(),B2838),""))</f>
        <v>Date</v>
      </c>
      <c r="C2838" s="19" t="str">
        <f>IF(ISBLANK(A2838),"Name",IF(ISNA(VLOOKUP(A2838,'Master List'!A:C,2,FALSE)), "Not Found", VLOOKUP(A2838,'Master List'!A:C,2,FALSE)))</f>
        <v>Name</v>
      </c>
      <c r="D2838" s="19" t="str">
        <f>IF(ISBLANK(A2838), "Email",IF(ISNA(VLOOKUP(A2838,'Master List'!A:C,3,FALSE)), "Not Found", VLOOKUP(A2838,'Master List'!A:C,3,FALSE)))</f>
        <v>Email</v>
      </c>
      <c r="F2838" s="4" t="str">
        <f>IF(OR(A2838="",E2838="","",A2838="?",E2838="?"),"duplicate?",IF(COUNTIFS($A:A,A2838,E:E,E2838)&gt;1,"yes","no"))</f>
        <v>duplicate?</v>
      </c>
      <c r="K2838" s="97" t="str">
        <f ca="1">IF(J2838="","Date",IF(J2838&lt;&gt;"",IF(K2838="Date",NOW(),K2838),""))</f>
        <v>Date</v>
      </c>
    </row>
    <row r="2839" spans="2:11">
      <c r="B2839" s="97" t="str">
        <f ca="1">IF(A2839="","Date",IF(A2839&lt;&gt;"",IF(B2839="Date",NOW(),B2839),""))</f>
        <v>Date</v>
      </c>
      <c r="C2839" s="19" t="str">
        <f>IF(ISBLANK(A2839),"Name",IF(ISNA(VLOOKUP(A2839,'Master List'!A:C,2,FALSE)), "Not Found", VLOOKUP(A2839,'Master List'!A:C,2,FALSE)))</f>
        <v>Name</v>
      </c>
      <c r="D2839" s="19" t="str">
        <f>IF(ISBLANK(A2839), "Email",IF(ISNA(VLOOKUP(A2839,'Master List'!A:C,3,FALSE)), "Not Found", VLOOKUP(A2839,'Master List'!A:C,3,FALSE)))</f>
        <v>Email</v>
      </c>
      <c r="F2839" s="4" t="str">
        <f>IF(OR(A2839="",E2839="","",A2839="?",E2839="?"),"duplicate?",IF(COUNTIFS($A:A,A2839,E:E,E2839)&gt;1,"yes","no"))</f>
        <v>duplicate?</v>
      </c>
      <c r="K2839" s="97" t="str">
        <f ca="1">IF(J2839="","Date",IF(J2839&lt;&gt;"",IF(K2839="Date",NOW(),K2839),""))</f>
        <v>Date</v>
      </c>
    </row>
    <row r="2840" spans="2:11">
      <c r="B2840" s="97" t="str">
        <f ca="1">IF(A2840="","Date",IF(A2840&lt;&gt;"",IF(B2840="Date",NOW(),B2840),""))</f>
        <v>Date</v>
      </c>
      <c r="C2840" s="19" t="str">
        <f>IF(ISBLANK(A2840),"Name",IF(ISNA(VLOOKUP(A2840,'Master List'!A:C,2,FALSE)), "Not Found", VLOOKUP(A2840,'Master List'!A:C,2,FALSE)))</f>
        <v>Name</v>
      </c>
      <c r="D2840" s="19" t="str">
        <f>IF(ISBLANK(A2840), "Email",IF(ISNA(VLOOKUP(A2840,'Master List'!A:C,3,FALSE)), "Not Found", VLOOKUP(A2840,'Master List'!A:C,3,FALSE)))</f>
        <v>Email</v>
      </c>
      <c r="F2840" s="4" t="str">
        <f>IF(OR(A2840="",E2840="","",A2840="?",E2840="?"),"duplicate?",IF(COUNTIFS($A:A,A2840,E:E,E2840)&gt;1,"yes","no"))</f>
        <v>duplicate?</v>
      </c>
      <c r="K2840" s="97" t="str">
        <f ca="1">IF(J2840="","Date",IF(J2840&lt;&gt;"",IF(K2840="Date",NOW(),K2840),""))</f>
        <v>Date</v>
      </c>
    </row>
    <row r="2841" spans="2:11">
      <c r="B2841" s="97" t="str">
        <f ca="1">IF(A2841="","Date",IF(A2841&lt;&gt;"",IF(B2841="Date",NOW(),B2841),""))</f>
        <v>Date</v>
      </c>
      <c r="C2841" s="19" t="str">
        <f>IF(ISBLANK(A2841),"Name",IF(ISNA(VLOOKUP(A2841,'Master List'!A:C,2,FALSE)), "Not Found", VLOOKUP(A2841,'Master List'!A:C,2,FALSE)))</f>
        <v>Name</v>
      </c>
      <c r="D2841" s="19" t="str">
        <f>IF(ISBLANK(A2841), "Email",IF(ISNA(VLOOKUP(A2841,'Master List'!A:C,3,FALSE)), "Not Found", VLOOKUP(A2841,'Master List'!A:C,3,FALSE)))</f>
        <v>Email</v>
      </c>
      <c r="F2841" s="4" t="str">
        <f>IF(OR(A2841="",E2841="","",A2841="?",E2841="?"),"duplicate?",IF(COUNTIFS($A:A,A2841,E:E,E2841)&gt;1,"yes","no"))</f>
        <v>duplicate?</v>
      </c>
      <c r="K2841" s="97" t="str">
        <f ca="1">IF(J2841="","Date",IF(J2841&lt;&gt;"",IF(K2841="Date",NOW(),K2841),""))</f>
        <v>Date</v>
      </c>
    </row>
    <row r="2842" spans="2:11">
      <c r="B2842" s="97" t="str">
        <f ca="1">IF(A2842="","Date",IF(A2842&lt;&gt;"",IF(B2842="Date",NOW(),B2842),""))</f>
        <v>Date</v>
      </c>
      <c r="C2842" s="19" t="str">
        <f>IF(ISBLANK(A2842),"Name",IF(ISNA(VLOOKUP(A2842,'Master List'!A:C,2,FALSE)), "Not Found", VLOOKUP(A2842,'Master List'!A:C,2,FALSE)))</f>
        <v>Name</v>
      </c>
      <c r="D2842" s="19" t="str">
        <f>IF(ISBLANK(A2842), "Email",IF(ISNA(VLOOKUP(A2842,'Master List'!A:C,3,FALSE)), "Not Found", VLOOKUP(A2842,'Master List'!A:C,3,FALSE)))</f>
        <v>Email</v>
      </c>
      <c r="F2842" s="4" t="str">
        <f>IF(OR(A2842="",E2842="","",A2842="?",E2842="?"),"duplicate?",IF(COUNTIFS($A:A,A2842,E:E,E2842)&gt;1,"yes","no"))</f>
        <v>duplicate?</v>
      </c>
      <c r="K2842" s="97" t="str">
        <f ca="1">IF(J2842="","Date",IF(J2842&lt;&gt;"",IF(K2842="Date",NOW(),K2842),""))</f>
        <v>Date</v>
      </c>
    </row>
    <row r="2843" spans="2:11">
      <c r="B2843" s="97" t="str">
        <f ca="1">IF(A2843="","Date",IF(A2843&lt;&gt;"",IF(B2843="Date",NOW(),B2843),""))</f>
        <v>Date</v>
      </c>
      <c r="C2843" s="19" t="str">
        <f>IF(ISBLANK(A2843),"Name",IF(ISNA(VLOOKUP(A2843,'Master List'!A:C,2,FALSE)), "Not Found", VLOOKUP(A2843,'Master List'!A:C,2,FALSE)))</f>
        <v>Name</v>
      </c>
      <c r="D2843" s="19" t="str">
        <f>IF(ISBLANK(A2843), "Email",IF(ISNA(VLOOKUP(A2843,'Master List'!A:C,3,FALSE)), "Not Found", VLOOKUP(A2843,'Master List'!A:C,3,FALSE)))</f>
        <v>Email</v>
      </c>
      <c r="F2843" s="4" t="str">
        <f>IF(OR(A2843="",E2843="","",A2843="?",E2843="?"),"duplicate?",IF(COUNTIFS($A:A,A2843,E:E,E2843)&gt;1,"yes","no"))</f>
        <v>duplicate?</v>
      </c>
      <c r="K2843" s="97" t="str">
        <f ca="1">IF(J2843="","Date",IF(J2843&lt;&gt;"",IF(K2843="Date",NOW(),K2843),""))</f>
        <v>Date</v>
      </c>
    </row>
    <row r="2844" spans="2:11">
      <c r="B2844" s="97" t="str">
        <f ca="1">IF(A2844="","Date",IF(A2844&lt;&gt;"",IF(B2844="Date",NOW(),B2844),""))</f>
        <v>Date</v>
      </c>
      <c r="C2844" s="19" t="str">
        <f>IF(ISBLANK(A2844),"Name",IF(ISNA(VLOOKUP(A2844,'Master List'!A:C,2,FALSE)), "Not Found", VLOOKUP(A2844,'Master List'!A:C,2,FALSE)))</f>
        <v>Name</v>
      </c>
      <c r="D2844" s="19" t="str">
        <f>IF(ISBLANK(A2844), "Email",IF(ISNA(VLOOKUP(A2844,'Master List'!A:C,3,FALSE)), "Not Found", VLOOKUP(A2844,'Master List'!A:C,3,FALSE)))</f>
        <v>Email</v>
      </c>
      <c r="F2844" s="4" t="str">
        <f>IF(OR(A2844="",E2844="","",A2844="?",E2844="?"),"duplicate?",IF(COUNTIFS($A:A,A2844,E:E,E2844)&gt;1,"yes","no"))</f>
        <v>duplicate?</v>
      </c>
      <c r="K2844" s="97" t="str">
        <f ca="1">IF(J2844="","Date",IF(J2844&lt;&gt;"",IF(K2844="Date",NOW(),K2844),""))</f>
        <v>Date</v>
      </c>
    </row>
    <row r="2845" spans="2:11">
      <c r="B2845" s="97" t="str">
        <f ca="1">IF(A2845="","Date",IF(A2845&lt;&gt;"",IF(B2845="Date",NOW(),B2845),""))</f>
        <v>Date</v>
      </c>
      <c r="C2845" s="19" t="str">
        <f>IF(ISBLANK(A2845),"Name",IF(ISNA(VLOOKUP(A2845,'Master List'!A:C,2,FALSE)), "Not Found", VLOOKUP(A2845,'Master List'!A:C,2,FALSE)))</f>
        <v>Name</v>
      </c>
      <c r="D2845" s="19" t="str">
        <f>IF(ISBLANK(A2845), "Email",IF(ISNA(VLOOKUP(A2845,'Master List'!A:C,3,FALSE)), "Not Found", VLOOKUP(A2845,'Master List'!A:C,3,FALSE)))</f>
        <v>Email</v>
      </c>
      <c r="F2845" s="4" t="str">
        <f>IF(OR(A2845="",E2845="","",A2845="?",E2845="?"),"duplicate?",IF(COUNTIFS($A:A,A2845,E:E,E2845)&gt;1,"yes","no"))</f>
        <v>duplicate?</v>
      </c>
      <c r="K2845" s="97" t="str">
        <f ca="1">IF(J2845="","Date",IF(J2845&lt;&gt;"",IF(K2845="Date",NOW(),K2845),""))</f>
        <v>Date</v>
      </c>
    </row>
    <row r="2846" spans="2:11">
      <c r="B2846" s="97" t="str">
        <f ca="1">IF(A2846="","Date",IF(A2846&lt;&gt;"",IF(B2846="Date",NOW(),B2846),""))</f>
        <v>Date</v>
      </c>
      <c r="C2846" s="19" t="str">
        <f>IF(ISBLANK(A2846),"Name",IF(ISNA(VLOOKUP(A2846,'Master List'!A:C,2,FALSE)), "Not Found", VLOOKUP(A2846,'Master List'!A:C,2,FALSE)))</f>
        <v>Name</v>
      </c>
      <c r="D2846" s="19" t="str">
        <f>IF(ISBLANK(A2846), "Email",IF(ISNA(VLOOKUP(A2846,'Master List'!A:C,3,FALSE)), "Not Found", VLOOKUP(A2846,'Master List'!A:C,3,FALSE)))</f>
        <v>Email</v>
      </c>
      <c r="F2846" s="4" t="str">
        <f>IF(OR(A2846="",E2846="","",A2846="?",E2846="?"),"duplicate?",IF(COUNTIFS($A:A,A2846,E:E,E2846)&gt;1,"yes","no"))</f>
        <v>duplicate?</v>
      </c>
      <c r="K2846" s="97" t="str">
        <f ca="1">IF(J2846="","Date",IF(J2846&lt;&gt;"",IF(K2846="Date",NOW(),K2846),""))</f>
        <v>Date</v>
      </c>
    </row>
    <row r="2847" spans="2:11">
      <c r="B2847" s="97" t="str">
        <f ca="1">IF(A2847="","Date",IF(A2847&lt;&gt;"",IF(B2847="Date",NOW(),B2847),""))</f>
        <v>Date</v>
      </c>
      <c r="C2847" s="19" t="str">
        <f>IF(ISBLANK(A2847),"Name",IF(ISNA(VLOOKUP(A2847,'Master List'!A:C,2,FALSE)), "Not Found", VLOOKUP(A2847,'Master List'!A:C,2,FALSE)))</f>
        <v>Name</v>
      </c>
      <c r="D2847" s="19" t="str">
        <f>IF(ISBLANK(A2847), "Email",IF(ISNA(VLOOKUP(A2847,'Master List'!A:C,3,FALSE)), "Not Found", VLOOKUP(A2847,'Master List'!A:C,3,FALSE)))</f>
        <v>Email</v>
      </c>
      <c r="F2847" s="4" t="str">
        <f>IF(OR(A2847="",E2847="","",A2847="?",E2847="?"),"duplicate?",IF(COUNTIFS($A:A,A2847,E:E,E2847)&gt;1,"yes","no"))</f>
        <v>duplicate?</v>
      </c>
      <c r="K2847" s="97" t="str">
        <f ca="1">IF(J2847="","Date",IF(J2847&lt;&gt;"",IF(K2847="Date",NOW(),K2847),""))</f>
        <v>Date</v>
      </c>
    </row>
    <row r="2848" spans="2:11">
      <c r="B2848" s="97" t="str">
        <f ca="1">IF(A2848="","Date",IF(A2848&lt;&gt;"",IF(B2848="Date",NOW(),B2848),""))</f>
        <v>Date</v>
      </c>
      <c r="C2848" s="19" t="str">
        <f>IF(ISBLANK(A2848),"Name",IF(ISNA(VLOOKUP(A2848,'Master List'!A:C,2,FALSE)), "Not Found", VLOOKUP(A2848,'Master List'!A:C,2,FALSE)))</f>
        <v>Name</v>
      </c>
      <c r="D2848" s="19" t="str">
        <f>IF(ISBLANK(A2848), "Email",IF(ISNA(VLOOKUP(A2848,'Master List'!A:C,3,FALSE)), "Not Found", VLOOKUP(A2848,'Master List'!A:C,3,FALSE)))</f>
        <v>Email</v>
      </c>
      <c r="F2848" s="4" t="str">
        <f>IF(OR(A2848="",E2848="","",A2848="?",E2848="?"),"duplicate?",IF(COUNTIFS($A:A,A2848,E:E,E2848)&gt;1,"yes","no"))</f>
        <v>duplicate?</v>
      </c>
      <c r="K2848" s="97" t="str">
        <f ca="1">IF(J2848="","Date",IF(J2848&lt;&gt;"",IF(K2848="Date",NOW(),K2848),""))</f>
        <v>Date</v>
      </c>
    </row>
    <row r="2849" spans="2:11">
      <c r="B2849" s="97" t="str">
        <f ca="1">IF(A2849="","Date",IF(A2849&lt;&gt;"",IF(B2849="Date",NOW(),B2849),""))</f>
        <v>Date</v>
      </c>
      <c r="C2849" s="19" t="str">
        <f>IF(ISBLANK(A2849),"Name",IF(ISNA(VLOOKUP(A2849,'Master List'!A:C,2,FALSE)), "Not Found", VLOOKUP(A2849,'Master List'!A:C,2,FALSE)))</f>
        <v>Name</v>
      </c>
      <c r="D2849" s="19" t="str">
        <f>IF(ISBLANK(A2849), "Email",IF(ISNA(VLOOKUP(A2849,'Master List'!A:C,3,FALSE)), "Not Found", VLOOKUP(A2849,'Master List'!A:C,3,FALSE)))</f>
        <v>Email</v>
      </c>
      <c r="F2849" s="4" t="str">
        <f>IF(OR(A2849="",E2849="","",A2849="?",E2849="?"),"duplicate?",IF(COUNTIFS($A:A,A2849,E:E,E2849)&gt;1,"yes","no"))</f>
        <v>duplicate?</v>
      </c>
      <c r="K2849" s="97" t="str">
        <f ca="1">IF(J2849="","Date",IF(J2849&lt;&gt;"",IF(K2849="Date",NOW(),K2849),""))</f>
        <v>Date</v>
      </c>
    </row>
    <row r="2850" spans="2:11">
      <c r="B2850" s="97" t="str">
        <f ca="1">IF(A2850="","Date",IF(A2850&lt;&gt;"",IF(B2850="Date",NOW(),B2850),""))</f>
        <v>Date</v>
      </c>
      <c r="C2850" s="19" t="str">
        <f>IF(ISBLANK(A2850),"Name",IF(ISNA(VLOOKUP(A2850,'Master List'!A:C,2,FALSE)), "Not Found", VLOOKUP(A2850,'Master List'!A:C,2,FALSE)))</f>
        <v>Name</v>
      </c>
      <c r="D2850" s="19" t="str">
        <f>IF(ISBLANK(A2850), "Email",IF(ISNA(VLOOKUP(A2850,'Master List'!A:C,3,FALSE)), "Not Found", VLOOKUP(A2850,'Master List'!A:C,3,FALSE)))</f>
        <v>Email</v>
      </c>
      <c r="F2850" s="4" t="str">
        <f>IF(OR(A2850="",E2850="","",A2850="?",E2850="?"),"duplicate?",IF(COUNTIFS($A:A,A2850,E:E,E2850)&gt;1,"yes","no"))</f>
        <v>duplicate?</v>
      </c>
      <c r="K2850" s="97" t="str">
        <f ca="1">IF(J2850="","Date",IF(J2850&lt;&gt;"",IF(K2850="Date",NOW(),K2850),""))</f>
        <v>Date</v>
      </c>
    </row>
    <row r="2851" spans="2:11">
      <c r="B2851" s="97" t="str">
        <f ca="1">IF(A2851="","Date",IF(A2851&lt;&gt;"",IF(B2851="Date",NOW(),B2851),""))</f>
        <v>Date</v>
      </c>
      <c r="C2851" s="19" t="str">
        <f>IF(ISBLANK(A2851),"Name",IF(ISNA(VLOOKUP(A2851,'Master List'!A:C,2,FALSE)), "Not Found", VLOOKUP(A2851,'Master List'!A:C,2,FALSE)))</f>
        <v>Name</v>
      </c>
      <c r="D2851" s="19" t="str">
        <f>IF(ISBLANK(A2851), "Email",IF(ISNA(VLOOKUP(A2851,'Master List'!A:C,3,FALSE)), "Not Found", VLOOKUP(A2851,'Master List'!A:C,3,FALSE)))</f>
        <v>Email</v>
      </c>
      <c r="F2851" s="4" t="str">
        <f>IF(OR(A2851="",E2851="","",A2851="?",E2851="?"),"duplicate?",IF(COUNTIFS($A:A,A2851,E:E,E2851)&gt;1,"yes","no"))</f>
        <v>duplicate?</v>
      </c>
      <c r="K2851" s="97" t="str">
        <f ca="1">IF(J2851="","Date",IF(J2851&lt;&gt;"",IF(K2851="Date",NOW(),K2851),""))</f>
        <v>Date</v>
      </c>
    </row>
    <row r="2852" spans="2:11">
      <c r="B2852" s="97" t="str">
        <f ca="1">IF(A2852="","Date",IF(A2852&lt;&gt;"",IF(B2852="Date",NOW(),B2852),""))</f>
        <v>Date</v>
      </c>
      <c r="C2852" s="19" t="str">
        <f>IF(ISBLANK(A2852),"Name",IF(ISNA(VLOOKUP(A2852,'Master List'!A:C,2,FALSE)), "Not Found", VLOOKUP(A2852,'Master List'!A:C,2,FALSE)))</f>
        <v>Name</v>
      </c>
      <c r="D2852" s="19" t="str">
        <f>IF(ISBLANK(A2852), "Email",IF(ISNA(VLOOKUP(A2852,'Master List'!A:C,3,FALSE)), "Not Found", VLOOKUP(A2852,'Master List'!A:C,3,FALSE)))</f>
        <v>Email</v>
      </c>
      <c r="F2852" s="4" t="str">
        <f>IF(OR(A2852="",E2852="","",A2852="?",E2852="?"),"duplicate?",IF(COUNTIFS($A:A,A2852,E:E,E2852)&gt;1,"yes","no"))</f>
        <v>duplicate?</v>
      </c>
      <c r="K2852" s="97" t="str">
        <f ca="1">IF(J2852="","Date",IF(J2852&lt;&gt;"",IF(K2852="Date",NOW(),K2852),""))</f>
        <v>Date</v>
      </c>
    </row>
    <row r="2853" spans="2:11">
      <c r="B2853" s="97" t="str">
        <f ca="1">IF(A2853="","Date",IF(A2853&lt;&gt;"",IF(B2853="Date",NOW(),B2853),""))</f>
        <v>Date</v>
      </c>
      <c r="C2853" s="19" t="str">
        <f>IF(ISBLANK(A2853),"Name",IF(ISNA(VLOOKUP(A2853,'Master List'!A:C,2,FALSE)), "Not Found", VLOOKUP(A2853,'Master List'!A:C,2,FALSE)))</f>
        <v>Name</v>
      </c>
      <c r="D2853" s="19" t="str">
        <f>IF(ISBLANK(A2853), "Email",IF(ISNA(VLOOKUP(A2853,'Master List'!A:C,3,FALSE)), "Not Found", VLOOKUP(A2853,'Master List'!A:C,3,FALSE)))</f>
        <v>Email</v>
      </c>
      <c r="F2853" s="4" t="str">
        <f>IF(OR(A2853="",E2853="","",A2853="?",E2853="?"),"duplicate?",IF(COUNTIFS($A:A,A2853,E:E,E2853)&gt;1,"yes","no"))</f>
        <v>duplicate?</v>
      </c>
      <c r="K2853" s="97" t="str">
        <f ca="1">IF(J2853="","Date",IF(J2853&lt;&gt;"",IF(K2853="Date",NOW(),K2853),""))</f>
        <v>Date</v>
      </c>
    </row>
    <row r="2854" spans="2:11">
      <c r="B2854" s="97" t="str">
        <f ca="1">IF(A2854="","Date",IF(A2854&lt;&gt;"",IF(B2854="Date",NOW(),B2854),""))</f>
        <v>Date</v>
      </c>
      <c r="C2854" s="19" t="str">
        <f>IF(ISBLANK(A2854),"Name",IF(ISNA(VLOOKUP(A2854,'Master List'!A:C,2,FALSE)), "Not Found", VLOOKUP(A2854,'Master List'!A:C,2,FALSE)))</f>
        <v>Name</v>
      </c>
      <c r="D2854" s="19" t="str">
        <f>IF(ISBLANK(A2854), "Email",IF(ISNA(VLOOKUP(A2854,'Master List'!A:C,3,FALSE)), "Not Found", VLOOKUP(A2854,'Master List'!A:C,3,FALSE)))</f>
        <v>Email</v>
      </c>
      <c r="F2854" s="4" t="str">
        <f>IF(OR(A2854="",E2854="","",A2854="?",E2854="?"),"duplicate?",IF(COUNTIFS($A:A,A2854,E:E,E2854)&gt;1,"yes","no"))</f>
        <v>duplicate?</v>
      </c>
      <c r="K2854" s="97" t="str">
        <f ca="1">IF(J2854="","Date",IF(J2854&lt;&gt;"",IF(K2854="Date",NOW(),K2854),""))</f>
        <v>Date</v>
      </c>
    </row>
    <row r="2855" spans="2:11">
      <c r="B2855" s="97" t="str">
        <f ca="1">IF(A2855="","Date",IF(A2855&lt;&gt;"",IF(B2855="Date",NOW(),B2855),""))</f>
        <v>Date</v>
      </c>
      <c r="C2855" s="19" t="str">
        <f>IF(ISBLANK(A2855),"Name",IF(ISNA(VLOOKUP(A2855,'Master List'!A:C,2,FALSE)), "Not Found", VLOOKUP(A2855,'Master List'!A:C,2,FALSE)))</f>
        <v>Name</v>
      </c>
      <c r="D2855" s="19" t="str">
        <f>IF(ISBLANK(A2855), "Email",IF(ISNA(VLOOKUP(A2855,'Master List'!A:C,3,FALSE)), "Not Found", VLOOKUP(A2855,'Master List'!A:C,3,FALSE)))</f>
        <v>Email</v>
      </c>
      <c r="F2855" s="4" t="str">
        <f>IF(OR(A2855="",E2855="","",A2855="?",E2855="?"),"duplicate?",IF(COUNTIFS($A:A,A2855,E:E,E2855)&gt;1,"yes","no"))</f>
        <v>duplicate?</v>
      </c>
      <c r="K2855" s="97" t="str">
        <f ca="1">IF(J2855="","Date",IF(J2855&lt;&gt;"",IF(K2855="Date",NOW(),K2855),""))</f>
        <v>Date</v>
      </c>
    </row>
    <row r="2856" spans="2:11">
      <c r="B2856" s="97" t="str">
        <f ca="1">IF(A2856="","Date",IF(A2856&lt;&gt;"",IF(B2856="Date",NOW(),B2856),""))</f>
        <v>Date</v>
      </c>
      <c r="C2856" s="19" t="str">
        <f>IF(ISBLANK(A2856),"Name",IF(ISNA(VLOOKUP(A2856,'Master List'!A:C,2,FALSE)), "Not Found", VLOOKUP(A2856,'Master List'!A:C,2,FALSE)))</f>
        <v>Name</v>
      </c>
      <c r="D2856" s="19" t="str">
        <f>IF(ISBLANK(A2856), "Email",IF(ISNA(VLOOKUP(A2856,'Master List'!A:C,3,FALSE)), "Not Found", VLOOKUP(A2856,'Master List'!A:C,3,FALSE)))</f>
        <v>Email</v>
      </c>
      <c r="F2856" s="4" t="str">
        <f>IF(OR(A2856="",E2856="","",A2856="?",E2856="?"),"duplicate?",IF(COUNTIFS($A:A,A2856,E:E,E2856)&gt;1,"yes","no"))</f>
        <v>duplicate?</v>
      </c>
      <c r="K2856" s="97" t="str">
        <f ca="1">IF(J2856="","Date",IF(J2856&lt;&gt;"",IF(K2856="Date",NOW(),K2856),""))</f>
        <v>Date</v>
      </c>
    </row>
    <row r="2857" spans="2:11">
      <c r="B2857" s="97" t="str">
        <f ca="1">IF(A2857="","Date",IF(A2857&lt;&gt;"",IF(B2857="Date",NOW(),B2857),""))</f>
        <v>Date</v>
      </c>
      <c r="C2857" s="19" t="str">
        <f>IF(ISBLANK(A2857),"Name",IF(ISNA(VLOOKUP(A2857,'Master List'!A:C,2,FALSE)), "Not Found", VLOOKUP(A2857,'Master List'!A:C,2,FALSE)))</f>
        <v>Name</v>
      </c>
      <c r="D2857" s="19" t="str">
        <f>IF(ISBLANK(A2857), "Email",IF(ISNA(VLOOKUP(A2857,'Master List'!A:C,3,FALSE)), "Not Found", VLOOKUP(A2857,'Master List'!A:C,3,FALSE)))</f>
        <v>Email</v>
      </c>
      <c r="F2857" s="4" t="str">
        <f>IF(OR(A2857="",E2857="","",A2857="?",E2857="?"),"duplicate?",IF(COUNTIFS($A:A,A2857,E:E,E2857)&gt;1,"yes","no"))</f>
        <v>duplicate?</v>
      </c>
      <c r="K2857" s="97" t="str">
        <f ca="1">IF(J2857="","Date",IF(J2857&lt;&gt;"",IF(K2857="Date",NOW(),K2857),""))</f>
        <v>Date</v>
      </c>
    </row>
    <row r="2858" spans="2:11">
      <c r="B2858" s="97" t="str">
        <f ca="1">IF(A2858="","Date",IF(A2858&lt;&gt;"",IF(B2858="Date",NOW(),B2858),""))</f>
        <v>Date</v>
      </c>
      <c r="C2858" s="19" t="str">
        <f>IF(ISBLANK(A2858),"Name",IF(ISNA(VLOOKUP(A2858,'Master List'!A:C,2,FALSE)), "Not Found", VLOOKUP(A2858,'Master List'!A:C,2,FALSE)))</f>
        <v>Name</v>
      </c>
      <c r="D2858" s="19" t="str">
        <f>IF(ISBLANK(A2858), "Email",IF(ISNA(VLOOKUP(A2858,'Master List'!A:C,3,FALSE)), "Not Found", VLOOKUP(A2858,'Master List'!A:C,3,FALSE)))</f>
        <v>Email</v>
      </c>
      <c r="F2858" s="4" t="str">
        <f>IF(OR(A2858="",E2858="","",A2858="?",E2858="?"),"duplicate?",IF(COUNTIFS($A:A,A2858,E:E,E2858)&gt;1,"yes","no"))</f>
        <v>duplicate?</v>
      </c>
      <c r="K2858" s="97" t="str">
        <f ca="1">IF(J2858="","Date",IF(J2858&lt;&gt;"",IF(K2858="Date",NOW(),K2858),""))</f>
        <v>Date</v>
      </c>
    </row>
    <row r="2859" spans="2:11">
      <c r="B2859" s="97" t="str">
        <f ca="1">IF(A2859="","Date",IF(A2859&lt;&gt;"",IF(B2859="Date",NOW(),B2859),""))</f>
        <v>Date</v>
      </c>
      <c r="C2859" s="19" t="str">
        <f>IF(ISBLANK(A2859),"Name",IF(ISNA(VLOOKUP(A2859,'Master List'!A:C,2,FALSE)), "Not Found", VLOOKUP(A2859,'Master List'!A:C,2,FALSE)))</f>
        <v>Name</v>
      </c>
      <c r="D2859" s="19" t="str">
        <f>IF(ISBLANK(A2859), "Email",IF(ISNA(VLOOKUP(A2859,'Master List'!A:C,3,FALSE)), "Not Found", VLOOKUP(A2859,'Master List'!A:C,3,FALSE)))</f>
        <v>Email</v>
      </c>
      <c r="F2859" s="4" t="str">
        <f>IF(OR(A2859="",E2859="","",A2859="?",E2859="?"),"duplicate?",IF(COUNTIFS($A:A,A2859,E:E,E2859)&gt;1,"yes","no"))</f>
        <v>duplicate?</v>
      </c>
      <c r="K2859" s="97" t="str">
        <f ca="1">IF(J2859="","Date",IF(J2859&lt;&gt;"",IF(K2859="Date",NOW(),K2859),""))</f>
        <v>Date</v>
      </c>
    </row>
    <row r="2860" spans="2:11">
      <c r="B2860" s="97" t="str">
        <f ca="1">IF(A2860="","Date",IF(A2860&lt;&gt;"",IF(B2860="Date",NOW(),B2860),""))</f>
        <v>Date</v>
      </c>
      <c r="C2860" s="19" t="str">
        <f>IF(ISBLANK(A2860),"Name",IF(ISNA(VLOOKUP(A2860,'Master List'!A:C,2,FALSE)), "Not Found", VLOOKUP(A2860,'Master List'!A:C,2,FALSE)))</f>
        <v>Name</v>
      </c>
      <c r="D2860" s="19" t="str">
        <f>IF(ISBLANK(A2860), "Email",IF(ISNA(VLOOKUP(A2860,'Master List'!A:C,3,FALSE)), "Not Found", VLOOKUP(A2860,'Master List'!A:C,3,FALSE)))</f>
        <v>Email</v>
      </c>
      <c r="F2860" s="4" t="str">
        <f>IF(OR(A2860="",E2860="","",A2860="?",E2860="?"),"duplicate?",IF(COUNTIFS($A:A,A2860,E:E,E2860)&gt;1,"yes","no"))</f>
        <v>duplicate?</v>
      </c>
      <c r="K2860" s="97" t="str">
        <f ca="1">IF(J2860="","Date",IF(J2860&lt;&gt;"",IF(K2860="Date",NOW(),K2860),""))</f>
        <v>Date</v>
      </c>
    </row>
    <row r="2861" spans="2:11">
      <c r="B2861" s="97" t="str">
        <f ca="1">IF(A2861="","Date",IF(A2861&lt;&gt;"",IF(B2861="Date",NOW(),B2861),""))</f>
        <v>Date</v>
      </c>
      <c r="C2861" s="19" t="str">
        <f>IF(ISBLANK(A2861),"Name",IF(ISNA(VLOOKUP(A2861,'Master List'!A:C,2,FALSE)), "Not Found", VLOOKUP(A2861,'Master List'!A:C,2,FALSE)))</f>
        <v>Name</v>
      </c>
      <c r="D2861" s="19" t="str">
        <f>IF(ISBLANK(A2861), "Email",IF(ISNA(VLOOKUP(A2861,'Master List'!A:C,3,FALSE)), "Not Found", VLOOKUP(A2861,'Master List'!A:C,3,FALSE)))</f>
        <v>Email</v>
      </c>
      <c r="F2861" s="4" t="str">
        <f>IF(OR(A2861="",E2861="","",A2861="?",E2861="?"),"duplicate?",IF(COUNTIFS($A:A,A2861,E:E,E2861)&gt;1,"yes","no"))</f>
        <v>duplicate?</v>
      </c>
      <c r="K2861" s="97" t="str">
        <f ca="1">IF(J2861="","Date",IF(J2861&lt;&gt;"",IF(K2861="Date",NOW(),K2861),""))</f>
        <v>Date</v>
      </c>
    </row>
    <row r="2862" spans="2:11">
      <c r="B2862" s="97" t="str">
        <f ca="1">IF(A2862="","Date",IF(A2862&lt;&gt;"",IF(B2862="Date",NOW(),B2862),""))</f>
        <v>Date</v>
      </c>
      <c r="C2862" s="19" t="str">
        <f>IF(ISBLANK(A2862),"Name",IF(ISNA(VLOOKUP(A2862,'Master List'!A:C,2,FALSE)), "Not Found", VLOOKUP(A2862,'Master List'!A:C,2,FALSE)))</f>
        <v>Name</v>
      </c>
      <c r="D2862" s="19" t="str">
        <f>IF(ISBLANK(A2862), "Email",IF(ISNA(VLOOKUP(A2862,'Master List'!A:C,3,FALSE)), "Not Found", VLOOKUP(A2862,'Master List'!A:C,3,FALSE)))</f>
        <v>Email</v>
      </c>
      <c r="F2862" s="4" t="str">
        <f>IF(OR(A2862="",E2862="","",A2862="?",E2862="?"),"duplicate?",IF(COUNTIFS($A:A,A2862,E:E,E2862)&gt;1,"yes","no"))</f>
        <v>duplicate?</v>
      </c>
      <c r="K2862" s="97" t="str">
        <f ca="1">IF(J2862="","Date",IF(J2862&lt;&gt;"",IF(K2862="Date",NOW(),K2862),""))</f>
        <v>Date</v>
      </c>
    </row>
    <row r="2863" spans="2:11">
      <c r="B2863" s="97" t="str">
        <f ca="1">IF(A2863="","Date",IF(A2863&lt;&gt;"",IF(B2863="Date",NOW(),B2863),""))</f>
        <v>Date</v>
      </c>
      <c r="C2863" s="19" t="str">
        <f>IF(ISBLANK(A2863),"Name",IF(ISNA(VLOOKUP(A2863,'Master List'!A:C,2,FALSE)), "Not Found", VLOOKUP(A2863,'Master List'!A:C,2,FALSE)))</f>
        <v>Name</v>
      </c>
      <c r="D2863" s="19" t="str">
        <f>IF(ISBLANK(A2863), "Email",IF(ISNA(VLOOKUP(A2863,'Master List'!A:C,3,FALSE)), "Not Found", VLOOKUP(A2863,'Master List'!A:C,3,FALSE)))</f>
        <v>Email</v>
      </c>
      <c r="F2863" s="4" t="str">
        <f>IF(OR(A2863="",E2863="","",A2863="?",E2863="?"),"duplicate?",IF(COUNTIFS($A:A,A2863,E:E,E2863)&gt;1,"yes","no"))</f>
        <v>duplicate?</v>
      </c>
      <c r="K2863" s="97" t="str">
        <f ca="1">IF(J2863="","Date",IF(J2863&lt;&gt;"",IF(K2863="Date",NOW(),K2863),""))</f>
        <v>Date</v>
      </c>
    </row>
    <row r="2864" spans="2:11">
      <c r="B2864" s="97" t="str">
        <f ca="1">IF(A2864="","Date",IF(A2864&lt;&gt;"",IF(B2864="Date",NOW(),B2864),""))</f>
        <v>Date</v>
      </c>
      <c r="C2864" s="19" t="str">
        <f>IF(ISBLANK(A2864),"Name",IF(ISNA(VLOOKUP(A2864,'Master List'!A:C,2,FALSE)), "Not Found", VLOOKUP(A2864,'Master List'!A:C,2,FALSE)))</f>
        <v>Name</v>
      </c>
      <c r="D2864" s="19" t="str">
        <f>IF(ISBLANK(A2864), "Email",IF(ISNA(VLOOKUP(A2864,'Master List'!A:C,3,FALSE)), "Not Found", VLOOKUP(A2864,'Master List'!A:C,3,FALSE)))</f>
        <v>Email</v>
      </c>
      <c r="F2864" s="4" t="str">
        <f>IF(OR(A2864="",E2864="","",A2864="?",E2864="?"),"duplicate?",IF(COUNTIFS($A:A,A2864,E:E,E2864)&gt;1,"yes","no"))</f>
        <v>duplicate?</v>
      </c>
      <c r="K2864" s="97" t="str">
        <f ca="1">IF(J2864="","Date",IF(J2864&lt;&gt;"",IF(K2864="Date",NOW(),K2864),""))</f>
        <v>Date</v>
      </c>
    </row>
    <row r="2865" spans="2:11">
      <c r="B2865" s="97" t="str">
        <f ca="1">IF(A2865="","Date",IF(A2865&lt;&gt;"",IF(B2865="Date",NOW(),B2865),""))</f>
        <v>Date</v>
      </c>
      <c r="C2865" s="19" t="str">
        <f>IF(ISBLANK(A2865),"Name",IF(ISNA(VLOOKUP(A2865,'Master List'!A:C,2,FALSE)), "Not Found", VLOOKUP(A2865,'Master List'!A:C,2,FALSE)))</f>
        <v>Name</v>
      </c>
      <c r="D2865" s="19" t="str">
        <f>IF(ISBLANK(A2865), "Email",IF(ISNA(VLOOKUP(A2865,'Master List'!A:C,3,FALSE)), "Not Found", VLOOKUP(A2865,'Master List'!A:C,3,FALSE)))</f>
        <v>Email</v>
      </c>
      <c r="F2865" s="4" t="str">
        <f>IF(OR(A2865="",E2865="","",A2865="?",E2865="?"),"duplicate?",IF(COUNTIFS($A:A,A2865,E:E,E2865)&gt;1,"yes","no"))</f>
        <v>duplicate?</v>
      </c>
      <c r="K2865" s="97" t="str">
        <f ca="1">IF(J2865="","Date",IF(J2865&lt;&gt;"",IF(K2865="Date",NOW(),K2865),""))</f>
        <v>Date</v>
      </c>
    </row>
    <row r="2866" spans="2:11">
      <c r="B2866" s="97" t="str">
        <f ca="1">IF(A2866="","Date",IF(A2866&lt;&gt;"",IF(B2866="Date",NOW(),B2866),""))</f>
        <v>Date</v>
      </c>
      <c r="C2866" s="19" t="str">
        <f>IF(ISBLANK(A2866),"Name",IF(ISNA(VLOOKUP(A2866,'Master List'!A:C,2,FALSE)), "Not Found", VLOOKUP(A2866,'Master List'!A:C,2,FALSE)))</f>
        <v>Name</v>
      </c>
      <c r="D2866" s="19" t="str">
        <f>IF(ISBLANK(A2866), "Email",IF(ISNA(VLOOKUP(A2866,'Master List'!A:C,3,FALSE)), "Not Found", VLOOKUP(A2866,'Master List'!A:C,3,FALSE)))</f>
        <v>Email</v>
      </c>
      <c r="F2866" s="4" t="str">
        <f>IF(OR(A2866="",E2866="","",A2866="?",E2866="?"),"duplicate?",IF(COUNTIFS($A:A,A2866,E:E,E2866)&gt;1,"yes","no"))</f>
        <v>duplicate?</v>
      </c>
      <c r="K2866" s="97" t="str">
        <f ca="1">IF(J2866="","Date",IF(J2866&lt;&gt;"",IF(K2866="Date",NOW(),K2866),""))</f>
        <v>Date</v>
      </c>
    </row>
    <row r="2867" spans="2:11">
      <c r="B2867" s="97" t="str">
        <f ca="1">IF(A2867="","Date",IF(A2867&lt;&gt;"",IF(B2867="Date",NOW(),B2867),""))</f>
        <v>Date</v>
      </c>
      <c r="C2867" s="19" t="str">
        <f>IF(ISBLANK(A2867),"Name",IF(ISNA(VLOOKUP(A2867,'Master List'!A:C,2,FALSE)), "Not Found", VLOOKUP(A2867,'Master List'!A:C,2,FALSE)))</f>
        <v>Name</v>
      </c>
      <c r="D2867" s="19" t="str">
        <f>IF(ISBLANK(A2867), "Email",IF(ISNA(VLOOKUP(A2867,'Master List'!A:C,3,FALSE)), "Not Found", VLOOKUP(A2867,'Master List'!A:C,3,FALSE)))</f>
        <v>Email</v>
      </c>
      <c r="F2867" s="4" t="str">
        <f>IF(OR(A2867="",E2867="","",A2867="?",E2867="?"),"duplicate?",IF(COUNTIFS($A:A,A2867,E:E,E2867)&gt;1,"yes","no"))</f>
        <v>duplicate?</v>
      </c>
      <c r="K2867" s="97" t="str">
        <f ca="1">IF(J2867="","Date",IF(J2867&lt;&gt;"",IF(K2867="Date",NOW(),K2867),""))</f>
        <v>Date</v>
      </c>
    </row>
    <row r="2868" spans="2:11">
      <c r="B2868" s="97" t="str">
        <f ca="1">IF(A2868="","Date",IF(A2868&lt;&gt;"",IF(B2868="Date",NOW(),B2868),""))</f>
        <v>Date</v>
      </c>
      <c r="C2868" s="19" t="str">
        <f>IF(ISBLANK(A2868),"Name",IF(ISNA(VLOOKUP(A2868,'Master List'!A:C,2,FALSE)), "Not Found", VLOOKUP(A2868,'Master List'!A:C,2,FALSE)))</f>
        <v>Name</v>
      </c>
      <c r="D2868" s="19" t="str">
        <f>IF(ISBLANK(A2868), "Email",IF(ISNA(VLOOKUP(A2868,'Master List'!A:C,3,FALSE)), "Not Found", VLOOKUP(A2868,'Master List'!A:C,3,FALSE)))</f>
        <v>Email</v>
      </c>
      <c r="F2868" s="4" t="str">
        <f>IF(OR(A2868="",E2868="","",A2868="?",E2868="?"),"duplicate?",IF(COUNTIFS($A:A,A2868,E:E,E2868)&gt;1,"yes","no"))</f>
        <v>duplicate?</v>
      </c>
      <c r="K2868" s="97" t="str">
        <f ca="1">IF(J2868="","Date",IF(J2868&lt;&gt;"",IF(K2868="Date",NOW(),K2868),""))</f>
        <v>Date</v>
      </c>
    </row>
    <row r="2869" spans="2:11">
      <c r="B2869" s="97" t="str">
        <f ca="1">IF(A2869="","Date",IF(A2869&lt;&gt;"",IF(B2869="Date",NOW(),B2869),""))</f>
        <v>Date</v>
      </c>
      <c r="C2869" s="19" t="str">
        <f>IF(ISBLANK(A2869),"Name",IF(ISNA(VLOOKUP(A2869,'Master List'!A:C,2,FALSE)), "Not Found", VLOOKUP(A2869,'Master List'!A:C,2,FALSE)))</f>
        <v>Name</v>
      </c>
      <c r="D2869" s="19" t="str">
        <f>IF(ISBLANK(A2869), "Email",IF(ISNA(VLOOKUP(A2869,'Master List'!A:C,3,FALSE)), "Not Found", VLOOKUP(A2869,'Master List'!A:C,3,FALSE)))</f>
        <v>Email</v>
      </c>
      <c r="F2869" s="4" t="str">
        <f>IF(OR(A2869="",E2869="","",A2869="?",E2869="?"),"duplicate?",IF(COUNTIFS($A:A,A2869,E:E,E2869)&gt;1,"yes","no"))</f>
        <v>duplicate?</v>
      </c>
      <c r="K2869" s="97" t="str">
        <f ca="1">IF(J2869="","Date",IF(J2869&lt;&gt;"",IF(K2869="Date",NOW(),K2869),""))</f>
        <v>Date</v>
      </c>
    </row>
    <row r="2870" spans="2:11">
      <c r="B2870" s="97" t="str">
        <f ca="1">IF(A2870="","Date",IF(A2870&lt;&gt;"",IF(B2870="Date",NOW(),B2870),""))</f>
        <v>Date</v>
      </c>
      <c r="C2870" s="19" t="str">
        <f>IF(ISBLANK(A2870),"Name",IF(ISNA(VLOOKUP(A2870,'Master List'!A:C,2,FALSE)), "Not Found", VLOOKUP(A2870,'Master List'!A:C,2,FALSE)))</f>
        <v>Name</v>
      </c>
      <c r="D2870" s="19" t="str">
        <f>IF(ISBLANK(A2870), "Email",IF(ISNA(VLOOKUP(A2870,'Master List'!A:C,3,FALSE)), "Not Found", VLOOKUP(A2870,'Master List'!A:C,3,FALSE)))</f>
        <v>Email</v>
      </c>
      <c r="F2870" s="4" t="str">
        <f>IF(OR(A2870="",E2870="","",A2870="?",E2870="?"),"duplicate?",IF(COUNTIFS($A:A,A2870,E:E,E2870)&gt;1,"yes","no"))</f>
        <v>duplicate?</v>
      </c>
      <c r="K2870" s="97" t="str">
        <f ca="1">IF(J2870="","Date",IF(J2870&lt;&gt;"",IF(K2870="Date",NOW(),K2870),""))</f>
        <v>Date</v>
      </c>
    </row>
    <row r="2871" spans="2:11">
      <c r="B2871" s="97" t="str">
        <f ca="1">IF(A2871="","Date",IF(A2871&lt;&gt;"",IF(B2871="Date",NOW(),B2871),""))</f>
        <v>Date</v>
      </c>
      <c r="C2871" s="19" t="str">
        <f>IF(ISBLANK(A2871),"Name",IF(ISNA(VLOOKUP(A2871,'Master List'!A:C,2,FALSE)), "Not Found", VLOOKUP(A2871,'Master List'!A:C,2,FALSE)))</f>
        <v>Name</v>
      </c>
      <c r="D2871" s="19" t="str">
        <f>IF(ISBLANK(A2871), "Email",IF(ISNA(VLOOKUP(A2871,'Master List'!A:C,3,FALSE)), "Not Found", VLOOKUP(A2871,'Master List'!A:C,3,FALSE)))</f>
        <v>Email</v>
      </c>
      <c r="F2871" s="4" t="str">
        <f>IF(OR(A2871="",E2871="","",A2871="?",E2871="?"),"duplicate?",IF(COUNTIFS($A:A,A2871,E:E,E2871)&gt;1,"yes","no"))</f>
        <v>duplicate?</v>
      </c>
      <c r="K2871" s="97" t="str">
        <f ca="1">IF(J2871="","Date",IF(J2871&lt;&gt;"",IF(K2871="Date",NOW(),K2871),""))</f>
        <v>Date</v>
      </c>
    </row>
    <row r="2872" spans="2:11">
      <c r="B2872" s="97" t="str">
        <f ca="1">IF(A2872="","Date",IF(A2872&lt;&gt;"",IF(B2872="Date",NOW(),B2872),""))</f>
        <v>Date</v>
      </c>
      <c r="C2872" s="19" t="str">
        <f>IF(ISBLANK(A2872),"Name",IF(ISNA(VLOOKUP(A2872,'Master List'!A:C,2,FALSE)), "Not Found", VLOOKUP(A2872,'Master List'!A:C,2,FALSE)))</f>
        <v>Name</v>
      </c>
      <c r="D2872" s="19" t="str">
        <f>IF(ISBLANK(A2872), "Email",IF(ISNA(VLOOKUP(A2872,'Master List'!A:C,3,FALSE)), "Not Found", VLOOKUP(A2872,'Master List'!A:C,3,FALSE)))</f>
        <v>Email</v>
      </c>
      <c r="F2872" s="4" t="str">
        <f>IF(OR(A2872="",E2872="","",A2872="?",E2872="?"),"duplicate?",IF(COUNTIFS($A:A,A2872,E:E,E2872)&gt;1,"yes","no"))</f>
        <v>duplicate?</v>
      </c>
      <c r="K2872" s="97" t="str">
        <f ca="1">IF(J2872="","Date",IF(J2872&lt;&gt;"",IF(K2872="Date",NOW(),K2872),""))</f>
        <v>Date</v>
      </c>
    </row>
    <row r="2873" spans="2:11">
      <c r="B2873" s="97" t="str">
        <f ca="1">IF(A2873="","Date",IF(A2873&lt;&gt;"",IF(B2873="Date",NOW(),B2873),""))</f>
        <v>Date</v>
      </c>
      <c r="C2873" s="19" t="str">
        <f>IF(ISBLANK(A2873),"Name",IF(ISNA(VLOOKUP(A2873,'Master List'!A:C,2,FALSE)), "Not Found", VLOOKUP(A2873,'Master List'!A:C,2,FALSE)))</f>
        <v>Name</v>
      </c>
      <c r="D2873" s="19" t="str">
        <f>IF(ISBLANK(A2873), "Email",IF(ISNA(VLOOKUP(A2873,'Master List'!A:C,3,FALSE)), "Not Found", VLOOKUP(A2873,'Master List'!A:C,3,FALSE)))</f>
        <v>Email</v>
      </c>
      <c r="F2873" s="4" t="str">
        <f>IF(OR(A2873="",E2873="","",A2873="?",E2873="?"),"duplicate?",IF(COUNTIFS($A:A,A2873,E:E,E2873)&gt;1,"yes","no"))</f>
        <v>duplicate?</v>
      </c>
      <c r="K2873" s="97" t="str">
        <f ca="1">IF(J2873="","Date",IF(J2873&lt;&gt;"",IF(K2873="Date",NOW(),K2873),""))</f>
        <v>Date</v>
      </c>
    </row>
    <row r="2874" spans="2:11">
      <c r="B2874" s="97" t="str">
        <f ca="1">IF(A2874="","Date",IF(A2874&lt;&gt;"",IF(B2874="Date",NOW(),B2874),""))</f>
        <v>Date</v>
      </c>
      <c r="C2874" s="19" t="str">
        <f>IF(ISBLANK(A2874),"Name",IF(ISNA(VLOOKUP(A2874,'Master List'!A:C,2,FALSE)), "Not Found", VLOOKUP(A2874,'Master List'!A:C,2,FALSE)))</f>
        <v>Name</v>
      </c>
      <c r="D2874" s="19" t="str">
        <f>IF(ISBLANK(A2874), "Email",IF(ISNA(VLOOKUP(A2874,'Master List'!A:C,3,FALSE)), "Not Found", VLOOKUP(A2874,'Master List'!A:C,3,FALSE)))</f>
        <v>Email</v>
      </c>
      <c r="F2874" s="4" t="str">
        <f>IF(OR(A2874="",E2874="","",A2874="?",E2874="?"),"duplicate?",IF(COUNTIFS($A:A,A2874,E:E,E2874)&gt;1,"yes","no"))</f>
        <v>duplicate?</v>
      </c>
      <c r="K2874" s="97" t="str">
        <f ca="1">IF(J2874="","Date",IF(J2874&lt;&gt;"",IF(K2874="Date",NOW(),K2874),""))</f>
        <v>Date</v>
      </c>
    </row>
    <row r="2875" spans="2:11">
      <c r="B2875" s="97" t="str">
        <f ca="1">IF(A2875="","Date",IF(A2875&lt;&gt;"",IF(B2875="Date",NOW(),B2875),""))</f>
        <v>Date</v>
      </c>
      <c r="C2875" s="19" t="str">
        <f>IF(ISBLANK(A2875),"Name",IF(ISNA(VLOOKUP(A2875,'Master List'!A:C,2,FALSE)), "Not Found", VLOOKUP(A2875,'Master List'!A:C,2,FALSE)))</f>
        <v>Name</v>
      </c>
      <c r="D2875" s="19" t="str">
        <f>IF(ISBLANK(A2875), "Email",IF(ISNA(VLOOKUP(A2875,'Master List'!A:C,3,FALSE)), "Not Found", VLOOKUP(A2875,'Master List'!A:C,3,FALSE)))</f>
        <v>Email</v>
      </c>
      <c r="F2875" s="4" t="str">
        <f>IF(OR(A2875="",E2875="","",A2875="?",E2875="?"),"duplicate?",IF(COUNTIFS($A:A,A2875,E:E,E2875)&gt;1,"yes","no"))</f>
        <v>duplicate?</v>
      </c>
      <c r="K2875" s="97" t="str">
        <f ca="1">IF(J2875="","Date",IF(J2875&lt;&gt;"",IF(K2875="Date",NOW(),K2875),""))</f>
        <v>Date</v>
      </c>
    </row>
    <row r="2876" spans="2:11">
      <c r="B2876" s="97" t="str">
        <f ca="1">IF(A2876="","Date",IF(A2876&lt;&gt;"",IF(B2876="Date",NOW(),B2876),""))</f>
        <v>Date</v>
      </c>
      <c r="C2876" s="19" t="str">
        <f>IF(ISBLANK(A2876),"Name",IF(ISNA(VLOOKUP(A2876,'Master List'!A:C,2,FALSE)), "Not Found", VLOOKUP(A2876,'Master List'!A:C,2,FALSE)))</f>
        <v>Name</v>
      </c>
      <c r="D2876" s="19" t="str">
        <f>IF(ISBLANK(A2876), "Email",IF(ISNA(VLOOKUP(A2876,'Master List'!A:C,3,FALSE)), "Not Found", VLOOKUP(A2876,'Master List'!A:C,3,FALSE)))</f>
        <v>Email</v>
      </c>
      <c r="F2876" s="4" t="str">
        <f>IF(OR(A2876="",E2876="","",A2876="?",E2876="?"),"duplicate?",IF(COUNTIFS($A:A,A2876,E:E,E2876)&gt;1,"yes","no"))</f>
        <v>duplicate?</v>
      </c>
      <c r="K2876" s="97" t="str">
        <f ca="1">IF(J2876="","Date",IF(J2876&lt;&gt;"",IF(K2876="Date",NOW(),K2876),""))</f>
        <v>Date</v>
      </c>
    </row>
    <row r="2877" spans="2:11">
      <c r="B2877" s="97" t="str">
        <f ca="1">IF(A2877="","Date",IF(A2877&lt;&gt;"",IF(B2877="Date",NOW(),B2877),""))</f>
        <v>Date</v>
      </c>
      <c r="C2877" s="19" t="str">
        <f>IF(ISBLANK(A2877),"Name",IF(ISNA(VLOOKUP(A2877,'Master List'!A:C,2,FALSE)), "Not Found", VLOOKUP(A2877,'Master List'!A:C,2,FALSE)))</f>
        <v>Name</v>
      </c>
      <c r="D2877" s="19" t="str">
        <f>IF(ISBLANK(A2877), "Email",IF(ISNA(VLOOKUP(A2877,'Master List'!A:C,3,FALSE)), "Not Found", VLOOKUP(A2877,'Master List'!A:C,3,FALSE)))</f>
        <v>Email</v>
      </c>
      <c r="F2877" s="4" t="str">
        <f>IF(OR(A2877="",E2877="","",A2877="?",E2877="?"),"duplicate?",IF(COUNTIFS($A:A,A2877,E:E,E2877)&gt;1,"yes","no"))</f>
        <v>duplicate?</v>
      </c>
      <c r="K2877" s="97" t="str">
        <f ca="1">IF(J2877="","Date",IF(J2877&lt;&gt;"",IF(K2877="Date",NOW(),K2877),""))</f>
        <v>Date</v>
      </c>
    </row>
    <row r="2878" spans="2:11">
      <c r="B2878" s="97" t="str">
        <f ca="1">IF(A2878="","Date",IF(A2878&lt;&gt;"",IF(B2878="Date",NOW(),B2878),""))</f>
        <v>Date</v>
      </c>
      <c r="C2878" s="19" t="str">
        <f>IF(ISBLANK(A2878),"Name",IF(ISNA(VLOOKUP(A2878,'Master List'!A:C,2,FALSE)), "Not Found", VLOOKUP(A2878,'Master List'!A:C,2,FALSE)))</f>
        <v>Name</v>
      </c>
      <c r="D2878" s="19" t="str">
        <f>IF(ISBLANK(A2878), "Email",IF(ISNA(VLOOKUP(A2878,'Master List'!A:C,3,FALSE)), "Not Found", VLOOKUP(A2878,'Master List'!A:C,3,FALSE)))</f>
        <v>Email</v>
      </c>
      <c r="F2878" s="4" t="str">
        <f>IF(OR(A2878="",E2878="","",A2878="?",E2878="?"),"duplicate?",IF(COUNTIFS($A:A,A2878,E:E,E2878)&gt;1,"yes","no"))</f>
        <v>duplicate?</v>
      </c>
      <c r="K2878" s="97" t="str">
        <f ca="1">IF(J2878="","Date",IF(J2878&lt;&gt;"",IF(K2878="Date",NOW(),K2878),""))</f>
        <v>Date</v>
      </c>
    </row>
    <row r="2879" spans="2:11">
      <c r="B2879" s="97" t="str">
        <f ca="1">IF(A2879="","Date",IF(A2879&lt;&gt;"",IF(B2879="Date",NOW(),B2879),""))</f>
        <v>Date</v>
      </c>
      <c r="C2879" s="19" t="str">
        <f>IF(ISBLANK(A2879),"Name",IF(ISNA(VLOOKUP(A2879,'Master List'!A:C,2,FALSE)), "Not Found", VLOOKUP(A2879,'Master List'!A:C,2,FALSE)))</f>
        <v>Name</v>
      </c>
      <c r="D2879" s="19" t="str">
        <f>IF(ISBLANK(A2879), "Email",IF(ISNA(VLOOKUP(A2879,'Master List'!A:C,3,FALSE)), "Not Found", VLOOKUP(A2879,'Master List'!A:C,3,FALSE)))</f>
        <v>Email</v>
      </c>
      <c r="F2879" s="4" t="str">
        <f>IF(OR(A2879="",E2879="","",A2879="?",E2879="?"),"duplicate?",IF(COUNTIFS($A:A,A2879,E:E,E2879)&gt;1,"yes","no"))</f>
        <v>duplicate?</v>
      </c>
      <c r="K2879" s="97" t="str">
        <f ca="1">IF(J2879="","Date",IF(J2879&lt;&gt;"",IF(K2879="Date",NOW(),K2879),""))</f>
        <v>Date</v>
      </c>
    </row>
    <row r="2880" spans="2:11">
      <c r="B2880" s="97" t="str">
        <f ca="1">IF(A2880="","Date",IF(A2880&lt;&gt;"",IF(B2880="Date",NOW(),B2880),""))</f>
        <v>Date</v>
      </c>
      <c r="C2880" s="19" t="str">
        <f>IF(ISBLANK(A2880),"Name",IF(ISNA(VLOOKUP(A2880,'Master List'!A:C,2,FALSE)), "Not Found", VLOOKUP(A2880,'Master List'!A:C,2,FALSE)))</f>
        <v>Name</v>
      </c>
      <c r="D2880" s="19" t="str">
        <f>IF(ISBLANK(A2880), "Email",IF(ISNA(VLOOKUP(A2880,'Master List'!A:C,3,FALSE)), "Not Found", VLOOKUP(A2880,'Master List'!A:C,3,FALSE)))</f>
        <v>Email</v>
      </c>
      <c r="F2880" s="4" t="str">
        <f>IF(OR(A2880="",E2880="","",A2880="?",E2880="?"),"duplicate?",IF(COUNTIFS($A:A,A2880,E:E,E2880)&gt;1,"yes","no"))</f>
        <v>duplicate?</v>
      </c>
      <c r="K2880" s="97" t="str">
        <f ca="1">IF(J2880="","Date",IF(J2880&lt;&gt;"",IF(K2880="Date",NOW(),K2880),""))</f>
        <v>Date</v>
      </c>
    </row>
    <row r="2881" spans="2:11">
      <c r="B2881" s="97" t="str">
        <f ca="1">IF(A2881="","Date",IF(A2881&lt;&gt;"",IF(B2881="Date",NOW(),B2881),""))</f>
        <v>Date</v>
      </c>
      <c r="C2881" s="19" t="str">
        <f>IF(ISBLANK(A2881),"Name",IF(ISNA(VLOOKUP(A2881,'Master List'!A:C,2,FALSE)), "Not Found", VLOOKUP(A2881,'Master List'!A:C,2,FALSE)))</f>
        <v>Name</v>
      </c>
      <c r="D2881" s="19" t="str">
        <f>IF(ISBLANK(A2881), "Email",IF(ISNA(VLOOKUP(A2881,'Master List'!A:C,3,FALSE)), "Not Found", VLOOKUP(A2881,'Master List'!A:C,3,FALSE)))</f>
        <v>Email</v>
      </c>
      <c r="F2881" s="4" t="str">
        <f>IF(OR(A2881="",E2881="","",A2881="?",E2881="?"),"duplicate?",IF(COUNTIFS($A:A,A2881,E:E,E2881)&gt;1,"yes","no"))</f>
        <v>duplicate?</v>
      </c>
      <c r="K2881" s="97" t="str">
        <f ca="1">IF(J2881="","Date",IF(J2881&lt;&gt;"",IF(K2881="Date",NOW(),K2881),""))</f>
        <v>Date</v>
      </c>
    </row>
    <row r="2882" spans="2:11">
      <c r="B2882" s="97" t="str">
        <f ca="1">IF(A2882="","Date",IF(A2882&lt;&gt;"",IF(B2882="Date",NOW(),B2882),""))</f>
        <v>Date</v>
      </c>
      <c r="C2882" s="19" t="str">
        <f>IF(ISBLANK(A2882),"Name",IF(ISNA(VLOOKUP(A2882,'Master List'!A:C,2,FALSE)), "Not Found", VLOOKUP(A2882,'Master List'!A:C,2,FALSE)))</f>
        <v>Name</v>
      </c>
      <c r="D2882" s="19" t="str">
        <f>IF(ISBLANK(A2882), "Email",IF(ISNA(VLOOKUP(A2882,'Master List'!A:C,3,FALSE)), "Not Found", VLOOKUP(A2882,'Master List'!A:C,3,FALSE)))</f>
        <v>Email</v>
      </c>
      <c r="F2882" s="4" t="str">
        <f>IF(OR(A2882="",E2882="","",A2882="?",E2882="?"),"duplicate?",IF(COUNTIFS($A:A,A2882,E:E,E2882)&gt;1,"yes","no"))</f>
        <v>duplicate?</v>
      </c>
      <c r="K2882" s="97" t="str">
        <f ca="1">IF(J2882="","Date",IF(J2882&lt;&gt;"",IF(K2882="Date",NOW(),K2882),""))</f>
        <v>Date</v>
      </c>
    </row>
    <row r="2883" spans="2:11">
      <c r="B2883" s="97" t="str">
        <f ca="1">IF(A2883="","Date",IF(A2883&lt;&gt;"",IF(B2883="Date",NOW(),B2883),""))</f>
        <v>Date</v>
      </c>
      <c r="C2883" s="19" t="str">
        <f>IF(ISBLANK(A2883),"Name",IF(ISNA(VLOOKUP(A2883,'Master List'!A:C,2,FALSE)), "Not Found", VLOOKUP(A2883,'Master List'!A:C,2,FALSE)))</f>
        <v>Name</v>
      </c>
      <c r="D2883" s="19" t="str">
        <f>IF(ISBLANK(A2883), "Email",IF(ISNA(VLOOKUP(A2883,'Master List'!A:C,3,FALSE)), "Not Found", VLOOKUP(A2883,'Master List'!A:C,3,FALSE)))</f>
        <v>Email</v>
      </c>
      <c r="F2883" s="4" t="str">
        <f>IF(OR(A2883="",E2883="","",A2883="?",E2883="?"),"duplicate?",IF(COUNTIFS($A:A,A2883,E:E,E2883)&gt;1,"yes","no"))</f>
        <v>duplicate?</v>
      </c>
      <c r="K2883" s="97" t="str">
        <f ca="1">IF(J2883="","Date",IF(J2883&lt;&gt;"",IF(K2883="Date",NOW(),K2883),""))</f>
        <v>Date</v>
      </c>
    </row>
    <row r="2884" spans="2:11">
      <c r="B2884" s="97" t="str">
        <f ca="1">IF(A2884="","Date",IF(A2884&lt;&gt;"",IF(B2884="Date",NOW(),B2884),""))</f>
        <v>Date</v>
      </c>
      <c r="C2884" s="19" t="str">
        <f>IF(ISBLANK(A2884),"Name",IF(ISNA(VLOOKUP(A2884,'Master List'!A:C,2,FALSE)), "Not Found", VLOOKUP(A2884,'Master List'!A:C,2,FALSE)))</f>
        <v>Name</v>
      </c>
      <c r="D2884" s="19" t="str">
        <f>IF(ISBLANK(A2884), "Email",IF(ISNA(VLOOKUP(A2884,'Master List'!A:C,3,FALSE)), "Not Found", VLOOKUP(A2884,'Master List'!A:C,3,FALSE)))</f>
        <v>Email</v>
      </c>
      <c r="F2884" s="4" t="str">
        <f>IF(OR(A2884="",E2884="","",A2884="?",E2884="?"),"duplicate?",IF(COUNTIFS($A:A,A2884,E:E,E2884)&gt;1,"yes","no"))</f>
        <v>duplicate?</v>
      </c>
      <c r="K2884" s="97" t="str">
        <f ca="1">IF(J2884="","Date",IF(J2884&lt;&gt;"",IF(K2884="Date",NOW(),K2884),""))</f>
        <v>Date</v>
      </c>
    </row>
    <row r="2885" spans="2:11">
      <c r="B2885" s="97" t="str">
        <f ca="1">IF(A2885="","Date",IF(A2885&lt;&gt;"",IF(B2885="Date",NOW(),B2885),""))</f>
        <v>Date</v>
      </c>
      <c r="C2885" s="19" t="str">
        <f>IF(ISBLANK(A2885),"Name",IF(ISNA(VLOOKUP(A2885,'Master List'!A:C,2,FALSE)), "Not Found", VLOOKUP(A2885,'Master List'!A:C,2,FALSE)))</f>
        <v>Name</v>
      </c>
      <c r="D2885" s="19" t="str">
        <f>IF(ISBLANK(A2885), "Email",IF(ISNA(VLOOKUP(A2885,'Master List'!A:C,3,FALSE)), "Not Found", VLOOKUP(A2885,'Master List'!A:C,3,FALSE)))</f>
        <v>Email</v>
      </c>
      <c r="F2885" s="4" t="str">
        <f>IF(OR(A2885="",E2885="","",A2885="?",E2885="?"),"duplicate?",IF(COUNTIFS($A:A,A2885,E:E,E2885)&gt;1,"yes","no"))</f>
        <v>duplicate?</v>
      </c>
      <c r="K2885" s="97" t="str">
        <f ca="1">IF(J2885="","Date",IF(J2885&lt;&gt;"",IF(K2885="Date",NOW(),K2885),""))</f>
        <v>Date</v>
      </c>
    </row>
    <row r="2886" spans="2:11">
      <c r="B2886" s="97" t="str">
        <f ca="1">IF(A2886="","Date",IF(A2886&lt;&gt;"",IF(B2886="Date",NOW(),B2886),""))</f>
        <v>Date</v>
      </c>
      <c r="C2886" s="19" t="str">
        <f>IF(ISBLANK(A2886),"Name",IF(ISNA(VLOOKUP(A2886,'Master List'!A:C,2,FALSE)), "Not Found", VLOOKUP(A2886,'Master List'!A:C,2,FALSE)))</f>
        <v>Name</v>
      </c>
      <c r="D2886" s="19" t="str">
        <f>IF(ISBLANK(A2886), "Email",IF(ISNA(VLOOKUP(A2886,'Master List'!A:C,3,FALSE)), "Not Found", VLOOKUP(A2886,'Master List'!A:C,3,FALSE)))</f>
        <v>Email</v>
      </c>
      <c r="F2886" s="4" t="str">
        <f>IF(OR(A2886="",E2886="","",A2886="?",E2886="?"),"duplicate?",IF(COUNTIFS($A:A,A2886,E:E,E2886)&gt;1,"yes","no"))</f>
        <v>duplicate?</v>
      </c>
      <c r="K2886" s="97" t="str">
        <f ca="1">IF(J2886="","Date",IF(J2886&lt;&gt;"",IF(K2886="Date",NOW(),K2886),""))</f>
        <v>Date</v>
      </c>
    </row>
    <row r="2887" spans="2:11">
      <c r="B2887" s="97" t="str">
        <f ca="1">IF(A2887="","Date",IF(A2887&lt;&gt;"",IF(B2887="Date",NOW(),B2887),""))</f>
        <v>Date</v>
      </c>
      <c r="C2887" s="19" t="str">
        <f>IF(ISBLANK(A2887),"Name",IF(ISNA(VLOOKUP(A2887,'Master List'!A:C,2,FALSE)), "Not Found", VLOOKUP(A2887,'Master List'!A:C,2,FALSE)))</f>
        <v>Name</v>
      </c>
      <c r="D2887" s="19" t="str">
        <f>IF(ISBLANK(A2887), "Email",IF(ISNA(VLOOKUP(A2887,'Master List'!A:C,3,FALSE)), "Not Found", VLOOKUP(A2887,'Master List'!A:C,3,FALSE)))</f>
        <v>Email</v>
      </c>
      <c r="F2887" s="4" t="str">
        <f>IF(OR(A2887="",E2887="","",A2887="?",E2887="?"),"duplicate?",IF(COUNTIFS($A:A,A2887,E:E,E2887)&gt;1,"yes","no"))</f>
        <v>duplicate?</v>
      </c>
      <c r="K2887" s="97" t="str">
        <f ca="1">IF(J2887="","Date",IF(J2887&lt;&gt;"",IF(K2887="Date",NOW(),K2887),""))</f>
        <v>Date</v>
      </c>
    </row>
    <row r="2888" spans="2:11">
      <c r="B2888" s="97" t="str">
        <f ca="1">IF(A2888="","Date",IF(A2888&lt;&gt;"",IF(B2888="Date",NOW(),B2888),""))</f>
        <v>Date</v>
      </c>
      <c r="C2888" s="19" t="str">
        <f>IF(ISBLANK(A2888),"Name",IF(ISNA(VLOOKUP(A2888,'Master List'!A:C,2,FALSE)), "Not Found", VLOOKUP(A2888,'Master List'!A:C,2,FALSE)))</f>
        <v>Name</v>
      </c>
      <c r="D2888" s="19" t="str">
        <f>IF(ISBLANK(A2888), "Email",IF(ISNA(VLOOKUP(A2888,'Master List'!A:C,3,FALSE)), "Not Found", VLOOKUP(A2888,'Master List'!A:C,3,FALSE)))</f>
        <v>Email</v>
      </c>
      <c r="F2888" s="4" t="str">
        <f>IF(OR(A2888="",E2888="","",A2888="?",E2888="?"),"duplicate?",IF(COUNTIFS($A:A,A2888,E:E,E2888)&gt;1,"yes","no"))</f>
        <v>duplicate?</v>
      </c>
      <c r="K2888" s="97" t="str">
        <f ca="1">IF(J2888="","Date",IF(J2888&lt;&gt;"",IF(K2888="Date",NOW(),K2888),""))</f>
        <v>Date</v>
      </c>
    </row>
    <row r="2889" spans="2:11">
      <c r="B2889" s="97" t="str">
        <f ca="1">IF(A2889="","Date",IF(A2889&lt;&gt;"",IF(B2889="Date",NOW(),B2889),""))</f>
        <v>Date</v>
      </c>
      <c r="C2889" s="19" t="str">
        <f>IF(ISBLANK(A2889),"Name",IF(ISNA(VLOOKUP(A2889,'Master List'!A:C,2,FALSE)), "Not Found", VLOOKUP(A2889,'Master List'!A:C,2,FALSE)))</f>
        <v>Name</v>
      </c>
      <c r="D2889" s="19" t="str">
        <f>IF(ISBLANK(A2889), "Email",IF(ISNA(VLOOKUP(A2889,'Master List'!A:C,3,FALSE)), "Not Found", VLOOKUP(A2889,'Master List'!A:C,3,FALSE)))</f>
        <v>Email</v>
      </c>
      <c r="F2889" s="4" t="str">
        <f>IF(OR(A2889="",E2889="","",A2889="?",E2889="?"),"duplicate?",IF(COUNTIFS($A:A,A2889,E:E,E2889)&gt;1,"yes","no"))</f>
        <v>duplicate?</v>
      </c>
      <c r="K2889" s="97" t="str">
        <f ca="1">IF(J2889="","Date",IF(J2889&lt;&gt;"",IF(K2889="Date",NOW(),K2889),""))</f>
        <v>Date</v>
      </c>
    </row>
    <row r="2890" spans="2:11">
      <c r="B2890" s="97" t="str">
        <f ca="1">IF(A2890="","Date",IF(A2890&lt;&gt;"",IF(B2890="Date",NOW(),B2890),""))</f>
        <v>Date</v>
      </c>
      <c r="C2890" s="19" t="str">
        <f>IF(ISBLANK(A2890),"Name",IF(ISNA(VLOOKUP(A2890,'Master List'!A:C,2,FALSE)), "Not Found", VLOOKUP(A2890,'Master List'!A:C,2,FALSE)))</f>
        <v>Name</v>
      </c>
      <c r="D2890" s="19" t="str">
        <f>IF(ISBLANK(A2890), "Email",IF(ISNA(VLOOKUP(A2890,'Master List'!A:C,3,FALSE)), "Not Found", VLOOKUP(A2890,'Master List'!A:C,3,FALSE)))</f>
        <v>Email</v>
      </c>
      <c r="F2890" s="4" t="str">
        <f>IF(OR(A2890="",E2890="","",A2890="?",E2890="?"),"duplicate?",IF(COUNTIFS($A:A,A2890,E:E,E2890)&gt;1,"yes","no"))</f>
        <v>duplicate?</v>
      </c>
      <c r="K2890" s="97" t="str">
        <f ca="1">IF(J2890="","Date",IF(J2890&lt;&gt;"",IF(K2890="Date",NOW(),K2890),""))</f>
        <v>Date</v>
      </c>
    </row>
    <row r="2891" spans="2:11">
      <c r="B2891" s="97" t="str">
        <f ca="1">IF(A2891="","Date",IF(A2891&lt;&gt;"",IF(B2891="Date",NOW(),B2891),""))</f>
        <v>Date</v>
      </c>
      <c r="C2891" s="19" t="str">
        <f>IF(ISBLANK(A2891),"Name",IF(ISNA(VLOOKUP(A2891,'Master List'!A:C,2,FALSE)), "Not Found", VLOOKUP(A2891,'Master List'!A:C,2,FALSE)))</f>
        <v>Name</v>
      </c>
      <c r="D2891" s="19" t="str">
        <f>IF(ISBLANK(A2891), "Email",IF(ISNA(VLOOKUP(A2891,'Master List'!A:C,3,FALSE)), "Not Found", VLOOKUP(A2891,'Master List'!A:C,3,FALSE)))</f>
        <v>Email</v>
      </c>
      <c r="F2891" s="4" t="str">
        <f>IF(OR(A2891="",E2891="","",A2891="?",E2891="?"),"duplicate?",IF(COUNTIFS($A:A,A2891,E:E,E2891)&gt;1,"yes","no"))</f>
        <v>duplicate?</v>
      </c>
      <c r="K2891" s="97" t="str">
        <f ca="1">IF(J2891="","Date",IF(J2891&lt;&gt;"",IF(K2891="Date",NOW(),K2891),""))</f>
        <v>Date</v>
      </c>
    </row>
    <row r="2892" spans="2:11">
      <c r="B2892" s="97" t="str">
        <f ca="1">IF(A2892="","Date",IF(A2892&lt;&gt;"",IF(B2892="Date",NOW(),B2892),""))</f>
        <v>Date</v>
      </c>
      <c r="C2892" s="19" t="str">
        <f>IF(ISBLANK(A2892),"Name",IF(ISNA(VLOOKUP(A2892,'Master List'!A:C,2,FALSE)), "Not Found", VLOOKUP(A2892,'Master List'!A:C,2,FALSE)))</f>
        <v>Name</v>
      </c>
      <c r="D2892" s="19" t="str">
        <f>IF(ISBLANK(A2892), "Email",IF(ISNA(VLOOKUP(A2892,'Master List'!A:C,3,FALSE)), "Not Found", VLOOKUP(A2892,'Master List'!A:C,3,FALSE)))</f>
        <v>Email</v>
      </c>
      <c r="F2892" s="4" t="str">
        <f>IF(OR(A2892="",E2892="","",A2892="?",E2892="?"),"duplicate?",IF(COUNTIFS($A:A,A2892,E:E,E2892)&gt;1,"yes","no"))</f>
        <v>duplicate?</v>
      </c>
      <c r="K2892" s="97" t="str">
        <f ca="1">IF(J2892="","Date",IF(J2892&lt;&gt;"",IF(K2892="Date",NOW(),K2892),""))</f>
        <v>Date</v>
      </c>
    </row>
    <row r="2893" spans="2:11">
      <c r="B2893" s="97" t="str">
        <f ca="1">IF(A2893="","Date",IF(A2893&lt;&gt;"",IF(B2893="Date",NOW(),B2893),""))</f>
        <v>Date</v>
      </c>
      <c r="C2893" s="19" t="str">
        <f>IF(ISBLANK(A2893),"Name",IF(ISNA(VLOOKUP(A2893,'Master List'!A:C,2,FALSE)), "Not Found", VLOOKUP(A2893,'Master List'!A:C,2,FALSE)))</f>
        <v>Name</v>
      </c>
      <c r="D2893" s="19" t="str">
        <f>IF(ISBLANK(A2893), "Email",IF(ISNA(VLOOKUP(A2893,'Master List'!A:C,3,FALSE)), "Not Found", VLOOKUP(A2893,'Master List'!A:C,3,FALSE)))</f>
        <v>Email</v>
      </c>
      <c r="F2893" s="4" t="str">
        <f>IF(OR(A2893="",E2893="","",A2893="?",E2893="?"),"duplicate?",IF(COUNTIFS($A:A,A2893,E:E,E2893)&gt;1,"yes","no"))</f>
        <v>duplicate?</v>
      </c>
      <c r="K2893" s="97" t="str">
        <f ca="1">IF(J2893="","Date",IF(J2893&lt;&gt;"",IF(K2893="Date",NOW(),K2893),""))</f>
        <v>Date</v>
      </c>
    </row>
    <row r="2894" spans="2:11">
      <c r="B2894" s="97" t="str">
        <f ca="1">IF(A2894="","Date",IF(A2894&lt;&gt;"",IF(B2894="Date",NOW(),B2894),""))</f>
        <v>Date</v>
      </c>
      <c r="C2894" s="19" t="str">
        <f>IF(ISBLANK(A2894),"Name",IF(ISNA(VLOOKUP(A2894,'Master List'!A:C,2,FALSE)), "Not Found", VLOOKUP(A2894,'Master List'!A:C,2,FALSE)))</f>
        <v>Name</v>
      </c>
      <c r="D2894" s="19" t="str">
        <f>IF(ISBLANK(A2894), "Email",IF(ISNA(VLOOKUP(A2894,'Master List'!A:C,3,FALSE)), "Not Found", VLOOKUP(A2894,'Master List'!A:C,3,FALSE)))</f>
        <v>Email</v>
      </c>
      <c r="F2894" s="4" t="str">
        <f>IF(OR(A2894="",E2894="","",A2894="?",E2894="?"),"duplicate?",IF(COUNTIFS($A:A,A2894,E:E,E2894)&gt;1,"yes","no"))</f>
        <v>duplicate?</v>
      </c>
      <c r="K2894" s="97" t="str">
        <f ca="1">IF(J2894="","Date",IF(J2894&lt;&gt;"",IF(K2894="Date",NOW(),K2894),""))</f>
        <v>Date</v>
      </c>
    </row>
    <row r="2895" spans="2:11">
      <c r="B2895" s="97" t="str">
        <f ca="1">IF(A2895="","Date",IF(A2895&lt;&gt;"",IF(B2895="Date",NOW(),B2895),""))</f>
        <v>Date</v>
      </c>
      <c r="C2895" s="19" t="str">
        <f>IF(ISBLANK(A2895),"Name",IF(ISNA(VLOOKUP(A2895,'Master List'!A:C,2,FALSE)), "Not Found", VLOOKUP(A2895,'Master List'!A:C,2,FALSE)))</f>
        <v>Name</v>
      </c>
      <c r="D2895" s="19" t="str">
        <f>IF(ISBLANK(A2895), "Email",IF(ISNA(VLOOKUP(A2895,'Master List'!A:C,3,FALSE)), "Not Found", VLOOKUP(A2895,'Master List'!A:C,3,FALSE)))</f>
        <v>Email</v>
      </c>
      <c r="F2895" s="4" t="str">
        <f>IF(OR(A2895="",E2895="","",A2895="?",E2895="?"),"duplicate?",IF(COUNTIFS($A:A,A2895,E:E,E2895)&gt;1,"yes","no"))</f>
        <v>duplicate?</v>
      </c>
      <c r="K2895" s="97" t="str">
        <f ca="1">IF(J2895="","Date",IF(J2895&lt;&gt;"",IF(K2895="Date",NOW(),K2895),""))</f>
        <v>Date</v>
      </c>
    </row>
    <row r="2896" spans="2:11">
      <c r="B2896" s="97" t="str">
        <f ca="1">IF(A2896="","Date",IF(A2896&lt;&gt;"",IF(B2896="Date",NOW(),B2896),""))</f>
        <v>Date</v>
      </c>
      <c r="C2896" s="19" t="str">
        <f>IF(ISBLANK(A2896),"Name",IF(ISNA(VLOOKUP(A2896,'Master List'!A:C,2,FALSE)), "Not Found", VLOOKUP(A2896,'Master List'!A:C,2,FALSE)))</f>
        <v>Name</v>
      </c>
      <c r="D2896" s="19" t="str">
        <f>IF(ISBLANK(A2896), "Email",IF(ISNA(VLOOKUP(A2896,'Master List'!A:C,3,FALSE)), "Not Found", VLOOKUP(A2896,'Master List'!A:C,3,FALSE)))</f>
        <v>Email</v>
      </c>
      <c r="F2896" s="4" t="str">
        <f>IF(OR(A2896="",E2896="","",A2896="?",E2896="?"),"duplicate?",IF(COUNTIFS($A:A,A2896,E:E,E2896)&gt;1,"yes","no"))</f>
        <v>duplicate?</v>
      </c>
      <c r="K2896" s="97" t="str">
        <f ca="1">IF(J2896="","Date",IF(J2896&lt;&gt;"",IF(K2896="Date",NOW(),K2896),""))</f>
        <v>Date</v>
      </c>
    </row>
    <row r="2897" spans="2:11">
      <c r="B2897" s="97" t="str">
        <f ca="1">IF(A2897="","Date",IF(A2897&lt;&gt;"",IF(B2897="Date",NOW(),B2897),""))</f>
        <v>Date</v>
      </c>
      <c r="C2897" s="19" t="str">
        <f>IF(ISBLANK(A2897),"Name",IF(ISNA(VLOOKUP(A2897,'Master List'!A:C,2,FALSE)), "Not Found", VLOOKUP(A2897,'Master List'!A:C,2,FALSE)))</f>
        <v>Name</v>
      </c>
      <c r="D2897" s="19" t="str">
        <f>IF(ISBLANK(A2897), "Email",IF(ISNA(VLOOKUP(A2897,'Master List'!A:C,3,FALSE)), "Not Found", VLOOKUP(A2897,'Master List'!A:C,3,FALSE)))</f>
        <v>Email</v>
      </c>
      <c r="F2897" s="4" t="str">
        <f>IF(OR(A2897="",E2897="","",A2897="?",E2897="?"),"duplicate?",IF(COUNTIFS($A:A,A2897,E:E,E2897)&gt;1,"yes","no"))</f>
        <v>duplicate?</v>
      </c>
      <c r="K2897" s="97" t="str">
        <f ca="1">IF(J2897="","Date",IF(J2897&lt;&gt;"",IF(K2897="Date",NOW(),K2897),""))</f>
        <v>Date</v>
      </c>
    </row>
    <row r="2898" spans="2:11">
      <c r="B2898" s="97" t="str">
        <f ca="1">IF(A2898="","Date",IF(A2898&lt;&gt;"",IF(B2898="Date",NOW(),B2898),""))</f>
        <v>Date</v>
      </c>
      <c r="C2898" s="19" t="str">
        <f>IF(ISBLANK(A2898),"Name",IF(ISNA(VLOOKUP(A2898,'Master List'!A:C,2,FALSE)), "Not Found", VLOOKUP(A2898,'Master List'!A:C,2,FALSE)))</f>
        <v>Name</v>
      </c>
      <c r="D2898" s="19" t="str">
        <f>IF(ISBLANK(A2898), "Email",IF(ISNA(VLOOKUP(A2898,'Master List'!A:C,3,FALSE)), "Not Found", VLOOKUP(A2898,'Master List'!A:C,3,FALSE)))</f>
        <v>Email</v>
      </c>
      <c r="F2898" s="4" t="str">
        <f>IF(OR(A2898="",E2898="","",A2898="?",E2898="?"),"duplicate?",IF(COUNTIFS($A:A,A2898,E:E,E2898)&gt;1,"yes","no"))</f>
        <v>duplicate?</v>
      </c>
      <c r="K2898" s="97" t="str">
        <f ca="1">IF(J2898="","Date",IF(J2898&lt;&gt;"",IF(K2898="Date",NOW(),K2898),""))</f>
        <v>Date</v>
      </c>
    </row>
    <row r="2899" spans="2:11">
      <c r="B2899" s="97" t="str">
        <f ca="1">IF(A2899="","Date",IF(A2899&lt;&gt;"",IF(B2899="Date",NOW(),B2899),""))</f>
        <v>Date</v>
      </c>
      <c r="C2899" s="19" t="str">
        <f>IF(ISBLANK(A2899),"Name",IF(ISNA(VLOOKUP(A2899,'Master List'!A:C,2,FALSE)), "Not Found", VLOOKUP(A2899,'Master List'!A:C,2,FALSE)))</f>
        <v>Name</v>
      </c>
      <c r="D2899" s="19" t="str">
        <f>IF(ISBLANK(A2899), "Email",IF(ISNA(VLOOKUP(A2899,'Master List'!A:C,3,FALSE)), "Not Found", VLOOKUP(A2899,'Master List'!A:C,3,FALSE)))</f>
        <v>Email</v>
      </c>
      <c r="F2899" s="4" t="str">
        <f>IF(OR(A2899="",E2899="","",A2899="?",E2899="?"),"duplicate?",IF(COUNTIFS($A:A,A2899,E:E,E2899)&gt;1,"yes","no"))</f>
        <v>duplicate?</v>
      </c>
      <c r="K2899" s="97" t="str">
        <f ca="1">IF(J2899="","Date",IF(J2899&lt;&gt;"",IF(K2899="Date",NOW(),K2899),""))</f>
        <v>Date</v>
      </c>
    </row>
    <row r="2900" spans="2:11">
      <c r="B2900" s="97" t="str">
        <f ca="1">IF(A2900="","Date",IF(A2900&lt;&gt;"",IF(B2900="Date",NOW(),B2900),""))</f>
        <v>Date</v>
      </c>
      <c r="C2900" s="19" t="str">
        <f>IF(ISBLANK(A2900),"Name",IF(ISNA(VLOOKUP(A2900,'Master List'!A:C,2,FALSE)), "Not Found", VLOOKUP(A2900,'Master List'!A:C,2,FALSE)))</f>
        <v>Name</v>
      </c>
      <c r="D2900" s="19" t="str">
        <f>IF(ISBLANK(A2900), "Email",IF(ISNA(VLOOKUP(A2900,'Master List'!A:C,3,FALSE)), "Not Found", VLOOKUP(A2900,'Master List'!A:C,3,FALSE)))</f>
        <v>Email</v>
      </c>
      <c r="F2900" s="4" t="str">
        <f>IF(OR(A2900="",E2900="","",A2900="?",E2900="?"),"duplicate?",IF(COUNTIFS($A:A,A2900,E:E,E2900)&gt;1,"yes","no"))</f>
        <v>duplicate?</v>
      </c>
      <c r="K2900" s="97" t="str">
        <f ca="1">IF(J2900="","Date",IF(J2900&lt;&gt;"",IF(K2900="Date",NOW(),K2900),""))</f>
        <v>Date</v>
      </c>
    </row>
    <row r="2901" spans="2:11">
      <c r="B2901" s="97" t="str">
        <f ca="1">IF(A2901="","Date",IF(A2901&lt;&gt;"",IF(B2901="Date",NOW(),B2901),""))</f>
        <v>Date</v>
      </c>
      <c r="C2901" s="19" t="str">
        <f>IF(ISBLANK(A2901),"Name",IF(ISNA(VLOOKUP(A2901,'Master List'!A:C,2,FALSE)), "Not Found", VLOOKUP(A2901,'Master List'!A:C,2,FALSE)))</f>
        <v>Name</v>
      </c>
      <c r="D2901" s="19" t="str">
        <f>IF(ISBLANK(A2901), "Email",IF(ISNA(VLOOKUP(A2901,'Master List'!A:C,3,FALSE)), "Not Found", VLOOKUP(A2901,'Master List'!A:C,3,FALSE)))</f>
        <v>Email</v>
      </c>
      <c r="F2901" s="4" t="str">
        <f>IF(OR(A2901="",E2901="","",A2901="?",E2901="?"),"duplicate?",IF(COUNTIFS($A:A,A2901,E:E,E2901)&gt;1,"yes","no"))</f>
        <v>duplicate?</v>
      </c>
      <c r="K2901" s="97" t="str">
        <f ca="1">IF(J2901="","Date",IF(J2901&lt;&gt;"",IF(K2901="Date",NOW(),K2901),""))</f>
        <v>Date</v>
      </c>
    </row>
    <row r="2902" spans="2:11">
      <c r="B2902" s="97" t="str">
        <f ca="1">IF(A2902="","Date",IF(A2902&lt;&gt;"",IF(B2902="Date",NOW(),B2902),""))</f>
        <v>Date</v>
      </c>
      <c r="C2902" s="19" t="str">
        <f>IF(ISBLANK(A2902),"Name",IF(ISNA(VLOOKUP(A2902,'Master List'!A:C,2,FALSE)), "Not Found", VLOOKUP(A2902,'Master List'!A:C,2,FALSE)))</f>
        <v>Name</v>
      </c>
      <c r="D2902" s="19" t="str">
        <f>IF(ISBLANK(A2902), "Email",IF(ISNA(VLOOKUP(A2902,'Master List'!A:C,3,FALSE)), "Not Found", VLOOKUP(A2902,'Master List'!A:C,3,FALSE)))</f>
        <v>Email</v>
      </c>
      <c r="F2902" s="4" t="str">
        <f>IF(OR(A2902="",E2902="","",A2902="?",E2902="?"),"duplicate?",IF(COUNTIFS($A:A,A2902,E:E,E2902)&gt;1,"yes","no"))</f>
        <v>duplicate?</v>
      </c>
      <c r="K2902" s="97" t="str">
        <f ca="1">IF(J2902="","Date",IF(J2902&lt;&gt;"",IF(K2902="Date",NOW(),K2902),""))</f>
        <v>Date</v>
      </c>
    </row>
    <row r="2903" spans="2:11">
      <c r="B2903" s="97" t="str">
        <f ca="1">IF(A2903="","Date",IF(A2903&lt;&gt;"",IF(B2903="Date",NOW(),B2903),""))</f>
        <v>Date</v>
      </c>
      <c r="C2903" s="19" t="str">
        <f>IF(ISBLANK(A2903),"Name",IF(ISNA(VLOOKUP(A2903,'Master List'!A:C,2,FALSE)), "Not Found", VLOOKUP(A2903,'Master List'!A:C,2,FALSE)))</f>
        <v>Name</v>
      </c>
      <c r="D2903" s="19" t="str">
        <f>IF(ISBLANK(A2903), "Email",IF(ISNA(VLOOKUP(A2903,'Master List'!A:C,3,FALSE)), "Not Found", VLOOKUP(A2903,'Master List'!A:C,3,FALSE)))</f>
        <v>Email</v>
      </c>
      <c r="F2903" s="4" t="str">
        <f>IF(OR(A2903="",E2903="","",A2903="?",E2903="?"),"duplicate?",IF(COUNTIFS($A:A,A2903,E:E,E2903)&gt;1,"yes","no"))</f>
        <v>duplicate?</v>
      </c>
      <c r="K2903" s="97" t="str">
        <f ca="1">IF(J2903="","Date",IF(J2903&lt;&gt;"",IF(K2903="Date",NOW(),K2903),""))</f>
        <v>Date</v>
      </c>
    </row>
    <row r="2904" spans="2:11">
      <c r="B2904" s="97" t="str">
        <f ca="1">IF(A2904="","Date",IF(A2904&lt;&gt;"",IF(B2904="Date",NOW(),B2904),""))</f>
        <v>Date</v>
      </c>
      <c r="C2904" s="19" t="str">
        <f>IF(ISBLANK(A2904),"Name",IF(ISNA(VLOOKUP(A2904,'Master List'!A:C,2,FALSE)), "Not Found", VLOOKUP(A2904,'Master List'!A:C,2,FALSE)))</f>
        <v>Name</v>
      </c>
      <c r="D2904" s="19" t="str">
        <f>IF(ISBLANK(A2904), "Email",IF(ISNA(VLOOKUP(A2904,'Master List'!A:C,3,FALSE)), "Not Found", VLOOKUP(A2904,'Master List'!A:C,3,FALSE)))</f>
        <v>Email</v>
      </c>
      <c r="F2904" s="4" t="str">
        <f>IF(OR(A2904="",E2904="","",A2904="?",E2904="?"),"duplicate?",IF(COUNTIFS($A:A,A2904,E:E,E2904)&gt;1,"yes","no"))</f>
        <v>duplicate?</v>
      </c>
      <c r="K2904" s="97" t="str">
        <f ca="1">IF(J2904="","Date",IF(J2904&lt;&gt;"",IF(K2904="Date",NOW(),K2904),""))</f>
        <v>Date</v>
      </c>
    </row>
    <row r="2905" spans="2:11">
      <c r="B2905" s="97" t="str">
        <f ca="1">IF(A2905="","Date",IF(A2905&lt;&gt;"",IF(B2905="Date",NOW(),B2905),""))</f>
        <v>Date</v>
      </c>
      <c r="C2905" s="19" t="str">
        <f>IF(ISBLANK(A2905),"Name",IF(ISNA(VLOOKUP(A2905,'Master List'!A:C,2,FALSE)), "Not Found", VLOOKUP(A2905,'Master List'!A:C,2,FALSE)))</f>
        <v>Name</v>
      </c>
      <c r="D2905" s="19" t="str">
        <f>IF(ISBLANK(A2905), "Email",IF(ISNA(VLOOKUP(A2905,'Master List'!A:C,3,FALSE)), "Not Found", VLOOKUP(A2905,'Master List'!A:C,3,FALSE)))</f>
        <v>Email</v>
      </c>
      <c r="F2905" s="4" t="str">
        <f>IF(OR(A2905="",E2905="","",A2905="?",E2905="?"),"duplicate?",IF(COUNTIFS($A:A,A2905,E:E,E2905)&gt;1,"yes","no"))</f>
        <v>duplicate?</v>
      </c>
      <c r="K2905" s="97" t="str">
        <f ca="1">IF(J2905="","Date",IF(J2905&lt;&gt;"",IF(K2905="Date",NOW(),K2905),""))</f>
        <v>Date</v>
      </c>
    </row>
    <row r="2906" spans="2:11">
      <c r="B2906" s="97" t="str">
        <f ca="1">IF(A2906="","Date",IF(A2906&lt;&gt;"",IF(B2906="Date",NOW(),B2906),""))</f>
        <v>Date</v>
      </c>
      <c r="C2906" s="19" t="str">
        <f>IF(ISBLANK(A2906),"Name",IF(ISNA(VLOOKUP(A2906,'Master List'!A:C,2,FALSE)), "Not Found", VLOOKUP(A2906,'Master List'!A:C,2,FALSE)))</f>
        <v>Name</v>
      </c>
      <c r="D2906" s="19" t="str">
        <f>IF(ISBLANK(A2906), "Email",IF(ISNA(VLOOKUP(A2906,'Master List'!A:C,3,FALSE)), "Not Found", VLOOKUP(A2906,'Master List'!A:C,3,FALSE)))</f>
        <v>Email</v>
      </c>
      <c r="F2906" s="4" t="str">
        <f>IF(OR(A2906="",E2906="","",A2906="?",E2906="?"),"duplicate?",IF(COUNTIFS($A:A,A2906,E:E,E2906)&gt;1,"yes","no"))</f>
        <v>duplicate?</v>
      </c>
      <c r="K2906" s="97" t="str">
        <f ca="1">IF(J2906="","Date",IF(J2906&lt;&gt;"",IF(K2906="Date",NOW(),K2906),""))</f>
        <v>Date</v>
      </c>
    </row>
    <row r="2907" spans="2:11">
      <c r="B2907" s="97" t="str">
        <f ca="1">IF(A2907="","Date",IF(A2907&lt;&gt;"",IF(B2907="Date",NOW(),B2907),""))</f>
        <v>Date</v>
      </c>
      <c r="C2907" s="19" t="str">
        <f>IF(ISBLANK(A2907),"Name",IF(ISNA(VLOOKUP(A2907,'Master List'!A:C,2,FALSE)), "Not Found", VLOOKUP(A2907,'Master List'!A:C,2,FALSE)))</f>
        <v>Name</v>
      </c>
      <c r="D2907" s="19" t="str">
        <f>IF(ISBLANK(A2907), "Email",IF(ISNA(VLOOKUP(A2907,'Master List'!A:C,3,FALSE)), "Not Found", VLOOKUP(A2907,'Master List'!A:C,3,FALSE)))</f>
        <v>Email</v>
      </c>
      <c r="F2907" s="4" t="str">
        <f>IF(OR(A2907="",E2907="","",A2907="?",E2907="?"),"duplicate?",IF(COUNTIFS($A:A,A2907,E:E,E2907)&gt;1,"yes","no"))</f>
        <v>duplicate?</v>
      </c>
      <c r="K2907" s="97" t="str">
        <f ca="1">IF(J2907="","Date",IF(J2907&lt;&gt;"",IF(K2907="Date",NOW(),K2907),""))</f>
        <v>Date</v>
      </c>
    </row>
    <row r="2908" spans="2:11">
      <c r="B2908" s="97" t="str">
        <f ca="1">IF(A2908="","Date",IF(A2908&lt;&gt;"",IF(B2908="Date",NOW(),B2908),""))</f>
        <v>Date</v>
      </c>
      <c r="C2908" s="19" t="str">
        <f>IF(ISBLANK(A2908),"Name",IF(ISNA(VLOOKUP(A2908,'Master List'!A:C,2,FALSE)), "Not Found", VLOOKUP(A2908,'Master List'!A:C,2,FALSE)))</f>
        <v>Name</v>
      </c>
      <c r="D2908" s="19" t="str">
        <f>IF(ISBLANK(A2908), "Email",IF(ISNA(VLOOKUP(A2908,'Master List'!A:C,3,FALSE)), "Not Found", VLOOKUP(A2908,'Master List'!A:C,3,FALSE)))</f>
        <v>Email</v>
      </c>
      <c r="F2908" s="4" t="str">
        <f>IF(OR(A2908="",E2908="","",A2908="?",E2908="?"),"duplicate?",IF(COUNTIFS($A:A,A2908,E:E,E2908)&gt;1,"yes","no"))</f>
        <v>duplicate?</v>
      </c>
      <c r="K2908" s="97" t="str">
        <f ca="1">IF(J2908="","Date",IF(J2908&lt;&gt;"",IF(K2908="Date",NOW(),K2908),""))</f>
        <v>Date</v>
      </c>
    </row>
    <row r="2909" spans="2:11">
      <c r="B2909" s="97" t="str">
        <f ca="1">IF(A2909="","Date",IF(A2909&lt;&gt;"",IF(B2909="Date",NOW(),B2909),""))</f>
        <v>Date</v>
      </c>
      <c r="C2909" s="19" t="str">
        <f>IF(ISBLANK(A2909),"Name",IF(ISNA(VLOOKUP(A2909,'Master List'!A:C,2,FALSE)), "Not Found", VLOOKUP(A2909,'Master List'!A:C,2,FALSE)))</f>
        <v>Name</v>
      </c>
      <c r="D2909" s="19" t="str">
        <f>IF(ISBLANK(A2909), "Email",IF(ISNA(VLOOKUP(A2909,'Master List'!A:C,3,FALSE)), "Not Found", VLOOKUP(A2909,'Master List'!A:C,3,FALSE)))</f>
        <v>Email</v>
      </c>
      <c r="F2909" s="4" t="str">
        <f>IF(OR(A2909="",E2909="","",A2909="?",E2909="?"),"duplicate?",IF(COUNTIFS($A:A,A2909,E:E,E2909)&gt;1,"yes","no"))</f>
        <v>duplicate?</v>
      </c>
      <c r="K2909" s="97" t="str">
        <f ca="1">IF(J2909="","Date",IF(J2909&lt;&gt;"",IF(K2909="Date",NOW(),K2909),""))</f>
        <v>Date</v>
      </c>
    </row>
    <row r="2910" spans="2:11">
      <c r="B2910" s="97" t="str">
        <f ca="1">IF(A2910="","Date",IF(A2910&lt;&gt;"",IF(B2910="Date",NOW(),B2910),""))</f>
        <v>Date</v>
      </c>
      <c r="C2910" s="19" t="str">
        <f>IF(ISBLANK(A2910),"Name",IF(ISNA(VLOOKUP(A2910,'Master List'!A:C,2,FALSE)), "Not Found", VLOOKUP(A2910,'Master List'!A:C,2,FALSE)))</f>
        <v>Name</v>
      </c>
      <c r="D2910" s="19" t="str">
        <f>IF(ISBLANK(A2910), "Email",IF(ISNA(VLOOKUP(A2910,'Master List'!A:C,3,FALSE)), "Not Found", VLOOKUP(A2910,'Master List'!A:C,3,FALSE)))</f>
        <v>Email</v>
      </c>
      <c r="F2910" s="4" t="str">
        <f>IF(OR(A2910="",E2910="","",A2910="?",E2910="?"),"duplicate?",IF(COUNTIFS($A:A,A2910,E:E,E2910)&gt;1,"yes","no"))</f>
        <v>duplicate?</v>
      </c>
      <c r="K2910" s="97" t="str">
        <f ca="1">IF(J2910="","Date",IF(J2910&lt;&gt;"",IF(K2910="Date",NOW(),K2910),""))</f>
        <v>Date</v>
      </c>
    </row>
    <row r="2911" spans="2:11">
      <c r="B2911" s="97" t="str">
        <f ca="1">IF(A2911="","Date",IF(A2911&lt;&gt;"",IF(B2911="Date",NOW(),B2911),""))</f>
        <v>Date</v>
      </c>
      <c r="C2911" s="19" t="str">
        <f>IF(ISBLANK(A2911),"Name",IF(ISNA(VLOOKUP(A2911,'Master List'!A:C,2,FALSE)), "Not Found", VLOOKUP(A2911,'Master List'!A:C,2,FALSE)))</f>
        <v>Name</v>
      </c>
      <c r="D2911" s="19" t="str">
        <f>IF(ISBLANK(A2911), "Email",IF(ISNA(VLOOKUP(A2911,'Master List'!A:C,3,FALSE)), "Not Found", VLOOKUP(A2911,'Master List'!A:C,3,FALSE)))</f>
        <v>Email</v>
      </c>
      <c r="F2911" s="4" t="str">
        <f>IF(OR(A2911="",E2911="","",A2911="?",E2911="?"),"duplicate?",IF(COUNTIFS($A:A,A2911,E:E,E2911)&gt;1,"yes","no"))</f>
        <v>duplicate?</v>
      </c>
      <c r="K2911" s="97" t="str">
        <f ca="1">IF(J2911="","Date",IF(J2911&lt;&gt;"",IF(K2911="Date",NOW(),K2911),""))</f>
        <v>Date</v>
      </c>
    </row>
    <row r="2912" spans="2:11">
      <c r="B2912" s="97" t="str">
        <f ca="1">IF(A2912="","Date",IF(A2912&lt;&gt;"",IF(B2912="Date",NOW(),B2912),""))</f>
        <v>Date</v>
      </c>
      <c r="C2912" s="19" t="str">
        <f>IF(ISBLANK(A2912),"Name",IF(ISNA(VLOOKUP(A2912,'Master List'!A:C,2,FALSE)), "Not Found", VLOOKUP(A2912,'Master List'!A:C,2,FALSE)))</f>
        <v>Name</v>
      </c>
      <c r="D2912" s="19" t="str">
        <f>IF(ISBLANK(A2912), "Email",IF(ISNA(VLOOKUP(A2912,'Master List'!A:C,3,FALSE)), "Not Found", VLOOKUP(A2912,'Master List'!A:C,3,FALSE)))</f>
        <v>Email</v>
      </c>
      <c r="F2912" s="4" t="str">
        <f>IF(OR(A2912="",E2912="","",A2912="?",E2912="?"),"duplicate?",IF(COUNTIFS($A:A,A2912,E:E,E2912)&gt;1,"yes","no"))</f>
        <v>duplicate?</v>
      </c>
      <c r="K2912" s="97" t="str">
        <f ca="1">IF(J2912="","Date",IF(J2912&lt;&gt;"",IF(K2912="Date",NOW(),K2912),""))</f>
        <v>Date</v>
      </c>
    </row>
    <row r="2913" spans="2:11">
      <c r="B2913" s="97" t="str">
        <f ca="1">IF(A2913="","Date",IF(A2913&lt;&gt;"",IF(B2913="Date",NOW(),B2913),""))</f>
        <v>Date</v>
      </c>
      <c r="C2913" s="19" t="str">
        <f>IF(ISBLANK(A2913),"Name",IF(ISNA(VLOOKUP(A2913,'Master List'!A:C,2,FALSE)), "Not Found", VLOOKUP(A2913,'Master List'!A:C,2,FALSE)))</f>
        <v>Name</v>
      </c>
      <c r="D2913" s="19" t="str">
        <f>IF(ISBLANK(A2913), "Email",IF(ISNA(VLOOKUP(A2913,'Master List'!A:C,3,FALSE)), "Not Found", VLOOKUP(A2913,'Master List'!A:C,3,FALSE)))</f>
        <v>Email</v>
      </c>
      <c r="F2913" s="4" t="str">
        <f>IF(OR(A2913="",E2913="","",A2913="?",E2913="?"),"duplicate?",IF(COUNTIFS($A:A,A2913,E:E,E2913)&gt;1,"yes","no"))</f>
        <v>duplicate?</v>
      </c>
      <c r="K2913" s="97" t="str">
        <f ca="1">IF(J2913="","Date",IF(J2913&lt;&gt;"",IF(K2913="Date",NOW(),K2913),""))</f>
        <v>Date</v>
      </c>
    </row>
    <row r="2914" spans="2:11">
      <c r="B2914" s="97" t="str">
        <f ca="1">IF(A2914="","Date",IF(A2914&lt;&gt;"",IF(B2914="Date",NOW(),B2914),""))</f>
        <v>Date</v>
      </c>
      <c r="C2914" s="19" t="str">
        <f>IF(ISBLANK(A2914),"Name",IF(ISNA(VLOOKUP(A2914,'Master List'!A:C,2,FALSE)), "Not Found", VLOOKUP(A2914,'Master List'!A:C,2,FALSE)))</f>
        <v>Name</v>
      </c>
      <c r="D2914" s="19" t="str">
        <f>IF(ISBLANK(A2914), "Email",IF(ISNA(VLOOKUP(A2914,'Master List'!A:C,3,FALSE)), "Not Found", VLOOKUP(A2914,'Master List'!A:C,3,FALSE)))</f>
        <v>Email</v>
      </c>
      <c r="F2914" s="4" t="str">
        <f>IF(OR(A2914="",E2914="","",A2914="?",E2914="?"),"duplicate?",IF(COUNTIFS($A:A,A2914,E:E,E2914)&gt;1,"yes","no"))</f>
        <v>duplicate?</v>
      </c>
      <c r="K2914" s="97" t="str">
        <f ca="1">IF(J2914="","Date",IF(J2914&lt;&gt;"",IF(K2914="Date",NOW(),K2914),""))</f>
        <v>Date</v>
      </c>
    </row>
    <row r="2915" spans="2:11">
      <c r="B2915" s="97" t="str">
        <f ca="1">IF(A2915="","Date",IF(A2915&lt;&gt;"",IF(B2915="Date",NOW(),B2915),""))</f>
        <v>Date</v>
      </c>
      <c r="C2915" s="19" t="str">
        <f>IF(ISBLANK(A2915),"Name",IF(ISNA(VLOOKUP(A2915,'Master List'!A:C,2,FALSE)), "Not Found", VLOOKUP(A2915,'Master List'!A:C,2,FALSE)))</f>
        <v>Name</v>
      </c>
      <c r="D2915" s="19" t="str">
        <f>IF(ISBLANK(A2915), "Email",IF(ISNA(VLOOKUP(A2915,'Master List'!A:C,3,FALSE)), "Not Found", VLOOKUP(A2915,'Master List'!A:C,3,FALSE)))</f>
        <v>Email</v>
      </c>
      <c r="F2915" s="4" t="str">
        <f>IF(OR(A2915="",E2915="","",A2915="?",E2915="?"),"duplicate?",IF(COUNTIFS($A:A,A2915,E:E,E2915)&gt;1,"yes","no"))</f>
        <v>duplicate?</v>
      </c>
      <c r="K2915" s="97" t="str">
        <f ca="1">IF(J2915="","Date",IF(J2915&lt;&gt;"",IF(K2915="Date",NOW(),K2915),""))</f>
        <v>Date</v>
      </c>
    </row>
    <row r="2916" spans="2:11">
      <c r="B2916" s="97" t="str">
        <f ca="1">IF(A2916="","Date",IF(A2916&lt;&gt;"",IF(B2916="Date",NOW(),B2916),""))</f>
        <v>Date</v>
      </c>
      <c r="C2916" s="19" t="str">
        <f>IF(ISBLANK(A2916),"Name",IF(ISNA(VLOOKUP(A2916,'Master List'!A:C,2,FALSE)), "Not Found", VLOOKUP(A2916,'Master List'!A:C,2,FALSE)))</f>
        <v>Name</v>
      </c>
      <c r="D2916" s="19" t="str">
        <f>IF(ISBLANK(A2916), "Email",IF(ISNA(VLOOKUP(A2916,'Master List'!A:C,3,FALSE)), "Not Found", VLOOKUP(A2916,'Master List'!A:C,3,FALSE)))</f>
        <v>Email</v>
      </c>
      <c r="F2916" s="4" t="str">
        <f>IF(OR(A2916="",E2916="","",A2916="?",E2916="?"),"duplicate?",IF(COUNTIFS($A:A,A2916,E:E,E2916)&gt;1,"yes","no"))</f>
        <v>duplicate?</v>
      </c>
      <c r="K2916" s="97" t="str">
        <f ca="1">IF(J2916="","Date",IF(J2916&lt;&gt;"",IF(K2916="Date",NOW(),K2916),""))</f>
        <v>Date</v>
      </c>
    </row>
    <row r="2917" spans="2:11">
      <c r="B2917" s="97" t="str">
        <f ca="1">IF(A2917="","Date",IF(A2917&lt;&gt;"",IF(B2917="Date",NOW(),B2917),""))</f>
        <v>Date</v>
      </c>
      <c r="C2917" s="19" t="str">
        <f>IF(ISBLANK(A2917),"Name",IF(ISNA(VLOOKUP(A2917,'Master List'!A:C,2,FALSE)), "Not Found", VLOOKUP(A2917,'Master List'!A:C,2,FALSE)))</f>
        <v>Name</v>
      </c>
      <c r="D2917" s="19" t="str">
        <f>IF(ISBLANK(A2917), "Email",IF(ISNA(VLOOKUP(A2917,'Master List'!A:C,3,FALSE)), "Not Found", VLOOKUP(A2917,'Master List'!A:C,3,FALSE)))</f>
        <v>Email</v>
      </c>
      <c r="F2917" s="4" t="str">
        <f>IF(OR(A2917="",E2917="","",A2917="?",E2917="?"),"duplicate?",IF(COUNTIFS($A:A,A2917,E:E,E2917)&gt;1,"yes","no"))</f>
        <v>duplicate?</v>
      </c>
      <c r="K2917" s="97" t="str">
        <f ca="1">IF(J2917="","Date",IF(J2917&lt;&gt;"",IF(K2917="Date",NOW(),K2917),""))</f>
        <v>Date</v>
      </c>
    </row>
    <row r="2918" spans="2:11">
      <c r="B2918" s="97" t="str">
        <f ca="1">IF(A2918="","Date",IF(A2918&lt;&gt;"",IF(B2918="Date",NOW(),B2918),""))</f>
        <v>Date</v>
      </c>
      <c r="C2918" s="19" t="str">
        <f>IF(ISBLANK(A2918),"Name",IF(ISNA(VLOOKUP(A2918,'Master List'!A:C,2,FALSE)), "Not Found", VLOOKUP(A2918,'Master List'!A:C,2,FALSE)))</f>
        <v>Name</v>
      </c>
      <c r="D2918" s="19" t="str">
        <f>IF(ISBLANK(A2918), "Email",IF(ISNA(VLOOKUP(A2918,'Master List'!A:C,3,FALSE)), "Not Found", VLOOKUP(A2918,'Master List'!A:C,3,FALSE)))</f>
        <v>Email</v>
      </c>
      <c r="F2918" s="4" t="str">
        <f>IF(OR(A2918="",E2918="","",A2918="?",E2918="?"),"duplicate?",IF(COUNTIFS($A:A,A2918,E:E,E2918)&gt;1,"yes","no"))</f>
        <v>duplicate?</v>
      </c>
      <c r="K2918" s="97" t="str">
        <f ca="1">IF(J2918="","Date",IF(J2918&lt;&gt;"",IF(K2918="Date",NOW(),K2918),""))</f>
        <v>Date</v>
      </c>
    </row>
    <row r="2919" spans="2:11">
      <c r="B2919" s="97" t="str">
        <f ca="1">IF(A2919="","Date",IF(A2919&lt;&gt;"",IF(B2919="Date",NOW(),B2919),""))</f>
        <v>Date</v>
      </c>
      <c r="C2919" s="19" t="str">
        <f>IF(ISBLANK(A2919),"Name",IF(ISNA(VLOOKUP(A2919,'Master List'!A:C,2,FALSE)), "Not Found", VLOOKUP(A2919,'Master List'!A:C,2,FALSE)))</f>
        <v>Name</v>
      </c>
      <c r="D2919" s="19" t="str">
        <f>IF(ISBLANK(A2919), "Email",IF(ISNA(VLOOKUP(A2919,'Master List'!A:C,3,FALSE)), "Not Found", VLOOKUP(A2919,'Master List'!A:C,3,FALSE)))</f>
        <v>Email</v>
      </c>
      <c r="F2919" s="4" t="str">
        <f>IF(OR(A2919="",E2919="","",A2919="?",E2919="?"),"duplicate?",IF(COUNTIFS($A:A,A2919,E:E,E2919)&gt;1,"yes","no"))</f>
        <v>duplicate?</v>
      </c>
      <c r="K2919" s="97" t="str">
        <f ca="1">IF(J2919="","Date",IF(J2919&lt;&gt;"",IF(K2919="Date",NOW(),K2919),""))</f>
        <v>Date</v>
      </c>
    </row>
    <row r="2920" spans="2:11">
      <c r="B2920" s="97" t="str">
        <f ca="1">IF(A2920="","Date",IF(A2920&lt;&gt;"",IF(B2920="Date",NOW(),B2920),""))</f>
        <v>Date</v>
      </c>
      <c r="C2920" s="19" t="str">
        <f>IF(ISBLANK(A2920),"Name",IF(ISNA(VLOOKUP(A2920,'Master List'!A:C,2,FALSE)), "Not Found", VLOOKUP(A2920,'Master List'!A:C,2,FALSE)))</f>
        <v>Name</v>
      </c>
      <c r="D2920" s="19" t="str">
        <f>IF(ISBLANK(A2920), "Email",IF(ISNA(VLOOKUP(A2920,'Master List'!A:C,3,FALSE)), "Not Found", VLOOKUP(A2920,'Master List'!A:C,3,FALSE)))</f>
        <v>Email</v>
      </c>
      <c r="F2920" s="4" t="str">
        <f>IF(OR(A2920="",E2920="","",A2920="?",E2920="?"),"duplicate?",IF(COUNTIFS($A:A,A2920,E:E,E2920)&gt;1,"yes","no"))</f>
        <v>duplicate?</v>
      </c>
      <c r="K2920" s="97" t="str">
        <f ca="1">IF(J2920="","Date",IF(J2920&lt;&gt;"",IF(K2920="Date",NOW(),K2920),""))</f>
        <v>Date</v>
      </c>
    </row>
    <row r="2921" spans="2:11">
      <c r="B2921" s="97" t="str">
        <f ca="1">IF(A2921="","Date",IF(A2921&lt;&gt;"",IF(B2921="Date",NOW(),B2921),""))</f>
        <v>Date</v>
      </c>
      <c r="C2921" s="19" t="str">
        <f>IF(ISBLANK(A2921),"Name",IF(ISNA(VLOOKUP(A2921,'Master List'!A:C,2,FALSE)), "Not Found", VLOOKUP(A2921,'Master List'!A:C,2,FALSE)))</f>
        <v>Name</v>
      </c>
      <c r="D2921" s="19" t="str">
        <f>IF(ISBLANK(A2921), "Email",IF(ISNA(VLOOKUP(A2921,'Master List'!A:C,3,FALSE)), "Not Found", VLOOKUP(A2921,'Master List'!A:C,3,FALSE)))</f>
        <v>Email</v>
      </c>
      <c r="F2921" s="4" t="str">
        <f>IF(OR(A2921="",E2921="","",A2921="?",E2921="?"),"duplicate?",IF(COUNTIFS($A:A,A2921,E:E,E2921)&gt;1,"yes","no"))</f>
        <v>duplicate?</v>
      </c>
      <c r="K2921" s="97" t="str">
        <f ca="1">IF(J2921="","Date",IF(J2921&lt;&gt;"",IF(K2921="Date",NOW(),K2921),""))</f>
        <v>Date</v>
      </c>
    </row>
    <row r="2922" spans="2:11">
      <c r="B2922" s="97" t="str">
        <f ca="1">IF(A2922="","Date",IF(A2922&lt;&gt;"",IF(B2922="Date",NOW(),B2922),""))</f>
        <v>Date</v>
      </c>
      <c r="C2922" s="19" t="str">
        <f>IF(ISBLANK(A2922),"Name",IF(ISNA(VLOOKUP(A2922,'Master List'!A:C,2,FALSE)), "Not Found", VLOOKUP(A2922,'Master List'!A:C,2,FALSE)))</f>
        <v>Name</v>
      </c>
      <c r="D2922" s="19" t="str">
        <f>IF(ISBLANK(A2922), "Email",IF(ISNA(VLOOKUP(A2922,'Master List'!A:C,3,FALSE)), "Not Found", VLOOKUP(A2922,'Master List'!A:C,3,FALSE)))</f>
        <v>Email</v>
      </c>
      <c r="F2922" s="4" t="str">
        <f>IF(OR(A2922="",E2922="","",A2922="?",E2922="?"),"duplicate?",IF(COUNTIFS($A:A,A2922,E:E,E2922)&gt;1,"yes","no"))</f>
        <v>duplicate?</v>
      </c>
      <c r="K2922" s="97" t="str">
        <f ca="1">IF(J2922="","Date",IF(J2922&lt;&gt;"",IF(K2922="Date",NOW(),K2922),""))</f>
        <v>Date</v>
      </c>
    </row>
    <row r="2923" spans="2:11">
      <c r="B2923" s="97" t="str">
        <f ca="1">IF(A2923="","Date",IF(A2923&lt;&gt;"",IF(B2923="Date",NOW(),B2923),""))</f>
        <v>Date</v>
      </c>
      <c r="C2923" s="19" t="str">
        <f>IF(ISBLANK(A2923),"Name",IF(ISNA(VLOOKUP(A2923,'Master List'!A:C,2,FALSE)), "Not Found", VLOOKUP(A2923,'Master List'!A:C,2,FALSE)))</f>
        <v>Name</v>
      </c>
      <c r="D2923" s="19" t="str">
        <f>IF(ISBLANK(A2923), "Email",IF(ISNA(VLOOKUP(A2923,'Master List'!A:C,3,FALSE)), "Not Found", VLOOKUP(A2923,'Master List'!A:C,3,FALSE)))</f>
        <v>Email</v>
      </c>
      <c r="F2923" s="4" t="str">
        <f>IF(OR(A2923="",E2923="","",A2923="?",E2923="?"),"duplicate?",IF(COUNTIFS($A:A,A2923,E:E,E2923)&gt;1,"yes","no"))</f>
        <v>duplicate?</v>
      </c>
      <c r="K2923" s="97" t="str">
        <f ca="1">IF(J2923="","Date",IF(J2923&lt;&gt;"",IF(K2923="Date",NOW(),K2923),""))</f>
        <v>Date</v>
      </c>
    </row>
    <row r="2924" spans="2:11">
      <c r="B2924" s="97" t="str">
        <f ca="1">IF(A2924="","Date",IF(A2924&lt;&gt;"",IF(B2924="Date",NOW(),B2924),""))</f>
        <v>Date</v>
      </c>
      <c r="C2924" s="19" t="str">
        <f>IF(ISBLANK(A2924),"Name",IF(ISNA(VLOOKUP(A2924,'Master List'!A:C,2,FALSE)), "Not Found", VLOOKUP(A2924,'Master List'!A:C,2,FALSE)))</f>
        <v>Name</v>
      </c>
      <c r="D2924" s="19" t="str">
        <f>IF(ISBLANK(A2924), "Email",IF(ISNA(VLOOKUP(A2924,'Master List'!A:C,3,FALSE)), "Not Found", VLOOKUP(A2924,'Master List'!A:C,3,FALSE)))</f>
        <v>Email</v>
      </c>
      <c r="F2924" s="4" t="str">
        <f>IF(OR(A2924="",E2924="","",A2924="?",E2924="?"),"duplicate?",IF(COUNTIFS($A:A,A2924,E:E,E2924)&gt;1,"yes","no"))</f>
        <v>duplicate?</v>
      </c>
      <c r="K2924" s="97" t="str">
        <f ca="1">IF(J2924="","Date",IF(J2924&lt;&gt;"",IF(K2924="Date",NOW(),K2924),""))</f>
        <v>Date</v>
      </c>
    </row>
    <row r="2925" spans="2:11">
      <c r="B2925" s="97" t="str">
        <f ca="1">IF(A2925="","Date",IF(A2925&lt;&gt;"",IF(B2925="Date",NOW(),B2925),""))</f>
        <v>Date</v>
      </c>
      <c r="C2925" s="19" t="str">
        <f>IF(ISBLANK(A2925),"Name",IF(ISNA(VLOOKUP(A2925,'Master List'!A:C,2,FALSE)), "Not Found", VLOOKUP(A2925,'Master List'!A:C,2,FALSE)))</f>
        <v>Name</v>
      </c>
      <c r="D2925" s="19" t="str">
        <f>IF(ISBLANK(A2925), "Email",IF(ISNA(VLOOKUP(A2925,'Master List'!A:C,3,FALSE)), "Not Found", VLOOKUP(A2925,'Master List'!A:C,3,FALSE)))</f>
        <v>Email</v>
      </c>
      <c r="F2925" s="4" t="str">
        <f>IF(OR(A2925="",E2925="","",A2925="?",E2925="?"),"duplicate?",IF(COUNTIFS($A:A,A2925,E:E,E2925)&gt;1,"yes","no"))</f>
        <v>duplicate?</v>
      </c>
      <c r="K2925" s="97" t="str">
        <f ca="1">IF(J2925="","Date",IF(J2925&lt;&gt;"",IF(K2925="Date",NOW(),K2925),""))</f>
        <v>Date</v>
      </c>
    </row>
    <row r="2926" spans="2:11">
      <c r="B2926" s="97" t="str">
        <f ca="1">IF(A2926="","Date",IF(A2926&lt;&gt;"",IF(B2926="Date",NOW(),B2926),""))</f>
        <v>Date</v>
      </c>
      <c r="C2926" s="19" t="str">
        <f>IF(ISBLANK(A2926),"Name",IF(ISNA(VLOOKUP(A2926,'Master List'!A:C,2,FALSE)), "Not Found", VLOOKUP(A2926,'Master List'!A:C,2,FALSE)))</f>
        <v>Name</v>
      </c>
      <c r="D2926" s="19" t="str">
        <f>IF(ISBLANK(A2926), "Email",IF(ISNA(VLOOKUP(A2926,'Master List'!A:C,3,FALSE)), "Not Found", VLOOKUP(A2926,'Master List'!A:C,3,FALSE)))</f>
        <v>Email</v>
      </c>
      <c r="F2926" s="4" t="str">
        <f>IF(OR(A2926="",E2926="","",A2926="?",E2926="?"),"duplicate?",IF(COUNTIFS($A:A,A2926,E:E,E2926)&gt;1,"yes","no"))</f>
        <v>duplicate?</v>
      </c>
      <c r="K2926" s="97" t="str">
        <f ca="1">IF(J2926="","Date",IF(J2926&lt;&gt;"",IF(K2926="Date",NOW(),K2926),""))</f>
        <v>Date</v>
      </c>
    </row>
    <row r="2927" spans="2:11">
      <c r="B2927" s="97" t="str">
        <f ca="1">IF(A2927="","Date",IF(A2927&lt;&gt;"",IF(B2927="Date",NOW(),B2927),""))</f>
        <v>Date</v>
      </c>
      <c r="C2927" s="19" t="str">
        <f>IF(ISBLANK(A2927),"Name",IF(ISNA(VLOOKUP(A2927,'Master List'!A:C,2,FALSE)), "Not Found", VLOOKUP(A2927,'Master List'!A:C,2,FALSE)))</f>
        <v>Name</v>
      </c>
      <c r="D2927" s="19" t="str">
        <f>IF(ISBLANK(A2927), "Email",IF(ISNA(VLOOKUP(A2927,'Master List'!A:C,3,FALSE)), "Not Found", VLOOKUP(A2927,'Master List'!A:C,3,FALSE)))</f>
        <v>Email</v>
      </c>
      <c r="F2927" s="4" t="str">
        <f>IF(OR(A2927="",E2927="","",A2927="?",E2927="?"),"duplicate?",IF(COUNTIFS($A:A,A2927,E:E,E2927)&gt;1,"yes","no"))</f>
        <v>duplicate?</v>
      </c>
      <c r="K2927" s="97" t="str">
        <f ca="1">IF(J2927="","Date",IF(J2927&lt;&gt;"",IF(K2927="Date",NOW(),K2927),""))</f>
        <v>Date</v>
      </c>
    </row>
    <row r="2928" spans="2:11">
      <c r="B2928" s="97" t="str">
        <f ca="1">IF(A2928="","Date",IF(A2928&lt;&gt;"",IF(B2928="Date",NOW(),B2928),""))</f>
        <v>Date</v>
      </c>
      <c r="C2928" s="19" t="str">
        <f>IF(ISBLANK(A2928),"Name",IF(ISNA(VLOOKUP(A2928,'Master List'!A:C,2,FALSE)), "Not Found", VLOOKUP(A2928,'Master List'!A:C,2,FALSE)))</f>
        <v>Name</v>
      </c>
      <c r="D2928" s="19" t="str">
        <f>IF(ISBLANK(A2928), "Email",IF(ISNA(VLOOKUP(A2928,'Master List'!A:C,3,FALSE)), "Not Found", VLOOKUP(A2928,'Master List'!A:C,3,FALSE)))</f>
        <v>Email</v>
      </c>
      <c r="F2928" s="4" t="str">
        <f>IF(OR(A2928="",E2928="","",A2928="?",E2928="?"),"duplicate?",IF(COUNTIFS($A:A,A2928,E:E,E2928)&gt;1,"yes","no"))</f>
        <v>duplicate?</v>
      </c>
      <c r="K2928" s="97" t="str">
        <f ca="1">IF(J2928="","Date",IF(J2928&lt;&gt;"",IF(K2928="Date",NOW(),K2928),""))</f>
        <v>Date</v>
      </c>
    </row>
    <row r="2929" spans="2:11">
      <c r="B2929" s="97" t="str">
        <f ca="1">IF(A2929="","Date",IF(A2929&lt;&gt;"",IF(B2929="Date",NOW(),B2929),""))</f>
        <v>Date</v>
      </c>
      <c r="C2929" s="19" t="str">
        <f>IF(ISBLANK(A2929),"Name",IF(ISNA(VLOOKUP(A2929,'Master List'!A:C,2,FALSE)), "Not Found", VLOOKUP(A2929,'Master List'!A:C,2,FALSE)))</f>
        <v>Name</v>
      </c>
      <c r="D2929" s="19" t="str">
        <f>IF(ISBLANK(A2929), "Email",IF(ISNA(VLOOKUP(A2929,'Master List'!A:C,3,FALSE)), "Not Found", VLOOKUP(A2929,'Master List'!A:C,3,FALSE)))</f>
        <v>Email</v>
      </c>
      <c r="F2929" s="4" t="str">
        <f>IF(OR(A2929="",E2929="","",A2929="?",E2929="?"),"duplicate?",IF(COUNTIFS($A:A,A2929,E:E,E2929)&gt;1,"yes","no"))</f>
        <v>duplicate?</v>
      </c>
      <c r="K2929" s="97" t="str">
        <f ca="1">IF(J2929="","Date",IF(J2929&lt;&gt;"",IF(K2929="Date",NOW(),K2929),""))</f>
        <v>Date</v>
      </c>
    </row>
    <row r="2930" spans="2:11">
      <c r="B2930" s="97" t="str">
        <f ca="1">IF(A2930="","Date",IF(A2930&lt;&gt;"",IF(B2930="Date",NOW(),B2930),""))</f>
        <v>Date</v>
      </c>
      <c r="C2930" s="19" t="str">
        <f>IF(ISBLANK(A2930),"Name",IF(ISNA(VLOOKUP(A2930,'Master List'!A:C,2,FALSE)), "Not Found", VLOOKUP(A2930,'Master List'!A:C,2,FALSE)))</f>
        <v>Name</v>
      </c>
      <c r="D2930" s="19" t="str">
        <f>IF(ISBLANK(A2930), "Email",IF(ISNA(VLOOKUP(A2930,'Master List'!A:C,3,FALSE)), "Not Found", VLOOKUP(A2930,'Master List'!A:C,3,FALSE)))</f>
        <v>Email</v>
      </c>
      <c r="F2930" s="4" t="str">
        <f>IF(OR(A2930="",E2930="","",A2930="?",E2930="?"),"duplicate?",IF(COUNTIFS($A:A,A2930,E:E,E2930)&gt;1,"yes","no"))</f>
        <v>duplicate?</v>
      </c>
      <c r="K2930" s="97" t="str">
        <f ca="1">IF(J2930="","Date",IF(J2930&lt;&gt;"",IF(K2930="Date",NOW(),K2930),""))</f>
        <v>Date</v>
      </c>
    </row>
    <row r="2931" spans="2:11">
      <c r="B2931" s="97" t="str">
        <f ca="1">IF(A2931="","Date",IF(A2931&lt;&gt;"",IF(B2931="Date",NOW(),B2931),""))</f>
        <v>Date</v>
      </c>
      <c r="C2931" s="19" t="str">
        <f>IF(ISBLANK(A2931),"Name",IF(ISNA(VLOOKUP(A2931,'Master List'!A:C,2,FALSE)), "Not Found", VLOOKUP(A2931,'Master List'!A:C,2,FALSE)))</f>
        <v>Name</v>
      </c>
      <c r="D2931" s="19" t="str">
        <f>IF(ISBLANK(A2931), "Email",IF(ISNA(VLOOKUP(A2931,'Master List'!A:C,3,FALSE)), "Not Found", VLOOKUP(A2931,'Master List'!A:C,3,FALSE)))</f>
        <v>Email</v>
      </c>
      <c r="F2931" s="4" t="str">
        <f>IF(OR(A2931="",E2931="","",A2931="?",E2931="?"),"duplicate?",IF(COUNTIFS($A:A,A2931,E:E,E2931)&gt;1,"yes","no"))</f>
        <v>duplicate?</v>
      </c>
      <c r="K2931" s="97" t="str">
        <f ca="1">IF(J2931="","Date",IF(J2931&lt;&gt;"",IF(K2931="Date",NOW(),K2931),""))</f>
        <v>Date</v>
      </c>
    </row>
    <row r="2932" spans="2:11">
      <c r="B2932" s="97" t="str">
        <f ca="1">IF(A2932="","Date",IF(A2932&lt;&gt;"",IF(B2932="Date",NOW(),B2932),""))</f>
        <v>Date</v>
      </c>
      <c r="C2932" s="19" t="str">
        <f>IF(ISBLANK(A2932),"Name",IF(ISNA(VLOOKUP(A2932,'Master List'!A:C,2,FALSE)), "Not Found", VLOOKUP(A2932,'Master List'!A:C,2,FALSE)))</f>
        <v>Name</v>
      </c>
      <c r="D2932" s="19" t="str">
        <f>IF(ISBLANK(A2932), "Email",IF(ISNA(VLOOKUP(A2932,'Master List'!A:C,3,FALSE)), "Not Found", VLOOKUP(A2932,'Master List'!A:C,3,FALSE)))</f>
        <v>Email</v>
      </c>
      <c r="F2932" s="4" t="str">
        <f>IF(OR(A2932="",E2932="","",A2932="?",E2932="?"),"duplicate?",IF(COUNTIFS($A:A,A2932,E:E,E2932)&gt;1,"yes","no"))</f>
        <v>duplicate?</v>
      </c>
      <c r="K2932" s="97" t="str">
        <f ca="1">IF(J2932="","Date",IF(J2932&lt;&gt;"",IF(K2932="Date",NOW(),K2932),""))</f>
        <v>Date</v>
      </c>
    </row>
    <row r="2933" spans="2:11">
      <c r="B2933" s="97" t="str">
        <f ca="1">IF(A2933="","Date",IF(A2933&lt;&gt;"",IF(B2933="Date",NOW(),B2933),""))</f>
        <v>Date</v>
      </c>
      <c r="C2933" s="19" t="str">
        <f>IF(ISBLANK(A2933),"Name",IF(ISNA(VLOOKUP(A2933,'Master List'!A:C,2,FALSE)), "Not Found", VLOOKUP(A2933,'Master List'!A:C,2,FALSE)))</f>
        <v>Name</v>
      </c>
      <c r="D2933" s="19" t="str">
        <f>IF(ISBLANK(A2933), "Email",IF(ISNA(VLOOKUP(A2933,'Master List'!A:C,3,FALSE)), "Not Found", VLOOKUP(A2933,'Master List'!A:C,3,FALSE)))</f>
        <v>Email</v>
      </c>
      <c r="F2933" s="4" t="str">
        <f>IF(OR(A2933="",E2933="","",A2933="?",E2933="?"),"duplicate?",IF(COUNTIFS($A:A,A2933,E:E,E2933)&gt;1,"yes","no"))</f>
        <v>duplicate?</v>
      </c>
      <c r="K2933" s="97" t="str">
        <f ca="1">IF(J2933="","Date",IF(J2933&lt;&gt;"",IF(K2933="Date",NOW(),K2933),""))</f>
        <v>Date</v>
      </c>
    </row>
    <row r="2934" spans="2:11">
      <c r="B2934" s="97" t="str">
        <f ca="1">IF(A2934="","Date",IF(A2934&lt;&gt;"",IF(B2934="Date",NOW(),B2934),""))</f>
        <v>Date</v>
      </c>
      <c r="C2934" s="19" t="str">
        <f>IF(ISBLANK(A2934),"Name",IF(ISNA(VLOOKUP(A2934,'Master List'!A:C,2,FALSE)), "Not Found", VLOOKUP(A2934,'Master List'!A:C,2,FALSE)))</f>
        <v>Name</v>
      </c>
      <c r="D2934" s="19" t="str">
        <f>IF(ISBLANK(A2934), "Email",IF(ISNA(VLOOKUP(A2934,'Master List'!A:C,3,FALSE)), "Not Found", VLOOKUP(A2934,'Master List'!A:C,3,FALSE)))</f>
        <v>Email</v>
      </c>
      <c r="F2934" s="4" t="str">
        <f>IF(OR(A2934="",E2934="","",A2934="?",E2934="?"),"duplicate?",IF(COUNTIFS($A:A,A2934,E:E,E2934)&gt;1,"yes","no"))</f>
        <v>duplicate?</v>
      </c>
      <c r="K2934" s="97" t="str">
        <f ca="1">IF(J2934="","Date",IF(J2934&lt;&gt;"",IF(K2934="Date",NOW(),K2934),""))</f>
        <v>Date</v>
      </c>
    </row>
    <row r="2935" spans="2:11">
      <c r="B2935" s="97" t="str">
        <f ca="1">IF(A2935="","Date",IF(A2935&lt;&gt;"",IF(B2935="Date",NOW(),B2935),""))</f>
        <v>Date</v>
      </c>
      <c r="C2935" s="19" t="str">
        <f>IF(ISBLANK(A2935),"Name",IF(ISNA(VLOOKUP(A2935,'Master List'!A:C,2,FALSE)), "Not Found", VLOOKUP(A2935,'Master List'!A:C,2,FALSE)))</f>
        <v>Name</v>
      </c>
      <c r="D2935" s="19" t="str">
        <f>IF(ISBLANK(A2935), "Email",IF(ISNA(VLOOKUP(A2935,'Master List'!A:C,3,FALSE)), "Not Found", VLOOKUP(A2935,'Master List'!A:C,3,FALSE)))</f>
        <v>Email</v>
      </c>
      <c r="F2935" s="4" t="str">
        <f>IF(OR(A2935="",E2935="","",A2935="?",E2935="?"),"duplicate?",IF(COUNTIFS($A:A,A2935,E:E,E2935)&gt;1,"yes","no"))</f>
        <v>duplicate?</v>
      </c>
      <c r="K2935" s="97" t="str">
        <f ca="1">IF(J2935="","Date",IF(J2935&lt;&gt;"",IF(K2935="Date",NOW(),K2935),""))</f>
        <v>Date</v>
      </c>
    </row>
    <row r="2936" spans="2:11">
      <c r="B2936" s="97" t="str">
        <f ca="1">IF(A2936="","Date",IF(A2936&lt;&gt;"",IF(B2936="Date",NOW(),B2936),""))</f>
        <v>Date</v>
      </c>
      <c r="C2936" s="19" t="str">
        <f>IF(ISBLANK(A2936),"Name",IF(ISNA(VLOOKUP(A2936,'Master List'!A:C,2,FALSE)), "Not Found", VLOOKUP(A2936,'Master List'!A:C,2,FALSE)))</f>
        <v>Name</v>
      </c>
      <c r="D2936" s="19" t="str">
        <f>IF(ISBLANK(A2936), "Email",IF(ISNA(VLOOKUP(A2936,'Master List'!A:C,3,FALSE)), "Not Found", VLOOKUP(A2936,'Master List'!A:C,3,FALSE)))</f>
        <v>Email</v>
      </c>
      <c r="F2936" s="4" t="str">
        <f>IF(OR(A2936="",E2936="","",A2936="?",E2936="?"),"duplicate?",IF(COUNTIFS($A:A,A2936,E:E,E2936)&gt;1,"yes","no"))</f>
        <v>duplicate?</v>
      </c>
      <c r="K2936" s="97" t="str">
        <f ca="1">IF(J2936="","Date",IF(J2936&lt;&gt;"",IF(K2936="Date",NOW(),K2936),""))</f>
        <v>Date</v>
      </c>
    </row>
    <row r="2937" spans="2:11">
      <c r="B2937" s="97" t="str">
        <f ca="1">IF(A2937="","Date",IF(A2937&lt;&gt;"",IF(B2937="Date",NOW(),B2937),""))</f>
        <v>Date</v>
      </c>
      <c r="C2937" s="19" t="str">
        <f>IF(ISBLANK(A2937),"Name",IF(ISNA(VLOOKUP(A2937,'Master List'!A:C,2,FALSE)), "Not Found", VLOOKUP(A2937,'Master List'!A:C,2,FALSE)))</f>
        <v>Name</v>
      </c>
      <c r="D2937" s="19" t="str">
        <f>IF(ISBLANK(A2937), "Email",IF(ISNA(VLOOKUP(A2937,'Master List'!A:C,3,FALSE)), "Not Found", VLOOKUP(A2937,'Master List'!A:C,3,FALSE)))</f>
        <v>Email</v>
      </c>
      <c r="F2937" s="4" t="str">
        <f>IF(OR(A2937="",E2937="","",A2937="?",E2937="?"),"duplicate?",IF(COUNTIFS($A:A,A2937,E:E,E2937)&gt;1,"yes","no"))</f>
        <v>duplicate?</v>
      </c>
      <c r="K2937" s="97" t="str">
        <f ca="1">IF(J2937="","Date",IF(J2937&lt;&gt;"",IF(K2937="Date",NOW(),K2937),""))</f>
        <v>Date</v>
      </c>
    </row>
    <row r="2938" spans="2:11">
      <c r="B2938" s="97" t="str">
        <f ca="1">IF(A2938="","Date",IF(A2938&lt;&gt;"",IF(B2938="Date",NOW(),B2938),""))</f>
        <v>Date</v>
      </c>
      <c r="C2938" s="19" t="str">
        <f>IF(ISBLANK(A2938),"Name",IF(ISNA(VLOOKUP(A2938,'Master List'!A:C,2,FALSE)), "Not Found", VLOOKUP(A2938,'Master List'!A:C,2,FALSE)))</f>
        <v>Name</v>
      </c>
      <c r="D2938" s="19" t="str">
        <f>IF(ISBLANK(A2938), "Email",IF(ISNA(VLOOKUP(A2938,'Master List'!A:C,3,FALSE)), "Not Found", VLOOKUP(A2938,'Master List'!A:C,3,FALSE)))</f>
        <v>Email</v>
      </c>
      <c r="F2938" s="4" t="str">
        <f>IF(OR(A2938="",E2938="","",A2938="?",E2938="?"),"duplicate?",IF(COUNTIFS($A:A,A2938,E:E,E2938)&gt;1,"yes","no"))</f>
        <v>duplicate?</v>
      </c>
      <c r="K2938" s="97" t="str">
        <f ca="1">IF(J2938="","Date",IF(J2938&lt;&gt;"",IF(K2938="Date",NOW(),K2938),""))</f>
        <v>Date</v>
      </c>
    </row>
    <row r="2939" spans="2:11">
      <c r="B2939" s="97" t="str">
        <f ca="1">IF(A2939="","Date",IF(A2939&lt;&gt;"",IF(B2939="Date",NOW(),B2939),""))</f>
        <v>Date</v>
      </c>
      <c r="C2939" s="19" t="str">
        <f>IF(ISBLANK(A2939),"Name",IF(ISNA(VLOOKUP(A2939,'Master List'!A:C,2,FALSE)), "Not Found", VLOOKUP(A2939,'Master List'!A:C,2,FALSE)))</f>
        <v>Name</v>
      </c>
      <c r="D2939" s="19" t="str">
        <f>IF(ISBLANK(A2939), "Email",IF(ISNA(VLOOKUP(A2939,'Master List'!A:C,3,FALSE)), "Not Found", VLOOKUP(A2939,'Master List'!A:C,3,FALSE)))</f>
        <v>Email</v>
      </c>
      <c r="F2939" s="4" t="str">
        <f>IF(OR(A2939="",E2939="","",A2939="?",E2939="?"),"duplicate?",IF(COUNTIFS($A:A,A2939,E:E,E2939)&gt;1,"yes","no"))</f>
        <v>duplicate?</v>
      </c>
      <c r="K2939" s="97" t="str">
        <f ca="1">IF(J2939="","Date",IF(J2939&lt;&gt;"",IF(K2939="Date",NOW(),K2939),""))</f>
        <v>Date</v>
      </c>
    </row>
    <row r="2940" spans="2:11">
      <c r="B2940" s="97" t="str">
        <f ca="1">IF(A2940="","Date",IF(A2940&lt;&gt;"",IF(B2940="Date",NOW(),B2940),""))</f>
        <v>Date</v>
      </c>
      <c r="C2940" s="19" t="str">
        <f>IF(ISBLANK(A2940),"Name",IF(ISNA(VLOOKUP(A2940,'Master List'!A:C,2,FALSE)), "Not Found", VLOOKUP(A2940,'Master List'!A:C,2,FALSE)))</f>
        <v>Name</v>
      </c>
      <c r="D2940" s="19" t="str">
        <f>IF(ISBLANK(A2940), "Email",IF(ISNA(VLOOKUP(A2940,'Master List'!A:C,3,FALSE)), "Not Found", VLOOKUP(A2940,'Master List'!A:C,3,FALSE)))</f>
        <v>Email</v>
      </c>
      <c r="F2940" s="4" t="str">
        <f>IF(OR(A2940="",E2940="","",A2940="?",E2940="?"),"duplicate?",IF(COUNTIFS($A:A,A2940,E:E,E2940)&gt;1,"yes","no"))</f>
        <v>duplicate?</v>
      </c>
      <c r="K2940" s="97" t="str">
        <f ca="1">IF(J2940="","Date",IF(J2940&lt;&gt;"",IF(K2940="Date",NOW(),K2940),""))</f>
        <v>Date</v>
      </c>
    </row>
    <row r="2941" spans="2:11">
      <c r="B2941" s="97" t="str">
        <f ca="1">IF(A2941="","Date",IF(A2941&lt;&gt;"",IF(B2941="Date",NOW(),B2941),""))</f>
        <v>Date</v>
      </c>
      <c r="C2941" s="19" t="str">
        <f>IF(ISBLANK(A2941),"Name",IF(ISNA(VLOOKUP(A2941,'Master List'!A:C,2,FALSE)), "Not Found", VLOOKUP(A2941,'Master List'!A:C,2,FALSE)))</f>
        <v>Name</v>
      </c>
      <c r="D2941" s="19" t="str">
        <f>IF(ISBLANK(A2941), "Email",IF(ISNA(VLOOKUP(A2941,'Master List'!A:C,3,FALSE)), "Not Found", VLOOKUP(A2941,'Master List'!A:C,3,FALSE)))</f>
        <v>Email</v>
      </c>
      <c r="F2941" s="4" t="str">
        <f>IF(OR(A2941="",E2941="","",A2941="?",E2941="?"),"duplicate?",IF(COUNTIFS($A:A,A2941,E:E,E2941)&gt;1,"yes","no"))</f>
        <v>duplicate?</v>
      </c>
      <c r="K2941" s="97" t="str">
        <f ca="1">IF(J2941="","Date",IF(J2941&lt;&gt;"",IF(K2941="Date",NOW(),K2941),""))</f>
        <v>Date</v>
      </c>
    </row>
    <row r="2942" spans="2:11">
      <c r="B2942" s="97" t="str">
        <f ca="1">IF(A2942="","Date",IF(A2942&lt;&gt;"",IF(B2942="Date",NOW(),B2942),""))</f>
        <v>Date</v>
      </c>
      <c r="C2942" s="19" t="str">
        <f>IF(ISBLANK(A2942),"Name",IF(ISNA(VLOOKUP(A2942,'Master List'!A:C,2,FALSE)), "Not Found", VLOOKUP(A2942,'Master List'!A:C,2,FALSE)))</f>
        <v>Name</v>
      </c>
      <c r="D2942" s="19" t="str">
        <f>IF(ISBLANK(A2942), "Email",IF(ISNA(VLOOKUP(A2942,'Master List'!A:C,3,FALSE)), "Not Found", VLOOKUP(A2942,'Master List'!A:C,3,FALSE)))</f>
        <v>Email</v>
      </c>
      <c r="F2942" s="4" t="str">
        <f>IF(OR(A2942="",E2942="","",A2942="?",E2942="?"),"duplicate?",IF(COUNTIFS($A:A,A2942,E:E,E2942)&gt;1,"yes","no"))</f>
        <v>duplicate?</v>
      </c>
      <c r="K2942" s="97" t="str">
        <f ca="1">IF(J2942="","Date",IF(J2942&lt;&gt;"",IF(K2942="Date",NOW(),K2942),""))</f>
        <v>Date</v>
      </c>
    </row>
    <row r="2943" spans="2:11">
      <c r="B2943" s="97" t="str">
        <f ca="1">IF(A2943="","Date",IF(A2943&lt;&gt;"",IF(B2943="Date",NOW(),B2943),""))</f>
        <v>Date</v>
      </c>
      <c r="C2943" s="19" t="str">
        <f>IF(ISBLANK(A2943),"Name",IF(ISNA(VLOOKUP(A2943,'Master List'!A:C,2,FALSE)), "Not Found", VLOOKUP(A2943,'Master List'!A:C,2,FALSE)))</f>
        <v>Name</v>
      </c>
      <c r="D2943" s="19" t="str">
        <f>IF(ISBLANK(A2943), "Email",IF(ISNA(VLOOKUP(A2943,'Master List'!A:C,3,FALSE)), "Not Found", VLOOKUP(A2943,'Master List'!A:C,3,FALSE)))</f>
        <v>Email</v>
      </c>
      <c r="F2943" s="4" t="str">
        <f>IF(OR(A2943="",E2943="","",A2943="?",E2943="?"),"duplicate?",IF(COUNTIFS($A:A,A2943,E:E,E2943)&gt;1,"yes","no"))</f>
        <v>duplicate?</v>
      </c>
      <c r="K2943" s="97" t="str">
        <f ca="1">IF(J2943="","Date",IF(J2943&lt;&gt;"",IF(K2943="Date",NOW(),K2943),""))</f>
        <v>Date</v>
      </c>
    </row>
    <row r="2944" spans="2:11">
      <c r="B2944" s="97" t="str">
        <f ca="1">IF(A2944="","Date",IF(A2944&lt;&gt;"",IF(B2944="Date",NOW(),B2944),""))</f>
        <v>Date</v>
      </c>
      <c r="C2944" s="19" t="str">
        <f>IF(ISBLANK(A2944),"Name",IF(ISNA(VLOOKUP(A2944,'Master List'!A:C,2,FALSE)), "Not Found", VLOOKUP(A2944,'Master List'!A:C,2,FALSE)))</f>
        <v>Name</v>
      </c>
      <c r="D2944" s="19" t="str">
        <f>IF(ISBLANK(A2944), "Email",IF(ISNA(VLOOKUP(A2944,'Master List'!A:C,3,FALSE)), "Not Found", VLOOKUP(A2944,'Master List'!A:C,3,FALSE)))</f>
        <v>Email</v>
      </c>
      <c r="F2944" s="4" t="str">
        <f>IF(OR(A2944="",E2944="","",A2944="?",E2944="?"),"duplicate?",IF(COUNTIFS($A:A,A2944,E:E,E2944)&gt;1,"yes","no"))</f>
        <v>duplicate?</v>
      </c>
      <c r="K2944" s="97" t="str">
        <f ca="1">IF(J2944="","Date",IF(J2944&lt;&gt;"",IF(K2944="Date",NOW(),K2944),""))</f>
        <v>Date</v>
      </c>
    </row>
    <row r="2945" spans="2:11">
      <c r="B2945" s="97" t="str">
        <f ca="1">IF(A2945="","Date",IF(A2945&lt;&gt;"",IF(B2945="Date",NOW(),B2945),""))</f>
        <v>Date</v>
      </c>
      <c r="C2945" s="19" t="str">
        <f>IF(ISBLANK(A2945),"Name",IF(ISNA(VLOOKUP(A2945,'Master List'!A:C,2,FALSE)), "Not Found", VLOOKUP(A2945,'Master List'!A:C,2,FALSE)))</f>
        <v>Name</v>
      </c>
      <c r="D2945" s="19" t="str">
        <f>IF(ISBLANK(A2945), "Email",IF(ISNA(VLOOKUP(A2945,'Master List'!A:C,3,FALSE)), "Not Found", VLOOKUP(A2945,'Master List'!A:C,3,FALSE)))</f>
        <v>Email</v>
      </c>
      <c r="F2945" s="4" t="str">
        <f>IF(OR(A2945="",E2945="","",A2945="?",E2945="?"),"duplicate?",IF(COUNTIFS($A:A,A2945,E:E,E2945)&gt;1,"yes","no"))</f>
        <v>duplicate?</v>
      </c>
      <c r="K2945" s="97" t="str">
        <f ca="1">IF(J2945="","Date",IF(J2945&lt;&gt;"",IF(K2945="Date",NOW(),K2945),""))</f>
        <v>Date</v>
      </c>
    </row>
    <row r="2946" spans="2:11">
      <c r="B2946" s="97" t="str">
        <f ca="1">IF(A2946="","Date",IF(A2946&lt;&gt;"",IF(B2946="Date",NOW(),B2946),""))</f>
        <v>Date</v>
      </c>
      <c r="C2946" s="19" t="str">
        <f>IF(ISBLANK(A2946),"Name",IF(ISNA(VLOOKUP(A2946,'Master List'!A:C,2,FALSE)), "Not Found", VLOOKUP(A2946,'Master List'!A:C,2,FALSE)))</f>
        <v>Name</v>
      </c>
      <c r="D2946" s="19" t="str">
        <f>IF(ISBLANK(A2946), "Email",IF(ISNA(VLOOKUP(A2946,'Master List'!A:C,3,FALSE)), "Not Found", VLOOKUP(A2946,'Master List'!A:C,3,FALSE)))</f>
        <v>Email</v>
      </c>
      <c r="F2946" s="4" t="str">
        <f>IF(OR(A2946="",E2946="","",A2946="?",E2946="?"),"duplicate?",IF(COUNTIFS($A:A,A2946,E:E,E2946)&gt;1,"yes","no"))</f>
        <v>duplicate?</v>
      </c>
      <c r="K2946" s="97" t="str">
        <f ca="1">IF(J2946="","Date",IF(J2946&lt;&gt;"",IF(K2946="Date",NOW(),K2946),""))</f>
        <v>Date</v>
      </c>
    </row>
    <row r="2947" spans="2:11">
      <c r="B2947" s="97" t="str">
        <f ca="1">IF(A2947="","Date",IF(A2947&lt;&gt;"",IF(B2947="Date",NOW(),B2947),""))</f>
        <v>Date</v>
      </c>
      <c r="C2947" s="19" t="str">
        <f>IF(ISBLANK(A2947),"Name",IF(ISNA(VLOOKUP(A2947,'Master List'!A:C,2,FALSE)), "Not Found", VLOOKUP(A2947,'Master List'!A:C,2,FALSE)))</f>
        <v>Name</v>
      </c>
      <c r="D2947" s="19" t="str">
        <f>IF(ISBLANK(A2947), "Email",IF(ISNA(VLOOKUP(A2947,'Master List'!A:C,3,FALSE)), "Not Found", VLOOKUP(A2947,'Master List'!A:C,3,FALSE)))</f>
        <v>Email</v>
      </c>
      <c r="F2947" s="4" t="str">
        <f>IF(OR(A2947="",E2947="","",A2947="?",E2947="?"),"duplicate?",IF(COUNTIFS($A:A,A2947,E:E,E2947)&gt;1,"yes","no"))</f>
        <v>duplicate?</v>
      </c>
      <c r="K2947" s="97" t="str">
        <f ca="1">IF(J2947="","Date",IF(J2947&lt;&gt;"",IF(K2947="Date",NOW(),K2947),""))</f>
        <v>Date</v>
      </c>
    </row>
    <row r="2948" spans="2:11">
      <c r="B2948" s="97" t="str">
        <f ca="1">IF(A2948="","Date",IF(A2948&lt;&gt;"",IF(B2948="Date",NOW(),B2948),""))</f>
        <v>Date</v>
      </c>
      <c r="C2948" s="19" t="str">
        <f>IF(ISBLANK(A2948),"Name",IF(ISNA(VLOOKUP(A2948,'Master List'!A:C,2,FALSE)), "Not Found", VLOOKUP(A2948,'Master List'!A:C,2,FALSE)))</f>
        <v>Name</v>
      </c>
      <c r="D2948" s="19" t="str">
        <f>IF(ISBLANK(A2948), "Email",IF(ISNA(VLOOKUP(A2948,'Master List'!A:C,3,FALSE)), "Not Found", VLOOKUP(A2948,'Master List'!A:C,3,FALSE)))</f>
        <v>Email</v>
      </c>
      <c r="F2948" s="4" t="str">
        <f>IF(OR(A2948="",E2948="","",A2948="?",E2948="?"),"duplicate?",IF(COUNTIFS($A:A,A2948,E:E,E2948)&gt;1,"yes","no"))</f>
        <v>duplicate?</v>
      </c>
      <c r="K2948" s="97" t="str">
        <f ca="1">IF(J2948="","Date",IF(J2948&lt;&gt;"",IF(K2948="Date",NOW(),K2948),""))</f>
        <v>Date</v>
      </c>
    </row>
    <row r="2949" spans="2:11">
      <c r="B2949" s="97" t="str">
        <f ca="1">IF(A2949="","Date",IF(A2949&lt;&gt;"",IF(B2949="Date",NOW(),B2949),""))</f>
        <v>Date</v>
      </c>
      <c r="C2949" s="19" t="str">
        <f>IF(ISBLANK(A2949),"Name",IF(ISNA(VLOOKUP(A2949,'Master List'!A:C,2,FALSE)), "Not Found", VLOOKUP(A2949,'Master List'!A:C,2,FALSE)))</f>
        <v>Name</v>
      </c>
      <c r="D2949" s="19" t="str">
        <f>IF(ISBLANK(A2949), "Email",IF(ISNA(VLOOKUP(A2949,'Master List'!A:C,3,FALSE)), "Not Found", VLOOKUP(A2949,'Master List'!A:C,3,FALSE)))</f>
        <v>Email</v>
      </c>
      <c r="F2949" s="4" t="str">
        <f>IF(OR(A2949="",E2949="","",A2949="?",E2949="?"),"duplicate?",IF(COUNTIFS($A:A,A2949,E:E,E2949)&gt;1,"yes","no"))</f>
        <v>duplicate?</v>
      </c>
      <c r="K2949" s="97" t="str">
        <f ca="1">IF(J2949="","Date",IF(J2949&lt;&gt;"",IF(K2949="Date",NOW(),K2949),""))</f>
        <v>Date</v>
      </c>
    </row>
    <row r="2950" spans="2:11">
      <c r="B2950" s="97" t="str">
        <f ca="1">IF(A2950="","Date",IF(A2950&lt;&gt;"",IF(B2950="Date",NOW(),B2950),""))</f>
        <v>Date</v>
      </c>
      <c r="C2950" s="19" t="str">
        <f>IF(ISBLANK(A2950),"Name",IF(ISNA(VLOOKUP(A2950,'Master List'!A:C,2,FALSE)), "Not Found", VLOOKUP(A2950,'Master List'!A:C,2,FALSE)))</f>
        <v>Name</v>
      </c>
      <c r="D2950" s="19" t="str">
        <f>IF(ISBLANK(A2950), "Email",IF(ISNA(VLOOKUP(A2950,'Master List'!A:C,3,FALSE)), "Not Found", VLOOKUP(A2950,'Master List'!A:C,3,FALSE)))</f>
        <v>Email</v>
      </c>
      <c r="F2950" s="4" t="str">
        <f>IF(OR(A2950="",E2950="","",A2950="?",E2950="?"),"duplicate?",IF(COUNTIFS($A:A,A2950,E:E,E2950)&gt;1,"yes","no"))</f>
        <v>duplicate?</v>
      </c>
      <c r="K2950" s="97" t="str">
        <f ca="1">IF(J2950="","Date",IF(J2950&lt;&gt;"",IF(K2950="Date",NOW(),K2950),""))</f>
        <v>Date</v>
      </c>
    </row>
    <row r="2951" spans="2:11">
      <c r="B2951" s="97" t="str">
        <f ca="1">IF(A2951="","Date",IF(A2951&lt;&gt;"",IF(B2951="Date",NOW(),B2951),""))</f>
        <v>Date</v>
      </c>
      <c r="C2951" s="19" t="str">
        <f>IF(ISBLANK(A2951),"Name",IF(ISNA(VLOOKUP(A2951,'Master List'!A:C,2,FALSE)), "Not Found", VLOOKUP(A2951,'Master List'!A:C,2,FALSE)))</f>
        <v>Name</v>
      </c>
      <c r="D2951" s="19" t="str">
        <f>IF(ISBLANK(A2951), "Email",IF(ISNA(VLOOKUP(A2951,'Master List'!A:C,3,FALSE)), "Not Found", VLOOKUP(A2951,'Master List'!A:C,3,FALSE)))</f>
        <v>Email</v>
      </c>
      <c r="F2951" s="4" t="str">
        <f>IF(OR(A2951="",E2951="","",A2951="?",E2951="?"),"duplicate?",IF(COUNTIFS($A:A,A2951,E:E,E2951)&gt;1,"yes","no"))</f>
        <v>duplicate?</v>
      </c>
      <c r="K2951" s="97" t="str">
        <f ca="1">IF(J2951="","Date",IF(J2951&lt;&gt;"",IF(K2951="Date",NOW(),K2951),""))</f>
        <v>Date</v>
      </c>
    </row>
    <row r="2952" spans="2:11">
      <c r="B2952" s="97" t="str">
        <f ca="1">IF(A2952="","Date",IF(A2952&lt;&gt;"",IF(B2952="Date",NOW(),B2952),""))</f>
        <v>Date</v>
      </c>
      <c r="C2952" s="19" t="str">
        <f>IF(ISBLANK(A2952),"Name",IF(ISNA(VLOOKUP(A2952,'Master List'!A:C,2,FALSE)), "Not Found", VLOOKUP(A2952,'Master List'!A:C,2,FALSE)))</f>
        <v>Name</v>
      </c>
      <c r="D2952" s="19" t="str">
        <f>IF(ISBLANK(A2952), "Email",IF(ISNA(VLOOKUP(A2952,'Master List'!A:C,3,FALSE)), "Not Found", VLOOKUP(A2952,'Master List'!A:C,3,FALSE)))</f>
        <v>Email</v>
      </c>
      <c r="F2952" s="4" t="str">
        <f>IF(OR(A2952="",E2952="","",A2952="?",E2952="?"),"duplicate?",IF(COUNTIFS($A:A,A2952,E:E,E2952)&gt;1,"yes","no"))</f>
        <v>duplicate?</v>
      </c>
      <c r="K2952" s="97" t="str">
        <f ca="1">IF(J2952="","Date",IF(J2952&lt;&gt;"",IF(K2952="Date",NOW(),K2952),""))</f>
        <v>Date</v>
      </c>
    </row>
    <row r="2953" spans="2:11">
      <c r="B2953" s="97" t="str">
        <f ca="1">IF(A2953="","Date",IF(A2953&lt;&gt;"",IF(B2953="Date",NOW(),B2953),""))</f>
        <v>Date</v>
      </c>
      <c r="C2953" s="19" t="str">
        <f>IF(ISBLANK(A2953),"Name",IF(ISNA(VLOOKUP(A2953,'Master List'!A:C,2,FALSE)), "Not Found", VLOOKUP(A2953,'Master List'!A:C,2,FALSE)))</f>
        <v>Name</v>
      </c>
      <c r="D2953" s="19" t="str">
        <f>IF(ISBLANK(A2953), "Email",IF(ISNA(VLOOKUP(A2953,'Master List'!A:C,3,FALSE)), "Not Found", VLOOKUP(A2953,'Master List'!A:C,3,FALSE)))</f>
        <v>Email</v>
      </c>
      <c r="F2953" s="4" t="str">
        <f>IF(OR(A2953="",E2953="","",A2953="?",E2953="?"),"duplicate?",IF(COUNTIFS($A:A,A2953,E:E,E2953)&gt;1,"yes","no"))</f>
        <v>duplicate?</v>
      </c>
      <c r="K2953" s="97" t="str">
        <f ca="1">IF(J2953="","Date",IF(J2953&lt;&gt;"",IF(K2953="Date",NOW(),K2953),""))</f>
        <v>Date</v>
      </c>
    </row>
    <row r="2954" spans="2:11">
      <c r="B2954" s="97" t="str">
        <f ca="1">IF(A2954="","Date",IF(A2954&lt;&gt;"",IF(B2954="Date",NOW(),B2954),""))</f>
        <v>Date</v>
      </c>
      <c r="C2954" s="19" t="str">
        <f>IF(ISBLANK(A2954),"Name",IF(ISNA(VLOOKUP(A2954,'Master List'!A:C,2,FALSE)), "Not Found", VLOOKUP(A2954,'Master List'!A:C,2,FALSE)))</f>
        <v>Name</v>
      </c>
      <c r="D2954" s="19" t="str">
        <f>IF(ISBLANK(A2954), "Email",IF(ISNA(VLOOKUP(A2954,'Master List'!A:C,3,FALSE)), "Not Found", VLOOKUP(A2954,'Master List'!A:C,3,FALSE)))</f>
        <v>Email</v>
      </c>
      <c r="F2954" s="4" t="str">
        <f>IF(OR(A2954="",E2954="","",A2954="?",E2954="?"),"duplicate?",IF(COUNTIFS($A:A,A2954,E:E,E2954)&gt;1,"yes","no"))</f>
        <v>duplicate?</v>
      </c>
      <c r="K2954" s="97" t="str">
        <f ca="1">IF(J2954="","Date",IF(J2954&lt;&gt;"",IF(K2954="Date",NOW(),K2954),""))</f>
        <v>Date</v>
      </c>
    </row>
    <row r="2955" spans="2:11">
      <c r="B2955" s="97" t="str">
        <f ca="1">IF(A2955="","Date",IF(A2955&lt;&gt;"",IF(B2955="Date",NOW(),B2955),""))</f>
        <v>Date</v>
      </c>
      <c r="C2955" s="19" t="str">
        <f>IF(ISBLANK(A2955),"Name",IF(ISNA(VLOOKUP(A2955,'Master List'!A:C,2,FALSE)), "Not Found", VLOOKUP(A2955,'Master List'!A:C,2,FALSE)))</f>
        <v>Name</v>
      </c>
      <c r="D2955" s="19" t="str">
        <f>IF(ISBLANK(A2955), "Email",IF(ISNA(VLOOKUP(A2955,'Master List'!A:C,3,FALSE)), "Not Found", VLOOKUP(A2955,'Master List'!A:C,3,FALSE)))</f>
        <v>Email</v>
      </c>
      <c r="F2955" s="4" t="str">
        <f>IF(OR(A2955="",E2955="","",A2955="?",E2955="?"),"duplicate?",IF(COUNTIFS($A:A,A2955,E:E,E2955)&gt;1,"yes","no"))</f>
        <v>duplicate?</v>
      </c>
      <c r="K2955" s="97" t="str">
        <f ca="1">IF(J2955="","Date",IF(J2955&lt;&gt;"",IF(K2955="Date",NOW(),K2955),""))</f>
        <v>Date</v>
      </c>
    </row>
    <row r="2956" spans="2:11">
      <c r="B2956" s="97" t="str">
        <f ca="1">IF(A2956="","Date",IF(A2956&lt;&gt;"",IF(B2956="Date",NOW(),B2956),""))</f>
        <v>Date</v>
      </c>
      <c r="C2956" s="19" t="str">
        <f>IF(ISBLANK(A2956),"Name",IF(ISNA(VLOOKUP(A2956,'Master List'!A:C,2,FALSE)), "Not Found", VLOOKUP(A2956,'Master List'!A:C,2,FALSE)))</f>
        <v>Name</v>
      </c>
      <c r="D2956" s="19" t="str">
        <f>IF(ISBLANK(A2956), "Email",IF(ISNA(VLOOKUP(A2956,'Master List'!A:C,3,FALSE)), "Not Found", VLOOKUP(A2956,'Master List'!A:C,3,FALSE)))</f>
        <v>Email</v>
      </c>
      <c r="F2956" s="4" t="str">
        <f>IF(OR(A2956="",E2956="","",A2956="?",E2956="?"),"duplicate?",IF(COUNTIFS($A:A,A2956,E:E,E2956)&gt;1,"yes","no"))</f>
        <v>duplicate?</v>
      </c>
      <c r="K2956" s="97" t="str">
        <f ca="1">IF(J2956="","Date",IF(J2956&lt;&gt;"",IF(K2956="Date",NOW(),K2956),""))</f>
        <v>Date</v>
      </c>
    </row>
    <row r="2957" spans="2:11">
      <c r="B2957" s="97" t="str">
        <f ca="1">IF(A2957="","Date",IF(A2957&lt;&gt;"",IF(B2957="Date",NOW(),B2957),""))</f>
        <v>Date</v>
      </c>
      <c r="C2957" s="19" t="str">
        <f>IF(ISBLANK(A2957),"Name",IF(ISNA(VLOOKUP(A2957,'Master List'!A:C,2,FALSE)), "Not Found", VLOOKUP(A2957,'Master List'!A:C,2,FALSE)))</f>
        <v>Name</v>
      </c>
      <c r="D2957" s="19" t="str">
        <f>IF(ISBLANK(A2957), "Email",IF(ISNA(VLOOKUP(A2957,'Master List'!A:C,3,FALSE)), "Not Found", VLOOKUP(A2957,'Master List'!A:C,3,FALSE)))</f>
        <v>Email</v>
      </c>
      <c r="F2957" s="4" t="str">
        <f>IF(OR(A2957="",E2957="","",A2957="?",E2957="?"),"duplicate?",IF(COUNTIFS($A:A,A2957,E:E,E2957)&gt;1,"yes","no"))</f>
        <v>duplicate?</v>
      </c>
      <c r="K2957" s="97" t="str">
        <f ca="1">IF(J2957="","Date",IF(J2957&lt;&gt;"",IF(K2957="Date",NOW(),K2957),""))</f>
        <v>Date</v>
      </c>
    </row>
    <row r="2958" spans="2:11">
      <c r="B2958" s="97" t="str">
        <f ca="1">IF(A2958="","Date",IF(A2958&lt;&gt;"",IF(B2958="Date",NOW(),B2958),""))</f>
        <v>Date</v>
      </c>
      <c r="C2958" s="19" t="str">
        <f>IF(ISBLANK(A2958),"Name",IF(ISNA(VLOOKUP(A2958,'Master List'!A:C,2,FALSE)), "Not Found", VLOOKUP(A2958,'Master List'!A:C,2,FALSE)))</f>
        <v>Name</v>
      </c>
      <c r="D2958" s="19" t="str">
        <f>IF(ISBLANK(A2958), "Email",IF(ISNA(VLOOKUP(A2958,'Master List'!A:C,3,FALSE)), "Not Found", VLOOKUP(A2958,'Master List'!A:C,3,FALSE)))</f>
        <v>Email</v>
      </c>
      <c r="F2958" s="4" t="str">
        <f>IF(OR(A2958="",E2958="","",A2958="?",E2958="?"),"duplicate?",IF(COUNTIFS($A:A,A2958,E:E,E2958)&gt;1,"yes","no"))</f>
        <v>duplicate?</v>
      </c>
      <c r="K2958" s="97" t="str">
        <f ca="1">IF(J2958="","Date",IF(J2958&lt;&gt;"",IF(K2958="Date",NOW(),K2958),""))</f>
        <v>Date</v>
      </c>
    </row>
    <row r="2959" spans="2:11">
      <c r="B2959" s="97" t="str">
        <f ca="1">IF(A2959="","Date",IF(A2959&lt;&gt;"",IF(B2959="Date",NOW(),B2959),""))</f>
        <v>Date</v>
      </c>
      <c r="C2959" s="19" t="str">
        <f>IF(ISBLANK(A2959),"Name",IF(ISNA(VLOOKUP(A2959,'Master List'!A:C,2,FALSE)), "Not Found", VLOOKUP(A2959,'Master List'!A:C,2,FALSE)))</f>
        <v>Name</v>
      </c>
      <c r="D2959" s="19" t="str">
        <f>IF(ISBLANK(A2959), "Email",IF(ISNA(VLOOKUP(A2959,'Master List'!A:C,3,FALSE)), "Not Found", VLOOKUP(A2959,'Master List'!A:C,3,FALSE)))</f>
        <v>Email</v>
      </c>
      <c r="F2959" s="4" t="str">
        <f>IF(OR(A2959="",E2959="","",A2959="?",E2959="?"),"duplicate?",IF(COUNTIFS($A:A,A2959,E:E,E2959)&gt;1,"yes","no"))</f>
        <v>duplicate?</v>
      </c>
      <c r="K2959" s="97" t="str">
        <f ca="1">IF(J2959="","Date",IF(J2959&lt;&gt;"",IF(K2959="Date",NOW(),K2959),""))</f>
        <v>Date</v>
      </c>
    </row>
    <row r="2960" spans="2:11">
      <c r="B2960" s="97" t="str">
        <f ca="1">IF(A2960="","Date",IF(A2960&lt;&gt;"",IF(B2960="Date",NOW(),B2960),""))</f>
        <v>Date</v>
      </c>
      <c r="C2960" s="19" t="str">
        <f>IF(ISBLANK(A2960),"Name",IF(ISNA(VLOOKUP(A2960,'Master List'!A:C,2,FALSE)), "Not Found", VLOOKUP(A2960,'Master List'!A:C,2,FALSE)))</f>
        <v>Name</v>
      </c>
      <c r="D2960" s="19" t="str">
        <f>IF(ISBLANK(A2960), "Email",IF(ISNA(VLOOKUP(A2960,'Master List'!A:C,3,FALSE)), "Not Found", VLOOKUP(A2960,'Master List'!A:C,3,FALSE)))</f>
        <v>Email</v>
      </c>
      <c r="F2960" s="4" t="str">
        <f>IF(OR(A2960="",E2960="","",A2960="?",E2960="?"),"duplicate?",IF(COUNTIFS($A:A,A2960,E:E,E2960)&gt;1,"yes","no"))</f>
        <v>duplicate?</v>
      </c>
      <c r="K2960" s="97" t="str">
        <f ca="1">IF(J2960="","Date",IF(J2960&lt;&gt;"",IF(K2960="Date",NOW(),K2960),""))</f>
        <v>Date</v>
      </c>
    </row>
    <row r="2961" spans="2:11">
      <c r="B2961" s="97" t="str">
        <f ca="1">IF(A2961="","Date",IF(A2961&lt;&gt;"",IF(B2961="Date",NOW(),B2961),""))</f>
        <v>Date</v>
      </c>
      <c r="C2961" s="19" t="str">
        <f>IF(ISBLANK(A2961),"Name",IF(ISNA(VLOOKUP(A2961,'Master List'!A:C,2,FALSE)), "Not Found", VLOOKUP(A2961,'Master List'!A:C,2,FALSE)))</f>
        <v>Name</v>
      </c>
      <c r="D2961" s="19" t="str">
        <f>IF(ISBLANK(A2961), "Email",IF(ISNA(VLOOKUP(A2961,'Master List'!A:C,3,FALSE)), "Not Found", VLOOKUP(A2961,'Master List'!A:C,3,FALSE)))</f>
        <v>Email</v>
      </c>
      <c r="F2961" s="4" t="str">
        <f>IF(OR(A2961="",E2961="","",A2961="?",E2961="?"),"duplicate?",IF(COUNTIFS($A:A,A2961,E:E,E2961)&gt;1,"yes","no"))</f>
        <v>duplicate?</v>
      </c>
      <c r="K2961" s="97" t="str">
        <f ca="1">IF(J2961="","Date",IF(J2961&lt;&gt;"",IF(K2961="Date",NOW(),K2961),""))</f>
        <v>Date</v>
      </c>
    </row>
    <row r="2962" spans="2:11">
      <c r="B2962" s="97" t="str">
        <f ca="1">IF(A2962="","Date",IF(A2962&lt;&gt;"",IF(B2962="Date",NOW(),B2962),""))</f>
        <v>Date</v>
      </c>
      <c r="C2962" s="19" t="str">
        <f>IF(ISBLANK(A2962),"Name",IF(ISNA(VLOOKUP(A2962,'Master List'!A:C,2,FALSE)), "Not Found", VLOOKUP(A2962,'Master List'!A:C,2,FALSE)))</f>
        <v>Name</v>
      </c>
      <c r="D2962" s="19" t="str">
        <f>IF(ISBLANK(A2962), "Email",IF(ISNA(VLOOKUP(A2962,'Master List'!A:C,3,FALSE)), "Not Found", VLOOKUP(A2962,'Master List'!A:C,3,FALSE)))</f>
        <v>Email</v>
      </c>
      <c r="F2962" s="4" t="str">
        <f>IF(OR(A2962="",E2962="","",A2962="?",E2962="?"),"duplicate?",IF(COUNTIFS($A:A,A2962,E:E,E2962)&gt;1,"yes","no"))</f>
        <v>duplicate?</v>
      </c>
      <c r="K2962" s="97" t="str">
        <f ca="1">IF(J2962="","Date",IF(J2962&lt;&gt;"",IF(K2962="Date",NOW(),K2962),""))</f>
        <v>Date</v>
      </c>
    </row>
    <row r="2963" spans="2:11">
      <c r="B2963" s="97" t="str">
        <f ca="1">IF(A2963="","Date",IF(A2963&lt;&gt;"",IF(B2963="Date",NOW(),B2963),""))</f>
        <v>Date</v>
      </c>
      <c r="C2963" s="19" t="str">
        <f>IF(ISBLANK(A2963),"Name",IF(ISNA(VLOOKUP(A2963,'Master List'!A:C,2,FALSE)), "Not Found", VLOOKUP(A2963,'Master List'!A:C,2,FALSE)))</f>
        <v>Name</v>
      </c>
      <c r="D2963" s="19" t="str">
        <f>IF(ISBLANK(A2963), "Email",IF(ISNA(VLOOKUP(A2963,'Master List'!A:C,3,FALSE)), "Not Found", VLOOKUP(A2963,'Master List'!A:C,3,FALSE)))</f>
        <v>Email</v>
      </c>
      <c r="F2963" s="4" t="str">
        <f>IF(OR(A2963="",E2963="","",A2963="?",E2963="?"),"duplicate?",IF(COUNTIFS($A:A,A2963,E:E,E2963)&gt;1,"yes","no"))</f>
        <v>duplicate?</v>
      </c>
      <c r="K2963" s="97" t="str">
        <f ca="1">IF(J2963="","Date",IF(J2963&lt;&gt;"",IF(K2963="Date",NOW(),K2963),""))</f>
        <v>Date</v>
      </c>
    </row>
    <row r="2964" spans="2:11">
      <c r="B2964" s="97" t="str">
        <f ca="1">IF(A2964="","Date",IF(A2964&lt;&gt;"",IF(B2964="Date",NOW(),B2964),""))</f>
        <v>Date</v>
      </c>
      <c r="C2964" s="19" t="str">
        <f>IF(ISBLANK(A2964),"Name",IF(ISNA(VLOOKUP(A2964,'Master List'!A:C,2,FALSE)), "Not Found", VLOOKUP(A2964,'Master List'!A:C,2,FALSE)))</f>
        <v>Name</v>
      </c>
      <c r="D2964" s="19" t="str">
        <f>IF(ISBLANK(A2964), "Email",IF(ISNA(VLOOKUP(A2964,'Master List'!A:C,3,FALSE)), "Not Found", VLOOKUP(A2964,'Master List'!A:C,3,FALSE)))</f>
        <v>Email</v>
      </c>
      <c r="F2964" s="4" t="str">
        <f>IF(OR(A2964="",E2964="","",A2964="?",E2964="?"),"duplicate?",IF(COUNTIFS($A:A,A2964,E:E,E2964)&gt;1,"yes","no"))</f>
        <v>duplicate?</v>
      </c>
      <c r="K2964" s="97" t="str">
        <f ca="1">IF(J2964="","Date",IF(J2964&lt;&gt;"",IF(K2964="Date",NOW(),K2964),""))</f>
        <v>Date</v>
      </c>
    </row>
    <row r="2965" spans="2:11">
      <c r="B2965" s="97" t="str">
        <f ca="1">IF(A2965="","Date",IF(A2965&lt;&gt;"",IF(B2965="Date",NOW(),B2965),""))</f>
        <v>Date</v>
      </c>
      <c r="C2965" s="19" t="str">
        <f>IF(ISBLANK(A2965),"Name",IF(ISNA(VLOOKUP(A2965,'Master List'!A:C,2,FALSE)), "Not Found", VLOOKUP(A2965,'Master List'!A:C,2,FALSE)))</f>
        <v>Name</v>
      </c>
      <c r="D2965" s="19" t="str">
        <f>IF(ISBLANK(A2965), "Email",IF(ISNA(VLOOKUP(A2965,'Master List'!A:C,3,FALSE)), "Not Found", VLOOKUP(A2965,'Master List'!A:C,3,FALSE)))</f>
        <v>Email</v>
      </c>
      <c r="F2965" s="4" t="str">
        <f>IF(OR(A2965="",E2965="","",A2965="?",E2965="?"),"duplicate?",IF(COUNTIFS($A:A,A2965,E:E,E2965)&gt;1,"yes","no"))</f>
        <v>duplicate?</v>
      </c>
      <c r="K2965" s="97" t="str">
        <f ca="1">IF(J2965="","Date",IF(J2965&lt;&gt;"",IF(K2965="Date",NOW(),K2965),""))</f>
        <v>Date</v>
      </c>
    </row>
    <row r="2966" spans="2:11">
      <c r="B2966" s="97" t="str">
        <f ca="1">IF(A2966="","Date",IF(A2966&lt;&gt;"",IF(B2966="Date",NOW(),B2966),""))</f>
        <v>Date</v>
      </c>
      <c r="C2966" s="19" t="str">
        <f>IF(ISBLANK(A2966),"Name",IF(ISNA(VLOOKUP(A2966,'Master List'!A:C,2,FALSE)), "Not Found", VLOOKUP(A2966,'Master List'!A:C,2,FALSE)))</f>
        <v>Name</v>
      </c>
      <c r="D2966" s="19" t="str">
        <f>IF(ISBLANK(A2966), "Email",IF(ISNA(VLOOKUP(A2966,'Master List'!A:C,3,FALSE)), "Not Found", VLOOKUP(A2966,'Master List'!A:C,3,FALSE)))</f>
        <v>Email</v>
      </c>
      <c r="F2966" s="4" t="str">
        <f>IF(OR(A2966="",E2966="","",A2966="?",E2966="?"),"duplicate?",IF(COUNTIFS($A:A,A2966,E:E,E2966)&gt;1,"yes","no"))</f>
        <v>duplicate?</v>
      </c>
      <c r="K2966" s="97" t="str">
        <f ca="1">IF(J2966="","Date",IF(J2966&lt;&gt;"",IF(K2966="Date",NOW(),K2966),""))</f>
        <v>Date</v>
      </c>
    </row>
    <row r="2967" spans="2:11">
      <c r="B2967" s="97" t="str">
        <f ca="1">IF(A2967="","Date",IF(A2967&lt;&gt;"",IF(B2967="Date",NOW(),B2967),""))</f>
        <v>Date</v>
      </c>
      <c r="C2967" s="19" t="str">
        <f>IF(ISBLANK(A2967),"Name",IF(ISNA(VLOOKUP(A2967,'Master List'!A:C,2,FALSE)), "Not Found", VLOOKUP(A2967,'Master List'!A:C,2,FALSE)))</f>
        <v>Name</v>
      </c>
      <c r="D2967" s="19" t="str">
        <f>IF(ISBLANK(A2967), "Email",IF(ISNA(VLOOKUP(A2967,'Master List'!A:C,3,FALSE)), "Not Found", VLOOKUP(A2967,'Master List'!A:C,3,FALSE)))</f>
        <v>Email</v>
      </c>
      <c r="F2967" s="4" t="str">
        <f>IF(OR(A2967="",E2967="","",A2967="?",E2967="?"),"duplicate?",IF(COUNTIFS($A:A,A2967,E:E,E2967)&gt;1,"yes","no"))</f>
        <v>duplicate?</v>
      </c>
      <c r="K2967" s="97" t="str">
        <f ca="1">IF(J2967="","Date",IF(J2967&lt;&gt;"",IF(K2967="Date",NOW(),K2967),""))</f>
        <v>Date</v>
      </c>
    </row>
    <row r="2968" spans="2:11">
      <c r="B2968" s="97" t="str">
        <f ca="1">IF(A2968="","Date",IF(A2968&lt;&gt;"",IF(B2968="Date",NOW(),B2968),""))</f>
        <v>Date</v>
      </c>
      <c r="C2968" s="19" t="str">
        <f>IF(ISBLANK(A2968),"Name",IF(ISNA(VLOOKUP(A2968,'Master List'!A:C,2,FALSE)), "Not Found", VLOOKUP(A2968,'Master List'!A:C,2,FALSE)))</f>
        <v>Name</v>
      </c>
      <c r="D2968" s="19" t="str">
        <f>IF(ISBLANK(A2968), "Email",IF(ISNA(VLOOKUP(A2968,'Master List'!A:C,3,FALSE)), "Not Found", VLOOKUP(A2968,'Master List'!A:C,3,FALSE)))</f>
        <v>Email</v>
      </c>
      <c r="F2968" s="4" t="str">
        <f>IF(OR(A2968="",E2968="","",A2968="?",E2968="?"),"duplicate?",IF(COUNTIFS($A:A,A2968,E:E,E2968)&gt;1,"yes","no"))</f>
        <v>duplicate?</v>
      </c>
      <c r="K2968" s="97" t="str">
        <f ca="1">IF(J2968="","Date",IF(J2968&lt;&gt;"",IF(K2968="Date",NOW(),K2968),""))</f>
        <v>Date</v>
      </c>
    </row>
    <row r="2969" spans="2:11">
      <c r="B2969" s="97" t="str">
        <f ca="1">IF(A2969="","Date",IF(A2969&lt;&gt;"",IF(B2969="Date",NOW(),B2969),""))</f>
        <v>Date</v>
      </c>
      <c r="C2969" s="19" t="str">
        <f>IF(ISBLANK(A2969),"Name",IF(ISNA(VLOOKUP(A2969,'Master List'!A:C,2,FALSE)), "Not Found", VLOOKUP(A2969,'Master List'!A:C,2,FALSE)))</f>
        <v>Name</v>
      </c>
      <c r="D2969" s="19" t="str">
        <f>IF(ISBLANK(A2969), "Email",IF(ISNA(VLOOKUP(A2969,'Master List'!A:C,3,FALSE)), "Not Found", VLOOKUP(A2969,'Master List'!A:C,3,FALSE)))</f>
        <v>Email</v>
      </c>
      <c r="F2969" s="4" t="str">
        <f>IF(OR(A2969="",E2969="","",A2969="?",E2969="?"),"duplicate?",IF(COUNTIFS($A:A,A2969,E:E,E2969)&gt;1,"yes","no"))</f>
        <v>duplicate?</v>
      </c>
      <c r="K2969" s="97" t="str">
        <f ca="1">IF(J2969="","Date",IF(J2969&lt;&gt;"",IF(K2969="Date",NOW(),K2969),""))</f>
        <v>Date</v>
      </c>
    </row>
    <row r="2970" spans="2:11">
      <c r="B2970" s="97" t="str">
        <f ca="1">IF(A2970="","Date",IF(A2970&lt;&gt;"",IF(B2970="Date",NOW(),B2970),""))</f>
        <v>Date</v>
      </c>
      <c r="C2970" s="19" t="str">
        <f>IF(ISBLANK(A2970),"Name",IF(ISNA(VLOOKUP(A2970,'Master List'!A:C,2,FALSE)), "Not Found", VLOOKUP(A2970,'Master List'!A:C,2,FALSE)))</f>
        <v>Name</v>
      </c>
      <c r="D2970" s="19" t="str">
        <f>IF(ISBLANK(A2970), "Email",IF(ISNA(VLOOKUP(A2970,'Master List'!A:C,3,FALSE)), "Not Found", VLOOKUP(A2970,'Master List'!A:C,3,FALSE)))</f>
        <v>Email</v>
      </c>
      <c r="F2970" s="4" t="str">
        <f>IF(OR(A2970="",E2970="","",A2970="?",E2970="?"),"duplicate?",IF(COUNTIFS($A:A,A2970,E:E,E2970)&gt;1,"yes","no"))</f>
        <v>duplicate?</v>
      </c>
      <c r="K2970" s="97" t="str">
        <f ca="1">IF(J2970="","Date",IF(J2970&lt;&gt;"",IF(K2970="Date",NOW(),K2970),""))</f>
        <v>Date</v>
      </c>
    </row>
    <row r="2971" spans="2:11">
      <c r="B2971" s="97" t="str">
        <f ca="1">IF(A2971="","Date",IF(A2971&lt;&gt;"",IF(B2971="Date",NOW(),B2971),""))</f>
        <v>Date</v>
      </c>
      <c r="C2971" s="19" t="str">
        <f>IF(ISBLANK(A2971),"Name",IF(ISNA(VLOOKUP(A2971,'Master List'!A:C,2,FALSE)), "Not Found", VLOOKUP(A2971,'Master List'!A:C,2,FALSE)))</f>
        <v>Name</v>
      </c>
      <c r="D2971" s="19" t="str">
        <f>IF(ISBLANK(A2971), "Email",IF(ISNA(VLOOKUP(A2971,'Master List'!A:C,3,FALSE)), "Not Found", VLOOKUP(A2971,'Master List'!A:C,3,FALSE)))</f>
        <v>Email</v>
      </c>
      <c r="F2971" s="4" t="str">
        <f>IF(OR(A2971="",E2971="","",A2971="?",E2971="?"),"duplicate?",IF(COUNTIFS($A:A,A2971,E:E,E2971)&gt;1,"yes","no"))</f>
        <v>duplicate?</v>
      </c>
      <c r="K2971" s="97" t="str">
        <f ca="1">IF(J2971="","Date",IF(J2971&lt;&gt;"",IF(K2971="Date",NOW(),K2971),""))</f>
        <v>Date</v>
      </c>
    </row>
    <row r="2972" spans="2:11">
      <c r="B2972" s="97" t="str">
        <f ca="1">IF(A2972="","Date",IF(A2972&lt;&gt;"",IF(B2972="Date",NOW(),B2972),""))</f>
        <v>Date</v>
      </c>
      <c r="C2972" s="19" t="str">
        <f>IF(ISBLANK(A2972),"Name",IF(ISNA(VLOOKUP(A2972,'Master List'!A:C,2,FALSE)), "Not Found", VLOOKUP(A2972,'Master List'!A:C,2,FALSE)))</f>
        <v>Name</v>
      </c>
      <c r="D2972" s="19" t="str">
        <f>IF(ISBLANK(A2972), "Email",IF(ISNA(VLOOKUP(A2972,'Master List'!A:C,3,FALSE)), "Not Found", VLOOKUP(A2972,'Master List'!A:C,3,FALSE)))</f>
        <v>Email</v>
      </c>
      <c r="F2972" s="4" t="str">
        <f>IF(OR(A2972="",E2972="","",A2972="?",E2972="?"),"duplicate?",IF(COUNTIFS($A:A,A2972,E:E,E2972)&gt;1,"yes","no"))</f>
        <v>duplicate?</v>
      </c>
      <c r="K2972" s="97" t="str">
        <f ca="1">IF(J2972="","Date",IF(J2972&lt;&gt;"",IF(K2972="Date",NOW(),K2972),""))</f>
        <v>Date</v>
      </c>
    </row>
    <row r="2973" spans="2:11">
      <c r="B2973" s="97" t="str">
        <f ca="1">IF(A2973="","Date",IF(A2973&lt;&gt;"",IF(B2973="Date",NOW(),B2973),""))</f>
        <v>Date</v>
      </c>
      <c r="C2973" s="19" t="str">
        <f>IF(ISBLANK(A2973),"Name",IF(ISNA(VLOOKUP(A2973,'Master List'!A:C,2,FALSE)), "Not Found", VLOOKUP(A2973,'Master List'!A:C,2,FALSE)))</f>
        <v>Name</v>
      </c>
      <c r="D2973" s="19" t="str">
        <f>IF(ISBLANK(A2973), "Email",IF(ISNA(VLOOKUP(A2973,'Master List'!A:C,3,FALSE)), "Not Found", VLOOKUP(A2973,'Master List'!A:C,3,FALSE)))</f>
        <v>Email</v>
      </c>
      <c r="F2973" s="4" t="str">
        <f>IF(OR(A2973="",E2973="","",A2973="?",E2973="?"),"duplicate?",IF(COUNTIFS($A:A,A2973,E:E,E2973)&gt;1,"yes","no"))</f>
        <v>duplicate?</v>
      </c>
      <c r="K2973" s="97" t="str">
        <f ca="1">IF(J2973="","Date",IF(J2973&lt;&gt;"",IF(K2973="Date",NOW(),K2973),""))</f>
        <v>Date</v>
      </c>
    </row>
    <row r="2974" spans="2:11">
      <c r="B2974" s="97" t="str">
        <f ca="1">IF(A2974="","Date",IF(A2974&lt;&gt;"",IF(B2974="Date",NOW(),B2974),""))</f>
        <v>Date</v>
      </c>
      <c r="C2974" s="19" t="str">
        <f>IF(ISBLANK(A2974),"Name",IF(ISNA(VLOOKUP(A2974,'Master List'!A:C,2,FALSE)), "Not Found", VLOOKUP(A2974,'Master List'!A:C,2,FALSE)))</f>
        <v>Name</v>
      </c>
      <c r="D2974" s="19" t="str">
        <f>IF(ISBLANK(A2974), "Email",IF(ISNA(VLOOKUP(A2974,'Master List'!A:C,3,FALSE)), "Not Found", VLOOKUP(A2974,'Master List'!A:C,3,FALSE)))</f>
        <v>Email</v>
      </c>
      <c r="F2974" s="4" t="str">
        <f>IF(OR(A2974="",E2974="","",A2974="?",E2974="?"),"duplicate?",IF(COUNTIFS($A:A,A2974,E:E,E2974)&gt;1,"yes","no"))</f>
        <v>duplicate?</v>
      </c>
      <c r="K2974" s="97" t="str">
        <f ca="1">IF(J2974="","Date",IF(J2974&lt;&gt;"",IF(K2974="Date",NOW(),K2974),""))</f>
        <v>Date</v>
      </c>
    </row>
    <row r="2975" spans="2:11">
      <c r="B2975" s="97" t="str">
        <f ca="1">IF(A2975="","Date",IF(A2975&lt;&gt;"",IF(B2975="Date",NOW(),B2975),""))</f>
        <v>Date</v>
      </c>
      <c r="C2975" s="19" t="str">
        <f>IF(ISBLANK(A2975),"Name",IF(ISNA(VLOOKUP(A2975,'Master List'!A:C,2,FALSE)), "Not Found", VLOOKUP(A2975,'Master List'!A:C,2,FALSE)))</f>
        <v>Name</v>
      </c>
      <c r="D2975" s="19" t="str">
        <f>IF(ISBLANK(A2975), "Email",IF(ISNA(VLOOKUP(A2975,'Master List'!A:C,3,FALSE)), "Not Found", VLOOKUP(A2975,'Master List'!A:C,3,FALSE)))</f>
        <v>Email</v>
      </c>
      <c r="F2975" s="4" t="str">
        <f>IF(OR(A2975="",E2975="","",A2975="?",E2975="?"),"duplicate?",IF(COUNTIFS($A:A,A2975,E:E,E2975)&gt;1,"yes","no"))</f>
        <v>duplicate?</v>
      </c>
      <c r="K2975" s="97" t="str">
        <f ca="1">IF(J2975="","Date",IF(J2975&lt;&gt;"",IF(K2975="Date",NOW(),K2975),""))</f>
        <v>Date</v>
      </c>
    </row>
    <row r="2976" spans="2:11">
      <c r="B2976" s="97" t="str">
        <f ca="1">IF(A2976="","Date",IF(A2976&lt;&gt;"",IF(B2976="Date",NOW(),B2976),""))</f>
        <v>Date</v>
      </c>
      <c r="C2976" s="19" t="str">
        <f>IF(ISBLANK(A2976),"Name",IF(ISNA(VLOOKUP(A2976,'Master List'!A:C,2,FALSE)), "Not Found", VLOOKUP(A2976,'Master List'!A:C,2,FALSE)))</f>
        <v>Name</v>
      </c>
      <c r="D2976" s="19" t="str">
        <f>IF(ISBLANK(A2976), "Email",IF(ISNA(VLOOKUP(A2976,'Master List'!A:C,3,FALSE)), "Not Found", VLOOKUP(A2976,'Master List'!A:C,3,FALSE)))</f>
        <v>Email</v>
      </c>
      <c r="F2976" s="4" t="str">
        <f>IF(OR(A2976="",E2976="","",A2976="?",E2976="?"),"duplicate?",IF(COUNTIFS($A:A,A2976,E:E,E2976)&gt;1,"yes","no"))</f>
        <v>duplicate?</v>
      </c>
      <c r="K2976" s="97" t="str">
        <f ca="1">IF(J2976="","Date",IF(J2976&lt;&gt;"",IF(K2976="Date",NOW(),K2976),""))</f>
        <v>Date</v>
      </c>
    </row>
    <row r="2977" spans="2:11">
      <c r="B2977" s="97" t="str">
        <f ca="1">IF(A2977="","Date",IF(A2977&lt;&gt;"",IF(B2977="Date",NOW(),B2977),""))</f>
        <v>Date</v>
      </c>
      <c r="C2977" s="19" t="str">
        <f>IF(ISBLANK(A2977),"Name",IF(ISNA(VLOOKUP(A2977,'Master List'!A:C,2,FALSE)), "Not Found", VLOOKUP(A2977,'Master List'!A:C,2,FALSE)))</f>
        <v>Name</v>
      </c>
      <c r="D2977" s="19" t="str">
        <f>IF(ISBLANK(A2977), "Email",IF(ISNA(VLOOKUP(A2977,'Master List'!A:C,3,FALSE)), "Not Found", VLOOKUP(A2977,'Master List'!A:C,3,FALSE)))</f>
        <v>Email</v>
      </c>
      <c r="F2977" s="4" t="str">
        <f>IF(OR(A2977="",E2977="","",A2977="?",E2977="?"),"duplicate?",IF(COUNTIFS($A:A,A2977,E:E,E2977)&gt;1,"yes","no"))</f>
        <v>duplicate?</v>
      </c>
      <c r="K2977" s="97" t="str">
        <f ca="1">IF(J2977="","Date",IF(J2977&lt;&gt;"",IF(K2977="Date",NOW(),K2977),""))</f>
        <v>Date</v>
      </c>
    </row>
    <row r="2978" spans="2:11">
      <c r="B2978" s="97" t="str">
        <f ca="1">IF(A2978="","Date",IF(A2978&lt;&gt;"",IF(B2978="Date",NOW(),B2978),""))</f>
        <v>Date</v>
      </c>
      <c r="C2978" s="19" t="str">
        <f>IF(ISBLANK(A2978),"Name",IF(ISNA(VLOOKUP(A2978,'Master List'!A:C,2,FALSE)), "Not Found", VLOOKUP(A2978,'Master List'!A:C,2,FALSE)))</f>
        <v>Name</v>
      </c>
      <c r="D2978" s="19" t="str">
        <f>IF(ISBLANK(A2978), "Email",IF(ISNA(VLOOKUP(A2978,'Master List'!A:C,3,FALSE)), "Not Found", VLOOKUP(A2978,'Master List'!A:C,3,FALSE)))</f>
        <v>Email</v>
      </c>
      <c r="F2978" s="4" t="str">
        <f>IF(OR(A2978="",E2978="","",A2978="?",E2978="?"),"duplicate?",IF(COUNTIFS($A:A,A2978,E:E,E2978)&gt;1,"yes","no"))</f>
        <v>duplicate?</v>
      </c>
      <c r="K2978" s="97" t="str">
        <f ca="1">IF(J2978="","Date",IF(J2978&lt;&gt;"",IF(K2978="Date",NOW(),K2978),""))</f>
        <v>Date</v>
      </c>
    </row>
    <row r="2979" spans="2:11">
      <c r="B2979" s="97" t="str">
        <f ca="1">IF(A2979="","Date",IF(A2979&lt;&gt;"",IF(B2979="Date",NOW(),B2979),""))</f>
        <v>Date</v>
      </c>
      <c r="C2979" s="19" t="str">
        <f>IF(ISBLANK(A2979),"Name",IF(ISNA(VLOOKUP(A2979,'Master List'!A:C,2,FALSE)), "Not Found", VLOOKUP(A2979,'Master List'!A:C,2,FALSE)))</f>
        <v>Name</v>
      </c>
      <c r="D2979" s="19" t="str">
        <f>IF(ISBLANK(A2979), "Email",IF(ISNA(VLOOKUP(A2979,'Master List'!A:C,3,FALSE)), "Not Found", VLOOKUP(A2979,'Master List'!A:C,3,FALSE)))</f>
        <v>Email</v>
      </c>
      <c r="F2979" s="4" t="str">
        <f>IF(OR(A2979="",E2979="","",A2979="?",E2979="?"),"duplicate?",IF(COUNTIFS($A:A,A2979,E:E,E2979)&gt;1,"yes","no"))</f>
        <v>duplicate?</v>
      </c>
      <c r="K2979" s="97" t="str">
        <f ca="1">IF(J2979="","Date",IF(J2979&lt;&gt;"",IF(K2979="Date",NOW(),K2979),""))</f>
        <v>Date</v>
      </c>
    </row>
    <row r="2980" spans="2:11">
      <c r="B2980" s="97" t="str">
        <f ca="1">IF(A2980="","Date",IF(A2980&lt;&gt;"",IF(B2980="Date",NOW(),B2980),""))</f>
        <v>Date</v>
      </c>
      <c r="C2980" s="19" t="str">
        <f>IF(ISBLANK(A2980),"Name",IF(ISNA(VLOOKUP(A2980,'Master List'!A:C,2,FALSE)), "Not Found", VLOOKUP(A2980,'Master List'!A:C,2,FALSE)))</f>
        <v>Name</v>
      </c>
      <c r="D2980" s="19" t="str">
        <f>IF(ISBLANK(A2980), "Email",IF(ISNA(VLOOKUP(A2980,'Master List'!A:C,3,FALSE)), "Not Found", VLOOKUP(A2980,'Master List'!A:C,3,FALSE)))</f>
        <v>Email</v>
      </c>
      <c r="F2980" s="4" t="str">
        <f>IF(OR(A2980="",E2980="","",A2980="?",E2980="?"),"duplicate?",IF(COUNTIFS($A:A,A2980,E:E,E2980)&gt;1,"yes","no"))</f>
        <v>duplicate?</v>
      </c>
      <c r="K2980" s="97" t="str">
        <f ca="1">IF(J2980="","Date",IF(J2980&lt;&gt;"",IF(K2980="Date",NOW(),K2980),""))</f>
        <v>Date</v>
      </c>
    </row>
    <row r="2981" spans="2:11">
      <c r="B2981" s="97" t="str">
        <f ca="1">IF(A2981="","Date",IF(A2981&lt;&gt;"",IF(B2981="Date",NOW(),B2981),""))</f>
        <v>Date</v>
      </c>
      <c r="C2981" s="19" t="str">
        <f>IF(ISBLANK(A2981),"Name",IF(ISNA(VLOOKUP(A2981,'Master List'!A:C,2,FALSE)), "Not Found", VLOOKUP(A2981,'Master List'!A:C,2,FALSE)))</f>
        <v>Name</v>
      </c>
      <c r="D2981" s="19" t="str">
        <f>IF(ISBLANK(A2981), "Email",IF(ISNA(VLOOKUP(A2981,'Master List'!A:C,3,FALSE)), "Not Found", VLOOKUP(A2981,'Master List'!A:C,3,FALSE)))</f>
        <v>Email</v>
      </c>
      <c r="F2981" s="4" t="str">
        <f>IF(OR(A2981="",E2981="","",A2981="?",E2981="?"),"duplicate?",IF(COUNTIFS($A:A,A2981,E:E,E2981)&gt;1,"yes","no"))</f>
        <v>duplicate?</v>
      </c>
      <c r="K2981" s="97" t="str">
        <f ca="1">IF(J2981="","Date",IF(J2981&lt;&gt;"",IF(K2981="Date",NOW(),K2981),""))</f>
        <v>Date</v>
      </c>
    </row>
    <row r="2982" spans="2:11">
      <c r="B2982" s="97" t="str">
        <f ca="1">IF(A2982="","Date",IF(A2982&lt;&gt;"",IF(B2982="Date",NOW(),B2982),""))</f>
        <v>Date</v>
      </c>
      <c r="C2982" s="19" t="str">
        <f>IF(ISBLANK(A2982),"Name",IF(ISNA(VLOOKUP(A2982,'Master List'!A:C,2,FALSE)), "Not Found", VLOOKUP(A2982,'Master List'!A:C,2,FALSE)))</f>
        <v>Name</v>
      </c>
      <c r="D2982" s="19" t="str">
        <f>IF(ISBLANK(A2982), "Email",IF(ISNA(VLOOKUP(A2982,'Master List'!A:C,3,FALSE)), "Not Found", VLOOKUP(A2982,'Master List'!A:C,3,FALSE)))</f>
        <v>Email</v>
      </c>
      <c r="F2982" s="4" t="str">
        <f>IF(OR(A2982="",E2982="","",A2982="?",E2982="?"),"duplicate?",IF(COUNTIFS($A:A,A2982,E:E,E2982)&gt;1,"yes","no"))</f>
        <v>duplicate?</v>
      </c>
      <c r="K2982" s="97" t="str">
        <f ca="1">IF(J2982="","Date",IF(J2982&lt;&gt;"",IF(K2982="Date",NOW(),K2982),""))</f>
        <v>Date</v>
      </c>
    </row>
    <row r="2983" spans="2:11">
      <c r="B2983" s="97" t="str">
        <f ca="1">IF(A2983="","Date",IF(A2983&lt;&gt;"",IF(B2983="Date",NOW(),B2983),""))</f>
        <v>Date</v>
      </c>
      <c r="C2983" s="19" t="str">
        <f>IF(ISBLANK(A2983),"Name",IF(ISNA(VLOOKUP(A2983,'Master List'!A:C,2,FALSE)), "Not Found", VLOOKUP(A2983,'Master List'!A:C,2,FALSE)))</f>
        <v>Name</v>
      </c>
      <c r="D2983" s="19" t="str">
        <f>IF(ISBLANK(A2983), "Email",IF(ISNA(VLOOKUP(A2983,'Master List'!A:C,3,FALSE)), "Not Found", VLOOKUP(A2983,'Master List'!A:C,3,FALSE)))</f>
        <v>Email</v>
      </c>
      <c r="F2983" s="4" t="str">
        <f>IF(OR(A2983="",E2983="","",A2983="?",E2983="?"),"duplicate?",IF(COUNTIFS($A:A,A2983,E:E,E2983)&gt;1,"yes","no"))</f>
        <v>duplicate?</v>
      </c>
      <c r="K2983" s="97" t="str">
        <f ca="1">IF(J2983="","Date",IF(J2983&lt;&gt;"",IF(K2983="Date",NOW(),K2983),""))</f>
        <v>Date</v>
      </c>
    </row>
    <row r="2984" spans="2:11">
      <c r="B2984" s="97" t="str">
        <f ca="1">IF(A2984="","Date",IF(A2984&lt;&gt;"",IF(B2984="Date",NOW(),B2984),""))</f>
        <v>Date</v>
      </c>
      <c r="C2984" s="19" t="str">
        <f>IF(ISBLANK(A2984),"Name",IF(ISNA(VLOOKUP(A2984,'Master List'!A:C,2,FALSE)), "Not Found", VLOOKUP(A2984,'Master List'!A:C,2,FALSE)))</f>
        <v>Name</v>
      </c>
      <c r="D2984" s="19" t="str">
        <f>IF(ISBLANK(A2984), "Email",IF(ISNA(VLOOKUP(A2984,'Master List'!A:C,3,FALSE)), "Not Found", VLOOKUP(A2984,'Master List'!A:C,3,FALSE)))</f>
        <v>Email</v>
      </c>
      <c r="F2984" s="4" t="str">
        <f>IF(OR(A2984="",E2984="","",A2984="?",E2984="?"),"duplicate?",IF(COUNTIFS($A:A,A2984,E:E,E2984)&gt;1,"yes","no"))</f>
        <v>duplicate?</v>
      </c>
      <c r="K2984" s="97" t="str">
        <f ca="1">IF(J2984="","Date",IF(J2984&lt;&gt;"",IF(K2984="Date",NOW(),K2984),""))</f>
        <v>Date</v>
      </c>
    </row>
    <row r="2985" spans="2:11">
      <c r="B2985" s="97" t="str">
        <f ca="1">IF(A2985="","Date",IF(A2985&lt;&gt;"",IF(B2985="Date",NOW(),B2985),""))</f>
        <v>Date</v>
      </c>
      <c r="C2985" s="19" t="str">
        <f>IF(ISBLANK(A2985),"Name",IF(ISNA(VLOOKUP(A2985,'Master List'!A:C,2,FALSE)), "Not Found", VLOOKUP(A2985,'Master List'!A:C,2,FALSE)))</f>
        <v>Name</v>
      </c>
      <c r="D2985" s="19" t="str">
        <f>IF(ISBLANK(A2985), "Email",IF(ISNA(VLOOKUP(A2985,'Master List'!A:C,3,FALSE)), "Not Found", VLOOKUP(A2985,'Master List'!A:C,3,FALSE)))</f>
        <v>Email</v>
      </c>
      <c r="F2985" s="4" t="str">
        <f>IF(OR(A2985="",E2985="","",A2985="?",E2985="?"),"duplicate?",IF(COUNTIFS($A:A,A2985,E:E,E2985)&gt;1,"yes","no"))</f>
        <v>duplicate?</v>
      </c>
      <c r="K2985" s="97" t="str">
        <f ca="1">IF(J2985="","Date",IF(J2985&lt;&gt;"",IF(K2985="Date",NOW(),K2985),""))</f>
        <v>Date</v>
      </c>
    </row>
    <row r="2986" spans="2:11">
      <c r="B2986" s="97" t="str">
        <f ca="1">IF(A2986="","Date",IF(A2986&lt;&gt;"",IF(B2986="Date",NOW(),B2986),""))</f>
        <v>Date</v>
      </c>
      <c r="C2986" s="19" t="str">
        <f>IF(ISBLANK(A2986),"Name",IF(ISNA(VLOOKUP(A2986,'Master List'!A:C,2,FALSE)), "Not Found", VLOOKUP(A2986,'Master List'!A:C,2,FALSE)))</f>
        <v>Name</v>
      </c>
      <c r="D2986" s="19" t="str">
        <f>IF(ISBLANK(A2986), "Email",IF(ISNA(VLOOKUP(A2986,'Master List'!A:C,3,FALSE)), "Not Found", VLOOKUP(A2986,'Master List'!A:C,3,FALSE)))</f>
        <v>Email</v>
      </c>
      <c r="F2986" s="4" t="str">
        <f>IF(OR(A2986="",E2986="","",A2986="?",E2986="?"),"duplicate?",IF(COUNTIFS($A:A,A2986,E:E,E2986)&gt;1,"yes","no"))</f>
        <v>duplicate?</v>
      </c>
      <c r="K2986" s="97" t="str">
        <f ca="1">IF(J2986="","Date",IF(J2986&lt;&gt;"",IF(K2986="Date",NOW(),K2986),""))</f>
        <v>Date</v>
      </c>
    </row>
    <row r="2987" spans="2:11">
      <c r="B2987" s="97" t="str">
        <f ca="1">IF(A2987="","Date",IF(A2987&lt;&gt;"",IF(B2987="Date",NOW(),B2987),""))</f>
        <v>Date</v>
      </c>
      <c r="C2987" s="19" t="str">
        <f>IF(ISBLANK(A2987),"Name",IF(ISNA(VLOOKUP(A2987,'Master List'!A:C,2,FALSE)), "Not Found", VLOOKUP(A2987,'Master List'!A:C,2,FALSE)))</f>
        <v>Name</v>
      </c>
      <c r="D2987" s="19" t="str">
        <f>IF(ISBLANK(A2987), "Email",IF(ISNA(VLOOKUP(A2987,'Master List'!A:C,3,FALSE)), "Not Found", VLOOKUP(A2987,'Master List'!A:C,3,FALSE)))</f>
        <v>Email</v>
      </c>
      <c r="F2987" s="4" t="str">
        <f>IF(OR(A2987="",E2987="","",A2987="?",E2987="?"),"duplicate?",IF(COUNTIFS($A:A,A2987,E:E,E2987)&gt;1,"yes","no"))</f>
        <v>duplicate?</v>
      </c>
      <c r="K2987" s="97" t="str">
        <f ca="1">IF(J2987="","Date",IF(J2987&lt;&gt;"",IF(K2987="Date",NOW(),K2987),""))</f>
        <v>Date</v>
      </c>
    </row>
    <row r="2988" spans="2:11">
      <c r="B2988" s="97" t="str">
        <f ca="1">IF(A2988="","Date",IF(A2988&lt;&gt;"",IF(B2988="Date",NOW(),B2988),""))</f>
        <v>Date</v>
      </c>
      <c r="C2988" s="19" t="str">
        <f>IF(ISBLANK(A2988),"Name",IF(ISNA(VLOOKUP(A2988,'Master List'!A:C,2,FALSE)), "Not Found", VLOOKUP(A2988,'Master List'!A:C,2,FALSE)))</f>
        <v>Name</v>
      </c>
      <c r="D2988" s="19" t="str">
        <f>IF(ISBLANK(A2988), "Email",IF(ISNA(VLOOKUP(A2988,'Master List'!A:C,3,FALSE)), "Not Found", VLOOKUP(A2988,'Master List'!A:C,3,FALSE)))</f>
        <v>Email</v>
      </c>
      <c r="F2988" s="4" t="str">
        <f>IF(OR(A2988="",E2988="","",A2988="?",E2988="?"),"duplicate?",IF(COUNTIFS($A:A,A2988,E:E,E2988)&gt;1,"yes","no"))</f>
        <v>duplicate?</v>
      </c>
      <c r="K2988" s="97" t="str">
        <f ca="1">IF(J2988="","Date",IF(J2988&lt;&gt;"",IF(K2988="Date",NOW(),K2988),""))</f>
        <v>Date</v>
      </c>
    </row>
    <row r="2989" spans="2:11">
      <c r="B2989" s="97" t="str">
        <f ca="1">IF(A2989="","Date",IF(A2989&lt;&gt;"",IF(B2989="Date",NOW(),B2989),""))</f>
        <v>Date</v>
      </c>
      <c r="C2989" s="19" t="str">
        <f>IF(ISBLANK(A2989),"Name",IF(ISNA(VLOOKUP(A2989,'Master List'!A:C,2,FALSE)), "Not Found", VLOOKUP(A2989,'Master List'!A:C,2,FALSE)))</f>
        <v>Name</v>
      </c>
      <c r="D2989" s="19" t="str">
        <f>IF(ISBLANK(A2989), "Email",IF(ISNA(VLOOKUP(A2989,'Master List'!A:C,3,FALSE)), "Not Found", VLOOKUP(A2989,'Master List'!A:C,3,FALSE)))</f>
        <v>Email</v>
      </c>
      <c r="F2989" s="4" t="str">
        <f>IF(OR(A2989="",E2989="","",A2989="?",E2989="?"),"duplicate?",IF(COUNTIFS($A:A,A2989,E:E,E2989)&gt;1,"yes","no"))</f>
        <v>duplicate?</v>
      </c>
      <c r="K2989" s="97" t="str">
        <f ca="1">IF(J2989="","Date",IF(J2989&lt;&gt;"",IF(K2989="Date",NOW(),K2989),""))</f>
        <v>Date</v>
      </c>
    </row>
    <row r="2990" spans="2:11">
      <c r="B2990" s="97" t="str">
        <f ca="1">IF(A2990="","Date",IF(A2990&lt;&gt;"",IF(B2990="Date",NOW(),B2990),""))</f>
        <v>Date</v>
      </c>
      <c r="C2990" s="19" t="str">
        <f>IF(ISBLANK(A2990),"Name",IF(ISNA(VLOOKUP(A2990,'Master List'!A:C,2,FALSE)), "Not Found", VLOOKUP(A2990,'Master List'!A:C,2,FALSE)))</f>
        <v>Name</v>
      </c>
      <c r="D2990" s="19" t="str">
        <f>IF(ISBLANK(A2990), "Email",IF(ISNA(VLOOKUP(A2990,'Master List'!A:C,3,FALSE)), "Not Found", VLOOKUP(A2990,'Master List'!A:C,3,FALSE)))</f>
        <v>Email</v>
      </c>
      <c r="F2990" s="4" t="str">
        <f>IF(OR(A2990="",E2990="","",A2990="?",E2990="?"),"duplicate?",IF(COUNTIFS($A:A,A2990,E:E,E2990)&gt;1,"yes","no"))</f>
        <v>duplicate?</v>
      </c>
      <c r="K2990" s="97" t="str">
        <f ca="1">IF(J2990="","Date",IF(J2990&lt;&gt;"",IF(K2990="Date",NOW(),K2990),""))</f>
        <v>Date</v>
      </c>
    </row>
    <row r="2991" spans="2:11">
      <c r="B2991" s="97" t="str">
        <f ca="1">IF(A2991="","Date",IF(A2991&lt;&gt;"",IF(B2991="Date",NOW(),B2991),""))</f>
        <v>Date</v>
      </c>
      <c r="C2991" s="19" t="str">
        <f>IF(ISBLANK(A2991),"Name",IF(ISNA(VLOOKUP(A2991,'Master List'!A:C,2,FALSE)), "Not Found", VLOOKUP(A2991,'Master List'!A:C,2,FALSE)))</f>
        <v>Name</v>
      </c>
      <c r="D2991" s="19" t="str">
        <f>IF(ISBLANK(A2991), "Email",IF(ISNA(VLOOKUP(A2991,'Master List'!A:C,3,FALSE)), "Not Found", VLOOKUP(A2991,'Master List'!A:C,3,FALSE)))</f>
        <v>Email</v>
      </c>
      <c r="F2991" s="4" t="str">
        <f>IF(OR(A2991="",E2991="","",A2991="?",E2991="?"),"duplicate?",IF(COUNTIFS($A:A,A2991,E:E,E2991)&gt;1,"yes","no"))</f>
        <v>duplicate?</v>
      </c>
      <c r="K2991" s="97" t="str">
        <f ca="1">IF(J2991="","Date",IF(J2991&lt;&gt;"",IF(K2991="Date",NOW(),K2991),""))</f>
        <v>Date</v>
      </c>
    </row>
    <row r="2992" spans="2:11">
      <c r="B2992" s="97" t="str">
        <f ca="1">IF(A2992="","Date",IF(A2992&lt;&gt;"",IF(B2992="Date",NOW(),B2992),""))</f>
        <v>Date</v>
      </c>
      <c r="C2992" s="19" t="str">
        <f>IF(ISBLANK(A2992),"Name",IF(ISNA(VLOOKUP(A2992,'Master List'!A:C,2,FALSE)), "Not Found", VLOOKUP(A2992,'Master List'!A:C,2,FALSE)))</f>
        <v>Name</v>
      </c>
      <c r="D2992" s="19" t="str">
        <f>IF(ISBLANK(A2992), "Email",IF(ISNA(VLOOKUP(A2992,'Master List'!A:C,3,FALSE)), "Not Found", VLOOKUP(A2992,'Master List'!A:C,3,FALSE)))</f>
        <v>Email</v>
      </c>
      <c r="F2992" s="4" t="str">
        <f>IF(OR(A2992="",E2992="","",A2992="?",E2992="?"),"duplicate?",IF(COUNTIFS($A:A,A2992,E:E,E2992)&gt;1,"yes","no"))</f>
        <v>duplicate?</v>
      </c>
      <c r="K2992" s="97" t="str">
        <f ca="1">IF(J2992="","Date",IF(J2992&lt;&gt;"",IF(K2992="Date",NOW(),K2992),""))</f>
        <v>Date</v>
      </c>
    </row>
    <row r="2993" spans="2:11">
      <c r="B2993" s="97" t="str">
        <f ca="1">IF(A2993="","Date",IF(A2993&lt;&gt;"",IF(B2993="Date",NOW(),B2993),""))</f>
        <v>Date</v>
      </c>
      <c r="C2993" s="19" t="str">
        <f>IF(ISBLANK(A2993),"Name",IF(ISNA(VLOOKUP(A2993,'Master List'!A:C,2,FALSE)), "Not Found", VLOOKUP(A2993,'Master List'!A:C,2,FALSE)))</f>
        <v>Name</v>
      </c>
      <c r="D2993" s="19" t="str">
        <f>IF(ISBLANK(A2993), "Email",IF(ISNA(VLOOKUP(A2993,'Master List'!A:C,3,FALSE)), "Not Found", VLOOKUP(A2993,'Master List'!A:C,3,FALSE)))</f>
        <v>Email</v>
      </c>
      <c r="F2993" s="4" t="str">
        <f>IF(OR(A2993="",E2993="","",A2993="?",E2993="?"),"duplicate?",IF(COUNTIFS($A:A,A2993,E:E,E2993)&gt;1,"yes","no"))</f>
        <v>duplicate?</v>
      </c>
      <c r="K2993" s="97" t="str">
        <f ca="1">IF(J2993="","Date",IF(J2993&lt;&gt;"",IF(K2993="Date",NOW(),K2993),""))</f>
        <v>Date</v>
      </c>
    </row>
    <row r="2994" spans="2:11">
      <c r="B2994" s="97" t="str">
        <f ca="1">IF(A2994="","Date",IF(A2994&lt;&gt;"",IF(B2994="Date",NOW(),B2994),""))</f>
        <v>Date</v>
      </c>
      <c r="C2994" s="19" t="str">
        <f>IF(ISBLANK(A2994),"Name",IF(ISNA(VLOOKUP(A2994,'Master List'!A:C,2,FALSE)), "Not Found", VLOOKUP(A2994,'Master List'!A:C,2,FALSE)))</f>
        <v>Name</v>
      </c>
      <c r="D2994" s="19" t="str">
        <f>IF(ISBLANK(A2994), "Email",IF(ISNA(VLOOKUP(A2994,'Master List'!A:C,3,FALSE)), "Not Found", VLOOKUP(A2994,'Master List'!A:C,3,FALSE)))</f>
        <v>Email</v>
      </c>
      <c r="F2994" s="4" t="str">
        <f>IF(OR(A2994="",E2994="","",A2994="?",E2994="?"),"duplicate?",IF(COUNTIFS($A:A,A2994,E:E,E2994)&gt;1,"yes","no"))</f>
        <v>duplicate?</v>
      </c>
      <c r="K2994" s="97" t="str">
        <f ca="1">IF(J2994="","Date",IF(J2994&lt;&gt;"",IF(K2994="Date",NOW(),K2994),""))</f>
        <v>Date</v>
      </c>
    </row>
    <row r="2995" spans="2:11">
      <c r="B2995" s="97" t="str">
        <f ca="1">IF(A2995="","Date",IF(A2995&lt;&gt;"",IF(B2995="Date",NOW(),B2995),""))</f>
        <v>Date</v>
      </c>
      <c r="C2995" s="19" t="str">
        <f>IF(ISBLANK(A2995),"Name",IF(ISNA(VLOOKUP(A2995,'Master List'!A:C,2,FALSE)), "Not Found", VLOOKUP(A2995,'Master List'!A:C,2,FALSE)))</f>
        <v>Name</v>
      </c>
      <c r="D2995" s="19" t="str">
        <f>IF(ISBLANK(A2995), "Email",IF(ISNA(VLOOKUP(A2995,'Master List'!A:C,3,FALSE)), "Not Found", VLOOKUP(A2995,'Master List'!A:C,3,FALSE)))</f>
        <v>Email</v>
      </c>
      <c r="F2995" s="4" t="str">
        <f>IF(OR(A2995="",E2995="","",A2995="?",E2995="?"),"duplicate?",IF(COUNTIFS($A:A,A2995,E:E,E2995)&gt;1,"yes","no"))</f>
        <v>duplicate?</v>
      </c>
      <c r="K2995" s="97" t="str">
        <f ca="1">IF(J2995="","Date",IF(J2995&lt;&gt;"",IF(K2995="Date",NOW(),K2995),""))</f>
        <v>Date</v>
      </c>
    </row>
    <row r="2996" spans="2:11">
      <c r="B2996" s="97" t="str">
        <f ca="1">IF(A2996="","Date",IF(A2996&lt;&gt;"",IF(B2996="Date",NOW(),B2996),""))</f>
        <v>Date</v>
      </c>
      <c r="C2996" s="19" t="str">
        <f>IF(ISBLANK(A2996),"Name",IF(ISNA(VLOOKUP(A2996,'Master List'!A:C,2,FALSE)), "Not Found", VLOOKUP(A2996,'Master List'!A:C,2,FALSE)))</f>
        <v>Name</v>
      </c>
      <c r="D2996" s="19" t="str">
        <f>IF(ISBLANK(A2996), "Email",IF(ISNA(VLOOKUP(A2996,'Master List'!A:C,3,FALSE)), "Not Found", VLOOKUP(A2996,'Master List'!A:C,3,FALSE)))</f>
        <v>Email</v>
      </c>
      <c r="F2996" s="4" t="str">
        <f>IF(OR(A2996="",E2996="","",A2996="?",E2996="?"),"duplicate?",IF(COUNTIFS($A:A,A2996,E:E,E2996)&gt;1,"yes","no"))</f>
        <v>duplicate?</v>
      </c>
      <c r="K2996" s="97" t="str">
        <f ca="1">IF(J2996="","Date",IF(J2996&lt;&gt;"",IF(K2996="Date",NOW(),K2996),""))</f>
        <v>Date</v>
      </c>
    </row>
    <row r="2997" spans="2:11">
      <c r="B2997" s="97" t="str">
        <f ca="1">IF(A2997="","Date",IF(A2997&lt;&gt;"",IF(B2997="Date",NOW(),B2997),""))</f>
        <v>Date</v>
      </c>
      <c r="C2997" s="19" t="str">
        <f>IF(ISBLANK(A2997),"Name",IF(ISNA(VLOOKUP(A2997,'Master List'!A:C,2,FALSE)), "Not Found", VLOOKUP(A2997,'Master List'!A:C,2,FALSE)))</f>
        <v>Name</v>
      </c>
      <c r="D2997" s="19" t="str">
        <f>IF(ISBLANK(A2997), "Email",IF(ISNA(VLOOKUP(A2997,'Master List'!A:C,3,FALSE)), "Not Found", VLOOKUP(A2997,'Master List'!A:C,3,FALSE)))</f>
        <v>Email</v>
      </c>
      <c r="F2997" s="4" t="str">
        <f>IF(OR(A2997="",E2997="","",A2997="?",E2997="?"),"duplicate?",IF(COUNTIFS($A:A,A2997,E:E,E2997)&gt;1,"yes","no"))</f>
        <v>duplicate?</v>
      </c>
      <c r="K2997" s="97" t="str">
        <f ca="1">IF(J2997="","Date",IF(J2997&lt;&gt;"",IF(K2997="Date",NOW(),K2997),""))</f>
        <v>Date</v>
      </c>
    </row>
    <row r="2998" spans="2:11">
      <c r="B2998" s="97" t="str">
        <f ca="1">IF(A2998="","Date",IF(A2998&lt;&gt;"",IF(B2998="Date",NOW(),B2998),""))</f>
        <v>Date</v>
      </c>
      <c r="C2998" s="19" t="str">
        <f>IF(ISBLANK(A2998),"Name",IF(ISNA(VLOOKUP(A2998,'Master List'!A:C,2,FALSE)), "Not Found", VLOOKUP(A2998,'Master List'!A:C,2,FALSE)))</f>
        <v>Name</v>
      </c>
      <c r="D2998" s="19" t="str">
        <f>IF(ISBLANK(A2998), "Email",IF(ISNA(VLOOKUP(A2998,'Master List'!A:C,3,FALSE)), "Not Found", VLOOKUP(A2998,'Master List'!A:C,3,FALSE)))</f>
        <v>Email</v>
      </c>
      <c r="F2998" s="4" t="str">
        <f>IF(OR(A2998="",E2998="","",A2998="?",E2998="?"),"duplicate?",IF(COUNTIFS($A:A,A2998,E:E,E2998)&gt;1,"yes","no"))</f>
        <v>duplicate?</v>
      </c>
      <c r="K2998" s="97" t="str">
        <f ca="1">IF(J2998="","Date",IF(J2998&lt;&gt;"",IF(K2998="Date",NOW(),K2998),""))</f>
        <v>Date</v>
      </c>
    </row>
    <row r="2999" spans="2:11">
      <c r="B2999" s="97" t="str">
        <f ca="1">IF(A2999="","Date",IF(A2999&lt;&gt;"",IF(B2999="Date",NOW(),B2999),""))</f>
        <v>Date</v>
      </c>
      <c r="C2999" s="19" t="str">
        <f>IF(ISBLANK(A2999),"Name",IF(ISNA(VLOOKUP(A2999,'Master List'!A:C,2,FALSE)), "Not Found", VLOOKUP(A2999,'Master List'!A:C,2,FALSE)))</f>
        <v>Name</v>
      </c>
      <c r="D2999" s="19" t="str">
        <f>IF(ISBLANK(A2999), "Email",IF(ISNA(VLOOKUP(A2999,'Master List'!A:C,3,FALSE)), "Not Found", VLOOKUP(A2999,'Master List'!A:C,3,FALSE)))</f>
        <v>Email</v>
      </c>
      <c r="F2999" s="4" t="str">
        <f>IF(OR(A2999="",E2999="","",A2999="?",E2999="?"),"duplicate?",IF(COUNTIFS($A:A,A2999,E:E,E2999)&gt;1,"yes","no"))</f>
        <v>duplicate?</v>
      </c>
      <c r="K2999" s="97" t="str">
        <f ca="1">IF(J2999="","Date",IF(J2999&lt;&gt;"",IF(K2999="Date",NOW(),K2999),""))</f>
        <v>Date</v>
      </c>
    </row>
    <row r="3000" spans="2:11">
      <c r="B3000" s="97" t="str">
        <f ca="1">IF(A3000="","Date",IF(A3000&lt;&gt;"",IF(B3000="Date",NOW(),B3000),""))</f>
        <v>Date</v>
      </c>
      <c r="C3000" s="19" t="str">
        <f>IF(ISBLANK(A3000),"Name",IF(ISNA(VLOOKUP(A3000,'Master List'!A:C,2,FALSE)), "Not Found", VLOOKUP(A3000,'Master List'!A:C,2,FALSE)))</f>
        <v>Name</v>
      </c>
      <c r="D3000" s="19" t="str">
        <f>IF(ISBLANK(A3000), "Email",IF(ISNA(VLOOKUP(A3000,'Master List'!A:C,3,FALSE)), "Not Found", VLOOKUP(A3000,'Master List'!A:C,3,FALSE)))</f>
        <v>Email</v>
      </c>
      <c r="F3000" s="4" t="str">
        <f>IF(OR(A3000="",E3000="","",A3000="?",E3000="?"),"duplicate?",IF(COUNTIFS($A:A,A3000,E:E,E3000)&gt;1,"yes","no"))</f>
        <v>duplicate?</v>
      </c>
      <c r="K3000" s="97" t="str">
        <f ca="1">IF(J3000="","Date",IF(J3000&lt;&gt;"",IF(K3000="Date",NOW(),K3000),""))</f>
        <v>Date</v>
      </c>
    </row>
    <row r="3001" spans="2:11">
      <c r="B3001" s="97" t="str">
        <f ca="1">IF(A3001="","Date",IF(A3001&lt;&gt;"",IF(B3001="Date",NOW(),B3001),""))</f>
        <v>Date</v>
      </c>
      <c r="C3001" s="19" t="str">
        <f>IF(ISBLANK(A3001),"Name",IF(ISNA(VLOOKUP(A3001,'Master List'!A:C,2,FALSE)), "Not Found", VLOOKUP(A3001,'Master List'!A:C,2,FALSE)))</f>
        <v>Name</v>
      </c>
      <c r="D3001" s="19" t="str">
        <f>IF(ISBLANK(A3001), "Email",IF(ISNA(VLOOKUP(A3001,'Master List'!A:C,3,FALSE)), "Not Found", VLOOKUP(A3001,'Master List'!A:C,3,FALSE)))</f>
        <v>Email</v>
      </c>
      <c r="F3001" s="4" t="str">
        <f>IF(OR(A3001="",E3001="","",A3001="?",E3001="?"),"duplicate?",IF(COUNTIFS($A:A,A3001,E:E,E3001)&gt;1,"yes","no"))</f>
        <v>duplicate?</v>
      </c>
      <c r="K3001" s="97" t="str">
        <f ca="1">IF(J3001="","Date",IF(J3001&lt;&gt;"",IF(K3001="Date",NOW(),K3001),""))</f>
        <v>Date</v>
      </c>
    </row>
    <row r="3002" spans="2:11">
      <c r="B3002" s="97" t="str">
        <f ca="1">IF(A3002="","Date",IF(A3002&lt;&gt;"",IF(B3002="Date",NOW(),B3002),""))</f>
        <v>Date</v>
      </c>
      <c r="C3002" s="19" t="str">
        <f>IF(ISBLANK(A3002),"Name",IF(ISNA(VLOOKUP(A3002,'Master List'!A:C,2,FALSE)), "Not Found", VLOOKUP(A3002,'Master List'!A:C,2,FALSE)))</f>
        <v>Name</v>
      </c>
      <c r="D3002" s="19" t="str">
        <f>IF(ISBLANK(A3002), "Email",IF(ISNA(VLOOKUP(A3002,'Master List'!A:C,3,FALSE)), "Not Found", VLOOKUP(A3002,'Master List'!A:C,3,FALSE)))</f>
        <v>Email</v>
      </c>
      <c r="F3002" s="4" t="str">
        <f>IF(OR(A3002="",E3002="","",A3002="?",E3002="?"),"duplicate?",IF(COUNTIFS($A:A,A3002,E:E,E3002)&gt;1,"yes","no"))</f>
        <v>duplicate?</v>
      </c>
      <c r="K3002" s="97" t="str">
        <f ca="1">IF(J3002="","Date",IF(J3002&lt;&gt;"",IF(K3002="Date",NOW(),K3002),""))</f>
        <v>Date</v>
      </c>
    </row>
    <row r="3003" spans="2:11">
      <c r="B3003" s="97" t="str">
        <f ca="1">IF(A3003="","Date",IF(A3003&lt;&gt;"",IF(B3003="Date",NOW(),B3003),""))</f>
        <v>Date</v>
      </c>
      <c r="C3003" s="19" t="str">
        <f>IF(ISBLANK(A3003),"Name",IF(ISNA(VLOOKUP(A3003,'Master List'!A:C,2,FALSE)), "Not Found", VLOOKUP(A3003,'Master List'!A:C,2,FALSE)))</f>
        <v>Name</v>
      </c>
      <c r="D3003" s="19" t="str">
        <f>IF(ISBLANK(A3003), "Email",IF(ISNA(VLOOKUP(A3003,'Master List'!A:C,3,FALSE)), "Not Found", VLOOKUP(A3003,'Master List'!A:C,3,FALSE)))</f>
        <v>Email</v>
      </c>
      <c r="F3003" s="4" t="str">
        <f>IF(OR(A3003="",E3003="","",A3003="?",E3003="?"),"duplicate?",IF(COUNTIFS($A:A,A3003,E:E,E3003)&gt;1,"yes","no"))</f>
        <v>duplicate?</v>
      </c>
      <c r="K3003" s="97" t="str">
        <f ca="1">IF(J3003="","Date",IF(J3003&lt;&gt;"",IF(K3003="Date",NOW(),K3003),""))</f>
        <v>Date</v>
      </c>
    </row>
    <row r="3004" spans="2:11">
      <c r="B3004" s="97" t="str">
        <f ca="1">IF(A3004="","Date",IF(A3004&lt;&gt;"",IF(B3004="Date",NOW(),B3004),""))</f>
        <v>Date</v>
      </c>
      <c r="C3004" s="19" t="str">
        <f>IF(ISBLANK(A3004),"Name",IF(ISNA(VLOOKUP(A3004,'Master List'!A:C,2,FALSE)), "Not Found", VLOOKUP(A3004,'Master List'!A:C,2,FALSE)))</f>
        <v>Name</v>
      </c>
      <c r="D3004" s="19" t="str">
        <f>IF(ISBLANK(A3004), "Email",IF(ISNA(VLOOKUP(A3004,'Master List'!A:C,3,FALSE)), "Not Found", VLOOKUP(A3004,'Master List'!A:C,3,FALSE)))</f>
        <v>Email</v>
      </c>
      <c r="F3004" s="4" t="str">
        <f>IF(OR(A3004="",E3004="","",A3004="?",E3004="?"),"duplicate?",IF(COUNTIFS($A:A,A3004,E:E,E3004)&gt;1,"yes","no"))</f>
        <v>duplicate?</v>
      </c>
      <c r="K3004" s="97" t="str">
        <f ca="1">IF(J3004="","Date",IF(J3004&lt;&gt;"",IF(K3004="Date",NOW(),K3004),""))</f>
        <v>Date</v>
      </c>
    </row>
    <row r="3005" spans="2:11">
      <c r="B3005" s="97" t="str">
        <f ca="1">IF(A3005="","Date",IF(A3005&lt;&gt;"",IF(B3005="Date",NOW(),B3005),""))</f>
        <v>Date</v>
      </c>
      <c r="C3005" s="19" t="str">
        <f>IF(ISBLANK(A3005),"Name",IF(ISNA(VLOOKUP(A3005,'Master List'!A:C,2,FALSE)), "Not Found", VLOOKUP(A3005,'Master List'!A:C,2,FALSE)))</f>
        <v>Name</v>
      </c>
      <c r="D3005" s="19" t="str">
        <f>IF(ISBLANK(A3005), "Email",IF(ISNA(VLOOKUP(A3005,'Master List'!A:C,3,FALSE)), "Not Found", VLOOKUP(A3005,'Master List'!A:C,3,FALSE)))</f>
        <v>Email</v>
      </c>
      <c r="F3005" s="4" t="str">
        <f>IF(OR(A3005="",E3005="","",A3005="?",E3005="?"),"duplicate?",IF(COUNTIFS($A:A,A3005,E:E,E3005)&gt;1,"yes","no"))</f>
        <v>duplicate?</v>
      </c>
      <c r="K3005" s="97" t="str">
        <f ca="1">IF(J3005="","Date",IF(J3005&lt;&gt;"",IF(K3005="Date",NOW(),K3005),""))</f>
        <v>Date</v>
      </c>
    </row>
    <row r="3006" spans="2:11">
      <c r="B3006" s="97" t="str">
        <f ca="1">IF(A3006="","Date",IF(A3006&lt;&gt;"",IF(B3006="Date",NOW(),B3006),""))</f>
        <v>Date</v>
      </c>
      <c r="C3006" s="19" t="str">
        <f>IF(ISBLANK(A3006),"Name",IF(ISNA(VLOOKUP(A3006,'Master List'!A:C,2,FALSE)), "Not Found", VLOOKUP(A3006,'Master List'!A:C,2,FALSE)))</f>
        <v>Name</v>
      </c>
      <c r="D3006" s="19" t="str">
        <f>IF(ISBLANK(A3006), "Email",IF(ISNA(VLOOKUP(A3006,'Master List'!A:C,3,FALSE)), "Not Found", VLOOKUP(A3006,'Master List'!A:C,3,FALSE)))</f>
        <v>Email</v>
      </c>
      <c r="F3006" s="4" t="str">
        <f>IF(OR(A3006="",E3006="","",A3006="?",E3006="?"),"duplicate?",IF(COUNTIFS($A:A,A3006,E:E,E3006)&gt;1,"yes","no"))</f>
        <v>duplicate?</v>
      </c>
      <c r="K3006" s="97" t="str">
        <f ca="1">IF(J3006="","Date",IF(J3006&lt;&gt;"",IF(K3006="Date",NOW(),K3006),""))</f>
        <v>Date</v>
      </c>
    </row>
    <row r="3007" spans="2:11">
      <c r="B3007" s="97" t="str">
        <f ca="1">IF(A3007="","Date",IF(A3007&lt;&gt;"",IF(B3007="Date",NOW(),B3007),""))</f>
        <v>Date</v>
      </c>
      <c r="C3007" s="19" t="str">
        <f>IF(ISBLANK(A3007),"Name",IF(ISNA(VLOOKUP(A3007,'Master List'!A:C,2,FALSE)), "Not Found", VLOOKUP(A3007,'Master List'!A:C,2,FALSE)))</f>
        <v>Name</v>
      </c>
      <c r="D3007" s="19" t="str">
        <f>IF(ISBLANK(A3007), "Email",IF(ISNA(VLOOKUP(A3007,'Master List'!A:C,3,FALSE)), "Not Found", VLOOKUP(A3007,'Master List'!A:C,3,FALSE)))</f>
        <v>Email</v>
      </c>
      <c r="F3007" s="4" t="str">
        <f>IF(OR(A3007="",E3007="","",A3007="?",E3007="?"),"duplicate?",IF(COUNTIFS($A:A,A3007,E:E,E3007)&gt;1,"yes","no"))</f>
        <v>duplicate?</v>
      </c>
      <c r="K3007" s="97" t="str">
        <f ca="1">IF(J3007="","Date",IF(J3007&lt;&gt;"",IF(K3007="Date",NOW(),K3007),""))</f>
        <v>Date</v>
      </c>
    </row>
    <row r="3008" spans="2:11">
      <c r="B3008" s="97" t="str">
        <f ca="1">IF(A3008="","Date",IF(A3008&lt;&gt;"",IF(B3008="Date",NOW(),B3008),""))</f>
        <v>Date</v>
      </c>
      <c r="C3008" s="19" t="str">
        <f>IF(ISBLANK(A3008),"Name",IF(ISNA(VLOOKUP(A3008,'Master List'!A:C,2,FALSE)), "Not Found", VLOOKUP(A3008,'Master List'!A:C,2,FALSE)))</f>
        <v>Name</v>
      </c>
      <c r="D3008" s="19" t="str">
        <f>IF(ISBLANK(A3008), "Email",IF(ISNA(VLOOKUP(A3008,'Master List'!A:C,3,FALSE)), "Not Found", VLOOKUP(A3008,'Master List'!A:C,3,FALSE)))</f>
        <v>Email</v>
      </c>
      <c r="F3008" s="4" t="str">
        <f>IF(OR(A3008="",E3008="","",A3008="?",E3008="?"),"duplicate?",IF(COUNTIFS($A:A,A3008,E:E,E3008)&gt;1,"yes","no"))</f>
        <v>duplicate?</v>
      </c>
      <c r="K3008" s="97" t="str">
        <f ca="1">IF(J3008="","Date",IF(J3008&lt;&gt;"",IF(K3008="Date",NOW(),K3008),""))</f>
        <v>Date</v>
      </c>
    </row>
    <row r="3009" spans="2:11">
      <c r="B3009" s="97" t="str">
        <f ca="1">IF(A3009="","Date",IF(A3009&lt;&gt;"",IF(B3009="Date",NOW(),B3009),""))</f>
        <v>Date</v>
      </c>
      <c r="C3009" s="19" t="str">
        <f>IF(ISBLANK(A3009),"Name",IF(ISNA(VLOOKUP(A3009,'Master List'!A:C,2,FALSE)), "Not Found", VLOOKUP(A3009,'Master List'!A:C,2,FALSE)))</f>
        <v>Name</v>
      </c>
      <c r="D3009" s="19" t="str">
        <f>IF(ISBLANK(A3009), "Email",IF(ISNA(VLOOKUP(A3009,'Master List'!A:C,3,FALSE)), "Not Found", VLOOKUP(A3009,'Master List'!A:C,3,FALSE)))</f>
        <v>Email</v>
      </c>
      <c r="F3009" s="4" t="str">
        <f>IF(OR(A3009="",E3009="","",A3009="?",E3009="?"),"duplicate?",IF(COUNTIFS($A:A,A3009,E:E,E3009)&gt;1,"yes","no"))</f>
        <v>duplicate?</v>
      </c>
      <c r="K3009" s="97" t="str">
        <f ca="1">IF(J3009="","Date",IF(J3009&lt;&gt;"",IF(K3009="Date",NOW(),K3009),""))</f>
        <v>Date</v>
      </c>
    </row>
    <row r="3010" spans="2:11">
      <c r="B3010" s="97" t="str">
        <f ca="1">IF(A3010="","Date",IF(A3010&lt;&gt;"",IF(B3010="Date",NOW(),B3010),""))</f>
        <v>Date</v>
      </c>
      <c r="C3010" s="19" t="str">
        <f>IF(ISBLANK(A3010),"Name",IF(ISNA(VLOOKUP(A3010,'Master List'!A:C,2,FALSE)), "Not Found", VLOOKUP(A3010,'Master List'!A:C,2,FALSE)))</f>
        <v>Name</v>
      </c>
      <c r="D3010" s="19" t="str">
        <f>IF(ISBLANK(A3010), "Email",IF(ISNA(VLOOKUP(A3010,'Master List'!A:C,3,FALSE)), "Not Found", VLOOKUP(A3010,'Master List'!A:C,3,FALSE)))</f>
        <v>Email</v>
      </c>
      <c r="F3010" s="4" t="str">
        <f>IF(OR(A3010="",E3010="","",A3010="?",E3010="?"),"duplicate?",IF(COUNTIFS($A:A,A3010,E:E,E3010)&gt;1,"yes","no"))</f>
        <v>duplicate?</v>
      </c>
      <c r="K3010" s="97" t="str">
        <f ca="1">IF(J3010="","Date",IF(J3010&lt;&gt;"",IF(K3010="Date",NOW(),K3010),""))</f>
        <v>Date</v>
      </c>
    </row>
    <row r="3011" spans="2:11">
      <c r="B3011" s="97" t="str">
        <f ca="1">IF(A3011="","Date",IF(A3011&lt;&gt;"",IF(B3011="Date",NOW(),B3011),""))</f>
        <v>Date</v>
      </c>
      <c r="C3011" s="19" t="str">
        <f>IF(ISBLANK(A3011),"Name",IF(ISNA(VLOOKUP(A3011,'Master List'!A:C,2,FALSE)), "Not Found", VLOOKUP(A3011,'Master List'!A:C,2,FALSE)))</f>
        <v>Name</v>
      </c>
      <c r="D3011" s="19" t="str">
        <f>IF(ISBLANK(A3011), "Email",IF(ISNA(VLOOKUP(A3011,'Master List'!A:C,3,FALSE)), "Not Found", VLOOKUP(A3011,'Master List'!A:C,3,FALSE)))</f>
        <v>Email</v>
      </c>
      <c r="F3011" s="4" t="str">
        <f>IF(OR(A3011="",E3011="","",A3011="?",E3011="?"),"duplicate?",IF(COUNTIFS($A:A,A3011,E:E,E3011)&gt;1,"yes","no"))</f>
        <v>duplicate?</v>
      </c>
      <c r="K3011" s="97" t="str">
        <f ca="1">IF(J3011="","Date",IF(J3011&lt;&gt;"",IF(K3011="Date",NOW(),K3011),""))</f>
        <v>Date</v>
      </c>
    </row>
    <row r="3012" spans="2:11">
      <c r="B3012" s="97" t="str">
        <f ca="1">IF(A3012="","Date",IF(A3012&lt;&gt;"",IF(B3012="Date",NOW(),B3012),""))</f>
        <v>Date</v>
      </c>
      <c r="C3012" s="19" t="str">
        <f>IF(ISBLANK(A3012),"Name",IF(ISNA(VLOOKUP(A3012,'Master List'!A:C,2,FALSE)), "Not Found", VLOOKUP(A3012,'Master List'!A:C,2,FALSE)))</f>
        <v>Name</v>
      </c>
      <c r="D3012" s="19" t="str">
        <f>IF(ISBLANK(A3012), "Email",IF(ISNA(VLOOKUP(A3012,'Master List'!A:C,3,FALSE)), "Not Found", VLOOKUP(A3012,'Master List'!A:C,3,FALSE)))</f>
        <v>Email</v>
      </c>
      <c r="F3012" s="4" t="str">
        <f>IF(OR(A3012="",E3012="","",A3012="?",E3012="?"),"duplicate?",IF(COUNTIFS($A:A,A3012,E:E,E3012)&gt;1,"yes","no"))</f>
        <v>duplicate?</v>
      </c>
      <c r="K3012" s="97" t="str">
        <f ca="1">IF(J3012="","Date",IF(J3012&lt;&gt;"",IF(K3012="Date",NOW(),K3012),""))</f>
        <v>Date</v>
      </c>
    </row>
    <row r="3013" spans="2:11">
      <c r="B3013" s="97" t="str">
        <f ca="1">IF(A3013="","Date",IF(A3013&lt;&gt;"",IF(B3013="Date",NOW(),B3013),""))</f>
        <v>Date</v>
      </c>
      <c r="C3013" s="19" t="str">
        <f>IF(ISBLANK(A3013),"Name",IF(ISNA(VLOOKUP(A3013,'Master List'!A:C,2,FALSE)), "Not Found", VLOOKUP(A3013,'Master List'!A:C,2,FALSE)))</f>
        <v>Name</v>
      </c>
      <c r="D3013" s="19" t="str">
        <f>IF(ISBLANK(A3013), "Email",IF(ISNA(VLOOKUP(A3013,'Master List'!A:C,3,FALSE)), "Not Found", VLOOKUP(A3013,'Master List'!A:C,3,FALSE)))</f>
        <v>Email</v>
      </c>
      <c r="F3013" s="4" t="str">
        <f>IF(OR(A3013="",E3013="","",A3013="?",E3013="?"),"duplicate?",IF(COUNTIFS($A:A,A3013,E:E,E3013)&gt;1,"yes","no"))</f>
        <v>duplicate?</v>
      </c>
      <c r="K3013" s="97" t="str">
        <f ca="1">IF(J3013="","Date",IF(J3013&lt;&gt;"",IF(K3013="Date",NOW(),K3013),""))</f>
        <v>Date</v>
      </c>
    </row>
    <row r="3014" spans="2:11">
      <c r="B3014" s="97" t="str">
        <f ca="1">IF(A3014="","Date",IF(A3014&lt;&gt;"",IF(B3014="Date",NOW(),B3014),""))</f>
        <v>Date</v>
      </c>
      <c r="C3014" s="19" t="str">
        <f>IF(ISBLANK(A3014),"Name",IF(ISNA(VLOOKUP(A3014,'Master List'!A:C,2,FALSE)), "Not Found", VLOOKUP(A3014,'Master List'!A:C,2,FALSE)))</f>
        <v>Name</v>
      </c>
      <c r="D3014" s="19" t="str">
        <f>IF(ISBLANK(A3014), "Email",IF(ISNA(VLOOKUP(A3014,'Master List'!A:C,3,FALSE)), "Not Found", VLOOKUP(A3014,'Master List'!A:C,3,FALSE)))</f>
        <v>Email</v>
      </c>
      <c r="F3014" s="4" t="str">
        <f>IF(OR(A3014="",E3014="","",A3014="?",E3014="?"),"duplicate?",IF(COUNTIFS($A:A,A3014,E:E,E3014)&gt;1,"yes","no"))</f>
        <v>duplicate?</v>
      </c>
      <c r="K3014" s="97" t="str">
        <f ca="1">IF(J3014="","Date",IF(J3014&lt;&gt;"",IF(K3014="Date",NOW(),K3014),""))</f>
        <v>Date</v>
      </c>
    </row>
    <row r="3015" spans="2:11">
      <c r="B3015" s="97" t="str">
        <f ca="1">IF(A3015="","Date",IF(A3015&lt;&gt;"",IF(B3015="Date",NOW(),B3015),""))</f>
        <v>Date</v>
      </c>
      <c r="C3015" s="19" t="str">
        <f>IF(ISBLANK(A3015),"Name",IF(ISNA(VLOOKUP(A3015,'Master List'!A:C,2,FALSE)), "Not Found", VLOOKUP(A3015,'Master List'!A:C,2,FALSE)))</f>
        <v>Name</v>
      </c>
      <c r="D3015" s="19" t="str">
        <f>IF(ISBLANK(A3015), "Email",IF(ISNA(VLOOKUP(A3015,'Master List'!A:C,3,FALSE)), "Not Found", VLOOKUP(A3015,'Master List'!A:C,3,FALSE)))</f>
        <v>Email</v>
      </c>
      <c r="F3015" s="4" t="str">
        <f>IF(OR(A3015="",E3015="","",A3015="?",E3015="?"),"duplicate?",IF(COUNTIFS($A:A,A3015,E:E,E3015)&gt;1,"yes","no"))</f>
        <v>duplicate?</v>
      </c>
      <c r="K3015" s="97" t="str">
        <f ca="1">IF(J3015="","Date",IF(J3015&lt;&gt;"",IF(K3015="Date",NOW(),K3015),""))</f>
        <v>Date</v>
      </c>
    </row>
    <row r="3016" spans="2:11">
      <c r="B3016" s="97" t="str">
        <f ca="1">IF(A3016="","Date",IF(A3016&lt;&gt;"",IF(B3016="Date",NOW(),B3016),""))</f>
        <v>Date</v>
      </c>
      <c r="C3016" s="19" t="str">
        <f>IF(ISBLANK(A3016),"Name",IF(ISNA(VLOOKUP(A3016,'Master List'!A:C,2,FALSE)), "Not Found", VLOOKUP(A3016,'Master List'!A:C,2,FALSE)))</f>
        <v>Name</v>
      </c>
      <c r="D3016" s="19" t="str">
        <f>IF(ISBLANK(A3016), "Email",IF(ISNA(VLOOKUP(A3016,'Master List'!A:C,3,FALSE)), "Not Found", VLOOKUP(A3016,'Master List'!A:C,3,FALSE)))</f>
        <v>Email</v>
      </c>
      <c r="F3016" s="4" t="str">
        <f>IF(OR(A3016="",E3016="","",A3016="?",E3016="?"),"duplicate?",IF(COUNTIFS($A:A,A3016,E:E,E3016)&gt;1,"yes","no"))</f>
        <v>duplicate?</v>
      </c>
      <c r="K3016" s="97" t="str">
        <f ca="1">IF(J3016="","Date",IF(J3016&lt;&gt;"",IF(K3016="Date",NOW(),K3016),""))</f>
        <v>Date</v>
      </c>
    </row>
    <row r="3017" spans="2:11">
      <c r="B3017" s="97" t="str">
        <f ca="1">IF(A3017="","Date",IF(A3017&lt;&gt;"",IF(B3017="Date",NOW(),B3017),""))</f>
        <v>Date</v>
      </c>
      <c r="C3017" s="19" t="str">
        <f>IF(ISBLANK(A3017),"Name",IF(ISNA(VLOOKUP(A3017,'Master List'!A:C,2,FALSE)), "Not Found", VLOOKUP(A3017,'Master List'!A:C,2,FALSE)))</f>
        <v>Name</v>
      </c>
      <c r="D3017" s="19" t="str">
        <f>IF(ISBLANK(A3017), "Email",IF(ISNA(VLOOKUP(A3017,'Master List'!A:C,3,FALSE)), "Not Found", VLOOKUP(A3017,'Master List'!A:C,3,FALSE)))</f>
        <v>Email</v>
      </c>
      <c r="F3017" s="4" t="str">
        <f>IF(OR(A3017="",E3017="","",A3017="?",E3017="?"),"duplicate?",IF(COUNTIFS($A:A,A3017,E:E,E3017)&gt;1,"yes","no"))</f>
        <v>duplicate?</v>
      </c>
      <c r="K3017" s="97" t="str">
        <f ca="1">IF(J3017="","Date",IF(J3017&lt;&gt;"",IF(K3017="Date",NOW(),K3017),""))</f>
        <v>Date</v>
      </c>
    </row>
    <row r="3018" spans="2:11">
      <c r="B3018" s="97" t="str">
        <f ca="1">IF(A3018="","Date",IF(A3018&lt;&gt;"",IF(B3018="Date",NOW(),B3018),""))</f>
        <v>Date</v>
      </c>
      <c r="C3018" s="19" t="str">
        <f>IF(ISBLANK(A3018),"Name",IF(ISNA(VLOOKUP(A3018,'Master List'!A:C,2,FALSE)), "Not Found", VLOOKUP(A3018,'Master List'!A:C,2,FALSE)))</f>
        <v>Name</v>
      </c>
      <c r="D3018" s="19" t="str">
        <f>IF(ISBLANK(A3018), "Email",IF(ISNA(VLOOKUP(A3018,'Master List'!A:C,3,FALSE)), "Not Found", VLOOKUP(A3018,'Master List'!A:C,3,FALSE)))</f>
        <v>Email</v>
      </c>
      <c r="F3018" s="4" t="str">
        <f>IF(OR(A3018="",E3018="","",A3018="?",E3018="?"),"duplicate?",IF(COUNTIFS($A:A,A3018,E:E,E3018)&gt;1,"yes","no"))</f>
        <v>duplicate?</v>
      </c>
      <c r="K3018" s="97" t="str">
        <f ca="1">IF(J3018="","Date",IF(J3018&lt;&gt;"",IF(K3018="Date",NOW(),K3018),""))</f>
        <v>Date</v>
      </c>
    </row>
    <row r="3019" spans="2:11">
      <c r="B3019" s="97" t="str">
        <f ca="1">IF(A3019="","Date",IF(A3019&lt;&gt;"",IF(B3019="Date",NOW(),B3019),""))</f>
        <v>Date</v>
      </c>
      <c r="C3019" s="19" t="str">
        <f>IF(ISBLANK(A3019),"Name",IF(ISNA(VLOOKUP(A3019,'Master List'!A:C,2,FALSE)), "Not Found", VLOOKUP(A3019,'Master List'!A:C,2,FALSE)))</f>
        <v>Name</v>
      </c>
      <c r="D3019" s="19" t="str">
        <f>IF(ISBLANK(A3019), "Email",IF(ISNA(VLOOKUP(A3019,'Master List'!A:C,3,FALSE)), "Not Found", VLOOKUP(A3019,'Master List'!A:C,3,FALSE)))</f>
        <v>Email</v>
      </c>
      <c r="F3019" s="4" t="str">
        <f>IF(OR(A3019="",E3019="","",A3019="?",E3019="?"),"duplicate?",IF(COUNTIFS($A:A,A3019,E:E,E3019)&gt;1,"yes","no"))</f>
        <v>duplicate?</v>
      </c>
      <c r="K3019" s="97" t="str">
        <f ca="1">IF(J3019="","Date",IF(J3019&lt;&gt;"",IF(K3019="Date",NOW(),K3019),""))</f>
        <v>Date</v>
      </c>
    </row>
    <row r="3020" spans="2:11">
      <c r="B3020" s="97" t="str">
        <f ca="1">IF(A3020="","Date",IF(A3020&lt;&gt;"",IF(B3020="Date",NOW(),B3020),""))</f>
        <v>Date</v>
      </c>
      <c r="C3020" s="19" t="str">
        <f>IF(ISBLANK(A3020),"Name",IF(ISNA(VLOOKUP(A3020,'Master List'!A:C,2,FALSE)), "Not Found", VLOOKUP(A3020,'Master List'!A:C,2,FALSE)))</f>
        <v>Name</v>
      </c>
      <c r="D3020" s="19" t="str">
        <f>IF(ISBLANK(A3020), "Email",IF(ISNA(VLOOKUP(A3020,'Master List'!A:C,3,FALSE)), "Not Found", VLOOKUP(A3020,'Master List'!A:C,3,FALSE)))</f>
        <v>Email</v>
      </c>
      <c r="F3020" s="4" t="str">
        <f>IF(OR(A3020="",E3020="","",A3020="?",E3020="?"),"duplicate?",IF(COUNTIFS($A:A,A3020,E:E,E3020)&gt;1,"yes","no"))</f>
        <v>duplicate?</v>
      </c>
      <c r="K3020" s="97" t="str">
        <f ca="1">IF(J3020="","Date",IF(J3020&lt;&gt;"",IF(K3020="Date",NOW(),K3020),""))</f>
        <v>Date</v>
      </c>
    </row>
    <row r="3021" spans="2:11">
      <c r="B3021" s="97" t="str">
        <f ca="1">IF(A3021="","Date",IF(A3021&lt;&gt;"",IF(B3021="Date",NOW(),B3021),""))</f>
        <v>Date</v>
      </c>
      <c r="C3021" s="19" t="str">
        <f>IF(ISBLANK(A3021),"Name",IF(ISNA(VLOOKUP(A3021,'Master List'!A:C,2,FALSE)), "Not Found", VLOOKUP(A3021,'Master List'!A:C,2,FALSE)))</f>
        <v>Name</v>
      </c>
      <c r="D3021" s="19" t="str">
        <f>IF(ISBLANK(A3021), "Email",IF(ISNA(VLOOKUP(A3021,'Master List'!A:C,3,FALSE)), "Not Found", VLOOKUP(A3021,'Master List'!A:C,3,FALSE)))</f>
        <v>Email</v>
      </c>
      <c r="F3021" s="4" t="str">
        <f>IF(OR(A3021="",E3021="","",A3021="?",E3021="?"),"duplicate?",IF(COUNTIFS($A:A,A3021,E:E,E3021)&gt;1,"yes","no"))</f>
        <v>duplicate?</v>
      </c>
      <c r="K3021" s="97" t="str">
        <f ca="1">IF(J3021="","Date",IF(J3021&lt;&gt;"",IF(K3021="Date",NOW(),K3021),""))</f>
        <v>Date</v>
      </c>
    </row>
    <row r="3022" spans="2:11">
      <c r="B3022" s="97" t="str">
        <f ca="1">IF(A3022="","Date",IF(A3022&lt;&gt;"",IF(B3022="Date",NOW(),B3022),""))</f>
        <v>Date</v>
      </c>
      <c r="C3022" s="19" t="str">
        <f>IF(ISBLANK(A3022),"Name",IF(ISNA(VLOOKUP(A3022,'Master List'!A:C,2,FALSE)), "Not Found", VLOOKUP(A3022,'Master List'!A:C,2,FALSE)))</f>
        <v>Name</v>
      </c>
      <c r="D3022" s="19" t="str">
        <f>IF(ISBLANK(A3022), "Email",IF(ISNA(VLOOKUP(A3022,'Master List'!A:C,3,FALSE)), "Not Found", VLOOKUP(A3022,'Master List'!A:C,3,FALSE)))</f>
        <v>Email</v>
      </c>
      <c r="F3022" s="4" t="str">
        <f>IF(OR(A3022="",E3022="","",A3022="?",E3022="?"),"duplicate?",IF(COUNTIFS($A:A,A3022,E:E,E3022)&gt;1,"yes","no"))</f>
        <v>duplicate?</v>
      </c>
      <c r="K3022" s="97" t="str">
        <f ca="1">IF(J3022="","Date",IF(J3022&lt;&gt;"",IF(K3022="Date",NOW(),K3022),""))</f>
        <v>Date</v>
      </c>
    </row>
    <row r="3023" spans="2:11">
      <c r="B3023" s="97" t="str">
        <f ca="1">IF(A3023="","Date",IF(A3023&lt;&gt;"",IF(B3023="Date",NOW(),B3023),""))</f>
        <v>Date</v>
      </c>
      <c r="C3023" s="19" t="str">
        <f>IF(ISBLANK(A3023),"Name",IF(ISNA(VLOOKUP(A3023,'Master List'!A:C,2,FALSE)), "Not Found", VLOOKUP(A3023,'Master List'!A:C,2,FALSE)))</f>
        <v>Name</v>
      </c>
      <c r="D3023" s="19" t="str">
        <f>IF(ISBLANK(A3023), "Email",IF(ISNA(VLOOKUP(A3023,'Master List'!A:C,3,FALSE)), "Not Found", VLOOKUP(A3023,'Master List'!A:C,3,FALSE)))</f>
        <v>Email</v>
      </c>
      <c r="F3023" s="4" t="str">
        <f>IF(OR(A3023="",E3023="","",A3023="?",E3023="?"),"duplicate?",IF(COUNTIFS($A:A,A3023,E:E,E3023)&gt;1,"yes","no"))</f>
        <v>duplicate?</v>
      </c>
      <c r="K3023" s="97" t="str">
        <f ca="1">IF(J3023="","Date",IF(J3023&lt;&gt;"",IF(K3023="Date",NOW(),K3023),""))</f>
        <v>Date</v>
      </c>
    </row>
    <row r="3024" spans="2:11">
      <c r="B3024" s="97" t="str">
        <f ca="1">IF(A3024="","Date",IF(A3024&lt;&gt;"",IF(B3024="Date",NOW(),B3024),""))</f>
        <v>Date</v>
      </c>
      <c r="C3024" s="19" t="str">
        <f>IF(ISBLANK(A3024),"Name",IF(ISNA(VLOOKUP(A3024,'Master List'!A:C,2,FALSE)), "Not Found", VLOOKUP(A3024,'Master List'!A:C,2,FALSE)))</f>
        <v>Name</v>
      </c>
      <c r="D3024" s="19" t="str">
        <f>IF(ISBLANK(A3024), "Email",IF(ISNA(VLOOKUP(A3024,'Master List'!A:C,3,FALSE)), "Not Found", VLOOKUP(A3024,'Master List'!A:C,3,FALSE)))</f>
        <v>Email</v>
      </c>
      <c r="F3024" s="4" t="str">
        <f>IF(OR(A3024="",E3024="","",A3024="?",E3024="?"),"duplicate?",IF(COUNTIFS($A:A,A3024,E:E,E3024)&gt;1,"yes","no"))</f>
        <v>duplicate?</v>
      </c>
      <c r="K3024" s="97" t="str">
        <f ca="1">IF(J3024="","Date",IF(J3024&lt;&gt;"",IF(K3024="Date",NOW(),K3024),""))</f>
        <v>Date</v>
      </c>
    </row>
    <row r="3025" spans="2:11">
      <c r="B3025" s="97" t="str">
        <f ca="1">IF(A3025="","Date",IF(A3025&lt;&gt;"",IF(B3025="Date",NOW(),B3025),""))</f>
        <v>Date</v>
      </c>
      <c r="C3025" s="19" t="str">
        <f>IF(ISBLANK(A3025),"Name",IF(ISNA(VLOOKUP(A3025,'Master List'!A:C,2,FALSE)), "Not Found", VLOOKUP(A3025,'Master List'!A:C,2,FALSE)))</f>
        <v>Name</v>
      </c>
      <c r="D3025" s="19" t="str">
        <f>IF(ISBLANK(A3025), "Email",IF(ISNA(VLOOKUP(A3025,'Master List'!A:C,3,FALSE)), "Not Found", VLOOKUP(A3025,'Master List'!A:C,3,FALSE)))</f>
        <v>Email</v>
      </c>
      <c r="F3025" s="4" t="str">
        <f>IF(OR(A3025="",E3025="","",A3025="?",E3025="?"),"duplicate?",IF(COUNTIFS($A:A,A3025,E:E,E3025)&gt;1,"yes","no"))</f>
        <v>duplicate?</v>
      </c>
      <c r="K3025" s="97" t="str">
        <f ca="1">IF(J3025="","Date",IF(J3025&lt;&gt;"",IF(K3025="Date",NOW(),K3025),""))</f>
        <v>Date</v>
      </c>
    </row>
    <row r="3026" spans="2:11">
      <c r="B3026" s="97" t="str">
        <f ca="1">IF(A3026="","Date",IF(A3026&lt;&gt;"",IF(B3026="Date",NOW(),B3026),""))</f>
        <v>Date</v>
      </c>
      <c r="C3026" s="19" t="str">
        <f>IF(ISBLANK(A3026),"Name",IF(ISNA(VLOOKUP(A3026,'Master List'!A:C,2,FALSE)), "Not Found", VLOOKUP(A3026,'Master List'!A:C,2,FALSE)))</f>
        <v>Name</v>
      </c>
      <c r="D3026" s="19" t="str">
        <f>IF(ISBLANK(A3026), "Email",IF(ISNA(VLOOKUP(A3026,'Master List'!A:C,3,FALSE)), "Not Found", VLOOKUP(A3026,'Master List'!A:C,3,FALSE)))</f>
        <v>Email</v>
      </c>
      <c r="F3026" s="4" t="str">
        <f>IF(OR(A3026="",E3026="","",A3026="?",E3026="?"),"duplicate?",IF(COUNTIFS($A:A,A3026,E:E,E3026)&gt;1,"yes","no"))</f>
        <v>duplicate?</v>
      </c>
      <c r="K3026" s="97" t="str">
        <f ca="1">IF(J3026="","Date",IF(J3026&lt;&gt;"",IF(K3026="Date",NOW(),K3026),""))</f>
        <v>Date</v>
      </c>
    </row>
    <row r="3027" spans="2:11">
      <c r="B3027" s="97" t="str">
        <f ca="1">IF(A3027="","Date",IF(A3027&lt;&gt;"",IF(B3027="Date",NOW(),B3027),""))</f>
        <v>Date</v>
      </c>
      <c r="C3027" s="19" t="str">
        <f>IF(ISBLANK(A3027),"Name",IF(ISNA(VLOOKUP(A3027,'Master List'!A:C,2,FALSE)), "Not Found", VLOOKUP(A3027,'Master List'!A:C,2,FALSE)))</f>
        <v>Name</v>
      </c>
      <c r="D3027" s="19" t="str">
        <f>IF(ISBLANK(A3027), "Email",IF(ISNA(VLOOKUP(A3027,'Master List'!A:C,3,FALSE)), "Not Found", VLOOKUP(A3027,'Master List'!A:C,3,FALSE)))</f>
        <v>Email</v>
      </c>
      <c r="F3027" s="4" t="str">
        <f>IF(OR(A3027="",E3027="","",A3027="?",E3027="?"),"duplicate?",IF(COUNTIFS($A:A,A3027,E:E,E3027)&gt;1,"yes","no"))</f>
        <v>duplicate?</v>
      </c>
      <c r="K3027" s="97" t="str">
        <f ca="1">IF(J3027="","Date",IF(J3027&lt;&gt;"",IF(K3027="Date",NOW(),K3027),""))</f>
        <v>Date</v>
      </c>
    </row>
    <row r="3028" spans="2:11">
      <c r="B3028" s="97" t="str">
        <f ca="1">IF(A3028="","Date",IF(A3028&lt;&gt;"",IF(B3028="Date",NOW(),B3028),""))</f>
        <v>Date</v>
      </c>
      <c r="C3028" s="19" t="str">
        <f>IF(ISBLANK(A3028),"Name",IF(ISNA(VLOOKUP(A3028,'Master List'!A:C,2,FALSE)), "Not Found", VLOOKUP(A3028,'Master List'!A:C,2,FALSE)))</f>
        <v>Name</v>
      </c>
      <c r="D3028" s="19" t="str">
        <f>IF(ISBLANK(A3028), "Email",IF(ISNA(VLOOKUP(A3028,'Master List'!A:C,3,FALSE)), "Not Found", VLOOKUP(A3028,'Master List'!A:C,3,FALSE)))</f>
        <v>Email</v>
      </c>
      <c r="F3028" s="4" t="str">
        <f>IF(OR(A3028="",E3028="","",A3028="?",E3028="?"),"duplicate?",IF(COUNTIFS($A:A,A3028,E:E,E3028)&gt;1,"yes","no"))</f>
        <v>duplicate?</v>
      </c>
      <c r="K3028" s="97" t="str">
        <f ca="1">IF(J3028="","Date",IF(J3028&lt;&gt;"",IF(K3028="Date",NOW(),K3028),""))</f>
        <v>Date</v>
      </c>
    </row>
    <row r="3029" spans="2:11">
      <c r="B3029" s="97" t="str">
        <f ca="1">IF(A3029="","Date",IF(A3029&lt;&gt;"",IF(B3029="Date",NOW(),B3029),""))</f>
        <v>Date</v>
      </c>
      <c r="C3029" s="19" t="str">
        <f>IF(ISBLANK(A3029),"Name",IF(ISNA(VLOOKUP(A3029,'Master List'!A:C,2,FALSE)), "Not Found", VLOOKUP(A3029,'Master List'!A:C,2,FALSE)))</f>
        <v>Name</v>
      </c>
      <c r="D3029" s="19" t="str">
        <f>IF(ISBLANK(A3029), "Email",IF(ISNA(VLOOKUP(A3029,'Master List'!A:C,3,FALSE)), "Not Found", VLOOKUP(A3029,'Master List'!A:C,3,FALSE)))</f>
        <v>Email</v>
      </c>
      <c r="F3029" s="4" t="str">
        <f>IF(OR(A3029="",E3029="","",A3029="?",E3029="?"),"duplicate?",IF(COUNTIFS($A:A,A3029,E:E,E3029)&gt;1,"yes","no"))</f>
        <v>duplicate?</v>
      </c>
      <c r="K3029" s="97" t="str">
        <f ca="1">IF(J3029="","Date",IF(J3029&lt;&gt;"",IF(K3029="Date",NOW(),K3029),""))</f>
        <v>Date</v>
      </c>
    </row>
    <row r="3030" spans="2:11">
      <c r="B3030" s="97" t="str">
        <f ca="1">IF(A3030="","Date",IF(A3030&lt;&gt;"",IF(B3030="Date",NOW(),B3030),""))</f>
        <v>Date</v>
      </c>
      <c r="C3030" s="19" t="str">
        <f>IF(ISBLANK(A3030),"Name",IF(ISNA(VLOOKUP(A3030,'Master List'!A:C,2,FALSE)), "Not Found", VLOOKUP(A3030,'Master List'!A:C,2,FALSE)))</f>
        <v>Name</v>
      </c>
      <c r="D3030" s="19" t="str">
        <f>IF(ISBLANK(A3030), "Email",IF(ISNA(VLOOKUP(A3030,'Master List'!A:C,3,FALSE)), "Not Found", VLOOKUP(A3030,'Master List'!A:C,3,FALSE)))</f>
        <v>Email</v>
      </c>
      <c r="F3030" s="4" t="str">
        <f>IF(OR(A3030="",E3030="","",A3030="?",E3030="?"),"duplicate?",IF(COUNTIFS($A:A,A3030,E:E,E3030)&gt;1,"yes","no"))</f>
        <v>duplicate?</v>
      </c>
      <c r="K3030" s="97" t="str">
        <f ca="1">IF(J3030="","Date",IF(J3030&lt;&gt;"",IF(K3030="Date",NOW(),K3030),""))</f>
        <v>Date</v>
      </c>
    </row>
    <row r="3031" spans="2:11">
      <c r="B3031" s="97" t="str">
        <f ca="1">IF(A3031="","Date",IF(A3031&lt;&gt;"",IF(B3031="Date",NOW(),B3031),""))</f>
        <v>Date</v>
      </c>
      <c r="C3031" s="19" t="str">
        <f>IF(ISBLANK(A3031),"Name",IF(ISNA(VLOOKUP(A3031,'Master List'!A:C,2,FALSE)), "Not Found", VLOOKUP(A3031,'Master List'!A:C,2,FALSE)))</f>
        <v>Name</v>
      </c>
      <c r="D3031" s="19" t="str">
        <f>IF(ISBLANK(A3031), "Email",IF(ISNA(VLOOKUP(A3031,'Master List'!A:C,3,FALSE)), "Not Found", VLOOKUP(A3031,'Master List'!A:C,3,FALSE)))</f>
        <v>Email</v>
      </c>
      <c r="F3031" s="4" t="str">
        <f>IF(OR(A3031="",E3031="","",A3031="?",E3031="?"),"duplicate?",IF(COUNTIFS($A:A,A3031,E:E,E3031)&gt;1,"yes","no"))</f>
        <v>duplicate?</v>
      </c>
      <c r="K3031" s="97" t="str">
        <f ca="1">IF(J3031="","Date",IF(J3031&lt;&gt;"",IF(K3031="Date",NOW(),K3031),""))</f>
        <v>Date</v>
      </c>
    </row>
    <row r="3032" spans="2:11">
      <c r="B3032" s="97" t="str">
        <f ca="1">IF(A3032="","Date",IF(A3032&lt;&gt;"",IF(B3032="Date",NOW(),B3032),""))</f>
        <v>Date</v>
      </c>
      <c r="C3032" s="19" t="str">
        <f>IF(ISBLANK(A3032),"Name",IF(ISNA(VLOOKUP(A3032,'Master List'!A:C,2,FALSE)), "Not Found", VLOOKUP(A3032,'Master List'!A:C,2,FALSE)))</f>
        <v>Name</v>
      </c>
      <c r="D3032" s="19" t="str">
        <f>IF(ISBLANK(A3032), "Email",IF(ISNA(VLOOKUP(A3032,'Master List'!A:C,3,FALSE)), "Not Found", VLOOKUP(A3032,'Master List'!A:C,3,FALSE)))</f>
        <v>Email</v>
      </c>
      <c r="F3032" s="4" t="str">
        <f>IF(OR(A3032="",E3032="","",A3032="?",E3032="?"),"duplicate?",IF(COUNTIFS($A:A,A3032,E:E,E3032)&gt;1,"yes","no"))</f>
        <v>duplicate?</v>
      </c>
      <c r="K3032" s="97" t="str">
        <f ca="1">IF(J3032="","Date",IF(J3032&lt;&gt;"",IF(K3032="Date",NOW(),K3032),""))</f>
        <v>Date</v>
      </c>
    </row>
    <row r="3033" spans="2:11">
      <c r="B3033" s="97" t="str">
        <f ca="1">IF(A3033="","Date",IF(A3033&lt;&gt;"",IF(B3033="Date",NOW(),B3033),""))</f>
        <v>Date</v>
      </c>
      <c r="C3033" s="19" t="str">
        <f>IF(ISBLANK(A3033),"Name",IF(ISNA(VLOOKUP(A3033,'Master List'!A:C,2,FALSE)), "Not Found", VLOOKUP(A3033,'Master List'!A:C,2,FALSE)))</f>
        <v>Name</v>
      </c>
      <c r="D3033" s="19" t="str">
        <f>IF(ISBLANK(A3033), "Email",IF(ISNA(VLOOKUP(A3033,'Master List'!A:C,3,FALSE)), "Not Found", VLOOKUP(A3033,'Master List'!A:C,3,FALSE)))</f>
        <v>Email</v>
      </c>
      <c r="F3033" s="4" t="str">
        <f>IF(OR(A3033="",E3033="","",A3033="?",E3033="?"),"duplicate?",IF(COUNTIFS($A:A,A3033,E:E,E3033)&gt;1,"yes","no"))</f>
        <v>duplicate?</v>
      </c>
      <c r="K3033" s="97" t="str">
        <f ca="1">IF(J3033="","Date",IF(J3033&lt;&gt;"",IF(K3033="Date",NOW(),K3033),""))</f>
        <v>Date</v>
      </c>
    </row>
    <row r="3034" spans="2:11">
      <c r="B3034" s="97" t="str">
        <f ca="1">IF(A3034="","Date",IF(A3034&lt;&gt;"",IF(B3034="Date",NOW(),B3034),""))</f>
        <v>Date</v>
      </c>
      <c r="C3034" s="19" t="str">
        <f>IF(ISBLANK(A3034),"Name",IF(ISNA(VLOOKUP(A3034,'Master List'!A:C,2,FALSE)), "Not Found", VLOOKUP(A3034,'Master List'!A:C,2,FALSE)))</f>
        <v>Name</v>
      </c>
      <c r="D3034" s="19" t="str">
        <f>IF(ISBLANK(A3034), "Email",IF(ISNA(VLOOKUP(A3034,'Master List'!A:C,3,FALSE)), "Not Found", VLOOKUP(A3034,'Master List'!A:C,3,FALSE)))</f>
        <v>Email</v>
      </c>
      <c r="F3034" s="4" t="str">
        <f>IF(OR(A3034="",E3034="","",A3034="?",E3034="?"),"duplicate?",IF(COUNTIFS($A:A,A3034,E:E,E3034)&gt;1,"yes","no"))</f>
        <v>duplicate?</v>
      </c>
      <c r="K3034" s="97" t="str">
        <f ca="1">IF(J3034="","Date",IF(J3034&lt;&gt;"",IF(K3034="Date",NOW(),K3034),""))</f>
        <v>Date</v>
      </c>
    </row>
    <row r="3035" spans="2:11">
      <c r="B3035" s="97" t="str">
        <f ca="1">IF(A3035="","Date",IF(A3035&lt;&gt;"",IF(B3035="Date",NOW(),B3035),""))</f>
        <v>Date</v>
      </c>
      <c r="C3035" s="19" t="str">
        <f>IF(ISBLANK(A3035),"Name",IF(ISNA(VLOOKUP(A3035,'Master List'!A:C,2,FALSE)), "Not Found", VLOOKUP(A3035,'Master List'!A:C,2,FALSE)))</f>
        <v>Name</v>
      </c>
      <c r="D3035" s="19" t="str">
        <f>IF(ISBLANK(A3035), "Email",IF(ISNA(VLOOKUP(A3035,'Master List'!A:C,3,FALSE)), "Not Found", VLOOKUP(A3035,'Master List'!A:C,3,FALSE)))</f>
        <v>Email</v>
      </c>
      <c r="F3035" s="4" t="str">
        <f>IF(OR(A3035="",E3035="","",A3035="?",E3035="?"),"duplicate?",IF(COUNTIFS($A:A,A3035,E:E,E3035)&gt;1,"yes","no"))</f>
        <v>duplicate?</v>
      </c>
      <c r="K3035" s="97" t="str">
        <f ca="1">IF(J3035="","Date",IF(J3035&lt;&gt;"",IF(K3035="Date",NOW(),K3035),""))</f>
        <v>Date</v>
      </c>
    </row>
    <row r="3036" spans="2:11">
      <c r="B3036" s="97" t="str">
        <f ca="1">IF(A3036="","Date",IF(A3036&lt;&gt;"",IF(B3036="Date",NOW(),B3036),""))</f>
        <v>Date</v>
      </c>
      <c r="C3036" s="19" t="str">
        <f>IF(ISBLANK(A3036),"Name",IF(ISNA(VLOOKUP(A3036,'Master List'!A:C,2,FALSE)), "Not Found", VLOOKUP(A3036,'Master List'!A:C,2,FALSE)))</f>
        <v>Name</v>
      </c>
      <c r="D3036" s="19" t="str">
        <f>IF(ISBLANK(A3036), "Email",IF(ISNA(VLOOKUP(A3036,'Master List'!A:C,3,FALSE)), "Not Found", VLOOKUP(A3036,'Master List'!A:C,3,FALSE)))</f>
        <v>Email</v>
      </c>
      <c r="F3036" s="4" t="str">
        <f>IF(OR(A3036="",E3036="","",A3036="?",E3036="?"),"duplicate?",IF(COUNTIFS($A:A,A3036,E:E,E3036)&gt;1,"yes","no"))</f>
        <v>duplicate?</v>
      </c>
      <c r="K3036" s="97" t="str">
        <f ca="1">IF(J3036="","Date",IF(J3036&lt;&gt;"",IF(K3036="Date",NOW(),K3036),""))</f>
        <v>Date</v>
      </c>
    </row>
    <row r="3037" spans="2:11">
      <c r="B3037" s="97" t="str">
        <f ca="1">IF(A3037="","Date",IF(A3037&lt;&gt;"",IF(B3037="Date",NOW(),B3037),""))</f>
        <v>Date</v>
      </c>
      <c r="C3037" s="19" t="str">
        <f>IF(ISBLANK(A3037),"Name",IF(ISNA(VLOOKUP(A3037,'Master List'!A:C,2,FALSE)), "Not Found", VLOOKUP(A3037,'Master List'!A:C,2,FALSE)))</f>
        <v>Name</v>
      </c>
      <c r="D3037" s="19" t="str">
        <f>IF(ISBLANK(A3037), "Email",IF(ISNA(VLOOKUP(A3037,'Master List'!A:C,3,FALSE)), "Not Found", VLOOKUP(A3037,'Master List'!A:C,3,FALSE)))</f>
        <v>Email</v>
      </c>
      <c r="F3037" s="4" t="str">
        <f>IF(OR(A3037="",E3037="","",A3037="?",E3037="?"),"duplicate?",IF(COUNTIFS($A:A,A3037,E:E,E3037)&gt;1,"yes","no"))</f>
        <v>duplicate?</v>
      </c>
      <c r="K3037" s="97" t="str">
        <f ca="1">IF(J3037="","Date",IF(J3037&lt;&gt;"",IF(K3037="Date",NOW(),K3037),""))</f>
        <v>Date</v>
      </c>
    </row>
    <row r="3038" spans="2:11">
      <c r="B3038" s="97" t="str">
        <f ca="1">IF(A3038="","Date",IF(A3038&lt;&gt;"",IF(B3038="Date",NOW(),B3038),""))</f>
        <v>Date</v>
      </c>
      <c r="C3038" s="19" t="str">
        <f>IF(ISBLANK(A3038),"Name",IF(ISNA(VLOOKUP(A3038,'Master List'!A:C,2,FALSE)), "Not Found", VLOOKUP(A3038,'Master List'!A:C,2,FALSE)))</f>
        <v>Name</v>
      </c>
      <c r="D3038" s="19" t="str">
        <f>IF(ISBLANK(A3038), "Email",IF(ISNA(VLOOKUP(A3038,'Master List'!A:C,3,FALSE)), "Not Found", VLOOKUP(A3038,'Master List'!A:C,3,FALSE)))</f>
        <v>Email</v>
      </c>
      <c r="F3038" s="4" t="str">
        <f>IF(OR(A3038="",E3038="","",A3038="?",E3038="?"),"duplicate?",IF(COUNTIFS($A:A,A3038,E:E,E3038)&gt;1,"yes","no"))</f>
        <v>duplicate?</v>
      </c>
      <c r="K3038" s="97" t="str">
        <f ca="1">IF(J3038="","Date",IF(J3038&lt;&gt;"",IF(K3038="Date",NOW(),K3038),""))</f>
        <v>Date</v>
      </c>
    </row>
    <row r="3039" spans="2:11">
      <c r="B3039" s="97" t="str">
        <f ca="1">IF(A3039="","Date",IF(A3039&lt;&gt;"",IF(B3039="Date",NOW(),B3039),""))</f>
        <v>Date</v>
      </c>
      <c r="C3039" s="19" t="str">
        <f>IF(ISBLANK(A3039),"Name",IF(ISNA(VLOOKUP(A3039,'Master List'!A:C,2,FALSE)), "Not Found", VLOOKUP(A3039,'Master List'!A:C,2,FALSE)))</f>
        <v>Name</v>
      </c>
      <c r="D3039" s="19" t="str">
        <f>IF(ISBLANK(A3039), "Email",IF(ISNA(VLOOKUP(A3039,'Master List'!A:C,3,FALSE)), "Not Found", VLOOKUP(A3039,'Master List'!A:C,3,FALSE)))</f>
        <v>Email</v>
      </c>
      <c r="F3039" s="4" t="str">
        <f>IF(OR(A3039="",E3039="","",A3039="?",E3039="?"),"duplicate?",IF(COUNTIFS($A:A,A3039,E:E,E3039)&gt;1,"yes","no"))</f>
        <v>duplicate?</v>
      </c>
      <c r="K3039" s="97" t="str">
        <f ca="1">IF(J3039="","Date",IF(J3039&lt;&gt;"",IF(K3039="Date",NOW(),K3039),""))</f>
        <v>Date</v>
      </c>
    </row>
    <row r="3040" spans="2:11">
      <c r="B3040" s="97" t="str">
        <f ca="1">IF(A3040="","Date",IF(A3040&lt;&gt;"",IF(B3040="Date",NOW(),B3040),""))</f>
        <v>Date</v>
      </c>
      <c r="C3040" s="19" t="str">
        <f>IF(ISBLANK(A3040),"Name",IF(ISNA(VLOOKUP(A3040,'Master List'!A:C,2,FALSE)), "Not Found", VLOOKUP(A3040,'Master List'!A:C,2,FALSE)))</f>
        <v>Name</v>
      </c>
      <c r="D3040" s="19" t="str">
        <f>IF(ISBLANK(A3040), "Email",IF(ISNA(VLOOKUP(A3040,'Master List'!A:C,3,FALSE)), "Not Found", VLOOKUP(A3040,'Master List'!A:C,3,FALSE)))</f>
        <v>Email</v>
      </c>
      <c r="F3040" s="4" t="str">
        <f>IF(OR(A3040="",E3040="","",A3040="?",E3040="?"),"duplicate?",IF(COUNTIFS($A:A,A3040,E:E,E3040)&gt;1,"yes","no"))</f>
        <v>duplicate?</v>
      </c>
      <c r="K3040" s="97" t="str">
        <f ca="1">IF(J3040="","Date",IF(J3040&lt;&gt;"",IF(K3040="Date",NOW(),K3040),""))</f>
        <v>Date</v>
      </c>
    </row>
    <row r="3041" spans="2:11">
      <c r="B3041" s="97" t="str">
        <f ca="1">IF(A3041="","Date",IF(A3041&lt;&gt;"",IF(B3041="Date",NOW(),B3041),""))</f>
        <v>Date</v>
      </c>
      <c r="C3041" s="19" t="str">
        <f>IF(ISBLANK(A3041),"Name",IF(ISNA(VLOOKUP(A3041,'Master List'!A:C,2,FALSE)), "Not Found", VLOOKUP(A3041,'Master List'!A:C,2,FALSE)))</f>
        <v>Name</v>
      </c>
      <c r="D3041" s="19" t="str">
        <f>IF(ISBLANK(A3041), "Email",IF(ISNA(VLOOKUP(A3041,'Master List'!A:C,3,FALSE)), "Not Found", VLOOKUP(A3041,'Master List'!A:C,3,FALSE)))</f>
        <v>Email</v>
      </c>
      <c r="F3041" s="4" t="str">
        <f>IF(OR(A3041="",E3041="","",A3041="?",E3041="?"),"duplicate?",IF(COUNTIFS($A:A,A3041,E:E,E3041)&gt;1,"yes","no"))</f>
        <v>duplicate?</v>
      </c>
      <c r="K3041" s="97" t="str">
        <f ca="1">IF(J3041="","Date",IF(J3041&lt;&gt;"",IF(K3041="Date",NOW(),K3041),""))</f>
        <v>Date</v>
      </c>
    </row>
    <row r="3042" spans="2:11">
      <c r="B3042" s="97" t="str">
        <f ca="1">IF(A3042="","Date",IF(A3042&lt;&gt;"",IF(B3042="Date",NOW(),B3042),""))</f>
        <v>Date</v>
      </c>
      <c r="C3042" s="19" t="str">
        <f>IF(ISBLANK(A3042),"Name",IF(ISNA(VLOOKUP(A3042,'Master List'!A:C,2,FALSE)), "Not Found", VLOOKUP(A3042,'Master List'!A:C,2,FALSE)))</f>
        <v>Name</v>
      </c>
      <c r="D3042" s="19" t="str">
        <f>IF(ISBLANK(A3042), "Email",IF(ISNA(VLOOKUP(A3042,'Master List'!A:C,3,FALSE)), "Not Found", VLOOKUP(A3042,'Master List'!A:C,3,FALSE)))</f>
        <v>Email</v>
      </c>
      <c r="F3042" s="4" t="str">
        <f>IF(OR(A3042="",E3042="","",A3042="?",E3042="?"),"duplicate?",IF(COUNTIFS($A:A,A3042,E:E,E3042)&gt;1,"yes","no"))</f>
        <v>duplicate?</v>
      </c>
      <c r="K3042" s="97" t="str">
        <f ca="1">IF(J3042="","Date",IF(J3042&lt;&gt;"",IF(K3042="Date",NOW(),K3042),""))</f>
        <v>Date</v>
      </c>
    </row>
    <row r="3043" spans="2:11">
      <c r="B3043" s="97" t="str">
        <f ca="1">IF(A3043="","Date",IF(A3043&lt;&gt;"",IF(B3043="Date",NOW(),B3043),""))</f>
        <v>Date</v>
      </c>
      <c r="C3043" s="19" t="str">
        <f>IF(ISBLANK(A3043),"Name",IF(ISNA(VLOOKUP(A3043,'Master List'!A:C,2,FALSE)), "Not Found", VLOOKUP(A3043,'Master List'!A:C,2,FALSE)))</f>
        <v>Name</v>
      </c>
      <c r="D3043" s="19" t="str">
        <f>IF(ISBLANK(A3043), "Email",IF(ISNA(VLOOKUP(A3043,'Master List'!A:C,3,FALSE)), "Not Found", VLOOKUP(A3043,'Master List'!A:C,3,FALSE)))</f>
        <v>Email</v>
      </c>
      <c r="F3043" s="4" t="str">
        <f>IF(OR(A3043="",E3043="","",A3043="?",E3043="?"),"duplicate?",IF(COUNTIFS($A:A,A3043,E:E,E3043)&gt;1,"yes","no"))</f>
        <v>duplicate?</v>
      </c>
      <c r="K3043" s="97" t="str">
        <f ca="1">IF(J3043="","Date",IF(J3043&lt;&gt;"",IF(K3043="Date",NOW(),K3043),""))</f>
        <v>Date</v>
      </c>
    </row>
    <row r="3044" spans="2:11">
      <c r="B3044" s="97" t="str">
        <f ca="1">IF(A3044="","Date",IF(A3044&lt;&gt;"",IF(B3044="Date",NOW(),B3044),""))</f>
        <v>Date</v>
      </c>
      <c r="C3044" s="19" t="str">
        <f>IF(ISBLANK(A3044),"Name",IF(ISNA(VLOOKUP(A3044,'Master List'!A:C,2,FALSE)), "Not Found", VLOOKUP(A3044,'Master List'!A:C,2,FALSE)))</f>
        <v>Name</v>
      </c>
      <c r="D3044" s="19" t="str">
        <f>IF(ISBLANK(A3044), "Email",IF(ISNA(VLOOKUP(A3044,'Master List'!A:C,3,FALSE)), "Not Found", VLOOKUP(A3044,'Master List'!A:C,3,FALSE)))</f>
        <v>Email</v>
      </c>
      <c r="F3044" s="4" t="str">
        <f>IF(OR(A3044="",E3044="","",A3044="?",E3044="?"),"duplicate?",IF(COUNTIFS($A:A,A3044,E:E,E3044)&gt;1,"yes","no"))</f>
        <v>duplicate?</v>
      </c>
      <c r="K3044" s="97" t="str">
        <f ca="1">IF(J3044="","Date",IF(J3044&lt;&gt;"",IF(K3044="Date",NOW(),K3044),""))</f>
        <v>Date</v>
      </c>
    </row>
    <row r="3045" spans="2:11">
      <c r="B3045" s="97" t="str">
        <f ca="1">IF(A3045="","Date",IF(A3045&lt;&gt;"",IF(B3045="Date",NOW(),B3045),""))</f>
        <v>Date</v>
      </c>
      <c r="C3045" s="19" t="str">
        <f>IF(ISBLANK(A3045),"Name",IF(ISNA(VLOOKUP(A3045,'Master List'!A:C,2,FALSE)), "Not Found", VLOOKUP(A3045,'Master List'!A:C,2,FALSE)))</f>
        <v>Name</v>
      </c>
      <c r="D3045" s="19" t="str">
        <f>IF(ISBLANK(A3045), "Email",IF(ISNA(VLOOKUP(A3045,'Master List'!A:C,3,FALSE)), "Not Found", VLOOKUP(A3045,'Master List'!A:C,3,FALSE)))</f>
        <v>Email</v>
      </c>
      <c r="F3045" s="4" t="str">
        <f>IF(OR(A3045="",E3045="","",A3045="?",E3045="?"),"duplicate?",IF(COUNTIFS($A:A,A3045,E:E,E3045)&gt;1,"yes","no"))</f>
        <v>duplicate?</v>
      </c>
      <c r="K3045" s="97" t="str">
        <f ca="1">IF(J3045="","Date",IF(J3045&lt;&gt;"",IF(K3045="Date",NOW(),K3045),""))</f>
        <v>Date</v>
      </c>
    </row>
    <row r="3046" spans="2:11">
      <c r="B3046" s="97" t="str">
        <f ca="1">IF(A3046="","Date",IF(A3046&lt;&gt;"",IF(B3046="Date",NOW(),B3046),""))</f>
        <v>Date</v>
      </c>
      <c r="C3046" s="19" t="str">
        <f>IF(ISBLANK(A3046),"Name",IF(ISNA(VLOOKUP(A3046,'Master List'!A:C,2,FALSE)), "Not Found", VLOOKUP(A3046,'Master List'!A:C,2,FALSE)))</f>
        <v>Name</v>
      </c>
      <c r="D3046" s="19" t="str">
        <f>IF(ISBLANK(A3046), "Email",IF(ISNA(VLOOKUP(A3046,'Master List'!A:C,3,FALSE)), "Not Found", VLOOKUP(A3046,'Master List'!A:C,3,FALSE)))</f>
        <v>Email</v>
      </c>
      <c r="F3046" s="4" t="str">
        <f>IF(OR(A3046="",E3046="","",A3046="?",E3046="?"),"duplicate?",IF(COUNTIFS($A:A,A3046,E:E,E3046)&gt;1,"yes","no"))</f>
        <v>duplicate?</v>
      </c>
      <c r="K3046" s="97" t="str">
        <f ca="1">IF(J3046="","Date",IF(J3046&lt;&gt;"",IF(K3046="Date",NOW(),K3046),""))</f>
        <v>Date</v>
      </c>
    </row>
    <row r="3047" spans="2:11">
      <c r="B3047" s="97" t="str">
        <f ca="1">IF(A3047="","Date",IF(A3047&lt;&gt;"",IF(B3047="Date",NOW(),B3047),""))</f>
        <v>Date</v>
      </c>
      <c r="C3047" s="19" t="str">
        <f>IF(ISBLANK(A3047),"Name",IF(ISNA(VLOOKUP(A3047,'Master List'!A:C,2,FALSE)), "Not Found", VLOOKUP(A3047,'Master List'!A:C,2,FALSE)))</f>
        <v>Name</v>
      </c>
      <c r="D3047" s="19" t="str">
        <f>IF(ISBLANK(A3047), "Email",IF(ISNA(VLOOKUP(A3047,'Master List'!A:C,3,FALSE)), "Not Found", VLOOKUP(A3047,'Master List'!A:C,3,FALSE)))</f>
        <v>Email</v>
      </c>
      <c r="F3047" s="4" t="str">
        <f>IF(OR(A3047="",E3047="","",A3047="?",E3047="?"),"duplicate?",IF(COUNTIFS($A:A,A3047,E:E,E3047)&gt;1,"yes","no"))</f>
        <v>duplicate?</v>
      </c>
      <c r="K3047" s="97" t="str">
        <f ca="1">IF(J3047="","Date",IF(J3047&lt;&gt;"",IF(K3047="Date",NOW(),K3047),""))</f>
        <v>Date</v>
      </c>
    </row>
    <row r="3048" spans="2:11">
      <c r="B3048" s="97" t="str">
        <f ca="1">IF(A3048="","Date",IF(A3048&lt;&gt;"",IF(B3048="Date",NOW(),B3048),""))</f>
        <v>Date</v>
      </c>
      <c r="C3048" s="19" t="str">
        <f>IF(ISBLANK(A3048),"Name",IF(ISNA(VLOOKUP(A3048,'Master List'!A:C,2,FALSE)), "Not Found", VLOOKUP(A3048,'Master List'!A:C,2,FALSE)))</f>
        <v>Name</v>
      </c>
      <c r="D3048" s="19" t="str">
        <f>IF(ISBLANK(A3048), "Email",IF(ISNA(VLOOKUP(A3048,'Master List'!A:C,3,FALSE)), "Not Found", VLOOKUP(A3048,'Master List'!A:C,3,FALSE)))</f>
        <v>Email</v>
      </c>
      <c r="F3048" s="4" t="str">
        <f>IF(OR(A3048="",E3048="","",A3048="?",E3048="?"),"duplicate?",IF(COUNTIFS($A:A,A3048,E:E,E3048)&gt;1,"yes","no"))</f>
        <v>duplicate?</v>
      </c>
      <c r="K3048" s="97" t="str">
        <f ca="1">IF(J3048="","Date",IF(J3048&lt;&gt;"",IF(K3048="Date",NOW(),K3048),""))</f>
        <v>Date</v>
      </c>
    </row>
    <row r="3049" spans="2:11">
      <c r="B3049" s="97" t="str">
        <f ca="1">IF(A3049="","Date",IF(A3049&lt;&gt;"",IF(B3049="Date",NOW(),B3049),""))</f>
        <v>Date</v>
      </c>
      <c r="C3049" s="19" t="str">
        <f>IF(ISBLANK(A3049),"Name",IF(ISNA(VLOOKUP(A3049,'Master List'!A:C,2,FALSE)), "Not Found", VLOOKUP(A3049,'Master List'!A:C,2,FALSE)))</f>
        <v>Name</v>
      </c>
      <c r="D3049" s="19" t="str">
        <f>IF(ISBLANK(A3049), "Email",IF(ISNA(VLOOKUP(A3049,'Master List'!A:C,3,FALSE)), "Not Found", VLOOKUP(A3049,'Master List'!A:C,3,FALSE)))</f>
        <v>Email</v>
      </c>
      <c r="F3049" s="4" t="str">
        <f>IF(OR(A3049="",E3049="","",A3049="?",E3049="?"),"duplicate?",IF(COUNTIFS($A:A,A3049,E:E,E3049)&gt;1,"yes","no"))</f>
        <v>duplicate?</v>
      </c>
      <c r="K3049" s="97" t="str">
        <f ca="1">IF(J3049="","Date",IF(J3049&lt;&gt;"",IF(K3049="Date",NOW(),K3049),""))</f>
        <v>Date</v>
      </c>
    </row>
    <row r="3050" spans="2:11">
      <c r="B3050" s="97" t="str">
        <f ca="1">IF(A3050="","Date",IF(A3050&lt;&gt;"",IF(B3050="Date",NOW(),B3050),""))</f>
        <v>Date</v>
      </c>
      <c r="C3050" s="19" t="str">
        <f>IF(ISBLANK(A3050),"Name",IF(ISNA(VLOOKUP(A3050,'Master List'!A:C,2,FALSE)), "Not Found", VLOOKUP(A3050,'Master List'!A:C,2,FALSE)))</f>
        <v>Name</v>
      </c>
      <c r="D3050" s="19" t="str">
        <f>IF(ISBLANK(A3050), "Email",IF(ISNA(VLOOKUP(A3050,'Master List'!A:C,3,FALSE)), "Not Found", VLOOKUP(A3050,'Master List'!A:C,3,FALSE)))</f>
        <v>Email</v>
      </c>
      <c r="F3050" s="4" t="str">
        <f>IF(OR(A3050="",E3050="","",A3050="?",E3050="?"),"duplicate?",IF(COUNTIFS($A:A,A3050,E:E,E3050)&gt;1,"yes","no"))</f>
        <v>duplicate?</v>
      </c>
      <c r="K3050" s="97" t="str">
        <f ca="1">IF(J3050="","Date",IF(J3050&lt;&gt;"",IF(K3050="Date",NOW(),K3050),""))</f>
        <v>Date</v>
      </c>
    </row>
    <row r="3051" spans="2:11">
      <c r="B3051" s="97" t="str">
        <f ca="1">IF(A3051="","Date",IF(A3051&lt;&gt;"",IF(B3051="Date",NOW(),B3051),""))</f>
        <v>Date</v>
      </c>
      <c r="C3051" s="19" t="str">
        <f>IF(ISBLANK(A3051),"Name",IF(ISNA(VLOOKUP(A3051,'Master List'!A:C,2,FALSE)), "Not Found", VLOOKUP(A3051,'Master List'!A:C,2,FALSE)))</f>
        <v>Name</v>
      </c>
      <c r="D3051" s="19" t="str">
        <f>IF(ISBLANK(A3051), "Email",IF(ISNA(VLOOKUP(A3051,'Master List'!A:C,3,FALSE)), "Not Found", VLOOKUP(A3051,'Master List'!A:C,3,FALSE)))</f>
        <v>Email</v>
      </c>
      <c r="F3051" s="4" t="str">
        <f>IF(OR(A3051="",E3051="","",A3051="?",E3051="?"),"duplicate?",IF(COUNTIFS($A:A,A3051,E:E,E3051)&gt;1,"yes","no"))</f>
        <v>duplicate?</v>
      </c>
      <c r="K3051" s="97" t="str">
        <f ca="1">IF(J3051="","Date",IF(J3051&lt;&gt;"",IF(K3051="Date",NOW(),K3051),""))</f>
        <v>Date</v>
      </c>
    </row>
    <row r="3052" spans="2:11">
      <c r="B3052" s="97" t="str">
        <f ca="1">IF(A3052="","Date",IF(A3052&lt;&gt;"",IF(B3052="Date",NOW(),B3052),""))</f>
        <v>Date</v>
      </c>
      <c r="C3052" s="19" t="str">
        <f>IF(ISBLANK(A3052),"Name",IF(ISNA(VLOOKUP(A3052,'Master List'!A:C,2,FALSE)), "Not Found", VLOOKUP(A3052,'Master List'!A:C,2,FALSE)))</f>
        <v>Name</v>
      </c>
      <c r="D3052" s="19" t="str">
        <f>IF(ISBLANK(A3052), "Email",IF(ISNA(VLOOKUP(A3052,'Master List'!A:C,3,FALSE)), "Not Found", VLOOKUP(A3052,'Master List'!A:C,3,FALSE)))</f>
        <v>Email</v>
      </c>
      <c r="F3052" s="4" t="str">
        <f>IF(OR(A3052="",E3052="","",A3052="?",E3052="?"),"duplicate?",IF(COUNTIFS($A:A,A3052,E:E,E3052)&gt;1,"yes","no"))</f>
        <v>duplicate?</v>
      </c>
      <c r="K3052" s="97" t="str">
        <f ca="1">IF(J3052="","Date",IF(J3052&lt;&gt;"",IF(K3052="Date",NOW(),K3052),""))</f>
        <v>Date</v>
      </c>
    </row>
    <row r="3053" spans="2:11">
      <c r="B3053" s="97" t="str">
        <f ca="1">IF(A3053="","Date",IF(A3053&lt;&gt;"",IF(B3053="Date",NOW(),B3053),""))</f>
        <v>Date</v>
      </c>
      <c r="C3053" s="19" t="str">
        <f>IF(ISBLANK(A3053),"Name",IF(ISNA(VLOOKUP(A3053,'Master List'!A:C,2,FALSE)), "Not Found", VLOOKUP(A3053,'Master List'!A:C,2,FALSE)))</f>
        <v>Name</v>
      </c>
      <c r="D3053" s="19" t="str">
        <f>IF(ISBLANK(A3053), "Email",IF(ISNA(VLOOKUP(A3053,'Master List'!A:C,3,FALSE)), "Not Found", VLOOKUP(A3053,'Master List'!A:C,3,FALSE)))</f>
        <v>Email</v>
      </c>
      <c r="F3053" s="4" t="str">
        <f>IF(OR(A3053="",E3053="","",A3053="?",E3053="?"),"duplicate?",IF(COUNTIFS($A:A,A3053,E:E,E3053)&gt;1,"yes","no"))</f>
        <v>duplicate?</v>
      </c>
      <c r="K3053" s="97" t="str">
        <f ca="1">IF(J3053="","Date",IF(J3053&lt;&gt;"",IF(K3053="Date",NOW(),K3053),""))</f>
        <v>Date</v>
      </c>
    </row>
    <row r="3054" spans="2:11">
      <c r="B3054" s="97" t="str">
        <f ca="1">IF(A3054="","Date",IF(A3054&lt;&gt;"",IF(B3054="Date",NOW(),B3054),""))</f>
        <v>Date</v>
      </c>
      <c r="C3054" s="19" t="str">
        <f>IF(ISBLANK(A3054),"Name",IF(ISNA(VLOOKUP(A3054,'Master List'!A:C,2,FALSE)), "Not Found", VLOOKUP(A3054,'Master List'!A:C,2,FALSE)))</f>
        <v>Name</v>
      </c>
      <c r="D3054" s="19" t="str">
        <f>IF(ISBLANK(A3054), "Email",IF(ISNA(VLOOKUP(A3054,'Master List'!A:C,3,FALSE)), "Not Found", VLOOKUP(A3054,'Master List'!A:C,3,FALSE)))</f>
        <v>Email</v>
      </c>
      <c r="F3054" s="4" t="str">
        <f>IF(OR(A3054="",E3054="","",A3054="?",E3054="?"),"duplicate?",IF(COUNTIFS($A:A,A3054,E:E,E3054)&gt;1,"yes","no"))</f>
        <v>duplicate?</v>
      </c>
      <c r="K3054" s="97" t="str">
        <f ca="1">IF(J3054="","Date",IF(J3054&lt;&gt;"",IF(K3054="Date",NOW(),K3054),""))</f>
        <v>Date</v>
      </c>
    </row>
    <row r="3055" spans="2:11">
      <c r="B3055" s="97" t="str">
        <f ca="1">IF(A3055="","Date",IF(A3055&lt;&gt;"",IF(B3055="Date",NOW(),B3055),""))</f>
        <v>Date</v>
      </c>
      <c r="C3055" s="19" t="str">
        <f>IF(ISBLANK(A3055),"Name",IF(ISNA(VLOOKUP(A3055,'Master List'!A:C,2,FALSE)), "Not Found", VLOOKUP(A3055,'Master List'!A:C,2,FALSE)))</f>
        <v>Name</v>
      </c>
      <c r="D3055" s="19" t="str">
        <f>IF(ISBLANK(A3055), "Email",IF(ISNA(VLOOKUP(A3055,'Master List'!A:C,3,FALSE)), "Not Found", VLOOKUP(A3055,'Master List'!A:C,3,FALSE)))</f>
        <v>Email</v>
      </c>
      <c r="F3055" s="4" t="str">
        <f>IF(OR(A3055="",E3055="","",A3055="?",E3055="?"),"duplicate?",IF(COUNTIFS($A:A,A3055,E:E,E3055)&gt;1,"yes","no"))</f>
        <v>duplicate?</v>
      </c>
      <c r="K3055" s="97" t="str">
        <f ca="1">IF(J3055="","Date",IF(J3055&lt;&gt;"",IF(K3055="Date",NOW(),K3055),""))</f>
        <v>Date</v>
      </c>
    </row>
    <row r="3056" spans="2:11">
      <c r="B3056" s="97" t="str">
        <f ca="1">IF(A3056="","Date",IF(A3056&lt;&gt;"",IF(B3056="Date",NOW(),B3056),""))</f>
        <v>Date</v>
      </c>
      <c r="C3056" s="19" t="str">
        <f>IF(ISBLANK(A3056),"Name",IF(ISNA(VLOOKUP(A3056,'Master List'!A:C,2,FALSE)), "Not Found", VLOOKUP(A3056,'Master List'!A:C,2,FALSE)))</f>
        <v>Name</v>
      </c>
      <c r="D3056" s="19" t="str">
        <f>IF(ISBLANK(A3056), "Email",IF(ISNA(VLOOKUP(A3056,'Master List'!A:C,3,FALSE)), "Not Found", VLOOKUP(A3056,'Master List'!A:C,3,FALSE)))</f>
        <v>Email</v>
      </c>
      <c r="F3056" s="4" t="str">
        <f>IF(OR(A3056="",E3056="","",A3056="?",E3056="?"),"duplicate?",IF(COUNTIFS($A:A,A3056,E:E,E3056)&gt;1,"yes","no"))</f>
        <v>duplicate?</v>
      </c>
      <c r="K3056" s="97" t="str">
        <f ca="1">IF(J3056="","Date",IF(J3056&lt;&gt;"",IF(K3056="Date",NOW(),K3056),""))</f>
        <v>Date</v>
      </c>
    </row>
    <row r="3057" spans="2:11">
      <c r="B3057" s="97" t="str">
        <f ca="1">IF(A3057="","Date",IF(A3057&lt;&gt;"",IF(B3057="Date",NOW(),B3057),""))</f>
        <v>Date</v>
      </c>
      <c r="C3057" s="19" t="str">
        <f>IF(ISBLANK(A3057),"Name",IF(ISNA(VLOOKUP(A3057,'Master List'!A:C,2,FALSE)), "Not Found", VLOOKUP(A3057,'Master List'!A:C,2,FALSE)))</f>
        <v>Name</v>
      </c>
      <c r="D3057" s="19" t="str">
        <f>IF(ISBLANK(A3057), "Email",IF(ISNA(VLOOKUP(A3057,'Master List'!A:C,3,FALSE)), "Not Found", VLOOKUP(A3057,'Master List'!A:C,3,FALSE)))</f>
        <v>Email</v>
      </c>
      <c r="F3057" s="4" t="str">
        <f>IF(OR(A3057="",E3057="","",A3057="?",E3057="?"),"duplicate?",IF(COUNTIFS($A:A,A3057,E:E,E3057)&gt;1,"yes","no"))</f>
        <v>duplicate?</v>
      </c>
      <c r="K3057" s="97" t="str">
        <f ca="1">IF(J3057="","Date",IF(J3057&lt;&gt;"",IF(K3057="Date",NOW(),K3057),""))</f>
        <v>Date</v>
      </c>
    </row>
    <row r="3058" spans="2:11">
      <c r="B3058" s="97" t="str">
        <f ca="1">IF(A3058="","Date",IF(A3058&lt;&gt;"",IF(B3058="Date",NOW(),B3058),""))</f>
        <v>Date</v>
      </c>
      <c r="C3058" s="19" t="str">
        <f>IF(ISBLANK(A3058),"Name",IF(ISNA(VLOOKUP(A3058,'Master List'!A:C,2,FALSE)), "Not Found", VLOOKUP(A3058,'Master List'!A:C,2,FALSE)))</f>
        <v>Name</v>
      </c>
      <c r="D3058" s="19" t="str">
        <f>IF(ISBLANK(A3058), "Email",IF(ISNA(VLOOKUP(A3058,'Master List'!A:C,3,FALSE)), "Not Found", VLOOKUP(A3058,'Master List'!A:C,3,FALSE)))</f>
        <v>Email</v>
      </c>
      <c r="F3058" s="4" t="str">
        <f>IF(OR(A3058="",E3058="","",A3058="?",E3058="?"),"duplicate?",IF(COUNTIFS($A:A,A3058,E:E,E3058)&gt;1,"yes","no"))</f>
        <v>duplicate?</v>
      </c>
      <c r="K3058" s="97" t="str">
        <f ca="1">IF(J3058="","Date",IF(J3058&lt;&gt;"",IF(K3058="Date",NOW(),K3058),""))</f>
        <v>Date</v>
      </c>
    </row>
    <row r="3059" spans="2:11">
      <c r="B3059" s="97" t="str">
        <f ca="1">IF(A3059="","Date",IF(A3059&lt;&gt;"",IF(B3059="Date",NOW(),B3059),""))</f>
        <v>Date</v>
      </c>
      <c r="C3059" s="19" t="str">
        <f>IF(ISBLANK(A3059),"Name",IF(ISNA(VLOOKUP(A3059,'Master List'!A:C,2,FALSE)), "Not Found", VLOOKUP(A3059,'Master List'!A:C,2,FALSE)))</f>
        <v>Name</v>
      </c>
      <c r="D3059" s="19" t="str">
        <f>IF(ISBLANK(A3059), "Email",IF(ISNA(VLOOKUP(A3059,'Master List'!A:C,3,FALSE)), "Not Found", VLOOKUP(A3059,'Master List'!A:C,3,FALSE)))</f>
        <v>Email</v>
      </c>
      <c r="F3059" s="4" t="str">
        <f>IF(OR(A3059="",E3059="","",A3059="?",E3059="?"),"duplicate?",IF(COUNTIFS($A:A,A3059,E:E,E3059)&gt;1,"yes","no"))</f>
        <v>duplicate?</v>
      </c>
      <c r="K3059" s="97" t="str">
        <f ca="1">IF(J3059="","Date",IF(J3059&lt;&gt;"",IF(K3059="Date",NOW(),K3059),""))</f>
        <v>Date</v>
      </c>
    </row>
    <row r="3060" spans="2:11">
      <c r="B3060" s="97" t="str">
        <f ca="1">IF(A3060="","Date",IF(A3060&lt;&gt;"",IF(B3060="Date",NOW(),B3060),""))</f>
        <v>Date</v>
      </c>
      <c r="C3060" s="19" t="str">
        <f>IF(ISBLANK(A3060),"Name",IF(ISNA(VLOOKUP(A3060,'Master List'!A:C,2,FALSE)), "Not Found", VLOOKUP(A3060,'Master List'!A:C,2,FALSE)))</f>
        <v>Name</v>
      </c>
      <c r="D3060" s="19" t="str">
        <f>IF(ISBLANK(A3060), "Email",IF(ISNA(VLOOKUP(A3060,'Master List'!A:C,3,FALSE)), "Not Found", VLOOKUP(A3060,'Master List'!A:C,3,FALSE)))</f>
        <v>Email</v>
      </c>
      <c r="F3060" s="4" t="str">
        <f>IF(OR(A3060="",E3060="","",A3060="?",E3060="?"),"duplicate?",IF(COUNTIFS($A:A,A3060,E:E,E3060)&gt;1,"yes","no"))</f>
        <v>duplicate?</v>
      </c>
      <c r="K3060" s="97" t="str">
        <f ca="1">IF(J3060="","Date",IF(J3060&lt;&gt;"",IF(K3060="Date",NOW(),K3060),""))</f>
        <v>Date</v>
      </c>
    </row>
    <row r="3061" spans="2:11">
      <c r="B3061" s="97" t="str">
        <f ca="1">IF(A3061="","Date",IF(A3061&lt;&gt;"",IF(B3061="Date",NOW(),B3061),""))</f>
        <v>Date</v>
      </c>
      <c r="C3061" s="19" t="str">
        <f>IF(ISBLANK(A3061),"Name",IF(ISNA(VLOOKUP(A3061,'Master List'!A:C,2,FALSE)), "Not Found", VLOOKUP(A3061,'Master List'!A:C,2,FALSE)))</f>
        <v>Name</v>
      </c>
      <c r="D3061" s="19" t="str">
        <f>IF(ISBLANK(A3061), "Email",IF(ISNA(VLOOKUP(A3061,'Master List'!A:C,3,FALSE)), "Not Found", VLOOKUP(A3061,'Master List'!A:C,3,FALSE)))</f>
        <v>Email</v>
      </c>
      <c r="F3061" s="4" t="str">
        <f>IF(OR(A3061="",E3061="","",A3061="?",E3061="?"),"duplicate?",IF(COUNTIFS($A:A,A3061,E:E,E3061)&gt;1,"yes","no"))</f>
        <v>duplicate?</v>
      </c>
      <c r="K3061" s="97" t="str">
        <f ca="1">IF(J3061="","Date",IF(J3061&lt;&gt;"",IF(K3061="Date",NOW(),K3061),""))</f>
        <v>Date</v>
      </c>
    </row>
    <row r="3062" spans="2:11">
      <c r="B3062" s="97" t="str">
        <f ca="1">IF(A3062="","Date",IF(A3062&lt;&gt;"",IF(B3062="Date",NOW(),B3062),""))</f>
        <v>Date</v>
      </c>
      <c r="C3062" s="19" t="str">
        <f>IF(ISBLANK(A3062),"Name",IF(ISNA(VLOOKUP(A3062,'Master List'!A:C,2,FALSE)), "Not Found", VLOOKUP(A3062,'Master List'!A:C,2,FALSE)))</f>
        <v>Name</v>
      </c>
      <c r="D3062" s="19" t="str">
        <f>IF(ISBLANK(A3062), "Email",IF(ISNA(VLOOKUP(A3062,'Master List'!A:C,3,FALSE)), "Not Found", VLOOKUP(A3062,'Master List'!A:C,3,FALSE)))</f>
        <v>Email</v>
      </c>
      <c r="F3062" s="4" t="str">
        <f>IF(OR(A3062="",E3062="","",A3062="?",E3062="?"),"duplicate?",IF(COUNTIFS($A:A,A3062,E:E,E3062)&gt;1,"yes","no"))</f>
        <v>duplicate?</v>
      </c>
      <c r="K3062" s="97" t="str">
        <f ca="1">IF(J3062="","Date",IF(J3062&lt;&gt;"",IF(K3062="Date",NOW(),K3062),""))</f>
        <v>Date</v>
      </c>
    </row>
    <row r="3063" spans="2:11">
      <c r="B3063" s="97" t="str">
        <f ca="1">IF(A3063="","Date",IF(A3063&lt;&gt;"",IF(B3063="Date",NOW(),B3063),""))</f>
        <v>Date</v>
      </c>
      <c r="C3063" s="19" t="str">
        <f>IF(ISBLANK(A3063),"Name",IF(ISNA(VLOOKUP(A3063,'Master List'!A:C,2,FALSE)), "Not Found", VLOOKUP(A3063,'Master List'!A:C,2,FALSE)))</f>
        <v>Name</v>
      </c>
      <c r="D3063" s="19" t="str">
        <f>IF(ISBLANK(A3063), "Email",IF(ISNA(VLOOKUP(A3063,'Master List'!A:C,3,FALSE)), "Not Found", VLOOKUP(A3063,'Master List'!A:C,3,FALSE)))</f>
        <v>Email</v>
      </c>
      <c r="F3063" s="4" t="str">
        <f>IF(OR(A3063="",E3063="","",A3063="?",E3063="?"),"duplicate?",IF(COUNTIFS($A:A,A3063,E:E,E3063)&gt;1,"yes","no"))</f>
        <v>duplicate?</v>
      </c>
      <c r="K3063" s="97" t="str">
        <f ca="1">IF(J3063="","Date",IF(J3063&lt;&gt;"",IF(K3063="Date",NOW(),K3063),""))</f>
        <v>Date</v>
      </c>
    </row>
    <row r="3064" spans="2:11">
      <c r="B3064" s="97" t="str">
        <f ca="1">IF(A3064="","Date",IF(A3064&lt;&gt;"",IF(B3064="Date",NOW(),B3064),""))</f>
        <v>Date</v>
      </c>
      <c r="C3064" s="19" t="str">
        <f>IF(ISBLANK(A3064),"Name",IF(ISNA(VLOOKUP(A3064,'Master List'!A:C,2,FALSE)), "Not Found", VLOOKUP(A3064,'Master List'!A:C,2,FALSE)))</f>
        <v>Name</v>
      </c>
      <c r="D3064" s="19" t="str">
        <f>IF(ISBLANK(A3064), "Email",IF(ISNA(VLOOKUP(A3064,'Master List'!A:C,3,FALSE)), "Not Found", VLOOKUP(A3064,'Master List'!A:C,3,FALSE)))</f>
        <v>Email</v>
      </c>
      <c r="F3064" s="4" t="str">
        <f>IF(OR(A3064="",E3064="","",A3064="?",E3064="?"),"duplicate?",IF(COUNTIFS($A:A,A3064,E:E,E3064)&gt;1,"yes","no"))</f>
        <v>duplicate?</v>
      </c>
      <c r="K3064" s="97" t="str">
        <f ca="1">IF(J3064="","Date",IF(J3064&lt;&gt;"",IF(K3064="Date",NOW(),K3064),""))</f>
        <v>Date</v>
      </c>
    </row>
    <row r="3065" spans="2:11">
      <c r="B3065" s="97" t="str">
        <f ca="1">IF(A3065="","Date",IF(A3065&lt;&gt;"",IF(B3065="Date",NOW(),B3065),""))</f>
        <v>Date</v>
      </c>
      <c r="C3065" s="19" t="str">
        <f>IF(ISBLANK(A3065),"Name",IF(ISNA(VLOOKUP(A3065,'Master List'!A:C,2,FALSE)), "Not Found", VLOOKUP(A3065,'Master List'!A:C,2,FALSE)))</f>
        <v>Name</v>
      </c>
      <c r="D3065" s="19" t="str">
        <f>IF(ISBLANK(A3065), "Email",IF(ISNA(VLOOKUP(A3065,'Master List'!A:C,3,FALSE)), "Not Found", VLOOKUP(A3065,'Master List'!A:C,3,FALSE)))</f>
        <v>Email</v>
      </c>
      <c r="F3065" s="4" t="str">
        <f>IF(OR(A3065="",E3065="","",A3065="?",E3065="?"),"duplicate?",IF(COUNTIFS($A:A,A3065,E:E,E3065)&gt;1,"yes","no"))</f>
        <v>duplicate?</v>
      </c>
      <c r="K3065" s="97" t="str">
        <f ca="1">IF(J3065="","Date",IF(J3065&lt;&gt;"",IF(K3065="Date",NOW(),K3065),""))</f>
        <v>Date</v>
      </c>
    </row>
    <row r="3066" spans="2:11">
      <c r="B3066" s="97" t="str">
        <f ca="1">IF(A3066="","Date",IF(A3066&lt;&gt;"",IF(B3066="Date",NOW(),B3066),""))</f>
        <v>Date</v>
      </c>
      <c r="C3066" s="19" t="str">
        <f>IF(ISBLANK(A3066),"Name",IF(ISNA(VLOOKUP(A3066,'Master List'!A:C,2,FALSE)), "Not Found", VLOOKUP(A3066,'Master List'!A:C,2,FALSE)))</f>
        <v>Name</v>
      </c>
      <c r="D3066" s="19" t="str">
        <f>IF(ISBLANK(A3066), "Email",IF(ISNA(VLOOKUP(A3066,'Master List'!A:C,3,FALSE)), "Not Found", VLOOKUP(A3066,'Master List'!A:C,3,FALSE)))</f>
        <v>Email</v>
      </c>
      <c r="F3066" s="4" t="str">
        <f>IF(OR(A3066="",E3066="","",A3066="?",E3066="?"),"duplicate?",IF(COUNTIFS($A:A,A3066,E:E,E3066)&gt;1,"yes","no"))</f>
        <v>duplicate?</v>
      </c>
      <c r="K3066" s="97" t="str">
        <f ca="1">IF(J3066="","Date",IF(J3066&lt;&gt;"",IF(K3066="Date",NOW(),K3066),""))</f>
        <v>Date</v>
      </c>
    </row>
    <row r="3067" spans="2:11">
      <c r="B3067" s="97" t="str">
        <f ca="1">IF(A3067="","Date",IF(A3067&lt;&gt;"",IF(B3067="Date",NOW(),B3067),""))</f>
        <v>Date</v>
      </c>
      <c r="C3067" s="19" t="str">
        <f>IF(ISBLANK(A3067),"Name",IF(ISNA(VLOOKUP(A3067,'Master List'!A:C,2,FALSE)), "Not Found", VLOOKUP(A3067,'Master List'!A:C,2,FALSE)))</f>
        <v>Name</v>
      </c>
      <c r="D3067" s="19" t="str">
        <f>IF(ISBLANK(A3067), "Email",IF(ISNA(VLOOKUP(A3067,'Master List'!A:C,3,FALSE)), "Not Found", VLOOKUP(A3067,'Master List'!A:C,3,FALSE)))</f>
        <v>Email</v>
      </c>
      <c r="F3067" s="4" t="str">
        <f>IF(OR(A3067="",E3067="","",A3067="?",E3067="?"),"duplicate?",IF(COUNTIFS($A:A,A3067,E:E,E3067)&gt;1,"yes","no"))</f>
        <v>duplicate?</v>
      </c>
      <c r="K3067" s="97" t="str">
        <f ca="1">IF(J3067="","Date",IF(J3067&lt;&gt;"",IF(K3067="Date",NOW(),K3067),""))</f>
        <v>Date</v>
      </c>
    </row>
    <row r="3068" spans="2:11">
      <c r="B3068" s="97" t="str">
        <f ca="1">IF(A3068="","Date",IF(A3068&lt;&gt;"",IF(B3068="Date",NOW(),B3068),""))</f>
        <v>Date</v>
      </c>
      <c r="C3068" s="19" t="str">
        <f>IF(ISBLANK(A3068),"Name",IF(ISNA(VLOOKUP(A3068,'Master List'!A:C,2,FALSE)), "Not Found", VLOOKUP(A3068,'Master List'!A:C,2,FALSE)))</f>
        <v>Name</v>
      </c>
      <c r="D3068" s="19" t="str">
        <f>IF(ISBLANK(A3068), "Email",IF(ISNA(VLOOKUP(A3068,'Master List'!A:C,3,FALSE)), "Not Found", VLOOKUP(A3068,'Master List'!A:C,3,FALSE)))</f>
        <v>Email</v>
      </c>
      <c r="F3068" s="4" t="str">
        <f>IF(OR(A3068="",E3068="","",A3068="?",E3068="?"),"duplicate?",IF(COUNTIFS($A:A,A3068,E:E,E3068)&gt;1,"yes","no"))</f>
        <v>duplicate?</v>
      </c>
      <c r="K3068" s="97" t="str">
        <f ca="1">IF(J3068="","Date",IF(J3068&lt;&gt;"",IF(K3068="Date",NOW(),K3068),""))</f>
        <v>Date</v>
      </c>
    </row>
    <row r="3069" spans="2:11">
      <c r="B3069" s="97" t="str">
        <f ca="1">IF(A3069="","Date",IF(A3069&lt;&gt;"",IF(B3069="Date",NOW(),B3069),""))</f>
        <v>Date</v>
      </c>
      <c r="C3069" s="19" t="str">
        <f>IF(ISBLANK(A3069),"Name",IF(ISNA(VLOOKUP(A3069,'Master List'!A:C,2,FALSE)), "Not Found", VLOOKUP(A3069,'Master List'!A:C,2,FALSE)))</f>
        <v>Name</v>
      </c>
      <c r="D3069" s="19" t="str">
        <f>IF(ISBLANK(A3069), "Email",IF(ISNA(VLOOKUP(A3069,'Master List'!A:C,3,FALSE)), "Not Found", VLOOKUP(A3069,'Master List'!A:C,3,FALSE)))</f>
        <v>Email</v>
      </c>
      <c r="F3069" s="4" t="str">
        <f>IF(OR(A3069="",E3069="","",A3069="?",E3069="?"),"duplicate?",IF(COUNTIFS($A:A,A3069,E:E,E3069)&gt;1,"yes","no"))</f>
        <v>duplicate?</v>
      </c>
      <c r="K3069" s="97" t="str">
        <f ca="1">IF(J3069="","Date",IF(J3069&lt;&gt;"",IF(K3069="Date",NOW(),K3069),""))</f>
        <v>Date</v>
      </c>
    </row>
    <row r="3070" spans="2:11">
      <c r="B3070" s="97" t="str">
        <f ca="1">IF(A3070="","Date",IF(A3070&lt;&gt;"",IF(B3070="Date",NOW(),B3070),""))</f>
        <v>Date</v>
      </c>
      <c r="C3070" s="19" t="str">
        <f>IF(ISBLANK(A3070),"Name",IF(ISNA(VLOOKUP(A3070,'Master List'!A:C,2,FALSE)), "Not Found", VLOOKUP(A3070,'Master List'!A:C,2,FALSE)))</f>
        <v>Name</v>
      </c>
      <c r="D3070" s="19" t="str">
        <f>IF(ISBLANK(A3070), "Email",IF(ISNA(VLOOKUP(A3070,'Master List'!A:C,3,FALSE)), "Not Found", VLOOKUP(A3070,'Master List'!A:C,3,FALSE)))</f>
        <v>Email</v>
      </c>
      <c r="F3070" s="4" t="str">
        <f>IF(OR(A3070="",E3070="","",A3070="?",E3070="?"),"duplicate?",IF(COUNTIFS($A:A,A3070,E:E,E3070)&gt;1,"yes","no"))</f>
        <v>duplicate?</v>
      </c>
      <c r="K3070" s="97" t="str">
        <f ca="1">IF(J3070="","Date",IF(J3070&lt;&gt;"",IF(K3070="Date",NOW(),K3070),""))</f>
        <v>Date</v>
      </c>
    </row>
    <row r="3071" spans="2:11">
      <c r="B3071" s="97" t="str">
        <f ca="1">IF(A3071="","Date",IF(A3071&lt;&gt;"",IF(B3071="Date",NOW(),B3071),""))</f>
        <v>Date</v>
      </c>
      <c r="C3071" s="19" t="str">
        <f>IF(ISBLANK(A3071),"Name",IF(ISNA(VLOOKUP(A3071,'Master List'!A:C,2,FALSE)), "Not Found", VLOOKUP(A3071,'Master List'!A:C,2,FALSE)))</f>
        <v>Name</v>
      </c>
      <c r="D3071" s="19" t="str">
        <f>IF(ISBLANK(A3071), "Email",IF(ISNA(VLOOKUP(A3071,'Master List'!A:C,3,FALSE)), "Not Found", VLOOKUP(A3071,'Master List'!A:C,3,FALSE)))</f>
        <v>Email</v>
      </c>
      <c r="F3071" s="4" t="str">
        <f>IF(OR(A3071="",E3071="","",A3071="?",E3071="?"),"duplicate?",IF(COUNTIFS($A:A,A3071,E:E,E3071)&gt;1,"yes","no"))</f>
        <v>duplicate?</v>
      </c>
      <c r="K3071" s="97" t="str">
        <f ca="1">IF(J3071="","Date",IF(J3071&lt;&gt;"",IF(K3071="Date",NOW(),K3071),""))</f>
        <v>Date</v>
      </c>
    </row>
    <row r="3072" spans="2:11">
      <c r="B3072" s="97" t="str">
        <f ca="1">IF(A3072="","Date",IF(A3072&lt;&gt;"",IF(B3072="Date",NOW(),B3072),""))</f>
        <v>Date</v>
      </c>
      <c r="C3072" s="19" t="str">
        <f>IF(ISBLANK(A3072),"Name",IF(ISNA(VLOOKUP(A3072,'Master List'!A:C,2,FALSE)), "Not Found", VLOOKUP(A3072,'Master List'!A:C,2,FALSE)))</f>
        <v>Name</v>
      </c>
      <c r="D3072" s="19" t="str">
        <f>IF(ISBLANK(A3072), "Email",IF(ISNA(VLOOKUP(A3072,'Master List'!A:C,3,FALSE)), "Not Found", VLOOKUP(A3072,'Master List'!A:C,3,FALSE)))</f>
        <v>Email</v>
      </c>
      <c r="F3072" s="4" t="str">
        <f>IF(OR(A3072="",E3072="","",A3072="?",E3072="?"),"duplicate?",IF(COUNTIFS($A:A,A3072,E:E,E3072)&gt;1,"yes","no"))</f>
        <v>duplicate?</v>
      </c>
      <c r="K3072" s="97" t="str">
        <f ca="1">IF(J3072="","Date",IF(J3072&lt;&gt;"",IF(K3072="Date",NOW(),K3072),""))</f>
        <v>Date</v>
      </c>
    </row>
    <row r="3073" spans="2:11">
      <c r="B3073" s="97" t="str">
        <f ca="1">IF(A3073="","Date",IF(A3073&lt;&gt;"",IF(B3073="Date",NOW(),B3073),""))</f>
        <v>Date</v>
      </c>
      <c r="C3073" s="19" t="str">
        <f>IF(ISBLANK(A3073),"Name",IF(ISNA(VLOOKUP(A3073,'Master List'!A:C,2,FALSE)), "Not Found", VLOOKUP(A3073,'Master List'!A:C,2,FALSE)))</f>
        <v>Name</v>
      </c>
      <c r="D3073" s="19" t="str">
        <f>IF(ISBLANK(A3073), "Email",IF(ISNA(VLOOKUP(A3073,'Master List'!A:C,3,FALSE)), "Not Found", VLOOKUP(A3073,'Master List'!A:C,3,FALSE)))</f>
        <v>Email</v>
      </c>
      <c r="F3073" s="4" t="str">
        <f>IF(OR(A3073="",E3073="","",A3073="?",E3073="?"),"duplicate?",IF(COUNTIFS($A:A,A3073,E:E,E3073)&gt;1,"yes","no"))</f>
        <v>duplicate?</v>
      </c>
      <c r="K3073" s="97" t="str">
        <f ca="1">IF(J3073="","Date",IF(J3073&lt;&gt;"",IF(K3073="Date",NOW(),K3073),""))</f>
        <v>Date</v>
      </c>
    </row>
    <row r="3074" spans="2:11">
      <c r="B3074" s="97" t="str">
        <f ca="1">IF(A3074="","Date",IF(A3074&lt;&gt;"",IF(B3074="Date",NOW(),B3074),""))</f>
        <v>Date</v>
      </c>
      <c r="C3074" s="19" t="str">
        <f>IF(ISBLANK(A3074),"Name",IF(ISNA(VLOOKUP(A3074,'Master List'!A:C,2,FALSE)), "Not Found", VLOOKUP(A3074,'Master List'!A:C,2,FALSE)))</f>
        <v>Name</v>
      </c>
      <c r="D3074" s="19" t="str">
        <f>IF(ISBLANK(A3074), "Email",IF(ISNA(VLOOKUP(A3074,'Master List'!A:C,3,FALSE)), "Not Found", VLOOKUP(A3074,'Master List'!A:C,3,FALSE)))</f>
        <v>Email</v>
      </c>
      <c r="F3074" s="4" t="str">
        <f>IF(OR(A3074="",E3074="","",A3074="?",E3074="?"),"duplicate?",IF(COUNTIFS($A:A,A3074,E:E,E3074)&gt;1,"yes","no"))</f>
        <v>duplicate?</v>
      </c>
      <c r="K3074" s="97" t="str">
        <f ca="1">IF(J3074="","Date",IF(J3074&lt;&gt;"",IF(K3074="Date",NOW(),K3074),""))</f>
        <v>Date</v>
      </c>
    </row>
    <row r="3075" spans="2:11">
      <c r="B3075" s="97" t="str">
        <f ca="1">IF(A3075="","Date",IF(A3075&lt;&gt;"",IF(B3075="Date",NOW(),B3075),""))</f>
        <v>Date</v>
      </c>
      <c r="C3075" s="19" t="str">
        <f>IF(ISBLANK(A3075),"Name",IF(ISNA(VLOOKUP(A3075,'Master List'!A:C,2,FALSE)), "Not Found", VLOOKUP(A3075,'Master List'!A:C,2,FALSE)))</f>
        <v>Name</v>
      </c>
      <c r="D3075" s="19" t="str">
        <f>IF(ISBLANK(A3075), "Email",IF(ISNA(VLOOKUP(A3075,'Master List'!A:C,3,FALSE)), "Not Found", VLOOKUP(A3075,'Master List'!A:C,3,FALSE)))</f>
        <v>Email</v>
      </c>
      <c r="F3075" s="4" t="str">
        <f>IF(OR(A3075="",E3075="","",A3075="?",E3075="?"),"duplicate?",IF(COUNTIFS($A:A,A3075,E:E,E3075)&gt;1,"yes","no"))</f>
        <v>duplicate?</v>
      </c>
      <c r="K3075" s="97" t="str">
        <f ca="1">IF(J3075="","Date",IF(J3075&lt;&gt;"",IF(K3075="Date",NOW(),K3075),""))</f>
        <v>Date</v>
      </c>
    </row>
    <row r="3076" spans="2:11">
      <c r="B3076" s="97" t="str">
        <f ca="1">IF(A3076="","Date",IF(A3076&lt;&gt;"",IF(B3076="Date",NOW(),B3076),""))</f>
        <v>Date</v>
      </c>
      <c r="C3076" s="19" t="str">
        <f>IF(ISBLANK(A3076),"Name",IF(ISNA(VLOOKUP(A3076,'Master List'!A:C,2,FALSE)), "Not Found", VLOOKUP(A3076,'Master List'!A:C,2,FALSE)))</f>
        <v>Name</v>
      </c>
      <c r="D3076" s="19" t="str">
        <f>IF(ISBLANK(A3076), "Email",IF(ISNA(VLOOKUP(A3076,'Master List'!A:C,3,FALSE)), "Not Found", VLOOKUP(A3076,'Master List'!A:C,3,FALSE)))</f>
        <v>Email</v>
      </c>
      <c r="F3076" s="4" t="str">
        <f>IF(OR(A3076="",E3076="","",A3076="?",E3076="?"),"duplicate?",IF(COUNTIFS($A:A,A3076,E:E,E3076)&gt;1,"yes","no"))</f>
        <v>duplicate?</v>
      </c>
      <c r="K3076" s="97" t="str">
        <f ca="1">IF(J3076="","Date",IF(J3076&lt;&gt;"",IF(K3076="Date",NOW(),K3076),""))</f>
        <v>Date</v>
      </c>
    </row>
    <row r="3077" spans="2:11">
      <c r="B3077" s="97" t="str">
        <f ca="1">IF(A3077="","Date",IF(A3077&lt;&gt;"",IF(B3077="Date",NOW(),B3077),""))</f>
        <v>Date</v>
      </c>
      <c r="C3077" s="19" t="str">
        <f>IF(ISBLANK(A3077),"Name",IF(ISNA(VLOOKUP(A3077,'Master List'!A:C,2,FALSE)), "Not Found", VLOOKUP(A3077,'Master List'!A:C,2,FALSE)))</f>
        <v>Name</v>
      </c>
      <c r="D3077" s="19" t="str">
        <f>IF(ISBLANK(A3077), "Email",IF(ISNA(VLOOKUP(A3077,'Master List'!A:C,3,FALSE)), "Not Found", VLOOKUP(A3077,'Master List'!A:C,3,FALSE)))</f>
        <v>Email</v>
      </c>
      <c r="F3077" s="4" t="str">
        <f>IF(OR(A3077="",E3077="","",A3077="?",E3077="?"),"duplicate?",IF(COUNTIFS($A:A,A3077,E:E,E3077)&gt;1,"yes","no"))</f>
        <v>duplicate?</v>
      </c>
      <c r="K3077" s="97" t="str">
        <f ca="1">IF(J3077="","Date",IF(J3077&lt;&gt;"",IF(K3077="Date",NOW(),K3077),""))</f>
        <v>Date</v>
      </c>
    </row>
    <row r="3078" spans="2:11">
      <c r="B3078" s="97" t="str">
        <f ca="1">IF(A3078="","Date",IF(A3078&lt;&gt;"",IF(B3078="Date",NOW(),B3078),""))</f>
        <v>Date</v>
      </c>
      <c r="C3078" s="19" t="str">
        <f>IF(ISBLANK(A3078),"Name",IF(ISNA(VLOOKUP(A3078,'Master List'!A:C,2,FALSE)), "Not Found", VLOOKUP(A3078,'Master List'!A:C,2,FALSE)))</f>
        <v>Name</v>
      </c>
      <c r="D3078" s="19" t="str">
        <f>IF(ISBLANK(A3078), "Email",IF(ISNA(VLOOKUP(A3078,'Master List'!A:C,3,FALSE)), "Not Found", VLOOKUP(A3078,'Master List'!A:C,3,FALSE)))</f>
        <v>Email</v>
      </c>
      <c r="F3078" s="4" t="str">
        <f>IF(OR(A3078="",E3078="","",A3078="?",E3078="?"),"duplicate?",IF(COUNTIFS($A:A,A3078,E:E,E3078)&gt;1,"yes","no"))</f>
        <v>duplicate?</v>
      </c>
      <c r="K3078" s="97" t="str">
        <f ca="1">IF(J3078="","Date",IF(J3078&lt;&gt;"",IF(K3078="Date",NOW(),K3078),""))</f>
        <v>Date</v>
      </c>
    </row>
    <row r="3079" spans="2:11">
      <c r="B3079" s="97" t="str">
        <f ca="1">IF(A3079="","Date",IF(A3079&lt;&gt;"",IF(B3079="Date",NOW(),B3079),""))</f>
        <v>Date</v>
      </c>
      <c r="C3079" s="19" t="str">
        <f>IF(ISBLANK(A3079),"Name",IF(ISNA(VLOOKUP(A3079,'Master List'!A:C,2,FALSE)), "Not Found", VLOOKUP(A3079,'Master List'!A:C,2,FALSE)))</f>
        <v>Name</v>
      </c>
      <c r="D3079" s="19" t="str">
        <f>IF(ISBLANK(A3079), "Email",IF(ISNA(VLOOKUP(A3079,'Master List'!A:C,3,FALSE)), "Not Found", VLOOKUP(A3079,'Master List'!A:C,3,FALSE)))</f>
        <v>Email</v>
      </c>
      <c r="F3079" s="4" t="str">
        <f>IF(OR(A3079="",E3079="","",A3079="?",E3079="?"),"duplicate?",IF(COUNTIFS($A:A,A3079,E:E,E3079)&gt;1,"yes","no"))</f>
        <v>duplicate?</v>
      </c>
      <c r="K3079" s="97" t="str">
        <f ca="1">IF(J3079="","Date",IF(J3079&lt;&gt;"",IF(K3079="Date",NOW(),K3079),""))</f>
        <v>Date</v>
      </c>
    </row>
    <row r="3080" spans="2:11">
      <c r="B3080" s="97" t="str">
        <f ca="1">IF(A3080="","Date",IF(A3080&lt;&gt;"",IF(B3080="Date",NOW(),B3080),""))</f>
        <v>Date</v>
      </c>
      <c r="C3080" s="19" t="str">
        <f>IF(ISBLANK(A3080),"Name",IF(ISNA(VLOOKUP(A3080,'Master List'!A:C,2,FALSE)), "Not Found", VLOOKUP(A3080,'Master List'!A:C,2,FALSE)))</f>
        <v>Name</v>
      </c>
      <c r="D3080" s="19" t="str">
        <f>IF(ISBLANK(A3080), "Email",IF(ISNA(VLOOKUP(A3080,'Master List'!A:C,3,FALSE)), "Not Found", VLOOKUP(A3080,'Master List'!A:C,3,FALSE)))</f>
        <v>Email</v>
      </c>
      <c r="F3080" s="4" t="str">
        <f>IF(OR(A3080="",E3080="","",A3080="?",E3080="?"),"duplicate?",IF(COUNTIFS($A:A,A3080,E:E,E3080)&gt;1,"yes","no"))</f>
        <v>duplicate?</v>
      </c>
      <c r="K3080" s="97" t="str">
        <f ca="1">IF(J3080="","Date",IF(J3080&lt;&gt;"",IF(K3080="Date",NOW(),K3080),""))</f>
        <v>Date</v>
      </c>
    </row>
    <row r="3081" spans="2:11">
      <c r="B3081" s="97" t="str">
        <f ca="1">IF(A3081="","Date",IF(A3081&lt;&gt;"",IF(B3081="Date",NOW(),B3081),""))</f>
        <v>Date</v>
      </c>
      <c r="C3081" s="19" t="str">
        <f>IF(ISBLANK(A3081),"Name",IF(ISNA(VLOOKUP(A3081,'Master List'!A:C,2,FALSE)), "Not Found", VLOOKUP(A3081,'Master List'!A:C,2,FALSE)))</f>
        <v>Name</v>
      </c>
      <c r="D3081" s="19" t="str">
        <f>IF(ISBLANK(A3081), "Email",IF(ISNA(VLOOKUP(A3081,'Master List'!A:C,3,FALSE)), "Not Found", VLOOKUP(A3081,'Master List'!A:C,3,FALSE)))</f>
        <v>Email</v>
      </c>
      <c r="F3081" s="4" t="str">
        <f>IF(OR(A3081="",E3081="","",A3081="?",E3081="?"),"duplicate?",IF(COUNTIFS($A:A,A3081,E:E,E3081)&gt;1,"yes","no"))</f>
        <v>duplicate?</v>
      </c>
      <c r="K3081" s="97" t="str">
        <f ca="1">IF(J3081="","Date",IF(J3081&lt;&gt;"",IF(K3081="Date",NOW(),K3081),""))</f>
        <v>Date</v>
      </c>
    </row>
    <row r="3082" spans="2:11">
      <c r="B3082" s="97" t="str">
        <f ca="1">IF(A3082="","Date",IF(A3082&lt;&gt;"",IF(B3082="Date",NOW(),B3082),""))</f>
        <v>Date</v>
      </c>
      <c r="C3082" s="19" t="str">
        <f>IF(ISBLANK(A3082),"Name",IF(ISNA(VLOOKUP(A3082,'Master List'!A:C,2,FALSE)), "Not Found", VLOOKUP(A3082,'Master List'!A:C,2,FALSE)))</f>
        <v>Name</v>
      </c>
      <c r="D3082" s="19" t="str">
        <f>IF(ISBLANK(A3082), "Email",IF(ISNA(VLOOKUP(A3082,'Master List'!A:C,3,FALSE)), "Not Found", VLOOKUP(A3082,'Master List'!A:C,3,FALSE)))</f>
        <v>Email</v>
      </c>
      <c r="F3082" s="4" t="str">
        <f>IF(OR(A3082="",E3082="","",A3082="?",E3082="?"),"duplicate?",IF(COUNTIFS($A:A,A3082,E:E,E3082)&gt;1,"yes","no"))</f>
        <v>duplicate?</v>
      </c>
      <c r="K3082" s="97" t="str">
        <f ca="1">IF(J3082="","Date",IF(J3082&lt;&gt;"",IF(K3082="Date",NOW(),K3082),""))</f>
        <v>Date</v>
      </c>
    </row>
    <row r="3083" spans="2:11">
      <c r="B3083" s="97" t="str">
        <f ca="1">IF(A3083="","Date",IF(A3083&lt;&gt;"",IF(B3083="Date",NOW(),B3083),""))</f>
        <v>Date</v>
      </c>
      <c r="C3083" s="19" t="str">
        <f>IF(ISBLANK(A3083),"Name",IF(ISNA(VLOOKUP(A3083,'Master List'!A:C,2,FALSE)), "Not Found", VLOOKUP(A3083,'Master List'!A:C,2,FALSE)))</f>
        <v>Name</v>
      </c>
      <c r="D3083" s="19" t="str">
        <f>IF(ISBLANK(A3083), "Email",IF(ISNA(VLOOKUP(A3083,'Master List'!A:C,3,FALSE)), "Not Found", VLOOKUP(A3083,'Master List'!A:C,3,FALSE)))</f>
        <v>Email</v>
      </c>
      <c r="F3083" s="4" t="str">
        <f>IF(OR(A3083="",E3083="","",A3083="?",E3083="?"),"duplicate?",IF(COUNTIFS($A:A,A3083,E:E,E3083)&gt;1,"yes","no"))</f>
        <v>duplicate?</v>
      </c>
      <c r="K3083" s="97" t="str">
        <f ca="1">IF(J3083="","Date",IF(J3083&lt;&gt;"",IF(K3083="Date",NOW(),K3083),""))</f>
        <v>Date</v>
      </c>
    </row>
    <row r="3084" spans="2:11">
      <c r="B3084" s="97" t="str">
        <f ca="1">IF(A3084="","Date",IF(A3084&lt;&gt;"",IF(B3084="Date",NOW(),B3084),""))</f>
        <v>Date</v>
      </c>
      <c r="C3084" s="19" t="str">
        <f>IF(ISBLANK(A3084),"Name",IF(ISNA(VLOOKUP(A3084,'Master List'!A:C,2,FALSE)), "Not Found", VLOOKUP(A3084,'Master List'!A:C,2,FALSE)))</f>
        <v>Name</v>
      </c>
      <c r="D3084" s="19" t="str">
        <f>IF(ISBLANK(A3084), "Email",IF(ISNA(VLOOKUP(A3084,'Master List'!A:C,3,FALSE)), "Not Found", VLOOKUP(A3084,'Master List'!A:C,3,FALSE)))</f>
        <v>Email</v>
      </c>
      <c r="F3084" s="4" t="str">
        <f>IF(OR(A3084="",E3084="","",A3084="?",E3084="?"),"duplicate?",IF(COUNTIFS($A:A,A3084,E:E,E3084)&gt;1,"yes","no"))</f>
        <v>duplicate?</v>
      </c>
      <c r="K3084" s="97" t="str">
        <f ca="1">IF(J3084="","Date",IF(J3084&lt;&gt;"",IF(K3084="Date",NOW(),K3084),""))</f>
        <v>Date</v>
      </c>
    </row>
    <row r="3085" spans="2:11">
      <c r="B3085" s="97" t="str">
        <f ca="1">IF(A3085="","Date",IF(A3085&lt;&gt;"",IF(B3085="Date",NOW(),B3085),""))</f>
        <v>Date</v>
      </c>
      <c r="C3085" s="19" t="str">
        <f>IF(ISBLANK(A3085),"Name",IF(ISNA(VLOOKUP(A3085,'Master List'!A:C,2,FALSE)), "Not Found", VLOOKUP(A3085,'Master List'!A:C,2,FALSE)))</f>
        <v>Name</v>
      </c>
      <c r="D3085" s="19" t="str">
        <f>IF(ISBLANK(A3085), "Email",IF(ISNA(VLOOKUP(A3085,'Master List'!A:C,3,FALSE)), "Not Found", VLOOKUP(A3085,'Master List'!A:C,3,FALSE)))</f>
        <v>Email</v>
      </c>
      <c r="F3085" s="4" t="str">
        <f>IF(OR(A3085="",E3085="","",A3085="?",E3085="?"),"duplicate?",IF(COUNTIFS($A:A,A3085,E:E,E3085)&gt;1,"yes","no"))</f>
        <v>duplicate?</v>
      </c>
      <c r="K3085" s="97" t="str">
        <f ca="1">IF(J3085="","Date",IF(J3085&lt;&gt;"",IF(K3085="Date",NOW(),K3085),""))</f>
        <v>Date</v>
      </c>
    </row>
    <row r="3086" spans="2:11">
      <c r="B3086" s="97" t="str">
        <f ca="1">IF(A3086="","Date",IF(A3086&lt;&gt;"",IF(B3086="Date",NOW(),B3086),""))</f>
        <v>Date</v>
      </c>
      <c r="C3086" s="19" t="str">
        <f>IF(ISBLANK(A3086),"Name",IF(ISNA(VLOOKUP(A3086,'Master List'!A:C,2,FALSE)), "Not Found", VLOOKUP(A3086,'Master List'!A:C,2,FALSE)))</f>
        <v>Name</v>
      </c>
      <c r="D3086" s="19" t="str">
        <f>IF(ISBLANK(A3086), "Email",IF(ISNA(VLOOKUP(A3086,'Master List'!A:C,3,FALSE)), "Not Found", VLOOKUP(A3086,'Master List'!A:C,3,FALSE)))</f>
        <v>Email</v>
      </c>
      <c r="F3086" s="4" t="str">
        <f>IF(OR(A3086="",E3086="","",A3086="?",E3086="?"),"duplicate?",IF(COUNTIFS($A:A,A3086,E:E,E3086)&gt;1,"yes","no"))</f>
        <v>duplicate?</v>
      </c>
      <c r="K3086" s="97" t="str">
        <f ca="1">IF(J3086="","Date",IF(J3086&lt;&gt;"",IF(K3086="Date",NOW(),K3086),""))</f>
        <v>Date</v>
      </c>
    </row>
    <row r="3087" spans="2:11">
      <c r="B3087" s="97" t="str">
        <f ca="1">IF(A3087="","Date",IF(A3087&lt;&gt;"",IF(B3087="Date",NOW(),B3087),""))</f>
        <v>Date</v>
      </c>
      <c r="C3087" s="19" t="str">
        <f>IF(ISBLANK(A3087),"Name",IF(ISNA(VLOOKUP(A3087,'Master List'!A:C,2,FALSE)), "Not Found", VLOOKUP(A3087,'Master List'!A:C,2,FALSE)))</f>
        <v>Name</v>
      </c>
      <c r="D3087" s="19" t="str">
        <f>IF(ISBLANK(A3087), "Email",IF(ISNA(VLOOKUP(A3087,'Master List'!A:C,3,FALSE)), "Not Found", VLOOKUP(A3087,'Master List'!A:C,3,FALSE)))</f>
        <v>Email</v>
      </c>
      <c r="F3087" s="4" t="str">
        <f>IF(OR(A3087="",E3087="","",A3087="?",E3087="?"),"duplicate?",IF(COUNTIFS($A:A,A3087,E:E,E3087)&gt;1,"yes","no"))</f>
        <v>duplicate?</v>
      </c>
      <c r="K3087" s="97" t="str">
        <f ca="1">IF(J3087="","Date",IF(J3087&lt;&gt;"",IF(K3087="Date",NOW(),K3087),""))</f>
        <v>Date</v>
      </c>
    </row>
    <row r="3088" spans="2:11">
      <c r="B3088" s="97" t="str">
        <f ca="1">IF(A3088="","Date",IF(A3088&lt;&gt;"",IF(B3088="Date",NOW(),B3088),""))</f>
        <v>Date</v>
      </c>
      <c r="C3088" s="19" t="str">
        <f>IF(ISBLANK(A3088),"Name",IF(ISNA(VLOOKUP(A3088,'Master List'!A:C,2,FALSE)), "Not Found", VLOOKUP(A3088,'Master List'!A:C,2,FALSE)))</f>
        <v>Name</v>
      </c>
      <c r="D3088" s="19" t="str">
        <f>IF(ISBLANK(A3088), "Email",IF(ISNA(VLOOKUP(A3088,'Master List'!A:C,3,FALSE)), "Not Found", VLOOKUP(A3088,'Master List'!A:C,3,FALSE)))</f>
        <v>Email</v>
      </c>
      <c r="F3088" s="4" t="str">
        <f>IF(OR(A3088="",E3088="","",A3088="?",E3088="?"),"duplicate?",IF(COUNTIFS($A:A,A3088,E:E,E3088)&gt;1,"yes","no"))</f>
        <v>duplicate?</v>
      </c>
      <c r="K3088" s="97" t="str">
        <f ca="1">IF(J3088="","Date",IF(J3088&lt;&gt;"",IF(K3088="Date",NOW(),K3088),""))</f>
        <v>Date</v>
      </c>
    </row>
    <row r="3089" spans="2:11">
      <c r="B3089" s="97" t="str">
        <f ca="1">IF(A3089="","Date",IF(A3089&lt;&gt;"",IF(B3089="Date",NOW(),B3089),""))</f>
        <v>Date</v>
      </c>
      <c r="C3089" s="19" t="str">
        <f>IF(ISBLANK(A3089),"Name",IF(ISNA(VLOOKUP(A3089,'Master List'!A:C,2,FALSE)), "Not Found", VLOOKUP(A3089,'Master List'!A:C,2,FALSE)))</f>
        <v>Name</v>
      </c>
      <c r="D3089" s="19" t="str">
        <f>IF(ISBLANK(A3089), "Email",IF(ISNA(VLOOKUP(A3089,'Master List'!A:C,3,FALSE)), "Not Found", VLOOKUP(A3089,'Master List'!A:C,3,FALSE)))</f>
        <v>Email</v>
      </c>
      <c r="F3089" s="4" t="str">
        <f>IF(OR(A3089="",E3089="","",A3089="?",E3089="?"),"duplicate?",IF(COUNTIFS($A:A,A3089,E:E,E3089)&gt;1,"yes","no"))</f>
        <v>duplicate?</v>
      </c>
      <c r="K3089" s="97" t="str">
        <f ca="1">IF(J3089="","Date",IF(J3089&lt;&gt;"",IF(K3089="Date",NOW(),K3089),""))</f>
        <v>Date</v>
      </c>
    </row>
    <row r="3090" spans="2:11">
      <c r="B3090" s="97" t="str">
        <f ca="1">IF(A3090="","Date",IF(A3090&lt;&gt;"",IF(B3090="Date",NOW(),B3090),""))</f>
        <v>Date</v>
      </c>
      <c r="C3090" s="19" t="str">
        <f>IF(ISBLANK(A3090),"Name",IF(ISNA(VLOOKUP(A3090,'Master List'!A:C,2,FALSE)), "Not Found", VLOOKUP(A3090,'Master List'!A:C,2,FALSE)))</f>
        <v>Name</v>
      </c>
      <c r="D3090" s="19" t="str">
        <f>IF(ISBLANK(A3090), "Email",IF(ISNA(VLOOKUP(A3090,'Master List'!A:C,3,FALSE)), "Not Found", VLOOKUP(A3090,'Master List'!A:C,3,FALSE)))</f>
        <v>Email</v>
      </c>
      <c r="F3090" s="4" t="str">
        <f>IF(OR(A3090="",E3090="","",A3090="?",E3090="?"),"duplicate?",IF(COUNTIFS($A:A,A3090,E:E,E3090)&gt;1,"yes","no"))</f>
        <v>duplicate?</v>
      </c>
      <c r="K3090" s="97" t="str">
        <f ca="1">IF(J3090="","Date",IF(J3090&lt;&gt;"",IF(K3090="Date",NOW(),K3090),""))</f>
        <v>Date</v>
      </c>
    </row>
    <row r="3091" spans="2:11">
      <c r="B3091" s="97" t="str">
        <f ca="1">IF(A3091="","Date",IF(A3091&lt;&gt;"",IF(B3091="Date",NOW(),B3091),""))</f>
        <v>Date</v>
      </c>
      <c r="C3091" s="19" t="str">
        <f>IF(ISBLANK(A3091),"Name",IF(ISNA(VLOOKUP(A3091,'Master List'!A:C,2,FALSE)), "Not Found", VLOOKUP(A3091,'Master List'!A:C,2,FALSE)))</f>
        <v>Name</v>
      </c>
      <c r="D3091" s="19" t="str">
        <f>IF(ISBLANK(A3091), "Email",IF(ISNA(VLOOKUP(A3091,'Master List'!A:C,3,FALSE)), "Not Found", VLOOKUP(A3091,'Master List'!A:C,3,FALSE)))</f>
        <v>Email</v>
      </c>
      <c r="F3091" s="4" t="str">
        <f>IF(OR(A3091="",E3091="","",A3091="?",E3091="?"),"duplicate?",IF(COUNTIFS($A:A,A3091,E:E,E3091)&gt;1,"yes","no"))</f>
        <v>duplicate?</v>
      </c>
      <c r="K3091" s="97" t="str">
        <f ca="1">IF(J3091="","Date",IF(J3091&lt;&gt;"",IF(K3091="Date",NOW(),K3091),""))</f>
        <v>Date</v>
      </c>
    </row>
    <row r="3092" spans="2:11">
      <c r="B3092" s="97" t="str">
        <f ca="1">IF(A3092="","Date",IF(A3092&lt;&gt;"",IF(B3092="Date",NOW(),B3092),""))</f>
        <v>Date</v>
      </c>
      <c r="C3092" s="19" t="str">
        <f>IF(ISBLANK(A3092),"Name",IF(ISNA(VLOOKUP(A3092,'Master List'!A:C,2,FALSE)), "Not Found", VLOOKUP(A3092,'Master List'!A:C,2,FALSE)))</f>
        <v>Name</v>
      </c>
      <c r="D3092" s="19" t="str">
        <f>IF(ISBLANK(A3092), "Email",IF(ISNA(VLOOKUP(A3092,'Master List'!A:C,3,FALSE)), "Not Found", VLOOKUP(A3092,'Master List'!A:C,3,FALSE)))</f>
        <v>Email</v>
      </c>
      <c r="F3092" s="4" t="str">
        <f>IF(OR(A3092="",E3092="","",A3092="?",E3092="?"),"duplicate?",IF(COUNTIFS($A:A,A3092,E:E,E3092)&gt;1,"yes","no"))</f>
        <v>duplicate?</v>
      </c>
      <c r="K3092" s="97" t="str">
        <f ca="1">IF(J3092="","Date",IF(J3092&lt;&gt;"",IF(K3092="Date",NOW(),K3092),""))</f>
        <v>Date</v>
      </c>
    </row>
    <row r="3093" spans="2:11">
      <c r="B3093" s="97" t="str">
        <f ca="1">IF(A3093="","Date",IF(A3093&lt;&gt;"",IF(B3093="Date",NOW(),B3093),""))</f>
        <v>Date</v>
      </c>
      <c r="C3093" s="19" t="str">
        <f>IF(ISBLANK(A3093),"Name",IF(ISNA(VLOOKUP(A3093,'Master List'!A:C,2,FALSE)), "Not Found", VLOOKUP(A3093,'Master List'!A:C,2,FALSE)))</f>
        <v>Name</v>
      </c>
      <c r="D3093" s="19" t="str">
        <f>IF(ISBLANK(A3093), "Email",IF(ISNA(VLOOKUP(A3093,'Master List'!A:C,3,FALSE)), "Not Found", VLOOKUP(A3093,'Master List'!A:C,3,FALSE)))</f>
        <v>Email</v>
      </c>
      <c r="F3093" s="4" t="str">
        <f>IF(OR(A3093="",E3093="","",A3093="?",E3093="?"),"duplicate?",IF(COUNTIFS($A:A,A3093,E:E,E3093)&gt;1,"yes","no"))</f>
        <v>duplicate?</v>
      </c>
      <c r="K3093" s="97" t="str">
        <f ca="1">IF(J3093="","Date",IF(J3093&lt;&gt;"",IF(K3093="Date",NOW(),K3093),""))</f>
        <v>Date</v>
      </c>
    </row>
    <row r="3094" spans="2:11">
      <c r="B3094" s="97" t="str">
        <f ca="1">IF(A3094="","Date",IF(A3094&lt;&gt;"",IF(B3094="Date",NOW(),B3094),""))</f>
        <v>Date</v>
      </c>
      <c r="C3094" s="19" t="str">
        <f>IF(ISBLANK(A3094),"Name",IF(ISNA(VLOOKUP(A3094,'Master List'!A:C,2,FALSE)), "Not Found", VLOOKUP(A3094,'Master List'!A:C,2,FALSE)))</f>
        <v>Name</v>
      </c>
      <c r="D3094" s="19" t="str">
        <f>IF(ISBLANK(A3094), "Email",IF(ISNA(VLOOKUP(A3094,'Master List'!A:C,3,FALSE)), "Not Found", VLOOKUP(A3094,'Master List'!A:C,3,FALSE)))</f>
        <v>Email</v>
      </c>
      <c r="F3094" s="4" t="str">
        <f>IF(OR(A3094="",E3094="","",A3094="?",E3094="?"),"duplicate?",IF(COUNTIFS($A:A,A3094,E:E,E3094)&gt;1,"yes","no"))</f>
        <v>duplicate?</v>
      </c>
      <c r="K3094" s="97" t="str">
        <f ca="1">IF(J3094="","Date",IF(J3094&lt;&gt;"",IF(K3094="Date",NOW(),K3094),""))</f>
        <v>Date</v>
      </c>
    </row>
    <row r="3095" spans="2:11">
      <c r="B3095" s="97" t="str">
        <f ca="1">IF(A3095="","Date",IF(A3095&lt;&gt;"",IF(B3095="Date",NOW(),B3095),""))</f>
        <v>Date</v>
      </c>
      <c r="C3095" s="19" t="str">
        <f>IF(ISBLANK(A3095),"Name",IF(ISNA(VLOOKUP(A3095,'Master List'!A:C,2,FALSE)), "Not Found", VLOOKUP(A3095,'Master List'!A:C,2,FALSE)))</f>
        <v>Name</v>
      </c>
      <c r="D3095" s="19" t="str">
        <f>IF(ISBLANK(A3095), "Email",IF(ISNA(VLOOKUP(A3095,'Master List'!A:C,3,FALSE)), "Not Found", VLOOKUP(A3095,'Master List'!A:C,3,FALSE)))</f>
        <v>Email</v>
      </c>
      <c r="F3095" s="4" t="str">
        <f>IF(OR(A3095="",E3095="","",A3095="?",E3095="?"),"duplicate?",IF(COUNTIFS($A:A,A3095,E:E,E3095)&gt;1,"yes","no"))</f>
        <v>duplicate?</v>
      </c>
      <c r="K3095" s="97" t="str">
        <f ca="1">IF(J3095="","Date",IF(J3095&lt;&gt;"",IF(K3095="Date",NOW(),K3095),""))</f>
        <v>Date</v>
      </c>
    </row>
    <row r="3096" spans="2:11">
      <c r="B3096" s="97" t="str">
        <f ca="1">IF(A3096="","Date",IF(A3096&lt;&gt;"",IF(B3096="Date",NOW(),B3096),""))</f>
        <v>Date</v>
      </c>
      <c r="C3096" s="19" t="str">
        <f>IF(ISBLANK(A3096),"Name",IF(ISNA(VLOOKUP(A3096,'Master List'!A:C,2,FALSE)), "Not Found", VLOOKUP(A3096,'Master List'!A:C,2,FALSE)))</f>
        <v>Name</v>
      </c>
      <c r="D3096" s="19" t="str">
        <f>IF(ISBLANK(A3096), "Email",IF(ISNA(VLOOKUP(A3096,'Master List'!A:C,3,FALSE)), "Not Found", VLOOKUP(A3096,'Master List'!A:C,3,FALSE)))</f>
        <v>Email</v>
      </c>
      <c r="F3096" s="4" t="str">
        <f>IF(OR(A3096="",E3096="","",A3096="?",E3096="?"),"duplicate?",IF(COUNTIFS($A:A,A3096,E:E,E3096)&gt;1,"yes","no"))</f>
        <v>duplicate?</v>
      </c>
      <c r="K3096" s="97" t="str">
        <f ca="1">IF(J3096="","Date",IF(J3096&lt;&gt;"",IF(K3096="Date",NOW(),K3096),""))</f>
        <v>Date</v>
      </c>
    </row>
    <row r="3097" spans="2:11">
      <c r="B3097" s="97" t="str">
        <f ca="1">IF(A3097="","Date",IF(A3097&lt;&gt;"",IF(B3097="Date",NOW(),B3097),""))</f>
        <v>Date</v>
      </c>
      <c r="C3097" s="19" t="str">
        <f>IF(ISBLANK(A3097),"Name",IF(ISNA(VLOOKUP(A3097,'Master List'!A:C,2,FALSE)), "Not Found", VLOOKUP(A3097,'Master List'!A:C,2,FALSE)))</f>
        <v>Name</v>
      </c>
      <c r="D3097" s="19" t="str">
        <f>IF(ISBLANK(A3097), "Email",IF(ISNA(VLOOKUP(A3097,'Master List'!A:C,3,FALSE)), "Not Found", VLOOKUP(A3097,'Master List'!A:C,3,FALSE)))</f>
        <v>Email</v>
      </c>
      <c r="F3097" s="4" t="str">
        <f>IF(OR(A3097="",E3097="","",A3097="?",E3097="?"),"duplicate?",IF(COUNTIFS($A:A,A3097,E:E,E3097)&gt;1,"yes","no"))</f>
        <v>duplicate?</v>
      </c>
      <c r="K3097" s="97" t="str">
        <f ca="1">IF(J3097="","Date",IF(J3097&lt;&gt;"",IF(K3097="Date",NOW(),K3097),""))</f>
        <v>Date</v>
      </c>
    </row>
    <row r="3098" spans="2:11">
      <c r="B3098" s="97" t="str">
        <f ca="1">IF(A3098="","Date",IF(A3098&lt;&gt;"",IF(B3098="Date",NOW(),B3098),""))</f>
        <v>Date</v>
      </c>
      <c r="C3098" s="19" t="str">
        <f>IF(ISBLANK(A3098),"Name",IF(ISNA(VLOOKUP(A3098,'Master List'!A:C,2,FALSE)), "Not Found", VLOOKUP(A3098,'Master List'!A:C,2,FALSE)))</f>
        <v>Name</v>
      </c>
      <c r="D3098" s="19" t="str">
        <f>IF(ISBLANK(A3098), "Email",IF(ISNA(VLOOKUP(A3098,'Master List'!A:C,3,FALSE)), "Not Found", VLOOKUP(A3098,'Master List'!A:C,3,FALSE)))</f>
        <v>Email</v>
      </c>
      <c r="F3098" s="4" t="str">
        <f>IF(OR(A3098="",E3098="","",A3098="?",E3098="?"),"duplicate?",IF(COUNTIFS($A:A,A3098,E:E,E3098)&gt;1,"yes","no"))</f>
        <v>duplicate?</v>
      </c>
      <c r="K3098" s="97" t="str">
        <f ca="1">IF(J3098="","Date",IF(J3098&lt;&gt;"",IF(K3098="Date",NOW(),K3098),""))</f>
        <v>Date</v>
      </c>
    </row>
    <row r="3099" spans="2:11">
      <c r="B3099" s="97" t="str">
        <f ca="1">IF(A3099="","Date",IF(A3099&lt;&gt;"",IF(B3099="Date",NOW(),B3099),""))</f>
        <v>Date</v>
      </c>
      <c r="C3099" s="19" t="str">
        <f>IF(ISBLANK(A3099),"Name",IF(ISNA(VLOOKUP(A3099,'Master List'!A:C,2,FALSE)), "Not Found", VLOOKUP(A3099,'Master List'!A:C,2,FALSE)))</f>
        <v>Name</v>
      </c>
      <c r="D3099" s="19" t="str">
        <f>IF(ISBLANK(A3099), "Email",IF(ISNA(VLOOKUP(A3099,'Master List'!A:C,3,FALSE)), "Not Found", VLOOKUP(A3099,'Master List'!A:C,3,FALSE)))</f>
        <v>Email</v>
      </c>
      <c r="F3099" s="4" t="str">
        <f>IF(OR(A3099="",E3099="","",A3099="?",E3099="?"),"duplicate?",IF(COUNTIFS($A:A,A3099,E:E,E3099)&gt;1,"yes","no"))</f>
        <v>duplicate?</v>
      </c>
      <c r="K3099" s="97" t="str">
        <f ca="1">IF(J3099="","Date",IF(J3099&lt;&gt;"",IF(K3099="Date",NOW(),K3099),""))</f>
        <v>Date</v>
      </c>
    </row>
    <row r="3100" spans="2:11">
      <c r="B3100" s="97" t="str">
        <f ca="1">IF(A3100="","Date",IF(A3100&lt;&gt;"",IF(B3100="Date",NOW(),B3100),""))</f>
        <v>Date</v>
      </c>
      <c r="C3100" s="19" t="str">
        <f>IF(ISBLANK(A3100),"Name",IF(ISNA(VLOOKUP(A3100,'Master List'!A:C,2,FALSE)), "Not Found", VLOOKUP(A3100,'Master List'!A:C,2,FALSE)))</f>
        <v>Name</v>
      </c>
      <c r="D3100" s="19" t="str">
        <f>IF(ISBLANK(A3100), "Email",IF(ISNA(VLOOKUP(A3100,'Master List'!A:C,3,FALSE)), "Not Found", VLOOKUP(A3100,'Master List'!A:C,3,FALSE)))</f>
        <v>Email</v>
      </c>
      <c r="F3100" s="4" t="str">
        <f>IF(OR(A3100="",E3100="","",A3100="?",E3100="?"),"duplicate?",IF(COUNTIFS($A:A,A3100,E:E,E3100)&gt;1,"yes","no"))</f>
        <v>duplicate?</v>
      </c>
      <c r="K3100" s="97" t="str">
        <f ca="1">IF(J3100="","Date",IF(J3100&lt;&gt;"",IF(K3100="Date",NOW(),K3100),""))</f>
        <v>Date</v>
      </c>
    </row>
    <row r="3101" spans="2:11">
      <c r="B3101" s="97" t="str">
        <f ca="1">IF(A3101="","Date",IF(A3101&lt;&gt;"",IF(B3101="Date",NOW(),B3101),""))</f>
        <v>Date</v>
      </c>
      <c r="C3101" s="19" t="str">
        <f>IF(ISBLANK(A3101),"Name",IF(ISNA(VLOOKUP(A3101,'Master List'!A:C,2,FALSE)), "Not Found", VLOOKUP(A3101,'Master List'!A:C,2,FALSE)))</f>
        <v>Name</v>
      </c>
      <c r="D3101" s="19" t="str">
        <f>IF(ISBLANK(A3101), "Email",IF(ISNA(VLOOKUP(A3101,'Master List'!A:C,3,FALSE)), "Not Found", VLOOKUP(A3101,'Master List'!A:C,3,FALSE)))</f>
        <v>Email</v>
      </c>
      <c r="F3101" s="4" t="str">
        <f>IF(OR(A3101="",E3101="","",A3101="?",E3101="?"),"duplicate?",IF(COUNTIFS($A:A,A3101,E:E,E3101)&gt;1,"yes","no"))</f>
        <v>duplicate?</v>
      </c>
      <c r="K3101" s="97" t="str">
        <f ca="1">IF(J3101="","Date",IF(J3101&lt;&gt;"",IF(K3101="Date",NOW(),K3101),""))</f>
        <v>Date</v>
      </c>
    </row>
    <row r="3102" spans="2:11">
      <c r="B3102" s="97" t="str">
        <f ca="1">IF(A3102="","Date",IF(A3102&lt;&gt;"",IF(B3102="Date",NOW(),B3102),""))</f>
        <v>Date</v>
      </c>
      <c r="C3102" s="19" t="str">
        <f>IF(ISBLANK(A3102),"Name",IF(ISNA(VLOOKUP(A3102,'Master List'!A:C,2,FALSE)), "Not Found", VLOOKUP(A3102,'Master List'!A:C,2,FALSE)))</f>
        <v>Name</v>
      </c>
      <c r="D3102" s="19" t="str">
        <f>IF(ISBLANK(A3102), "Email",IF(ISNA(VLOOKUP(A3102,'Master List'!A:C,3,FALSE)), "Not Found", VLOOKUP(A3102,'Master List'!A:C,3,FALSE)))</f>
        <v>Email</v>
      </c>
      <c r="F3102" s="4" t="str">
        <f>IF(OR(A3102="",E3102="","",A3102="?",E3102="?"),"duplicate?",IF(COUNTIFS($A:A,A3102,E:E,E3102)&gt;1,"yes","no"))</f>
        <v>duplicate?</v>
      </c>
      <c r="K3102" s="97" t="str">
        <f ca="1">IF(J3102="","Date",IF(J3102&lt;&gt;"",IF(K3102="Date",NOW(),K3102),""))</f>
        <v>Date</v>
      </c>
    </row>
    <row r="3103" spans="2:11">
      <c r="B3103" s="97" t="str">
        <f ca="1">IF(A3103="","Date",IF(A3103&lt;&gt;"",IF(B3103="Date",NOW(),B3103),""))</f>
        <v>Date</v>
      </c>
      <c r="C3103" s="19" t="str">
        <f>IF(ISBLANK(A3103),"Name",IF(ISNA(VLOOKUP(A3103,'Master List'!A:C,2,FALSE)), "Not Found", VLOOKUP(A3103,'Master List'!A:C,2,FALSE)))</f>
        <v>Name</v>
      </c>
      <c r="D3103" s="19" t="str">
        <f>IF(ISBLANK(A3103), "Email",IF(ISNA(VLOOKUP(A3103,'Master List'!A:C,3,FALSE)), "Not Found", VLOOKUP(A3103,'Master List'!A:C,3,FALSE)))</f>
        <v>Email</v>
      </c>
      <c r="F3103" s="4" t="str">
        <f>IF(OR(A3103="",E3103="","",A3103="?",E3103="?"),"duplicate?",IF(COUNTIFS($A:A,A3103,E:E,E3103)&gt;1,"yes","no"))</f>
        <v>duplicate?</v>
      </c>
      <c r="K3103" s="97" t="str">
        <f ca="1">IF(J3103="","Date",IF(J3103&lt;&gt;"",IF(K3103="Date",NOW(),K3103),""))</f>
        <v>Date</v>
      </c>
    </row>
    <row r="3104" spans="2:11">
      <c r="B3104" s="97" t="str">
        <f ca="1">IF(A3104="","Date",IF(A3104&lt;&gt;"",IF(B3104="Date",NOW(),B3104),""))</f>
        <v>Date</v>
      </c>
      <c r="C3104" s="19" t="str">
        <f>IF(ISBLANK(A3104),"Name",IF(ISNA(VLOOKUP(A3104,'Master List'!A:C,2,FALSE)), "Not Found", VLOOKUP(A3104,'Master List'!A:C,2,FALSE)))</f>
        <v>Name</v>
      </c>
      <c r="D3104" s="19" t="str">
        <f>IF(ISBLANK(A3104), "Email",IF(ISNA(VLOOKUP(A3104,'Master List'!A:C,3,FALSE)), "Not Found", VLOOKUP(A3104,'Master List'!A:C,3,FALSE)))</f>
        <v>Email</v>
      </c>
      <c r="F3104" s="4" t="str">
        <f>IF(OR(A3104="",E3104="","",A3104="?",E3104="?"),"duplicate?",IF(COUNTIFS($A:A,A3104,E:E,E3104)&gt;1,"yes","no"))</f>
        <v>duplicate?</v>
      </c>
      <c r="K3104" s="97" t="str">
        <f ca="1">IF(J3104="","Date",IF(J3104&lt;&gt;"",IF(K3104="Date",NOW(),K3104),""))</f>
        <v>Date</v>
      </c>
    </row>
    <row r="3105" spans="2:11">
      <c r="B3105" s="97" t="str">
        <f ca="1">IF(A3105="","Date",IF(A3105&lt;&gt;"",IF(B3105="Date",NOW(),B3105),""))</f>
        <v>Date</v>
      </c>
      <c r="C3105" s="19" t="str">
        <f>IF(ISBLANK(A3105),"Name",IF(ISNA(VLOOKUP(A3105,'Master List'!A:C,2,FALSE)), "Not Found", VLOOKUP(A3105,'Master List'!A:C,2,FALSE)))</f>
        <v>Name</v>
      </c>
      <c r="D3105" s="19" t="str">
        <f>IF(ISBLANK(A3105), "Email",IF(ISNA(VLOOKUP(A3105,'Master List'!A:C,3,FALSE)), "Not Found", VLOOKUP(A3105,'Master List'!A:C,3,FALSE)))</f>
        <v>Email</v>
      </c>
      <c r="F3105" s="4" t="str">
        <f>IF(OR(A3105="",E3105="","",A3105="?",E3105="?"),"duplicate?",IF(COUNTIFS($A:A,A3105,E:E,E3105)&gt;1,"yes","no"))</f>
        <v>duplicate?</v>
      </c>
      <c r="K3105" s="97" t="str">
        <f ca="1">IF(J3105="","Date",IF(J3105&lt;&gt;"",IF(K3105="Date",NOW(),K3105),""))</f>
        <v>Date</v>
      </c>
    </row>
    <row r="3106" spans="2:11">
      <c r="B3106" s="97" t="str">
        <f ca="1">IF(A3106="","Date",IF(A3106&lt;&gt;"",IF(B3106="Date",NOW(),B3106),""))</f>
        <v>Date</v>
      </c>
      <c r="C3106" s="19" t="str">
        <f>IF(ISBLANK(A3106),"Name",IF(ISNA(VLOOKUP(A3106,'Master List'!A:C,2,FALSE)), "Not Found", VLOOKUP(A3106,'Master List'!A:C,2,FALSE)))</f>
        <v>Name</v>
      </c>
      <c r="D3106" s="19" t="str">
        <f>IF(ISBLANK(A3106), "Email",IF(ISNA(VLOOKUP(A3106,'Master List'!A:C,3,FALSE)), "Not Found", VLOOKUP(A3106,'Master List'!A:C,3,FALSE)))</f>
        <v>Email</v>
      </c>
      <c r="F3106" s="4" t="str">
        <f>IF(OR(A3106="",E3106="","",A3106="?",E3106="?"),"duplicate?",IF(COUNTIFS($A:A,A3106,E:E,E3106)&gt;1,"yes","no"))</f>
        <v>duplicate?</v>
      </c>
      <c r="K3106" s="97" t="str">
        <f ca="1">IF(J3106="","Date",IF(J3106&lt;&gt;"",IF(K3106="Date",NOW(),K3106),""))</f>
        <v>Date</v>
      </c>
    </row>
    <row r="3107" spans="2:11">
      <c r="B3107" s="97" t="str">
        <f ca="1">IF(A3107="","Date",IF(A3107&lt;&gt;"",IF(B3107="Date",NOW(),B3107),""))</f>
        <v>Date</v>
      </c>
      <c r="C3107" s="19" t="str">
        <f>IF(ISBLANK(A3107),"Name",IF(ISNA(VLOOKUP(A3107,'Master List'!A:C,2,FALSE)), "Not Found", VLOOKUP(A3107,'Master List'!A:C,2,FALSE)))</f>
        <v>Name</v>
      </c>
      <c r="D3107" s="19" t="str">
        <f>IF(ISBLANK(A3107), "Email",IF(ISNA(VLOOKUP(A3107,'Master List'!A:C,3,FALSE)), "Not Found", VLOOKUP(A3107,'Master List'!A:C,3,FALSE)))</f>
        <v>Email</v>
      </c>
      <c r="F3107" s="4" t="str">
        <f>IF(OR(A3107="",E3107="","",A3107="?",E3107="?"),"duplicate?",IF(COUNTIFS($A:A,A3107,E:E,E3107)&gt;1,"yes","no"))</f>
        <v>duplicate?</v>
      </c>
      <c r="K3107" s="97" t="str">
        <f ca="1">IF(J3107="","Date",IF(J3107&lt;&gt;"",IF(K3107="Date",NOW(),K3107),""))</f>
        <v>Date</v>
      </c>
    </row>
    <row r="3108" spans="2:11">
      <c r="B3108" s="97" t="str">
        <f ca="1">IF(A3108="","Date",IF(A3108&lt;&gt;"",IF(B3108="Date",NOW(),B3108),""))</f>
        <v>Date</v>
      </c>
      <c r="C3108" s="19" t="str">
        <f>IF(ISBLANK(A3108),"Name",IF(ISNA(VLOOKUP(A3108,'Master List'!A:C,2,FALSE)), "Not Found", VLOOKUP(A3108,'Master List'!A:C,2,FALSE)))</f>
        <v>Name</v>
      </c>
      <c r="D3108" s="19" t="str">
        <f>IF(ISBLANK(A3108), "Email",IF(ISNA(VLOOKUP(A3108,'Master List'!A:C,3,FALSE)), "Not Found", VLOOKUP(A3108,'Master List'!A:C,3,FALSE)))</f>
        <v>Email</v>
      </c>
      <c r="F3108" s="4" t="str">
        <f>IF(OR(A3108="",E3108="","",A3108="?",E3108="?"),"duplicate?",IF(COUNTIFS($A:A,A3108,E:E,E3108)&gt;1,"yes","no"))</f>
        <v>duplicate?</v>
      </c>
      <c r="K3108" s="97" t="str">
        <f ca="1">IF(J3108="","Date",IF(J3108&lt;&gt;"",IF(K3108="Date",NOW(),K3108),""))</f>
        <v>Date</v>
      </c>
    </row>
    <row r="3109" spans="2:11">
      <c r="B3109" s="97" t="str">
        <f ca="1">IF(A3109="","Date",IF(A3109&lt;&gt;"",IF(B3109="Date",NOW(),B3109),""))</f>
        <v>Date</v>
      </c>
      <c r="C3109" s="19" t="str">
        <f>IF(ISBLANK(A3109),"Name",IF(ISNA(VLOOKUP(A3109,'Master List'!A:C,2,FALSE)), "Not Found", VLOOKUP(A3109,'Master List'!A:C,2,FALSE)))</f>
        <v>Name</v>
      </c>
      <c r="D3109" s="19" t="str">
        <f>IF(ISBLANK(A3109), "Email",IF(ISNA(VLOOKUP(A3109,'Master List'!A:C,3,FALSE)), "Not Found", VLOOKUP(A3109,'Master List'!A:C,3,FALSE)))</f>
        <v>Email</v>
      </c>
      <c r="F3109" s="4" t="str">
        <f>IF(OR(A3109="",E3109="","",A3109="?",E3109="?"),"duplicate?",IF(COUNTIFS($A:A,A3109,E:E,E3109)&gt;1,"yes","no"))</f>
        <v>duplicate?</v>
      </c>
      <c r="K3109" s="97" t="str">
        <f ca="1">IF(J3109="","Date",IF(J3109&lt;&gt;"",IF(K3109="Date",NOW(),K3109),""))</f>
        <v>Date</v>
      </c>
    </row>
    <row r="3110" spans="2:11">
      <c r="B3110" s="97" t="str">
        <f ca="1">IF(A3110="","Date",IF(A3110&lt;&gt;"",IF(B3110="Date",NOW(),B3110),""))</f>
        <v>Date</v>
      </c>
      <c r="C3110" s="19" t="str">
        <f>IF(ISBLANK(A3110),"Name",IF(ISNA(VLOOKUP(A3110,'Master List'!A:C,2,FALSE)), "Not Found", VLOOKUP(A3110,'Master List'!A:C,2,FALSE)))</f>
        <v>Name</v>
      </c>
      <c r="D3110" s="19" t="str">
        <f>IF(ISBLANK(A3110), "Email",IF(ISNA(VLOOKUP(A3110,'Master List'!A:C,3,FALSE)), "Not Found", VLOOKUP(A3110,'Master List'!A:C,3,FALSE)))</f>
        <v>Email</v>
      </c>
      <c r="F3110" s="4" t="str">
        <f>IF(OR(A3110="",E3110="","",A3110="?",E3110="?"),"duplicate?",IF(COUNTIFS($A:A,A3110,E:E,E3110)&gt;1,"yes","no"))</f>
        <v>duplicate?</v>
      </c>
      <c r="K3110" s="97" t="str">
        <f ca="1">IF(J3110="","Date",IF(J3110&lt;&gt;"",IF(K3110="Date",NOW(),K3110),""))</f>
        <v>Date</v>
      </c>
    </row>
    <row r="3111" spans="2:11">
      <c r="B3111" s="97" t="str">
        <f ca="1">IF(A3111="","Date",IF(A3111&lt;&gt;"",IF(B3111="Date",NOW(),B3111),""))</f>
        <v>Date</v>
      </c>
      <c r="C3111" s="19" t="str">
        <f>IF(ISBLANK(A3111),"Name",IF(ISNA(VLOOKUP(A3111,'Master List'!A:C,2,FALSE)), "Not Found", VLOOKUP(A3111,'Master List'!A:C,2,FALSE)))</f>
        <v>Name</v>
      </c>
      <c r="D3111" s="19" t="str">
        <f>IF(ISBLANK(A3111), "Email",IF(ISNA(VLOOKUP(A3111,'Master List'!A:C,3,FALSE)), "Not Found", VLOOKUP(A3111,'Master List'!A:C,3,FALSE)))</f>
        <v>Email</v>
      </c>
      <c r="F3111" s="4" t="str">
        <f>IF(OR(A3111="",E3111="","",A3111="?",E3111="?"),"duplicate?",IF(COUNTIFS($A:A,A3111,E:E,E3111)&gt;1,"yes","no"))</f>
        <v>duplicate?</v>
      </c>
      <c r="K3111" s="97" t="str">
        <f ca="1">IF(J3111="","Date",IF(J3111&lt;&gt;"",IF(K3111="Date",NOW(),K3111),""))</f>
        <v>Date</v>
      </c>
    </row>
    <row r="3112" spans="2:11">
      <c r="B3112" s="97" t="str">
        <f ca="1">IF(A3112="","Date",IF(A3112&lt;&gt;"",IF(B3112="Date",NOW(),B3112),""))</f>
        <v>Date</v>
      </c>
      <c r="C3112" s="19" t="str">
        <f>IF(ISBLANK(A3112),"Name",IF(ISNA(VLOOKUP(A3112,'Master List'!A:C,2,FALSE)), "Not Found", VLOOKUP(A3112,'Master List'!A:C,2,FALSE)))</f>
        <v>Name</v>
      </c>
      <c r="D3112" s="19" t="str">
        <f>IF(ISBLANK(A3112), "Email",IF(ISNA(VLOOKUP(A3112,'Master List'!A:C,3,FALSE)), "Not Found", VLOOKUP(A3112,'Master List'!A:C,3,FALSE)))</f>
        <v>Email</v>
      </c>
      <c r="F3112" s="4" t="str">
        <f>IF(OR(A3112="",E3112="","",A3112="?",E3112="?"),"duplicate?",IF(COUNTIFS($A:A,A3112,E:E,E3112)&gt;1,"yes","no"))</f>
        <v>duplicate?</v>
      </c>
      <c r="K3112" s="97" t="str">
        <f ca="1">IF(J3112="","Date",IF(J3112&lt;&gt;"",IF(K3112="Date",NOW(),K3112),""))</f>
        <v>Date</v>
      </c>
    </row>
    <row r="3113" spans="2:11">
      <c r="B3113" s="97" t="str">
        <f ca="1">IF(A3113="","Date",IF(A3113&lt;&gt;"",IF(B3113="Date",NOW(),B3113),""))</f>
        <v>Date</v>
      </c>
      <c r="C3113" s="19" t="str">
        <f>IF(ISBLANK(A3113),"Name",IF(ISNA(VLOOKUP(A3113,'Master List'!A:C,2,FALSE)), "Not Found", VLOOKUP(A3113,'Master List'!A:C,2,FALSE)))</f>
        <v>Name</v>
      </c>
      <c r="D3113" s="19" t="str">
        <f>IF(ISBLANK(A3113), "Email",IF(ISNA(VLOOKUP(A3113,'Master List'!A:C,3,FALSE)), "Not Found", VLOOKUP(A3113,'Master List'!A:C,3,FALSE)))</f>
        <v>Email</v>
      </c>
      <c r="F3113" s="4" t="str">
        <f>IF(OR(A3113="",E3113="","",A3113="?",E3113="?"),"duplicate?",IF(COUNTIFS($A:A,A3113,E:E,E3113)&gt;1,"yes","no"))</f>
        <v>duplicate?</v>
      </c>
      <c r="K3113" s="97" t="str">
        <f ca="1">IF(J3113="","Date",IF(J3113&lt;&gt;"",IF(K3113="Date",NOW(),K3113),""))</f>
        <v>Date</v>
      </c>
    </row>
    <row r="3114" spans="2:11">
      <c r="B3114" s="97" t="str">
        <f ca="1">IF(A3114="","Date",IF(A3114&lt;&gt;"",IF(B3114="Date",NOW(),B3114),""))</f>
        <v>Date</v>
      </c>
      <c r="C3114" s="19" t="str">
        <f>IF(ISBLANK(A3114),"Name",IF(ISNA(VLOOKUP(A3114,'Master List'!A:C,2,FALSE)), "Not Found", VLOOKUP(A3114,'Master List'!A:C,2,FALSE)))</f>
        <v>Name</v>
      </c>
      <c r="D3114" s="19" t="str">
        <f>IF(ISBLANK(A3114), "Email",IF(ISNA(VLOOKUP(A3114,'Master List'!A:C,3,FALSE)), "Not Found", VLOOKUP(A3114,'Master List'!A:C,3,FALSE)))</f>
        <v>Email</v>
      </c>
      <c r="F3114" s="4" t="str">
        <f>IF(OR(A3114="",E3114="","",A3114="?",E3114="?"),"duplicate?",IF(COUNTIFS($A:A,A3114,E:E,E3114)&gt;1,"yes","no"))</f>
        <v>duplicate?</v>
      </c>
      <c r="K3114" s="97" t="str">
        <f ca="1">IF(J3114="","Date",IF(J3114&lt;&gt;"",IF(K3114="Date",NOW(),K3114),""))</f>
        <v>Date</v>
      </c>
    </row>
    <row r="3115" spans="2:11">
      <c r="B3115" s="97" t="str">
        <f ca="1">IF(A3115="","Date",IF(A3115&lt;&gt;"",IF(B3115="Date",NOW(),B3115),""))</f>
        <v>Date</v>
      </c>
      <c r="C3115" s="19" t="str">
        <f>IF(ISBLANK(A3115),"Name",IF(ISNA(VLOOKUP(A3115,'Master List'!A:C,2,FALSE)), "Not Found", VLOOKUP(A3115,'Master List'!A:C,2,FALSE)))</f>
        <v>Name</v>
      </c>
      <c r="D3115" s="19" t="str">
        <f>IF(ISBLANK(A3115), "Email",IF(ISNA(VLOOKUP(A3115,'Master List'!A:C,3,FALSE)), "Not Found", VLOOKUP(A3115,'Master List'!A:C,3,FALSE)))</f>
        <v>Email</v>
      </c>
      <c r="F3115" s="4" t="str">
        <f>IF(OR(A3115="",E3115="","",A3115="?",E3115="?"),"duplicate?",IF(COUNTIFS($A:A,A3115,E:E,E3115)&gt;1,"yes","no"))</f>
        <v>duplicate?</v>
      </c>
      <c r="K3115" s="97" t="str">
        <f ca="1">IF(J3115="","Date",IF(J3115&lt;&gt;"",IF(K3115="Date",NOW(),K3115),""))</f>
        <v>Date</v>
      </c>
    </row>
    <row r="3116" spans="2:11">
      <c r="B3116" s="97" t="str">
        <f ca="1">IF(A3116="","Date",IF(A3116&lt;&gt;"",IF(B3116="Date",NOW(),B3116),""))</f>
        <v>Date</v>
      </c>
      <c r="C3116" s="19" t="str">
        <f>IF(ISBLANK(A3116),"Name",IF(ISNA(VLOOKUP(A3116,'Master List'!A:C,2,FALSE)), "Not Found", VLOOKUP(A3116,'Master List'!A:C,2,FALSE)))</f>
        <v>Name</v>
      </c>
      <c r="D3116" s="19" t="str">
        <f>IF(ISBLANK(A3116), "Email",IF(ISNA(VLOOKUP(A3116,'Master List'!A:C,3,FALSE)), "Not Found", VLOOKUP(A3116,'Master List'!A:C,3,FALSE)))</f>
        <v>Email</v>
      </c>
      <c r="F3116" s="4" t="str">
        <f>IF(OR(A3116="",E3116="","",A3116="?",E3116="?"),"duplicate?",IF(COUNTIFS($A:A,A3116,E:E,E3116)&gt;1,"yes","no"))</f>
        <v>duplicate?</v>
      </c>
      <c r="K3116" s="97" t="str">
        <f ca="1">IF(J3116="","Date",IF(J3116&lt;&gt;"",IF(K3116="Date",NOW(),K3116),""))</f>
        <v>Date</v>
      </c>
    </row>
    <row r="3117" spans="2:11">
      <c r="B3117" s="97" t="str">
        <f ca="1">IF(A3117="","Date",IF(A3117&lt;&gt;"",IF(B3117="Date",NOW(),B3117),""))</f>
        <v>Date</v>
      </c>
      <c r="C3117" s="19" t="str">
        <f>IF(ISBLANK(A3117),"Name",IF(ISNA(VLOOKUP(A3117,'Master List'!A:C,2,FALSE)), "Not Found", VLOOKUP(A3117,'Master List'!A:C,2,FALSE)))</f>
        <v>Name</v>
      </c>
      <c r="D3117" s="19" t="str">
        <f>IF(ISBLANK(A3117), "Email",IF(ISNA(VLOOKUP(A3117,'Master List'!A:C,3,FALSE)), "Not Found", VLOOKUP(A3117,'Master List'!A:C,3,FALSE)))</f>
        <v>Email</v>
      </c>
      <c r="F3117" s="4" t="str">
        <f>IF(OR(A3117="",E3117="","",A3117="?",E3117="?"),"duplicate?",IF(COUNTIFS($A:A,A3117,E:E,E3117)&gt;1,"yes","no"))</f>
        <v>duplicate?</v>
      </c>
      <c r="K3117" s="97" t="str">
        <f ca="1">IF(J3117="","Date",IF(J3117&lt;&gt;"",IF(K3117="Date",NOW(),K3117),""))</f>
        <v>Date</v>
      </c>
    </row>
    <row r="3118" spans="2:11">
      <c r="B3118" s="97" t="str">
        <f ca="1">IF(A3118="","Date",IF(A3118&lt;&gt;"",IF(B3118="Date",NOW(),B3118),""))</f>
        <v>Date</v>
      </c>
      <c r="C3118" s="19" t="str">
        <f>IF(ISBLANK(A3118),"Name",IF(ISNA(VLOOKUP(A3118,'Master List'!A:C,2,FALSE)), "Not Found", VLOOKUP(A3118,'Master List'!A:C,2,FALSE)))</f>
        <v>Name</v>
      </c>
      <c r="D3118" s="19" t="str">
        <f>IF(ISBLANK(A3118), "Email",IF(ISNA(VLOOKUP(A3118,'Master List'!A:C,3,FALSE)), "Not Found", VLOOKUP(A3118,'Master List'!A:C,3,FALSE)))</f>
        <v>Email</v>
      </c>
      <c r="F3118" s="4" t="str">
        <f>IF(OR(A3118="",E3118="","",A3118="?",E3118="?"),"duplicate?",IF(COUNTIFS($A:A,A3118,E:E,E3118)&gt;1,"yes","no"))</f>
        <v>duplicate?</v>
      </c>
      <c r="K3118" s="97" t="str">
        <f ca="1">IF(J3118="","Date",IF(J3118&lt;&gt;"",IF(K3118="Date",NOW(),K3118),""))</f>
        <v>Date</v>
      </c>
    </row>
    <row r="3119" spans="2:11">
      <c r="B3119" s="97" t="str">
        <f ca="1">IF(A3119="","Date",IF(A3119&lt;&gt;"",IF(B3119="Date",NOW(),B3119),""))</f>
        <v>Date</v>
      </c>
      <c r="C3119" s="19" t="str">
        <f>IF(ISBLANK(A3119),"Name",IF(ISNA(VLOOKUP(A3119,'Master List'!A:C,2,FALSE)), "Not Found", VLOOKUP(A3119,'Master List'!A:C,2,FALSE)))</f>
        <v>Name</v>
      </c>
      <c r="D3119" s="19" t="str">
        <f>IF(ISBLANK(A3119), "Email",IF(ISNA(VLOOKUP(A3119,'Master List'!A:C,3,FALSE)), "Not Found", VLOOKUP(A3119,'Master List'!A:C,3,FALSE)))</f>
        <v>Email</v>
      </c>
      <c r="F3119" s="4" t="str">
        <f>IF(OR(A3119="",E3119="","",A3119="?",E3119="?"),"duplicate?",IF(COUNTIFS($A:A,A3119,E:E,E3119)&gt;1,"yes","no"))</f>
        <v>duplicate?</v>
      </c>
      <c r="K3119" s="97" t="str">
        <f ca="1">IF(J3119="","Date",IF(J3119&lt;&gt;"",IF(K3119="Date",NOW(),K3119),""))</f>
        <v>Date</v>
      </c>
    </row>
    <row r="3120" spans="2:11">
      <c r="B3120" s="97" t="str">
        <f ca="1">IF(A3120="","Date",IF(A3120&lt;&gt;"",IF(B3120="Date",NOW(),B3120),""))</f>
        <v>Date</v>
      </c>
      <c r="C3120" s="19" t="str">
        <f>IF(ISBLANK(A3120),"Name",IF(ISNA(VLOOKUP(A3120,'Master List'!A:C,2,FALSE)), "Not Found", VLOOKUP(A3120,'Master List'!A:C,2,FALSE)))</f>
        <v>Name</v>
      </c>
      <c r="D3120" s="19" t="str">
        <f>IF(ISBLANK(A3120), "Email",IF(ISNA(VLOOKUP(A3120,'Master List'!A:C,3,FALSE)), "Not Found", VLOOKUP(A3120,'Master List'!A:C,3,FALSE)))</f>
        <v>Email</v>
      </c>
      <c r="F3120" s="4" t="str">
        <f>IF(OR(A3120="",E3120="","",A3120="?",E3120="?"),"duplicate?",IF(COUNTIFS($A:A,A3120,E:E,E3120)&gt;1,"yes","no"))</f>
        <v>duplicate?</v>
      </c>
      <c r="K3120" s="97" t="str">
        <f ca="1">IF(J3120="","Date",IF(J3120&lt;&gt;"",IF(K3120="Date",NOW(),K3120),""))</f>
        <v>Date</v>
      </c>
    </row>
    <row r="3121" spans="2:11">
      <c r="B3121" s="97" t="str">
        <f ca="1">IF(A3121="","Date",IF(A3121&lt;&gt;"",IF(B3121="Date",NOW(),B3121),""))</f>
        <v>Date</v>
      </c>
      <c r="C3121" s="19" t="str">
        <f>IF(ISBLANK(A3121),"Name",IF(ISNA(VLOOKUP(A3121,'Master List'!A:C,2,FALSE)), "Not Found", VLOOKUP(A3121,'Master List'!A:C,2,FALSE)))</f>
        <v>Name</v>
      </c>
      <c r="D3121" s="19" t="str">
        <f>IF(ISBLANK(A3121), "Email",IF(ISNA(VLOOKUP(A3121,'Master List'!A:C,3,FALSE)), "Not Found", VLOOKUP(A3121,'Master List'!A:C,3,FALSE)))</f>
        <v>Email</v>
      </c>
      <c r="F3121" s="4" t="str">
        <f>IF(OR(A3121="",E3121="","",A3121="?",E3121="?"),"duplicate?",IF(COUNTIFS($A:A,A3121,E:E,E3121)&gt;1,"yes","no"))</f>
        <v>duplicate?</v>
      </c>
      <c r="K3121" s="97" t="str">
        <f ca="1">IF(J3121="","Date",IF(J3121&lt;&gt;"",IF(K3121="Date",NOW(),K3121),""))</f>
        <v>Date</v>
      </c>
    </row>
    <row r="3122" spans="2:11">
      <c r="B3122" s="97" t="str">
        <f ca="1">IF(A3122="","Date",IF(A3122&lt;&gt;"",IF(B3122="Date",NOW(),B3122),""))</f>
        <v>Date</v>
      </c>
      <c r="C3122" s="19" t="str">
        <f>IF(ISBLANK(A3122),"Name",IF(ISNA(VLOOKUP(A3122,'Master List'!A:C,2,FALSE)), "Not Found", VLOOKUP(A3122,'Master List'!A:C,2,FALSE)))</f>
        <v>Name</v>
      </c>
      <c r="D3122" s="19" t="str">
        <f>IF(ISBLANK(A3122), "Email",IF(ISNA(VLOOKUP(A3122,'Master List'!A:C,3,FALSE)), "Not Found", VLOOKUP(A3122,'Master List'!A:C,3,FALSE)))</f>
        <v>Email</v>
      </c>
      <c r="F3122" s="4" t="str">
        <f>IF(OR(A3122="",E3122="","",A3122="?",E3122="?"),"duplicate?",IF(COUNTIFS($A:A,A3122,E:E,E3122)&gt;1,"yes","no"))</f>
        <v>duplicate?</v>
      </c>
      <c r="K3122" s="97" t="str">
        <f ca="1">IF(J3122="","Date",IF(J3122&lt;&gt;"",IF(K3122="Date",NOW(),K3122),""))</f>
        <v>Date</v>
      </c>
    </row>
    <row r="3123" spans="2:11">
      <c r="B3123" s="97" t="str">
        <f ca="1">IF(A3123="","Date",IF(A3123&lt;&gt;"",IF(B3123="Date",NOW(),B3123),""))</f>
        <v>Date</v>
      </c>
      <c r="C3123" s="19" t="str">
        <f>IF(ISBLANK(A3123),"Name",IF(ISNA(VLOOKUP(A3123,'Master List'!A:C,2,FALSE)), "Not Found", VLOOKUP(A3123,'Master List'!A:C,2,FALSE)))</f>
        <v>Name</v>
      </c>
      <c r="D3123" s="19" t="str">
        <f>IF(ISBLANK(A3123), "Email",IF(ISNA(VLOOKUP(A3123,'Master List'!A:C,3,FALSE)), "Not Found", VLOOKUP(A3123,'Master List'!A:C,3,FALSE)))</f>
        <v>Email</v>
      </c>
      <c r="F3123" s="4" t="str">
        <f>IF(OR(A3123="",E3123="","",A3123="?",E3123="?"),"duplicate?",IF(COUNTIFS($A:A,A3123,E:E,E3123)&gt;1,"yes","no"))</f>
        <v>duplicate?</v>
      </c>
      <c r="K3123" s="97" t="str">
        <f ca="1">IF(J3123="","Date",IF(J3123&lt;&gt;"",IF(K3123="Date",NOW(),K3123),""))</f>
        <v>Date</v>
      </c>
    </row>
    <row r="3124" spans="2:11">
      <c r="B3124" s="97" t="str">
        <f ca="1">IF(A3124="","Date",IF(A3124&lt;&gt;"",IF(B3124="Date",NOW(),B3124),""))</f>
        <v>Date</v>
      </c>
      <c r="C3124" s="19" t="str">
        <f>IF(ISBLANK(A3124),"Name",IF(ISNA(VLOOKUP(A3124,'Master List'!A:C,2,FALSE)), "Not Found", VLOOKUP(A3124,'Master List'!A:C,2,FALSE)))</f>
        <v>Name</v>
      </c>
      <c r="D3124" s="19" t="str">
        <f>IF(ISBLANK(A3124), "Email",IF(ISNA(VLOOKUP(A3124,'Master List'!A:C,3,FALSE)), "Not Found", VLOOKUP(A3124,'Master List'!A:C,3,FALSE)))</f>
        <v>Email</v>
      </c>
      <c r="F3124" s="4" t="str">
        <f>IF(OR(A3124="",E3124="","",A3124="?",E3124="?"),"duplicate?",IF(COUNTIFS($A:A,A3124,E:E,E3124)&gt;1,"yes","no"))</f>
        <v>duplicate?</v>
      </c>
      <c r="K3124" s="97" t="str">
        <f ca="1">IF(J3124="","Date",IF(J3124&lt;&gt;"",IF(K3124="Date",NOW(),K3124),""))</f>
        <v>Date</v>
      </c>
    </row>
    <row r="3125" spans="2:11">
      <c r="B3125" s="97" t="str">
        <f ca="1">IF(A3125="","Date",IF(A3125&lt;&gt;"",IF(B3125="Date",NOW(),B3125),""))</f>
        <v>Date</v>
      </c>
      <c r="C3125" s="19" t="str">
        <f>IF(ISBLANK(A3125),"Name",IF(ISNA(VLOOKUP(A3125,'Master List'!A:C,2,FALSE)), "Not Found", VLOOKUP(A3125,'Master List'!A:C,2,FALSE)))</f>
        <v>Name</v>
      </c>
      <c r="D3125" s="19" t="str">
        <f>IF(ISBLANK(A3125), "Email",IF(ISNA(VLOOKUP(A3125,'Master List'!A:C,3,FALSE)), "Not Found", VLOOKUP(A3125,'Master List'!A:C,3,FALSE)))</f>
        <v>Email</v>
      </c>
      <c r="F3125" s="4" t="str">
        <f>IF(OR(A3125="",E3125="","",A3125="?",E3125="?"),"duplicate?",IF(COUNTIFS($A:A,A3125,E:E,E3125)&gt;1,"yes","no"))</f>
        <v>duplicate?</v>
      </c>
      <c r="K3125" s="97" t="str">
        <f ca="1">IF(J3125="","Date",IF(J3125&lt;&gt;"",IF(K3125="Date",NOW(),K3125),""))</f>
        <v>Date</v>
      </c>
    </row>
    <row r="3126" spans="2:11">
      <c r="B3126" s="97" t="str">
        <f ca="1">IF(A3126="","Date",IF(A3126&lt;&gt;"",IF(B3126="Date",NOW(),B3126),""))</f>
        <v>Date</v>
      </c>
      <c r="C3126" s="19" t="str">
        <f>IF(ISBLANK(A3126),"Name",IF(ISNA(VLOOKUP(A3126,'Master List'!A:C,2,FALSE)), "Not Found", VLOOKUP(A3126,'Master List'!A:C,2,FALSE)))</f>
        <v>Name</v>
      </c>
      <c r="D3126" s="19" t="str">
        <f>IF(ISBLANK(A3126), "Email",IF(ISNA(VLOOKUP(A3126,'Master List'!A:C,3,FALSE)), "Not Found", VLOOKUP(A3126,'Master List'!A:C,3,FALSE)))</f>
        <v>Email</v>
      </c>
      <c r="F3126" s="4" t="str">
        <f>IF(OR(A3126="",E3126="","",A3126="?",E3126="?"),"duplicate?",IF(COUNTIFS($A:A,A3126,E:E,E3126)&gt;1,"yes","no"))</f>
        <v>duplicate?</v>
      </c>
      <c r="K3126" s="97" t="str">
        <f ca="1">IF(J3126="","Date",IF(J3126&lt;&gt;"",IF(K3126="Date",NOW(),K3126),""))</f>
        <v>Date</v>
      </c>
    </row>
    <row r="3127" spans="2:11">
      <c r="B3127" s="97" t="str">
        <f ca="1">IF(A3127="","Date",IF(A3127&lt;&gt;"",IF(B3127="Date",NOW(),B3127),""))</f>
        <v>Date</v>
      </c>
      <c r="C3127" s="19" t="str">
        <f>IF(ISBLANK(A3127),"Name",IF(ISNA(VLOOKUP(A3127,'Master List'!A:C,2,FALSE)), "Not Found", VLOOKUP(A3127,'Master List'!A:C,2,FALSE)))</f>
        <v>Name</v>
      </c>
      <c r="D3127" s="19" t="str">
        <f>IF(ISBLANK(A3127), "Email",IF(ISNA(VLOOKUP(A3127,'Master List'!A:C,3,FALSE)), "Not Found", VLOOKUP(A3127,'Master List'!A:C,3,FALSE)))</f>
        <v>Email</v>
      </c>
      <c r="F3127" s="4" t="str">
        <f>IF(OR(A3127="",E3127="","",A3127="?",E3127="?"),"duplicate?",IF(COUNTIFS($A:A,A3127,E:E,E3127)&gt;1,"yes","no"))</f>
        <v>duplicate?</v>
      </c>
      <c r="K3127" s="97" t="str">
        <f ca="1">IF(J3127="","Date",IF(J3127&lt;&gt;"",IF(K3127="Date",NOW(),K3127),""))</f>
        <v>Date</v>
      </c>
    </row>
    <row r="3128" spans="2:11">
      <c r="B3128" s="97" t="str">
        <f ca="1">IF(A3128="","Date",IF(A3128&lt;&gt;"",IF(B3128="Date",NOW(),B3128),""))</f>
        <v>Date</v>
      </c>
      <c r="C3128" s="19" t="str">
        <f>IF(ISBLANK(A3128),"Name",IF(ISNA(VLOOKUP(A3128,'Master List'!A:C,2,FALSE)), "Not Found", VLOOKUP(A3128,'Master List'!A:C,2,FALSE)))</f>
        <v>Name</v>
      </c>
      <c r="D3128" s="19" t="str">
        <f>IF(ISBLANK(A3128), "Email",IF(ISNA(VLOOKUP(A3128,'Master List'!A:C,3,FALSE)), "Not Found", VLOOKUP(A3128,'Master List'!A:C,3,FALSE)))</f>
        <v>Email</v>
      </c>
      <c r="F3128" s="4" t="str">
        <f>IF(OR(A3128="",E3128="","",A3128="?",E3128="?"),"duplicate?",IF(COUNTIFS($A:A,A3128,E:E,E3128)&gt;1,"yes","no"))</f>
        <v>duplicate?</v>
      </c>
      <c r="K3128" s="97" t="str">
        <f ca="1">IF(J3128="","Date",IF(J3128&lt;&gt;"",IF(K3128="Date",NOW(),K3128),""))</f>
        <v>Date</v>
      </c>
    </row>
    <row r="3129" spans="2:11">
      <c r="B3129" s="97" t="str">
        <f ca="1">IF(A3129="","Date",IF(A3129&lt;&gt;"",IF(B3129="Date",NOW(),B3129),""))</f>
        <v>Date</v>
      </c>
      <c r="C3129" s="19" t="str">
        <f>IF(ISBLANK(A3129),"Name",IF(ISNA(VLOOKUP(A3129,'Master List'!A:C,2,FALSE)), "Not Found", VLOOKUP(A3129,'Master List'!A:C,2,FALSE)))</f>
        <v>Name</v>
      </c>
      <c r="D3129" s="19" t="str">
        <f>IF(ISBLANK(A3129), "Email",IF(ISNA(VLOOKUP(A3129,'Master List'!A:C,3,FALSE)), "Not Found", VLOOKUP(A3129,'Master List'!A:C,3,FALSE)))</f>
        <v>Email</v>
      </c>
      <c r="F3129" s="4" t="str">
        <f>IF(OR(A3129="",E3129="","",A3129="?",E3129="?"),"duplicate?",IF(COUNTIFS($A:A,A3129,E:E,E3129)&gt;1,"yes","no"))</f>
        <v>duplicate?</v>
      </c>
      <c r="K3129" s="97" t="str">
        <f ca="1">IF(J3129="","Date",IF(J3129&lt;&gt;"",IF(K3129="Date",NOW(),K3129),""))</f>
        <v>Date</v>
      </c>
    </row>
    <row r="3130" spans="2:11">
      <c r="B3130" s="97" t="str">
        <f ca="1">IF(A3130="","Date",IF(A3130&lt;&gt;"",IF(B3130="Date",NOW(),B3130),""))</f>
        <v>Date</v>
      </c>
      <c r="C3130" s="19" t="str">
        <f>IF(ISBLANK(A3130),"Name",IF(ISNA(VLOOKUP(A3130,'Master List'!A:C,2,FALSE)), "Not Found", VLOOKUP(A3130,'Master List'!A:C,2,FALSE)))</f>
        <v>Name</v>
      </c>
      <c r="D3130" s="19" t="str">
        <f>IF(ISBLANK(A3130), "Email",IF(ISNA(VLOOKUP(A3130,'Master List'!A:C,3,FALSE)), "Not Found", VLOOKUP(A3130,'Master List'!A:C,3,FALSE)))</f>
        <v>Email</v>
      </c>
      <c r="F3130" s="4" t="str">
        <f>IF(OR(A3130="",E3130="","",A3130="?",E3130="?"),"duplicate?",IF(COUNTIFS($A:A,A3130,E:E,E3130)&gt;1,"yes","no"))</f>
        <v>duplicate?</v>
      </c>
      <c r="K3130" s="97" t="str">
        <f ca="1">IF(J3130="","Date",IF(J3130&lt;&gt;"",IF(K3130="Date",NOW(),K3130),""))</f>
        <v>Date</v>
      </c>
    </row>
    <row r="3131" spans="2:11">
      <c r="B3131" s="97" t="str">
        <f ca="1">IF(A3131="","Date",IF(A3131&lt;&gt;"",IF(B3131="Date",NOW(),B3131),""))</f>
        <v>Date</v>
      </c>
      <c r="C3131" s="19" t="str">
        <f>IF(ISBLANK(A3131),"Name",IF(ISNA(VLOOKUP(A3131,'Master List'!A:C,2,FALSE)), "Not Found", VLOOKUP(A3131,'Master List'!A:C,2,FALSE)))</f>
        <v>Name</v>
      </c>
      <c r="D3131" s="19" t="str">
        <f>IF(ISBLANK(A3131), "Email",IF(ISNA(VLOOKUP(A3131,'Master List'!A:C,3,FALSE)), "Not Found", VLOOKUP(A3131,'Master List'!A:C,3,FALSE)))</f>
        <v>Email</v>
      </c>
      <c r="F3131" s="4" t="str">
        <f>IF(OR(A3131="",E3131="","",A3131="?",E3131="?"),"duplicate?",IF(COUNTIFS($A:A,A3131,E:E,E3131)&gt;1,"yes","no"))</f>
        <v>duplicate?</v>
      </c>
      <c r="K3131" s="97" t="str">
        <f ca="1">IF(J3131="","Date",IF(J3131&lt;&gt;"",IF(K3131="Date",NOW(),K3131),""))</f>
        <v>Date</v>
      </c>
    </row>
    <row r="3132" spans="2:11">
      <c r="B3132" s="97" t="str">
        <f ca="1">IF(A3132="","Date",IF(A3132&lt;&gt;"",IF(B3132="Date",NOW(),B3132),""))</f>
        <v>Date</v>
      </c>
      <c r="C3132" s="19" t="str">
        <f>IF(ISBLANK(A3132),"Name",IF(ISNA(VLOOKUP(A3132,'Master List'!A:C,2,FALSE)), "Not Found", VLOOKUP(A3132,'Master List'!A:C,2,FALSE)))</f>
        <v>Name</v>
      </c>
      <c r="D3132" s="19" t="str">
        <f>IF(ISBLANK(A3132), "Email",IF(ISNA(VLOOKUP(A3132,'Master List'!A:C,3,FALSE)), "Not Found", VLOOKUP(A3132,'Master List'!A:C,3,FALSE)))</f>
        <v>Email</v>
      </c>
      <c r="F3132" s="4" t="str">
        <f>IF(OR(A3132="",E3132="","",A3132="?",E3132="?"),"duplicate?",IF(COUNTIFS($A:A,A3132,E:E,E3132)&gt;1,"yes","no"))</f>
        <v>duplicate?</v>
      </c>
      <c r="K3132" s="97" t="str">
        <f ca="1">IF(J3132="","Date",IF(J3132&lt;&gt;"",IF(K3132="Date",NOW(),K3132),""))</f>
        <v>Date</v>
      </c>
    </row>
    <row r="3133" spans="2:11">
      <c r="B3133" s="97" t="str">
        <f ca="1">IF(A3133="","Date",IF(A3133&lt;&gt;"",IF(B3133="Date",NOW(),B3133),""))</f>
        <v>Date</v>
      </c>
      <c r="C3133" s="19" t="str">
        <f>IF(ISBLANK(A3133),"Name",IF(ISNA(VLOOKUP(A3133,'Master List'!A:C,2,FALSE)), "Not Found", VLOOKUP(A3133,'Master List'!A:C,2,FALSE)))</f>
        <v>Name</v>
      </c>
      <c r="D3133" s="19" t="str">
        <f>IF(ISBLANK(A3133), "Email",IF(ISNA(VLOOKUP(A3133,'Master List'!A:C,3,FALSE)), "Not Found", VLOOKUP(A3133,'Master List'!A:C,3,FALSE)))</f>
        <v>Email</v>
      </c>
      <c r="F3133" s="4" t="str">
        <f>IF(OR(A3133="",E3133="","",A3133="?",E3133="?"),"duplicate?",IF(COUNTIFS($A:A,A3133,E:E,E3133)&gt;1,"yes","no"))</f>
        <v>duplicate?</v>
      </c>
      <c r="K3133" s="97" t="str">
        <f ca="1">IF(J3133="","Date",IF(J3133&lt;&gt;"",IF(K3133="Date",NOW(),K3133),""))</f>
        <v>Date</v>
      </c>
    </row>
    <row r="3134" spans="2:11">
      <c r="B3134" s="97" t="str">
        <f ca="1">IF(A3134="","Date",IF(A3134&lt;&gt;"",IF(B3134="Date",NOW(),B3134),""))</f>
        <v>Date</v>
      </c>
      <c r="C3134" s="19" t="str">
        <f>IF(ISBLANK(A3134),"Name",IF(ISNA(VLOOKUP(A3134,'Master List'!A:C,2,FALSE)), "Not Found", VLOOKUP(A3134,'Master List'!A:C,2,FALSE)))</f>
        <v>Name</v>
      </c>
      <c r="D3134" s="19" t="str">
        <f>IF(ISBLANK(A3134), "Email",IF(ISNA(VLOOKUP(A3134,'Master List'!A:C,3,FALSE)), "Not Found", VLOOKUP(A3134,'Master List'!A:C,3,FALSE)))</f>
        <v>Email</v>
      </c>
      <c r="F3134" s="4" t="str">
        <f>IF(OR(A3134="",E3134="","",A3134="?",E3134="?"),"duplicate?",IF(COUNTIFS($A:A,A3134,E:E,E3134)&gt;1,"yes","no"))</f>
        <v>duplicate?</v>
      </c>
      <c r="K3134" s="97" t="str">
        <f ca="1">IF(J3134="","Date",IF(J3134&lt;&gt;"",IF(K3134="Date",NOW(),K3134),""))</f>
        <v>Date</v>
      </c>
    </row>
    <row r="3135" spans="2:11">
      <c r="B3135" s="97" t="str">
        <f ca="1">IF(A3135="","Date",IF(A3135&lt;&gt;"",IF(B3135="Date",NOW(),B3135),""))</f>
        <v>Date</v>
      </c>
      <c r="C3135" s="19" t="str">
        <f>IF(ISBLANK(A3135),"Name",IF(ISNA(VLOOKUP(A3135,'Master List'!A:C,2,FALSE)), "Not Found", VLOOKUP(A3135,'Master List'!A:C,2,FALSE)))</f>
        <v>Name</v>
      </c>
      <c r="D3135" s="19" t="str">
        <f>IF(ISBLANK(A3135), "Email",IF(ISNA(VLOOKUP(A3135,'Master List'!A:C,3,FALSE)), "Not Found", VLOOKUP(A3135,'Master List'!A:C,3,FALSE)))</f>
        <v>Email</v>
      </c>
      <c r="F3135" s="4" t="str">
        <f>IF(OR(A3135="",E3135="","",A3135="?",E3135="?"),"duplicate?",IF(COUNTIFS($A:A,A3135,E:E,E3135)&gt;1,"yes","no"))</f>
        <v>duplicate?</v>
      </c>
      <c r="K3135" s="97" t="str">
        <f ca="1">IF(J3135="","Date",IF(J3135&lt;&gt;"",IF(K3135="Date",NOW(),K3135),""))</f>
        <v>Date</v>
      </c>
    </row>
    <row r="3136" spans="2:11">
      <c r="B3136" s="97" t="str">
        <f ca="1">IF(A3136="","Date",IF(A3136&lt;&gt;"",IF(B3136="Date",NOW(),B3136),""))</f>
        <v>Date</v>
      </c>
      <c r="C3136" s="19" t="str">
        <f>IF(ISBLANK(A3136),"Name",IF(ISNA(VLOOKUP(A3136,'Master List'!A:C,2,FALSE)), "Not Found", VLOOKUP(A3136,'Master List'!A:C,2,FALSE)))</f>
        <v>Name</v>
      </c>
      <c r="D3136" s="19" t="str">
        <f>IF(ISBLANK(A3136), "Email",IF(ISNA(VLOOKUP(A3136,'Master List'!A:C,3,FALSE)), "Not Found", VLOOKUP(A3136,'Master List'!A:C,3,FALSE)))</f>
        <v>Email</v>
      </c>
      <c r="F3136" s="4" t="str">
        <f>IF(OR(A3136="",E3136="","",A3136="?",E3136="?"),"duplicate?",IF(COUNTIFS($A:A,A3136,E:E,E3136)&gt;1,"yes","no"))</f>
        <v>duplicate?</v>
      </c>
      <c r="K3136" s="97" t="str">
        <f ca="1">IF(J3136="","Date",IF(J3136&lt;&gt;"",IF(K3136="Date",NOW(),K3136),""))</f>
        <v>Date</v>
      </c>
    </row>
    <row r="3137" spans="2:11">
      <c r="B3137" s="97" t="str">
        <f ca="1">IF(A3137="","Date",IF(A3137&lt;&gt;"",IF(B3137="Date",NOW(),B3137),""))</f>
        <v>Date</v>
      </c>
      <c r="C3137" s="19" t="str">
        <f>IF(ISBLANK(A3137),"Name",IF(ISNA(VLOOKUP(A3137,'Master List'!A:C,2,FALSE)), "Not Found", VLOOKUP(A3137,'Master List'!A:C,2,FALSE)))</f>
        <v>Name</v>
      </c>
      <c r="D3137" s="19" t="str">
        <f>IF(ISBLANK(A3137), "Email",IF(ISNA(VLOOKUP(A3137,'Master List'!A:C,3,FALSE)), "Not Found", VLOOKUP(A3137,'Master List'!A:C,3,FALSE)))</f>
        <v>Email</v>
      </c>
      <c r="F3137" s="4" t="str">
        <f>IF(OR(A3137="",E3137="","",A3137="?",E3137="?"),"duplicate?",IF(COUNTIFS($A:A,A3137,E:E,E3137)&gt;1,"yes","no"))</f>
        <v>duplicate?</v>
      </c>
      <c r="K3137" s="97" t="str">
        <f ca="1">IF(J3137="","Date",IF(J3137&lt;&gt;"",IF(K3137="Date",NOW(),K3137),""))</f>
        <v>Date</v>
      </c>
    </row>
    <row r="3138" spans="2:11">
      <c r="B3138" s="97" t="str">
        <f ca="1">IF(A3138="","Date",IF(A3138&lt;&gt;"",IF(B3138="Date",NOW(),B3138),""))</f>
        <v>Date</v>
      </c>
      <c r="C3138" s="19" t="str">
        <f>IF(ISBLANK(A3138),"Name",IF(ISNA(VLOOKUP(A3138,'Master List'!A:C,2,FALSE)), "Not Found", VLOOKUP(A3138,'Master List'!A:C,2,FALSE)))</f>
        <v>Name</v>
      </c>
      <c r="D3138" s="19" t="str">
        <f>IF(ISBLANK(A3138), "Email",IF(ISNA(VLOOKUP(A3138,'Master List'!A:C,3,FALSE)), "Not Found", VLOOKUP(A3138,'Master List'!A:C,3,FALSE)))</f>
        <v>Email</v>
      </c>
      <c r="F3138" s="4" t="str">
        <f>IF(OR(A3138="",E3138="","",A3138="?",E3138="?"),"duplicate?",IF(COUNTIFS($A:A,A3138,E:E,E3138)&gt;1,"yes","no"))</f>
        <v>duplicate?</v>
      </c>
      <c r="K3138" s="97" t="str">
        <f ca="1">IF(J3138="","Date",IF(J3138&lt;&gt;"",IF(K3138="Date",NOW(),K3138),""))</f>
        <v>Date</v>
      </c>
    </row>
    <row r="3139" spans="2:11">
      <c r="B3139" s="97" t="str">
        <f ca="1">IF(A3139="","Date",IF(A3139&lt;&gt;"",IF(B3139="Date",NOW(),B3139),""))</f>
        <v>Date</v>
      </c>
      <c r="C3139" s="19" t="str">
        <f>IF(ISBLANK(A3139),"Name",IF(ISNA(VLOOKUP(A3139,'Master List'!A:C,2,FALSE)), "Not Found", VLOOKUP(A3139,'Master List'!A:C,2,FALSE)))</f>
        <v>Name</v>
      </c>
      <c r="D3139" s="19" t="str">
        <f>IF(ISBLANK(A3139), "Email",IF(ISNA(VLOOKUP(A3139,'Master List'!A:C,3,FALSE)), "Not Found", VLOOKUP(A3139,'Master List'!A:C,3,FALSE)))</f>
        <v>Email</v>
      </c>
      <c r="F3139" s="4" t="str">
        <f>IF(OR(A3139="",E3139="","",A3139="?",E3139="?"),"duplicate?",IF(COUNTIFS($A:A,A3139,E:E,E3139)&gt;1,"yes","no"))</f>
        <v>duplicate?</v>
      </c>
      <c r="K3139" s="97" t="str">
        <f ca="1">IF(J3139="","Date",IF(J3139&lt;&gt;"",IF(K3139="Date",NOW(),K3139),""))</f>
        <v>Date</v>
      </c>
    </row>
    <row r="3140" spans="2:11">
      <c r="B3140" s="97" t="str">
        <f ca="1">IF(A3140="","Date",IF(A3140&lt;&gt;"",IF(B3140="Date",NOW(),B3140),""))</f>
        <v>Date</v>
      </c>
      <c r="C3140" s="19" t="str">
        <f>IF(ISBLANK(A3140),"Name",IF(ISNA(VLOOKUP(A3140,'Master List'!A:C,2,FALSE)), "Not Found", VLOOKUP(A3140,'Master List'!A:C,2,FALSE)))</f>
        <v>Name</v>
      </c>
      <c r="D3140" s="19" t="str">
        <f>IF(ISBLANK(A3140), "Email",IF(ISNA(VLOOKUP(A3140,'Master List'!A:C,3,FALSE)), "Not Found", VLOOKUP(A3140,'Master List'!A:C,3,FALSE)))</f>
        <v>Email</v>
      </c>
      <c r="F3140" s="4" t="str">
        <f>IF(OR(A3140="",E3140="","",A3140="?",E3140="?"),"duplicate?",IF(COUNTIFS($A:A,A3140,E:E,E3140)&gt;1,"yes","no"))</f>
        <v>duplicate?</v>
      </c>
      <c r="K3140" s="97" t="str">
        <f ca="1">IF(J3140="","Date",IF(J3140&lt;&gt;"",IF(K3140="Date",NOW(),K3140),""))</f>
        <v>Date</v>
      </c>
    </row>
    <row r="3141" spans="2:11">
      <c r="B3141" s="97" t="str">
        <f ca="1">IF(A3141="","Date",IF(A3141&lt;&gt;"",IF(B3141="Date",NOW(),B3141),""))</f>
        <v>Date</v>
      </c>
      <c r="C3141" s="19" t="str">
        <f>IF(ISBLANK(A3141),"Name",IF(ISNA(VLOOKUP(A3141,'Master List'!A:C,2,FALSE)), "Not Found", VLOOKUP(A3141,'Master List'!A:C,2,FALSE)))</f>
        <v>Name</v>
      </c>
      <c r="D3141" s="19" t="str">
        <f>IF(ISBLANK(A3141), "Email",IF(ISNA(VLOOKUP(A3141,'Master List'!A:C,3,FALSE)), "Not Found", VLOOKUP(A3141,'Master List'!A:C,3,FALSE)))</f>
        <v>Email</v>
      </c>
      <c r="F3141" s="4" t="str">
        <f>IF(OR(A3141="",E3141="","",A3141="?",E3141="?"),"duplicate?",IF(COUNTIFS($A:A,A3141,E:E,E3141)&gt;1,"yes","no"))</f>
        <v>duplicate?</v>
      </c>
      <c r="K3141" s="97" t="str">
        <f ca="1">IF(J3141="","Date",IF(J3141&lt;&gt;"",IF(K3141="Date",NOW(),K3141),""))</f>
        <v>Date</v>
      </c>
    </row>
    <row r="3142" spans="2:11">
      <c r="B3142" s="97" t="str">
        <f ca="1">IF(A3142="","Date",IF(A3142&lt;&gt;"",IF(B3142="Date",NOW(),B3142),""))</f>
        <v>Date</v>
      </c>
      <c r="C3142" s="19" t="str">
        <f>IF(ISBLANK(A3142),"Name",IF(ISNA(VLOOKUP(A3142,'Master List'!A:C,2,FALSE)), "Not Found", VLOOKUP(A3142,'Master List'!A:C,2,FALSE)))</f>
        <v>Name</v>
      </c>
      <c r="D3142" s="19" t="str">
        <f>IF(ISBLANK(A3142), "Email",IF(ISNA(VLOOKUP(A3142,'Master List'!A:C,3,FALSE)), "Not Found", VLOOKUP(A3142,'Master List'!A:C,3,FALSE)))</f>
        <v>Email</v>
      </c>
      <c r="F3142" s="4" t="str">
        <f>IF(OR(A3142="",E3142="","",A3142="?",E3142="?"),"duplicate?",IF(COUNTIFS($A:A,A3142,E:E,E3142)&gt;1,"yes","no"))</f>
        <v>duplicate?</v>
      </c>
      <c r="K3142" s="97" t="str">
        <f ca="1">IF(J3142="","Date",IF(J3142&lt;&gt;"",IF(K3142="Date",NOW(),K3142),""))</f>
        <v>Date</v>
      </c>
    </row>
    <row r="3143" spans="2:11">
      <c r="B3143" s="97" t="str">
        <f ca="1">IF(A3143="","Date",IF(A3143&lt;&gt;"",IF(B3143="Date",NOW(),B3143),""))</f>
        <v>Date</v>
      </c>
      <c r="C3143" s="19" t="str">
        <f>IF(ISBLANK(A3143),"Name",IF(ISNA(VLOOKUP(A3143,'Master List'!A:C,2,FALSE)), "Not Found", VLOOKUP(A3143,'Master List'!A:C,2,FALSE)))</f>
        <v>Name</v>
      </c>
      <c r="D3143" s="19" t="str">
        <f>IF(ISBLANK(A3143), "Email",IF(ISNA(VLOOKUP(A3143,'Master List'!A:C,3,FALSE)), "Not Found", VLOOKUP(A3143,'Master List'!A:C,3,FALSE)))</f>
        <v>Email</v>
      </c>
      <c r="F3143" s="4" t="str">
        <f>IF(OR(A3143="",E3143="","",A3143="?",E3143="?"),"duplicate?",IF(COUNTIFS($A:A,A3143,E:E,E3143)&gt;1,"yes","no"))</f>
        <v>duplicate?</v>
      </c>
      <c r="K3143" s="97" t="str">
        <f ca="1">IF(J3143="","Date",IF(J3143&lt;&gt;"",IF(K3143="Date",NOW(),K3143),""))</f>
        <v>Date</v>
      </c>
    </row>
    <row r="3144" spans="2:11">
      <c r="B3144" s="97" t="str">
        <f ca="1">IF(A3144="","Date",IF(A3144&lt;&gt;"",IF(B3144="Date",NOW(),B3144),""))</f>
        <v>Date</v>
      </c>
      <c r="C3144" s="19" t="str">
        <f>IF(ISBLANK(A3144),"Name",IF(ISNA(VLOOKUP(A3144,'Master List'!A:C,2,FALSE)), "Not Found", VLOOKUP(A3144,'Master List'!A:C,2,FALSE)))</f>
        <v>Name</v>
      </c>
      <c r="D3144" s="19" t="str">
        <f>IF(ISBLANK(A3144), "Email",IF(ISNA(VLOOKUP(A3144,'Master List'!A:C,3,FALSE)), "Not Found", VLOOKUP(A3144,'Master List'!A:C,3,FALSE)))</f>
        <v>Email</v>
      </c>
      <c r="F3144" s="4" t="str">
        <f>IF(OR(A3144="",E3144="","",A3144="?",E3144="?"),"duplicate?",IF(COUNTIFS($A:A,A3144,E:E,E3144)&gt;1,"yes","no"))</f>
        <v>duplicate?</v>
      </c>
      <c r="K3144" s="97" t="str">
        <f ca="1">IF(J3144="","Date",IF(J3144&lt;&gt;"",IF(K3144="Date",NOW(),K3144),""))</f>
        <v>Date</v>
      </c>
    </row>
    <row r="3145" spans="2:11">
      <c r="B3145" s="97" t="str">
        <f ca="1">IF(A3145="","Date",IF(A3145&lt;&gt;"",IF(B3145="Date",NOW(),B3145),""))</f>
        <v>Date</v>
      </c>
      <c r="C3145" s="19" t="str">
        <f>IF(ISBLANK(A3145),"Name",IF(ISNA(VLOOKUP(A3145,'Master List'!A:C,2,FALSE)), "Not Found", VLOOKUP(A3145,'Master List'!A:C,2,FALSE)))</f>
        <v>Name</v>
      </c>
      <c r="D3145" s="19" t="str">
        <f>IF(ISBLANK(A3145), "Email",IF(ISNA(VLOOKUP(A3145,'Master List'!A:C,3,FALSE)), "Not Found", VLOOKUP(A3145,'Master List'!A:C,3,FALSE)))</f>
        <v>Email</v>
      </c>
      <c r="F3145" s="4" t="str">
        <f>IF(OR(A3145="",E3145="","",A3145="?",E3145="?"),"duplicate?",IF(COUNTIFS($A:A,A3145,E:E,E3145)&gt;1,"yes","no"))</f>
        <v>duplicate?</v>
      </c>
      <c r="K3145" s="97" t="str">
        <f ca="1">IF(J3145="","Date",IF(J3145&lt;&gt;"",IF(K3145="Date",NOW(),K3145),""))</f>
        <v>Date</v>
      </c>
    </row>
    <row r="3146" spans="2:11">
      <c r="B3146" s="97" t="str">
        <f ca="1">IF(A3146="","Date",IF(A3146&lt;&gt;"",IF(B3146="Date",NOW(),B3146),""))</f>
        <v>Date</v>
      </c>
      <c r="C3146" s="19" t="str">
        <f>IF(ISBLANK(A3146),"Name",IF(ISNA(VLOOKUP(A3146,'Master List'!A:C,2,FALSE)), "Not Found", VLOOKUP(A3146,'Master List'!A:C,2,FALSE)))</f>
        <v>Name</v>
      </c>
      <c r="D3146" s="19" t="str">
        <f>IF(ISBLANK(A3146), "Email",IF(ISNA(VLOOKUP(A3146,'Master List'!A:C,3,FALSE)), "Not Found", VLOOKUP(A3146,'Master List'!A:C,3,FALSE)))</f>
        <v>Email</v>
      </c>
      <c r="F3146" s="4" t="str">
        <f>IF(OR(A3146="",E3146="","",A3146="?",E3146="?"),"duplicate?",IF(COUNTIFS($A:A,A3146,E:E,E3146)&gt;1,"yes","no"))</f>
        <v>duplicate?</v>
      </c>
      <c r="K3146" s="97" t="str">
        <f ca="1">IF(J3146="","Date",IF(J3146&lt;&gt;"",IF(K3146="Date",NOW(),K3146),""))</f>
        <v>Date</v>
      </c>
    </row>
    <row r="3147" spans="2:11">
      <c r="B3147" s="97" t="str">
        <f ca="1">IF(A3147="","Date",IF(A3147&lt;&gt;"",IF(B3147="Date",NOW(),B3147),""))</f>
        <v>Date</v>
      </c>
      <c r="C3147" s="19" t="str">
        <f>IF(ISBLANK(A3147),"Name",IF(ISNA(VLOOKUP(A3147,'Master List'!A:C,2,FALSE)), "Not Found", VLOOKUP(A3147,'Master List'!A:C,2,FALSE)))</f>
        <v>Name</v>
      </c>
      <c r="D3147" s="19" t="str">
        <f>IF(ISBLANK(A3147), "Email",IF(ISNA(VLOOKUP(A3147,'Master List'!A:C,3,FALSE)), "Not Found", VLOOKUP(A3147,'Master List'!A:C,3,FALSE)))</f>
        <v>Email</v>
      </c>
      <c r="F3147" s="4" t="str">
        <f>IF(OR(A3147="",E3147="","",A3147="?",E3147="?"),"duplicate?",IF(COUNTIFS($A:A,A3147,E:E,E3147)&gt;1,"yes","no"))</f>
        <v>duplicate?</v>
      </c>
      <c r="K3147" s="97" t="str">
        <f ca="1">IF(J3147="","Date",IF(J3147&lt;&gt;"",IF(K3147="Date",NOW(),K3147),""))</f>
        <v>Date</v>
      </c>
    </row>
    <row r="3148" spans="2:11">
      <c r="B3148" s="97" t="str">
        <f ca="1">IF(A3148="","Date",IF(A3148&lt;&gt;"",IF(B3148="Date",NOW(),B3148),""))</f>
        <v>Date</v>
      </c>
      <c r="C3148" s="19" t="str">
        <f>IF(ISBLANK(A3148),"Name",IF(ISNA(VLOOKUP(A3148,'Master List'!A:C,2,FALSE)), "Not Found", VLOOKUP(A3148,'Master List'!A:C,2,FALSE)))</f>
        <v>Name</v>
      </c>
      <c r="D3148" s="19" t="str">
        <f>IF(ISBLANK(A3148), "Email",IF(ISNA(VLOOKUP(A3148,'Master List'!A:C,3,FALSE)), "Not Found", VLOOKUP(A3148,'Master List'!A:C,3,FALSE)))</f>
        <v>Email</v>
      </c>
      <c r="F3148" s="4" t="str">
        <f>IF(OR(A3148="",E3148="","",A3148="?",E3148="?"),"duplicate?",IF(COUNTIFS($A:A,A3148,E:E,E3148)&gt;1,"yes","no"))</f>
        <v>duplicate?</v>
      </c>
      <c r="K3148" s="97" t="str">
        <f ca="1">IF(J3148="","Date",IF(J3148&lt;&gt;"",IF(K3148="Date",NOW(),K3148),""))</f>
        <v>Date</v>
      </c>
    </row>
    <row r="3149" spans="2:11">
      <c r="B3149" s="97" t="str">
        <f ca="1">IF(A3149="","Date",IF(A3149&lt;&gt;"",IF(B3149="Date",NOW(),B3149),""))</f>
        <v>Date</v>
      </c>
      <c r="C3149" s="19" t="str">
        <f>IF(ISBLANK(A3149),"Name",IF(ISNA(VLOOKUP(A3149,'Master List'!A:C,2,FALSE)), "Not Found", VLOOKUP(A3149,'Master List'!A:C,2,FALSE)))</f>
        <v>Name</v>
      </c>
      <c r="D3149" s="19" t="str">
        <f>IF(ISBLANK(A3149), "Email",IF(ISNA(VLOOKUP(A3149,'Master List'!A:C,3,FALSE)), "Not Found", VLOOKUP(A3149,'Master List'!A:C,3,FALSE)))</f>
        <v>Email</v>
      </c>
      <c r="F3149" s="4" t="str">
        <f>IF(OR(A3149="",E3149="","",A3149="?",E3149="?"),"duplicate?",IF(COUNTIFS($A:A,A3149,E:E,E3149)&gt;1,"yes","no"))</f>
        <v>duplicate?</v>
      </c>
      <c r="K3149" s="97" t="str">
        <f ca="1">IF(J3149="","Date",IF(J3149&lt;&gt;"",IF(K3149="Date",NOW(),K3149),""))</f>
        <v>Date</v>
      </c>
    </row>
    <row r="3150" spans="2:11">
      <c r="B3150" s="97" t="str">
        <f ca="1">IF(A3150="","Date",IF(A3150&lt;&gt;"",IF(B3150="Date",NOW(),B3150),""))</f>
        <v>Date</v>
      </c>
      <c r="C3150" s="19" t="str">
        <f>IF(ISBLANK(A3150),"Name",IF(ISNA(VLOOKUP(A3150,'Master List'!A:C,2,FALSE)), "Not Found", VLOOKUP(A3150,'Master List'!A:C,2,FALSE)))</f>
        <v>Name</v>
      </c>
      <c r="D3150" s="19" t="str">
        <f>IF(ISBLANK(A3150), "Email",IF(ISNA(VLOOKUP(A3150,'Master List'!A:C,3,FALSE)), "Not Found", VLOOKUP(A3150,'Master List'!A:C,3,FALSE)))</f>
        <v>Email</v>
      </c>
      <c r="F3150" s="4" t="str">
        <f>IF(OR(A3150="",E3150="","",A3150="?",E3150="?"),"duplicate?",IF(COUNTIFS($A:A,A3150,E:E,E3150)&gt;1,"yes","no"))</f>
        <v>duplicate?</v>
      </c>
      <c r="K3150" s="97" t="str">
        <f ca="1">IF(J3150="","Date",IF(J3150&lt;&gt;"",IF(K3150="Date",NOW(),K3150),""))</f>
        <v>Date</v>
      </c>
    </row>
    <row r="3151" spans="2:11">
      <c r="B3151" s="97" t="str">
        <f ca="1">IF(A3151="","Date",IF(A3151&lt;&gt;"",IF(B3151="Date",NOW(),B3151),""))</f>
        <v>Date</v>
      </c>
      <c r="C3151" s="19" t="str">
        <f>IF(ISBLANK(A3151),"Name",IF(ISNA(VLOOKUP(A3151,'Master List'!A:C,2,FALSE)), "Not Found", VLOOKUP(A3151,'Master List'!A:C,2,FALSE)))</f>
        <v>Name</v>
      </c>
      <c r="D3151" s="19" t="str">
        <f>IF(ISBLANK(A3151), "Email",IF(ISNA(VLOOKUP(A3151,'Master List'!A:C,3,FALSE)), "Not Found", VLOOKUP(A3151,'Master List'!A:C,3,FALSE)))</f>
        <v>Email</v>
      </c>
      <c r="F3151" s="4" t="str">
        <f>IF(OR(A3151="",E3151="","",A3151="?",E3151="?"),"duplicate?",IF(COUNTIFS($A:A,A3151,E:E,E3151)&gt;1,"yes","no"))</f>
        <v>duplicate?</v>
      </c>
      <c r="K3151" s="97" t="str">
        <f ca="1">IF(J3151="","Date",IF(J3151&lt;&gt;"",IF(K3151="Date",NOW(),K3151),""))</f>
        <v>Date</v>
      </c>
    </row>
    <row r="3152" spans="2:11">
      <c r="B3152" s="97" t="str">
        <f ca="1">IF(A3152="","Date",IF(A3152&lt;&gt;"",IF(B3152="Date",NOW(),B3152),""))</f>
        <v>Date</v>
      </c>
      <c r="C3152" s="19" t="str">
        <f>IF(ISBLANK(A3152),"Name",IF(ISNA(VLOOKUP(A3152,'Master List'!A:C,2,FALSE)), "Not Found", VLOOKUP(A3152,'Master List'!A:C,2,FALSE)))</f>
        <v>Name</v>
      </c>
      <c r="D3152" s="19" t="str">
        <f>IF(ISBLANK(A3152), "Email",IF(ISNA(VLOOKUP(A3152,'Master List'!A:C,3,FALSE)), "Not Found", VLOOKUP(A3152,'Master List'!A:C,3,FALSE)))</f>
        <v>Email</v>
      </c>
      <c r="F3152" s="4" t="str">
        <f>IF(OR(A3152="",E3152="","",A3152="?",E3152="?"),"duplicate?",IF(COUNTIFS($A:A,A3152,E:E,E3152)&gt;1,"yes","no"))</f>
        <v>duplicate?</v>
      </c>
      <c r="K3152" s="97" t="str">
        <f ca="1">IF(J3152="","Date",IF(J3152&lt;&gt;"",IF(K3152="Date",NOW(),K3152),""))</f>
        <v>Date</v>
      </c>
    </row>
    <row r="3153" spans="2:11">
      <c r="B3153" s="97" t="str">
        <f ca="1">IF(A3153="","Date",IF(A3153&lt;&gt;"",IF(B3153="Date",NOW(),B3153),""))</f>
        <v>Date</v>
      </c>
      <c r="C3153" s="19" t="str">
        <f>IF(ISBLANK(A3153),"Name",IF(ISNA(VLOOKUP(A3153,'Master List'!A:C,2,FALSE)), "Not Found", VLOOKUP(A3153,'Master List'!A:C,2,FALSE)))</f>
        <v>Name</v>
      </c>
      <c r="D3153" s="19" t="str">
        <f>IF(ISBLANK(A3153), "Email",IF(ISNA(VLOOKUP(A3153,'Master List'!A:C,3,FALSE)), "Not Found", VLOOKUP(A3153,'Master List'!A:C,3,FALSE)))</f>
        <v>Email</v>
      </c>
      <c r="F3153" s="4" t="str">
        <f>IF(OR(A3153="",E3153="","",A3153="?",E3153="?"),"duplicate?",IF(COUNTIFS($A:A,A3153,E:E,E3153)&gt;1,"yes","no"))</f>
        <v>duplicate?</v>
      </c>
      <c r="K3153" s="97" t="str">
        <f ca="1">IF(J3153="","Date",IF(J3153&lt;&gt;"",IF(K3153="Date",NOW(),K3153),""))</f>
        <v>Date</v>
      </c>
    </row>
    <row r="3154" spans="2:11">
      <c r="B3154" s="97" t="str">
        <f ca="1">IF(A3154="","Date",IF(A3154&lt;&gt;"",IF(B3154="Date",NOW(),B3154),""))</f>
        <v>Date</v>
      </c>
      <c r="C3154" s="19" t="str">
        <f>IF(ISBLANK(A3154),"Name",IF(ISNA(VLOOKUP(A3154,'Master List'!A:C,2,FALSE)), "Not Found", VLOOKUP(A3154,'Master List'!A:C,2,FALSE)))</f>
        <v>Name</v>
      </c>
      <c r="D3154" s="19" t="str">
        <f>IF(ISBLANK(A3154), "Email",IF(ISNA(VLOOKUP(A3154,'Master List'!A:C,3,FALSE)), "Not Found", VLOOKUP(A3154,'Master List'!A:C,3,FALSE)))</f>
        <v>Email</v>
      </c>
      <c r="F3154" s="4" t="str">
        <f>IF(OR(A3154="",E3154="","",A3154="?",E3154="?"),"duplicate?",IF(COUNTIFS($A:A,A3154,E:E,E3154)&gt;1,"yes","no"))</f>
        <v>duplicate?</v>
      </c>
      <c r="K3154" s="97" t="str">
        <f ca="1">IF(J3154="","Date",IF(J3154&lt;&gt;"",IF(K3154="Date",NOW(),K3154),""))</f>
        <v>Date</v>
      </c>
    </row>
    <row r="3155" spans="2:11">
      <c r="B3155" s="97" t="str">
        <f ca="1">IF(A3155="","Date",IF(A3155&lt;&gt;"",IF(B3155="Date",NOW(),B3155),""))</f>
        <v>Date</v>
      </c>
      <c r="C3155" s="19" t="str">
        <f>IF(ISBLANK(A3155),"Name",IF(ISNA(VLOOKUP(A3155,'Master List'!A:C,2,FALSE)), "Not Found", VLOOKUP(A3155,'Master List'!A:C,2,FALSE)))</f>
        <v>Name</v>
      </c>
      <c r="D3155" s="19" t="str">
        <f>IF(ISBLANK(A3155), "Email",IF(ISNA(VLOOKUP(A3155,'Master List'!A:C,3,FALSE)), "Not Found", VLOOKUP(A3155,'Master List'!A:C,3,FALSE)))</f>
        <v>Email</v>
      </c>
      <c r="F3155" s="4" t="str">
        <f>IF(OR(A3155="",E3155="","",A3155="?",E3155="?"),"duplicate?",IF(COUNTIFS($A:A,A3155,E:E,E3155)&gt;1,"yes","no"))</f>
        <v>duplicate?</v>
      </c>
      <c r="K3155" s="97" t="str">
        <f ca="1">IF(J3155="","Date",IF(J3155&lt;&gt;"",IF(K3155="Date",NOW(),K3155),""))</f>
        <v>Date</v>
      </c>
    </row>
    <row r="3156" spans="2:11">
      <c r="B3156" s="97" t="str">
        <f ca="1">IF(A3156="","Date",IF(A3156&lt;&gt;"",IF(B3156="Date",NOW(),B3156),""))</f>
        <v>Date</v>
      </c>
      <c r="C3156" s="19" t="str">
        <f>IF(ISBLANK(A3156),"Name",IF(ISNA(VLOOKUP(A3156,'Master List'!A:C,2,FALSE)), "Not Found", VLOOKUP(A3156,'Master List'!A:C,2,FALSE)))</f>
        <v>Name</v>
      </c>
      <c r="D3156" s="19" t="str">
        <f>IF(ISBLANK(A3156), "Email",IF(ISNA(VLOOKUP(A3156,'Master List'!A:C,3,FALSE)), "Not Found", VLOOKUP(A3156,'Master List'!A:C,3,FALSE)))</f>
        <v>Email</v>
      </c>
      <c r="F3156" s="4" t="str">
        <f>IF(OR(A3156="",E3156="","",A3156="?",E3156="?"),"duplicate?",IF(COUNTIFS($A:A,A3156,E:E,E3156)&gt;1,"yes","no"))</f>
        <v>duplicate?</v>
      </c>
      <c r="K3156" s="97" t="str">
        <f ca="1">IF(J3156="","Date",IF(J3156&lt;&gt;"",IF(K3156="Date",NOW(),K3156),""))</f>
        <v>Date</v>
      </c>
    </row>
    <row r="3157" spans="2:11">
      <c r="B3157" s="97" t="str">
        <f ca="1">IF(A3157="","Date",IF(A3157&lt;&gt;"",IF(B3157="Date",NOW(),B3157),""))</f>
        <v>Date</v>
      </c>
      <c r="C3157" s="19" t="str">
        <f>IF(ISBLANK(A3157),"Name",IF(ISNA(VLOOKUP(A3157,'Master List'!A:C,2,FALSE)), "Not Found", VLOOKUP(A3157,'Master List'!A:C,2,FALSE)))</f>
        <v>Name</v>
      </c>
      <c r="D3157" s="19" t="str">
        <f>IF(ISBLANK(A3157), "Email",IF(ISNA(VLOOKUP(A3157,'Master List'!A:C,3,FALSE)), "Not Found", VLOOKUP(A3157,'Master List'!A:C,3,FALSE)))</f>
        <v>Email</v>
      </c>
      <c r="F3157" s="4" t="str">
        <f>IF(OR(A3157="",E3157="","",A3157="?",E3157="?"),"duplicate?",IF(COUNTIFS($A:A,A3157,E:E,E3157)&gt;1,"yes","no"))</f>
        <v>duplicate?</v>
      </c>
      <c r="K3157" s="97" t="str">
        <f ca="1">IF(J3157="","Date",IF(J3157&lt;&gt;"",IF(K3157="Date",NOW(),K3157),""))</f>
        <v>Date</v>
      </c>
    </row>
    <row r="3158" spans="2:11">
      <c r="B3158" s="97" t="str">
        <f ca="1">IF(A3158="","Date",IF(A3158&lt;&gt;"",IF(B3158="Date",NOW(),B3158),""))</f>
        <v>Date</v>
      </c>
      <c r="C3158" s="19" t="str">
        <f>IF(ISBLANK(A3158),"Name",IF(ISNA(VLOOKUP(A3158,'Master List'!A:C,2,FALSE)), "Not Found", VLOOKUP(A3158,'Master List'!A:C,2,FALSE)))</f>
        <v>Name</v>
      </c>
      <c r="D3158" s="19" t="str">
        <f>IF(ISBLANK(A3158), "Email",IF(ISNA(VLOOKUP(A3158,'Master List'!A:C,3,FALSE)), "Not Found", VLOOKUP(A3158,'Master List'!A:C,3,FALSE)))</f>
        <v>Email</v>
      </c>
      <c r="F3158" s="4" t="str">
        <f>IF(OR(A3158="",E3158="","",A3158="?",E3158="?"),"duplicate?",IF(COUNTIFS($A:A,A3158,E:E,E3158)&gt;1,"yes","no"))</f>
        <v>duplicate?</v>
      </c>
      <c r="K3158" s="97" t="str">
        <f ca="1">IF(J3158="","Date",IF(J3158&lt;&gt;"",IF(K3158="Date",NOW(),K3158),""))</f>
        <v>Date</v>
      </c>
    </row>
    <row r="3159" spans="2:11">
      <c r="B3159" s="97" t="str">
        <f ca="1">IF(A3159="","Date",IF(A3159&lt;&gt;"",IF(B3159="Date",NOW(),B3159),""))</f>
        <v>Date</v>
      </c>
      <c r="C3159" s="19" t="str">
        <f>IF(ISBLANK(A3159),"Name",IF(ISNA(VLOOKUP(A3159,'Master List'!A:C,2,FALSE)), "Not Found", VLOOKUP(A3159,'Master List'!A:C,2,FALSE)))</f>
        <v>Name</v>
      </c>
      <c r="D3159" s="19" t="str">
        <f>IF(ISBLANK(A3159), "Email",IF(ISNA(VLOOKUP(A3159,'Master List'!A:C,3,FALSE)), "Not Found", VLOOKUP(A3159,'Master List'!A:C,3,FALSE)))</f>
        <v>Email</v>
      </c>
      <c r="F3159" s="4" t="str">
        <f>IF(OR(A3159="",E3159="","",A3159="?",E3159="?"),"duplicate?",IF(COUNTIFS($A:A,A3159,E:E,E3159)&gt;1,"yes","no"))</f>
        <v>duplicate?</v>
      </c>
      <c r="K3159" s="97" t="str">
        <f ca="1">IF(J3159="","Date",IF(J3159&lt;&gt;"",IF(K3159="Date",NOW(),K3159),""))</f>
        <v>Date</v>
      </c>
    </row>
    <row r="3160" spans="2:11">
      <c r="B3160" s="97" t="str">
        <f ca="1">IF(A3160="","Date",IF(A3160&lt;&gt;"",IF(B3160="Date",NOW(),B3160),""))</f>
        <v>Date</v>
      </c>
      <c r="C3160" s="19" t="str">
        <f>IF(ISBLANK(A3160),"Name",IF(ISNA(VLOOKUP(A3160,'Master List'!A:C,2,FALSE)), "Not Found", VLOOKUP(A3160,'Master List'!A:C,2,FALSE)))</f>
        <v>Name</v>
      </c>
      <c r="D3160" s="19" t="str">
        <f>IF(ISBLANK(A3160), "Email",IF(ISNA(VLOOKUP(A3160,'Master List'!A:C,3,FALSE)), "Not Found", VLOOKUP(A3160,'Master List'!A:C,3,FALSE)))</f>
        <v>Email</v>
      </c>
      <c r="F3160" s="4" t="str">
        <f>IF(OR(A3160="",E3160="","",A3160="?",E3160="?"),"duplicate?",IF(COUNTIFS($A:A,A3160,E:E,E3160)&gt;1,"yes","no"))</f>
        <v>duplicate?</v>
      </c>
      <c r="K3160" s="97" t="str">
        <f ca="1">IF(J3160="","Date",IF(J3160&lt;&gt;"",IF(K3160="Date",NOW(),K3160),""))</f>
        <v>Date</v>
      </c>
    </row>
    <row r="3161" spans="2:11">
      <c r="B3161" s="97" t="str">
        <f ca="1">IF(A3161="","Date",IF(A3161&lt;&gt;"",IF(B3161="Date",NOW(),B3161),""))</f>
        <v>Date</v>
      </c>
      <c r="C3161" s="19" t="str">
        <f>IF(ISBLANK(A3161),"Name",IF(ISNA(VLOOKUP(A3161,'Master List'!A:C,2,FALSE)), "Not Found", VLOOKUP(A3161,'Master List'!A:C,2,FALSE)))</f>
        <v>Name</v>
      </c>
      <c r="D3161" s="19" t="str">
        <f>IF(ISBLANK(A3161), "Email",IF(ISNA(VLOOKUP(A3161,'Master List'!A:C,3,FALSE)), "Not Found", VLOOKUP(A3161,'Master List'!A:C,3,FALSE)))</f>
        <v>Email</v>
      </c>
      <c r="F3161" s="4" t="str">
        <f>IF(OR(A3161="",E3161="","",A3161="?",E3161="?"),"duplicate?",IF(COUNTIFS($A:A,A3161,E:E,E3161)&gt;1,"yes","no"))</f>
        <v>duplicate?</v>
      </c>
      <c r="K3161" s="97" t="str">
        <f ca="1">IF(J3161="","Date",IF(J3161&lt;&gt;"",IF(K3161="Date",NOW(),K3161),""))</f>
        <v>Date</v>
      </c>
    </row>
    <row r="3162" spans="2:11">
      <c r="B3162" s="97" t="str">
        <f ca="1">IF(A3162="","Date",IF(A3162&lt;&gt;"",IF(B3162="Date",NOW(),B3162),""))</f>
        <v>Date</v>
      </c>
      <c r="C3162" s="19" t="str">
        <f>IF(ISBLANK(A3162),"Name",IF(ISNA(VLOOKUP(A3162,'Master List'!A:C,2,FALSE)), "Not Found", VLOOKUP(A3162,'Master List'!A:C,2,FALSE)))</f>
        <v>Name</v>
      </c>
      <c r="D3162" s="19" t="str">
        <f>IF(ISBLANK(A3162), "Email",IF(ISNA(VLOOKUP(A3162,'Master List'!A:C,3,FALSE)), "Not Found", VLOOKUP(A3162,'Master List'!A:C,3,FALSE)))</f>
        <v>Email</v>
      </c>
      <c r="F3162" s="4" t="str">
        <f>IF(OR(A3162="",E3162="","",A3162="?",E3162="?"),"duplicate?",IF(COUNTIFS($A:A,A3162,E:E,E3162)&gt;1,"yes","no"))</f>
        <v>duplicate?</v>
      </c>
      <c r="K3162" s="97" t="str">
        <f ca="1">IF(J3162="","Date",IF(J3162&lt;&gt;"",IF(K3162="Date",NOW(),K3162),""))</f>
        <v>Date</v>
      </c>
    </row>
    <row r="3163" spans="2:11">
      <c r="B3163" s="97" t="str">
        <f ca="1">IF(A3163="","Date",IF(A3163&lt;&gt;"",IF(B3163="Date",NOW(),B3163),""))</f>
        <v>Date</v>
      </c>
      <c r="C3163" s="19" t="str">
        <f>IF(ISBLANK(A3163),"Name",IF(ISNA(VLOOKUP(A3163,'Master List'!A:C,2,FALSE)), "Not Found", VLOOKUP(A3163,'Master List'!A:C,2,FALSE)))</f>
        <v>Name</v>
      </c>
      <c r="D3163" s="19" t="str">
        <f>IF(ISBLANK(A3163), "Email",IF(ISNA(VLOOKUP(A3163,'Master List'!A:C,3,FALSE)), "Not Found", VLOOKUP(A3163,'Master List'!A:C,3,FALSE)))</f>
        <v>Email</v>
      </c>
      <c r="F3163" s="4" t="str">
        <f>IF(OR(A3163="",E3163="","",A3163="?",E3163="?"),"duplicate?",IF(COUNTIFS($A:A,A3163,E:E,E3163)&gt;1,"yes","no"))</f>
        <v>duplicate?</v>
      </c>
      <c r="K3163" s="97" t="str">
        <f ca="1">IF(J3163="","Date",IF(J3163&lt;&gt;"",IF(K3163="Date",NOW(),K3163),""))</f>
        <v>Date</v>
      </c>
    </row>
    <row r="3164" spans="2:11">
      <c r="B3164" s="97" t="str">
        <f ca="1">IF(A3164="","Date",IF(A3164&lt;&gt;"",IF(B3164="Date",NOW(),B3164),""))</f>
        <v>Date</v>
      </c>
      <c r="C3164" s="19" t="str">
        <f>IF(ISBLANK(A3164),"Name",IF(ISNA(VLOOKUP(A3164,'Master List'!A:C,2,FALSE)), "Not Found", VLOOKUP(A3164,'Master List'!A:C,2,FALSE)))</f>
        <v>Name</v>
      </c>
      <c r="D3164" s="19" t="str">
        <f>IF(ISBLANK(A3164), "Email",IF(ISNA(VLOOKUP(A3164,'Master List'!A:C,3,FALSE)), "Not Found", VLOOKUP(A3164,'Master List'!A:C,3,FALSE)))</f>
        <v>Email</v>
      </c>
      <c r="F3164" s="4" t="str">
        <f>IF(OR(A3164="",E3164="","",A3164="?",E3164="?"),"duplicate?",IF(COUNTIFS($A:A,A3164,E:E,E3164)&gt;1,"yes","no"))</f>
        <v>duplicate?</v>
      </c>
      <c r="K3164" s="97" t="str">
        <f ca="1">IF(J3164="","Date",IF(J3164&lt;&gt;"",IF(K3164="Date",NOW(),K3164),""))</f>
        <v>Date</v>
      </c>
    </row>
    <row r="3165" spans="2:11">
      <c r="B3165" s="97" t="str">
        <f ca="1">IF(A3165="","Date",IF(A3165&lt;&gt;"",IF(B3165="Date",NOW(),B3165),""))</f>
        <v>Date</v>
      </c>
      <c r="C3165" s="19" t="str">
        <f>IF(ISBLANK(A3165),"Name",IF(ISNA(VLOOKUP(A3165,'Master List'!A:C,2,FALSE)), "Not Found", VLOOKUP(A3165,'Master List'!A:C,2,FALSE)))</f>
        <v>Name</v>
      </c>
      <c r="D3165" s="19" t="str">
        <f>IF(ISBLANK(A3165), "Email",IF(ISNA(VLOOKUP(A3165,'Master List'!A:C,3,FALSE)), "Not Found", VLOOKUP(A3165,'Master List'!A:C,3,FALSE)))</f>
        <v>Email</v>
      </c>
      <c r="F3165" s="4" t="str">
        <f>IF(OR(A3165="",E3165="","",A3165="?",E3165="?"),"duplicate?",IF(COUNTIFS($A:A,A3165,E:E,E3165)&gt;1,"yes","no"))</f>
        <v>duplicate?</v>
      </c>
      <c r="K3165" s="97" t="str">
        <f ca="1">IF(J3165="","Date",IF(J3165&lt;&gt;"",IF(K3165="Date",NOW(),K3165),""))</f>
        <v>Date</v>
      </c>
    </row>
    <row r="3166" spans="2:11">
      <c r="B3166" s="97" t="str">
        <f ca="1">IF(A3166="","Date",IF(A3166&lt;&gt;"",IF(B3166="Date",NOW(),B3166),""))</f>
        <v>Date</v>
      </c>
      <c r="C3166" s="19" t="str">
        <f>IF(ISBLANK(A3166),"Name",IF(ISNA(VLOOKUP(A3166,'Master List'!A:C,2,FALSE)), "Not Found", VLOOKUP(A3166,'Master List'!A:C,2,FALSE)))</f>
        <v>Name</v>
      </c>
      <c r="D3166" s="19" t="str">
        <f>IF(ISBLANK(A3166), "Email",IF(ISNA(VLOOKUP(A3166,'Master List'!A:C,3,FALSE)), "Not Found", VLOOKUP(A3166,'Master List'!A:C,3,FALSE)))</f>
        <v>Email</v>
      </c>
      <c r="F3166" s="4" t="str">
        <f>IF(OR(A3166="",E3166="","",A3166="?",E3166="?"),"duplicate?",IF(COUNTIFS($A:A,A3166,E:E,E3166)&gt;1,"yes","no"))</f>
        <v>duplicate?</v>
      </c>
      <c r="K3166" s="97" t="str">
        <f ca="1">IF(J3166="","Date",IF(J3166&lt;&gt;"",IF(K3166="Date",NOW(),K3166),""))</f>
        <v>Date</v>
      </c>
    </row>
    <row r="3167" spans="2:11">
      <c r="B3167" s="97" t="str">
        <f ca="1">IF(A3167="","Date",IF(A3167&lt;&gt;"",IF(B3167="Date",NOW(),B3167),""))</f>
        <v>Date</v>
      </c>
      <c r="C3167" s="19" t="str">
        <f>IF(ISBLANK(A3167),"Name",IF(ISNA(VLOOKUP(A3167,'Master List'!A:C,2,FALSE)), "Not Found", VLOOKUP(A3167,'Master List'!A:C,2,FALSE)))</f>
        <v>Name</v>
      </c>
      <c r="D3167" s="19" t="str">
        <f>IF(ISBLANK(A3167), "Email",IF(ISNA(VLOOKUP(A3167,'Master List'!A:C,3,FALSE)), "Not Found", VLOOKUP(A3167,'Master List'!A:C,3,FALSE)))</f>
        <v>Email</v>
      </c>
      <c r="F3167" s="4" t="str">
        <f>IF(OR(A3167="",E3167="","",A3167="?",E3167="?"),"duplicate?",IF(COUNTIFS($A:A,A3167,E:E,E3167)&gt;1,"yes","no"))</f>
        <v>duplicate?</v>
      </c>
      <c r="K3167" s="97" t="str">
        <f ca="1">IF(J3167="","Date",IF(J3167&lt;&gt;"",IF(K3167="Date",NOW(),K3167),""))</f>
        <v>Date</v>
      </c>
    </row>
    <row r="3168" spans="2:11">
      <c r="B3168" s="97" t="str">
        <f ca="1">IF(A3168="","Date",IF(A3168&lt;&gt;"",IF(B3168="Date",NOW(),B3168),""))</f>
        <v>Date</v>
      </c>
      <c r="C3168" s="19" t="str">
        <f>IF(ISBLANK(A3168),"Name",IF(ISNA(VLOOKUP(A3168,'Master List'!A:C,2,FALSE)), "Not Found", VLOOKUP(A3168,'Master List'!A:C,2,FALSE)))</f>
        <v>Name</v>
      </c>
      <c r="D3168" s="19" t="str">
        <f>IF(ISBLANK(A3168), "Email",IF(ISNA(VLOOKUP(A3168,'Master List'!A:C,3,FALSE)), "Not Found", VLOOKUP(A3168,'Master List'!A:C,3,FALSE)))</f>
        <v>Email</v>
      </c>
      <c r="F3168" s="4" t="str">
        <f>IF(OR(A3168="",E3168="","",A3168="?",E3168="?"),"duplicate?",IF(COUNTIFS($A:A,A3168,E:E,E3168)&gt;1,"yes","no"))</f>
        <v>duplicate?</v>
      </c>
      <c r="K3168" s="97" t="str">
        <f ca="1">IF(J3168="","Date",IF(J3168&lt;&gt;"",IF(K3168="Date",NOW(),K3168),""))</f>
        <v>Date</v>
      </c>
    </row>
    <row r="3169" spans="2:11">
      <c r="B3169" s="97" t="str">
        <f ca="1">IF(A3169="","Date",IF(A3169&lt;&gt;"",IF(B3169="Date",NOW(),B3169),""))</f>
        <v>Date</v>
      </c>
      <c r="C3169" s="19" t="str">
        <f>IF(ISBLANK(A3169),"Name",IF(ISNA(VLOOKUP(A3169,'Master List'!A:C,2,FALSE)), "Not Found", VLOOKUP(A3169,'Master List'!A:C,2,FALSE)))</f>
        <v>Name</v>
      </c>
      <c r="D3169" s="19" t="str">
        <f>IF(ISBLANK(A3169), "Email",IF(ISNA(VLOOKUP(A3169,'Master List'!A:C,3,FALSE)), "Not Found", VLOOKUP(A3169,'Master List'!A:C,3,FALSE)))</f>
        <v>Email</v>
      </c>
      <c r="F3169" s="4" t="str">
        <f>IF(OR(A3169="",E3169="","",A3169="?",E3169="?"),"duplicate?",IF(COUNTIFS($A:A,A3169,E:E,E3169)&gt;1,"yes","no"))</f>
        <v>duplicate?</v>
      </c>
      <c r="K3169" s="97" t="str">
        <f ca="1">IF(J3169="","Date",IF(J3169&lt;&gt;"",IF(K3169="Date",NOW(),K3169),""))</f>
        <v>Date</v>
      </c>
    </row>
    <row r="3170" spans="2:11">
      <c r="B3170" s="97" t="str">
        <f ca="1">IF(A3170="","Date",IF(A3170&lt;&gt;"",IF(B3170="Date",NOW(),B3170),""))</f>
        <v>Date</v>
      </c>
      <c r="C3170" s="19" t="str">
        <f>IF(ISBLANK(A3170),"Name",IF(ISNA(VLOOKUP(A3170,'Master List'!A:C,2,FALSE)), "Not Found", VLOOKUP(A3170,'Master List'!A:C,2,FALSE)))</f>
        <v>Name</v>
      </c>
      <c r="D3170" s="19" t="str">
        <f>IF(ISBLANK(A3170), "Email",IF(ISNA(VLOOKUP(A3170,'Master List'!A:C,3,FALSE)), "Not Found", VLOOKUP(A3170,'Master List'!A:C,3,FALSE)))</f>
        <v>Email</v>
      </c>
      <c r="F3170" s="4" t="str">
        <f>IF(OR(A3170="",E3170="","",A3170="?",E3170="?"),"duplicate?",IF(COUNTIFS($A:A,A3170,E:E,E3170)&gt;1,"yes","no"))</f>
        <v>duplicate?</v>
      </c>
      <c r="K3170" s="97" t="str">
        <f ca="1">IF(J3170="","Date",IF(J3170&lt;&gt;"",IF(K3170="Date",NOW(),K3170),""))</f>
        <v>Date</v>
      </c>
    </row>
    <row r="3171" spans="2:11">
      <c r="B3171" s="97" t="str">
        <f ca="1">IF(A3171="","Date",IF(A3171&lt;&gt;"",IF(B3171="Date",NOW(),B3171),""))</f>
        <v>Date</v>
      </c>
      <c r="C3171" s="19" t="str">
        <f>IF(ISBLANK(A3171),"Name",IF(ISNA(VLOOKUP(A3171,'Master List'!A:C,2,FALSE)), "Not Found", VLOOKUP(A3171,'Master List'!A:C,2,FALSE)))</f>
        <v>Name</v>
      </c>
      <c r="D3171" s="19" t="str">
        <f>IF(ISBLANK(A3171), "Email",IF(ISNA(VLOOKUP(A3171,'Master List'!A:C,3,FALSE)), "Not Found", VLOOKUP(A3171,'Master List'!A:C,3,FALSE)))</f>
        <v>Email</v>
      </c>
      <c r="F3171" s="4" t="str">
        <f>IF(OR(A3171="",E3171="","",A3171="?",E3171="?"),"duplicate?",IF(COUNTIFS($A:A,A3171,E:E,E3171)&gt;1,"yes","no"))</f>
        <v>duplicate?</v>
      </c>
      <c r="K3171" s="97" t="str">
        <f ca="1">IF(J3171="","Date",IF(J3171&lt;&gt;"",IF(K3171="Date",NOW(),K3171),""))</f>
        <v>Date</v>
      </c>
    </row>
    <row r="3172" spans="2:11">
      <c r="B3172" s="97" t="str">
        <f ca="1">IF(A3172="","Date",IF(A3172&lt;&gt;"",IF(B3172="Date",NOW(),B3172),""))</f>
        <v>Date</v>
      </c>
      <c r="C3172" s="19" t="str">
        <f>IF(ISBLANK(A3172),"Name",IF(ISNA(VLOOKUP(A3172,'Master List'!A:C,2,FALSE)), "Not Found", VLOOKUP(A3172,'Master List'!A:C,2,FALSE)))</f>
        <v>Name</v>
      </c>
      <c r="D3172" s="19" t="str">
        <f>IF(ISBLANK(A3172), "Email",IF(ISNA(VLOOKUP(A3172,'Master List'!A:C,3,FALSE)), "Not Found", VLOOKUP(A3172,'Master List'!A:C,3,FALSE)))</f>
        <v>Email</v>
      </c>
      <c r="F3172" s="4" t="str">
        <f>IF(OR(A3172="",E3172="","",A3172="?",E3172="?"),"duplicate?",IF(COUNTIFS($A:A,A3172,E:E,E3172)&gt;1,"yes","no"))</f>
        <v>duplicate?</v>
      </c>
      <c r="K3172" s="97" t="str">
        <f ca="1">IF(J3172="","Date",IF(J3172&lt;&gt;"",IF(K3172="Date",NOW(),K3172),""))</f>
        <v>Date</v>
      </c>
    </row>
    <row r="3173" spans="2:11">
      <c r="B3173" s="97" t="str">
        <f ca="1">IF(A3173="","Date",IF(A3173&lt;&gt;"",IF(B3173="Date",NOW(),B3173),""))</f>
        <v>Date</v>
      </c>
      <c r="C3173" s="19" t="str">
        <f>IF(ISBLANK(A3173),"Name",IF(ISNA(VLOOKUP(A3173,'Master List'!A:C,2,FALSE)), "Not Found", VLOOKUP(A3173,'Master List'!A:C,2,FALSE)))</f>
        <v>Name</v>
      </c>
      <c r="D3173" s="19" t="str">
        <f>IF(ISBLANK(A3173), "Email",IF(ISNA(VLOOKUP(A3173,'Master List'!A:C,3,FALSE)), "Not Found", VLOOKUP(A3173,'Master List'!A:C,3,FALSE)))</f>
        <v>Email</v>
      </c>
      <c r="F3173" s="4" t="str">
        <f>IF(OR(A3173="",E3173="","",A3173="?",E3173="?"),"duplicate?",IF(COUNTIFS($A:A,A3173,E:E,E3173)&gt;1,"yes","no"))</f>
        <v>duplicate?</v>
      </c>
      <c r="K3173" s="97" t="str">
        <f ca="1">IF(J3173="","Date",IF(J3173&lt;&gt;"",IF(K3173="Date",NOW(),K3173),""))</f>
        <v>Date</v>
      </c>
    </row>
    <row r="3174" spans="2:11">
      <c r="B3174" s="97" t="str">
        <f ca="1">IF(A3174="","Date",IF(A3174&lt;&gt;"",IF(B3174="Date",NOW(),B3174),""))</f>
        <v>Date</v>
      </c>
      <c r="C3174" s="19" t="str">
        <f>IF(ISBLANK(A3174),"Name",IF(ISNA(VLOOKUP(A3174,'Master List'!A:C,2,FALSE)), "Not Found", VLOOKUP(A3174,'Master List'!A:C,2,FALSE)))</f>
        <v>Name</v>
      </c>
      <c r="D3174" s="19" t="str">
        <f>IF(ISBLANK(A3174), "Email",IF(ISNA(VLOOKUP(A3174,'Master List'!A:C,3,FALSE)), "Not Found", VLOOKUP(A3174,'Master List'!A:C,3,FALSE)))</f>
        <v>Email</v>
      </c>
      <c r="F3174" s="4" t="str">
        <f>IF(OR(A3174="",E3174="","",A3174="?",E3174="?"),"duplicate?",IF(COUNTIFS($A:A,A3174,E:E,E3174)&gt;1,"yes","no"))</f>
        <v>duplicate?</v>
      </c>
      <c r="K3174" s="97" t="str">
        <f ca="1">IF(J3174="","Date",IF(J3174&lt;&gt;"",IF(K3174="Date",NOW(),K3174),""))</f>
        <v>Date</v>
      </c>
    </row>
    <row r="3175" spans="2:11">
      <c r="B3175" s="97" t="str">
        <f ca="1">IF(A3175="","Date",IF(A3175&lt;&gt;"",IF(B3175="Date",NOW(),B3175),""))</f>
        <v>Date</v>
      </c>
      <c r="C3175" s="19" t="str">
        <f>IF(ISBLANK(A3175),"Name",IF(ISNA(VLOOKUP(A3175,'Master List'!A:C,2,FALSE)), "Not Found", VLOOKUP(A3175,'Master List'!A:C,2,FALSE)))</f>
        <v>Name</v>
      </c>
      <c r="D3175" s="19" t="str">
        <f>IF(ISBLANK(A3175), "Email",IF(ISNA(VLOOKUP(A3175,'Master List'!A:C,3,FALSE)), "Not Found", VLOOKUP(A3175,'Master List'!A:C,3,FALSE)))</f>
        <v>Email</v>
      </c>
      <c r="F3175" s="4" t="str">
        <f>IF(OR(A3175="",E3175="","",A3175="?",E3175="?"),"duplicate?",IF(COUNTIFS($A:A,A3175,E:E,E3175)&gt;1,"yes","no"))</f>
        <v>duplicate?</v>
      </c>
      <c r="K3175" s="97" t="str">
        <f ca="1">IF(J3175="","Date",IF(J3175&lt;&gt;"",IF(K3175="Date",NOW(),K3175),""))</f>
        <v>Date</v>
      </c>
    </row>
    <row r="3176" spans="2:11">
      <c r="B3176" s="97" t="str">
        <f ca="1">IF(A3176="","Date",IF(A3176&lt;&gt;"",IF(B3176="Date",NOW(),B3176),""))</f>
        <v>Date</v>
      </c>
      <c r="C3176" s="19" t="str">
        <f>IF(ISBLANK(A3176),"Name",IF(ISNA(VLOOKUP(A3176,'Master List'!A:C,2,FALSE)), "Not Found", VLOOKUP(A3176,'Master List'!A:C,2,FALSE)))</f>
        <v>Name</v>
      </c>
      <c r="D3176" s="19" t="str">
        <f>IF(ISBLANK(A3176), "Email",IF(ISNA(VLOOKUP(A3176,'Master List'!A:C,3,FALSE)), "Not Found", VLOOKUP(A3176,'Master List'!A:C,3,FALSE)))</f>
        <v>Email</v>
      </c>
      <c r="F3176" s="4" t="str">
        <f>IF(OR(A3176="",E3176="","",A3176="?",E3176="?"),"duplicate?",IF(COUNTIFS($A:A,A3176,E:E,E3176)&gt;1,"yes","no"))</f>
        <v>duplicate?</v>
      </c>
      <c r="K3176" s="97" t="str">
        <f ca="1">IF(J3176="","Date",IF(J3176&lt;&gt;"",IF(K3176="Date",NOW(),K3176),""))</f>
        <v>Date</v>
      </c>
    </row>
    <row r="3177" spans="2:11">
      <c r="B3177" s="97" t="str">
        <f ca="1">IF(A3177="","Date",IF(A3177&lt;&gt;"",IF(B3177="Date",NOW(),B3177),""))</f>
        <v>Date</v>
      </c>
      <c r="C3177" s="19" t="str">
        <f>IF(ISBLANK(A3177),"Name",IF(ISNA(VLOOKUP(A3177,'Master List'!A:C,2,FALSE)), "Not Found", VLOOKUP(A3177,'Master List'!A:C,2,FALSE)))</f>
        <v>Name</v>
      </c>
      <c r="D3177" s="19" t="str">
        <f>IF(ISBLANK(A3177), "Email",IF(ISNA(VLOOKUP(A3177,'Master List'!A:C,3,FALSE)), "Not Found", VLOOKUP(A3177,'Master List'!A:C,3,FALSE)))</f>
        <v>Email</v>
      </c>
      <c r="F3177" s="4" t="str">
        <f>IF(OR(A3177="",E3177="","",A3177="?",E3177="?"),"duplicate?",IF(COUNTIFS($A:A,A3177,E:E,E3177)&gt;1,"yes","no"))</f>
        <v>duplicate?</v>
      </c>
      <c r="K3177" s="97" t="str">
        <f ca="1">IF(J3177="","Date",IF(J3177&lt;&gt;"",IF(K3177="Date",NOW(),K3177),""))</f>
        <v>Date</v>
      </c>
    </row>
    <row r="3178" spans="2:11">
      <c r="B3178" s="97" t="str">
        <f ca="1">IF(A3178="","Date",IF(A3178&lt;&gt;"",IF(B3178="Date",NOW(),B3178),""))</f>
        <v>Date</v>
      </c>
      <c r="C3178" s="19" t="str">
        <f>IF(ISBLANK(A3178),"Name",IF(ISNA(VLOOKUP(A3178,'Master List'!A:C,2,FALSE)), "Not Found", VLOOKUP(A3178,'Master List'!A:C,2,FALSE)))</f>
        <v>Name</v>
      </c>
      <c r="D3178" s="19" t="str">
        <f>IF(ISBLANK(A3178), "Email",IF(ISNA(VLOOKUP(A3178,'Master List'!A:C,3,FALSE)), "Not Found", VLOOKUP(A3178,'Master List'!A:C,3,FALSE)))</f>
        <v>Email</v>
      </c>
      <c r="F3178" s="4" t="str">
        <f>IF(OR(A3178="",E3178="","",A3178="?",E3178="?"),"duplicate?",IF(COUNTIFS($A:A,A3178,E:E,E3178)&gt;1,"yes","no"))</f>
        <v>duplicate?</v>
      </c>
      <c r="K3178" s="97" t="str">
        <f ca="1">IF(J3178="","Date",IF(J3178&lt;&gt;"",IF(K3178="Date",NOW(),K3178),""))</f>
        <v>Date</v>
      </c>
    </row>
    <row r="3179" spans="2:11">
      <c r="B3179" s="97" t="str">
        <f ca="1">IF(A3179="","Date",IF(A3179&lt;&gt;"",IF(B3179="Date",NOW(),B3179),""))</f>
        <v>Date</v>
      </c>
      <c r="C3179" s="19" t="str">
        <f>IF(ISBLANK(A3179),"Name",IF(ISNA(VLOOKUP(A3179,'Master List'!A:C,2,FALSE)), "Not Found", VLOOKUP(A3179,'Master List'!A:C,2,FALSE)))</f>
        <v>Name</v>
      </c>
      <c r="D3179" s="19" t="str">
        <f>IF(ISBLANK(A3179), "Email",IF(ISNA(VLOOKUP(A3179,'Master List'!A:C,3,FALSE)), "Not Found", VLOOKUP(A3179,'Master List'!A:C,3,FALSE)))</f>
        <v>Email</v>
      </c>
      <c r="F3179" s="4" t="str">
        <f>IF(OR(A3179="",E3179="","",A3179="?",E3179="?"),"duplicate?",IF(COUNTIFS($A:A,A3179,E:E,E3179)&gt;1,"yes","no"))</f>
        <v>duplicate?</v>
      </c>
      <c r="K3179" s="97" t="str">
        <f ca="1">IF(J3179="","Date",IF(J3179&lt;&gt;"",IF(K3179="Date",NOW(),K3179),""))</f>
        <v>Date</v>
      </c>
    </row>
    <row r="3180" spans="2:11">
      <c r="B3180" s="97" t="str">
        <f ca="1">IF(A3180="","Date",IF(A3180&lt;&gt;"",IF(B3180="Date",NOW(),B3180),""))</f>
        <v>Date</v>
      </c>
      <c r="C3180" s="19" t="str">
        <f>IF(ISBLANK(A3180),"Name",IF(ISNA(VLOOKUP(A3180,'Master List'!A:C,2,FALSE)), "Not Found", VLOOKUP(A3180,'Master List'!A:C,2,FALSE)))</f>
        <v>Name</v>
      </c>
      <c r="D3180" s="19" t="str">
        <f>IF(ISBLANK(A3180), "Email",IF(ISNA(VLOOKUP(A3180,'Master List'!A:C,3,FALSE)), "Not Found", VLOOKUP(A3180,'Master List'!A:C,3,FALSE)))</f>
        <v>Email</v>
      </c>
      <c r="F3180" s="4" t="str">
        <f>IF(OR(A3180="",E3180="","",A3180="?",E3180="?"),"duplicate?",IF(COUNTIFS($A:A,A3180,E:E,E3180)&gt;1,"yes","no"))</f>
        <v>duplicate?</v>
      </c>
      <c r="K3180" s="97" t="str">
        <f ca="1">IF(J3180="","Date",IF(J3180&lt;&gt;"",IF(K3180="Date",NOW(),K3180),""))</f>
        <v>Date</v>
      </c>
    </row>
    <row r="3181" spans="2:11">
      <c r="B3181" s="97" t="str">
        <f ca="1">IF(A3181="","Date",IF(A3181&lt;&gt;"",IF(B3181="Date",NOW(),B3181),""))</f>
        <v>Date</v>
      </c>
      <c r="C3181" s="19" t="str">
        <f>IF(ISBLANK(A3181),"Name",IF(ISNA(VLOOKUP(A3181,'Master List'!A:C,2,FALSE)), "Not Found", VLOOKUP(A3181,'Master List'!A:C,2,FALSE)))</f>
        <v>Name</v>
      </c>
      <c r="D3181" s="19" t="str">
        <f>IF(ISBLANK(A3181), "Email",IF(ISNA(VLOOKUP(A3181,'Master List'!A:C,3,FALSE)), "Not Found", VLOOKUP(A3181,'Master List'!A:C,3,FALSE)))</f>
        <v>Email</v>
      </c>
      <c r="F3181" s="4" t="str">
        <f>IF(OR(A3181="",E3181="","",A3181="?",E3181="?"),"duplicate?",IF(COUNTIFS($A:A,A3181,E:E,E3181)&gt;1,"yes","no"))</f>
        <v>duplicate?</v>
      </c>
      <c r="K3181" s="97" t="str">
        <f ca="1">IF(J3181="","Date",IF(J3181&lt;&gt;"",IF(K3181="Date",NOW(),K3181),""))</f>
        <v>Date</v>
      </c>
    </row>
    <row r="3182" spans="2:11">
      <c r="B3182" s="97" t="str">
        <f ca="1">IF(A3182="","Date",IF(A3182&lt;&gt;"",IF(B3182="Date",NOW(),B3182),""))</f>
        <v>Date</v>
      </c>
      <c r="C3182" s="19" t="str">
        <f>IF(ISBLANK(A3182),"Name",IF(ISNA(VLOOKUP(A3182,'Master List'!A:C,2,FALSE)), "Not Found", VLOOKUP(A3182,'Master List'!A:C,2,FALSE)))</f>
        <v>Name</v>
      </c>
      <c r="D3182" s="19" t="str">
        <f>IF(ISBLANK(A3182), "Email",IF(ISNA(VLOOKUP(A3182,'Master List'!A:C,3,FALSE)), "Not Found", VLOOKUP(A3182,'Master List'!A:C,3,FALSE)))</f>
        <v>Email</v>
      </c>
      <c r="F3182" s="4" t="str">
        <f>IF(OR(A3182="",E3182="","",A3182="?",E3182="?"),"duplicate?",IF(COUNTIFS($A:A,A3182,E:E,E3182)&gt;1,"yes","no"))</f>
        <v>duplicate?</v>
      </c>
      <c r="K3182" s="97" t="str">
        <f ca="1">IF(J3182="","Date",IF(J3182&lt;&gt;"",IF(K3182="Date",NOW(),K3182),""))</f>
        <v>Date</v>
      </c>
    </row>
    <row r="3183" spans="2:11">
      <c r="B3183" s="97" t="str">
        <f ca="1">IF(A3183="","Date",IF(A3183&lt;&gt;"",IF(B3183="Date",NOW(),B3183),""))</f>
        <v>Date</v>
      </c>
      <c r="C3183" s="19" t="str">
        <f>IF(ISBLANK(A3183),"Name",IF(ISNA(VLOOKUP(A3183,'Master List'!A:C,2,FALSE)), "Not Found", VLOOKUP(A3183,'Master List'!A:C,2,FALSE)))</f>
        <v>Name</v>
      </c>
      <c r="D3183" s="19" t="str">
        <f>IF(ISBLANK(A3183), "Email",IF(ISNA(VLOOKUP(A3183,'Master List'!A:C,3,FALSE)), "Not Found", VLOOKUP(A3183,'Master List'!A:C,3,FALSE)))</f>
        <v>Email</v>
      </c>
      <c r="F3183" s="4" t="str">
        <f>IF(OR(A3183="",E3183="","",A3183="?",E3183="?"),"duplicate?",IF(COUNTIFS($A:A,A3183,E:E,E3183)&gt;1,"yes","no"))</f>
        <v>duplicate?</v>
      </c>
      <c r="K3183" s="97" t="str">
        <f ca="1">IF(J3183="","Date",IF(J3183&lt;&gt;"",IF(K3183="Date",NOW(),K3183),""))</f>
        <v>Date</v>
      </c>
    </row>
    <row r="3184" spans="2:11">
      <c r="B3184" s="97" t="str">
        <f ca="1">IF(A3184="","Date",IF(A3184&lt;&gt;"",IF(B3184="Date",NOW(),B3184),""))</f>
        <v>Date</v>
      </c>
      <c r="C3184" s="19" t="str">
        <f>IF(ISBLANK(A3184),"Name",IF(ISNA(VLOOKUP(A3184,'Master List'!A:C,2,FALSE)), "Not Found", VLOOKUP(A3184,'Master List'!A:C,2,FALSE)))</f>
        <v>Name</v>
      </c>
      <c r="D3184" s="19" t="str">
        <f>IF(ISBLANK(A3184), "Email",IF(ISNA(VLOOKUP(A3184,'Master List'!A:C,3,FALSE)), "Not Found", VLOOKUP(A3184,'Master List'!A:C,3,FALSE)))</f>
        <v>Email</v>
      </c>
      <c r="F3184" s="4" t="str">
        <f>IF(OR(A3184="",E3184="","",A3184="?",E3184="?"),"duplicate?",IF(COUNTIFS($A:A,A3184,E:E,E3184)&gt;1,"yes","no"))</f>
        <v>duplicate?</v>
      </c>
      <c r="K3184" s="97" t="str">
        <f ca="1">IF(J3184="","Date",IF(J3184&lt;&gt;"",IF(K3184="Date",NOW(),K3184),""))</f>
        <v>Date</v>
      </c>
    </row>
    <row r="3185" spans="2:11">
      <c r="B3185" s="97" t="str">
        <f ca="1">IF(A3185="","Date",IF(A3185&lt;&gt;"",IF(B3185="Date",NOW(),B3185),""))</f>
        <v>Date</v>
      </c>
      <c r="C3185" s="19" t="str">
        <f>IF(ISBLANK(A3185),"Name",IF(ISNA(VLOOKUP(A3185,'Master List'!A:C,2,FALSE)), "Not Found", VLOOKUP(A3185,'Master List'!A:C,2,FALSE)))</f>
        <v>Name</v>
      </c>
      <c r="D3185" s="19" t="str">
        <f>IF(ISBLANK(A3185), "Email",IF(ISNA(VLOOKUP(A3185,'Master List'!A:C,3,FALSE)), "Not Found", VLOOKUP(A3185,'Master List'!A:C,3,FALSE)))</f>
        <v>Email</v>
      </c>
      <c r="F3185" s="4" t="str">
        <f>IF(OR(A3185="",E3185="","",A3185="?",E3185="?"),"duplicate?",IF(COUNTIFS($A:A,A3185,E:E,E3185)&gt;1,"yes","no"))</f>
        <v>duplicate?</v>
      </c>
      <c r="K3185" s="97" t="str">
        <f ca="1">IF(J3185="","Date",IF(J3185&lt;&gt;"",IF(K3185="Date",NOW(),K3185),""))</f>
        <v>Date</v>
      </c>
    </row>
    <row r="3186" spans="2:11">
      <c r="B3186" s="97" t="str">
        <f ca="1">IF(A3186="","Date",IF(A3186&lt;&gt;"",IF(B3186="Date",NOW(),B3186),""))</f>
        <v>Date</v>
      </c>
      <c r="C3186" s="19" t="str">
        <f>IF(ISBLANK(A3186),"Name",IF(ISNA(VLOOKUP(A3186,'Master List'!A:C,2,FALSE)), "Not Found", VLOOKUP(A3186,'Master List'!A:C,2,FALSE)))</f>
        <v>Name</v>
      </c>
      <c r="D3186" s="19" t="str">
        <f>IF(ISBLANK(A3186), "Email",IF(ISNA(VLOOKUP(A3186,'Master List'!A:C,3,FALSE)), "Not Found", VLOOKUP(A3186,'Master List'!A:C,3,FALSE)))</f>
        <v>Email</v>
      </c>
      <c r="F3186" s="4" t="str">
        <f>IF(OR(A3186="",E3186="","",A3186="?",E3186="?"),"duplicate?",IF(COUNTIFS($A:A,A3186,E:E,E3186)&gt;1,"yes","no"))</f>
        <v>duplicate?</v>
      </c>
      <c r="K3186" s="97" t="str">
        <f ca="1">IF(J3186="","Date",IF(J3186&lt;&gt;"",IF(K3186="Date",NOW(),K3186),""))</f>
        <v>Date</v>
      </c>
    </row>
    <row r="3187" spans="2:11">
      <c r="B3187" s="97" t="str">
        <f ca="1">IF(A3187="","Date",IF(A3187&lt;&gt;"",IF(B3187="Date",NOW(),B3187),""))</f>
        <v>Date</v>
      </c>
      <c r="C3187" s="19" t="str">
        <f>IF(ISBLANK(A3187),"Name",IF(ISNA(VLOOKUP(A3187,'Master List'!A:C,2,FALSE)), "Not Found", VLOOKUP(A3187,'Master List'!A:C,2,FALSE)))</f>
        <v>Name</v>
      </c>
      <c r="D3187" s="19" t="str">
        <f>IF(ISBLANK(A3187), "Email",IF(ISNA(VLOOKUP(A3187,'Master List'!A:C,3,FALSE)), "Not Found", VLOOKUP(A3187,'Master List'!A:C,3,FALSE)))</f>
        <v>Email</v>
      </c>
      <c r="F3187" s="4" t="str">
        <f>IF(OR(A3187="",E3187="","",A3187="?",E3187="?"),"duplicate?",IF(COUNTIFS($A:A,A3187,E:E,E3187)&gt;1,"yes","no"))</f>
        <v>duplicate?</v>
      </c>
      <c r="K3187" s="97" t="str">
        <f ca="1">IF(J3187="","Date",IF(J3187&lt;&gt;"",IF(K3187="Date",NOW(),K3187),""))</f>
        <v>Date</v>
      </c>
    </row>
    <row r="3188" spans="2:11">
      <c r="B3188" s="97" t="str">
        <f ca="1">IF(A3188="","Date",IF(A3188&lt;&gt;"",IF(B3188="Date",NOW(),B3188),""))</f>
        <v>Date</v>
      </c>
      <c r="C3188" s="19" t="str">
        <f>IF(ISBLANK(A3188),"Name",IF(ISNA(VLOOKUP(A3188,'Master List'!A:C,2,FALSE)), "Not Found", VLOOKUP(A3188,'Master List'!A:C,2,FALSE)))</f>
        <v>Name</v>
      </c>
      <c r="D3188" s="19" t="str">
        <f>IF(ISBLANK(A3188), "Email",IF(ISNA(VLOOKUP(A3188,'Master List'!A:C,3,FALSE)), "Not Found", VLOOKUP(A3188,'Master List'!A:C,3,FALSE)))</f>
        <v>Email</v>
      </c>
      <c r="F3188" s="4" t="str">
        <f>IF(OR(A3188="",E3188="","",A3188="?",E3188="?"),"duplicate?",IF(COUNTIFS($A:A,A3188,E:E,E3188)&gt;1,"yes","no"))</f>
        <v>duplicate?</v>
      </c>
      <c r="K3188" s="97" t="str">
        <f ca="1">IF(J3188="","Date",IF(J3188&lt;&gt;"",IF(K3188="Date",NOW(),K3188),""))</f>
        <v>Date</v>
      </c>
    </row>
    <row r="3189" spans="2:11">
      <c r="B3189" s="97" t="str">
        <f ca="1">IF(A3189="","Date",IF(A3189&lt;&gt;"",IF(B3189="Date",NOW(),B3189),""))</f>
        <v>Date</v>
      </c>
      <c r="C3189" s="19" t="str">
        <f>IF(ISBLANK(A3189),"Name",IF(ISNA(VLOOKUP(A3189,'Master List'!A:C,2,FALSE)), "Not Found", VLOOKUP(A3189,'Master List'!A:C,2,FALSE)))</f>
        <v>Name</v>
      </c>
      <c r="D3189" s="19" t="str">
        <f>IF(ISBLANK(A3189), "Email",IF(ISNA(VLOOKUP(A3189,'Master List'!A:C,3,FALSE)), "Not Found", VLOOKUP(A3189,'Master List'!A:C,3,FALSE)))</f>
        <v>Email</v>
      </c>
      <c r="F3189" s="4" t="str">
        <f>IF(OR(A3189="",E3189="","",A3189="?",E3189="?"),"duplicate?",IF(COUNTIFS($A:A,A3189,E:E,E3189)&gt;1,"yes","no"))</f>
        <v>duplicate?</v>
      </c>
      <c r="K3189" s="97" t="str">
        <f ca="1">IF(J3189="","Date",IF(J3189&lt;&gt;"",IF(K3189="Date",NOW(),K3189),""))</f>
        <v>Date</v>
      </c>
    </row>
    <row r="3190" spans="2:11">
      <c r="B3190" s="97" t="str">
        <f ca="1">IF(A3190="","Date",IF(A3190&lt;&gt;"",IF(B3190="Date",NOW(),B3190),""))</f>
        <v>Date</v>
      </c>
      <c r="C3190" s="19" t="str">
        <f>IF(ISBLANK(A3190),"Name",IF(ISNA(VLOOKUP(A3190,'Master List'!A:C,2,FALSE)), "Not Found", VLOOKUP(A3190,'Master List'!A:C,2,FALSE)))</f>
        <v>Name</v>
      </c>
      <c r="D3190" s="19" t="str">
        <f>IF(ISBLANK(A3190), "Email",IF(ISNA(VLOOKUP(A3190,'Master List'!A:C,3,FALSE)), "Not Found", VLOOKUP(A3190,'Master List'!A:C,3,FALSE)))</f>
        <v>Email</v>
      </c>
      <c r="F3190" s="4" t="str">
        <f>IF(OR(A3190="",E3190="","",A3190="?",E3190="?"),"duplicate?",IF(COUNTIFS($A:A,A3190,E:E,E3190)&gt;1,"yes","no"))</f>
        <v>duplicate?</v>
      </c>
      <c r="K3190" s="97" t="str">
        <f ca="1">IF(J3190="","Date",IF(J3190&lt;&gt;"",IF(K3190="Date",NOW(),K3190),""))</f>
        <v>Date</v>
      </c>
    </row>
    <row r="3191" spans="2:11">
      <c r="B3191" s="97" t="str">
        <f ca="1">IF(A3191="","Date",IF(A3191&lt;&gt;"",IF(B3191="Date",NOW(),B3191),""))</f>
        <v>Date</v>
      </c>
      <c r="C3191" s="19" t="str">
        <f>IF(ISBLANK(A3191),"Name",IF(ISNA(VLOOKUP(A3191,'Master List'!A:C,2,FALSE)), "Not Found", VLOOKUP(A3191,'Master List'!A:C,2,FALSE)))</f>
        <v>Name</v>
      </c>
      <c r="D3191" s="19" t="str">
        <f>IF(ISBLANK(A3191), "Email",IF(ISNA(VLOOKUP(A3191,'Master List'!A:C,3,FALSE)), "Not Found", VLOOKUP(A3191,'Master List'!A:C,3,FALSE)))</f>
        <v>Email</v>
      </c>
      <c r="F3191" s="4" t="str">
        <f>IF(OR(A3191="",E3191="","",A3191="?",E3191="?"),"duplicate?",IF(COUNTIFS($A:A,A3191,E:E,E3191)&gt;1,"yes","no"))</f>
        <v>duplicate?</v>
      </c>
      <c r="K3191" s="97" t="str">
        <f ca="1">IF(J3191="","Date",IF(J3191&lt;&gt;"",IF(K3191="Date",NOW(),K3191),""))</f>
        <v>Date</v>
      </c>
    </row>
    <row r="3192" spans="2:11">
      <c r="B3192" s="97" t="str">
        <f ca="1">IF(A3192="","Date",IF(A3192&lt;&gt;"",IF(B3192="Date",NOW(),B3192),""))</f>
        <v>Date</v>
      </c>
      <c r="C3192" s="19" t="str">
        <f>IF(ISBLANK(A3192),"Name",IF(ISNA(VLOOKUP(A3192,'Master List'!A:C,2,FALSE)), "Not Found", VLOOKUP(A3192,'Master List'!A:C,2,FALSE)))</f>
        <v>Name</v>
      </c>
      <c r="D3192" s="19" t="str">
        <f>IF(ISBLANK(A3192), "Email",IF(ISNA(VLOOKUP(A3192,'Master List'!A:C,3,FALSE)), "Not Found", VLOOKUP(A3192,'Master List'!A:C,3,FALSE)))</f>
        <v>Email</v>
      </c>
      <c r="F3192" s="4" t="str">
        <f>IF(OR(A3192="",E3192="","",A3192="?",E3192="?"),"duplicate?",IF(COUNTIFS($A:A,A3192,E:E,E3192)&gt;1,"yes","no"))</f>
        <v>duplicate?</v>
      </c>
      <c r="K3192" s="97" t="str">
        <f ca="1">IF(J3192="","Date",IF(J3192&lt;&gt;"",IF(K3192="Date",NOW(),K3192),""))</f>
        <v>Date</v>
      </c>
    </row>
    <row r="3193" spans="2:11">
      <c r="B3193" s="97" t="str">
        <f ca="1">IF(A3193="","Date",IF(A3193&lt;&gt;"",IF(B3193="Date",NOW(),B3193),""))</f>
        <v>Date</v>
      </c>
      <c r="C3193" s="19" t="str">
        <f>IF(ISBLANK(A3193),"Name",IF(ISNA(VLOOKUP(A3193,'Master List'!A:C,2,FALSE)), "Not Found", VLOOKUP(A3193,'Master List'!A:C,2,FALSE)))</f>
        <v>Name</v>
      </c>
      <c r="D3193" s="19" t="str">
        <f>IF(ISBLANK(A3193), "Email",IF(ISNA(VLOOKUP(A3193,'Master List'!A:C,3,FALSE)), "Not Found", VLOOKUP(A3193,'Master List'!A:C,3,FALSE)))</f>
        <v>Email</v>
      </c>
      <c r="F3193" s="4" t="str">
        <f>IF(OR(A3193="",E3193="","",A3193="?",E3193="?"),"duplicate?",IF(COUNTIFS($A:A,A3193,E:E,E3193)&gt;1,"yes","no"))</f>
        <v>duplicate?</v>
      </c>
      <c r="K3193" s="97" t="str">
        <f ca="1">IF(J3193="","Date",IF(J3193&lt;&gt;"",IF(K3193="Date",NOW(),K3193),""))</f>
        <v>Date</v>
      </c>
    </row>
    <row r="3194" spans="2:11">
      <c r="B3194" s="97" t="str">
        <f ca="1">IF(A3194="","Date",IF(A3194&lt;&gt;"",IF(B3194="Date",NOW(),B3194),""))</f>
        <v>Date</v>
      </c>
      <c r="C3194" s="19" t="str">
        <f>IF(ISBLANK(A3194),"Name",IF(ISNA(VLOOKUP(A3194,'Master List'!A:C,2,FALSE)), "Not Found", VLOOKUP(A3194,'Master List'!A:C,2,FALSE)))</f>
        <v>Name</v>
      </c>
      <c r="D3194" s="19" t="str">
        <f>IF(ISBLANK(A3194), "Email",IF(ISNA(VLOOKUP(A3194,'Master List'!A:C,3,FALSE)), "Not Found", VLOOKUP(A3194,'Master List'!A:C,3,FALSE)))</f>
        <v>Email</v>
      </c>
      <c r="F3194" s="4" t="str">
        <f>IF(OR(A3194="",E3194="","",A3194="?",E3194="?"),"duplicate?",IF(COUNTIFS($A:A,A3194,E:E,E3194)&gt;1,"yes","no"))</f>
        <v>duplicate?</v>
      </c>
      <c r="K3194" s="97" t="str">
        <f ca="1">IF(J3194="","Date",IF(J3194&lt;&gt;"",IF(K3194="Date",NOW(),K3194),""))</f>
        <v>Date</v>
      </c>
    </row>
    <row r="3195" spans="2:11">
      <c r="B3195" s="97" t="str">
        <f ca="1">IF(A3195="","Date",IF(A3195&lt;&gt;"",IF(B3195="Date",NOW(),B3195),""))</f>
        <v>Date</v>
      </c>
      <c r="C3195" s="19" t="str">
        <f>IF(ISBLANK(A3195),"Name",IF(ISNA(VLOOKUP(A3195,'Master List'!A:C,2,FALSE)), "Not Found", VLOOKUP(A3195,'Master List'!A:C,2,FALSE)))</f>
        <v>Name</v>
      </c>
      <c r="D3195" s="19" t="str">
        <f>IF(ISBLANK(A3195), "Email",IF(ISNA(VLOOKUP(A3195,'Master List'!A:C,3,FALSE)), "Not Found", VLOOKUP(A3195,'Master List'!A:C,3,FALSE)))</f>
        <v>Email</v>
      </c>
      <c r="F3195" s="4" t="str">
        <f>IF(OR(A3195="",E3195="","",A3195="?",E3195="?"),"duplicate?",IF(COUNTIFS($A:A,A3195,E:E,E3195)&gt;1,"yes","no"))</f>
        <v>duplicate?</v>
      </c>
      <c r="K3195" s="97" t="str">
        <f ca="1">IF(J3195="","Date",IF(J3195&lt;&gt;"",IF(K3195="Date",NOW(),K3195),""))</f>
        <v>Date</v>
      </c>
    </row>
    <row r="3196" spans="2:11">
      <c r="B3196" s="97" t="str">
        <f ca="1">IF(A3196="","Date",IF(A3196&lt;&gt;"",IF(B3196="Date",NOW(),B3196),""))</f>
        <v>Date</v>
      </c>
      <c r="C3196" s="19" t="str">
        <f>IF(ISBLANK(A3196),"Name",IF(ISNA(VLOOKUP(A3196,'Master List'!A:C,2,FALSE)), "Not Found", VLOOKUP(A3196,'Master List'!A:C,2,FALSE)))</f>
        <v>Name</v>
      </c>
      <c r="D3196" s="19" t="str">
        <f>IF(ISBLANK(A3196), "Email",IF(ISNA(VLOOKUP(A3196,'Master List'!A:C,3,FALSE)), "Not Found", VLOOKUP(A3196,'Master List'!A:C,3,FALSE)))</f>
        <v>Email</v>
      </c>
      <c r="F3196" s="4" t="str">
        <f>IF(OR(A3196="",E3196="","",A3196="?",E3196="?"),"duplicate?",IF(COUNTIFS($A:A,A3196,E:E,E3196)&gt;1,"yes","no"))</f>
        <v>duplicate?</v>
      </c>
      <c r="K3196" s="97" t="str">
        <f ca="1">IF(J3196="","Date",IF(J3196&lt;&gt;"",IF(K3196="Date",NOW(),K3196),""))</f>
        <v>Date</v>
      </c>
    </row>
    <row r="3197" spans="2:11">
      <c r="B3197" s="97" t="str">
        <f ca="1">IF(A3197="","Date",IF(A3197&lt;&gt;"",IF(B3197="Date",NOW(),B3197),""))</f>
        <v>Date</v>
      </c>
      <c r="C3197" s="19" t="str">
        <f>IF(ISBLANK(A3197),"Name",IF(ISNA(VLOOKUP(A3197,'Master List'!A:C,2,FALSE)), "Not Found", VLOOKUP(A3197,'Master List'!A:C,2,FALSE)))</f>
        <v>Name</v>
      </c>
      <c r="D3197" s="19" t="str">
        <f>IF(ISBLANK(A3197), "Email",IF(ISNA(VLOOKUP(A3197,'Master List'!A:C,3,FALSE)), "Not Found", VLOOKUP(A3197,'Master List'!A:C,3,FALSE)))</f>
        <v>Email</v>
      </c>
      <c r="F3197" s="4" t="str">
        <f>IF(OR(A3197="",E3197="","",A3197="?",E3197="?"),"duplicate?",IF(COUNTIFS($A:A,A3197,E:E,E3197)&gt;1,"yes","no"))</f>
        <v>duplicate?</v>
      </c>
      <c r="K3197" s="97" t="str">
        <f ca="1">IF(J3197="","Date",IF(J3197&lt;&gt;"",IF(K3197="Date",NOW(),K3197),""))</f>
        <v>Date</v>
      </c>
    </row>
    <row r="3198" spans="2:11">
      <c r="B3198" s="97" t="str">
        <f ca="1">IF(A3198="","Date",IF(A3198&lt;&gt;"",IF(B3198="Date",NOW(),B3198),""))</f>
        <v>Date</v>
      </c>
      <c r="C3198" s="19" t="str">
        <f>IF(ISBLANK(A3198),"Name",IF(ISNA(VLOOKUP(A3198,'Master List'!A:C,2,FALSE)), "Not Found", VLOOKUP(A3198,'Master List'!A:C,2,FALSE)))</f>
        <v>Name</v>
      </c>
      <c r="D3198" s="19" t="str">
        <f>IF(ISBLANK(A3198), "Email",IF(ISNA(VLOOKUP(A3198,'Master List'!A:C,3,FALSE)), "Not Found", VLOOKUP(A3198,'Master List'!A:C,3,FALSE)))</f>
        <v>Email</v>
      </c>
      <c r="F3198" s="4" t="str">
        <f>IF(OR(A3198="",E3198="","",A3198="?",E3198="?"),"duplicate?",IF(COUNTIFS($A:A,A3198,E:E,E3198)&gt;1,"yes","no"))</f>
        <v>duplicate?</v>
      </c>
      <c r="K3198" s="97" t="str">
        <f ca="1">IF(J3198="","Date",IF(J3198&lt;&gt;"",IF(K3198="Date",NOW(),K3198),""))</f>
        <v>Date</v>
      </c>
    </row>
    <row r="3199" spans="2:11">
      <c r="B3199" s="97" t="str">
        <f ca="1">IF(A3199="","Date",IF(A3199&lt;&gt;"",IF(B3199="Date",NOW(),B3199),""))</f>
        <v>Date</v>
      </c>
      <c r="C3199" s="19" t="str">
        <f>IF(ISBLANK(A3199),"Name",IF(ISNA(VLOOKUP(A3199,'Master List'!A:C,2,FALSE)), "Not Found", VLOOKUP(A3199,'Master List'!A:C,2,FALSE)))</f>
        <v>Name</v>
      </c>
      <c r="D3199" s="19" t="str">
        <f>IF(ISBLANK(A3199), "Email",IF(ISNA(VLOOKUP(A3199,'Master List'!A:C,3,FALSE)), "Not Found", VLOOKUP(A3199,'Master List'!A:C,3,FALSE)))</f>
        <v>Email</v>
      </c>
      <c r="F3199" s="4" t="str">
        <f>IF(OR(A3199="",E3199="","",A3199="?",E3199="?"),"duplicate?",IF(COUNTIFS($A:A,A3199,E:E,E3199)&gt;1,"yes","no"))</f>
        <v>duplicate?</v>
      </c>
      <c r="K3199" s="97" t="str">
        <f ca="1">IF(J3199="","Date",IF(J3199&lt;&gt;"",IF(K3199="Date",NOW(),K3199),""))</f>
        <v>Date</v>
      </c>
    </row>
    <row r="3200" spans="2:11">
      <c r="B3200" s="97" t="str">
        <f ca="1">IF(A3200="","Date",IF(A3200&lt;&gt;"",IF(B3200="Date",NOW(),B3200),""))</f>
        <v>Date</v>
      </c>
      <c r="C3200" s="19" t="str">
        <f>IF(ISBLANK(A3200),"Name",IF(ISNA(VLOOKUP(A3200,'Master List'!A:C,2,FALSE)), "Not Found", VLOOKUP(A3200,'Master List'!A:C,2,FALSE)))</f>
        <v>Name</v>
      </c>
      <c r="D3200" s="19" t="str">
        <f>IF(ISBLANK(A3200), "Email",IF(ISNA(VLOOKUP(A3200,'Master List'!A:C,3,FALSE)), "Not Found", VLOOKUP(A3200,'Master List'!A:C,3,FALSE)))</f>
        <v>Email</v>
      </c>
      <c r="F3200" s="4" t="str">
        <f>IF(OR(A3200="",E3200="","",A3200="?",E3200="?"),"duplicate?",IF(COUNTIFS($A:A,A3200,E:E,E3200)&gt;1,"yes","no"))</f>
        <v>duplicate?</v>
      </c>
      <c r="K3200" s="97" t="str">
        <f ca="1">IF(J3200="","Date",IF(J3200&lt;&gt;"",IF(K3200="Date",NOW(),K3200),""))</f>
        <v>Date</v>
      </c>
    </row>
    <row r="3201" spans="2:11">
      <c r="B3201" s="97" t="str">
        <f ca="1">IF(A3201="","Date",IF(A3201&lt;&gt;"",IF(B3201="Date",NOW(),B3201),""))</f>
        <v>Date</v>
      </c>
      <c r="C3201" s="19" t="str">
        <f>IF(ISBLANK(A3201),"Name",IF(ISNA(VLOOKUP(A3201,'Master List'!A:C,2,FALSE)), "Not Found", VLOOKUP(A3201,'Master List'!A:C,2,FALSE)))</f>
        <v>Name</v>
      </c>
      <c r="D3201" s="19" t="str">
        <f>IF(ISBLANK(A3201), "Email",IF(ISNA(VLOOKUP(A3201,'Master List'!A:C,3,FALSE)), "Not Found", VLOOKUP(A3201,'Master List'!A:C,3,FALSE)))</f>
        <v>Email</v>
      </c>
      <c r="F3201" s="4" t="str">
        <f>IF(OR(A3201="",E3201="","",A3201="?",E3201="?"),"duplicate?",IF(COUNTIFS($A:A,A3201,E:E,E3201)&gt;1,"yes","no"))</f>
        <v>duplicate?</v>
      </c>
      <c r="K3201" s="97" t="str">
        <f ca="1">IF(J3201="","Date",IF(J3201&lt;&gt;"",IF(K3201="Date",NOW(),K3201),""))</f>
        <v>Date</v>
      </c>
    </row>
    <row r="3202" spans="2:11">
      <c r="B3202" s="97" t="str">
        <f ca="1">IF(A3202="","Date",IF(A3202&lt;&gt;"",IF(B3202="Date",NOW(),B3202),""))</f>
        <v>Date</v>
      </c>
      <c r="C3202" s="19" t="str">
        <f>IF(ISBLANK(A3202),"Name",IF(ISNA(VLOOKUP(A3202,'Master List'!A:C,2,FALSE)), "Not Found", VLOOKUP(A3202,'Master List'!A:C,2,FALSE)))</f>
        <v>Name</v>
      </c>
      <c r="D3202" s="19" t="str">
        <f>IF(ISBLANK(A3202), "Email",IF(ISNA(VLOOKUP(A3202,'Master List'!A:C,3,FALSE)), "Not Found", VLOOKUP(A3202,'Master List'!A:C,3,FALSE)))</f>
        <v>Email</v>
      </c>
      <c r="F3202" s="4" t="str">
        <f>IF(OR(A3202="",E3202="","",A3202="?",E3202="?"),"duplicate?",IF(COUNTIFS($A:A,A3202,E:E,E3202)&gt;1,"yes","no"))</f>
        <v>duplicate?</v>
      </c>
      <c r="K3202" s="97" t="str">
        <f ca="1">IF(J3202="","Date",IF(J3202&lt;&gt;"",IF(K3202="Date",NOW(),K3202),""))</f>
        <v>Date</v>
      </c>
    </row>
    <row r="3203" spans="2:11">
      <c r="B3203" s="97" t="str">
        <f ca="1">IF(A3203="","Date",IF(A3203&lt;&gt;"",IF(B3203="Date",NOW(),B3203),""))</f>
        <v>Date</v>
      </c>
      <c r="C3203" s="19" t="str">
        <f>IF(ISBLANK(A3203),"Name",IF(ISNA(VLOOKUP(A3203,'Master List'!A:C,2,FALSE)), "Not Found", VLOOKUP(A3203,'Master List'!A:C,2,FALSE)))</f>
        <v>Name</v>
      </c>
      <c r="D3203" s="19" t="str">
        <f>IF(ISBLANK(A3203), "Email",IF(ISNA(VLOOKUP(A3203,'Master List'!A:C,3,FALSE)), "Not Found", VLOOKUP(A3203,'Master List'!A:C,3,FALSE)))</f>
        <v>Email</v>
      </c>
      <c r="F3203" s="4" t="str">
        <f>IF(OR(A3203="",E3203="","",A3203="?",E3203="?"),"duplicate?",IF(COUNTIFS($A:A,A3203,E:E,E3203)&gt;1,"yes","no"))</f>
        <v>duplicate?</v>
      </c>
      <c r="K3203" s="97" t="str">
        <f ca="1">IF(J3203="","Date",IF(J3203&lt;&gt;"",IF(K3203="Date",NOW(),K3203),""))</f>
        <v>Date</v>
      </c>
    </row>
    <row r="3204" spans="2:11">
      <c r="B3204" s="97" t="str">
        <f ca="1">IF(A3204="","Date",IF(A3204&lt;&gt;"",IF(B3204="Date",NOW(),B3204),""))</f>
        <v>Date</v>
      </c>
      <c r="C3204" s="19" t="str">
        <f>IF(ISBLANK(A3204),"Name",IF(ISNA(VLOOKUP(A3204,'Master List'!A:C,2,FALSE)), "Not Found", VLOOKUP(A3204,'Master List'!A:C,2,FALSE)))</f>
        <v>Name</v>
      </c>
      <c r="D3204" s="19" t="str">
        <f>IF(ISBLANK(A3204), "Email",IF(ISNA(VLOOKUP(A3204,'Master List'!A:C,3,FALSE)), "Not Found", VLOOKUP(A3204,'Master List'!A:C,3,FALSE)))</f>
        <v>Email</v>
      </c>
      <c r="F3204" s="4" t="str">
        <f>IF(OR(A3204="",E3204="","",A3204="?",E3204="?"),"duplicate?",IF(COUNTIFS($A:A,A3204,E:E,E3204)&gt;1,"yes","no"))</f>
        <v>duplicate?</v>
      </c>
      <c r="K3204" s="97" t="str">
        <f ca="1">IF(J3204="","Date",IF(J3204&lt;&gt;"",IF(K3204="Date",NOW(),K3204),""))</f>
        <v>Date</v>
      </c>
    </row>
    <row r="3205" spans="2:11">
      <c r="B3205" s="97" t="str">
        <f ca="1">IF(A3205="","Date",IF(A3205&lt;&gt;"",IF(B3205="Date",NOW(),B3205),""))</f>
        <v>Date</v>
      </c>
      <c r="C3205" s="19" t="str">
        <f>IF(ISBLANK(A3205),"Name",IF(ISNA(VLOOKUP(A3205,'Master List'!A:C,2,FALSE)), "Not Found", VLOOKUP(A3205,'Master List'!A:C,2,FALSE)))</f>
        <v>Name</v>
      </c>
      <c r="D3205" s="19" t="str">
        <f>IF(ISBLANK(A3205), "Email",IF(ISNA(VLOOKUP(A3205,'Master List'!A:C,3,FALSE)), "Not Found", VLOOKUP(A3205,'Master List'!A:C,3,FALSE)))</f>
        <v>Email</v>
      </c>
      <c r="F3205" s="4" t="str">
        <f>IF(OR(A3205="",E3205="","",A3205="?",E3205="?"),"duplicate?",IF(COUNTIFS($A:A,A3205,E:E,E3205)&gt;1,"yes","no"))</f>
        <v>duplicate?</v>
      </c>
      <c r="K3205" s="97" t="str">
        <f ca="1">IF(J3205="","Date",IF(J3205&lt;&gt;"",IF(K3205="Date",NOW(),K3205),""))</f>
        <v>Date</v>
      </c>
    </row>
    <row r="3206" spans="2:11">
      <c r="B3206" s="97" t="str">
        <f ca="1">IF(A3206="","Date",IF(A3206&lt;&gt;"",IF(B3206="Date",NOW(),B3206),""))</f>
        <v>Date</v>
      </c>
      <c r="C3206" s="19" t="str">
        <f>IF(ISBLANK(A3206),"Name",IF(ISNA(VLOOKUP(A3206,'Master List'!A:C,2,FALSE)), "Not Found", VLOOKUP(A3206,'Master List'!A:C,2,FALSE)))</f>
        <v>Name</v>
      </c>
      <c r="D3206" s="19" t="str">
        <f>IF(ISBLANK(A3206), "Email",IF(ISNA(VLOOKUP(A3206,'Master List'!A:C,3,FALSE)), "Not Found", VLOOKUP(A3206,'Master List'!A:C,3,FALSE)))</f>
        <v>Email</v>
      </c>
      <c r="F3206" s="4" t="str">
        <f>IF(OR(A3206="",E3206="","",A3206="?",E3206="?"),"duplicate?",IF(COUNTIFS($A:A,A3206,E:E,E3206)&gt;1,"yes","no"))</f>
        <v>duplicate?</v>
      </c>
      <c r="K3206" s="97" t="str">
        <f ca="1">IF(J3206="","Date",IF(J3206&lt;&gt;"",IF(K3206="Date",NOW(),K3206),""))</f>
        <v>Date</v>
      </c>
    </row>
    <row r="3207" spans="2:11">
      <c r="B3207" s="97" t="str">
        <f ca="1">IF(A3207="","Date",IF(A3207&lt;&gt;"",IF(B3207="Date",NOW(),B3207),""))</f>
        <v>Date</v>
      </c>
      <c r="C3207" s="19" t="str">
        <f>IF(ISBLANK(A3207),"Name",IF(ISNA(VLOOKUP(A3207,'Master List'!A:C,2,FALSE)), "Not Found", VLOOKUP(A3207,'Master List'!A:C,2,FALSE)))</f>
        <v>Name</v>
      </c>
      <c r="D3207" s="19" t="str">
        <f>IF(ISBLANK(A3207), "Email",IF(ISNA(VLOOKUP(A3207,'Master List'!A:C,3,FALSE)), "Not Found", VLOOKUP(A3207,'Master List'!A:C,3,FALSE)))</f>
        <v>Email</v>
      </c>
      <c r="F3207" s="4" t="str">
        <f>IF(OR(A3207="",E3207="","",A3207="?",E3207="?"),"duplicate?",IF(COUNTIFS($A:A,A3207,E:E,E3207)&gt;1,"yes","no"))</f>
        <v>duplicate?</v>
      </c>
      <c r="K3207" s="97" t="str">
        <f ca="1">IF(J3207="","Date",IF(J3207&lt;&gt;"",IF(K3207="Date",NOW(),K3207),""))</f>
        <v>Date</v>
      </c>
    </row>
    <row r="3208" spans="2:11">
      <c r="B3208" s="97" t="str">
        <f ca="1">IF(A3208="","Date",IF(A3208&lt;&gt;"",IF(B3208="Date",NOW(),B3208),""))</f>
        <v>Date</v>
      </c>
      <c r="C3208" s="19" t="str">
        <f>IF(ISBLANK(A3208),"Name",IF(ISNA(VLOOKUP(A3208,'Master List'!A:C,2,FALSE)), "Not Found", VLOOKUP(A3208,'Master List'!A:C,2,FALSE)))</f>
        <v>Name</v>
      </c>
      <c r="D3208" s="19" t="str">
        <f>IF(ISBLANK(A3208), "Email",IF(ISNA(VLOOKUP(A3208,'Master List'!A:C,3,FALSE)), "Not Found", VLOOKUP(A3208,'Master List'!A:C,3,FALSE)))</f>
        <v>Email</v>
      </c>
      <c r="F3208" s="4" t="str">
        <f>IF(OR(A3208="",E3208="","",A3208="?",E3208="?"),"duplicate?",IF(COUNTIFS($A:A,A3208,E:E,E3208)&gt;1,"yes","no"))</f>
        <v>duplicate?</v>
      </c>
      <c r="K3208" s="97" t="str">
        <f ca="1">IF(J3208="","Date",IF(J3208&lt;&gt;"",IF(K3208="Date",NOW(),K3208),""))</f>
        <v>Date</v>
      </c>
    </row>
    <row r="3209" spans="2:11">
      <c r="B3209" s="97" t="str">
        <f ca="1">IF(A3209="","Date",IF(A3209&lt;&gt;"",IF(B3209="Date",NOW(),B3209),""))</f>
        <v>Date</v>
      </c>
      <c r="C3209" s="19" t="str">
        <f>IF(ISBLANK(A3209),"Name",IF(ISNA(VLOOKUP(A3209,'Master List'!A:C,2,FALSE)), "Not Found", VLOOKUP(A3209,'Master List'!A:C,2,FALSE)))</f>
        <v>Name</v>
      </c>
      <c r="D3209" s="19" t="str">
        <f>IF(ISBLANK(A3209), "Email",IF(ISNA(VLOOKUP(A3209,'Master List'!A:C,3,FALSE)), "Not Found", VLOOKUP(A3209,'Master List'!A:C,3,FALSE)))</f>
        <v>Email</v>
      </c>
      <c r="F3209" s="4" t="str">
        <f>IF(OR(A3209="",E3209="","",A3209="?",E3209="?"),"duplicate?",IF(COUNTIFS($A:A,A3209,E:E,E3209)&gt;1,"yes","no"))</f>
        <v>duplicate?</v>
      </c>
      <c r="K3209" s="97" t="str">
        <f ca="1">IF(J3209="","Date",IF(J3209&lt;&gt;"",IF(K3209="Date",NOW(),K3209),""))</f>
        <v>Date</v>
      </c>
    </row>
    <row r="3210" spans="2:11">
      <c r="B3210" s="97" t="str">
        <f ca="1">IF(A3210="","Date",IF(A3210&lt;&gt;"",IF(B3210="Date",NOW(),B3210),""))</f>
        <v>Date</v>
      </c>
      <c r="C3210" s="19" t="str">
        <f>IF(ISBLANK(A3210),"Name",IF(ISNA(VLOOKUP(A3210,'Master List'!A:C,2,FALSE)), "Not Found", VLOOKUP(A3210,'Master List'!A:C,2,FALSE)))</f>
        <v>Name</v>
      </c>
      <c r="D3210" s="19" t="str">
        <f>IF(ISBLANK(A3210), "Email",IF(ISNA(VLOOKUP(A3210,'Master List'!A:C,3,FALSE)), "Not Found", VLOOKUP(A3210,'Master List'!A:C,3,FALSE)))</f>
        <v>Email</v>
      </c>
      <c r="F3210" s="4" t="str">
        <f>IF(OR(A3210="",E3210="","",A3210="?",E3210="?"),"duplicate?",IF(COUNTIFS($A:A,A3210,E:E,E3210)&gt;1,"yes","no"))</f>
        <v>duplicate?</v>
      </c>
      <c r="K3210" s="97" t="str">
        <f ca="1">IF(J3210="","Date",IF(J3210&lt;&gt;"",IF(K3210="Date",NOW(),K3210),""))</f>
        <v>Date</v>
      </c>
    </row>
    <row r="3211" spans="2:11">
      <c r="B3211" s="97" t="str">
        <f ca="1">IF(A3211="","Date",IF(A3211&lt;&gt;"",IF(B3211="Date",NOW(),B3211),""))</f>
        <v>Date</v>
      </c>
      <c r="C3211" s="19" t="str">
        <f>IF(ISBLANK(A3211),"Name",IF(ISNA(VLOOKUP(A3211,'Master List'!A:C,2,FALSE)), "Not Found", VLOOKUP(A3211,'Master List'!A:C,2,FALSE)))</f>
        <v>Name</v>
      </c>
      <c r="D3211" s="19" t="str">
        <f>IF(ISBLANK(A3211), "Email",IF(ISNA(VLOOKUP(A3211,'Master List'!A:C,3,FALSE)), "Not Found", VLOOKUP(A3211,'Master List'!A:C,3,FALSE)))</f>
        <v>Email</v>
      </c>
      <c r="F3211" s="4" t="str">
        <f>IF(OR(A3211="",E3211="","",A3211="?",E3211="?"),"duplicate?",IF(COUNTIFS($A:A,A3211,E:E,E3211)&gt;1,"yes","no"))</f>
        <v>duplicate?</v>
      </c>
      <c r="K3211" s="97" t="str">
        <f ca="1">IF(J3211="","Date",IF(J3211&lt;&gt;"",IF(K3211="Date",NOW(),K3211),""))</f>
        <v>Date</v>
      </c>
    </row>
    <row r="3212" spans="2:11">
      <c r="B3212" s="97" t="str">
        <f ca="1">IF(A3212="","Date",IF(A3212&lt;&gt;"",IF(B3212="Date",NOW(),B3212),""))</f>
        <v>Date</v>
      </c>
      <c r="C3212" s="19" t="str">
        <f>IF(ISBLANK(A3212),"Name",IF(ISNA(VLOOKUP(A3212,'Master List'!A:C,2,FALSE)), "Not Found", VLOOKUP(A3212,'Master List'!A:C,2,FALSE)))</f>
        <v>Name</v>
      </c>
      <c r="D3212" s="19" t="str">
        <f>IF(ISBLANK(A3212), "Email",IF(ISNA(VLOOKUP(A3212,'Master List'!A:C,3,FALSE)), "Not Found", VLOOKUP(A3212,'Master List'!A:C,3,FALSE)))</f>
        <v>Email</v>
      </c>
      <c r="F3212" s="4" t="str">
        <f>IF(OR(A3212="",E3212="","",A3212="?",E3212="?"),"duplicate?",IF(COUNTIFS($A:A,A3212,E:E,E3212)&gt;1,"yes","no"))</f>
        <v>duplicate?</v>
      </c>
      <c r="K3212" s="97" t="str">
        <f ca="1">IF(J3212="","Date",IF(J3212&lt;&gt;"",IF(K3212="Date",NOW(),K3212),""))</f>
        <v>Date</v>
      </c>
    </row>
    <row r="3213" spans="2:11">
      <c r="B3213" s="97" t="str">
        <f ca="1">IF(A3213="","Date",IF(A3213&lt;&gt;"",IF(B3213="Date",NOW(),B3213),""))</f>
        <v>Date</v>
      </c>
      <c r="C3213" s="19" t="str">
        <f>IF(ISBLANK(A3213),"Name",IF(ISNA(VLOOKUP(A3213,'Master List'!A:C,2,FALSE)), "Not Found", VLOOKUP(A3213,'Master List'!A:C,2,FALSE)))</f>
        <v>Name</v>
      </c>
      <c r="D3213" s="19" t="str">
        <f>IF(ISBLANK(A3213), "Email",IF(ISNA(VLOOKUP(A3213,'Master List'!A:C,3,FALSE)), "Not Found", VLOOKUP(A3213,'Master List'!A:C,3,FALSE)))</f>
        <v>Email</v>
      </c>
      <c r="F3213" s="4" t="str">
        <f>IF(OR(A3213="",E3213="","",A3213="?",E3213="?"),"duplicate?",IF(COUNTIFS($A:A,A3213,E:E,E3213)&gt;1,"yes","no"))</f>
        <v>duplicate?</v>
      </c>
      <c r="K3213" s="97" t="str">
        <f ca="1">IF(J3213="","Date",IF(J3213&lt;&gt;"",IF(K3213="Date",NOW(),K3213),""))</f>
        <v>Date</v>
      </c>
    </row>
    <row r="3214" spans="2:11">
      <c r="B3214" s="97" t="str">
        <f ca="1">IF(A3214="","Date",IF(A3214&lt;&gt;"",IF(B3214="Date",NOW(),B3214),""))</f>
        <v>Date</v>
      </c>
      <c r="C3214" s="19" t="str">
        <f>IF(ISBLANK(A3214),"Name",IF(ISNA(VLOOKUP(A3214,'Master List'!A:C,2,FALSE)), "Not Found", VLOOKUP(A3214,'Master List'!A:C,2,FALSE)))</f>
        <v>Name</v>
      </c>
      <c r="D3214" s="19" t="str">
        <f>IF(ISBLANK(A3214), "Email",IF(ISNA(VLOOKUP(A3214,'Master List'!A:C,3,FALSE)), "Not Found", VLOOKUP(A3214,'Master List'!A:C,3,FALSE)))</f>
        <v>Email</v>
      </c>
      <c r="F3214" s="4" t="str">
        <f>IF(OR(A3214="",E3214="","",A3214="?",E3214="?"),"duplicate?",IF(COUNTIFS($A:A,A3214,E:E,E3214)&gt;1,"yes","no"))</f>
        <v>duplicate?</v>
      </c>
      <c r="K3214" s="97" t="str">
        <f ca="1">IF(J3214="","Date",IF(J3214&lt;&gt;"",IF(K3214="Date",NOW(),K3214),""))</f>
        <v>Date</v>
      </c>
    </row>
    <row r="3215" spans="2:11">
      <c r="B3215" s="97" t="str">
        <f ca="1">IF(A3215="","Date",IF(A3215&lt;&gt;"",IF(B3215="Date",NOW(),B3215),""))</f>
        <v>Date</v>
      </c>
      <c r="C3215" s="19" t="str">
        <f>IF(ISBLANK(A3215),"Name",IF(ISNA(VLOOKUP(A3215,'Master List'!A:C,2,FALSE)), "Not Found", VLOOKUP(A3215,'Master List'!A:C,2,FALSE)))</f>
        <v>Name</v>
      </c>
      <c r="D3215" s="19" t="str">
        <f>IF(ISBLANK(A3215), "Email",IF(ISNA(VLOOKUP(A3215,'Master List'!A:C,3,FALSE)), "Not Found", VLOOKUP(A3215,'Master List'!A:C,3,FALSE)))</f>
        <v>Email</v>
      </c>
      <c r="F3215" s="4" t="str">
        <f>IF(OR(A3215="",E3215="","",A3215="?",E3215="?"),"duplicate?",IF(COUNTIFS($A:A,A3215,E:E,E3215)&gt;1,"yes","no"))</f>
        <v>duplicate?</v>
      </c>
      <c r="K3215" s="97" t="str">
        <f ca="1">IF(J3215="","Date",IF(J3215&lt;&gt;"",IF(K3215="Date",NOW(),K3215),""))</f>
        <v>Date</v>
      </c>
    </row>
    <row r="3216" spans="2:11">
      <c r="B3216" s="97" t="str">
        <f ca="1">IF(A3216="","Date",IF(A3216&lt;&gt;"",IF(B3216="Date",NOW(),B3216),""))</f>
        <v>Date</v>
      </c>
      <c r="C3216" s="19" t="str">
        <f>IF(ISBLANK(A3216),"Name",IF(ISNA(VLOOKUP(A3216,'Master List'!A:C,2,FALSE)), "Not Found", VLOOKUP(A3216,'Master List'!A:C,2,FALSE)))</f>
        <v>Name</v>
      </c>
      <c r="D3216" s="19" t="str">
        <f>IF(ISBLANK(A3216), "Email",IF(ISNA(VLOOKUP(A3216,'Master List'!A:C,3,FALSE)), "Not Found", VLOOKUP(A3216,'Master List'!A:C,3,FALSE)))</f>
        <v>Email</v>
      </c>
      <c r="F3216" s="4" t="str">
        <f>IF(OR(A3216="",E3216="","",A3216="?",E3216="?"),"duplicate?",IF(COUNTIFS($A:A,A3216,E:E,E3216)&gt;1,"yes","no"))</f>
        <v>duplicate?</v>
      </c>
      <c r="K3216" s="97" t="str">
        <f ca="1">IF(J3216="","Date",IF(J3216&lt;&gt;"",IF(K3216="Date",NOW(),K3216),""))</f>
        <v>Date</v>
      </c>
    </row>
    <row r="3217" spans="2:11">
      <c r="B3217" s="97" t="str">
        <f ca="1">IF(A3217="","Date",IF(A3217&lt;&gt;"",IF(B3217="Date",NOW(),B3217),""))</f>
        <v>Date</v>
      </c>
      <c r="C3217" s="19" t="str">
        <f>IF(ISBLANK(A3217),"Name",IF(ISNA(VLOOKUP(A3217,'Master List'!A:C,2,FALSE)), "Not Found", VLOOKUP(A3217,'Master List'!A:C,2,FALSE)))</f>
        <v>Name</v>
      </c>
      <c r="D3217" s="19" t="str">
        <f>IF(ISBLANK(A3217), "Email",IF(ISNA(VLOOKUP(A3217,'Master List'!A:C,3,FALSE)), "Not Found", VLOOKUP(A3217,'Master List'!A:C,3,FALSE)))</f>
        <v>Email</v>
      </c>
      <c r="F3217" s="4" t="str">
        <f>IF(OR(A3217="",E3217="","",A3217="?",E3217="?"),"duplicate?",IF(COUNTIFS($A:A,A3217,E:E,E3217)&gt;1,"yes","no"))</f>
        <v>duplicate?</v>
      </c>
      <c r="K3217" s="97" t="str">
        <f ca="1">IF(J3217="","Date",IF(J3217&lt;&gt;"",IF(K3217="Date",NOW(),K3217),""))</f>
        <v>Date</v>
      </c>
    </row>
    <row r="3218" spans="2:11">
      <c r="B3218" s="97" t="str">
        <f ca="1">IF(A3218="","Date",IF(A3218&lt;&gt;"",IF(B3218="Date",NOW(),B3218),""))</f>
        <v>Date</v>
      </c>
      <c r="C3218" s="19" t="str">
        <f>IF(ISBLANK(A3218),"Name",IF(ISNA(VLOOKUP(A3218,'Master List'!A:C,2,FALSE)), "Not Found", VLOOKUP(A3218,'Master List'!A:C,2,FALSE)))</f>
        <v>Name</v>
      </c>
      <c r="D3218" s="19" t="str">
        <f>IF(ISBLANK(A3218), "Email",IF(ISNA(VLOOKUP(A3218,'Master List'!A:C,3,FALSE)), "Not Found", VLOOKUP(A3218,'Master List'!A:C,3,FALSE)))</f>
        <v>Email</v>
      </c>
      <c r="F3218" s="4" t="str">
        <f>IF(OR(A3218="",E3218="","",A3218="?",E3218="?"),"duplicate?",IF(COUNTIFS($A:A,A3218,E:E,E3218)&gt;1,"yes","no"))</f>
        <v>duplicate?</v>
      </c>
      <c r="K3218" s="97" t="str">
        <f ca="1">IF(J3218="","Date",IF(J3218&lt;&gt;"",IF(K3218="Date",NOW(),K3218),""))</f>
        <v>Date</v>
      </c>
    </row>
    <row r="3219" spans="2:11">
      <c r="B3219" s="97" t="str">
        <f ca="1">IF(A3219="","Date",IF(A3219&lt;&gt;"",IF(B3219="Date",NOW(),B3219),""))</f>
        <v>Date</v>
      </c>
      <c r="C3219" s="19" t="str">
        <f>IF(ISBLANK(A3219),"Name",IF(ISNA(VLOOKUP(A3219,'Master List'!A:C,2,FALSE)), "Not Found", VLOOKUP(A3219,'Master List'!A:C,2,FALSE)))</f>
        <v>Name</v>
      </c>
      <c r="D3219" s="19" t="str">
        <f>IF(ISBLANK(A3219), "Email",IF(ISNA(VLOOKUP(A3219,'Master List'!A:C,3,FALSE)), "Not Found", VLOOKUP(A3219,'Master List'!A:C,3,FALSE)))</f>
        <v>Email</v>
      </c>
      <c r="F3219" s="4" t="str">
        <f>IF(OR(A3219="",E3219="","",A3219="?",E3219="?"),"duplicate?",IF(COUNTIFS($A:A,A3219,E:E,E3219)&gt;1,"yes","no"))</f>
        <v>duplicate?</v>
      </c>
      <c r="K3219" s="97" t="str">
        <f ca="1">IF(J3219="","Date",IF(J3219&lt;&gt;"",IF(K3219="Date",NOW(),K3219),""))</f>
        <v>Date</v>
      </c>
    </row>
    <row r="3220" spans="2:11">
      <c r="B3220" s="97" t="str">
        <f ca="1">IF(A3220="","Date",IF(A3220&lt;&gt;"",IF(B3220="Date",NOW(),B3220),""))</f>
        <v>Date</v>
      </c>
      <c r="C3220" s="19" t="str">
        <f>IF(ISBLANK(A3220),"Name",IF(ISNA(VLOOKUP(A3220,'Master List'!A:C,2,FALSE)), "Not Found", VLOOKUP(A3220,'Master List'!A:C,2,FALSE)))</f>
        <v>Name</v>
      </c>
      <c r="D3220" s="19" t="str">
        <f>IF(ISBLANK(A3220), "Email",IF(ISNA(VLOOKUP(A3220,'Master List'!A:C,3,FALSE)), "Not Found", VLOOKUP(A3220,'Master List'!A:C,3,FALSE)))</f>
        <v>Email</v>
      </c>
      <c r="F3220" s="4" t="str">
        <f>IF(OR(A3220="",E3220="","",A3220="?",E3220="?"),"duplicate?",IF(COUNTIFS($A:A,A3220,E:E,E3220)&gt;1,"yes","no"))</f>
        <v>duplicate?</v>
      </c>
      <c r="K3220" s="97" t="str">
        <f ca="1">IF(J3220="","Date",IF(J3220&lt;&gt;"",IF(K3220="Date",NOW(),K3220),""))</f>
        <v>Date</v>
      </c>
    </row>
    <row r="3221" spans="2:11">
      <c r="B3221" s="97" t="str">
        <f ca="1">IF(A3221="","Date",IF(A3221&lt;&gt;"",IF(B3221="Date",NOW(),B3221),""))</f>
        <v>Date</v>
      </c>
      <c r="C3221" s="19" t="str">
        <f>IF(ISBLANK(A3221),"Name",IF(ISNA(VLOOKUP(A3221,'Master List'!A:C,2,FALSE)), "Not Found", VLOOKUP(A3221,'Master List'!A:C,2,FALSE)))</f>
        <v>Name</v>
      </c>
      <c r="D3221" s="19" t="str">
        <f>IF(ISBLANK(A3221), "Email",IF(ISNA(VLOOKUP(A3221,'Master List'!A:C,3,FALSE)), "Not Found", VLOOKUP(A3221,'Master List'!A:C,3,FALSE)))</f>
        <v>Email</v>
      </c>
      <c r="F3221" s="4" t="str">
        <f>IF(OR(A3221="",E3221="","",A3221="?",E3221="?"),"duplicate?",IF(COUNTIFS($A:A,A3221,E:E,E3221)&gt;1,"yes","no"))</f>
        <v>duplicate?</v>
      </c>
      <c r="K3221" s="97" t="str">
        <f ca="1">IF(J3221="","Date",IF(J3221&lt;&gt;"",IF(K3221="Date",NOW(),K3221),""))</f>
        <v>Date</v>
      </c>
    </row>
    <row r="3222" spans="2:11">
      <c r="B3222" s="97" t="str">
        <f ca="1">IF(A3222="","Date",IF(A3222&lt;&gt;"",IF(B3222="Date",NOW(),B3222),""))</f>
        <v>Date</v>
      </c>
      <c r="C3222" s="19" t="str">
        <f>IF(ISBLANK(A3222),"Name",IF(ISNA(VLOOKUP(A3222,'Master List'!A:C,2,FALSE)), "Not Found", VLOOKUP(A3222,'Master List'!A:C,2,FALSE)))</f>
        <v>Name</v>
      </c>
      <c r="D3222" s="19" t="str">
        <f>IF(ISBLANK(A3222), "Email",IF(ISNA(VLOOKUP(A3222,'Master List'!A:C,3,FALSE)), "Not Found", VLOOKUP(A3222,'Master List'!A:C,3,FALSE)))</f>
        <v>Email</v>
      </c>
      <c r="F3222" s="4" t="str">
        <f>IF(OR(A3222="",E3222="","",A3222="?",E3222="?"),"duplicate?",IF(COUNTIFS($A:A,A3222,E:E,E3222)&gt;1,"yes","no"))</f>
        <v>duplicate?</v>
      </c>
      <c r="K3222" s="97" t="str">
        <f ca="1">IF(J3222="","Date",IF(J3222&lt;&gt;"",IF(K3222="Date",NOW(),K3222),""))</f>
        <v>Date</v>
      </c>
    </row>
    <row r="3223" spans="2:11">
      <c r="B3223" s="97" t="str">
        <f ca="1">IF(A3223="","Date",IF(A3223&lt;&gt;"",IF(B3223="Date",NOW(),B3223),""))</f>
        <v>Date</v>
      </c>
      <c r="C3223" s="19" t="str">
        <f>IF(ISBLANK(A3223),"Name",IF(ISNA(VLOOKUP(A3223,'Master List'!A:C,2,FALSE)), "Not Found", VLOOKUP(A3223,'Master List'!A:C,2,FALSE)))</f>
        <v>Name</v>
      </c>
      <c r="D3223" s="19" t="str">
        <f>IF(ISBLANK(A3223), "Email",IF(ISNA(VLOOKUP(A3223,'Master List'!A:C,3,FALSE)), "Not Found", VLOOKUP(A3223,'Master List'!A:C,3,FALSE)))</f>
        <v>Email</v>
      </c>
      <c r="F3223" s="4" t="str">
        <f>IF(OR(A3223="",E3223="","",A3223="?",E3223="?"),"duplicate?",IF(COUNTIFS($A:A,A3223,E:E,E3223)&gt;1,"yes","no"))</f>
        <v>duplicate?</v>
      </c>
      <c r="K3223" s="97" t="str">
        <f ca="1">IF(J3223="","Date",IF(J3223&lt;&gt;"",IF(K3223="Date",NOW(),K3223),""))</f>
        <v>Date</v>
      </c>
    </row>
    <row r="3224" spans="2:11">
      <c r="B3224" s="97" t="str">
        <f ca="1">IF(A3224="","Date",IF(A3224&lt;&gt;"",IF(B3224="Date",NOW(),B3224),""))</f>
        <v>Date</v>
      </c>
      <c r="C3224" s="19" t="str">
        <f>IF(ISBLANK(A3224),"Name",IF(ISNA(VLOOKUP(A3224,'Master List'!A:C,2,FALSE)), "Not Found", VLOOKUP(A3224,'Master List'!A:C,2,FALSE)))</f>
        <v>Name</v>
      </c>
      <c r="D3224" s="19" t="str">
        <f>IF(ISBLANK(A3224), "Email",IF(ISNA(VLOOKUP(A3224,'Master List'!A:C,3,FALSE)), "Not Found", VLOOKUP(A3224,'Master List'!A:C,3,FALSE)))</f>
        <v>Email</v>
      </c>
      <c r="F3224" s="4" t="str">
        <f>IF(OR(A3224="",E3224="","",A3224="?",E3224="?"),"duplicate?",IF(COUNTIFS($A:A,A3224,E:E,E3224)&gt;1,"yes","no"))</f>
        <v>duplicate?</v>
      </c>
      <c r="K3224" s="97" t="str">
        <f ca="1">IF(J3224="","Date",IF(J3224&lt;&gt;"",IF(K3224="Date",NOW(),K3224),""))</f>
        <v>Date</v>
      </c>
    </row>
    <row r="3225" spans="2:11">
      <c r="B3225" s="97" t="str">
        <f ca="1">IF(A3225="","Date",IF(A3225&lt;&gt;"",IF(B3225="Date",NOW(),B3225),""))</f>
        <v>Date</v>
      </c>
      <c r="C3225" s="19" t="str">
        <f>IF(ISBLANK(A3225),"Name",IF(ISNA(VLOOKUP(A3225,'Master List'!A:C,2,FALSE)), "Not Found", VLOOKUP(A3225,'Master List'!A:C,2,FALSE)))</f>
        <v>Name</v>
      </c>
      <c r="D3225" s="19" t="str">
        <f>IF(ISBLANK(A3225), "Email",IF(ISNA(VLOOKUP(A3225,'Master List'!A:C,3,FALSE)), "Not Found", VLOOKUP(A3225,'Master List'!A:C,3,FALSE)))</f>
        <v>Email</v>
      </c>
      <c r="F3225" s="4" t="str">
        <f>IF(OR(A3225="",E3225="","",A3225="?",E3225="?"),"duplicate?",IF(COUNTIFS($A:A,A3225,E:E,E3225)&gt;1,"yes","no"))</f>
        <v>duplicate?</v>
      </c>
      <c r="K3225" s="97" t="str">
        <f ca="1">IF(J3225="","Date",IF(J3225&lt;&gt;"",IF(K3225="Date",NOW(),K3225),""))</f>
        <v>Date</v>
      </c>
    </row>
    <row r="3226" spans="2:11">
      <c r="B3226" s="97" t="str">
        <f ca="1">IF(A3226="","Date",IF(A3226&lt;&gt;"",IF(B3226="Date",NOW(),B3226),""))</f>
        <v>Date</v>
      </c>
      <c r="C3226" s="19" t="str">
        <f>IF(ISBLANK(A3226),"Name",IF(ISNA(VLOOKUP(A3226,'Master List'!A:C,2,FALSE)), "Not Found", VLOOKUP(A3226,'Master List'!A:C,2,FALSE)))</f>
        <v>Name</v>
      </c>
      <c r="D3226" s="19" t="str">
        <f>IF(ISBLANK(A3226), "Email",IF(ISNA(VLOOKUP(A3226,'Master List'!A:C,3,FALSE)), "Not Found", VLOOKUP(A3226,'Master List'!A:C,3,FALSE)))</f>
        <v>Email</v>
      </c>
      <c r="F3226" s="4" t="str">
        <f>IF(OR(A3226="",E3226="","",A3226="?",E3226="?"),"duplicate?",IF(COUNTIFS($A:A,A3226,E:E,E3226)&gt;1,"yes","no"))</f>
        <v>duplicate?</v>
      </c>
      <c r="K3226" s="97" t="str">
        <f ca="1">IF(J3226="","Date",IF(J3226&lt;&gt;"",IF(K3226="Date",NOW(),K3226),""))</f>
        <v>Date</v>
      </c>
    </row>
    <row r="3227" spans="2:11">
      <c r="B3227" s="97" t="str">
        <f ca="1">IF(A3227="","Date",IF(A3227&lt;&gt;"",IF(B3227="Date",NOW(),B3227),""))</f>
        <v>Date</v>
      </c>
      <c r="C3227" s="19" t="str">
        <f>IF(ISBLANK(A3227),"Name",IF(ISNA(VLOOKUP(A3227,'Master List'!A:C,2,FALSE)), "Not Found", VLOOKUP(A3227,'Master List'!A:C,2,FALSE)))</f>
        <v>Name</v>
      </c>
      <c r="D3227" s="19" t="str">
        <f>IF(ISBLANK(A3227), "Email",IF(ISNA(VLOOKUP(A3227,'Master List'!A:C,3,FALSE)), "Not Found", VLOOKUP(A3227,'Master List'!A:C,3,FALSE)))</f>
        <v>Email</v>
      </c>
      <c r="F3227" s="4" t="str">
        <f>IF(OR(A3227="",E3227="","",A3227="?",E3227="?"),"duplicate?",IF(COUNTIFS($A:A,A3227,E:E,E3227)&gt;1,"yes","no"))</f>
        <v>duplicate?</v>
      </c>
      <c r="K3227" s="97" t="str">
        <f ca="1">IF(J3227="","Date",IF(J3227&lt;&gt;"",IF(K3227="Date",NOW(),K3227),""))</f>
        <v>Date</v>
      </c>
    </row>
    <row r="3228" spans="2:11">
      <c r="B3228" s="97" t="str">
        <f ca="1">IF(A3228="","Date",IF(A3228&lt;&gt;"",IF(B3228="Date",NOW(),B3228),""))</f>
        <v>Date</v>
      </c>
      <c r="C3228" s="19" t="str">
        <f>IF(ISBLANK(A3228),"Name",IF(ISNA(VLOOKUP(A3228,'Master List'!A:C,2,FALSE)), "Not Found", VLOOKUP(A3228,'Master List'!A:C,2,FALSE)))</f>
        <v>Name</v>
      </c>
      <c r="D3228" s="19" t="str">
        <f>IF(ISBLANK(A3228), "Email",IF(ISNA(VLOOKUP(A3228,'Master List'!A:C,3,FALSE)), "Not Found", VLOOKUP(A3228,'Master List'!A:C,3,FALSE)))</f>
        <v>Email</v>
      </c>
      <c r="F3228" s="4" t="str">
        <f>IF(OR(A3228="",E3228="","",A3228="?",E3228="?"),"duplicate?",IF(COUNTIFS($A:A,A3228,E:E,E3228)&gt;1,"yes","no"))</f>
        <v>duplicate?</v>
      </c>
      <c r="K3228" s="97" t="str">
        <f ca="1">IF(J3228="","Date",IF(J3228&lt;&gt;"",IF(K3228="Date",NOW(),K3228),""))</f>
        <v>Date</v>
      </c>
    </row>
    <row r="3229" spans="2:11">
      <c r="B3229" s="97" t="str">
        <f ca="1">IF(A3229="","Date",IF(A3229&lt;&gt;"",IF(B3229="Date",NOW(),B3229),""))</f>
        <v>Date</v>
      </c>
      <c r="C3229" s="19" t="str">
        <f>IF(ISBLANK(A3229),"Name",IF(ISNA(VLOOKUP(A3229,'Master List'!A:C,2,FALSE)), "Not Found", VLOOKUP(A3229,'Master List'!A:C,2,FALSE)))</f>
        <v>Name</v>
      </c>
      <c r="D3229" s="19" t="str">
        <f>IF(ISBLANK(A3229), "Email",IF(ISNA(VLOOKUP(A3229,'Master List'!A:C,3,FALSE)), "Not Found", VLOOKUP(A3229,'Master List'!A:C,3,FALSE)))</f>
        <v>Email</v>
      </c>
      <c r="F3229" s="4" t="str">
        <f>IF(OR(A3229="",E3229="","",A3229="?",E3229="?"),"duplicate?",IF(COUNTIFS($A:A,A3229,E:E,E3229)&gt;1,"yes","no"))</f>
        <v>duplicate?</v>
      </c>
      <c r="K3229" s="97" t="str">
        <f ca="1">IF(J3229="","Date",IF(J3229&lt;&gt;"",IF(K3229="Date",NOW(),K3229),""))</f>
        <v>Date</v>
      </c>
    </row>
    <row r="3230" spans="2:11">
      <c r="B3230" s="97" t="str">
        <f ca="1">IF(A3230="","Date",IF(A3230&lt;&gt;"",IF(B3230="Date",NOW(),B3230),""))</f>
        <v>Date</v>
      </c>
      <c r="C3230" s="19" t="str">
        <f>IF(ISBLANK(A3230),"Name",IF(ISNA(VLOOKUP(A3230,'Master List'!A:C,2,FALSE)), "Not Found", VLOOKUP(A3230,'Master List'!A:C,2,FALSE)))</f>
        <v>Name</v>
      </c>
      <c r="D3230" s="19" t="str">
        <f>IF(ISBLANK(A3230), "Email",IF(ISNA(VLOOKUP(A3230,'Master List'!A:C,3,FALSE)), "Not Found", VLOOKUP(A3230,'Master List'!A:C,3,FALSE)))</f>
        <v>Email</v>
      </c>
      <c r="F3230" s="4" t="str">
        <f>IF(OR(A3230="",E3230="","",A3230="?",E3230="?"),"duplicate?",IF(COUNTIFS($A:A,A3230,E:E,E3230)&gt;1,"yes","no"))</f>
        <v>duplicate?</v>
      </c>
      <c r="K3230" s="97" t="str">
        <f ca="1">IF(J3230="","Date",IF(J3230&lt;&gt;"",IF(K3230="Date",NOW(),K3230),""))</f>
        <v>Date</v>
      </c>
    </row>
    <row r="3231" spans="2:11">
      <c r="B3231" s="97" t="str">
        <f ca="1">IF(A3231="","Date",IF(A3231&lt;&gt;"",IF(B3231="Date",NOW(),B3231),""))</f>
        <v>Date</v>
      </c>
      <c r="C3231" s="19" t="str">
        <f>IF(ISBLANK(A3231),"Name",IF(ISNA(VLOOKUP(A3231,'Master List'!A:C,2,FALSE)), "Not Found", VLOOKUP(A3231,'Master List'!A:C,2,FALSE)))</f>
        <v>Name</v>
      </c>
      <c r="D3231" s="19" t="str">
        <f>IF(ISBLANK(A3231), "Email",IF(ISNA(VLOOKUP(A3231,'Master List'!A:C,3,FALSE)), "Not Found", VLOOKUP(A3231,'Master List'!A:C,3,FALSE)))</f>
        <v>Email</v>
      </c>
      <c r="F3231" s="4" t="str">
        <f>IF(OR(A3231="",E3231="","",A3231="?",E3231="?"),"duplicate?",IF(COUNTIFS($A:A,A3231,E:E,E3231)&gt;1,"yes","no"))</f>
        <v>duplicate?</v>
      </c>
      <c r="K3231" s="97" t="str">
        <f ca="1">IF(J3231="","Date",IF(J3231&lt;&gt;"",IF(K3231="Date",NOW(),K3231),""))</f>
        <v>Date</v>
      </c>
    </row>
    <row r="3232" spans="2:11">
      <c r="B3232" s="97" t="str">
        <f ca="1">IF(A3232="","Date",IF(A3232&lt;&gt;"",IF(B3232="Date",NOW(),B3232),""))</f>
        <v>Date</v>
      </c>
      <c r="C3232" s="19" t="str">
        <f>IF(ISBLANK(A3232),"Name",IF(ISNA(VLOOKUP(A3232,'Master List'!A:C,2,FALSE)), "Not Found", VLOOKUP(A3232,'Master List'!A:C,2,FALSE)))</f>
        <v>Name</v>
      </c>
      <c r="D3232" s="19" t="str">
        <f>IF(ISBLANK(A3232), "Email",IF(ISNA(VLOOKUP(A3232,'Master List'!A:C,3,FALSE)), "Not Found", VLOOKUP(A3232,'Master List'!A:C,3,FALSE)))</f>
        <v>Email</v>
      </c>
      <c r="F3232" s="4" t="str">
        <f>IF(OR(A3232="",E3232="","",A3232="?",E3232="?"),"duplicate?",IF(COUNTIFS($A:A,A3232,E:E,E3232)&gt;1,"yes","no"))</f>
        <v>duplicate?</v>
      </c>
      <c r="K3232" s="97" t="str">
        <f ca="1">IF(J3232="","Date",IF(J3232&lt;&gt;"",IF(K3232="Date",NOW(),K3232),""))</f>
        <v>Date</v>
      </c>
    </row>
    <row r="3233" spans="2:11">
      <c r="B3233" s="97" t="str">
        <f ca="1">IF(A3233="","Date",IF(A3233&lt;&gt;"",IF(B3233="Date",NOW(),B3233),""))</f>
        <v>Date</v>
      </c>
      <c r="C3233" s="19" t="str">
        <f>IF(ISBLANK(A3233),"Name",IF(ISNA(VLOOKUP(A3233,'Master List'!A:C,2,FALSE)), "Not Found", VLOOKUP(A3233,'Master List'!A:C,2,FALSE)))</f>
        <v>Name</v>
      </c>
      <c r="D3233" s="19" t="str">
        <f>IF(ISBLANK(A3233), "Email",IF(ISNA(VLOOKUP(A3233,'Master List'!A:C,3,FALSE)), "Not Found", VLOOKUP(A3233,'Master List'!A:C,3,FALSE)))</f>
        <v>Email</v>
      </c>
      <c r="F3233" s="4" t="str">
        <f>IF(OR(A3233="",E3233="","",A3233="?",E3233="?"),"duplicate?",IF(COUNTIFS($A:A,A3233,E:E,E3233)&gt;1,"yes","no"))</f>
        <v>duplicate?</v>
      </c>
      <c r="K3233" s="97" t="str">
        <f ca="1">IF(J3233="","Date",IF(J3233&lt;&gt;"",IF(K3233="Date",NOW(),K3233),""))</f>
        <v>Date</v>
      </c>
    </row>
    <row r="3234" spans="2:11">
      <c r="B3234" s="97" t="str">
        <f ca="1">IF(A3234="","Date",IF(A3234&lt;&gt;"",IF(B3234="Date",NOW(),B3234),""))</f>
        <v>Date</v>
      </c>
      <c r="C3234" s="19" t="str">
        <f>IF(ISBLANK(A3234),"Name",IF(ISNA(VLOOKUP(A3234,'Master List'!A:C,2,FALSE)), "Not Found", VLOOKUP(A3234,'Master List'!A:C,2,FALSE)))</f>
        <v>Name</v>
      </c>
      <c r="D3234" s="19" t="str">
        <f>IF(ISBLANK(A3234), "Email",IF(ISNA(VLOOKUP(A3234,'Master List'!A:C,3,FALSE)), "Not Found", VLOOKUP(A3234,'Master List'!A:C,3,FALSE)))</f>
        <v>Email</v>
      </c>
      <c r="F3234" s="4" t="str">
        <f>IF(OR(A3234="",E3234="","",A3234="?",E3234="?"),"duplicate?",IF(COUNTIFS($A:A,A3234,E:E,E3234)&gt;1,"yes","no"))</f>
        <v>duplicate?</v>
      </c>
      <c r="K3234" s="97" t="str">
        <f ca="1">IF(J3234="","Date",IF(J3234&lt;&gt;"",IF(K3234="Date",NOW(),K3234),""))</f>
        <v>Date</v>
      </c>
    </row>
    <row r="3235" spans="2:11">
      <c r="B3235" s="97" t="str">
        <f ca="1">IF(A3235="","Date",IF(A3235&lt;&gt;"",IF(B3235="Date",NOW(),B3235),""))</f>
        <v>Date</v>
      </c>
      <c r="C3235" s="19" t="str">
        <f>IF(ISBLANK(A3235),"Name",IF(ISNA(VLOOKUP(A3235,'Master List'!A:C,2,FALSE)), "Not Found", VLOOKUP(A3235,'Master List'!A:C,2,FALSE)))</f>
        <v>Name</v>
      </c>
      <c r="D3235" s="19" t="str">
        <f>IF(ISBLANK(A3235), "Email",IF(ISNA(VLOOKUP(A3235,'Master List'!A:C,3,FALSE)), "Not Found", VLOOKUP(A3235,'Master List'!A:C,3,FALSE)))</f>
        <v>Email</v>
      </c>
      <c r="F3235" s="4" t="str">
        <f>IF(OR(A3235="",E3235="","",A3235="?",E3235="?"),"duplicate?",IF(COUNTIFS($A:A,A3235,E:E,E3235)&gt;1,"yes","no"))</f>
        <v>duplicate?</v>
      </c>
      <c r="K3235" s="97" t="str">
        <f ca="1">IF(J3235="","Date",IF(J3235&lt;&gt;"",IF(K3235="Date",NOW(),K3235),""))</f>
        <v>Date</v>
      </c>
    </row>
    <row r="3236" spans="2:11">
      <c r="B3236" s="97" t="str">
        <f ca="1">IF(A3236="","Date",IF(A3236&lt;&gt;"",IF(B3236="Date",NOW(),B3236),""))</f>
        <v>Date</v>
      </c>
      <c r="C3236" s="19" t="str">
        <f>IF(ISBLANK(A3236),"Name",IF(ISNA(VLOOKUP(A3236,'Master List'!A:C,2,FALSE)), "Not Found", VLOOKUP(A3236,'Master List'!A:C,2,FALSE)))</f>
        <v>Name</v>
      </c>
      <c r="D3236" s="19" t="str">
        <f>IF(ISBLANK(A3236), "Email",IF(ISNA(VLOOKUP(A3236,'Master List'!A:C,3,FALSE)), "Not Found", VLOOKUP(A3236,'Master List'!A:C,3,FALSE)))</f>
        <v>Email</v>
      </c>
      <c r="F3236" s="4" t="str">
        <f>IF(OR(A3236="",E3236="","",A3236="?",E3236="?"),"duplicate?",IF(COUNTIFS($A:A,A3236,E:E,E3236)&gt;1,"yes","no"))</f>
        <v>duplicate?</v>
      </c>
      <c r="K3236" s="97" t="str">
        <f ca="1">IF(J3236="","Date",IF(J3236&lt;&gt;"",IF(K3236="Date",NOW(),K3236),""))</f>
        <v>Date</v>
      </c>
    </row>
    <row r="3237" spans="2:11">
      <c r="B3237" s="97" t="str">
        <f ca="1">IF(A3237="","Date",IF(A3237&lt;&gt;"",IF(B3237="Date",NOW(),B3237),""))</f>
        <v>Date</v>
      </c>
      <c r="C3237" s="19" t="str">
        <f>IF(ISBLANK(A3237),"Name",IF(ISNA(VLOOKUP(A3237,'Master List'!A:C,2,FALSE)), "Not Found", VLOOKUP(A3237,'Master List'!A:C,2,FALSE)))</f>
        <v>Name</v>
      </c>
      <c r="D3237" s="19" t="str">
        <f>IF(ISBLANK(A3237), "Email",IF(ISNA(VLOOKUP(A3237,'Master List'!A:C,3,FALSE)), "Not Found", VLOOKUP(A3237,'Master List'!A:C,3,FALSE)))</f>
        <v>Email</v>
      </c>
      <c r="F3237" s="4" t="str">
        <f>IF(OR(A3237="",E3237="","",A3237="?",E3237="?"),"duplicate?",IF(COUNTIFS($A:A,A3237,E:E,E3237)&gt;1,"yes","no"))</f>
        <v>duplicate?</v>
      </c>
      <c r="K3237" s="97" t="str">
        <f ca="1">IF(J3237="","Date",IF(J3237&lt;&gt;"",IF(K3237="Date",NOW(),K3237),""))</f>
        <v>Date</v>
      </c>
    </row>
    <row r="3238" spans="2:11">
      <c r="B3238" s="97" t="str">
        <f ca="1">IF(A3238="","Date",IF(A3238&lt;&gt;"",IF(B3238="Date",NOW(),B3238),""))</f>
        <v>Date</v>
      </c>
      <c r="C3238" s="19" t="str">
        <f>IF(ISBLANK(A3238),"Name",IF(ISNA(VLOOKUP(A3238,'Master List'!A:C,2,FALSE)), "Not Found", VLOOKUP(A3238,'Master List'!A:C,2,FALSE)))</f>
        <v>Name</v>
      </c>
      <c r="D3238" s="19" t="str">
        <f>IF(ISBLANK(A3238), "Email",IF(ISNA(VLOOKUP(A3238,'Master List'!A:C,3,FALSE)), "Not Found", VLOOKUP(A3238,'Master List'!A:C,3,FALSE)))</f>
        <v>Email</v>
      </c>
      <c r="F3238" s="4" t="str">
        <f>IF(OR(A3238="",E3238="","",A3238="?",E3238="?"),"duplicate?",IF(COUNTIFS($A:A,A3238,E:E,E3238)&gt;1,"yes","no"))</f>
        <v>duplicate?</v>
      </c>
      <c r="K3238" s="97" t="str">
        <f ca="1">IF(J3238="","Date",IF(J3238&lt;&gt;"",IF(K3238="Date",NOW(),K3238),""))</f>
        <v>Date</v>
      </c>
    </row>
    <row r="3239" spans="2:11">
      <c r="B3239" s="97" t="str">
        <f ca="1">IF(A3239="","Date",IF(A3239&lt;&gt;"",IF(B3239="Date",NOW(),B3239),""))</f>
        <v>Date</v>
      </c>
      <c r="C3239" s="19" t="str">
        <f>IF(ISBLANK(A3239),"Name",IF(ISNA(VLOOKUP(A3239,'Master List'!A:C,2,FALSE)), "Not Found", VLOOKUP(A3239,'Master List'!A:C,2,FALSE)))</f>
        <v>Name</v>
      </c>
      <c r="D3239" s="19" t="str">
        <f>IF(ISBLANK(A3239), "Email",IF(ISNA(VLOOKUP(A3239,'Master List'!A:C,3,FALSE)), "Not Found", VLOOKUP(A3239,'Master List'!A:C,3,FALSE)))</f>
        <v>Email</v>
      </c>
      <c r="F3239" s="4" t="str">
        <f>IF(OR(A3239="",E3239="","",A3239="?",E3239="?"),"duplicate?",IF(COUNTIFS($A:A,A3239,E:E,E3239)&gt;1,"yes","no"))</f>
        <v>duplicate?</v>
      </c>
      <c r="K3239" s="97" t="str">
        <f ca="1">IF(J3239="","Date",IF(J3239&lt;&gt;"",IF(K3239="Date",NOW(),K3239),""))</f>
        <v>Date</v>
      </c>
    </row>
    <row r="3240" spans="2:11">
      <c r="B3240" s="97" t="str">
        <f ca="1">IF(A3240="","Date",IF(A3240&lt;&gt;"",IF(B3240="Date",NOW(),B3240),""))</f>
        <v>Date</v>
      </c>
      <c r="C3240" s="19" t="str">
        <f>IF(ISBLANK(A3240),"Name",IF(ISNA(VLOOKUP(A3240,'Master List'!A:C,2,FALSE)), "Not Found", VLOOKUP(A3240,'Master List'!A:C,2,FALSE)))</f>
        <v>Name</v>
      </c>
      <c r="D3240" s="19" t="str">
        <f>IF(ISBLANK(A3240), "Email",IF(ISNA(VLOOKUP(A3240,'Master List'!A:C,3,FALSE)), "Not Found", VLOOKUP(A3240,'Master List'!A:C,3,FALSE)))</f>
        <v>Email</v>
      </c>
      <c r="F3240" s="4" t="str">
        <f>IF(OR(A3240="",E3240="","",A3240="?",E3240="?"),"duplicate?",IF(COUNTIFS($A:A,A3240,E:E,E3240)&gt;1,"yes","no"))</f>
        <v>duplicate?</v>
      </c>
      <c r="K3240" s="97" t="str">
        <f ca="1">IF(J3240="","Date",IF(J3240&lt;&gt;"",IF(K3240="Date",NOW(),K3240),""))</f>
        <v>Date</v>
      </c>
    </row>
    <row r="3241" spans="2:11">
      <c r="B3241" s="97" t="str">
        <f ca="1">IF(A3241="","Date",IF(A3241&lt;&gt;"",IF(B3241="Date",NOW(),B3241),""))</f>
        <v>Date</v>
      </c>
      <c r="C3241" s="19" t="str">
        <f>IF(ISBLANK(A3241),"Name",IF(ISNA(VLOOKUP(A3241,'Master List'!A:C,2,FALSE)), "Not Found", VLOOKUP(A3241,'Master List'!A:C,2,FALSE)))</f>
        <v>Name</v>
      </c>
      <c r="D3241" s="19" t="str">
        <f>IF(ISBLANK(A3241), "Email",IF(ISNA(VLOOKUP(A3241,'Master List'!A:C,3,FALSE)), "Not Found", VLOOKUP(A3241,'Master List'!A:C,3,FALSE)))</f>
        <v>Email</v>
      </c>
      <c r="F3241" s="4" t="str">
        <f>IF(OR(A3241="",E3241="","",A3241="?",E3241="?"),"duplicate?",IF(COUNTIFS($A:A,A3241,E:E,E3241)&gt;1,"yes","no"))</f>
        <v>duplicate?</v>
      </c>
      <c r="K3241" s="97" t="str">
        <f ca="1">IF(J3241="","Date",IF(J3241&lt;&gt;"",IF(K3241="Date",NOW(),K3241),""))</f>
        <v>Date</v>
      </c>
    </row>
    <row r="3242" spans="2:11">
      <c r="B3242" s="97" t="str">
        <f ca="1">IF(A3242="","Date",IF(A3242&lt;&gt;"",IF(B3242="Date",NOW(),B3242),""))</f>
        <v>Date</v>
      </c>
      <c r="C3242" s="19" t="str">
        <f>IF(ISBLANK(A3242),"Name",IF(ISNA(VLOOKUP(A3242,'Master List'!A:C,2,FALSE)), "Not Found", VLOOKUP(A3242,'Master List'!A:C,2,FALSE)))</f>
        <v>Name</v>
      </c>
      <c r="D3242" s="19" t="str">
        <f>IF(ISBLANK(A3242), "Email",IF(ISNA(VLOOKUP(A3242,'Master List'!A:C,3,FALSE)), "Not Found", VLOOKUP(A3242,'Master List'!A:C,3,FALSE)))</f>
        <v>Email</v>
      </c>
      <c r="F3242" s="4" t="str">
        <f>IF(OR(A3242="",E3242="","",A3242="?",E3242="?"),"duplicate?",IF(COUNTIFS($A:A,A3242,E:E,E3242)&gt;1,"yes","no"))</f>
        <v>duplicate?</v>
      </c>
      <c r="K3242" s="97" t="str">
        <f ca="1">IF(J3242="","Date",IF(J3242&lt;&gt;"",IF(K3242="Date",NOW(),K3242),""))</f>
        <v>Date</v>
      </c>
    </row>
    <row r="3243" spans="2:11">
      <c r="B3243" s="97" t="str">
        <f ca="1">IF(A3243="","Date",IF(A3243&lt;&gt;"",IF(B3243="Date",NOW(),B3243),""))</f>
        <v>Date</v>
      </c>
      <c r="C3243" s="19" t="str">
        <f>IF(ISBLANK(A3243),"Name",IF(ISNA(VLOOKUP(A3243,'Master List'!A:C,2,FALSE)), "Not Found", VLOOKUP(A3243,'Master List'!A:C,2,FALSE)))</f>
        <v>Name</v>
      </c>
      <c r="D3243" s="19" t="str">
        <f>IF(ISBLANK(A3243), "Email",IF(ISNA(VLOOKUP(A3243,'Master List'!A:C,3,FALSE)), "Not Found", VLOOKUP(A3243,'Master List'!A:C,3,FALSE)))</f>
        <v>Email</v>
      </c>
      <c r="F3243" s="4" t="str">
        <f>IF(OR(A3243="",E3243="","",A3243="?",E3243="?"),"duplicate?",IF(COUNTIFS($A:A,A3243,E:E,E3243)&gt;1,"yes","no"))</f>
        <v>duplicate?</v>
      </c>
      <c r="K3243" s="97" t="str">
        <f ca="1">IF(J3243="","Date",IF(J3243&lt;&gt;"",IF(K3243="Date",NOW(),K3243),""))</f>
        <v>Date</v>
      </c>
    </row>
    <row r="3244" spans="2:11">
      <c r="B3244" s="97" t="str">
        <f ca="1">IF(A3244="","Date",IF(A3244&lt;&gt;"",IF(B3244="Date",NOW(),B3244),""))</f>
        <v>Date</v>
      </c>
      <c r="C3244" s="19" t="str">
        <f>IF(ISBLANK(A3244),"Name",IF(ISNA(VLOOKUP(A3244,'Master List'!A:C,2,FALSE)), "Not Found", VLOOKUP(A3244,'Master List'!A:C,2,FALSE)))</f>
        <v>Name</v>
      </c>
      <c r="D3244" s="19" t="str">
        <f>IF(ISBLANK(A3244), "Email",IF(ISNA(VLOOKUP(A3244,'Master List'!A:C,3,FALSE)), "Not Found", VLOOKUP(A3244,'Master List'!A:C,3,FALSE)))</f>
        <v>Email</v>
      </c>
      <c r="F3244" s="4" t="str">
        <f>IF(OR(A3244="",E3244="","",A3244="?",E3244="?"),"duplicate?",IF(COUNTIFS($A:A,A3244,E:E,E3244)&gt;1,"yes","no"))</f>
        <v>duplicate?</v>
      </c>
      <c r="K3244" s="97" t="str">
        <f ca="1">IF(J3244="","Date",IF(J3244&lt;&gt;"",IF(K3244="Date",NOW(),K3244),""))</f>
        <v>Date</v>
      </c>
    </row>
    <row r="3245" spans="2:11">
      <c r="B3245" s="97" t="str">
        <f ca="1">IF(A3245="","Date",IF(A3245&lt;&gt;"",IF(B3245="Date",NOW(),B3245),""))</f>
        <v>Date</v>
      </c>
      <c r="C3245" s="19" t="str">
        <f>IF(ISBLANK(A3245),"Name",IF(ISNA(VLOOKUP(A3245,'Master List'!A:C,2,FALSE)), "Not Found", VLOOKUP(A3245,'Master List'!A:C,2,FALSE)))</f>
        <v>Name</v>
      </c>
      <c r="D3245" s="19" t="str">
        <f>IF(ISBLANK(A3245), "Email",IF(ISNA(VLOOKUP(A3245,'Master List'!A:C,3,FALSE)), "Not Found", VLOOKUP(A3245,'Master List'!A:C,3,FALSE)))</f>
        <v>Email</v>
      </c>
      <c r="F3245" s="4" t="str">
        <f>IF(OR(A3245="",E3245="","",A3245="?",E3245="?"),"duplicate?",IF(COUNTIFS($A:A,A3245,E:E,E3245)&gt;1,"yes","no"))</f>
        <v>duplicate?</v>
      </c>
      <c r="K3245" s="97" t="str">
        <f ca="1">IF(J3245="","Date",IF(J3245&lt;&gt;"",IF(K3245="Date",NOW(),K3245),""))</f>
        <v>Date</v>
      </c>
    </row>
    <row r="3246" spans="2:11">
      <c r="B3246" s="97" t="str">
        <f ca="1">IF(A3246="","Date",IF(A3246&lt;&gt;"",IF(B3246="Date",NOW(),B3246),""))</f>
        <v>Date</v>
      </c>
      <c r="C3246" s="19" t="str">
        <f>IF(ISBLANK(A3246),"Name",IF(ISNA(VLOOKUP(A3246,'Master List'!A:C,2,FALSE)), "Not Found", VLOOKUP(A3246,'Master List'!A:C,2,FALSE)))</f>
        <v>Name</v>
      </c>
      <c r="D3246" s="19" t="str">
        <f>IF(ISBLANK(A3246), "Email",IF(ISNA(VLOOKUP(A3246,'Master List'!A:C,3,FALSE)), "Not Found", VLOOKUP(A3246,'Master List'!A:C,3,FALSE)))</f>
        <v>Email</v>
      </c>
      <c r="F3246" s="4" t="str">
        <f>IF(OR(A3246="",E3246="","",A3246="?",E3246="?"),"duplicate?",IF(COUNTIFS($A:A,A3246,E:E,E3246)&gt;1,"yes","no"))</f>
        <v>duplicate?</v>
      </c>
      <c r="K3246" s="97" t="str">
        <f ca="1">IF(J3246="","Date",IF(J3246&lt;&gt;"",IF(K3246="Date",NOW(),K3246),""))</f>
        <v>Date</v>
      </c>
    </row>
    <row r="3247" spans="2:11">
      <c r="B3247" s="97" t="str">
        <f ca="1">IF(A3247="","Date",IF(A3247&lt;&gt;"",IF(B3247="Date",NOW(),B3247),""))</f>
        <v>Date</v>
      </c>
      <c r="C3247" s="19" t="str">
        <f>IF(ISBLANK(A3247),"Name",IF(ISNA(VLOOKUP(A3247,'Master List'!A:C,2,FALSE)), "Not Found", VLOOKUP(A3247,'Master List'!A:C,2,FALSE)))</f>
        <v>Name</v>
      </c>
      <c r="D3247" s="19" t="str">
        <f>IF(ISBLANK(A3247), "Email",IF(ISNA(VLOOKUP(A3247,'Master List'!A:C,3,FALSE)), "Not Found", VLOOKUP(A3247,'Master List'!A:C,3,FALSE)))</f>
        <v>Email</v>
      </c>
      <c r="F3247" s="4" t="str">
        <f>IF(OR(A3247="",E3247="","",A3247="?",E3247="?"),"duplicate?",IF(COUNTIFS($A:A,A3247,E:E,E3247)&gt;1,"yes","no"))</f>
        <v>duplicate?</v>
      </c>
      <c r="K3247" s="97" t="str">
        <f ca="1">IF(J3247="","Date",IF(J3247&lt;&gt;"",IF(K3247="Date",NOW(),K3247),""))</f>
        <v>Date</v>
      </c>
    </row>
    <row r="3248" spans="2:11">
      <c r="B3248" s="97" t="str">
        <f ca="1">IF(A3248="","Date",IF(A3248&lt;&gt;"",IF(B3248="Date",NOW(),B3248),""))</f>
        <v>Date</v>
      </c>
      <c r="C3248" s="19" t="str">
        <f>IF(ISBLANK(A3248),"Name",IF(ISNA(VLOOKUP(A3248,'Master List'!A:C,2,FALSE)), "Not Found", VLOOKUP(A3248,'Master List'!A:C,2,FALSE)))</f>
        <v>Name</v>
      </c>
      <c r="D3248" s="19" t="str">
        <f>IF(ISBLANK(A3248), "Email",IF(ISNA(VLOOKUP(A3248,'Master List'!A:C,3,FALSE)), "Not Found", VLOOKUP(A3248,'Master List'!A:C,3,FALSE)))</f>
        <v>Email</v>
      </c>
      <c r="F3248" s="4" t="str">
        <f>IF(OR(A3248="",E3248="","",A3248="?",E3248="?"),"duplicate?",IF(COUNTIFS($A:A,A3248,E:E,E3248)&gt;1,"yes","no"))</f>
        <v>duplicate?</v>
      </c>
      <c r="K3248" s="97" t="str">
        <f ca="1">IF(J3248="","Date",IF(J3248&lt;&gt;"",IF(K3248="Date",NOW(),K3248),""))</f>
        <v>Date</v>
      </c>
    </row>
    <row r="3249" spans="2:11">
      <c r="B3249" s="97" t="str">
        <f ca="1">IF(A3249="","Date",IF(A3249&lt;&gt;"",IF(B3249="Date",NOW(),B3249),""))</f>
        <v>Date</v>
      </c>
      <c r="C3249" s="19" t="str">
        <f>IF(ISBLANK(A3249),"Name",IF(ISNA(VLOOKUP(A3249,'Master List'!A:C,2,FALSE)), "Not Found", VLOOKUP(A3249,'Master List'!A:C,2,FALSE)))</f>
        <v>Name</v>
      </c>
      <c r="D3249" s="19" t="str">
        <f>IF(ISBLANK(A3249), "Email",IF(ISNA(VLOOKUP(A3249,'Master List'!A:C,3,FALSE)), "Not Found", VLOOKUP(A3249,'Master List'!A:C,3,FALSE)))</f>
        <v>Email</v>
      </c>
      <c r="F3249" s="4" t="str">
        <f>IF(OR(A3249="",E3249="","",A3249="?",E3249="?"),"duplicate?",IF(COUNTIFS($A:A,A3249,E:E,E3249)&gt;1,"yes","no"))</f>
        <v>duplicate?</v>
      </c>
      <c r="K3249" s="97" t="str">
        <f ca="1">IF(J3249="","Date",IF(J3249&lt;&gt;"",IF(K3249="Date",NOW(),K3249),""))</f>
        <v>Date</v>
      </c>
    </row>
    <row r="3250" spans="2:11">
      <c r="B3250" s="97" t="str">
        <f ca="1">IF(A3250="","Date",IF(A3250&lt;&gt;"",IF(B3250="Date",NOW(),B3250),""))</f>
        <v>Date</v>
      </c>
      <c r="C3250" s="19" t="str">
        <f>IF(ISBLANK(A3250),"Name",IF(ISNA(VLOOKUP(A3250,'Master List'!A:C,2,FALSE)), "Not Found", VLOOKUP(A3250,'Master List'!A:C,2,FALSE)))</f>
        <v>Name</v>
      </c>
      <c r="D3250" s="19" t="str">
        <f>IF(ISBLANK(A3250), "Email",IF(ISNA(VLOOKUP(A3250,'Master List'!A:C,3,FALSE)), "Not Found", VLOOKUP(A3250,'Master List'!A:C,3,FALSE)))</f>
        <v>Email</v>
      </c>
      <c r="F3250" s="4" t="str">
        <f>IF(OR(A3250="",E3250="","",A3250="?",E3250="?"),"duplicate?",IF(COUNTIFS($A:A,A3250,E:E,E3250)&gt;1,"yes","no"))</f>
        <v>duplicate?</v>
      </c>
      <c r="K3250" s="97" t="str">
        <f ca="1">IF(J3250="","Date",IF(J3250&lt;&gt;"",IF(K3250="Date",NOW(),K3250),""))</f>
        <v>Date</v>
      </c>
    </row>
    <row r="3251" spans="2:11">
      <c r="B3251" s="97" t="str">
        <f ca="1">IF(A3251="","Date",IF(A3251&lt;&gt;"",IF(B3251="Date",NOW(),B3251),""))</f>
        <v>Date</v>
      </c>
      <c r="C3251" s="19" t="str">
        <f>IF(ISBLANK(A3251),"Name",IF(ISNA(VLOOKUP(A3251,'Master List'!A:C,2,FALSE)), "Not Found", VLOOKUP(A3251,'Master List'!A:C,2,FALSE)))</f>
        <v>Name</v>
      </c>
      <c r="D3251" s="19" t="str">
        <f>IF(ISBLANK(A3251), "Email",IF(ISNA(VLOOKUP(A3251,'Master List'!A:C,3,FALSE)), "Not Found", VLOOKUP(A3251,'Master List'!A:C,3,FALSE)))</f>
        <v>Email</v>
      </c>
      <c r="F3251" s="4" t="str">
        <f>IF(OR(A3251="",E3251="","",A3251="?",E3251="?"),"duplicate?",IF(COUNTIFS($A:A,A3251,E:E,E3251)&gt;1,"yes","no"))</f>
        <v>duplicate?</v>
      </c>
      <c r="K3251" s="97" t="str">
        <f ca="1">IF(J3251="","Date",IF(J3251&lt;&gt;"",IF(K3251="Date",NOW(),K3251),""))</f>
        <v>Date</v>
      </c>
    </row>
    <row r="3252" spans="2:11">
      <c r="B3252" s="97" t="str">
        <f ca="1">IF(A3252="","Date",IF(A3252&lt;&gt;"",IF(B3252="Date",NOW(),B3252),""))</f>
        <v>Date</v>
      </c>
      <c r="C3252" s="19" t="str">
        <f>IF(ISBLANK(A3252),"Name",IF(ISNA(VLOOKUP(A3252,'Master List'!A:C,2,FALSE)), "Not Found", VLOOKUP(A3252,'Master List'!A:C,2,FALSE)))</f>
        <v>Name</v>
      </c>
      <c r="D3252" s="19" t="str">
        <f>IF(ISBLANK(A3252), "Email",IF(ISNA(VLOOKUP(A3252,'Master List'!A:C,3,FALSE)), "Not Found", VLOOKUP(A3252,'Master List'!A:C,3,FALSE)))</f>
        <v>Email</v>
      </c>
      <c r="F3252" s="4" t="str">
        <f>IF(OR(A3252="",E3252="","",A3252="?",E3252="?"),"duplicate?",IF(COUNTIFS($A:A,A3252,E:E,E3252)&gt;1,"yes","no"))</f>
        <v>duplicate?</v>
      </c>
      <c r="K3252" s="97" t="str">
        <f ca="1">IF(J3252="","Date",IF(J3252&lt;&gt;"",IF(K3252="Date",NOW(),K3252),""))</f>
        <v>Date</v>
      </c>
    </row>
    <row r="3253" spans="2:11">
      <c r="B3253" s="97" t="str">
        <f ca="1">IF(A3253="","Date",IF(A3253&lt;&gt;"",IF(B3253="Date",NOW(),B3253),""))</f>
        <v>Date</v>
      </c>
      <c r="C3253" s="19" t="str">
        <f>IF(ISBLANK(A3253),"Name",IF(ISNA(VLOOKUP(A3253,'Master List'!A:C,2,FALSE)), "Not Found", VLOOKUP(A3253,'Master List'!A:C,2,FALSE)))</f>
        <v>Name</v>
      </c>
      <c r="D3253" s="19" t="str">
        <f>IF(ISBLANK(A3253), "Email",IF(ISNA(VLOOKUP(A3253,'Master List'!A:C,3,FALSE)), "Not Found", VLOOKUP(A3253,'Master List'!A:C,3,FALSE)))</f>
        <v>Email</v>
      </c>
      <c r="F3253" s="4" t="str">
        <f>IF(OR(A3253="",E3253="","",A3253="?",E3253="?"),"duplicate?",IF(COUNTIFS($A:A,A3253,E:E,E3253)&gt;1,"yes","no"))</f>
        <v>duplicate?</v>
      </c>
      <c r="K3253" s="97" t="str">
        <f ca="1">IF(J3253="","Date",IF(J3253&lt;&gt;"",IF(K3253="Date",NOW(),K3253),""))</f>
        <v>Date</v>
      </c>
    </row>
    <row r="3254" spans="2:11">
      <c r="B3254" s="97" t="str">
        <f ca="1">IF(A3254="","Date",IF(A3254&lt;&gt;"",IF(B3254="Date",NOW(),B3254),""))</f>
        <v>Date</v>
      </c>
      <c r="C3254" s="19" t="str">
        <f>IF(ISBLANK(A3254),"Name",IF(ISNA(VLOOKUP(A3254,'Master List'!A:C,2,FALSE)), "Not Found", VLOOKUP(A3254,'Master List'!A:C,2,FALSE)))</f>
        <v>Name</v>
      </c>
      <c r="D3254" s="19" t="str">
        <f>IF(ISBLANK(A3254), "Email",IF(ISNA(VLOOKUP(A3254,'Master List'!A:C,3,FALSE)), "Not Found", VLOOKUP(A3254,'Master List'!A:C,3,FALSE)))</f>
        <v>Email</v>
      </c>
      <c r="F3254" s="4" t="str">
        <f>IF(OR(A3254="",E3254="","",A3254="?",E3254="?"),"duplicate?",IF(COUNTIFS($A:A,A3254,E:E,E3254)&gt;1,"yes","no"))</f>
        <v>duplicate?</v>
      </c>
      <c r="K3254" s="97" t="str">
        <f ca="1">IF(J3254="","Date",IF(J3254&lt;&gt;"",IF(K3254="Date",NOW(),K3254),""))</f>
        <v>Date</v>
      </c>
    </row>
    <row r="3255" spans="2:11">
      <c r="B3255" s="97" t="str">
        <f ca="1">IF(A3255="","Date",IF(A3255&lt;&gt;"",IF(B3255="Date",NOW(),B3255),""))</f>
        <v>Date</v>
      </c>
      <c r="C3255" s="19" t="str">
        <f>IF(ISBLANK(A3255),"Name",IF(ISNA(VLOOKUP(A3255,'Master List'!A:C,2,FALSE)), "Not Found", VLOOKUP(A3255,'Master List'!A:C,2,FALSE)))</f>
        <v>Name</v>
      </c>
      <c r="D3255" s="19" t="str">
        <f>IF(ISBLANK(A3255), "Email",IF(ISNA(VLOOKUP(A3255,'Master List'!A:C,3,FALSE)), "Not Found", VLOOKUP(A3255,'Master List'!A:C,3,FALSE)))</f>
        <v>Email</v>
      </c>
      <c r="F3255" s="4" t="str">
        <f>IF(OR(A3255="",E3255="","",A3255="?",E3255="?"),"duplicate?",IF(COUNTIFS($A:A,A3255,E:E,E3255)&gt;1,"yes","no"))</f>
        <v>duplicate?</v>
      </c>
      <c r="K3255" s="97" t="str">
        <f ca="1">IF(J3255="","Date",IF(J3255&lt;&gt;"",IF(K3255="Date",NOW(),K3255),""))</f>
        <v>Date</v>
      </c>
    </row>
    <row r="3256" spans="2:11">
      <c r="B3256" s="97" t="str">
        <f ca="1">IF(A3256="","Date",IF(A3256&lt;&gt;"",IF(B3256="Date",NOW(),B3256),""))</f>
        <v>Date</v>
      </c>
      <c r="C3256" s="19" t="str">
        <f>IF(ISBLANK(A3256),"Name",IF(ISNA(VLOOKUP(A3256,'Master List'!A:C,2,FALSE)), "Not Found", VLOOKUP(A3256,'Master List'!A:C,2,FALSE)))</f>
        <v>Name</v>
      </c>
      <c r="D3256" s="19" t="str">
        <f>IF(ISBLANK(A3256), "Email",IF(ISNA(VLOOKUP(A3256,'Master List'!A:C,3,FALSE)), "Not Found", VLOOKUP(A3256,'Master List'!A:C,3,FALSE)))</f>
        <v>Email</v>
      </c>
      <c r="F3256" s="4" t="str">
        <f>IF(OR(A3256="",E3256="","",A3256="?",E3256="?"),"duplicate?",IF(COUNTIFS($A:A,A3256,E:E,E3256)&gt;1,"yes","no"))</f>
        <v>duplicate?</v>
      </c>
      <c r="K3256" s="97" t="str">
        <f ca="1">IF(J3256="","Date",IF(J3256&lt;&gt;"",IF(K3256="Date",NOW(),K3256),""))</f>
        <v>Date</v>
      </c>
    </row>
    <row r="3257" spans="2:11">
      <c r="B3257" s="97" t="str">
        <f ca="1">IF(A3257="","Date",IF(A3257&lt;&gt;"",IF(B3257="Date",NOW(),B3257),""))</f>
        <v>Date</v>
      </c>
      <c r="C3257" s="19" t="str">
        <f>IF(ISBLANK(A3257),"Name",IF(ISNA(VLOOKUP(A3257,'Master List'!A:C,2,FALSE)), "Not Found", VLOOKUP(A3257,'Master List'!A:C,2,FALSE)))</f>
        <v>Name</v>
      </c>
      <c r="D3257" s="19" t="str">
        <f>IF(ISBLANK(A3257), "Email",IF(ISNA(VLOOKUP(A3257,'Master List'!A:C,3,FALSE)), "Not Found", VLOOKUP(A3257,'Master List'!A:C,3,FALSE)))</f>
        <v>Email</v>
      </c>
      <c r="F3257" s="4" t="str">
        <f>IF(OR(A3257="",E3257="","",A3257="?",E3257="?"),"duplicate?",IF(COUNTIFS($A:A,A3257,E:E,E3257)&gt;1,"yes","no"))</f>
        <v>duplicate?</v>
      </c>
      <c r="K3257" s="97" t="str">
        <f ca="1">IF(J3257="","Date",IF(J3257&lt;&gt;"",IF(K3257="Date",NOW(),K3257),""))</f>
        <v>Date</v>
      </c>
    </row>
    <row r="3258" spans="2:11">
      <c r="B3258" s="97" t="str">
        <f ca="1">IF(A3258="","Date",IF(A3258&lt;&gt;"",IF(B3258="Date",NOW(),B3258),""))</f>
        <v>Date</v>
      </c>
      <c r="C3258" s="19" t="str">
        <f>IF(ISBLANK(A3258),"Name",IF(ISNA(VLOOKUP(A3258,'Master List'!A:C,2,FALSE)), "Not Found", VLOOKUP(A3258,'Master List'!A:C,2,FALSE)))</f>
        <v>Name</v>
      </c>
      <c r="D3258" s="19" t="str">
        <f>IF(ISBLANK(A3258), "Email",IF(ISNA(VLOOKUP(A3258,'Master List'!A:C,3,FALSE)), "Not Found", VLOOKUP(A3258,'Master List'!A:C,3,FALSE)))</f>
        <v>Email</v>
      </c>
      <c r="F3258" s="4" t="str">
        <f>IF(OR(A3258="",E3258="","",A3258="?",E3258="?"),"duplicate?",IF(COUNTIFS($A:A,A3258,E:E,E3258)&gt;1,"yes","no"))</f>
        <v>duplicate?</v>
      </c>
      <c r="K3258" s="97" t="str">
        <f ca="1">IF(J3258="","Date",IF(J3258&lt;&gt;"",IF(K3258="Date",NOW(),K3258),""))</f>
        <v>Date</v>
      </c>
    </row>
    <row r="3259" spans="2:11">
      <c r="B3259" s="97" t="str">
        <f ca="1">IF(A3259="","Date",IF(A3259&lt;&gt;"",IF(B3259="Date",NOW(),B3259),""))</f>
        <v>Date</v>
      </c>
      <c r="C3259" s="19" t="str">
        <f>IF(ISBLANK(A3259),"Name",IF(ISNA(VLOOKUP(A3259,'Master List'!A:C,2,FALSE)), "Not Found", VLOOKUP(A3259,'Master List'!A:C,2,FALSE)))</f>
        <v>Name</v>
      </c>
      <c r="D3259" s="19" t="str">
        <f>IF(ISBLANK(A3259), "Email",IF(ISNA(VLOOKUP(A3259,'Master List'!A:C,3,FALSE)), "Not Found", VLOOKUP(A3259,'Master List'!A:C,3,FALSE)))</f>
        <v>Email</v>
      </c>
      <c r="F3259" s="4" t="str">
        <f>IF(OR(A3259="",E3259="","",A3259="?",E3259="?"),"duplicate?",IF(COUNTIFS($A:A,A3259,E:E,E3259)&gt;1,"yes","no"))</f>
        <v>duplicate?</v>
      </c>
      <c r="K3259" s="97" t="str">
        <f ca="1">IF(J3259="","Date",IF(J3259&lt;&gt;"",IF(K3259="Date",NOW(),K3259),""))</f>
        <v>Date</v>
      </c>
    </row>
    <row r="3260" spans="2:11">
      <c r="B3260" s="97" t="str">
        <f ca="1">IF(A3260="","Date",IF(A3260&lt;&gt;"",IF(B3260="Date",NOW(),B3260),""))</f>
        <v>Date</v>
      </c>
      <c r="C3260" s="19" t="str">
        <f>IF(ISBLANK(A3260),"Name",IF(ISNA(VLOOKUP(A3260,'Master List'!A:C,2,FALSE)), "Not Found", VLOOKUP(A3260,'Master List'!A:C,2,FALSE)))</f>
        <v>Name</v>
      </c>
      <c r="D3260" s="19" t="str">
        <f>IF(ISBLANK(A3260), "Email",IF(ISNA(VLOOKUP(A3260,'Master List'!A:C,3,FALSE)), "Not Found", VLOOKUP(A3260,'Master List'!A:C,3,FALSE)))</f>
        <v>Email</v>
      </c>
      <c r="F3260" s="4" t="str">
        <f>IF(OR(A3260="",E3260="","",A3260="?",E3260="?"),"duplicate?",IF(COUNTIFS($A:A,A3260,E:E,E3260)&gt;1,"yes","no"))</f>
        <v>duplicate?</v>
      </c>
      <c r="K3260" s="97" t="str">
        <f ca="1">IF(J3260="","Date",IF(J3260&lt;&gt;"",IF(K3260="Date",NOW(),K3260),""))</f>
        <v>Date</v>
      </c>
    </row>
    <row r="3261" spans="2:11">
      <c r="B3261" s="97" t="str">
        <f ca="1">IF(A3261="","Date",IF(A3261&lt;&gt;"",IF(B3261="Date",NOW(),B3261),""))</f>
        <v>Date</v>
      </c>
      <c r="C3261" s="19" t="str">
        <f>IF(ISBLANK(A3261),"Name",IF(ISNA(VLOOKUP(A3261,'Master List'!A:C,2,FALSE)), "Not Found", VLOOKUP(A3261,'Master List'!A:C,2,FALSE)))</f>
        <v>Name</v>
      </c>
      <c r="D3261" s="19" t="str">
        <f>IF(ISBLANK(A3261), "Email",IF(ISNA(VLOOKUP(A3261,'Master List'!A:C,3,FALSE)), "Not Found", VLOOKUP(A3261,'Master List'!A:C,3,FALSE)))</f>
        <v>Email</v>
      </c>
      <c r="F3261" s="4" t="str">
        <f>IF(OR(A3261="",E3261="","",A3261="?",E3261="?"),"duplicate?",IF(COUNTIFS($A:A,A3261,E:E,E3261)&gt;1,"yes","no"))</f>
        <v>duplicate?</v>
      </c>
      <c r="K3261" s="97" t="str">
        <f ca="1">IF(J3261="","Date",IF(J3261&lt;&gt;"",IF(K3261="Date",NOW(),K3261),""))</f>
        <v>Date</v>
      </c>
    </row>
    <row r="3262" spans="2:11">
      <c r="B3262" s="97" t="str">
        <f ca="1">IF(A3262="","Date",IF(A3262&lt;&gt;"",IF(B3262="Date",NOW(),B3262),""))</f>
        <v>Date</v>
      </c>
      <c r="C3262" s="19" t="str">
        <f>IF(ISBLANK(A3262),"Name",IF(ISNA(VLOOKUP(A3262,'Master List'!A:C,2,FALSE)), "Not Found", VLOOKUP(A3262,'Master List'!A:C,2,FALSE)))</f>
        <v>Name</v>
      </c>
      <c r="D3262" s="19" t="str">
        <f>IF(ISBLANK(A3262), "Email",IF(ISNA(VLOOKUP(A3262,'Master List'!A:C,3,FALSE)), "Not Found", VLOOKUP(A3262,'Master List'!A:C,3,FALSE)))</f>
        <v>Email</v>
      </c>
      <c r="F3262" s="4" t="str">
        <f>IF(OR(A3262="",E3262="","",A3262="?",E3262="?"),"duplicate?",IF(COUNTIFS($A:A,A3262,E:E,E3262)&gt;1,"yes","no"))</f>
        <v>duplicate?</v>
      </c>
      <c r="K3262" s="97" t="str">
        <f ca="1">IF(J3262="","Date",IF(J3262&lt;&gt;"",IF(K3262="Date",NOW(),K3262),""))</f>
        <v>Date</v>
      </c>
    </row>
    <row r="3263" spans="2:11">
      <c r="B3263" s="97" t="str">
        <f ca="1">IF(A3263="","Date",IF(A3263&lt;&gt;"",IF(B3263="Date",NOW(),B3263),""))</f>
        <v>Date</v>
      </c>
      <c r="C3263" s="19" t="str">
        <f>IF(ISBLANK(A3263),"Name",IF(ISNA(VLOOKUP(A3263,'Master List'!A:C,2,FALSE)), "Not Found", VLOOKUP(A3263,'Master List'!A:C,2,FALSE)))</f>
        <v>Name</v>
      </c>
      <c r="D3263" s="19" t="str">
        <f>IF(ISBLANK(A3263), "Email",IF(ISNA(VLOOKUP(A3263,'Master List'!A:C,3,FALSE)), "Not Found", VLOOKUP(A3263,'Master List'!A:C,3,FALSE)))</f>
        <v>Email</v>
      </c>
      <c r="F3263" s="4" t="str">
        <f>IF(OR(A3263="",E3263="","",A3263="?",E3263="?"),"duplicate?",IF(COUNTIFS($A:A,A3263,E:E,E3263)&gt;1,"yes","no"))</f>
        <v>duplicate?</v>
      </c>
      <c r="K3263" s="97" t="str">
        <f ca="1">IF(J3263="","Date",IF(J3263&lt;&gt;"",IF(K3263="Date",NOW(),K3263),""))</f>
        <v>Date</v>
      </c>
    </row>
    <row r="3264" spans="2:11">
      <c r="B3264" s="97" t="str">
        <f ca="1">IF(A3264="","Date",IF(A3264&lt;&gt;"",IF(B3264="Date",NOW(),B3264),""))</f>
        <v>Date</v>
      </c>
      <c r="C3264" s="19" t="str">
        <f>IF(ISBLANK(A3264),"Name",IF(ISNA(VLOOKUP(A3264,'Master List'!A:C,2,FALSE)), "Not Found", VLOOKUP(A3264,'Master List'!A:C,2,FALSE)))</f>
        <v>Name</v>
      </c>
      <c r="D3264" s="19" t="str">
        <f>IF(ISBLANK(A3264), "Email",IF(ISNA(VLOOKUP(A3264,'Master List'!A:C,3,FALSE)), "Not Found", VLOOKUP(A3264,'Master List'!A:C,3,FALSE)))</f>
        <v>Email</v>
      </c>
      <c r="F3264" s="4" t="str">
        <f>IF(OR(A3264="",E3264="","",A3264="?",E3264="?"),"duplicate?",IF(COUNTIFS($A:A,A3264,E:E,E3264)&gt;1,"yes","no"))</f>
        <v>duplicate?</v>
      </c>
      <c r="K3264" s="97" t="str">
        <f ca="1">IF(J3264="","Date",IF(J3264&lt;&gt;"",IF(K3264="Date",NOW(),K3264),""))</f>
        <v>Date</v>
      </c>
    </row>
    <row r="3265" spans="2:11">
      <c r="B3265" s="97" t="str">
        <f ca="1">IF(A3265="","Date",IF(A3265&lt;&gt;"",IF(B3265="Date",NOW(),B3265),""))</f>
        <v>Date</v>
      </c>
      <c r="C3265" s="19" t="str">
        <f>IF(ISBLANK(A3265),"Name",IF(ISNA(VLOOKUP(A3265,'Master List'!A:C,2,FALSE)), "Not Found", VLOOKUP(A3265,'Master List'!A:C,2,FALSE)))</f>
        <v>Name</v>
      </c>
      <c r="D3265" s="19" t="str">
        <f>IF(ISBLANK(A3265), "Email",IF(ISNA(VLOOKUP(A3265,'Master List'!A:C,3,FALSE)), "Not Found", VLOOKUP(A3265,'Master List'!A:C,3,FALSE)))</f>
        <v>Email</v>
      </c>
      <c r="F3265" s="4" t="str">
        <f>IF(OR(A3265="",E3265="","",A3265="?",E3265="?"),"duplicate?",IF(COUNTIFS($A:A,A3265,E:E,E3265)&gt;1,"yes","no"))</f>
        <v>duplicate?</v>
      </c>
      <c r="K3265" s="97" t="str">
        <f ca="1">IF(J3265="","Date",IF(J3265&lt;&gt;"",IF(K3265="Date",NOW(),K3265),""))</f>
        <v>Date</v>
      </c>
    </row>
    <row r="3266" spans="2:11">
      <c r="B3266" s="97" t="str">
        <f ca="1">IF(A3266="","Date",IF(A3266&lt;&gt;"",IF(B3266="Date",NOW(),B3266),""))</f>
        <v>Date</v>
      </c>
      <c r="C3266" s="19" t="str">
        <f>IF(ISBLANK(A3266),"Name",IF(ISNA(VLOOKUP(A3266,'Master List'!A:C,2,FALSE)), "Not Found", VLOOKUP(A3266,'Master List'!A:C,2,FALSE)))</f>
        <v>Name</v>
      </c>
      <c r="D3266" s="19" t="str">
        <f>IF(ISBLANK(A3266), "Email",IF(ISNA(VLOOKUP(A3266,'Master List'!A:C,3,FALSE)), "Not Found", VLOOKUP(A3266,'Master List'!A:C,3,FALSE)))</f>
        <v>Email</v>
      </c>
      <c r="F3266" s="4" t="str">
        <f>IF(OR(A3266="",E3266="","",A3266="?",E3266="?"),"duplicate?",IF(COUNTIFS($A:A,A3266,E:E,E3266)&gt;1,"yes","no"))</f>
        <v>duplicate?</v>
      </c>
      <c r="K3266" s="97" t="str">
        <f ca="1">IF(J3266="","Date",IF(J3266&lt;&gt;"",IF(K3266="Date",NOW(),K3266),""))</f>
        <v>Date</v>
      </c>
    </row>
    <row r="3267" spans="2:11">
      <c r="B3267" s="97" t="str">
        <f ca="1">IF(A3267="","Date",IF(A3267&lt;&gt;"",IF(B3267="Date",NOW(),B3267),""))</f>
        <v>Date</v>
      </c>
      <c r="C3267" s="19" t="str">
        <f>IF(ISBLANK(A3267),"Name",IF(ISNA(VLOOKUP(A3267,'Master List'!A:C,2,FALSE)), "Not Found", VLOOKUP(A3267,'Master List'!A:C,2,FALSE)))</f>
        <v>Name</v>
      </c>
      <c r="D3267" s="19" t="str">
        <f>IF(ISBLANK(A3267), "Email",IF(ISNA(VLOOKUP(A3267,'Master List'!A:C,3,FALSE)), "Not Found", VLOOKUP(A3267,'Master List'!A:C,3,FALSE)))</f>
        <v>Email</v>
      </c>
      <c r="F3267" s="4" t="str">
        <f>IF(OR(A3267="",E3267="","",A3267="?",E3267="?"),"duplicate?",IF(COUNTIFS($A:A,A3267,E:E,E3267)&gt;1,"yes","no"))</f>
        <v>duplicate?</v>
      </c>
      <c r="K3267" s="97" t="str">
        <f ca="1">IF(J3267="","Date",IF(J3267&lt;&gt;"",IF(K3267="Date",NOW(),K3267),""))</f>
        <v>Date</v>
      </c>
    </row>
    <row r="3268" spans="2:11">
      <c r="B3268" s="97" t="str">
        <f ca="1">IF(A3268="","Date",IF(A3268&lt;&gt;"",IF(B3268="Date",NOW(),B3268),""))</f>
        <v>Date</v>
      </c>
      <c r="C3268" s="19" t="str">
        <f>IF(ISBLANK(A3268),"Name",IF(ISNA(VLOOKUP(A3268,'Master List'!A:C,2,FALSE)), "Not Found", VLOOKUP(A3268,'Master List'!A:C,2,FALSE)))</f>
        <v>Name</v>
      </c>
      <c r="D3268" s="19" t="str">
        <f>IF(ISBLANK(A3268), "Email",IF(ISNA(VLOOKUP(A3268,'Master List'!A:C,3,FALSE)), "Not Found", VLOOKUP(A3268,'Master List'!A:C,3,FALSE)))</f>
        <v>Email</v>
      </c>
      <c r="F3268" s="4" t="str">
        <f>IF(OR(A3268="",E3268="","",A3268="?",E3268="?"),"duplicate?",IF(COUNTIFS($A:A,A3268,E:E,E3268)&gt;1,"yes","no"))</f>
        <v>duplicate?</v>
      </c>
      <c r="K3268" s="97" t="str">
        <f ca="1">IF(J3268="","Date",IF(J3268&lt;&gt;"",IF(K3268="Date",NOW(),K3268),""))</f>
        <v>Date</v>
      </c>
    </row>
    <row r="3269" spans="2:11">
      <c r="B3269" s="97" t="str">
        <f ca="1">IF(A3269="","Date",IF(A3269&lt;&gt;"",IF(B3269="Date",NOW(),B3269),""))</f>
        <v>Date</v>
      </c>
      <c r="C3269" s="19" t="str">
        <f>IF(ISBLANK(A3269),"Name",IF(ISNA(VLOOKUP(A3269,'Master List'!A:C,2,FALSE)), "Not Found", VLOOKUP(A3269,'Master List'!A:C,2,FALSE)))</f>
        <v>Name</v>
      </c>
      <c r="D3269" s="19" t="str">
        <f>IF(ISBLANK(A3269), "Email",IF(ISNA(VLOOKUP(A3269,'Master List'!A:C,3,FALSE)), "Not Found", VLOOKUP(A3269,'Master List'!A:C,3,FALSE)))</f>
        <v>Email</v>
      </c>
      <c r="F3269" s="4" t="str">
        <f>IF(OR(A3269="",E3269="","",A3269="?",E3269="?"),"duplicate?",IF(COUNTIFS($A:A,A3269,E:E,E3269)&gt;1,"yes","no"))</f>
        <v>duplicate?</v>
      </c>
      <c r="K3269" s="97" t="str">
        <f ca="1">IF(J3269="","Date",IF(J3269&lt;&gt;"",IF(K3269="Date",NOW(),K3269),""))</f>
        <v>Date</v>
      </c>
    </row>
    <row r="3270" spans="2:11">
      <c r="B3270" s="97" t="str">
        <f ca="1">IF(A3270="","Date",IF(A3270&lt;&gt;"",IF(B3270="Date",NOW(),B3270),""))</f>
        <v>Date</v>
      </c>
      <c r="C3270" s="19" t="str">
        <f>IF(ISBLANK(A3270),"Name",IF(ISNA(VLOOKUP(A3270,'Master List'!A:C,2,FALSE)), "Not Found", VLOOKUP(A3270,'Master List'!A:C,2,FALSE)))</f>
        <v>Name</v>
      </c>
      <c r="D3270" s="19" t="str">
        <f>IF(ISBLANK(A3270), "Email",IF(ISNA(VLOOKUP(A3270,'Master List'!A:C,3,FALSE)), "Not Found", VLOOKUP(A3270,'Master List'!A:C,3,FALSE)))</f>
        <v>Email</v>
      </c>
      <c r="F3270" s="4" t="str">
        <f>IF(OR(A3270="",E3270="","",A3270="?",E3270="?"),"duplicate?",IF(COUNTIFS($A:A,A3270,E:E,E3270)&gt;1,"yes","no"))</f>
        <v>duplicate?</v>
      </c>
      <c r="K3270" s="97" t="str">
        <f ca="1">IF(J3270="","Date",IF(J3270&lt;&gt;"",IF(K3270="Date",NOW(),K3270),""))</f>
        <v>Date</v>
      </c>
    </row>
    <row r="3271" spans="2:11">
      <c r="B3271" s="97" t="str">
        <f ca="1">IF(A3271="","Date",IF(A3271&lt;&gt;"",IF(B3271="Date",NOW(),B3271),""))</f>
        <v>Date</v>
      </c>
      <c r="C3271" s="19" t="str">
        <f>IF(ISBLANK(A3271),"Name",IF(ISNA(VLOOKUP(A3271,'Master List'!A:C,2,FALSE)), "Not Found", VLOOKUP(A3271,'Master List'!A:C,2,FALSE)))</f>
        <v>Name</v>
      </c>
      <c r="D3271" s="19" t="str">
        <f>IF(ISBLANK(A3271), "Email",IF(ISNA(VLOOKUP(A3271,'Master List'!A:C,3,FALSE)), "Not Found", VLOOKUP(A3271,'Master List'!A:C,3,FALSE)))</f>
        <v>Email</v>
      </c>
      <c r="F3271" s="4" t="str">
        <f>IF(OR(A3271="",E3271="","",A3271="?",E3271="?"),"duplicate?",IF(COUNTIFS($A:A,A3271,E:E,E3271)&gt;1,"yes","no"))</f>
        <v>duplicate?</v>
      </c>
      <c r="K3271" s="97" t="str">
        <f ca="1">IF(J3271="","Date",IF(J3271&lt;&gt;"",IF(K3271="Date",NOW(),K3271),""))</f>
        <v>Date</v>
      </c>
    </row>
    <row r="3272" spans="2:11">
      <c r="B3272" s="97" t="str">
        <f ca="1">IF(A3272="","Date",IF(A3272&lt;&gt;"",IF(B3272="Date",NOW(),B3272),""))</f>
        <v>Date</v>
      </c>
      <c r="C3272" s="19" t="str">
        <f>IF(ISBLANK(A3272),"Name",IF(ISNA(VLOOKUP(A3272,'Master List'!A:C,2,FALSE)), "Not Found", VLOOKUP(A3272,'Master List'!A:C,2,FALSE)))</f>
        <v>Name</v>
      </c>
      <c r="D3272" s="19" t="str">
        <f>IF(ISBLANK(A3272), "Email",IF(ISNA(VLOOKUP(A3272,'Master List'!A:C,3,FALSE)), "Not Found", VLOOKUP(A3272,'Master List'!A:C,3,FALSE)))</f>
        <v>Email</v>
      </c>
      <c r="F3272" s="4" t="str">
        <f>IF(OR(A3272="",E3272="","",A3272="?",E3272="?"),"duplicate?",IF(COUNTIFS($A:A,A3272,E:E,E3272)&gt;1,"yes","no"))</f>
        <v>duplicate?</v>
      </c>
      <c r="K3272" s="97" t="str">
        <f ca="1">IF(J3272="","Date",IF(J3272&lt;&gt;"",IF(K3272="Date",NOW(),K3272),""))</f>
        <v>Date</v>
      </c>
    </row>
    <row r="3273" spans="2:11">
      <c r="B3273" s="97" t="str">
        <f ca="1">IF(A3273="","Date",IF(A3273&lt;&gt;"",IF(B3273="Date",NOW(),B3273),""))</f>
        <v>Date</v>
      </c>
      <c r="C3273" s="19" t="str">
        <f>IF(ISBLANK(A3273),"Name",IF(ISNA(VLOOKUP(A3273,'Master List'!A:C,2,FALSE)), "Not Found", VLOOKUP(A3273,'Master List'!A:C,2,FALSE)))</f>
        <v>Name</v>
      </c>
      <c r="D3273" s="19" t="str">
        <f>IF(ISBLANK(A3273), "Email",IF(ISNA(VLOOKUP(A3273,'Master List'!A:C,3,FALSE)), "Not Found", VLOOKUP(A3273,'Master List'!A:C,3,FALSE)))</f>
        <v>Email</v>
      </c>
      <c r="F3273" s="4" t="str">
        <f>IF(OR(A3273="",E3273="","",A3273="?",E3273="?"),"duplicate?",IF(COUNTIFS($A:A,A3273,E:E,E3273)&gt;1,"yes","no"))</f>
        <v>duplicate?</v>
      </c>
      <c r="K3273" s="97" t="str">
        <f ca="1">IF(J3273="","Date",IF(J3273&lt;&gt;"",IF(K3273="Date",NOW(),K3273),""))</f>
        <v>Date</v>
      </c>
    </row>
    <row r="3274" spans="2:11">
      <c r="B3274" s="97" t="str">
        <f ca="1">IF(A3274="","Date",IF(A3274&lt;&gt;"",IF(B3274="Date",NOW(),B3274),""))</f>
        <v>Date</v>
      </c>
      <c r="C3274" s="19" t="str">
        <f>IF(ISBLANK(A3274),"Name",IF(ISNA(VLOOKUP(A3274,'Master List'!A:C,2,FALSE)), "Not Found", VLOOKUP(A3274,'Master List'!A:C,2,FALSE)))</f>
        <v>Name</v>
      </c>
      <c r="D3274" s="19" t="str">
        <f>IF(ISBLANK(A3274), "Email",IF(ISNA(VLOOKUP(A3274,'Master List'!A:C,3,FALSE)), "Not Found", VLOOKUP(A3274,'Master List'!A:C,3,FALSE)))</f>
        <v>Email</v>
      </c>
      <c r="F3274" s="4" t="str">
        <f>IF(OR(A3274="",E3274="","",A3274="?",E3274="?"),"duplicate?",IF(COUNTIFS($A:A,A3274,E:E,E3274)&gt;1,"yes","no"))</f>
        <v>duplicate?</v>
      </c>
      <c r="K3274" s="97" t="str">
        <f ca="1">IF(J3274="","Date",IF(J3274&lt;&gt;"",IF(K3274="Date",NOW(),K3274),""))</f>
        <v>Date</v>
      </c>
    </row>
    <row r="3275" spans="2:11">
      <c r="B3275" s="97" t="str">
        <f ca="1">IF(A3275="","Date",IF(A3275&lt;&gt;"",IF(B3275="Date",NOW(),B3275),""))</f>
        <v>Date</v>
      </c>
      <c r="C3275" s="19" t="str">
        <f>IF(ISBLANK(A3275),"Name",IF(ISNA(VLOOKUP(A3275,'Master List'!A:C,2,FALSE)), "Not Found", VLOOKUP(A3275,'Master List'!A:C,2,FALSE)))</f>
        <v>Name</v>
      </c>
      <c r="D3275" s="19" t="str">
        <f>IF(ISBLANK(A3275), "Email",IF(ISNA(VLOOKUP(A3275,'Master List'!A:C,3,FALSE)), "Not Found", VLOOKUP(A3275,'Master List'!A:C,3,FALSE)))</f>
        <v>Email</v>
      </c>
      <c r="F3275" s="4" t="str">
        <f>IF(OR(A3275="",E3275="","",A3275="?",E3275="?"),"duplicate?",IF(COUNTIFS($A:A,A3275,E:E,E3275)&gt;1,"yes","no"))</f>
        <v>duplicate?</v>
      </c>
      <c r="K3275" s="97" t="str">
        <f ca="1">IF(J3275="","Date",IF(J3275&lt;&gt;"",IF(K3275="Date",NOW(),K3275),""))</f>
        <v>Date</v>
      </c>
    </row>
    <row r="3276" spans="2:11">
      <c r="B3276" s="97" t="str">
        <f ca="1">IF(A3276="","Date",IF(A3276&lt;&gt;"",IF(B3276="Date",NOW(),B3276),""))</f>
        <v>Date</v>
      </c>
      <c r="C3276" s="19" t="str">
        <f>IF(ISBLANK(A3276),"Name",IF(ISNA(VLOOKUP(A3276,'Master List'!A:C,2,FALSE)), "Not Found", VLOOKUP(A3276,'Master List'!A:C,2,FALSE)))</f>
        <v>Name</v>
      </c>
      <c r="D3276" s="19" t="str">
        <f>IF(ISBLANK(A3276), "Email",IF(ISNA(VLOOKUP(A3276,'Master List'!A:C,3,FALSE)), "Not Found", VLOOKUP(A3276,'Master List'!A:C,3,FALSE)))</f>
        <v>Email</v>
      </c>
      <c r="F3276" s="4" t="str">
        <f>IF(OR(A3276="",E3276="","",A3276="?",E3276="?"),"duplicate?",IF(COUNTIFS($A:A,A3276,E:E,E3276)&gt;1,"yes","no"))</f>
        <v>duplicate?</v>
      </c>
      <c r="K3276" s="97" t="str">
        <f ca="1">IF(J3276="","Date",IF(J3276&lt;&gt;"",IF(K3276="Date",NOW(),K3276),""))</f>
        <v>Date</v>
      </c>
    </row>
    <row r="3277" spans="2:11">
      <c r="B3277" s="97" t="str">
        <f ca="1">IF(A3277="","Date",IF(A3277&lt;&gt;"",IF(B3277="Date",NOW(),B3277),""))</f>
        <v>Date</v>
      </c>
      <c r="C3277" s="19" t="str">
        <f>IF(ISBLANK(A3277),"Name",IF(ISNA(VLOOKUP(A3277,'Master List'!A:C,2,FALSE)), "Not Found", VLOOKUP(A3277,'Master List'!A:C,2,FALSE)))</f>
        <v>Name</v>
      </c>
      <c r="D3277" s="19" t="str">
        <f>IF(ISBLANK(A3277), "Email",IF(ISNA(VLOOKUP(A3277,'Master List'!A:C,3,FALSE)), "Not Found", VLOOKUP(A3277,'Master List'!A:C,3,FALSE)))</f>
        <v>Email</v>
      </c>
      <c r="F3277" s="4" t="str">
        <f>IF(OR(A3277="",E3277="","",A3277="?",E3277="?"),"duplicate?",IF(COUNTIFS($A:A,A3277,E:E,E3277)&gt;1,"yes","no"))</f>
        <v>duplicate?</v>
      </c>
      <c r="K3277" s="97" t="str">
        <f ca="1">IF(J3277="","Date",IF(J3277&lt;&gt;"",IF(K3277="Date",NOW(),K3277),""))</f>
        <v>Date</v>
      </c>
    </row>
    <row r="3278" spans="2:11">
      <c r="B3278" s="97" t="str">
        <f ca="1">IF(A3278="","Date",IF(A3278&lt;&gt;"",IF(B3278="Date",NOW(),B3278),""))</f>
        <v>Date</v>
      </c>
      <c r="C3278" s="19" t="str">
        <f>IF(ISBLANK(A3278),"Name",IF(ISNA(VLOOKUP(A3278,'Master List'!A:C,2,FALSE)), "Not Found", VLOOKUP(A3278,'Master List'!A:C,2,FALSE)))</f>
        <v>Name</v>
      </c>
      <c r="D3278" s="19" t="str">
        <f>IF(ISBLANK(A3278), "Email",IF(ISNA(VLOOKUP(A3278,'Master List'!A:C,3,FALSE)), "Not Found", VLOOKUP(A3278,'Master List'!A:C,3,FALSE)))</f>
        <v>Email</v>
      </c>
      <c r="F3278" s="4" t="str">
        <f>IF(OR(A3278="",E3278="","",A3278="?",E3278="?"),"duplicate?",IF(COUNTIFS($A:A,A3278,E:E,E3278)&gt;1,"yes","no"))</f>
        <v>duplicate?</v>
      </c>
      <c r="K3278" s="97" t="str">
        <f ca="1">IF(J3278="","Date",IF(J3278&lt;&gt;"",IF(K3278="Date",NOW(),K3278),""))</f>
        <v>Date</v>
      </c>
    </row>
    <row r="3279" spans="2:11">
      <c r="B3279" s="97" t="str">
        <f ca="1">IF(A3279="","Date",IF(A3279&lt;&gt;"",IF(B3279="Date",NOW(),B3279),""))</f>
        <v>Date</v>
      </c>
      <c r="C3279" s="19" t="str">
        <f>IF(ISBLANK(A3279),"Name",IF(ISNA(VLOOKUP(A3279,'Master List'!A:C,2,FALSE)), "Not Found", VLOOKUP(A3279,'Master List'!A:C,2,FALSE)))</f>
        <v>Name</v>
      </c>
      <c r="D3279" s="19" t="str">
        <f>IF(ISBLANK(A3279), "Email",IF(ISNA(VLOOKUP(A3279,'Master List'!A:C,3,FALSE)), "Not Found", VLOOKUP(A3279,'Master List'!A:C,3,FALSE)))</f>
        <v>Email</v>
      </c>
      <c r="F3279" s="4" t="str">
        <f>IF(OR(A3279="",E3279="","",A3279="?",E3279="?"),"duplicate?",IF(COUNTIFS($A:A,A3279,E:E,E3279)&gt;1,"yes","no"))</f>
        <v>duplicate?</v>
      </c>
      <c r="K3279" s="97" t="str">
        <f ca="1">IF(J3279="","Date",IF(J3279&lt;&gt;"",IF(K3279="Date",NOW(),K3279),""))</f>
        <v>Date</v>
      </c>
    </row>
    <row r="3280" spans="2:11">
      <c r="B3280" s="97" t="str">
        <f ca="1">IF(A3280="","Date",IF(A3280&lt;&gt;"",IF(B3280="Date",NOW(),B3280),""))</f>
        <v>Date</v>
      </c>
      <c r="C3280" s="19" t="str">
        <f>IF(ISBLANK(A3280),"Name",IF(ISNA(VLOOKUP(A3280,'Master List'!A:C,2,FALSE)), "Not Found", VLOOKUP(A3280,'Master List'!A:C,2,FALSE)))</f>
        <v>Name</v>
      </c>
      <c r="D3280" s="19" t="str">
        <f>IF(ISBLANK(A3280), "Email",IF(ISNA(VLOOKUP(A3280,'Master List'!A:C,3,FALSE)), "Not Found", VLOOKUP(A3280,'Master List'!A:C,3,FALSE)))</f>
        <v>Email</v>
      </c>
      <c r="F3280" s="4" t="str">
        <f>IF(OR(A3280="",E3280="","",A3280="?",E3280="?"),"duplicate?",IF(COUNTIFS($A:A,A3280,E:E,E3280)&gt;1,"yes","no"))</f>
        <v>duplicate?</v>
      </c>
      <c r="K3280" s="97" t="str">
        <f ca="1">IF(J3280="","Date",IF(J3280&lt;&gt;"",IF(K3280="Date",NOW(),K3280),""))</f>
        <v>Date</v>
      </c>
    </row>
    <row r="3281" spans="2:11">
      <c r="B3281" s="97" t="str">
        <f ca="1">IF(A3281="","Date",IF(A3281&lt;&gt;"",IF(B3281="Date",NOW(),B3281),""))</f>
        <v>Date</v>
      </c>
      <c r="C3281" s="19" t="str">
        <f>IF(ISBLANK(A3281),"Name",IF(ISNA(VLOOKUP(A3281,'Master List'!A:C,2,FALSE)), "Not Found", VLOOKUP(A3281,'Master List'!A:C,2,FALSE)))</f>
        <v>Name</v>
      </c>
      <c r="D3281" s="19" t="str">
        <f>IF(ISBLANK(A3281), "Email",IF(ISNA(VLOOKUP(A3281,'Master List'!A:C,3,FALSE)), "Not Found", VLOOKUP(A3281,'Master List'!A:C,3,FALSE)))</f>
        <v>Email</v>
      </c>
      <c r="F3281" s="4" t="str">
        <f>IF(OR(A3281="",E3281="","",A3281="?",E3281="?"),"duplicate?",IF(COUNTIFS($A:A,A3281,E:E,E3281)&gt;1,"yes","no"))</f>
        <v>duplicate?</v>
      </c>
      <c r="K3281" s="97" t="str">
        <f ca="1">IF(J3281="","Date",IF(J3281&lt;&gt;"",IF(K3281="Date",NOW(),K3281),""))</f>
        <v>Date</v>
      </c>
    </row>
    <row r="3282" spans="2:11">
      <c r="B3282" s="97" t="str">
        <f ca="1">IF(A3282="","Date",IF(A3282&lt;&gt;"",IF(B3282="Date",NOW(),B3282),""))</f>
        <v>Date</v>
      </c>
      <c r="C3282" s="19" t="str">
        <f>IF(ISBLANK(A3282),"Name",IF(ISNA(VLOOKUP(A3282,'Master List'!A:C,2,FALSE)), "Not Found", VLOOKUP(A3282,'Master List'!A:C,2,FALSE)))</f>
        <v>Name</v>
      </c>
      <c r="D3282" s="19" t="str">
        <f>IF(ISBLANK(A3282), "Email",IF(ISNA(VLOOKUP(A3282,'Master List'!A:C,3,FALSE)), "Not Found", VLOOKUP(A3282,'Master List'!A:C,3,FALSE)))</f>
        <v>Email</v>
      </c>
      <c r="F3282" s="4" t="str">
        <f>IF(OR(A3282="",E3282="","",A3282="?",E3282="?"),"duplicate?",IF(COUNTIFS($A:A,A3282,E:E,E3282)&gt;1,"yes","no"))</f>
        <v>duplicate?</v>
      </c>
      <c r="K3282" s="97" t="str">
        <f ca="1">IF(J3282="","Date",IF(J3282&lt;&gt;"",IF(K3282="Date",NOW(),K3282),""))</f>
        <v>Date</v>
      </c>
    </row>
    <row r="3283" spans="2:11">
      <c r="B3283" s="97" t="str">
        <f ca="1">IF(A3283="","Date",IF(A3283&lt;&gt;"",IF(B3283="Date",NOW(),B3283),""))</f>
        <v>Date</v>
      </c>
      <c r="C3283" s="19" t="str">
        <f>IF(ISBLANK(A3283),"Name",IF(ISNA(VLOOKUP(A3283,'Master List'!A:C,2,FALSE)), "Not Found", VLOOKUP(A3283,'Master List'!A:C,2,FALSE)))</f>
        <v>Name</v>
      </c>
      <c r="D3283" s="19" t="str">
        <f>IF(ISBLANK(A3283), "Email",IF(ISNA(VLOOKUP(A3283,'Master List'!A:C,3,FALSE)), "Not Found", VLOOKUP(A3283,'Master List'!A:C,3,FALSE)))</f>
        <v>Email</v>
      </c>
      <c r="F3283" s="4" t="str">
        <f>IF(OR(A3283="",E3283="","",A3283="?",E3283="?"),"duplicate?",IF(COUNTIFS($A:A,A3283,E:E,E3283)&gt;1,"yes","no"))</f>
        <v>duplicate?</v>
      </c>
      <c r="K3283" s="97" t="str">
        <f ca="1">IF(J3283="","Date",IF(J3283&lt;&gt;"",IF(K3283="Date",NOW(),K3283),""))</f>
        <v>Date</v>
      </c>
    </row>
    <row r="3284" spans="2:11">
      <c r="B3284" s="97" t="str">
        <f ca="1">IF(A3284="","Date",IF(A3284&lt;&gt;"",IF(B3284="Date",NOW(),B3284),""))</f>
        <v>Date</v>
      </c>
      <c r="C3284" s="19" t="str">
        <f>IF(ISBLANK(A3284),"Name",IF(ISNA(VLOOKUP(A3284,'Master List'!A:C,2,FALSE)), "Not Found", VLOOKUP(A3284,'Master List'!A:C,2,FALSE)))</f>
        <v>Name</v>
      </c>
      <c r="D3284" s="19" t="str">
        <f>IF(ISBLANK(A3284), "Email",IF(ISNA(VLOOKUP(A3284,'Master List'!A:C,3,FALSE)), "Not Found", VLOOKUP(A3284,'Master List'!A:C,3,FALSE)))</f>
        <v>Email</v>
      </c>
      <c r="F3284" s="4" t="str">
        <f>IF(OR(A3284="",E3284="","",A3284="?",E3284="?"),"duplicate?",IF(COUNTIFS($A:A,A3284,E:E,E3284)&gt;1,"yes","no"))</f>
        <v>duplicate?</v>
      </c>
      <c r="K3284" s="97" t="str">
        <f ca="1">IF(J3284="","Date",IF(J3284&lt;&gt;"",IF(K3284="Date",NOW(),K3284),""))</f>
        <v>Date</v>
      </c>
    </row>
    <row r="3285" spans="2:11">
      <c r="B3285" s="97" t="str">
        <f ca="1">IF(A3285="","Date",IF(A3285&lt;&gt;"",IF(B3285="Date",NOW(),B3285),""))</f>
        <v>Date</v>
      </c>
      <c r="C3285" s="19" t="str">
        <f>IF(ISBLANK(A3285),"Name",IF(ISNA(VLOOKUP(A3285,'Master List'!A:C,2,FALSE)), "Not Found", VLOOKUP(A3285,'Master List'!A:C,2,FALSE)))</f>
        <v>Name</v>
      </c>
      <c r="D3285" s="19" t="str">
        <f>IF(ISBLANK(A3285), "Email",IF(ISNA(VLOOKUP(A3285,'Master List'!A:C,3,FALSE)), "Not Found", VLOOKUP(A3285,'Master List'!A:C,3,FALSE)))</f>
        <v>Email</v>
      </c>
      <c r="F3285" s="4" t="str">
        <f>IF(OR(A3285="",E3285="","",A3285="?",E3285="?"),"duplicate?",IF(COUNTIFS($A:A,A3285,E:E,E3285)&gt;1,"yes","no"))</f>
        <v>duplicate?</v>
      </c>
      <c r="K3285" s="97" t="str">
        <f ca="1">IF(J3285="","Date",IF(J3285&lt;&gt;"",IF(K3285="Date",NOW(),K3285),""))</f>
        <v>Date</v>
      </c>
    </row>
    <row r="3286" spans="2:11">
      <c r="B3286" s="97" t="str">
        <f ca="1">IF(A3286="","Date",IF(A3286&lt;&gt;"",IF(B3286="Date",NOW(),B3286),""))</f>
        <v>Date</v>
      </c>
      <c r="C3286" s="19" t="str">
        <f>IF(ISBLANK(A3286),"Name",IF(ISNA(VLOOKUP(A3286,'Master List'!A:C,2,FALSE)), "Not Found", VLOOKUP(A3286,'Master List'!A:C,2,FALSE)))</f>
        <v>Name</v>
      </c>
      <c r="D3286" s="19" t="str">
        <f>IF(ISBLANK(A3286), "Email",IF(ISNA(VLOOKUP(A3286,'Master List'!A:C,3,FALSE)), "Not Found", VLOOKUP(A3286,'Master List'!A:C,3,FALSE)))</f>
        <v>Email</v>
      </c>
      <c r="F3286" s="4" t="str">
        <f>IF(OR(A3286="",E3286="","",A3286="?",E3286="?"),"duplicate?",IF(COUNTIFS($A:A,A3286,E:E,E3286)&gt;1,"yes","no"))</f>
        <v>duplicate?</v>
      </c>
      <c r="K3286" s="97" t="str">
        <f ca="1">IF(J3286="","Date",IF(J3286&lt;&gt;"",IF(K3286="Date",NOW(),K3286),""))</f>
        <v>Date</v>
      </c>
    </row>
    <row r="3287" spans="2:11">
      <c r="B3287" s="97" t="str">
        <f ca="1">IF(A3287="","Date",IF(A3287&lt;&gt;"",IF(B3287="Date",NOW(),B3287),""))</f>
        <v>Date</v>
      </c>
      <c r="C3287" s="19" t="str">
        <f>IF(ISBLANK(A3287),"Name",IF(ISNA(VLOOKUP(A3287,'Master List'!A:C,2,FALSE)), "Not Found", VLOOKUP(A3287,'Master List'!A:C,2,FALSE)))</f>
        <v>Name</v>
      </c>
      <c r="D3287" s="19" t="str">
        <f>IF(ISBLANK(A3287), "Email",IF(ISNA(VLOOKUP(A3287,'Master List'!A:C,3,FALSE)), "Not Found", VLOOKUP(A3287,'Master List'!A:C,3,FALSE)))</f>
        <v>Email</v>
      </c>
      <c r="F3287" s="4" t="str">
        <f>IF(OR(A3287="",E3287="","",A3287="?",E3287="?"),"duplicate?",IF(COUNTIFS($A:A,A3287,E:E,E3287)&gt;1,"yes","no"))</f>
        <v>duplicate?</v>
      </c>
      <c r="K3287" s="97" t="str">
        <f ca="1">IF(J3287="","Date",IF(J3287&lt;&gt;"",IF(K3287="Date",NOW(),K3287),""))</f>
        <v>Date</v>
      </c>
    </row>
    <row r="3288" spans="2:11">
      <c r="B3288" s="97" t="str">
        <f ca="1">IF(A3288="","Date",IF(A3288&lt;&gt;"",IF(B3288="Date",NOW(),B3288),""))</f>
        <v>Date</v>
      </c>
      <c r="C3288" s="19" t="str">
        <f>IF(ISBLANK(A3288),"Name",IF(ISNA(VLOOKUP(A3288,'Master List'!A:C,2,FALSE)), "Not Found", VLOOKUP(A3288,'Master List'!A:C,2,FALSE)))</f>
        <v>Name</v>
      </c>
      <c r="D3288" s="19" t="str">
        <f>IF(ISBLANK(A3288), "Email",IF(ISNA(VLOOKUP(A3288,'Master List'!A:C,3,FALSE)), "Not Found", VLOOKUP(A3288,'Master List'!A:C,3,FALSE)))</f>
        <v>Email</v>
      </c>
      <c r="F3288" s="4" t="str">
        <f>IF(OR(A3288="",E3288="","",A3288="?",E3288="?"),"duplicate?",IF(COUNTIFS($A:A,A3288,E:E,E3288)&gt;1,"yes","no"))</f>
        <v>duplicate?</v>
      </c>
      <c r="K3288" s="97" t="str">
        <f ca="1">IF(J3288="","Date",IF(J3288&lt;&gt;"",IF(K3288="Date",NOW(),K3288),""))</f>
        <v>Date</v>
      </c>
    </row>
    <row r="3289" spans="2:11">
      <c r="B3289" s="97" t="str">
        <f ca="1">IF(A3289="","Date",IF(A3289&lt;&gt;"",IF(B3289="Date",NOW(),B3289),""))</f>
        <v>Date</v>
      </c>
      <c r="C3289" s="19" t="str">
        <f>IF(ISBLANK(A3289),"Name",IF(ISNA(VLOOKUP(A3289,'Master List'!A:C,2,FALSE)), "Not Found", VLOOKUP(A3289,'Master List'!A:C,2,FALSE)))</f>
        <v>Name</v>
      </c>
      <c r="D3289" s="19" t="str">
        <f>IF(ISBLANK(A3289), "Email",IF(ISNA(VLOOKUP(A3289,'Master List'!A:C,3,FALSE)), "Not Found", VLOOKUP(A3289,'Master List'!A:C,3,FALSE)))</f>
        <v>Email</v>
      </c>
      <c r="F3289" s="4" t="str">
        <f>IF(OR(A3289="",E3289="","",A3289="?",E3289="?"),"duplicate?",IF(COUNTIFS($A:A,A3289,E:E,E3289)&gt;1,"yes","no"))</f>
        <v>duplicate?</v>
      </c>
      <c r="K3289" s="97" t="str">
        <f ca="1">IF(J3289="","Date",IF(J3289&lt;&gt;"",IF(K3289="Date",NOW(),K3289),""))</f>
        <v>Date</v>
      </c>
    </row>
    <row r="3290" spans="2:11">
      <c r="B3290" s="97" t="str">
        <f ca="1">IF(A3290="","Date",IF(A3290&lt;&gt;"",IF(B3290="Date",NOW(),B3290),""))</f>
        <v>Date</v>
      </c>
      <c r="C3290" s="19" t="str">
        <f>IF(ISBLANK(A3290),"Name",IF(ISNA(VLOOKUP(A3290,'Master List'!A:C,2,FALSE)), "Not Found", VLOOKUP(A3290,'Master List'!A:C,2,FALSE)))</f>
        <v>Name</v>
      </c>
      <c r="D3290" s="19" t="str">
        <f>IF(ISBLANK(A3290), "Email",IF(ISNA(VLOOKUP(A3290,'Master List'!A:C,3,FALSE)), "Not Found", VLOOKUP(A3290,'Master List'!A:C,3,FALSE)))</f>
        <v>Email</v>
      </c>
      <c r="F3290" s="4" t="str">
        <f>IF(OR(A3290="",E3290="","",A3290="?",E3290="?"),"duplicate?",IF(COUNTIFS($A:A,A3290,E:E,E3290)&gt;1,"yes","no"))</f>
        <v>duplicate?</v>
      </c>
      <c r="K3290" s="97" t="str">
        <f ca="1">IF(J3290="","Date",IF(J3290&lt;&gt;"",IF(K3290="Date",NOW(),K3290),""))</f>
        <v>Date</v>
      </c>
    </row>
    <row r="3291" spans="2:11">
      <c r="B3291" s="97" t="str">
        <f ca="1">IF(A3291="","Date",IF(A3291&lt;&gt;"",IF(B3291="Date",NOW(),B3291),""))</f>
        <v>Date</v>
      </c>
      <c r="C3291" s="19" t="str">
        <f>IF(ISBLANK(A3291),"Name",IF(ISNA(VLOOKUP(A3291,'Master List'!A:C,2,FALSE)), "Not Found", VLOOKUP(A3291,'Master List'!A:C,2,FALSE)))</f>
        <v>Name</v>
      </c>
      <c r="D3291" s="19" t="str">
        <f>IF(ISBLANK(A3291), "Email",IF(ISNA(VLOOKUP(A3291,'Master List'!A:C,3,FALSE)), "Not Found", VLOOKUP(A3291,'Master List'!A:C,3,FALSE)))</f>
        <v>Email</v>
      </c>
      <c r="F3291" s="4" t="str">
        <f>IF(OR(A3291="",E3291="","",A3291="?",E3291="?"),"duplicate?",IF(COUNTIFS($A:A,A3291,E:E,E3291)&gt;1,"yes","no"))</f>
        <v>duplicate?</v>
      </c>
      <c r="K3291" s="97" t="str">
        <f ca="1">IF(J3291="","Date",IF(J3291&lt;&gt;"",IF(K3291="Date",NOW(),K3291),""))</f>
        <v>Date</v>
      </c>
    </row>
    <row r="3292" spans="2:11">
      <c r="B3292" s="97" t="str">
        <f ca="1">IF(A3292="","Date",IF(A3292&lt;&gt;"",IF(B3292="Date",NOW(),B3292),""))</f>
        <v>Date</v>
      </c>
      <c r="C3292" s="19" t="str">
        <f>IF(ISBLANK(A3292),"Name",IF(ISNA(VLOOKUP(A3292,'Master List'!A:C,2,FALSE)), "Not Found", VLOOKUP(A3292,'Master List'!A:C,2,FALSE)))</f>
        <v>Name</v>
      </c>
      <c r="D3292" s="19" t="str">
        <f>IF(ISBLANK(A3292), "Email",IF(ISNA(VLOOKUP(A3292,'Master List'!A:C,3,FALSE)), "Not Found", VLOOKUP(A3292,'Master List'!A:C,3,FALSE)))</f>
        <v>Email</v>
      </c>
      <c r="F3292" s="4" t="str">
        <f>IF(OR(A3292="",E3292="","",A3292="?",E3292="?"),"duplicate?",IF(COUNTIFS($A:A,A3292,E:E,E3292)&gt;1,"yes","no"))</f>
        <v>duplicate?</v>
      </c>
      <c r="K3292" s="97" t="str">
        <f ca="1">IF(J3292="","Date",IF(J3292&lt;&gt;"",IF(K3292="Date",NOW(),K3292),""))</f>
        <v>Date</v>
      </c>
    </row>
    <row r="3293" spans="2:11">
      <c r="B3293" s="97" t="str">
        <f ca="1">IF(A3293="","Date",IF(A3293&lt;&gt;"",IF(B3293="Date",NOW(),B3293),""))</f>
        <v>Date</v>
      </c>
      <c r="C3293" s="19" t="str">
        <f>IF(ISBLANK(A3293),"Name",IF(ISNA(VLOOKUP(A3293,'Master List'!A:C,2,FALSE)), "Not Found", VLOOKUP(A3293,'Master List'!A:C,2,FALSE)))</f>
        <v>Name</v>
      </c>
      <c r="D3293" s="19" t="str">
        <f>IF(ISBLANK(A3293), "Email",IF(ISNA(VLOOKUP(A3293,'Master List'!A:C,3,FALSE)), "Not Found", VLOOKUP(A3293,'Master List'!A:C,3,FALSE)))</f>
        <v>Email</v>
      </c>
      <c r="F3293" s="4" t="str">
        <f>IF(OR(A3293="",E3293="","",A3293="?",E3293="?"),"duplicate?",IF(COUNTIFS($A:A,A3293,E:E,E3293)&gt;1,"yes","no"))</f>
        <v>duplicate?</v>
      </c>
      <c r="K3293" s="97" t="str">
        <f ca="1">IF(J3293="","Date",IF(J3293&lt;&gt;"",IF(K3293="Date",NOW(),K3293),""))</f>
        <v>Date</v>
      </c>
    </row>
    <row r="3294" spans="2:11">
      <c r="B3294" s="97" t="str">
        <f ca="1">IF(A3294="","Date",IF(A3294&lt;&gt;"",IF(B3294="Date",NOW(),B3294),""))</f>
        <v>Date</v>
      </c>
      <c r="C3294" s="19" t="str">
        <f>IF(ISBLANK(A3294),"Name",IF(ISNA(VLOOKUP(A3294,'Master List'!A:C,2,FALSE)), "Not Found", VLOOKUP(A3294,'Master List'!A:C,2,FALSE)))</f>
        <v>Name</v>
      </c>
      <c r="D3294" s="19" t="str">
        <f>IF(ISBLANK(A3294), "Email",IF(ISNA(VLOOKUP(A3294,'Master List'!A:C,3,FALSE)), "Not Found", VLOOKUP(A3294,'Master List'!A:C,3,FALSE)))</f>
        <v>Email</v>
      </c>
      <c r="F3294" s="4" t="str">
        <f>IF(OR(A3294="",E3294="","",A3294="?",E3294="?"),"duplicate?",IF(COUNTIFS($A:A,A3294,E:E,E3294)&gt;1,"yes","no"))</f>
        <v>duplicate?</v>
      </c>
      <c r="K3294" s="97" t="str">
        <f ca="1">IF(J3294="","Date",IF(J3294&lt;&gt;"",IF(K3294="Date",NOW(),K3294),""))</f>
        <v>Date</v>
      </c>
    </row>
    <row r="3295" spans="2:11">
      <c r="B3295" s="97" t="str">
        <f ca="1">IF(A3295="","Date",IF(A3295&lt;&gt;"",IF(B3295="Date",NOW(),B3295),""))</f>
        <v>Date</v>
      </c>
      <c r="C3295" s="19" t="str">
        <f>IF(ISBLANK(A3295),"Name",IF(ISNA(VLOOKUP(A3295,'Master List'!A:C,2,FALSE)), "Not Found", VLOOKUP(A3295,'Master List'!A:C,2,FALSE)))</f>
        <v>Name</v>
      </c>
      <c r="D3295" s="19" t="str">
        <f>IF(ISBLANK(A3295), "Email",IF(ISNA(VLOOKUP(A3295,'Master List'!A:C,3,FALSE)), "Not Found", VLOOKUP(A3295,'Master List'!A:C,3,FALSE)))</f>
        <v>Email</v>
      </c>
      <c r="F3295" s="4" t="str">
        <f>IF(OR(A3295="",E3295="","",A3295="?",E3295="?"),"duplicate?",IF(COUNTIFS($A:A,A3295,E:E,E3295)&gt;1,"yes","no"))</f>
        <v>duplicate?</v>
      </c>
      <c r="K3295" s="97" t="str">
        <f ca="1">IF(J3295="","Date",IF(J3295&lt;&gt;"",IF(K3295="Date",NOW(),K3295),""))</f>
        <v>Date</v>
      </c>
    </row>
    <row r="3296" spans="2:11">
      <c r="B3296" s="97" t="str">
        <f ca="1">IF(A3296="","Date",IF(A3296&lt;&gt;"",IF(B3296="Date",NOW(),B3296),""))</f>
        <v>Date</v>
      </c>
      <c r="C3296" s="19" t="str">
        <f>IF(ISBLANK(A3296),"Name",IF(ISNA(VLOOKUP(A3296,'Master List'!A:C,2,FALSE)), "Not Found", VLOOKUP(A3296,'Master List'!A:C,2,FALSE)))</f>
        <v>Name</v>
      </c>
      <c r="D3296" s="19" t="str">
        <f>IF(ISBLANK(A3296), "Email",IF(ISNA(VLOOKUP(A3296,'Master List'!A:C,3,FALSE)), "Not Found", VLOOKUP(A3296,'Master List'!A:C,3,FALSE)))</f>
        <v>Email</v>
      </c>
      <c r="F3296" s="4" t="str">
        <f>IF(OR(A3296="",E3296="","",A3296="?",E3296="?"),"duplicate?",IF(COUNTIFS($A:A,A3296,E:E,E3296)&gt;1,"yes","no"))</f>
        <v>duplicate?</v>
      </c>
      <c r="K3296" s="97" t="str">
        <f ca="1">IF(J3296="","Date",IF(J3296&lt;&gt;"",IF(K3296="Date",NOW(),K3296),""))</f>
        <v>Date</v>
      </c>
    </row>
    <row r="3297" spans="2:11">
      <c r="B3297" s="97" t="str">
        <f ca="1">IF(A3297="","Date",IF(A3297&lt;&gt;"",IF(B3297="Date",NOW(),B3297),""))</f>
        <v>Date</v>
      </c>
      <c r="C3297" s="19" t="str">
        <f>IF(ISBLANK(A3297),"Name",IF(ISNA(VLOOKUP(A3297,'Master List'!A:C,2,FALSE)), "Not Found", VLOOKUP(A3297,'Master List'!A:C,2,FALSE)))</f>
        <v>Name</v>
      </c>
      <c r="D3297" s="19" t="str">
        <f>IF(ISBLANK(A3297), "Email",IF(ISNA(VLOOKUP(A3297,'Master List'!A:C,3,FALSE)), "Not Found", VLOOKUP(A3297,'Master List'!A:C,3,FALSE)))</f>
        <v>Email</v>
      </c>
      <c r="F3297" s="4" t="str">
        <f>IF(OR(A3297="",E3297="","",A3297="?",E3297="?"),"duplicate?",IF(COUNTIFS($A:A,A3297,E:E,E3297)&gt;1,"yes","no"))</f>
        <v>duplicate?</v>
      </c>
      <c r="K3297" s="97" t="str">
        <f ca="1">IF(J3297="","Date",IF(J3297&lt;&gt;"",IF(K3297="Date",NOW(),K3297),""))</f>
        <v>Date</v>
      </c>
    </row>
    <row r="3298" spans="2:11">
      <c r="B3298" s="97" t="str">
        <f ca="1">IF(A3298="","Date",IF(A3298&lt;&gt;"",IF(B3298="Date",NOW(),B3298),""))</f>
        <v>Date</v>
      </c>
      <c r="C3298" s="19" t="str">
        <f>IF(ISBLANK(A3298),"Name",IF(ISNA(VLOOKUP(A3298,'Master List'!A:C,2,FALSE)), "Not Found", VLOOKUP(A3298,'Master List'!A:C,2,FALSE)))</f>
        <v>Name</v>
      </c>
      <c r="D3298" s="19" t="str">
        <f>IF(ISBLANK(A3298), "Email",IF(ISNA(VLOOKUP(A3298,'Master List'!A:C,3,FALSE)), "Not Found", VLOOKUP(A3298,'Master List'!A:C,3,FALSE)))</f>
        <v>Email</v>
      </c>
      <c r="F3298" s="4" t="str">
        <f>IF(OR(A3298="",E3298="","",A3298="?",E3298="?"),"duplicate?",IF(COUNTIFS($A:A,A3298,E:E,E3298)&gt;1,"yes","no"))</f>
        <v>duplicate?</v>
      </c>
      <c r="K3298" s="97" t="str">
        <f ca="1">IF(J3298="","Date",IF(J3298&lt;&gt;"",IF(K3298="Date",NOW(),K3298),""))</f>
        <v>Date</v>
      </c>
    </row>
    <row r="3299" spans="2:11">
      <c r="B3299" s="97" t="str">
        <f ca="1">IF(A3299="","Date",IF(A3299&lt;&gt;"",IF(B3299="Date",NOW(),B3299),""))</f>
        <v>Date</v>
      </c>
      <c r="C3299" s="19" t="str">
        <f>IF(ISBLANK(A3299),"Name",IF(ISNA(VLOOKUP(A3299,'Master List'!A:C,2,FALSE)), "Not Found", VLOOKUP(A3299,'Master List'!A:C,2,FALSE)))</f>
        <v>Name</v>
      </c>
      <c r="D3299" s="19" t="str">
        <f>IF(ISBLANK(A3299), "Email",IF(ISNA(VLOOKUP(A3299,'Master List'!A:C,3,FALSE)), "Not Found", VLOOKUP(A3299,'Master List'!A:C,3,FALSE)))</f>
        <v>Email</v>
      </c>
      <c r="F3299" s="4" t="str">
        <f>IF(OR(A3299="",E3299="","",A3299="?",E3299="?"),"duplicate?",IF(COUNTIFS($A:A,A3299,E:E,E3299)&gt;1,"yes","no"))</f>
        <v>duplicate?</v>
      </c>
      <c r="K3299" s="97" t="str">
        <f ca="1">IF(J3299="","Date",IF(J3299&lt;&gt;"",IF(K3299="Date",NOW(),K3299),""))</f>
        <v>Date</v>
      </c>
    </row>
    <row r="3300" spans="2:11">
      <c r="B3300" s="97" t="str">
        <f ca="1">IF(A3300="","Date",IF(A3300&lt;&gt;"",IF(B3300="Date",NOW(),B3300),""))</f>
        <v>Date</v>
      </c>
      <c r="C3300" s="19" t="str">
        <f>IF(ISBLANK(A3300),"Name",IF(ISNA(VLOOKUP(A3300,'Master List'!A:C,2,FALSE)), "Not Found", VLOOKUP(A3300,'Master List'!A:C,2,FALSE)))</f>
        <v>Name</v>
      </c>
      <c r="D3300" s="19" t="str">
        <f>IF(ISBLANK(A3300), "Email",IF(ISNA(VLOOKUP(A3300,'Master List'!A:C,3,FALSE)), "Not Found", VLOOKUP(A3300,'Master List'!A:C,3,FALSE)))</f>
        <v>Email</v>
      </c>
      <c r="F3300" s="4" t="str">
        <f>IF(OR(A3300="",E3300="","",A3300="?",E3300="?"),"duplicate?",IF(COUNTIFS($A:A,A3300,E:E,E3300)&gt;1,"yes","no"))</f>
        <v>duplicate?</v>
      </c>
      <c r="K3300" s="97" t="str">
        <f ca="1">IF(J3300="","Date",IF(J3300&lt;&gt;"",IF(K3300="Date",NOW(),K3300),""))</f>
        <v>Date</v>
      </c>
    </row>
    <row r="3301" spans="2:11">
      <c r="B3301" s="97" t="str">
        <f ca="1">IF(A3301="","Date",IF(A3301&lt;&gt;"",IF(B3301="Date",NOW(),B3301),""))</f>
        <v>Date</v>
      </c>
      <c r="C3301" s="19" t="str">
        <f>IF(ISBLANK(A3301),"Name",IF(ISNA(VLOOKUP(A3301,'Master List'!A:C,2,FALSE)), "Not Found", VLOOKUP(A3301,'Master List'!A:C,2,FALSE)))</f>
        <v>Name</v>
      </c>
      <c r="D3301" s="19" t="str">
        <f>IF(ISBLANK(A3301), "Email",IF(ISNA(VLOOKUP(A3301,'Master List'!A:C,3,FALSE)), "Not Found", VLOOKUP(A3301,'Master List'!A:C,3,FALSE)))</f>
        <v>Email</v>
      </c>
      <c r="F3301" s="4" t="str">
        <f>IF(OR(A3301="",E3301="","",A3301="?",E3301="?"),"duplicate?",IF(COUNTIFS($A:A,A3301,E:E,E3301)&gt;1,"yes","no"))</f>
        <v>duplicate?</v>
      </c>
      <c r="K3301" s="97" t="str">
        <f ca="1">IF(J3301="","Date",IF(J3301&lt;&gt;"",IF(K3301="Date",NOW(),K3301),""))</f>
        <v>Date</v>
      </c>
    </row>
    <row r="3302" spans="2:11">
      <c r="B3302" s="97" t="str">
        <f ca="1">IF(A3302="","Date",IF(A3302&lt;&gt;"",IF(B3302="Date",NOW(),B3302),""))</f>
        <v>Date</v>
      </c>
      <c r="C3302" s="19" t="str">
        <f>IF(ISBLANK(A3302),"Name",IF(ISNA(VLOOKUP(A3302,'Master List'!A:C,2,FALSE)), "Not Found", VLOOKUP(A3302,'Master List'!A:C,2,FALSE)))</f>
        <v>Name</v>
      </c>
      <c r="D3302" s="19" t="str">
        <f>IF(ISBLANK(A3302), "Email",IF(ISNA(VLOOKUP(A3302,'Master List'!A:C,3,FALSE)), "Not Found", VLOOKUP(A3302,'Master List'!A:C,3,FALSE)))</f>
        <v>Email</v>
      </c>
      <c r="F3302" s="4" t="str">
        <f>IF(OR(A3302="",E3302="","",A3302="?",E3302="?"),"duplicate?",IF(COUNTIFS($A:A,A3302,E:E,E3302)&gt;1,"yes","no"))</f>
        <v>duplicate?</v>
      </c>
      <c r="K3302" s="97" t="str">
        <f ca="1">IF(J3302="","Date",IF(J3302&lt;&gt;"",IF(K3302="Date",NOW(),K3302),""))</f>
        <v>Date</v>
      </c>
    </row>
    <row r="3303" spans="2:11">
      <c r="B3303" s="97" t="str">
        <f ca="1">IF(A3303="","Date",IF(A3303&lt;&gt;"",IF(B3303="Date",NOW(),B3303),""))</f>
        <v>Date</v>
      </c>
      <c r="C3303" s="19" t="str">
        <f>IF(ISBLANK(A3303),"Name",IF(ISNA(VLOOKUP(A3303,'Master List'!A:C,2,FALSE)), "Not Found", VLOOKUP(A3303,'Master List'!A:C,2,FALSE)))</f>
        <v>Name</v>
      </c>
      <c r="D3303" s="19" t="str">
        <f>IF(ISBLANK(A3303), "Email",IF(ISNA(VLOOKUP(A3303,'Master List'!A:C,3,FALSE)), "Not Found", VLOOKUP(A3303,'Master List'!A:C,3,FALSE)))</f>
        <v>Email</v>
      </c>
      <c r="F3303" s="4" t="str">
        <f>IF(OR(A3303="",E3303="","",A3303="?",E3303="?"),"duplicate?",IF(COUNTIFS($A:A,A3303,E:E,E3303)&gt;1,"yes","no"))</f>
        <v>duplicate?</v>
      </c>
      <c r="K3303" s="97" t="str">
        <f ca="1">IF(J3303="","Date",IF(J3303&lt;&gt;"",IF(K3303="Date",NOW(),K3303),""))</f>
        <v>Date</v>
      </c>
    </row>
    <row r="3304" spans="2:11">
      <c r="B3304" s="97" t="str">
        <f ca="1">IF(A3304="","Date",IF(A3304&lt;&gt;"",IF(B3304="Date",NOW(),B3304),""))</f>
        <v>Date</v>
      </c>
      <c r="C3304" s="19" t="str">
        <f>IF(ISBLANK(A3304),"Name",IF(ISNA(VLOOKUP(A3304,'Master List'!A:C,2,FALSE)), "Not Found", VLOOKUP(A3304,'Master List'!A:C,2,FALSE)))</f>
        <v>Name</v>
      </c>
      <c r="D3304" s="19" t="str">
        <f>IF(ISBLANK(A3304), "Email",IF(ISNA(VLOOKUP(A3304,'Master List'!A:C,3,FALSE)), "Not Found", VLOOKUP(A3304,'Master List'!A:C,3,FALSE)))</f>
        <v>Email</v>
      </c>
      <c r="F3304" s="4" t="str">
        <f>IF(OR(A3304="",E3304="","",A3304="?",E3304="?"),"duplicate?",IF(COUNTIFS($A:A,A3304,E:E,E3304)&gt;1,"yes","no"))</f>
        <v>duplicate?</v>
      </c>
      <c r="K3304" s="97" t="str">
        <f ca="1">IF(J3304="","Date",IF(J3304&lt;&gt;"",IF(K3304="Date",NOW(),K3304),""))</f>
        <v>Date</v>
      </c>
    </row>
    <row r="3305" spans="2:11">
      <c r="B3305" s="97" t="str">
        <f ca="1">IF(A3305="","Date",IF(A3305&lt;&gt;"",IF(B3305="Date",NOW(),B3305),""))</f>
        <v>Date</v>
      </c>
      <c r="C3305" s="19" t="str">
        <f>IF(ISBLANK(A3305),"Name",IF(ISNA(VLOOKUP(A3305,'Master List'!A:C,2,FALSE)), "Not Found", VLOOKUP(A3305,'Master List'!A:C,2,FALSE)))</f>
        <v>Name</v>
      </c>
      <c r="D3305" s="19" t="str">
        <f>IF(ISBLANK(A3305), "Email",IF(ISNA(VLOOKUP(A3305,'Master List'!A:C,3,FALSE)), "Not Found", VLOOKUP(A3305,'Master List'!A:C,3,FALSE)))</f>
        <v>Email</v>
      </c>
      <c r="F3305" s="4" t="str">
        <f>IF(OR(A3305="",E3305="","",A3305="?",E3305="?"),"duplicate?",IF(COUNTIFS($A:A,A3305,E:E,E3305)&gt;1,"yes","no"))</f>
        <v>duplicate?</v>
      </c>
      <c r="K3305" s="97" t="str">
        <f ca="1">IF(J3305="","Date",IF(J3305&lt;&gt;"",IF(K3305="Date",NOW(),K3305),""))</f>
        <v>Date</v>
      </c>
    </row>
    <row r="3306" spans="2:11">
      <c r="B3306" s="97" t="str">
        <f ca="1">IF(A3306="","Date",IF(A3306&lt;&gt;"",IF(B3306="Date",NOW(),B3306),""))</f>
        <v>Date</v>
      </c>
      <c r="C3306" s="19" t="str">
        <f>IF(ISBLANK(A3306),"Name",IF(ISNA(VLOOKUP(A3306,'Master List'!A:C,2,FALSE)), "Not Found", VLOOKUP(A3306,'Master List'!A:C,2,FALSE)))</f>
        <v>Name</v>
      </c>
      <c r="D3306" s="19" t="str">
        <f>IF(ISBLANK(A3306), "Email",IF(ISNA(VLOOKUP(A3306,'Master List'!A:C,3,FALSE)), "Not Found", VLOOKUP(A3306,'Master List'!A:C,3,FALSE)))</f>
        <v>Email</v>
      </c>
      <c r="F3306" s="4" t="str">
        <f>IF(OR(A3306="",E3306="","",A3306="?",E3306="?"),"duplicate?",IF(COUNTIFS($A:A,A3306,E:E,E3306)&gt;1,"yes","no"))</f>
        <v>duplicate?</v>
      </c>
      <c r="K3306" s="97" t="str">
        <f ca="1">IF(J3306="","Date",IF(J3306&lt;&gt;"",IF(K3306="Date",NOW(),K3306),""))</f>
        <v>Date</v>
      </c>
    </row>
    <row r="3307" spans="2:11">
      <c r="B3307" s="97" t="str">
        <f ca="1">IF(A3307="","Date",IF(A3307&lt;&gt;"",IF(B3307="Date",NOW(),B3307),""))</f>
        <v>Date</v>
      </c>
      <c r="C3307" s="19" t="str">
        <f>IF(ISBLANK(A3307),"Name",IF(ISNA(VLOOKUP(A3307,'Master List'!A:C,2,FALSE)), "Not Found", VLOOKUP(A3307,'Master List'!A:C,2,FALSE)))</f>
        <v>Name</v>
      </c>
      <c r="D3307" s="19" t="str">
        <f>IF(ISBLANK(A3307), "Email",IF(ISNA(VLOOKUP(A3307,'Master List'!A:C,3,FALSE)), "Not Found", VLOOKUP(A3307,'Master List'!A:C,3,FALSE)))</f>
        <v>Email</v>
      </c>
      <c r="F3307" s="4" t="str">
        <f>IF(OR(A3307="",E3307="","",A3307="?",E3307="?"),"duplicate?",IF(COUNTIFS($A:A,A3307,E:E,E3307)&gt;1,"yes","no"))</f>
        <v>duplicate?</v>
      </c>
      <c r="K3307" s="97" t="str">
        <f ca="1">IF(J3307="","Date",IF(J3307&lt;&gt;"",IF(K3307="Date",NOW(),K3307),""))</f>
        <v>Date</v>
      </c>
    </row>
    <row r="3308" spans="2:11">
      <c r="B3308" s="97" t="str">
        <f ca="1">IF(A3308="","Date",IF(A3308&lt;&gt;"",IF(B3308="Date",NOW(),B3308),""))</f>
        <v>Date</v>
      </c>
      <c r="C3308" s="19" t="str">
        <f>IF(ISBLANK(A3308),"Name",IF(ISNA(VLOOKUP(A3308,'Master List'!A:C,2,FALSE)), "Not Found", VLOOKUP(A3308,'Master List'!A:C,2,FALSE)))</f>
        <v>Name</v>
      </c>
      <c r="D3308" s="19" t="str">
        <f>IF(ISBLANK(A3308), "Email",IF(ISNA(VLOOKUP(A3308,'Master List'!A:C,3,FALSE)), "Not Found", VLOOKUP(A3308,'Master List'!A:C,3,FALSE)))</f>
        <v>Email</v>
      </c>
      <c r="F3308" s="4" t="str">
        <f>IF(OR(A3308="",E3308="","",A3308="?",E3308="?"),"duplicate?",IF(COUNTIFS($A:A,A3308,E:E,E3308)&gt;1,"yes","no"))</f>
        <v>duplicate?</v>
      </c>
      <c r="K3308" s="97" t="str">
        <f ca="1">IF(J3308="","Date",IF(J3308&lt;&gt;"",IF(K3308="Date",NOW(),K3308),""))</f>
        <v>Date</v>
      </c>
    </row>
    <row r="3309" spans="2:11">
      <c r="B3309" s="97" t="str">
        <f ca="1">IF(A3309="","Date",IF(A3309&lt;&gt;"",IF(B3309="Date",NOW(),B3309),""))</f>
        <v>Date</v>
      </c>
      <c r="C3309" s="19" t="str">
        <f>IF(ISBLANK(A3309),"Name",IF(ISNA(VLOOKUP(A3309,'Master List'!A:C,2,FALSE)), "Not Found", VLOOKUP(A3309,'Master List'!A:C,2,FALSE)))</f>
        <v>Name</v>
      </c>
      <c r="D3309" s="19" t="str">
        <f>IF(ISBLANK(A3309), "Email",IF(ISNA(VLOOKUP(A3309,'Master List'!A:C,3,FALSE)), "Not Found", VLOOKUP(A3309,'Master List'!A:C,3,FALSE)))</f>
        <v>Email</v>
      </c>
      <c r="F3309" s="4" t="str">
        <f>IF(OR(A3309="",E3309="","",A3309="?",E3309="?"),"duplicate?",IF(COUNTIFS($A:A,A3309,E:E,E3309)&gt;1,"yes","no"))</f>
        <v>duplicate?</v>
      </c>
      <c r="K3309" s="97" t="str">
        <f ca="1">IF(J3309="","Date",IF(J3309&lt;&gt;"",IF(K3309="Date",NOW(),K3309),""))</f>
        <v>Date</v>
      </c>
    </row>
    <row r="3310" spans="2:11">
      <c r="B3310" s="97" t="str">
        <f ca="1">IF(A3310="","Date",IF(A3310&lt;&gt;"",IF(B3310="Date",NOW(),B3310),""))</f>
        <v>Date</v>
      </c>
      <c r="C3310" s="19" t="str">
        <f>IF(ISBLANK(A3310),"Name",IF(ISNA(VLOOKUP(A3310,'Master List'!A:C,2,FALSE)), "Not Found", VLOOKUP(A3310,'Master List'!A:C,2,FALSE)))</f>
        <v>Name</v>
      </c>
      <c r="D3310" s="19" t="str">
        <f>IF(ISBLANK(A3310), "Email",IF(ISNA(VLOOKUP(A3310,'Master List'!A:C,3,FALSE)), "Not Found", VLOOKUP(A3310,'Master List'!A:C,3,FALSE)))</f>
        <v>Email</v>
      </c>
      <c r="F3310" s="4" t="str">
        <f>IF(OR(A3310="",E3310="","",A3310="?",E3310="?"),"duplicate?",IF(COUNTIFS($A:A,A3310,E:E,E3310)&gt;1,"yes","no"))</f>
        <v>duplicate?</v>
      </c>
      <c r="K3310" s="97" t="str">
        <f ca="1">IF(J3310="","Date",IF(J3310&lt;&gt;"",IF(K3310="Date",NOW(),K3310),""))</f>
        <v>Date</v>
      </c>
    </row>
    <row r="3311" spans="2:11">
      <c r="B3311" s="97" t="str">
        <f ca="1">IF(A3311="","Date",IF(A3311&lt;&gt;"",IF(B3311="Date",NOW(),B3311),""))</f>
        <v>Date</v>
      </c>
      <c r="C3311" s="19" t="str">
        <f>IF(ISBLANK(A3311),"Name",IF(ISNA(VLOOKUP(A3311,'Master List'!A:C,2,FALSE)), "Not Found", VLOOKUP(A3311,'Master List'!A:C,2,FALSE)))</f>
        <v>Name</v>
      </c>
      <c r="D3311" s="19" t="str">
        <f>IF(ISBLANK(A3311), "Email",IF(ISNA(VLOOKUP(A3311,'Master List'!A:C,3,FALSE)), "Not Found", VLOOKUP(A3311,'Master List'!A:C,3,FALSE)))</f>
        <v>Email</v>
      </c>
      <c r="F3311" s="4" t="str">
        <f>IF(OR(A3311="",E3311="","",A3311="?",E3311="?"),"duplicate?",IF(COUNTIFS($A:A,A3311,E:E,E3311)&gt;1,"yes","no"))</f>
        <v>duplicate?</v>
      </c>
      <c r="K3311" s="97" t="str">
        <f ca="1">IF(J3311="","Date",IF(J3311&lt;&gt;"",IF(K3311="Date",NOW(),K3311),""))</f>
        <v>Date</v>
      </c>
    </row>
    <row r="3312" spans="2:11">
      <c r="B3312" s="97" t="str">
        <f ca="1">IF(A3312="","Date",IF(A3312&lt;&gt;"",IF(B3312="Date",NOW(),B3312),""))</f>
        <v>Date</v>
      </c>
      <c r="C3312" s="19" t="str">
        <f>IF(ISBLANK(A3312),"Name",IF(ISNA(VLOOKUP(A3312,'Master List'!A:C,2,FALSE)), "Not Found", VLOOKUP(A3312,'Master List'!A:C,2,FALSE)))</f>
        <v>Name</v>
      </c>
      <c r="D3312" s="19" t="str">
        <f>IF(ISBLANK(A3312), "Email",IF(ISNA(VLOOKUP(A3312,'Master List'!A:C,3,FALSE)), "Not Found", VLOOKUP(A3312,'Master List'!A:C,3,FALSE)))</f>
        <v>Email</v>
      </c>
      <c r="F3312" s="4" t="str">
        <f>IF(OR(A3312="",E3312="","",A3312="?",E3312="?"),"duplicate?",IF(COUNTIFS($A:A,A3312,E:E,E3312)&gt;1,"yes","no"))</f>
        <v>duplicate?</v>
      </c>
      <c r="K3312" s="97" t="str">
        <f ca="1">IF(J3312="","Date",IF(J3312&lt;&gt;"",IF(K3312="Date",NOW(),K3312),""))</f>
        <v>Date</v>
      </c>
    </row>
    <row r="3313" spans="2:11">
      <c r="B3313" s="97" t="str">
        <f ca="1">IF(A3313="","Date",IF(A3313&lt;&gt;"",IF(B3313="Date",NOW(),B3313),""))</f>
        <v>Date</v>
      </c>
      <c r="C3313" s="19" t="str">
        <f>IF(ISBLANK(A3313),"Name",IF(ISNA(VLOOKUP(A3313,'Master List'!A:C,2,FALSE)), "Not Found", VLOOKUP(A3313,'Master List'!A:C,2,FALSE)))</f>
        <v>Name</v>
      </c>
      <c r="D3313" s="19" t="str">
        <f>IF(ISBLANK(A3313), "Email",IF(ISNA(VLOOKUP(A3313,'Master List'!A:C,3,FALSE)), "Not Found", VLOOKUP(A3313,'Master List'!A:C,3,FALSE)))</f>
        <v>Email</v>
      </c>
      <c r="F3313" s="4" t="str">
        <f>IF(OR(A3313="",E3313="","",A3313="?",E3313="?"),"duplicate?",IF(COUNTIFS($A:A,A3313,E:E,E3313)&gt;1,"yes","no"))</f>
        <v>duplicate?</v>
      </c>
      <c r="K3313" s="97" t="str">
        <f ca="1">IF(J3313="","Date",IF(J3313&lt;&gt;"",IF(K3313="Date",NOW(),K3313),""))</f>
        <v>Date</v>
      </c>
    </row>
    <row r="3314" spans="2:11">
      <c r="B3314" s="97" t="str">
        <f ca="1">IF(A3314="","Date",IF(A3314&lt;&gt;"",IF(B3314="Date",NOW(),B3314),""))</f>
        <v>Date</v>
      </c>
      <c r="C3314" s="19" t="str">
        <f>IF(ISBLANK(A3314),"Name",IF(ISNA(VLOOKUP(A3314,'Master List'!A:C,2,FALSE)), "Not Found", VLOOKUP(A3314,'Master List'!A:C,2,FALSE)))</f>
        <v>Name</v>
      </c>
      <c r="D3314" s="19" t="str">
        <f>IF(ISBLANK(A3314), "Email",IF(ISNA(VLOOKUP(A3314,'Master List'!A:C,3,FALSE)), "Not Found", VLOOKUP(A3314,'Master List'!A:C,3,FALSE)))</f>
        <v>Email</v>
      </c>
      <c r="F3314" s="4" t="str">
        <f>IF(OR(A3314="",E3314="","",A3314="?",E3314="?"),"duplicate?",IF(COUNTIFS($A:A,A3314,E:E,E3314)&gt;1,"yes","no"))</f>
        <v>duplicate?</v>
      </c>
      <c r="K3314" s="97" t="str">
        <f ca="1">IF(J3314="","Date",IF(J3314&lt;&gt;"",IF(K3314="Date",NOW(),K3314),""))</f>
        <v>Date</v>
      </c>
    </row>
    <row r="3315" spans="2:11">
      <c r="B3315" s="97" t="str">
        <f ca="1">IF(A3315="","Date",IF(A3315&lt;&gt;"",IF(B3315="Date",NOW(),B3315),""))</f>
        <v>Date</v>
      </c>
      <c r="C3315" s="19" t="str">
        <f>IF(ISBLANK(A3315),"Name",IF(ISNA(VLOOKUP(A3315,'Master List'!A:C,2,FALSE)), "Not Found", VLOOKUP(A3315,'Master List'!A:C,2,FALSE)))</f>
        <v>Name</v>
      </c>
      <c r="D3315" s="19" t="str">
        <f>IF(ISBLANK(A3315), "Email",IF(ISNA(VLOOKUP(A3315,'Master List'!A:C,3,FALSE)), "Not Found", VLOOKUP(A3315,'Master List'!A:C,3,FALSE)))</f>
        <v>Email</v>
      </c>
      <c r="F3315" s="4" t="str">
        <f>IF(OR(A3315="",E3315="","",A3315="?",E3315="?"),"duplicate?",IF(COUNTIFS($A:A,A3315,E:E,E3315)&gt;1,"yes","no"))</f>
        <v>duplicate?</v>
      </c>
      <c r="K3315" s="97" t="str">
        <f ca="1">IF(J3315="","Date",IF(J3315&lt;&gt;"",IF(K3315="Date",NOW(),K3315),""))</f>
        <v>Date</v>
      </c>
    </row>
    <row r="3316" spans="2:11">
      <c r="B3316" s="97" t="str">
        <f ca="1">IF(A3316="","Date",IF(A3316&lt;&gt;"",IF(B3316="Date",NOW(),B3316),""))</f>
        <v>Date</v>
      </c>
      <c r="C3316" s="19" t="str">
        <f>IF(ISBLANK(A3316),"Name",IF(ISNA(VLOOKUP(A3316,'Master List'!A:C,2,FALSE)), "Not Found", VLOOKUP(A3316,'Master List'!A:C,2,FALSE)))</f>
        <v>Name</v>
      </c>
      <c r="D3316" s="19" t="str">
        <f>IF(ISBLANK(A3316), "Email",IF(ISNA(VLOOKUP(A3316,'Master List'!A:C,3,FALSE)), "Not Found", VLOOKUP(A3316,'Master List'!A:C,3,FALSE)))</f>
        <v>Email</v>
      </c>
      <c r="F3316" s="4" t="str">
        <f>IF(OR(A3316="",E3316="","",A3316="?",E3316="?"),"duplicate?",IF(COUNTIFS($A:A,A3316,E:E,E3316)&gt;1,"yes","no"))</f>
        <v>duplicate?</v>
      </c>
      <c r="K3316" s="97" t="str">
        <f ca="1">IF(J3316="","Date",IF(J3316&lt;&gt;"",IF(K3316="Date",NOW(),K3316),""))</f>
        <v>Date</v>
      </c>
    </row>
    <row r="3317" spans="2:11">
      <c r="B3317" s="97" t="str">
        <f ca="1">IF(A3317="","Date",IF(A3317&lt;&gt;"",IF(B3317="Date",NOW(),B3317),""))</f>
        <v>Date</v>
      </c>
      <c r="C3317" s="19" t="str">
        <f>IF(ISBLANK(A3317),"Name",IF(ISNA(VLOOKUP(A3317,'Master List'!A:C,2,FALSE)), "Not Found", VLOOKUP(A3317,'Master List'!A:C,2,FALSE)))</f>
        <v>Name</v>
      </c>
      <c r="D3317" s="19" t="str">
        <f>IF(ISBLANK(A3317), "Email",IF(ISNA(VLOOKUP(A3317,'Master List'!A:C,3,FALSE)), "Not Found", VLOOKUP(A3317,'Master List'!A:C,3,FALSE)))</f>
        <v>Email</v>
      </c>
      <c r="F3317" s="4" t="str">
        <f>IF(OR(A3317="",E3317="","",A3317="?",E3317="?"),"duplicate?",IF(COUNTIFS($A:A,A3317,E:E,E3317)&gt;1,"yes","no"))</f>
        <v>duplicate?</v>
      </c>
      <c r="K3317" s="97" t="str">
        <f ca="1">IF(J3317="","Date",IF(J3317&lt;&gt;"",IF(K3317="Date",NOW(),K3317),""))</f>
        <v>Date</v>
      </c>
    </row>
    <row r="3318" spans="2:11">
      <c r="B3318" s="97" t="str">
        <f ca="1">IF(A3318="","Date",IF(A3318&lt;&gt;"",IF(B3318="Date",NOW(),B3318),""))</f>
        <v>Date</v>
      </c>
      <c r="C3318" s="19" t="str">
        <f>IF(ISBLANK(A3318),"Name",IF(ISNA(VLOOKUP(A3318,'Master List'!A:C,2,FALSE)), "Not Found", VLOOKUP(A3318,'Master List'!A:C,2,FALSE)))</f>
        <v>Name</v>
      </c>
      <c r="D3318" s="19" t="str">
        <f>IF(ISBLANK(A3318), "Email",IF(ISNA(VLOOKUP(A3318,'Master List'!A:C,3,FALSE)), "Not Found", VLOOKUP(A3318,'Master List'!A:C,3,FALSE)))</f>
        <v>Email</v>
      </c>
      <c r="F3318" s="4" t="str">
        <f>IF(OR(A3318="",E3318="","",A3318="?",E3318="?"),"duplicate?",IF(COUNTIFS($A:A,A3318,E:E,E3318)&gt;1,"yes","no"))</f>
        <v>duplicate?</v>
      </c>
      <c r="K3318" s="97" t="str">
        <f ca="1">IF(J3318="","Date",IF(J3318&lt;&gt;"",IF(K3318="Date",NOW(),K3318),""))</f>
        <v>Date</v>
      </c>
    </row>
    <row r="3319" spans="2:11">
      <c r="B3319" s="97" t="str">
        <f ca="1">IF(A3319="","Date",IF(A3319&lt;&gt;"",IF(B3319="Date",NOW(),B3319),""))</f>
        <v>Date</v>
      </c>
      <c r="C3319" s="19" t="str">
        <f>IF(ISBLANK(A3319),"Name",IF(ISNA(VLOOKUP(A3319,'Master List'!A:C,2,FALSE)), "Not Found", VLOOKUP(A3319,'Master List'!A:C,2,FALSE)))</f>
        <v>Name</v>
      </c>
      <c r="D3319" s="19" t="str">
        <f>IF(ISBLANK(A3319), "Email",IF(ISNA(VLOOKUP(A3319,'Master List'!A:C,3,FALSE)), "Not Found", VLOOKUP(A3319,'Master List'!A:C,3,FALSE)))</f>
        <v>Email</v>
      </c>
      <c r="F3319" s="4" t="str">
        <f>IF(OR(A3319="",E3319="","",A3319="?",E3319="?"),"duplicate?",IF(COUNTIFS($A:A,A3319,E:E,E3319)&gt;1,"yes","no"))</f>
        <v>duplicate?</v>
      </c>
      <c r="K3319" s="97" t="str">
        <f ca="1">IF(J3319="","Date",IF(J3319&lt;&gt;"",IF(K3319="Date",NOW(),K3319),""))</f>
        <v>Date</v>
      </c>
    </row>
    <row r="3320" spans="2:11">
      <c r="B3320" s="97" t="str">
        <f ca="1">IF(A3320="","Date",IF(A3320&lt;&gt;"",IF(B3320="Date",NOW(),B3320),""))</f>
        <v>Date</v>
      </c>
      <c r="C3320" s="19" t="str">
        <f>IF(ISBLANK(A3320),"Name",IF(ISNA(VLOOKUP(A3320,'Master List'!A:C,2,FALSE)), "Not Found", VLOOKUP(A3320,'Master List'!A:C,2,FALSE)))</f>
        <v>Name</v>
      </c>
      <c r="D3320" s="19" t="str">
        <f>IF(ISBLANK(A3320), "Email",IF(ISNA(VLOOKUP(A3320,'Master List'!A:C,3,FALSE)), "Not Found", VLOOKUP(A3320,'Master List'!A:C,3,FALSE)))</f>
        <v>Email</v>
      </c>
      <c r="F3320" s="4" t="str">
        <f>IF(OR(A3320="",E3320="","",A3320="?",E3320="?"),"duplicate?",IF(COUNTIFS($A:A,A3320,E:E,E3320)&gt;1,"yes","no"))</f>
        <v>duplicate?</v>
      </c>
      <c r="K3320" s="97" t="str">
        <f ca="1">IF(J3320="","Date",IF(J3320&lt;&gt;"",IF(K3320="Date",NOW(),K3320),""))</f>
        <v>Date</v>
      </c>
    </row>
    <row r="3321" spans="2:11">
      <c r="B3321" s="97" t="str">
        <f ca="1">IF(A3321="","Date",IF(A3321&lt;&gt;"",IF(B3321="Date",NOW(),B3321),""))</f>
        <v>Date</v>
      </c>
      <c r="C3321" s="19" t="str">
        <f>IF(ISBLANK(A3321),"Name",IF(ISNA(VLOOKUP(A3321,'Master List'!A:C,2,FALSE)), "Not Found", VLOOKUP(A3321,'Master List'!A:C,2,FALSE)))</f>
        <v>Name</v>
      </c>
      <c r="D3321" s="19" t="str">
        <f>IF(ISBLANK(A3321), "Email",IF(ISNA(VLOOKUP(A3321,'Master List'!A:C,3,FALSE)), "Not Found", VLOOKUP(A3321,'Master List'!A:C,3,FALSE)))</f>
        <v>Email</v>
      </c>
      <c r="F3321" s="4" t="str">
        <f>IF(OR(A3321="",E3321="","",A3321="?",E3321="?"),"duplicate?",IF(COUNTIFS($A:A,A3321,E:E,E3321)&gt;1,"yes","no"))</f>
        <v>duplicate?</v>
      </c>
      <c r="K3321" s="97" t="str">
        <f ca="1">IF(J3321="","Date",IF(J3321&lt;&gt;"",IF(K3321="Date",NOW(),K3321),""))</f>
        <v>Date</v>
      </c>
    </row>
    <row r="3322" spans="2:11">
      <c r="B3322" s="97" t="str">
        <f ca="1">IF(A3322="","Date",IF(A3322&lt;&gt;"",IF(B3322="Date",NOW(),B3322),""))</f>
        <v>Date</v>
      </c>
      <c r="C3322" s="19" t="str">
        <f>IF(ISBLANK(A3322),"Name",IF(ISNA(VLOOKUP(A3322,'Master List'!A:C,2,FALSE)), "Not Found", VLOOKUP(A3322,'Master List'!A:C,2,FALSE)))</f>
        <v>Name</v>
      </c>
      <c r="D3322" s="19" t="str">
        <f>IF(ISBLANK(A3322), "Email",IF(ISNA(VLOOKUP(A3322,'Master List'!A:C,3,FALSE)), "Not Found", VLOOKUP(A3322,'Master List'!A:C,3,FALSE)))</f>
        <v>Email</v>
      </c>
      <c r="F3322" s="4" t="str">
        <f>IF(OR(A3322="",E3322="","",A3322="?",E3322="?"),"duplicate?",IF(COUNTIFS($A:A,A3322,E:E,E3322)&gt;1,"yes","no"))</f>
        <v>duplicate?</v>
      </c>
      <c r="K3322" s="97" t="str">
        <f ca="1">IF(J3322="","Date",IF(J3322&lt;&gt;"",IF(K3322="Date",NOW(),K3322),""))</f>
        <v>Date</v>
      </c>
    </row>
    <row r="3323" spans="2:11">
      <c r="B3323" s="97" t="str">
        <f ca="1">IF(A3323="","Date",IF(A3323&lt;&gt;"",IF(B3323="Date",NOW(),B3323),""))</f>
        <v>Date</v>
      </c>
      <c r="C3323" s="19" t="str">
        <f>IF(ISBLANK(A3323),"Name",IF(ISNA(VLOOKUP(A3323,'Master List'!A:C,2,FALSE)), "Not Found", VLOOKUP(A3323,'Master List'!A:C,2,FALSE)))</f>
        <v>Name</v>
      </c>
      <c r="D3323" s="19" t="str">
        <f>IF(ISBLANK(A3323), "Email",IF(ISNA(VLOOKUP(A3323,'Master List'!A:C,3,FALSE)), "Not Found", VLOOKUP(A3323,'Master List'!A:C,3,FALSE)))</f>
        <v>Email</v>
      </c>
      <c r="F3323" s="4" t="str">
        <f>IF(OR(A3323="",E3323="","",A3323="?",E3323="?"),"duplicate?",IF(COUNTIFS($A:A,A3323,E:E,E3323)&gt;1,"yes","no"))</f>
        <v>duplicate?</v>
      </c>
      <c r="K3323" s="97" t="str">
        <f ca="1">IF(J3323="","Date",IF(J3323&lt;&gt;"",IF(K3323="Date",NOW(),K3323),""))</f>
        <v>Date</v>
      </c>
    </row>
    <row r="3324" spans="2:11">
      <c r="B3324" s="97" t="str">
        <f ca="1">IF(A3324="","Date",IF(A3324&lt;&gt;"",IF(B3324="Date",NOW(),B3324),""))</f>
        <v>Date</v>
      </c>
      <c r="C3324" s="19" t="str">
        <f>IF(ISBLANK(A3324),"Name",IF(ISNA(VLOOKUP(A3324,'Master List'!A:C,2,FALSE)), "Not Found", VLOOKUP(A3324,'Master List'!A:C,2,FALSE)))</f>
        <v>Name</v>
      </c>
      <c r="D3324" s="19" t="str">
        <f>IF(ISBLANK(A3324), "Email",IF(ISNA(VLOOKUP(A3324,'Master List'!A:C,3,FALSE)), "Not Found", VLOOKUP(A3324,'Master List'!A:C,3,FALSE)))</f>
        <v>Email</v>
      </c>
      <c r="F3324" s="4" t="str">
        <f>IF(OR(A3324="",E3324="","",A3324="?",E3324="?"),"duplicate?",IF(COUNTIFS($A:A,A3324,E:E,E3324)&gt;1,"yes","no"))</f>
        <v>duplicate?</v>
      </c>
      <c r="K3324" s="97" t="str">
        <f ca="1">IF(J3324="","Date",IF(J3324&lt;&gt;"",IF(K3324="Date",NOW(),K3324),""))</f>
        <v>Date</v>
      </c>
    </row>
    <row r="3325" spans="2:11">
      <c r="B3325" s="97" t="str">
        <f ca="1">IF(A3325="","Date",IF(A3325&lt;&gt;"",IF(B3325="Date",NOW(),B3325),""))</f>
        <v>Date</v>
      </c>
      <c r="C3325" s="19" t="str">
        <f>IF(ISBLANK(A3325),"Name",IF(ISNA(VLOOKUP(A3325,'Master List'!A:C,2,FALSE)), "Not Found", VLOOKUP(A3325,'Master List'!A:C,2,FALSE)))</f>
        <v>Name</v>
      </c>
      <c r="D3325" s="19" t="str">
        <f>IF(ISBLANK(A3325), "Email",IF(ISNA(VLOOKUP(A3325,'Master List'!A:C,3,FALSE)), "Not Found", VLOOKUP(A3325,'Master List'!A:C,3,FALSE)))</f>
        <v>Email</v>
      </c>
      <c r="F3325" s="4" t="str">
        <f>IF(OR(A3325="",E3325="","",A3325="?",E3325="?"),"duplicate?",IF(COUNTIFS($A:A,A3325,E:E,E3325)&gt;1,"yes","no"))</f>
        <v>duplicate?</v>
      </c>
      <c r="K3325" s="97" t="str">
        <f ca="1">IF(J3325="","Date",IF(J3325&lt;&gt;"",IF(K3325="Date",NOW(),K3325),""))</f>
        <v>Date</v>
      </c>
    </row>
    <row r="3326" spans="2:11">
      <c r="B3326" s="97" t="str">
        <f ca="1">IF(A3326="","Date",IF(A3326&lt;&gt;"",IF(B3326="Date",NOW(),B3326),""))</f>
        <v>Date</v>
      </c>
      <c r="C3326" s="19" t="str">
        <f>IF(ISBLANK(A3326),"Name",IF(ISNA(VLOOKUP(A3326,'Master List'!A:C,2,FALSE)), "Not Found", VLOOKUP(A3326,'Master List'!A:C,2,FALSE)))</f>
        <v>Name</v>
      </c>
      <c r="D3326" s="19" t="str">
        <f>IF(ISBLANK(A3326), "Email",IF(ISNA(VLOOKUP(A3326,'Master List'!A:C,3,FALSE)), "Not Found", VLOOKUP(A3326,'Master List'!A:C,3,FALSE)))</f>
        <v>Email</v>
      </c>
      <c r="F3326" s="4" t="str">
        <f>IF(OR(A3326="",E3326="","",A3326="?",E3326="?"),"duplicate?",IF(COUNTIFS($A:A,A3326,E:E,E3326)&gt;1,"yes","no"))</f>
        <v>duplicate?</v>
      </c>
      <c r="K3326" s="97" t="str">
        <f ca="1">IF(J3326="","Date",IF(J3326&lt;&gt;"",IF(K3326="Date",NOW(),K3326),""))</f>
        <v>Date</v>
      </c>
    </row>
    <row r="3327" spans="2:11">
      <c r="B3327" s="97" t="str">
        <f ca="1">IF(A3327="","Date",IF(A3327&lt;&gt;"",IF(B3327="Date",NOW(),B3327),""))</f>
        <v>Date</v>
      </c>
      <c r="C3327" s="19" t="str">
        <f>IF(ISBLANK(A3327),"Name",IF(ISNA(VLOOKUP(A3327,'Master List'!A:C,2,FALSE)), "Not Found", VLOOKUP(A3327,'Master List'!A:C,2,FALSE)))</f>
        <v>Name</v>
      </c>
      <c r="D3327" s="19" t="str">
        <f>IF(ISBLANK(A3327), "Email",IF(ISNA(VLOOKUP(A3327,'Master List'!A:C,3,FALSE)), "Not Found", VLOOKUP(A3327,'Master List'!A:C,3,FALSE)))</f>
        <v>Email</v>
      </c>
      <c r="F3327" s="4" t="str">
        <f>IF(OR(A3327="",E3327="","",A3327="?",E3327="?"),"duplicate?",IF(COUNTIFS($A:A,A3327,E:E,E3327)&gt;1,"yes","no"))</f>
        <v>duplicate?</v>
      </c>
      <c r="K3327" s="97" t="str">
        <f ca="1">IF(J3327="","Date",IF(J3327&lt;&gt;"",IF(K3327="Date",NOW(),K3327),""))</f>
        <v>Date</v>
      </c>
    </row>
    <row r="3328" spans="2:11">
      <c r="B3328" s="97" t="str">
        <f ca="1">IF(A3328="","Date",IF(A3328&lt;&gt;"",IF(B3328="Date",NOW(),B3328),""))</f>
        <v>Date</v>
      </c>
      <c r="C3328" s="19" t="str">
        <f>IF(ISBLANK(A3328),"Name",IF(ISNA(VLOOKUP(A3328,'Master List'!A:C,2,FALSE)), "Not Found", VLOOKUP(A3328,'Master List'!A:C,2,FALSE)))</f>
        <v>Name</v>
      </c>
      <c r="D3328" s="19" t="str">
        <f>IF(ISBLANK(A3328), "Email",IF(ISNA(VLOOKUP(A3328,'Master List'!A:C,3,FALSE)), "Not Found", VLOOKUP(A3328,'Master List'!A:C,3,FALSE)))</f>
        <v>Email</v>
      </c>
      <c r="F3328" s="4" t="str">
        <f>IF(OR(A3328="",E3328="","",A3328="?",E3328="?"),"duplicate?",IF(COUNTIFS($A:A,A3328,E:E,E3328)&gt;1,"yes","no"))</f>
        <v>duplicate?</v>
      </c>
      <c r="K3328" s="97" t="str">
        <f ca="1">IF(J3328="","Date",IF(J3328&lt;&gt;"",IF(K3328="Date",NOW(),K3328),""))</f>
        <v>Date</v>
      </c>
    </row>
    <row r="3329" spans="2:11">
      <c r="B3329" s="97" t="str">
        <f ca="1">IF(A3329="","Date",IF(A3329&lt;&gt;"",IF(B3329="Date",NOW(),B3329),""))</f>
        <v>Date</v>
      </c>
      <c r="C3329" s="19" t="str">
        <f>IF(ISBLANK(A3329),"Name",IF(ISNA(VLOOKUP(A3329,'Master List'!A:C,2,FALSE)), "Not Found", VLOOKUP(A3329,'Master List'!A:C,2,FALSE)))</f>
        <v>Name</v>
      </c>
      <c r="D3329" s="19" t="str">
        <f>IF(ISBLANK(A3329), "Email",IF(ISNA(VLOOKUP(A3329,'Master List'!A:C,3,FALSE)), "Not Found", VLOOKUP(A3329,'Master List'!A:C,3,FALSE)))</f>
        <v>Email</v>
      </c>
      <c r="F3329" s="4" t="str">
        <f>IF(OR(A3329="",E3329="","",A3329="?",E3329="?"),"duplicate?",IF(COUNTIFS($A:A,A3329,E:E,E3329)&gt;1,"yes","no"))</f>
        <v>duplicate?</v>
      </c>
      <c r="K3329" s="97" t="str">
        <f ca="1">IF(J3329="","Date",IF(J3329&lt;&gt;"",IF(K3329="Date",NOW(),K3329),""))</f>
        <v>Date</v>
      </c>
    </row>
    <row r="3330" spans="2:11">
      <c r="B3330" s="97" t="str">
        <f ca="1">IF(A3330="","Date",IF(A3330&lt;&gt;"",IF(B3330="Date",NOW(),B3330),""))</f>
        <v>Date</v>
      </c>
      <c r="C3330" s="19" t="str">
        <f>IF(ISBLANK(A3330),"Name",IF(ISNA(VLOOKUP(A3330,'Master List'!A:C,2,FALSE)), "Not Found", VLOOKUP(A3330,'Master List'!A:C,2,FALSE)))</f>
        <v>Name</v>
      </c>
      <c r="D3330" s="19" t="str">
        <f>IF(ISBLANK(A3330), "Email",IF(ISNA(VLOOKUP(A3330,'Master List'!A:C,3,FALSE)), "Not Found", VLOOKUP(A3330,'Master List'!A:C,3,FALSE)))</f>
        <v>Email</v>
      </c>
      <c r="F3330" s="4" t="str">
        <f>IF(OR(A3330="",E3330="","",A3330="?",E3330="?"),"duplicate?",IF(COUNTIFS($A:A,A3330,E:E,E3330)&gt;1,"yes","no"))</f>
        <v>duplicate?</v>
      </c>
      <c r="K3330" s="97" t="str">
        <f ca="1">IF(J3330="","Date",IF(J3330&lt;&gt;"",IF(K3330="Date",NOW(),K3330),""))</f>
        <v>Date</v>
      </c>
    </row>
    <row r="3331" spans="2:11">
      <c r="B3331" s="97" t="str">
        <f ca="1">IF(A3331="","Date",IF(A3331&lt;&gt;"",IF(B3331="Date",NOW(),B3331),""))</f>
        <v>Date</v>
      </c>
      <c r="C3331" s="19" t="str">
        <f>IF(ISBLANK(A3331),"Name",IF(ISNA(VLOOKUP(A3331,'Master List'!A:C,2,FALSE)), "Not Found", VLOOKUP(A3331,'Master List'!A:C,2,FALSE)))</f>
        <v>Name</v>
      </c>
      <c r="D3331" s="19" t="str">
        <f>IF(ISBLANK(A3331), "Email",IF(ISNA(VLOOKUP(A3331,'Master List'!A:C,3,FALSE)), "Not Found", VLOOKUP(A3331,'Master List'!A:C,3,FALSE)))</f>
        <v>Email</v>
      </c>
      <c r="F3331" s="4" t="str">
        <f>IF(OR(A3331="",E3331="","",A3331="?",E3331="?"),"duplicate?",IF(COUNTIFS($A:A,A3331,E:E,E3331)&gt;1,"yes","no"))</f>
        <v>duplicate?</v>
      </c>
      <c r="K3331" s="97" t="str">
        <f ca="1">IF(J3331="","Date",IF(J3331&lt;&gt;"",IF(K3331="Date",NOW(),K3331),""))</f>
        <v>Date</v>
      </c>
    </row>
    <row r="3332" spans="2:11">
      <c r="B3332" s="97" t="str">
        <f ca="1">IF(A3332="","Date",IF(A3332&lt;&gt;"",IF(B3332="Date",NOW(),B3332),""))</f>
        <v>Date</v>
      </c>
      <c r="C3332" s="19" t="str">
        <f>IF(ISBLANK(A3332),"Name",IF(ISNA(VLOOKUP(A3332,'Master List'!A:C,2,FALSE)), "Not Found", VLOOKUP(A3332,'Master List'!A:C,2,FALSE)))</f>
        <v>Name</v>
      </c>
      <c r="D3332" s="19" t="str">
        <f>IF(ISBLANK(A3332), "Email",IF(ISNA(VLOOKUP(A3332,'Master List'!A:C,3,FALSE)), "Not Found", VLOOKUP(A3332,'Master List'!A:C,3,FALSE)))</f>
        <v>Email</v>
      </c>
      <c r="F3332" s="4" t="str">
        <f>IF(OR(A3332="",E3332="","",A3332="?",E3332="?"),"duplicate?",IF(COUNTIFS($A:A,A3332,E:E,E3332)&gt;1,"yes","no"))</f>
        <v>duplicate?</v>
      </c>
      <c r="K3332" s="97" t="str">
        <f ca="1">IF(J3332="","Date",IF(J3332&lt;&gt;"",IF(K3332="Date",NOW(),K3332),""))</f>
        <v>Date</v>
      </c>
    </row>
    <row r="3333" spans="2:11">
      <c r="B3333" s="97" t="str">
        <f ca="1">IF(A3333="","Date",IF(A3333&lt;&gt;"",IF(B3333="Date",NOW(),B3333),""))</f>
        <v>Date</v>
      </c>
      <c r="C3333" s="19" t="str">
        <f>IF(ISBLANK(A3333),"Name",IF(ISNA(VLOOKUP(A3333,'Master List'!A:C,2,FALSE)), "Not Found", VLOOKUP(A3333,'Master List'!A:C,2,FALSE)))</f>
        <v>Name</v>
      </c>
      <c r="D3333" s="19" t="str">
        <f>IF(ISBLANK(A3333), "Email",IF(ISNA(VLOOKUP(A3333,'Master List'!A:C,3,FALSE)), "Not Found", VLOOKUP(A3333,'Master List'!A:C,3,FALSE)))</f>
        <v>Email</v>
      </c>
      <c r="F3333" s="4" t="str">
        <f>IF(OR(A3333="",E3333="","",A3333="?",E3333="?"),"duplicate?",IF(COUNTIFS($A:A,A3333,E:E,E3333)&gt;1,"yes","no"))</f>
        <v>duplicate?</v>
      </c>
      <c r="K3333" s="97" t="str">
        <f ca="1">IF(J3333="","Date",IF(J3333&lt;&gt;"",IF(K3333="Date",NOW(),K3333),""))</f>
        <v>Date</v>
      </c>
    </row>
    <row r="3334" spans="2:11">
      <c r="B3334" s="97" t="str">
        <f ca="1">IF(A3334="","Date",IF(A3334&lt;&gt;"",IF(B3334="Date",NOW(),B3334),""))</f>
        <v>Date</v>
      </c>
      <c r="C3334" s="19" t="str">
        <f>IF(ISBLANK(A3334),"Name",IF(ISNA(VLOOKUP(A3334,'Master List'!A:C,2,FALSE)), "Not Found", VLOOKUP(A3334,'Master List'!A:C,2,FALSE)))</f>
        <v>Name</v>
      </c>
      <c r="D3334" s="19" t="str">
        <f>IF(ISBLANK(A3334), "Email",IF(ISNA(VLOOKUP(A3334,'Master List'!A:C,3,FALSE)), "Not Found", VLOOKUP(A3334,'Master List'!A:C,3,FALSE)))</f>
        <v>Email</v>
      </c>
      <c r="F3334" s="4" t="str">
        <f>IF(OR(A3334="",E3334="","",A3334="?",E3334="?"),"duplicate?",IF(COUNTIFS($A:A,A3334,E:E,E3334)&gt;1,"yes","no"))</f>
        <v>duplicate?</v>
      </c>
      <c r="K3334" s="97" t="str">
        <f ca="1">IF(J3334="","Date",IF(J3334&lt;&gt;"",IF(K3334="Date",NOW(),K3334),""))</f>
        <v>Date</v>
      </c>
    </row>
    <row r="3335" spans="2:11">
      <c r="B3335" s="97" t="str">
        <f ca="1">IF(A3335="","Date",IF(A3335&lt;&gt;"",IF(B3335="Date",NOW(),B3335),""))</f>
        <v>Date</v>
      </c>
      <c r="C3335" s="19" t="str">
        <f>IF(ISBLANK(A3335),"Name",IF(ISNA(VLOOKUP(A3335,'Master List'!A:C,2,FALSE)), "Not Found", VLOOKUP(A3335,'Master List'!A:C,2,FALSE)))</f>
        <v>Name</v>
      </c>
      <c r="D3335" s="19" t="str">
        <f>IF(ISBLANK(A3335), "Email",IF(ISNA(VLOOKUP(A3335,'Master List'!A:C,3,FALSE)), "Not Found", VLOOKUP(A3335,'Master List'!A:C,3,FALSE)))</f>
        <v>Email</v>
      </c>
      <c r="F3335" s="4" t="str">
        <f>IF(OR(A3335="",E3335="","",A3335="?",E3335="?"),"duplicate?",IF(COUNTIFS($A:A,A3335,E:E,E3335)&gt;1,"yes","no"))</f>
        <v>duplicate?</v>
      </c>
      <c r="K3335" s="97" t="str">
        <f ca="1">IF(J3335="","Date",IF(J3335&lt;&gt;"",IF(K3335="Date",NOW(),K3335),""))</f>
        <v>Date</v>
      </c>
    </row>
    <row r="3336" spans="2:11">
      <c r="B3336" s="97" t="str">
        <f ca="1">IF(A3336="","Date",IF(A3336&lt;&gt;"",IF(B3336="Date",NOW(),B3336),""))</f>
        <v>Date</v>
      </c>
      <c r="C3336" s="19" t="str">
        <f>IF(ISBLANK(A3336),"Name",IF(ISNA(VLOOKUP(A3336,'Master List'!A:C,2,FALSE)), "Not Found", VLOOKUP(A3336,'Master List'!A:C,2,FALSE)))</f>
        <v>Name</v>
      </c>
      <c r="D3336" s="19" t="str">
        <f>IF(ISBLANK(A3336), "Email",IF(ISNA(VLOOKUP(A3336,'Master List'!A:C,3,FALSE)), "Not Found", VLOOKUP(A3336,'Master List'!A:C,3,FALSE)))</f>
        <v>Email</v>
      </c>
      <c r="F3336" s="4" t="str">
        <f>IF(OR(A3336="",E3336="","",A3336="?",E3336="?"),"duplicate?",IF(COUNTIFS($A:A,A3336,E:E,E3336)&gt;1,"yes","no"))</f>
        <v>duplicate?</v>
      </c>
      <c r="K3336" s="97" t="str">
        <f ca="1">IF(J3336="","Date",IF(J3336&lt;&gt;"",IF(K3336="Date",NOW(),K3336),""))</f>
        <v>Date</v>
      </c>
    </row>
    <row r="3337" spans="2:11">
      <c r="B3337" s="97" t="str">
        <f ca="1">IF(A3337="","Date",IF(A3337&lt;&gt;"",IF(B3337="Date",NOW(),B3337),""))</f>
        <v>Date</v>
      </c>
      <c r="C3337" s="19" t="str">
        <f>IF(ISBLANK(A3337),"Name",IF(ISNA(VLOOKUP(A3337,'Master List'!A:C,2,FALSE)), "Not Found", VLOOKUP(A3337,'Master List'!A:C,2,FALSE)))</f>
        <v>Name</v>
      </c>
      <c r="D3337" s="19" t="str">
        <f>IF(ISBLANK(A3337), "Email",IF(ISNA(VLOOKUP(A3337,'Master List'!A:C,3,FALSE)), "Not Found", VLOOKUP(A3337,'Master List'!A:C,3,FALSE)))</f>
        <v>Email</v>
      </c>
      <c r="F3337" s="4" t="str">
        <f>IF(OR(A3337="",E3337="","",A3337="?",E3337="?"),"duplicate?",IF(COUNTIFS($A:A,A3337,E:E,E3337)&gt;1,"yes","no"))</f>
        <v>duplicate?</v>
      </c>
      <c r="K3337" s="97" t="str">
        <f ca="1">IF(J3337="","Date",IF(J3337&lt;&gt;"",IF(K3337="Date",NOW(),K3337),""))</f>
        <v>Date</v>
      </c>
    </row>
    <row r="3338" spans="2:11">
      <c r="B3338" s="97" t="str">
        <f ca="1">IF(A3338="","Date",IF(A3338&lt;&gt;"",IF(B3338="Date",NOW(),B3338),""))</f>
        <v>Date</v>
      </c>
      <c r="C3338" s="19" t="str">
        <f>IF(ISBLANK(A3338),"Name",IF(ISNA(VLOOKUP(A3338,'Master List'!A:C,2,FALSE)), "Not Found", VLOOKUP(A3338,'Master List'!A:C,2,FALSE)))</f>
        <v>Name</v>
      </c>
      <c r="D3338" s="19" t="str">
        <f>IF(ISBLANK(A3338), "Email",IF(ISNA(VLOOKUP(A3338,'Master List'!A:C,3,FALSE)), "Not Found", VLOOKUP(A3338,'Master List'!A:C,3,FALSE)))</f>
        <v>Email</v>
      </c>
      <c r="F3338" s="4" t="str">
        <f>IF(OR(A3338="",E3338="","",A3338="?",E3338="?"),"duplicate?",IF(COUNTIFS($A:A,A3338,E:E,E3338)&gt;1,"yes","no"))</f>
        <v>duplicate?</v>
      </c>
      <c r="K3338" s="97" t="str">
        <f ca="1">IF(J3338="","Date",IF(J3338&lt;&gt;"",IF(K3338="Date",NOW(),K3338),""))</f>
        <v>Date</v>
      </c>
    </row>
    <row r="3339" spans="2:11">
      <c r="B3339" s="97" t="str">
        <f ca="1">IF(A3339="","Date",IF(A3339&lt;&gt;"",IF(B3339="Date",NOW(),B3339),""))</f>
        <v>Date</v>
      </c>
      <c r="C3339" s="19" t="str">
        <f>IF(ISBLANK(A3339),"Name",IF(ISNA(VLOOKUP(A3339,'Master List'!A:C,2,FALSE)), "Not Found", VLOOKUP(A3339,'Master List'!A:C,2,FALSE)))</f>
        <v>Name</v>
      </c>
      <c r="D3339" s="19" t="str">
        <f>IF(ISBLANK(A3339), "Email",IF(ISNA(VLOOKUP(A3339,'Master List'!A:C,3,FALSE)), "Not Found", VLOOKUP(A3339,'Master List'!A:C,3,FALSE)))</f>
        <v>Email</v>
      </c>
      <c r="F3339" s="4" t="str">
        <f>IF(OR(A3339="",E3339="","",A3339="?",E3339="?"),"duplicate?",IF(COUNTIFS($A:A,A3339,E:E,E3339)&gt;1,"yes","no"))</f>
        <v>duplicate?</v>
      </c>
      <c r="K3339" s="97" t="str">
        <f ca="1">IF(J3339="","Date",IF(J3339&lt;&gt;"",IF(K3339="Date",NOW(),K3339),""))</f>
        <v>Date</v>
      </c>
    </row>
    <row r="3340" spans="2:11">
      <c r="B3340" s="97" t="str">
        <f ca="1">IF(A3340="","Date",IF(A3340&lt;&gt;"",IF(B3340="Date",NOW(),B3340),""))</f>
        <v>Date</v>
      </c>
      <c r="C3340" s="19" t="str">
        <f>IF(ISBLANK(A3340),"Name",IF(ISNA(VLOOKUP(A3340,'Master List'!A:C,2,FALSE)), "Not Found", VLOOKUP(A3340,'Master List'!A:C,2,FALSE)))</f>
        <v>Name</v>
      </c>
      <c r="D3340" s="19" t="str">
        <f>IF(ISBLANK(A3340), "Email",IF(ISNA(VLOOKUP(A3340,'Master List'!A:C,3,FALSE)), "Not Found", VLOOKUP(A3340,'Master List'!A:C,3,FALSE)))</f>
        <v>Email</v>
      </c>
      <c r="F3340" s="4" t="str">
        <f>IF(OR(A3340="",E3340="","",A3340="?",E3340="?"),"duplicate?",IF(COUNTIFS($A:A,A3340,E:E,E3340)&gt;1,"yes","no"))</f>
        <v>duplicate?</v>
      </c>
      <c r="K3340" s="97" t="str">
        <f ca="1">IF(J3340="","Date",IF(J3340&lt;&gt;"",IF(K3340="Date",NOW(),K3340),""))</f>
        <v>Date</v>
      </c>
    </row>
    <row r="3341" spans="2:11">
      <c r="B3341" s="97" t="str">
        <f ca="1">IF(A3341="","Date",IF(A3341&lt;&gt;"",IF(B3341="Date",NOW(),B3341),""))</f>
        <v>Date</v>
      </c>
      <c r="C3341" s="19" t="str">
        <f>IF(ISBLANK(A3341),"Name",IF(ISNA(VLOOKUP(A3341,'Master List'!A:C,2,FALSE)), "Not Found", VLOOKUP(A3341,'Master List'!A:C,2,FALSE)))</f>
        <v>Name</v>
      </c>
      <c r="D3341" s="19" t="str">
        <f>IF(ISBLANK(A3341), "Email",IF(ISNA(VLOOKUP(A3341,'Master List'!A:C,3,FALSE)), "Not Found", VLOOKUP(A3341,'Master List'!A:C,3,FALSE)))</f>
        <v>Email</v>
      </c>
      <c r="F3341" s="4" t="str">
        <f>IF(OR(A3341="",E3341="","",A3341="?",E3341="?"),"duplicate?",IF(COUNTIFS($A:A,A3341,E:E,E3341)&gt;1,"yes","no"))</f>
        <v>duplicate?</v>
      </c>
      <c r="K3341" s="97" t="str">
        <f ca="1">IF(J3341="","Date",IF(J3341&lt;&gt;"",IF(K3341="Date",NOW(),K3341),""))</f>
        <v>Date</v>
      </c>
    </row>
    <row r="3342" spans="2:11">
      <c r="B3342" s="97" t="str">
        <f ca="1">IF(A3342="","Date",IF(A3342&lt;&gt;"",IF(B3342="Date",NOW(),B3342),""))</f>
        <v>Date</v>
      </c>
      <c r="C3342" s="19" t="str">
        <f>IF(ISBLANK(A3342),"Name",IF(ISNA(VLOOKUP(A3342,'Master List'!A:C,2,FALSE)), "Not Found", VLOOKUP(A3342,'Master List'!A:C,2,FALSE)))</f>
        <v>Name</v>
      </c>
      <c r="D3342" s="19" t="str">
        <f>IF(ISBLANK(A3342), "Email",IF(ISNA(VLOOKUP(A3342,'Master List'!A:C,3,FALSE)), "Not Found", VLOOKUP(A3342,'Master List'!A:C,3,FALSE)))</f>
        <v>Email</v>
      </c>
      <c r="F3342" s="4" t="str">
        <f>IF(OR(A3342="",E3342="","",A3342="?",E3342="?"),"duplicate?",IF(COUNTIFS($A:A,A3342,E:E,E3342)&gt;1,"yes","no"))</f>
        <v>duplicate?</v>
      </c>
      <c r="K3342" s="97" t="str">
        <f ca="1">IF(J3342="","Date",IF(J3342&lt;&gt;"",IF(K3342="Date",NOW(),K3342),""))</f>
        <v>Date</v>
      </c>
    </row>
    <row r="3343" spans="2:11">
      <c r="B3343" s="97" t="str">
        <f ca="1">IF(A3343="","Date",IF(A3343&lt;&gt;"",IF(B3343="Date",NOW(),B3343),""))</f>
        <v>Date</v>
      </c>
      <c r="C3343" s="19" t="str">
        <f>IF(ISBLANK(A3343),"Name",IF(ISNA(VLOOKUP(A3343,'Master List'!A:C,2,FALSE)), "Not Found", VLOOKUP(A3343,'Master List'!A:C,2,FALSE)))</f>
        <v>Name</v>
      </c>
      <c r="D3343" s="19" t="str">
        <f>IF(ISBLANK(A3343), "Email",IF(ISNA(VLOOKUP(A3343,'Master List'!A:C,3,FALSE)), "Not Found", VLOOKUP(A3343,'Master List'!A:C,3,FALSE)))</f>
        <v>Email</v>
      </c>
      <c r="F3343" s="4" t="str">
        <f>IF(OR(A3343="",E3343="","",A3343="?",E3343="?"),"duplicate?",IF(COUNTIFS($A:A,A3343,E:E,E3343)&gt;1,"yes","no"))</f>
        <v>duplicate?</v>
      </c>
      <c r="K3343" s="97" t="str">
        <f ca="1">IF(J3343="","Date",IF(J3343&lt;&gt;"",IF(K3343="Date",NOW(),K3343),""))</f>
        <v>Date</v>
      </c>
    </row>
    <row r="3344" spans="2:11">
      <c r="B3344" s="97" t="str">
        <f ca="1">IF(A3344="","Date",IF(A3344&lt;&gt;"",IF(B3344="Date",NOW(),B3344),""))</f>
        <v>Date</v>
      </c>
      <c r="C3344" s="19" t="str">
        <f>IF(ISBLANK(A3344),"Name",IF(ISNA(VLOOKUP(A3344,'Master List'!A:C,2,FALSE)), "Not Found", VLOOKUP(A3344,'Master List'!A:C,2,FALSE)))</f>
        <v>Name</v>
      </c>
      <c r="D3344" s="19" t="str">
        <f>IF(ISBLANK(A3344), "Email",IF(ISNA(VLOOKUP(A3344,'Master List'!A:C,3,FALSE)), "Not Found", VLOOKUP(A3344,'Master List'!A:C,3,FALSE)))</f>
        <v>Email</v>
      </c>
      <c r="F3344" s="4" t="str">
        <f>IF(OR(A3344="",E3344="","",A3344="?",E3344="?"),"duplicate?",IF(COUNTIFS($A:A,A3344,E:E,E3344)&gt;1,"yes","no"))</f>
        <v>duplicate?</v>
      </c>
      <c r="K3344" s="97" t="str">
        <f ca="1">IF(J3344="","Date",IF(J3344&lt;&gt;"",IF(K3344="Date",NOW(),K3344),""))</f>
        <v>Date</v>
      </c>
    </row>
    <row r="3345" spans="2:11">
      <c r="B3345" s="97" t="str">
        <f ca="1">IF(A3345="","Date",IF(A3345&lt;&gt;"",IF(B3345="Date",NOW(),B3345),""))</f>
        <v>Date</v>
      </c>
      <c r="C3345" s="19" t="str">
        <f>IF(ISBLANK(A3345),"Name",IF(ISNA(VLOOKUP(A3345,'Master List'!A:C,2,FALSE)), "Not Found", VLOOKUP(A3345,'Master List'!A:C,2,FALSE)))</f>
        <v>Name</v>
      </c>
      <c r="D3345" s="19" t="str">
        <f>IF(ISBLANK(A3345), "Email",IF(ISNA(VLOOKUP(A3345,'Master List'!A:C,3,FALSE)), "Not Found", VLOOKUP(A3345,'Master List'!A:C,3,FALSE)))</f>
        <v>Email</v>
      </c>
      <c r="F3345" s="4" t="str">
        <f>IF(OR(A3345="",E3345="","",A3345="?",E3345="?"),"duplicate?",IF(COUNTIFS($A:A,A3345,E:E,E3345)&gt;1,"yes","no"))</f>
        <v>duplicate?</v>
      </c>
      <c r="K3345" s="97" t="str">
        <f ca="1">IF(J3345="","Date",IF(J3345&lt;&gt;"",IF(K3345="Date",NOW(),K3345),""))</f>
        <v>Date</v>
      </c>
    </row>
    <row r="3346" spans="2:11">
      <c r="B3346" s="97" t="str">
        <f ca="1">IF(A3346="","Date",IF(A3346&lt;&gt;"",IF(B3346="Date",NOW(),B3346),""))</f>
        <v>Date</v>
      </c>
      <c r="C3346" s="19" t="str">
        <f>IF(ISBLANK(A3346),"Name",IF(ISNA(VLOOKUP(A3346,'Master List'!A:C,2,FALSE)), "Not Found", VLOOKUP(A3346,'Master List'!A:C,2,FALSE)))</f>
        <v>Name</v>
      </c>
      <c r="D3346" s="19" t="str">
        <f>IF(ISBLANK(A3346), "Email",IF(ISNA(VLOOKUP(A3346,'Master List'!A:C,3,FALSE)), "Not Found", VLOOKUP(A3346,'Master List'!A:C,3,FALSE)))</f>
        <v>Email</v>
      </c>
      <c r="F3346" s="4" t="str">
        <f>IF(OR(A3346="",E3346="","",A3346="?",E3346="?"),"duplicate?",IF(COUNTIFS($A:A,A3346,E:E,E3346)&gt;1,"yes","no"))</f>
        <v>duplicate?</v>
      </c>
      <c r="K3346" s="97" t="str">
        <f ca="1">IF(J3346="","Date",IF(J3346&lt;&gt;"",IF(K3346="Date",NOW(),K3346),""))</f>
        <v>Date</v>
      </c>
    </row>
    <row r="3347" spans="2:11">
      <c r="B3347" s="97" t="str">
        <f ca="1">IF(A3347="","Date",IF(A3347&lt;&gt;"",IF(B3347="Date",NOW(),B3347),""))</f>
        <v>Date</v>
      </c>
      <c r="C3347" s="19" t="str">
        <f>IF(ISBLANK(A3347),"Name",IF(ISNA(VLOOKUP(A3347,'Master List'!A:C,2,FALSE)), "Not Found", VLOOKUP(A3347,'Master List'!A:C,2,FALSE)))</f>
        <v>Name</v>
      </c>
      <c r="D3347" s="19" t="str">
        <f>IF(ISBLANK(A3347), "Email",IF(ISNA(VLOOKUP(A3347,'Master List'!A:C,3,FALSE)), "Not Found", VLOOKUP(A3347,'Master List'!A:C,3,FALSE)))</f>
        <v>Email</v>
      </c>
      <c r="F3347" s="4" t="str">
        <f>IF(OR(A3347="",E3347="","",A3347="?",E3347="?"),"duplicate?",IF(COUNTIFS($A:A,A3347,E:E,E3347)&gt;1,"yes","no"))</f>
        <v>duplicate?</v>
      </c>
      <c r="K3347" s="97" t="str">
        <f ca="1">IF(J3347="","Date",IF(J3347&lt;&gt;"",IF(K3347="Date",NOW(),K3347),""))</f>
        <v>Date</v>
      </c>
    </row>
    <row r="3348" spans="2:11">
      <c r="B3348" s="97" t="str">
        <f ca="1">IF(A3348="","Date",IF(A3348&lt;&gt;"",IF(B3348="Date",NOW(),B3348),""))</f>
        <v>Date</v>
      </c>
      <c r="C3348" s="19" t="str">
        <f>IF(ISBLANK(A3348),"Name",IF(ISNA(VLOOKUP(A3348,'Master List'!A:C,2,FALSE)), "Not Found", VLOOKUP(A3348,'Master List'!A:C,2,FALSE)))</f>
        <v>Name</v>
      </c>
      <c r="D3348" s="19" t="str">
        <f>IF(ISBLANK(A3348), "Email",IF(ISNA(VLOOKUP(A3348,'Master List'!A:C,3,FALSE)), "Not Found", VLOOKUP(A3348,'Master List'!A:C,3,FALSE)))</f>
        <v>Email</v>
      </c>
      <c r="F3348" s="4" t="str">
        <f>IF(OR(A3348="",E3348="","",A3348="?",E3348="?"),"duplicate?",IF(COUNTIFS($A:A,A3348,E:E,E3348)&gt;1,"yes","no"))</f>
        <v>duplicate?</v>
      </c>
      <c r="K3348" s="97" t="str">
        <f ca="1">IF(J3348="","Date",IF(J3348&lt;&gt;"",IF(K3348="Date",NOW(),K3348),""))</f>
        <v>Date</v>
      </c>
    </row>
    <row r="3349" spans="2:11">
      <c r="B3349" s="97" t="str">
        <f ca="1">IF(A3349="","Date",IF(A3349&lt;&gt;"",IF(B3349="Date",NOW(),B3349),""))</f>
        <v>Date</v>
      </c>
      <c r="C3349" s="19" t="str">
        <f>IF(ISBLANK(A3349),"Name",IF(ISNA(VLOOKUP(A3349,'Master List'!A:C,2,FALSE)), "Not Found", VLOOKUP(A3349,'Master List'!A:C,2,FALSE)))</f>
        <v>Name</v>
      </c>
      <c r="D3349" s="19" t="str">
        <f>IF(ISBLANK(A3349), "Email",IF(ISNA(VLOOKUP(A3349,'Master List'!A:C,3,FALSE)), "Not Found", VLOOKUP(A3349,'Master List'!A:C,3,FALSE)))</f>
        <v>Email</v>
      </c>
      <c r="F3349" s="4" t="str">
        <f>IF(OR(A3349="",E3349="","",A3349="?",E3349="?"),"duplicate?",IF(COUNTIFS($A:A,A3349,E:E,E3349)&gt;1,"yes","no"))</f>
        <v>duplicate?</v>
      </c>
      <c r="K3349" s="97" t="str">
        <f ca="1">IF(J3349="","Date",IF(J3349&lt;&gt;"",IF(K3349="Date",NOW(),K3349),""))</f>
        <v>Date</v>
      </c>
    </row>
    <row r="3350" spans="2:11">
      <c r="B3350" s="97" t="str">
        <f ca="1">IF(A3350="","Date",IF(A3350&lt;&gt;"",IF(B3350="Date",NOW(),B3350),""))</f>
        <v>Date</v>
      </c>
      <c r="C3350" s="19" t="str">
        <f>IF(ISBLANK(A3350),"Name",IF(ISNA(VLOOKUP(A3350,'Master List'!A:C,2,FALSE)), "Not Found", VLOOKUP(A3350,'Master List'!A:C,2,FALSE)))</f>
        <v>Name</v>
      </c>
      <c r="D3350" s="19" t="str">
        <f>IF(ISBLANK(A3350), "Email",IF(ISNA(VLOOKUP(A3350,'Master List'!A:C,3,FALSE)), "Not Found", VLOOKUP(A3350,'Master List'!A:C,3,FALSE)))</f>
        <v>Email</v>
      </c>
      <c r="F3350" s="4" t="str">
        <f>IF(OR(A3350="",E3350="","",A3350="?",E3350="?"),"duplicate?",IF(COUNTIFS($A:A,A3350,E:E,E3350)&gt;1,"yes","no"))</f>
        <v>duplicate?</v>
      </c>
      <c r="K3350" s="97" t="str">
        <f ca="1">IF(J3350="","Date",IF(J3350&lt;&gt;"",IF(K3350="Date",NOW(),K3350),""))</f>
        <v>Date</v>
      </c>
    </row>
    <row r="3351" spans="2:11">
      <c r="B3351" s="97" t="str">
        <f ca="1">IF(A3351="","Date",IF(A3351&lt;&gt;"",IF(B3351="Date",NOW(),B3351),""))</f>
        <v>Date</v>
      </c>
      <c r="C3351" s="19" t="str">
        <f>IF(ISBLANK(A3351),"Name",IF(ISNA(VLOOKUP(A3351,'Master List'!A:C,2,FALSE)), "Not Found", VLOOKUP(A3351,'Master List'!A:C,2,FALSE)))</f>
        <v>Name</v>
      </c>
      <c r="D3351" s="19" t="str">
        <f>IF(ISBLANK(A3351), "Email",IF(ISNA(VLOOKUP(A3351,'Master List'!A:C,3,FALSE)), "Not Found", VLOOKUP(A3351,'Master List'!A:C,3,FALSE)))</f>
        <v>Email</v>
      </c>
      <c r="F3351" s="4" t="str">
        <f>IF(OR(A3351="",E3351="","",A3351="?",E3351="?"),"duplicate?",IF(COUNTIFS($A:A,A3351,E:E,E3351)&gt;1,"yes","no"))</f>
        <v>duplicate?</v>
      </c>
      <c r="K3351" s="97" t="str">
        <f ca="1">IF(J3351="","Date",IF(J3351&lt;&gt;"",IF(K3351="Date",NOW(),K3351),""))</f>
        <v>Date</v>
      </c>
    </row>
    <row r="3352" spans="2:11">
      <c r="B3352" s="97" t="str">
        <f ca="1">IF(A3352="","Date",IF(A3352&lt;&gt;"",IF(B3352="Date",NOW(),B3352),""))</f>
        <v>Date</v>
      </c>
      <c r="C3352" s="19" t="str">
        <f>IF(ISBLANK(A3352),"Name",IF(ISNA(VLOOKUP(A3352,'Master List'!A:C,2,FALSE)), "Not Found", VLOOKUP(A3352,'Master List'!A:C,2,FALSE)))</f>
        <v>Name</v>
      </c>
      <c r="D3352" s="19" t="str">
        <f>IF(ISBLANK(A3352), "Email",IF(ISNA(VLOOKUP(A3352,'Master List'!A:C,3,FALSE)), "Not Found", VLOOKUP(A3352,'Master List'!A:C,3,FALSE)))</f>
        <v>Email</v>
      </c>
      <c r="F3352" s="4" t="str">
        <f>IF(OR(A3352="",E3352="","",A3352="?",E3352="?"),"duplicate?",IF(COUNTIFS($A:A,A3352,E:E,E3352)&gt;1,"yes","no"))</f>
        <v>duplicate?</v>
      </c>
      <c r="K3352" s="97" t="str">
        <f ca="1">IF(J3352="","Date",IF(J3352&lt;&gt;"",IF(K3352="Date",NOW(),K3352),""))</f>
        <v>Date</v>
      </c>
    </row>
    <row r="3353" spans="2:11">
      <c r="B3353" s="97" t="str">
        <f ca="1">IF(A3353="","Date",IF(A3353&lt;&gt;"",IF(B3353="Date",NOW(),B3353),""))</f>
        <v>Date</v>
      </c>
      <c r="C3353" s="19" t="str">
        <f>IF(ISBLANK(A3353),"Name",IF(ISNA(VLOOKUP(A3353,'Master List'!A:C,2,FALSE)), "Not Found", VLOOKUP(A3353,'Master List'!A:C,2,FALSE)))</f>
        <v>Name</v>
      </c>
      <c r="D3353" s="19" t="str">
        <f>IF(ISBLANK(A3353), "Email",IF(ISNA(VLOOKUP(A3353,'Master List'!A:C,3,FALSE)), "Not Found", VLOOKUP(A3353,'Master List'!A:C,3,FALSE)))</f>
        <v>Email</v>
      </c>
      <c r="F3353" s="4" t="str">
        <f>IF(OR(A3353="",E3353="","",A3353="?",E3353="?"),"duplicate?",IF(COUNTIFS($A:A,A3353,E:E,E3353)&gt;1,"yes","no"))</f>
        <v>duplicate?</v>
      </c>
      <c r="K3353" s="97" t="str">
        <f ca="1">IF(J3353="","Date",IF(J3353&lt;&gt;"",IF(K3353="Date",NOW(),K3353),""))</f>
        <v>Date</v>
      </c>
    </row>
    <row r="3354" spans="2:11">
      <c r="B3354" s="97" t="str">
        <f ca="1">IF(A3354="","Date",IF(A3354&lt;&gt;"",IF(B3354="Date",NOW(),B3354),""))</f>
        <v>Date</v>
      </c>
      <c r="C3354" s="19" t="str">
        <f>IF(ISBLANK(A3354),"Name",IF(ISNA(VLOOKUP(A3354,'Master List'!A:C,2,FALSE)), "Not Found", VLOOKUP(A3354,'Master List'!A:C,2,FALSE)))</f>
        <v>Name</v>
      </c>
      <c r="D3354" s="19" t="str">
        <f>IF(ISBLANK(A3354), "Email",IF(ISNA(VLOOKUP(A3354,'Master List'!A:C,3,FALSE)), "Not Found", VLOOKUP(A3354,'Master List'!A:C,3,FALSE)))</f>
        <v>Email</v>
      </c>
      <c r="F3354" s="4" t="str">
        <f>IF(OR(A3354="",E3354="","",A3354="?",E3354="?"),"duplicate?",IF(COUNTIFS($A:A,A3354,E:E,E3354)&gt;1,"yes","no"))</f>
        <v>duplicate?</v>
      </c>
      <c r="K3354" s="97" t="str">
        <f ca="1">IF(J3354="","Date",IF(J3354&lt;&gt;"",IF(K3354="Date",NOW(),K3354),""))</f>
        <v>Date</v>
      </c>
    </row>
    <row r="3355" spans="2:11">
      <c r="B3355" s="97" t="str">
        <f ca="1">IF(A3355="","Date",IF(A3355&lt;&gt;"",IF(B3355="Date",NOW(),B3355),""))</f>
        <v>Date</v>
      </c>
      <c r="C3355" s="19" t="str">
        <f>IF(ISBLANK(A3355),"Name",IF(ISNA(VLOOKUP(A3355,'Master List'!A:C,2,FALSE)), "Not Found", VLOOKUP(A3355,'Master List'!A:C,2,FALSE)))</f>
        <v>Name</v>
      </c>
      <c r="D3355" s="19" t="str">
        <f>IF(ISBLANK(A3355), "Email",IF(ISNA(VLOOKUP(A3355,'Master List'!A:C,3,FALSE)), "Not Found", VLOOKUP(A3355,'Master List'!A:C,3,FALSE)))</f>
        <v>Email</v>
      </c>
      <c r="F3355" s="4" t="str">
        <f>IF(OR(A3355="",E3355="","",A3355="?",E3355="?"),"duplicate?",IF(COUNTIFS($A:A,A3355,E:E,E3355)&gt;1,"yes","no"))</f>
        <v>duplicate?</v>
      </c>
      <c r="K3355" s="97" t="str">
        <f ca="1">IF(J3355="","Date",IF(J3355&lt;&gt;"",IF(K3355="Date",NOW(),K3355),""))</f>
        <v>Date</v>
      </c>
    </row>
    <row r="3356" spans="2:11">
      <c r="B3356" s="97" t="str">
        <f ca="1">IF(A3356="","Date",IF(A3356&lt;&gt;"",IF(B3356="Date",NOW(),B3356),""))</f>
        <v>Date</v>
      </c>
      <c r="C3356" s="19" t="str">
        <f>IF(ISBLANK(A3356),"Name",IF(ISNA(VLOOKUP(A3356,'Master List'!A:C,2,FALSE)), "Not Found", VLOOKUP(A3356,'Master List'!A:C,2,FALSE)))</f>
        <v>Name</v>
      </c>
      <c r="D3356" s="19" t="str">
        <f>IF(ISBLANK(A3356), "Email",IF(ISNA(VLOOKUP(A3356,'Master List'!A:C,3,FALSE)), "Not Found", VLOOKUP(A3356,'Master List'!A:C,3,FALSE)))</f>
        <v>Email</v>
      </c>
      <c r="F3356" s="4" t="str">
        <f>IF(OR(A3356="",E3356="","",A3356="?",E3356="?"),"duplicate?",IF(COUNTIFS($A:A,A3356,E:E,E3356)&gt;1,"yes","no"))</f>
        <v>duplicate?</v>
      </c>
      <c r="K3356" s="97" t="str">
        <f ca="1">IF(J3356="","Date",IF(J3356&lt;&gt;"",IF(K3356="Date",NOW(),K3356),""))</f>
        <v>Date</v>
      </c>
    </row>
    <row r="3357" spans="2:11">
      <c r="B3357" s="97" t="str">
        <f ca="1">IF(A3357="","Date",IF(A3357&lt;&gt;"",IF(B3357="Date",NOW(),B3357),""))</f>
        <v>Date</v>
      </c>
      <c r="C3357" s="19" t="str">
        <f>IF(ISBLANK(A3357),"Name",IF(ISNA(VLOOKUP(A3357,'Master List'!A:C,2,FALSE)), "Not Found", VLOOKUP(A3357,'Master List'!A:C,2,FALSE)))</f>
        <v>Name</v>
      </c>
      <c r="D3357" s="19" t="str">
        <f>IF(ISBLANK(A3357), "Email",IF(ISNA(VLOOKUP(A3357,'Master List'!A:C,3,FALSE)), "Not Found", VLOOKUP(A3357,'Master List'!A:C,3,FALSE)))</f>
        <v>Email</v>
      </c>
      <c r="F3357" s="4" t="str">
        <f>IF(OR(A3357="",E3357="","",A3357="?",E3357="?"),"duplicate?",IF(COUNTIFS($A:A,A3357,E:E,E3357)&gt;1,"yes","no"))</f>
        <v>duplicate?</v>
      </c>
      <c r="K3357" s="97" t="str">
        <f ca="1">IF(J3357="","Date",IF(J3357&lt;&gt;"",IF(K3357="Date",NOW(),K3357),""))</f>
        <v>Date</v>
      </c>
    </row>
    <row r="3358" spans="2:11">
      <c r="B3358" s="97" t="str">
        <f ca="1">IF(A3358="","Date",IF(A3358&lt;&gt;"",IF(B3358="Date",NOW(),B3358),""))</f>
        <v>Date</v>
      </c>
      <c r="C3358" s="19" t="str">
        <f>IF(ISBLANK(A3358),"Name",IF(ISNA(VLOOKUP(A3358,'Master List'!A:C,2,FALSE)), "Not Found", VLOOKUP(A3358,'Master List'!A:C,2,FALSE)))</f>
        <v>Name</v>
      </c>
      <c r="D3358" s="19" t="str">
        <f>IF(ISBLANK(A3358), "Email",IF(ISNA(VLOOKUP(A3358,'Master List'!A:C,3,FALSE)), "Not Found", VLOOKUP(A3358,'Master List'!A:C,3,FALSE)))</f>
        <v>Email</v>
      </c>
      <c r="F3358" s="4" t="str">
        <f>IF(OR(A3358="",E3358="","",A3358="?",E3358="?"),"duplicate?",IF(COUNTIFS($A:A,A3358,E:E,E3358)&gt;1,"yes","no"))</f>
        <v>duplicate?</v>
      </c>
      <c r="K3358" s="97" t="str">
        <f ca="1">IF(J3358="","Date",IF(J3358&lt;&gt;"",IF(K3358="Date",NOW(),K3358),""))</f>
        <v>Date</v>
      </c>
    </row>
    <row r="3359" spans="2:11">
      <c r="B3359" s="97" t="str">
        <f ca="1">IF(A3359="","Date",IF(A3359&lt;&gt;"",IF(B3359="Date",NOW(),B3359),""))</f>
        <v>Date</v>
      </c>
      <c r="C3359" s="19" t="str">
        <f>IF(ISBLANK(A3359),"Name",IF(ISNA(VLOOKUP(A3359,'Master List'!A:C,2,FALSE)), "Not Found", VLOOKUP(A3359,'Master List'!A:C,2,FALSE)))</f>
        <v>Name</v>
      </c>
      <c r="D3359" s="19" t="str">
        <f>IF(ISBLANK(A3359), "Email",IF(ISNA(VLOOKUP(A3359,'Master List'!A:C,3,FALSE)), "Not Found", VLOOKUP(A3359,'Master List'!A:C,3,FALSE)))</f>
        <v>Email</v>
      </c>
      <c r="F3359" s="4" t="str">
        <f>IF(OR(A3359="",E3359="","",A3359="?",E3359="?"),"duplicate?",IF(COUNTIFS($A:A,A3359,E:E,E3359)&gt;1,"yes","no"))</f>
        <v>duplicate?</v>
      </c>
      <c r="K3359" s="97" t="str">
        <f ca="1">IF(J3359="","Date",IF(J3359&lt;&gt;"",IF(K3359="Date",NOW(),K3359),""))</f>
        <v>Date</v>
      </c>
    </row>
    <row r="3360" spans="2:11">
      <c r="B3360" s="97" t="str">
        <f ca="1">IF(A3360="","Date",IF(A3360&lt;&gt;"",IF(B3360="Date",NOW(),B3360),""))</f>
        <v>Date</v>
      </c>
      <c r="C3360" s="19" t="str">
        <f>IF(ISBLANK(A3360),"Name",IF(ISNA(VLOOKUP(A3360,'Master List'!A:C,2,FALSE)), "Not Found", VLOOKUP(A3360,'Master List'!A:C,2,FALSE)))</f>
        <v>Name</v>
      </c>
      <c r="D3360" s="19" t="str">
        <f>IF(ISBLANK(A3360), "Email",IF(ISNA(VLOOKUP(A3360,'Master List'!A:C,3,FALSE)), "Not Found", VLOOKUP(A3360,'Master List'!A:C,3,FALSE)))</f>
        <v>Email</v>
      </c>
      <c r="F3360" s="4" t="str">
        <f>IF(OR(A3360="",E3360="","",A3360="?",E3360="?"),"duplicate?",IF(COUNTIFS($A:A,A3360,E:E,E3360)&gt;1,"yes","no"))</f>
        <v>duplicate?</v>
      </c>
      <c r="K3360" s="97" t="str">
        <f ca="1">IF(J3360="","Date",IF(J3360&lt;&gt;"",IF(K3360="Date",NOW(),K3360),""))</f>
        <v>Date</v>
      </c>
    </row>
    <row r="3361" spans="2:11">
      <c r="B3361" s="97" t="str">
        <f ca="1">IF(A3361="","Date",IF(A3361&lt;&gt;"",IF(B3361="Date",NOW(),B3361),""))</f>
        <v>Date</v>
      </c>
      <c r="C3361" s="19" t="str">
        <f>IF(ISBLANK(A3361),"Name",IF(ISNA(VLOOKUP(A3361,'Master List'!A:C,2,FALSE)), "Not Found", VLOOKUP(A3361,'Master List'!A:C,2,FALSE)))</f>
        <v>Name</v>
      </c>
      <c r="D3361" s="19" t="str">
        <f>IF(ISBLANK(A3361), "Email",IF(ISNA(VLOOKUP(A3361,'Master List'!A:C,3,FALSE)), "Not Found", VLOOKUP(A3361,'Master List'!A:C,3,FALSE)))</f>
        <v>Email</v>
      </c>
      <c r="F3361" s="4" t="str">
        <f>IF(OR(A3361="",E3361="","",A3361="?",E3361="?"),"duplicate?",IF(COUNTIFS($A:A,A3361,E:E,E3361)&gt;1,"yes","no"))</f>
        <v>duplicate?</v>
      </c>
      <c r="K3361" s="97" t="str">
        <f ca="1">IF(J3361="","Date",IF(J3361&lt;&gt;"",IF(K3361="Date",NOW(),K3361),""))</f>
        <v>Date</v>
      </c>
    </row>
    <row r="3362" spans="2:11">
      <c r="B3362" s="97" t="str">
        <f ca="1">IF(A3362="","Date",IF(A3362&lt;&gt;"",IF(B3362="Date",NOW(),B3362),""))</f>
        <v>Date</v>
      </c>
      <c r="C3362" s="19" t="str">
        <f>IF(ISBLANK(A3362),"Name",IF(ISNA(VLOOKUP(A3362,'Master List'!A:C,2,FALSE)), "Not Found", VLOOKUP(A3362,'Master List'!A:C,2,FALSE)))</f>
        <v>Name</v>
      </c>
      <c r="D3362" s="19" t="str">
        <f>IF(ISBLANK(A3362), "Email",IF(ISNA(VLOOKUP(A3362,'Master List'!A:C,3,FALSE)), "Not Found", VLOOKUP(A3362,'Master List'!A:C,3,FALSE)))</f>
        <v>Email</v>
      </c>
      <c r="F3362" s="4" t="str">
        <f>IF(OR(A3362="",E3362="","",A3362="?",E3362="?"),"duplicate?",IF(COUNTIFS($A:A,A3362,E:E,E3362)&gt;1,"yes","no"))</f>
        <v>duplicate?</v>
      </c>
      <c r="K3362" s="97" t="str">
        <f ca="1">IF(J3362="","Date",IF(J3362&lt;&gt;"",IF(K3362="Date",NOW(),K3362),""))</f>
        <v>Date</v>
      </c>
    </row>
    <row r="3363" spans="2:11">
      <c r="B3363" s="97" t="str">
        <f ca="1">IF(A3363="","Date",IF(A3363&lt;&gt;"",IF(B3363="Date",NOW(),B3363),""))</f>
        <v>Date</v>
      </c>
      <c r="C3363" s="19" t="str">
        <f>IF(ISBLANK(A3363),"Name",IF(ISNA(VLOOKUP(A3363,'Master List'!A:C,2,FALSE)), "Not Found", VLOOKUP(A3363,'Master List'!A:C,2,FALSE)))</f>
        <v>Name</v>
      </c>
      <c r="D3363" s="19" t="str">
        <f>IF(ISBLANK(A3363), "Email",IF(ISNA(VLOOKUP(A3363,'Master List'!A:C,3,FALSE)), "Not Found", VLOOKUP(A3363,'Master List'!A:C,3,FALSE)))</f>
        <v>Email</v>
      </c>
      <c r="F3363" s="4" t="str">
        <f>IF(OR(A3363="",E3363="","",A3363="?",E3363="?"),"duplicate?",IF(COUNTIFS($A:A,A3363,E:E,E3363)&gt;1,"yes","no"))</f>
        <v>duplicate?</v>
      </c>
      <c r="K3363" s="97" t="str">
        <f ca="1">IF(J3363="","Date",IF(J3363&lt;&gt;"",IF(K3363="Date",NOW(),K3363),""))</f>
        <v>Date</v>
      </c>
    </row>
    <row r="3364" spans="2:11">
      <c r="B3364" s="97" t="str">
        <f ca="1">IF(A3364="","Date",IF(A3364&lt;&gt;"",IF(B3364="Date",NOW(),B3364),""))</f>
        <v>Date</v>
      </c>
      <c r="C3364" s="19" t="str">
        <f>IF(ISBLANK(A3364),"Name",IF(ISNA(VLOOKUP(A3364,'Master List'!A:C,2,FALSE)), "Not Found", VLOOKUP(A3364,'Master List'!A:C,2,FALSE)))</f>
        <v>Name</v>
      </c>
      <c r="D3364" s="19" t="str">
        <f>IF(ISBLANK(A3364), "Email",IF(ISNA(VLOOKUP(A3364,'Master List'!A:C,3,FALSE)), "Not Found", VLOOKUP(A3364,'Master List'!A:C,3,FALSE)))</f>
        <v>Email</v>
      </c>
      <c r="F3364" s="4" t="str">
        <f>IF(OR(A3364="",E3364="","",A3364="?",E3364="?"),"duplicate?",IF(COUNTIFS($A:A,A3364,E:E,E3364)&gt;1,"yes","no"))</f>
        <v>duplicate?</v>
      </c>
      <c r="K3364" s="97" t="str">
        <f ca="1">IF(J3364="","Date",IF(J3364&lt;&gt;"",IF(K3364="Date",NOW(),K3364),""))</f>
        <v>Date</v>
      </c>
    </row>
    <row r="3365" spans="2:11">
      <c r="B3365" s="97" t="str">
        <f ca="1">IF(A3365="","Date",IF(A3365&lt;&gt;"",IF(B3365="Date",NOW(),B3365),""))</f>
        <v>Date</v>
      </c>
      <c r="C3365" s="19" t="str">
        <f>IF(ISBLANK(A3365),"Name",IF(ISNA(VLOOKUP(A3365,'Master List'!A:C,2,FALSE)), "Not Found", VLOOKUP(A3365,'Master List'!A:C,2,FALSE)))</f>
        <v>Name</v>
      </c>
      <c r="D3365" s="19" t="str">
        <f>IF(ISBLANK(A3365), "Email",IF(ISNA(VLOOKUP(A3365,'Master List'!A:C,3,FALSE)), "Not Found", VLOOKUP(A3365,'Master List'!A:C,3,FALSE)))</f>
        <v>Email</v>
      </c>
      <c r="F3365" s="4" t="str">
        <f>IF(OR(A3365="",E3365="","",A3365="?",E3365="?"),"duplicate?",IF(COUNTIFS($A:A,A3365,E:E,E3365)&gt;1,"yes","no"))</f>
        <v>duplicate?</v>
      </c>
      <c r="K3365" s="97" t="str">
        <f ca="1">IF(J3365="","Date",IF(J3365&lt;&gt;"",IF(K3365="Date",NOW(),K3365),""))</f>
        <v>Date</v>
      </c>
    </row>
    <row r="3366" spans="2:11">
      <c r="B3366" s="97" t="str">
        <f ca="1">IF(A3366="","Date",IF(A3366&lt;&gt;"",IF(B3366="Date",NOW(),B3366),""))</f>
        <v>Date</v>
      </c>
      <c r="C3366" s="19" t="str">
        <f>IF(ISBLANK(A3366),"Name",IF(ISNA(VLOOKUP(A3366,'Master List'!A:C,2,FALSE)), "Not Found", VLOOKUP(A3366,'Master List'!A:C,2,FALSE)))</f>
        <v>Name</v>
      </c>
      <c r="D3366" s="19" t="str">
        <f>IF(ISBLANK(A3366), "Email",IF(ISNA(VLOOKUP(A3366,'Master List'!A:C,3,FALSE)), "Not Found", VLOOKUP(A3366,'Master List'!A:C,3,FALSE)))</f>
        <v>Email</v>
      </c>
      <c r="F3366" s="4" t="str">
        <f>IF(OR(A3366="",E3366="","",A3366="?",E3366="?"),"duplicate?",IF(COUNTIFS($A:A,A3366,E:E,E3366)&gt;1,"yes","no"))</f>
        <v>duplicate?</v>
      </c>
      <c r="K3366" s="97" t="str">
        <f ca="1">IF(J3366="","Date",IF(J3366&lt;&gt;"",IF(K3366="Date",NOW(),K3366),""))</f>
        <v>Date</v>
      </c>
    </row>
    <row r="3367" spans="2:11">
      <c r="B3367" s="97" t="str">
        <f ca="1">IF(A3367="","Date",IF(A3367&lt;&gt;"",IF(B3367="Date",NOW(),B3367),""))</f>
        <v>Date</v>
      </c>
      <c r="C3367" s="19" t="str">
        <f>IF(ISBLANK(A3367),"Name",IF(ISNA(VLOOKUP(A3367,'Master List'!A:C,2,FALSE)), "Not Found", VLOOKUP(A3367,'Master List'!A:C,2,FALSE)))</f>
        <v>Name</v>
      </c>
      <c r="D3367" s="19" t="str">
        <f>IF(ISBLANK(A3367), "Email",IF(ISNA(VLOOKUP(A3367,'Master List'!A:C,3,FALSE)), "Not Found", VLOOKUP(A3367,'Master List'!A:C,3,FALSE)))</f>
        <v>Email</v>
      </c>
      <c r="F3367" s="4" t="str">
        <f>IF(OR(A3367="",E3367="","",A3367="?",E3367="?"),"duplicate?",IF(COUNTIFS($A:A,A3367,E:E,E3367)&gt;1,"yes","no"))</f>
        <v>duplicate?</v>
      </c>
      <c r="K3367" s="97" t="str">
        <f ca="1">IF(J3367="","Date",IF(J3367&lt;&gt;"",IF(K3367="Date",NOW(),K3367),""))</f>
        <v>Date</v>
      </c>
    </row>
    <row r="3368" spans="2:11">
      <c r="B3368" s="97" t="str">
        <f ca="1">IF(A3368="","Date",IF(A3368&lt;&gt;"",IF(B3368="Date",NOW(),B3368),""))</f>
        <v>Date</v>
      </c>
      <c r="C3368" s="19" t="str">
        <f>IF(ISBLANK(A3368),"Name",IF(ISNA(VLOOKUP(A3368,'Master List'!A:C,2,FALSE)), "Not Found", VLOOKUP(A3368,'Master List'!A:C,2,FALSE)))</f>
        <v>Name</v>
      </c>
      <c r="D3368" s="19" t="str">
        <f>IF(ISBLANK(A3368), "Email",IF(ISNA(VLOOKUP(A3368,'Master List'!A:C,3,FALSE)), "Not Found", VLOOKUP(A3368,'Master List'!A:C,3,FALSE)))</f>
        <v>Email</v>
      </c>
      <c r="F3368" s="4" t="str">
        <f>IF(OR(A3368="",E3368="","",A3368="?",E3368="?"),"duplicate?",IF(COUNTIFS($A:A,A3368,E:E,E3368)&gt;1,"yes","no"))</f>
        <v>duplicate?</v>
      </c>
      <c r="K3368" s="97" t="str">
        <f ca="1">IF(J3368="","Date",IF(J3368&lt;&gt;"",IF(K3368="Date",NOW(),K3368),""))</f>
        <v>Date</v>
      </c>
    </row>
    <row r="3369" spans="2:11">
      <c r="B3369" s="97" t="str">
        <f ca="1">IF(A3369="","Date",IF(A3369&lt;&gt;"",IF(B3369="Date",NOW(),B3369),""))</f>
        <v>Date</v>
      </c>
      <c r="C3369" s="19" t="str">
        <f>IF(ISBLANK(A3369),"Name",IF(ISNA(VLOOKUP(A3369,'Master List'!A:C,2,FALSE)), "Not Found", VLOOKUP(A3369,'Master List'!A:C,2,FALSE)))</f>
        <v>Name</v>
      </c>
      <c r="D3369" s="19" t="str">
        <f>IF(ISBLANK(A3369), "Email",IF(ISNA(VLOOKUP(A3369,'Master List'!A:C,3,FALSE)), "Not Found", VLOOKUP(A3369,'Master List'!A:C,3,FALSE)))</f>
        <v>Email</v>
      </c>
      <c r="F3369" s="4" t="str">
        <f>IF(OR(A3369="",E3369="","",A3369="?",E3369="?"),"duplicate?",IF(COUNTIFS($A:A,A3369,E:E,E3369)&gt;1,"yes","no"))</f>
        <v>duplicate?</v>
      </c>
      <c r="K3369" s="97" t="str">
        <f ca="1">IF(J3369="","Date",IF(J3369&lt;&gt;"",IF(K3369="Date",NOW(),K3369),""))</f>
        <v>Date</v>
      </c>
    </row>
    <row r="3370" spans="2:11">
      <c r="B3370" s="97" t="str">
        <f ca="1">IF(A3370="","Date",IF(A3370&lt;&gt;"",IF(B3370="Date",NOW(),B3370),""))</f>
        <v>Date</v>
      </c>
      <c r="C3370" s="19" t="str">
        <f>IF(ISBLANK(A3370),"Name",IF(ISNA(VLOOKUP(A3370,'Master List'!A:C,2,FALSE)), "Not Found", VLOOKUP(A3370,'Master List'!A:C,2,FALSE)))</f>
        <v>Name</v>
      </c>
      <c r="D3370" s="19" t="str">
        <f>IF(ISBLANK(A3370), "Email",IF(ISNA(VLOOKUP(A3370,'Master List'!A:C,3,FALSE)), "Not Found", VLOOKUP(A3370,'Master List'!A:C,3,FALSE)))</f>
        <v>Email</v>
      </c>
      <c r="F3370" s="4" t="str">
        <f>IF(OR(A3370="",E3370="","",A3370="?",E3370="?"),"duplicate?",IF(COUNTIFS($A:A,A3370,E:E,E3370)&gt;1,"yes","no"))</f>
        <v>duplicate?</v>
      </c>
      <c r="K3370" s="97" t="str">
        <f ca="1">IF(J3370="","Date",IF(J3370&lt;&gt;"",IF(K3370="Date",NOW(),K3370),""))</f>
        <v>Date</v>
      </c>
    </row>
    <row r="3371" spans="2:11">
      <c r="B3371" s="97" t="str">
        <f ca="1">IF(A3371="","Date",IF(A3371&lt;&gt;"",IF(B3371="Date",NOW(),B3371),""))</f>
        <v>Date</v>
      </c>
      <c r="C3371" s="19" t="str">
        <f>IF(ISBLANK(A3371),"Name",IF(ISNA(VLOOKUP(A3371,'Master List'!A:C,2,FALSE)), "Not Found", VLOOKUP(A3371,'Master List'!A:C,2,FALSE)))</f>
        <v>Name</v>
      </c>
      <c r="D3371" s="19" t="str">
        <f>IF(ISBLANK(A3371), "Email",IF(ISNA(VLOOKUP(A3371,'Master List'!A:C,3,FALSE)), "Not Found", VLOOKUP(A3371,'Master List'!A:C,3,FALSE)))</f>
        <v>Email</v>
      </c>
      <c r="F3371" s="4" t="str">
        <f>IF(OR(A3371="",E3371="","",A3371="?",E3371="?"),"duplicate?",IF(COUNTIFS($A:A,A3371,E:E,E3371)&gt;1,"yes","no"))</f>
        <v>duplicate?</v>
      </c>
      <c r="K3371" s="97" t="str">
        <f ca="1">IF(J3371="","Date",IF(J3371&lt;&gt;"",IF(K3371="Date",NOW(),K3371),""))</f>
        <v>Date</v>
      </c>
    </row>
    <row r="3372" spans="2:11">
      <c r="B3372" s="97" t="str">
        <f ca="1">IF(A3372="","Date",IF(A3372&lt;&gt;"",IF(B3372="Date",NOW(),B3372),""))</f>
        <v>Date</v>
      </c>
      <c r="C3372" s="19" t="str">
        <f>IF(ISBLANK(A3372),"Name",IF(ISNA(VLOOKUP(A3372,'Master List'!A:C,2,FALSE)), "Not Found", VLOOKUP(A3372,'Master List'!A:C,2,FALSE)))</f>
        <v>Name</v>
      </c>
      <c r="D3372" s="19" t="str">
        <f>IF(ISBLANK(A3372), "Email",IF(ISNA(VLOOKUP(A3372,'Master List'!A:C,3,FALSE)), "Not Found", VLOOKUP(A3372,'Master List'!A:C,3,FALSE)))</f>
        <v>Email</v>
      </c>
      <c r="F3372" s="4" t="str">
        <f>IF(OR(A3372="",E3372="","",A3372="?",E3372="?"),"duplicate?",IF(COUNTIFS($A:A,A3372,E:E,E3372)&gt;1,"yes","no"))</f>
        <v>duplicate?</v>
      </c>
      <c r="K3372" s="97" t="str">
        <f ca="1">IF(J3372="","Date",IF(J3372&lt;&gt;"",IF(K3372="Date",NOW(),K3372),""))</f>
        <v>Date</v>
      </c>
    </row>
    <row r="3373" spans="2:11">
      <c r="B3373" s="97" t="str">
        <f ca="1">IF(A3373="","Date",IF(A3373&lt;&gt;"",IF(B3373="Date",NOW(),B3373),""))</f>
        <v>Date</v>
      </c>
      <c r="C3373" s="19" t="str">
        <f>IF(ISBLANK(A3373),"Name",IF(ISNA(VLOOKUP(A3373,'Master List'!A:C,2,FALSE)), "Not Found", VLOOKUP(A3373,'Master List'!A:C,2,FALSE)))</f>
        <v>Name</v>
      </c>
      <c r="D3373" s="19" t="str">
        <f>IF(ISBLANK(A3373), "Email",IF(ISNA(VLOOKUP(A3373,'Master List'!A:C,3,FALSE)), "Not Found", VLOOKUP(A3373,'Master List'!A:C,3,FALSE)))</f>
        <v>Email</v>
      </c>
      <c r="F3373" s="4" t="str">
        <f>IF(OR(A3373="",E3373="","",A3373="?",E3373="?"),"duplicate?",IF(COUNTIFS($A:A,A3373,E:E,E3373)&gt;1,"yes","no"))</f>
        <v>duplicate?</v>
      </c>
      <c r="K3373" s="97" t="str">
        <f ca="1">IF(J3373="","Date",IF(J3373&lt;&gt;"",IF(K3373="Date",NOW(),K3373),""))</f>
        <v>Date</v>
      </c>
    </row>
    <row r="3374" spans="2:11">
      <c r="B3374" s="97" t="str">
        <f ca="1">IF(A3374="","Date",IF(A3374&lt;&gt;"",IF(B3374="Date",NOW(),B3374),""))</f>
        <v>Date</v>
      </c>
      <c r="C3374" s="19" t="str">
        <f>IF(ISBLANK(A3374),"Name",IF(ISNA(VLOOKUP(A3374,'Master List'!A:C,2,FALSE)), "Not Found", VLOOKUP(A3374,'Master List'!A:C,2,FALSE)))</f>
        <v>Name</v>
      </c>
      <c r="D3374" s="19" t="str">
        <f>IF(ISBLANK(A3374), "Email",IF(ISNA(VLOOKUP(A3374,'Master List'!A:C,3,FALSE)), "Not Found", VLOOKUP(A3374,'Master List'!A:C,3,FALSE)))</f>
        <v>Email</v>
      </c>
      <c r="F3374" s="4" t="str">
        <f>IF(OR(A3374="",E3374="","",A3374="?",E3374="?"),"duplicate?",IF(COUNTIFS($A:A,A3374,E:E,E3374)&gt;1,"yes","no"))</f>
        <v>duplicate?</v>
      </c>
      <c r="K3374" s="97" t="str">
        <f ca="1">IF(J3374="","Date",IF(J3374&lt;&gt;"",IF(K3374="Date",NOW(),K3374),""))</f>
        <v>Date</v>
      </c>
    </row>
    <row r="3375" spans="2:11">
      <c r="B3375" s="97" t="str">
        <f ca="1">IF(A3375="","Date",IF(A3375&lt;&gt;"",IF(B3375="Date",NOW(),B3375),""))</f>
        <v>Date</v>
      </c>
      <c r="C3375" s="19" t="str">
        <f>IF(ISBLANK(A3375),"Name",IF(ISNA(VLOOKUP(A3375,'Master List'!A:C,2,FALSE)), "Not Found", VLOOKUP(A3375,'Master List'!A:C,2,FALSE)))</f>
        <v>Name</v>
      </c>
      <c r="D3375" s="19" t="str">
        <f>IF(ISBLANK(A3375), "Email",IF(ISNA(VLOOKUP(A3375,'Master List'!A:C,3,FALSE)), "Not Found", VLOOKUP(A3375,'Master List'!A:C,3,FALSE)))</f>
        <v>Email</v>
      </c>
      <c r="F3375" s="4" t="str">
        <f>IF(OR(A3375="",E3375="","",A3375="?",E3375="?"),"duplicate?",IF(COUNTIFS($A:A,A3375,E:E,E3375)&gt;1,"yes","no"))</f>
        <v>duplicate?</v>
      </c>
      <c r="K3375" s="97" t="str">
        <f ca="1">IF(J3375="","Date",IF(J3375&lt;&gt;"",IF(K3375="Date",NOW(),K3375),""))</f>
        <v>Date</v>
      </c>
    </row>
    <row r="3376" spans="2:11">
      <c r="B3376" s="97" t="str">
        <f ca="1">IF(A3376="","Date",IF(A3376&lt;&gt;"",IF(B3376="Date",NOW(),B3376),""))</f>
        <v>Date</v>
      </c>
      <c r="C3376" s="19" t="str">
        <f>IF(ISBLANK(A3376),"Name",IF(ISNA(VLOOKUP(A3376,'Master List'!A:C,2,FALSE)), "Not Found", VLOOKUP(A3376,'Master List'!A:C,2,FALSE)))</f>
        <v>Name</v>
      </c>
      <c r="D3376" s="19" t="str">
        <f>IF(ISBLANK(A3376), "Email",IF(ISNA(VLOOKUP(A3376,'Master List'!A:C,3,FALSE)), "Not Found", VLOOKUP(A3376,'Master List'!A:C,3,FALSE)))</f>
        <v>Email</v>
      </c>
      <c r="F3376" s="4" t="str">
        <f>IF(OR(A3376="",E3376="","",A3376="?",E3376="?"),"duplicate?",IF(COUNTIFS($A:A,A3376,E:E,E3376)&gt;1,"yes","no"))</f>
        <v>duplicate?</v>
      </c>
      <c r="K3376" s="97" t="str">
        <f ca="1">IF(J3376="","Date",IF(J3376&lt;&gt;"",IF(K3376="Date",NOW(),K3376),""))</f>
        <v>Date</v>
      </c>
    </row>
    <row r="3377" spans="2:11">
      <c r="B3377" s="97" t="str">
        <f ca="1">IF(A3377="","Date",IF(A3377&lt;&gt;"",IF(B3377="Date",NOW(),B3377),""))</f>
        <v>Date</v>
      </c>
      <c r="C3377" s="19" t="str">
        <f>IF(ISBLANK(A3377),"Name",IF(ISNA(VLOOKUP(A3377,'Master List'!A:C,2,FALSE)), "Not Found", VLOOKUP(A3377,'Master List'!A:C,2,FALSE)))</f>
        <v>Name</v>
      </c>
      <c r="D3377" s="19" t="str">
        <f>IF(ISBLANK(A3377), "Email",IF(ISNA(VLOOKUP(A3377,'Master List'!A:C,3,FALSE)), "Not Found", VLOOKUP(A3377,'Master List'!A:C,3,FALSE)))</f>
        <v>Email</v>
      </c>
      <c r="F3377" s="4" t="str">
        <f>IF(OR(A3377="",E3377="","",A3377="?",E3377="?"),"duplicate?",IF(COUNTIFS($A:A,A3377,E:E,E3377)&gt;1,"yes","no"))</f>
        <v>duplicate?</v>
      </c>
      <c r="K3377" s="97" t="str">
        <f ca="1">IF(J3377="","Date",IF(J3377&lt;&gt;"",IF(K3377="Date",NOW(),K3377),""))</f>
        <v>Date</v>
      </c>
    </row>
    <row r="3378" spans="2:11">
      <c r="B3378" s="97" t="str">
        <f ca="1">IF(A3378="","Date",IF(A3378&lt;&gt;"",IF(B3378="Date",NOW(),B3378),""))</f>
        <v>Date</v>
      </c>
      <c r="C3378" s="19" t="str">
        <f>IF(ISBLANK(A3378),"Name",IF(ISNA(VLOOKUP(A3378,'Master List'!A:C,2,FALSE)), "Not Found", VLOOKUP(A3378,'Master List'!A:C,2,FALSE)))</f>
        <v>Name</v>
      </c>
      <c r="D3378" s="19" t="str">
        <f>IF(ISBLANK(A3378), "Email",IF(ISNA(VLOOKUP(A3378,'Master List'!A:C,3,FALSE)), "Not Found", VLOOKUP(A3378,'Master List'!A:C,3,FALSE)))</f>
        <v>Email</v>
      </c>
      <c r="F3378" s="4" t="str">
        <f>IF(OR(A3378="",E3378="","",A3378="?",E3378="?"),"duplicate?",IF(COUNTIFS($A:A,A3378,E:E,E3378)&gt;1,"yes","no"))</f>
        <v>duplicate?</v>
      </c>
      <c r="K3378" s="97" t="str">
        <f ca="1">IF(J3378="","Date",IF(J3378&lt;&gt;"",IF(K3378="Date",NOW(),K3378),""))</f>
        <v>Date</v>
      </c>
    </row>
    <row r="3379" spans="2:11">
      <c r="B3379" s="97" t="str">
        <f ca="1">IF(A3379="","Date",IF(A3379&lt;&gt;"",IF(B3379="Date",NOW(),B3379),""))</f>
        <v>Date</v>
      </c>
      <c r="C3379" s="19" t="str">
        <f>IF(ISBLANK(A3379),"Name",IF(ISNA(VLOOKUP(A3379,'Master List'!A:C,2,FALSE)), "Not Found", VLOOKUP(A3379,'Master List'!A:C,2,FALSE)))</f>
        <v>Name</v>
      </c>
      <c r="D3379" s="19" t="str">
        <f>IF(ISBLANK(A3379), "Email",IF(ISNA(VLOOKUP(A3379,'Master List'!A:C,3,FALSE)), "Not Found", VLOOKUP(A3379,'Master List'!A:C,3,FALSE)))</f>
        <v>Email</v>
      </c>
      <c r="F3379" s="4" t="str">
        <f>IF(OR(A3379="",E3379="","",A3379="?",E3379="?"),"duplicate?",IF(COUNTIFS($A:A,A3379,E:E,E3379)&gt;1,"yes","no"))</f>
        <v>duplicate?</v>
      </c>
      <c r="K3379" s="97" t="str">
        <f ca="1">IF(J3379="","Date",IF(J3379&lt;&gt;"",IF(K3379="Date",NOW(),K3379),""))</f>
        <v>Date</v>
      </c>
    </row>
    <row r="3380" spans="2:11">
      <c r="B3380" s="97" t="str">
        <f ca="1">IF(A3380="","Date",IF(A3380&lt;&gt;"",IF(B3380="Date",NOW(),B3380),""))</f>
        <v>Date</v>
      </c>
      <c r="C3380" s="19" t="str">
        <f>IF(ISBLANK(A3380),"Name",IF(ISNA(VLOOKUP(A3380,'Master List'!A:C,2,FALSE)), "Not Found", VLOOKUP(A3380,'Master List'!A:C,2,FALSE)))</f>
        <v>Name</v>
      </c>
      <c r="D3380" s="19" t="str">
        <f>IF(ISBLANK(A3380), "Email",IF(ISNA(VLOOKUP(A3380,'Master List'!A:C,3,FALSE)), "Not Found", VLOOKUP(A3380,'Master List'!A:C,3,FALSE)))</f>
        <v>Email</v>
      </c>
      <c r="F3380" s="4" t="str">
        <f>IF(OR(A3380="",E3380="","",A3380="?",E3380="?"),"duplicate?",IF(COUNTIFS($A:A,A3380,E:E,E3380)&gt;1,"yes","no"))</f>
        <v>duplicate?</v>
      </c>
      <c r="K3380" s="97" t="str">
        <f ca="1">IF(J3380="","Date",IF(J3380&lt;&gt;"",IF(K3380="Date",NOW(),K3380),""))</f>
        <v>Date</v>
      </c>
    </row>
    <row r="3381" spans="2:11">
      <c r="B3381" s="97" t="str">
        <f ca="1">IF(A3381="","Date",IF(A3381&lt;&gt;"",IF(B3381="Date",NOW(),B3381),""))</f>
        <v>Date</v>
      </c>
      <c r="C3381" s="19" t="str">
        <f>IF(ISBLANK(A3381),"Name",IF(ISNA(VLOOKUP(A3381,'Master List'!A:C,2,FALSE)), "Not Found", VLOOKUP(A3381,'Master List'!A:C,2,FALSE)))</f>
        <v>Name</v>
      </c>
      <c r="D3381" s="19" t="str">
        <f>IF(ISBLANK(A3381), "Email",IF(ISNA(VLOOKUP(A3381,'Master List'!A:C,3,FALSE)), "Not Found", VLOOKUP(A3381,'Master List'!A:C,3,FALSE)))</f>
        <v>Email</v>
      </c>
      <c r="F3381" s="4" t="str">
        <f>IF(OR(A3381="",E3381="","",A3381="?",E3381="?"),"duplicate?",IF(COUNTIFS($A:A,A3381,E:E,E3381)&gt;1,"yes","no"))</f>
        <v>duplicate?</v>
      </c>
      <c r="K3381" s="97" t="str">
        <f ca="1">IF(J3381="","Date",IF(J3381&lt;&gt;"",IF(K3381="Date",NOW(),K3381),""))</f>
        <v>Date</v>
      </c>
    </row>
    <row r="3382" spans="2:11">
      <c r="B3382" s="97" t="str">
        <f ca="1">IF(A3382="","Date",IF(A3382&lt;&gt;"",IF(B3382="Date",NOW(),B3382),""))</f>
        <v>Date</v>
      </c>
      <c r="C3382" s="19" t="str">
        <f>IF(ISBLANK(A3382),"Name",IF(ISNA(VLOOKUP(A3382,'Master List'!A:C,2,FALSE)), "Not Found", VLOOKUP(A3382,'Master List'!A:C,2,FALSE)))</f>
        <v>Name</v>
      </c>
      <c r="D3382" s="19" t="str">
        <f>IF(ISBLANK(A3382), "Email",IF(ISNA(VLOOKUP(A3382,'Master List'!A:C,3,FALSE)), "Not Found", VLOOKUP(A3382,'Master List'!A:C,3,FALSE)))</f>
        <v>Email</v>
      </c>
      <c r="F3382" s="4" t="str">
        <f>IF(OR(A3382="",E3382="","",A3382="?",E3382="?"),"duplicate?",IF(COUNTIFS($A:A,A3382,E:E,E3382)&gt;1,"yes","no"))</f>
        <v>duplicate?</v>
      </c>
      <c r="K3382" s="97" t="str">
        <f ca="1">IF(J3382="","Date",IF(J3382&lt;&gt;"",IF(K3382="Date",NOW(),K3382),""))</f>
        <v>Date</v>
      </c>
    </row>
    <row r="3383" spans="2:11">
      <c r="B3383" s="97" t="str">
        <f ca="1">IF(A3383="","Date",IF(A3383&lt;&gt;"",IF(B3383="Date",NOW(),B3383),""))</f>
        <v>Date</v>
      </c>
      <c r="C3383" s="19" t="str">
        <f>IF(ISBLANK(A3383),"Name",IF(ISNA(VLOOKUP(A3383,'Master List'!A:C,2,FALSE)), "Not Found", VLOOKUP(A3383,'Master List'!A:C,2,FALSE)))</f>
        <v>Name</v>
      </c>
      <c r="D3383" s="19" t="str">
        <f>IF(ISBLANK(A3383), "Email",IF(ISNA(VLOOKUP(A3383,'Master List'!A:C,3,FALSE)), "Not Found", VLOOKUP(A3383,'Master List'!A:C,3,FALSE)))</f>
        <v>Email</v>
      </c>
      <c r="F3383" s="4" t="str">
        <f>IF(OR(A3383="",E3383="","",A3383="?",E3383="?"),"duplicate?",IF(COUNTIFS($A:A,A3383,E:E,E3383)&gt;1,"yes","no"))</f>
        <v>duplicate?</v>
      </c>
      <c r="K3383" s="97" t="str">
        <f ca="1">IF(J3383="","Date",IF(J3383&lt;&gt;"",IF(K3383="Date",NOW(),K3383),""))</f>
        <v>Date</v>
      </c>
    </row>
    <row r="3384" spans="2:11">
      <c r="B3384" s="97" t="str">
        <f ca="1">IF(A3384="","Date",IF(A3384&lt;&gt;"",IF(B3384="Date",NOW(),B3384),""))</f>
        <v>Date</v>
      </c>
      <c r="C3384" s="19" t="str">
        <f>IF(ISBLANK(A3384),"Name",IF(ISNA(VLOOKUP(A3384,'Master List'!A:C,2,FALSE)), "Not Found", VLOOKUP(A3384,'Master List'!A:C,2,FALSE)))</f>
        <v>Name</v>
      </c>
      <c r="D3384" s="19" t="str">
        <f>IF(ISBLANK(A3384), "Email",IF(ISNA(VLOOKUP(A3384,'Master List'!A:C,3,FALSE)), "Not Found", VLOOKUP(A3384,'Master List'!A:C,3,FALSE)))</f>
        <v>Email</v>
      </c>
      <c r="F3384" s="4" t="str">
        <f>IF(OR(A3384="",E3384="","",A3384="?",E3384="?"),"duplicate?",IF(COUNTIFS($A:A,A3384,E:E,E3384)&gt;1,"yes","no"))</f>
        <v>duplicate?</v>
      </c>
      <c r="K3384" s="97" t="str">
        <f ca="1">IF(J3384="","Date",IF(J3384&lt;&gt;"",IF(K3384="Date",NOW(),K3384),""))</f>
        <v>Date</v>
      </c>
    </row>
    <row r="3385" spans="2:11">
      <c r="B3385" s="97" t="str">
        <f ca="1">IF(A3385="","Date",IF(A3385&lt;&gt;"",IF(B3385="Date",NOW(),B3385),""))</f>
        <v>Date</v>
      </c>
      <c r="C3385" s="19" t="str">
        <f>IF(ISBLANK(A3385),"Name",IF(ISNA(VLOOKUP(A3385,'Master List'!A:C,2,FALSE)), "Not Found", VLOOKUP(A3385,'Master List'!A:C,2,FALSE)))</f>
        <v>Name</v>
      </c>
      <c r="D3385" s="19" t="str">
        <f>IF(ISBLANK(A3385), "Email",IF(ISNA(VLOOKUP(A3385,'Master List'!A:C,3,FALSE)), "Not Found", VLOOKUP(A3385,'Master List'!A:C,3,FALSE)))</f>
        <v>Email</v>
      </c>
      <c r="F3385" s="4" t="str">
        <f>IF(OR(A3385="",E3385="","",A3385="?",E3385="?"),"duplicate?",IF(COUNTIFS($A:A,A3385,E:E,E3385)&gt;1,"yes","no"))</f>
        <v>duplicate?</v>
      </c>
      <c r="K3385" s="97" t="str">
        <f ca="1">IF(J3385="","Date",IF(J3385&lt;&gt;"",IF(K3385="Date",NOW(),K3385),""))</f>
        <v>Date</v>
      </c>
    </row>
    <row r="3386" spans="2:11">
      <c r="B3386" s="97" t="str">
        <f ca="1">IF(A3386="","Date",IF(A3386&lt;&gt;"",IF(B3386="Date",NOW(),B3386),""))</f>
        <v>Date</v>
      </c>
      <c r="C3386" s="19" t="str">
        <f>IF(ISBLANK(A3386),"Name",IF(ISNA(VLOOKUP(A3386,'Master List'!A:C,2,FALSE)), "Not Found", VLOOKUP(A3386,'Master List'!A:C,2,FALSE)))</f>
        <v>Name</v>
      </c>
      <c r="D3386" s="19" t="str">
        <f>IF(ISBLANK(A3386), "Email",IF(ISNA(VLOOKUP(A3386,'Master List'!A:C,3,FALSE)), "Not Found", VLOOKUP(A3386,'Master List'!A:C,3,FALSE)))</f>
        <v>Email</v>
      </c>
      <c r="F3386" s="4" t="str">
        <f>IF(OR(A3386="",E3386="","",A3386="?",E3386="?"),"duplicate?",IF(COUNTIFS($A:A,A3386,E:E,E3386)&gt;1,"yes","no"))</f>
        <v>duplicate?</v>
      </c>
      <c r="K3386" s="97" t="str">
        <f ca="1">IF(J3386="","Date",IF(J3386&lt;&gt;"",IF(K3386="Date",NOW(),K3386),""))</f>
        <v>Date</v>
      </c>
    </row>
    <row r="3387" spans="2:11">
      <c r="B3387" s="97" t="str">
        <f ca="1">IF(A3387="","Date",IF(A3387&lt;&gt;"",IF(B3387="Date",NOW(),B3387),""))</f>
        <v>Date</v>
      </c>
      <c r="C3387" s="19" t="str">
        <f>IF(ISBLANK(A3387),"Name",IF(ISNA(VLOOKUP(A3387,'Master List'!A:C,2,FALSE)), "Not Found", VLOOKUP(A3387,'Master List'!A:C,2,FALSE)))</f>
        <v>Name</v>
      </c>
      <c r="D3387" s="19" t="str">
        <f>IF(ISBLANK(A3387), "Email",IF(ISNA(VLOOKUP(A3387,'Master List'!A:C,3,FALSE)), "Not Found", VLOOKUP(A3387,'Master List'!A:C,3,FALSE)))</f>
        <v>Email</v>
      </c>
      <c r="F3387" s="4" t="str">
        <f>IF(OR(A3387="",E3387="","",A3387="?",E3387="?"),"duplicate?",IF(COUNTIFS($A:A,A3387,E:E,E3387)&gt;1,"yes","no"))</f>
        <v>duplicate?</v>
      </c>
      <c r="K3387" s="97" t="str">
        <f ca="1">IF(J3387="","Date",IF(J3387&lt;&gt;"",IF(K3387="Date",NOW(),K3387),""))</f>
        <v>Date</v>
      </c>
    </row>
    <row r="3388" spans="2:11">
      <c r="B3388" s="97" t="str">
        <f ca="1">IF(A3388="","Date",IF(A3388&lt;&gt;"",IF(B3388="Date",NOW(),B3388),""))</f>
        <v>Date</v>
      </c>
      <c r="C3388" s="19" t="str">
        <f>IF(ISBLANK(A3388),"Name",IF(ISNA(VLOOKUP(A3388,'Master List'!A:C,2,FALSE)), "Not Found", VLOOKUP(A3388,'Master List'!A:C,2,FALSE)))</f>
        <v>Name</v>
      </c>
      <c r="D3388" s="19" t="str">
        <f>IF(ISBLANK(A3388), "Email",IF(ISNA(VLOOKUP(A3388,'Master List'!A:C,3,FALSE)), "Not Found", VLOOKUP(A3388,'Master List'!A:C,3,FALSE)))</f>
        <v>Email</v>
      </c>
      <c r="F3388" s="4" t="str">
        <f>IF(OR(A3388="",E3388="","",A3388="?",E3388="?"),"duplicate?",IF(COUNTIFS($A:A,A3388,E:E,E3388)&gt;1,"yes","no"))</f>
        <v>duplicate?</v>
      </c>
      <c r="K3388" s="97" t="str">
        <f ca="1">IF(J3388="","Date",IF(J3388&lt;&gt;"",IF(K3388="Date",NOW(),K3388),""))</f>
        <v>Date</v>
      </c>
    </row>
    <row r="3389" spans="2:11">
      <c r="B3389" s="97" t="str">
        <f ca="1">IF(A3389="","Date",IF(A3389&lt;&gt;"",IF(B3389="Date",NOW(),B3389),""))</f>
        <v>Date</v>
      </c>
      <c r="C3389" s="19" t="str">
        <f>IF(ISBLANK(A3389),"Name",IF(ISNA(VLOOKUP(A3389,'Master List'!A:C,2,FALSE)), "Not Found", VLOOKUP(A3389,'Master List'!A:C,2,FALSE)))</f>
        <v>Name</v>
      </c>
      <c r="D3389" s="19" t="str">
        <f>IF(ISBLANK(A3389), "Email",IF(ISNA(VLOOKUP(A3389,'Master List'!A:C,3,FALSE)), "Not Found", VLOOKUP(A3389,'Master List'!A:C,3,FALSE)))</f>
        <v>Email</v>
      </c>
      <c r="F3389" s="4" t="str">
        <f>IF(OR(A3389="",E3389="","",A3389="?",E3389="?"),"duplicate?",IF(COUNTIFS($A:A,A3389,E:E,E3389)&gt;1,"yes","no"))</f>
        <v>duplicate?</v>
      </c>
      <c r="K3389" s="97" t="str">
        <f ca="1">IF(J3389="","Date",IF(J3389&lt;&gt;"",IF(K3389="Date",NOW(),K3389),""))</f>
        <v>Date</v>
      </c>
    </row>
    <row r="3390" spans="2:11">
      <c r="B3390" s="97" t="str">
        <f ca="1">IF(A3390="","Date",IF(A3390&lt;&gt;"",IF(B3390="Date",NOW(),B3390),""))</f>
        <v>Date</v>
      </c>
      <c r="C3390" s="19" t="str">
        <f>IF(ISBLANK(A3390),"Name",IF(ISNA(VLOOKUP(A3390,'Master List'!A:C,2,FALSE)), "Not Found", VLOOKUP(A3390,'Master List'!A:C,2,FALSE)))</f>
        <v>Name</v>
      </c>
      <c r="D3390" s="19" t="str">
        <f>IF(ISBLANK(A3390), "Email",IF(ISNA(VLOOKUP(A3390,'Master List'!A:C,3,FALSE)), "Not Found", VLOOKUP(A3390,'Master List'!A:C,3,FALSE)))</f>
        <v>Email</v>
      </c>
      <c r="F3390" s="4" t="str">
        <f>IF(OR(A3390="",E3390="","",A3390="?",E3390="?"),"duplicate?",IF(COUNTIFS($A:A,A3390,E:E,E3390)&gt;1,"yes","no"))</f>
        <v>duplicate?</v>
      </c>
      <c r="K3390" s="97" t="str">
        <f ca="1">IF(J3390="","Date",IF(J3390&lt;&gt;"",IF(K3390="Date",NOW(),K3390),""))</f>
        <v>Date</v>
      </c>
    </row>
    <row r="3391" spans="2:11">
      <c r="B3391" s="97" t="str">
        <f ca="1">IF(A3391="","Date",IF(A3391&lt;&gt;"",IF(B3391="Date",NOW(),B3391),""))</f>
        <v>Date</v>
      </c>
      <c r="C3391" s="19" t="str">
        <f>IF(ISBLANK(A3391),"Name",IF(ISNA(VLOOKUP(A3391,'Master List'!A:C,2,FALSE)), "Not Found", VLOOKUP(A3391,'Master List'!A:C,2,FALSE)))</f>
        <v>Name</v>
      </c>
      <c r="D3391" s="19" t="str">
        <f>IF(ISBLANK(A3391), "Email",IF(ISNA(VLOOKUP(A3391,'Master List'!A:C,3,FALSE)), "Not Found", VLOOKUP(A3391,'Master List'!A:C,3,FALSE)))</f>
        <v>Email</v>
      </c>
      <c r="F3391" s="4" t="str">
        <f>IF(OR(A3391="",E3391="","",A3391="?",E3391="?"),"duplicate?",IF(COUNTIFS($A:A,A3391,E:E,E3391)&gt;1,"yes","no"))</f>
        <v>duplicate?</v>
      </c>
      <c r="K3391" s="97" t="str">
        <f ca="1">IF(J3391="","Date",IF(J3391&lt;&gt;"",IF(K3391="Date",NOW(),K3391),""))</f>
        <v>Date</v>
      </c>
    </row>
    <row r="3392" spans="2:11">
      <c r="B3392" s="97" t="str">
        <f ca="1">IF(A3392="","Date",IF(A3392&lt;&gt;"",IF(B3392="Date",NOW(),B3392),""))</f>
        <v>Date</v>
      </c>
      <c r="C3392" s="19" t="str">
        <f>IF(ISBLANK(A3392),"Name",IF(ISNA(VLOOKUP(A3392,'Master List'!A:C,2,FALSE)), "Not Found", VLOOKUP(A3392,'Master List'!A:C,2,FALSE)))</f>
        <v>Name</v>
      </c>
      <c r="D3392" s="19" t="str">
        <f>IF(ISBLANK(A3392), "Email",IF(ISNA(VLOOKUP(A3392,'Master List'!A:C,3,FALSE)), "Not Found", VLOOKUP(A3392,'Master List'!A:C,3,FALSE)))</f>
        <v>Email</v>
      </c>
      <c r="F3392" s="4" t="str">
        <f>IF(OR(A3392="",E3392="","",A3392="?",E3392="?"),"duplicate?",IF(COUNTIFS($A:A,A3392,E:E,E3392)&gt;1,"yes","no"))</f>
        <v>duplicate?</v>
      </c>
      <c r="K3392" s="97" t="str">
        <f ca="1">IF(J3392="","Date",IF(J3392&lt;&gt;"",IF(K3392="Date",NOW(),K3392),""))</f>
        <v>Date</v>
      </c>
    </row>
    <row r="3393" spans="2:11">
      <c r="B3393" s="97" t="str">
        <f ca="1">IF(A3393="","Date",IF(A3393&lt;&gt;"",IF(B3393="Date",NOW(),B3393),""))</f>
        <v>Date</v>
      </c>
      <c r="C3393" s="19" t="str">
        <f>IF(ISBLANK(A3393),"Name",IF(ISNA(VLOOKUP(A3393,'Master List'!A:C,2,FALSE)), "Not Found", VLOOKUP(A3393,'Master List'!A:C,2,FALSE)))</f>
        <v>Name</v>
      </c>
      <c r="D3393" s="19" t="str">
        <f>IF(ISBLANK(A3393), "Email",IF(ISNA(VLOOKUP(A3393,'Master List'!A:C,3,FALSE)), "Not Found", VLOOKUP(A3393,'Master List'!A:C,3,FALSE)))</f>
        <v>Email</v>
      </c>
      <c r="F3393" s="4" t="str">
        <f>IF(OR(A3393="",E3393="","",A3393="?",E3393="?"),"duplicate?",IF(COUNTIFS($A:A,A3393,E:E,E3393)&gt;1,"yes","no"))</f>
        <v>duplicate?</v>
      </c>
      <c r="K3393" s="97" t="str">
        <f ca="1">IF(J3393="","Date",IF(J3393&lt;&gt;"",IF(K3393="Date",NOW(),K3393),""))</f>
        <v>Date</v>
      </c>
    </row>
    <row r="3394" spans="2:11">
      <c r="B3394" s="97" t="str">
        <f ca="1">IF(A3394="","Date",IF(A3394&lt;&gt;"",IF(B3394="Date",NOW(),B3394),""))</f>
        <v>Date</v>
      </c>
      <c r="C3394" s="19" t="str">
        <f>IF(ISBLANK(A3394),"Name",IF(ISNA(VLOOKUP(A3394,'Master List'!A:C,2,FALSE)), "Not Found", VLOOKUP(A3394,'Master List'!A:C,2,FALSE)))</f>
        <v>Name</v>
      </c>
      <c r="D3394" s="19" t="str">
        <f>IF(ISBLANK(A3394), "Email",IF(ISNA(VLOOKUP(A3394,'Master List'!A:C,3,FALSE)), "Not Found", VLOOKUP(A3394,'Master List'!A:C,3,FALSE)))</f>
        <v>Email</v>
      </c>
      <c r="F3394" s="4" t="str">
        <f>IF(OR(A3394="",E3394="","",A3394="?",E3394="?"),"duplicate?",IF(COUNTIFS($A:A,A3394,E:E,E3394)&gt;1,"yes","no"))</f>
        <v>duplicate?</v>
      </c>
      <c r="K3394" s="97" t="str">
        <f ca="1">IF(J3394="","Date",IF(J3394&lt;&gt;"",IF(K3394="Date",NOW(),K3394),""))</f>
        <v>Date</v>
      </c>
    </row>
    <row r="3395" spans="2:11">
      <c r="B3395" s="97" t="str">
        <f ca="1">IF(A3395="","Date",IF(A3395&lt;&gt;"",IF(B3395="Date",NOW(),B3395),""))</f>
        <v>Date</v>
      </c>
      <c r="C3395" s="19" t="str">
        <f>IF(ISBLANK(A3395),"Name",IF(ISNA(VLOOKUP(A3395,'Master List'!A:C,2,FALSE)), "Not Found", VLOOKUP(A3395,'Master List'!A:C,2,FALSE)))</f>
        <v>Name</v>
      </c>
      <c r="D3395" s="19" t="str">
        <f>IF(ISBLANK(A3395), "Email",IF(ISNA(VLOOKUP(A3395,'Master List'!A:C,3,FALSE)), "Not Found", VLOOKUP(A3395,'Master List'!A:C,3,FALSE)))</f>
        <v>Email</v>
      </c>
      <c r="F3395" s="4" t="str">
        <f>IF(OR(A3395="",E3395="","",A3395="?",E3395="?"),"duplicate?",IF(COUNTIFS($A:A,A3395,E:E,E3395)&gt;1,"yes","no"))</f>
        <v>duplicate?</v>
      </c>
      <c r="K3395" s="97" t="str">
        <f ca="1">IF(J3395="","Date",IF(J3395&lt;&gt;"",IF(K3395="Date",NOW(),K3395),""))</f>
        <v>Date</v>
      </c>
    </row>
    <row r="3396" spans="2:11">
      <c r="B3396" s="97" t="str">
        <f ca="1">IF(A3396="","Date",IF(A3396&lt;&gt;"",IF(B3396="Date",NOW(),B3396),""))</f>
        <v>Date</v>
      </c>
      <c r="C3396" s="19" t="str">
        <f>IF(ISBLANK(A3396),"Name",IF(ISNA(VLOOKUP(A3396,'Master List'!A:C,2,FALSE)), "Not Found", VLOOKUP(A3396,'Master List'!A:C,2,FALSE)))</f>
        <v>Name</v>
      </c>
      <c r="D3396" s="19" t="str">
        <f>IF(ISBLANK(A3396), "Email",IF(ISNA(VLOOKUP(A3396,'Master List'!A:C,3,FALSE)), "Not Found", VLOOKUP(A3396,'Master List'!A:C,3,FALSE)))</f>
        <v>Email</v>
      </c>
      <c r="F3396" s="4" t="str">
        <f>IF(OR(A3396="",E3396="","",A3396="?",E3396="?"),"duplicate?",IF(COUNTIFS($A:A,A3396,E:E,E3396)&gt;1,"yes","no"))</f>
        <v>duplicate?</v>
      </c>
      <c r="K3396" s="97" t="str">
        <f ca="1">IF(J3396="","Date",IF(J3396&lt;&gt;"",IF(K3396="Date",NOW(),K3396),""))</f>
        <v>Date</v>
      </c>
    </row>
    <row r="3397" spans="2:11">
      <c r="B3397" s="97" t="str">
        <f ca="1">IF(A3397="","Date",IF(A3397&lt;&gt;"",IF(B3397="Date",NOW(),B3397),""))</f>
        <v>Date</v>
      </c>
      <c r="C3397" s="19" t="str">
        <f>IF(ISBLANK(A3397),"Name",IF(ISNA(VLOOKUP(A3397,'Master List'!A:C,2,FALSE)), "Not Found", VLOOKUP(A3397,'Master List'!A:C,2,FALSE)))</f>
        <v>Name</v>
      </c>
      <c r="D3397" s="19" t="str">
        <f>IF(ISBLANK(A3397), "Email",IF(ISNA(VLOOKUP(A3397,'Master List'!A:C,3,FALSE)), "Not Found", VLOOKUP(A3397,'Master List'!A:C,3,FALSE)))</f>
        <v>Email</v>
      </c>
      <c r="F3397" s="4" t="str">
        <f>IF(OR(A3397="",E3397="","",A3397="?",E3397="?"),"duplicate?",IF(COUNTIFS($A:A,A3397,E:E,E3397)&gt;1,"yes","no"))</f>
        <v>duplicate?</v>
      </c>
      <c r="K3397" s="97" t="str">
        <f ca="1">IF(J3397="","Date",IF(J3397&lt;&gt;"",IF(K3397="Date",NOW(),K3397),""))</f>
        <v>Date</v>
      </c>
    </row>
    <row r="3398" spans="2:11">
      <c r="B3398" s="97" t="str">
        <f ca="1">IF(A3398="","Date",IF(A3398&lt;&gt;"",IF(B3398="Date",NOW(),B3398),""))</f>
        <v>Date</v>
      </c>
      <c r="C3398" s="19" t="str">
        <f>IF(ISBLANK(A3398),"Name",IF(ISNA(VLOOKUP(A3398,'Master List'!A:C,2,FALSE)), "Not Found", VLOOKUP(A3398,'Master List'!A:C,2,FALSE)))</f>
        <v>Name</v>
      </c>
      <c r="D3398" s="19" t="str">
        <f>IF(ISBLANK(A3398), "Email",IF(ISNA(VLOOKUP(A3398,'Master List'!A:C,3,FALSE)), "Not Found", VLOOKUP(A3398,'Master List'!A:C,3,FALSE)))</f>
        <v>Email</v>
      </c>
      <c r="F3398" s="4" t="str">
        <f>IF(OR(A3398="",E3398="","",A3398="?",E3398="?"),"duplicate?",IF(COUNTIFS($A:A,A3398,E:E,E3398)&gt;1,"yes","no"))</f>
        <v>duplicate?</v>
      </c>
      <c r="K3398" s="97" t="str">
        <f ca="1">IF(J3398="","Date",IF(J3398&lt;&gt;"",IF(K3398="Date",NOW(),K3398),""))</f>
        <v>Date</v>
      </c>
    </row>
    <row r="3399" spans="2:11">
      <c r="B3399" s="97" t="str">
        <f ca="1">IF(A3399="","Date",IF(A3399&lt;&gt;"",IF(B3399="Date",NOW(),B3399),""))</f>
        <v>Date</v>
      </c>
      <c r="C3399" s="19" t="str">
        <f>IF(ISBLANK(A3399),"Name",IF(ISNA(VLOOKUP(A3399,'Master List'!A:C,2,FALSE)), "Not Found", VLOOKUP(A3399,'Master List'!A:C,2,FALSE)))</f>
        <v>Name</v>
      </c>
      <c r="D3399" s="19" t="str">
        <f>IF(ISBLANK(A3399), "Email",IF(ISNA(VLOOKUP(A3399,'Master List'!A:C,3,FALSE)), "Not Found", VLOOKUP(A3399,'Master List'!A:C,3,FALSE)))</f>
        <v>Email</v>
      </c>
      <c r="F3399" s="4" t="str">
        <f>IF(OR(A3399="",E3399="","",A3399="?",E3399="?"),"duplicate?",IF(COUNTIFS($A:A,A3399,E:E,E3399)&gt;1,"yes","no"))</f>
        <v>duplicate?</v>
      </c>
      <c r="K3399" s="97" t="str">
        <f ca="1">IF(J3399="","Date",IF(J3399&lt;&gt;"",IF(K3399="Date",NOW(),K3399),""))</f>
        <v>Date</v>
      </c>
    </row>
    <row r="3400" spans="2:11">
      <c r="B3400" s="97" t="str">
        <f ca="1">IF(A3400="","Date",IF(A3400&lt;&gt;"",IF(B3400="Date",NOW(),B3400),""))</f>
        <v>Date</v>
      </c>
      <c r="C3400" s="19" t="str">
        <f>IF(ISBLANK(A3400),"Name",IF(ISNA(VLOOKUP(A3400,'Master List'!A:C,2,FALSE)), "Not Found", VLOOKUP(A3400,'Master List'!A:C,2,FALSE)))</f>
        <v>Name</v>
      </c>
      <c r="D3400" s="19" t="str">
        <f>IF(ISBLANK(A3400), "Email",IF(ISNA(VLOOKUP(A3400,'Master List'!A:C,3,FALSE)), "Not Found", VLOOKUP(A3400,'Master List'!A:C,3,FALSE)))</f>
        <v>Email</v>
      </c>
      <c r="F3400" s="4" t="str">
        <f>IF(OR(A3400="",E3400="","",A3400="?",E3400="?"),"duplicate?",IF(COUNTIFS($A:A,A3400,E:E,E3400)&gt;1,"yes","no"))</f>
        <v>duplicate?</v>
      </c>
      <c r="K3400" s="97" t="str">
        <f ca="1">IF(J3400="","Date",IF(J3400&lt;&gt;"",IF(K3400="Date",NOW(),K3400),""))</f>
        <v>Date</v>
      </c>
    </row>
    <row r="3401" spans="2:11">
      <c r="B3401" s="97" t="str">
        <f ca="1">IF(A3401="","Date",IF(A3401&lt;&gt;"",IF(B3401="Date",NOW(),B3401),""))</f>
        <v>Date</v>
      </c>
      <c r="C3401" s="19" t="str">
        <f>IF(ISBLANK(A3401),"Name",IF(ISNA(VLOOKUP(A3401,'Master List'!A:C,2,FALSE)), "Not Found", VLOOKUP(A3401,'Master List'!A:C,2,FALSE)))</f>
        <v>Name</v>
      </c>
      <c r="D3401" s="19" t="str">
        <f>IF(ISBLANK(A3401), "Email",IF(ISNA(VLOOKUP(A3401,'Master List'!A:C,3,FALSE)), "Not Found", VLOOKUP(A3401,'Master List'!A:C,3,FALSE)))</f>
        <v>Email</v>
      </c>
      <c r="F3401" s="4" t="str">
        <f>IF(OR(A3401="",E3401="","",A3401="?",E3401="?"),"duplicate?",IF(COUNTIFS($A:A,A3401,E:E,E3401)&gt;1,"yes","no"))</f>
        <v>duplicate?</v>
      </c>
      <c r="K3401" s="97" t="str">
        <f ca="1">IF(J3401="","Date",IF(J3401&lt;&gt;"",IF(K3401="Date",NOW(),K3401),""))</f>
        <v>Date</v>
      </c>
    </row>
    <row r="3402" spans="2:11">
      <c r="B3402" s="97" t="str">
        <f ca="1">IF(A3402="","Date",IF(A3402&lt;&gt;"",IF(B3402="Date",NOW(),B3402),""))</f>
        <v>Date</v>
      </c>
      <c r="C3402" s="19" t="str">
        <f>IF(ISBLANK(A3402),"Name",IF(ISNA(VLOOKUP(A3402,'Master List'!A:C,2,FALSE)), "Not Found", VLOOKUP(A3402,'Master List'!A:C,2,FALSE)))</f>
        <v>Name</v>
      </c>
      <c r="D3402" s="19" t="str">
        <f>IF(ISBLANK(A3402), "Email",IF(ISNA(VLOOKUP(A3402,'Master List'!A:C,3,FALSE)), "Not Found", VLOOKUP(A3402,'Master List'!A:C,3,FALSE)))</f>
        <v>Email</v>
      </c>
      <c r="F3402" s="4" t="str">
        <f>IF(OR(A3402="",E3402="","",A3402="?",E3402="?"),"duplicate?",IF(COUNTIFS($A:A,A3402,E:E,E3402)&gt;1,"yes","no"))</f>
        <v>duplicate?</v>
      </c>
      <c r="K3402" s="97" t="str">
        <f ca="1">IF(J3402="","Date",IF(J3402&lt;&gt;"",IF(K3402="Date",NOW(),K3402),""))</f>
        <v>Date</v>
      </c>
    </row>
    <row r="3403" spans="2:11">
      <c r="B3403" s="97" t="str">
        <f ca="1">IF(A3403="","Date",IF(A3403&lt;&gt;"",IF(B3403="Date",NOW(),B3403),""))</f>
        <v>Date</v>
      </c>
      <c r="C3403" s="19" t="str">
        <f>IF(ISBLANK(A3403),"Name",IF(ISNA(VLOOKUP(A3403,'Master List'!A:C,2,FALSE)), "Not Found", VLOOKUP(A3403,'Master List'!A:C,2,FALSE)))</f>
        <v>Name</v>
      </c>
      <c r="D3403" s="19" t="str">
        <f>IF(ISBLANK(A3403), "Email",IF(ISNA(VLOOKUP(A3403,'Master List'!A:C,3,FALSE)), "Not Found", VLOOKUP(A3403,'Master List'!A:C,3,FALSE)))</f>
        <v>Email</v>
      </c>
      <c r="F3403" s="4" t="str">
        <f>IF(OR(A3403="",E3403="","",A3403="?",E3403="?"),"duplicate?",IF(COUNTIFS($A:A,A3403,E:E,E3403)&gt;1,"yes","no"))</f>
        <v>duplicate?</v>
      </c>
      <c r="K3403" s="97" t="str">
        <f ca="1">IF(J3403="","Date",IF(J3403&lt;&gt;"",IF(K3403="Date",NOW(),K3403),""))</f>
        <v>Date</v>
      </c>
    </row>
    <row r="3404" spans="2:11">
      <c r="B3404" s="97" t="str">
        <f ca="1">IF(A3404="","Date",IF(A3404&lt;&gt;"",IF(B3404="Date",NOW(),B3404),""))</f>
        <v>Date</v>
      </c>
      <c r="C3404" s="19" t="str">
        <f>IF(ISBLANK(A3404),"Name",IF(ISNA(VLOOKUP(A3404,'Master List'!A:C,2,FALSE)), "Not Found", VLOOKUP(A3404,'Master List'!A:C,2,FALSE)))</f>
        <v>Name</v>
      </c>
      <c r="D3404" s="19" t="str">
        <f>IF(ISBLANK(A3404), "Email",IF(ISNA(VLOOKUP(A3404,'Master List'!A:C,3,FALSE)), "Not Found", VLOOKUP(A3404,'Master List'!A:C,3,FALSE)))</f>
        <v>Email</v>
      </c>
      <c r="F3404" s="4" t="str">
        <f>IF(OR(A3404="",E3404="","",A3404="?",E3404="?"),"duplicate?",IF(COUNTIFS($A:A,A3404,E:E,E3404)&gt;1,"yes","no"))</f>
        <v>duplicate?</v>
      </c>
      <c r="K3404" s="97" t="str">
        <f ca="1">IF(J3404="","Date",IF(J3404&lt;&gt;"",IF(K3404="Date",NOW(),K3404),""))</f>
        <v>Date</v>
      </c>
    </row>
    <row r="3405" spans="2:11">
      <c r="B3405" s="97" t="str">
        <f ca="1">IF(A3405="","Date",IF(A3405&lt;&gt;"",IF(B3405="Date",NOW(),B3405),""))</f>
        <v>Date</v>
      </c>
      <c r="C3405" s="19" t="str">
        <f>IF(ISBLANK(A3405),"Name",IF(ISNA(VLOOKUP(A3405,'Master List'!A:C,2,FALSE)), "Not Found", VLOOKUP(A3405,'Master List'!A:C,2,FALSE)))</f>
        <v>Name</v>
      </c>
      <c r="D3405" s="19" t="str">
        <f>IF(ISBLANK(A3405), "Email",IF(ISNA(VLOOKUP(A3405,'Master List'!A:C,3,FALSE)), "Not Found", VLOOKUP(A3405,'Master List'!A:C,3,FALSE)))</f>
        <v>Email</v>
      </c>
      <c r="F3405" s="4" t="str">
        <f>IF(OR(A3405="",E3405="","",A3405="?",E3405="?"),"duplicate?",IF(COUNTIFS($A:A,A3405,E:E,E3405)&gt;1,"yes","no"))</f>
        <v>duplicate?</v>
      </c>
      <c r="K3405" s="97" t="str">
        <f ca="1">IF(J3405="","Date",IF(J3405&lt;&gt;"",IF(K3405="Date",NOW(),K3405),""))</f>
        <v>Date</v>
      </c>
    </row>
    <row r="3406" spans="2:11">
      <c r="B3406" s="97" t="str">
        <f ca="1">IF(A3406="","Date",IF(A3406&lt;&gt;"",IF(B3406="Date",NOW(),B3406),""))</f>
        <v>Date</v>
      </c>
      <c r="C3406" s="19" t="str">
        <f>IF(ISBLANK(A3406),"Name",IF(ISNA(VLOOKUP(A3406,'Master List'!A:C,2,FALSE)), "Not Found", VLOOKUP(A3406,'Master List'!A:C,2,FALSE)))</f>
        <v>Name</v>
      </c>
      <c r="D3406" s="19" t="str">
        <f>IF(ISBLANK(A3406), "Email",IF(ISNA(VLOOKUP(A3406,'Master List'!A:C,3,FALSE)), "Not Found", VLOOKUP(A3406,'Master List'!A:C,3,FALSE)))</f>
        <v>Email</v>
      </c>
      <c r="F3406" s="4" t="str">
        <f>IF(OR(A3406="",E3406="","",A3406="?",E3406="?"),"duplicate?",IF(COUNTIFS($A:A,A3406,E:E,E3406)&gt;1,"yes","no"))</f>
        <v>duplicate?</v>
      </c>
      <c r="K3406" s="97" t="str">
        <f ca="1">IF(J3406="","Date",IF(J3406&lt;&gt;"",IF(K3406="Date",NOW(),K3406),""))</f>
        <v>Date</v>
      </c>
    </row>
    <row r="3407" spans="2:11">
      <c r="B3407" s="97" t="str">
        <f ca="1">IF(A3407="","Date",IF(A3407&lt;&gt;"",IF(B3407="Date",NOW(),B3407),""))</f>
        <v>Date</v>
      </c>
      <c r="C3407" s="19" t="str">
        <f>IF(ISBLANK(A3407),"Name",IF(ISNA(VLOOKUP(A3407,'Master List'!A:C,2,FALSE)), "Not Found", VLOOKUP(A3407,'Master List'!A:C,2,FALSE)))</f>
        <v>Name</v>
      </c>
      <c r="D3407" s="19" t="str">
        <f>IF(ISBLANK(A3407), "Email",IF(ISNA(VLOOKUP(A3407,'Master List'!A:C,3,FALSE)), "Not Found", VLOOKUP(A3407,'Master List'!A:C,3,FALSE)))</f>
        <v>Email</v>
      </c>
      <c r="F3407" s="4" t="str">
        <f>IF(OR(A3407="",E3407="","",A3407="?",E3407="?"),"duplicate?",IF(COUNTIFS($A:A,A3407,E:E,E3407)&gt;1,"yes","no"))</f>
        <v>duplicate?</v>
      </c>
      <c r="K3407" s="97" t="str">
        <f ca="1">IF(J3407="","Date",IF(J3407&lt;&gt;"",IF(K3407="Date",NOW(),K3407),""))</f>
        <v>Date</v>
      </c>
    </row>
    <row r="3408" spans="2:11">
      <c r="B3408" s="97" t="str">
        <f ca="1">IF(A3408="","Date",IF(A3408&lt;&gt;"",IF(B3408="Date",NOW(),B3408),""))</f>
        <v>Date</v>
      </c>
      <c r="C3408" s="19" t="str">
        <f>IF(ISBLANK(A3408),"Name",IF(ISNA(VLOOKUP(A3408,'Master List'!A:C,2,FALSE)), "Not Found", VLOOKUP(A3408,'Master List'!A:C,2,FALSE)))</f>
        <v>Name</v>
      </c>
      <c r="D3408" s="19" t="str">
        <f>IF(ISBLANK(A3408), "Email",IF(ISNA(VLOOKUP(A3408,'Master List'!A:C,3,FALSE)), "Not Found", VLOOKUP(A3408,'Master List'!A:C,3,FALSE)))</f>
        <v>Email</v>
      </c>
      <c r="F3408" s="4" t="str">
        <f>IF(OR(A3408="",E3408="","",A3408="?",E3408="?"),"duplicate?",IF(COUNTIFS($A:A,A3408,E:E,E3408)&gt;1,"yes","no"))</f>
        <v>duplicate?</v>
      </c>
      <c r="K3408" s="97" t="str">
        <f ca="1">IF(J3408="","Date",IF(J3408&lt;&gt;"",IF(K3408="Date",NOW(),K3408),""))</f>
        <v>Date</v>
      </c>
    </row>
    <row r="3409" spans="2:11">
      <c r="B3409" s="97" t="str">
        <f ca="1">IF(A3409="","Date",IF(A3409&lt;&gt;"",IF(B3409="Date",NOW(),B3409),""))</f>
        <v>Date</v>
      </c>
      <c r="C3409" s="19" t="str">
        <f>IF(ISBLANK(A3409),"Name",IF(ISNA(VLOOKUP(A3409,'Master List'!A:C,2,FALSE)), "Not Found", VLOOKUP(A3409,'Master List'!A:C,2,FALSE)))</f>
        <v>Name</v>
      </c>
      <c r="D3409" s="19" t="str">
        <f>IF(ISBLANK(A3409), "Email",IF(ISNA(VLOOKUP(A3409,'Master List'!A:C,3,FALSE)), "Not Found", VLOOKUP(A3409,'Master List'!A:C,3,FALSE)))</f>
        <v>Email</v>
      </c>
      <c r="F3409" s="4" t="str">
        <f>IF(OR(A3409="",E3409="","",A3409="?",E3409="?"),"duplicate?",IF(COUNTIFS($A:A,A3409,E:E,E3409)&gt;1,"yes","no"))</f>
        <v>duplicate?</v>
      </c>
      <c r="K3409" s="97" t="str">
        <f ca="1">IF(J3409="","Date",IF(J3409&lt;&gt;"",IF(K3409="Date",NOW(),K3409),""))</f>
        <v>Date</v>
      </c>
    </row>
    <row r="3410" spans="2:11">
      <c r="B3410" s="97" t="str">
        <f ca="1">IF(A3410="","Date",IF(A3410&lt;&gt;"",IF(B3410="Date",NOW(),B3410),""))</f>
        <v>Date</v>
      </c>
      <c r="C3410" s="19" t="str">
        <f>IF(ISBLANK(A3410),"Name",IF(ISNA(VLOOKUP(A3410,'Master List'!A:C,2,FALSE)), "Not Found", VLOOKUP(A3410,'Master List'!A:C,2,FALSE)))</f>
        <v>Name</v>
      </c>
      <c r="D3410" s="19" t="str">
        <f>IF(ISBLANK(A3410), "Email",IF(ISNA(VLOOKUP(A3410,'Master List'!A:C,3,FALSE)), "Not Found", VLOOKUP(A3410,'Master List'!A:C,3,FALSE)))</f>
        <v>Email</v>
      </c>
      <c r="F3410" s="4" t="str">
        <f>IF(OR(A3410="",E3410="","",A3410="?",E3410="?"),"duplicate?",IF(COUNTIFS($A:A,A3410,E:E,E3410)&gt;1,"yes","no"))</f>
        <v>duplicate?</v>
      </c>
      <c r="K3410" s="97" t="str">
        <f ca="1">IF(J3410="","Date",IF(J3410&lt;&gt;"",IF(K3410="Date",NOW(),K3410),""))</f>
        <v>Date</v>
      </c>
    </row>
    <row r="3411" spans="2:11">
      <c r="B3411" s="97" t="str">
        <f ca="1">IF(A3411="","Date",IF(A3411&lt;&gt;"",IF(B3411="Date",NOW(),B3411),""))</f>
        <v>Date</v>
      </c>
      <c r="C3411" s="19" t="str">
        <f>IF(ISBLANK(A3411),"Name",IF(ISNA(VLOOKUP(A3411,'Master List'!A:C,2,FALSE)), "Not Found", VLOOKUP(A3411,'Master List'!A:C,2,FALSE)))</f>
        <v>Name</v>
      </c>
      <c r="D3411" s="19" t="str">
        <f>IF(ISBLANK(A3411), "Email",IF(ISNA(VLOOKUP(A3411,'Master List'!A:C,3,FALSE)), "Not Found", VLOOKUP(A3411,'Master List'!A:C,3,FALSE)))</f>
        <v>Email</v>
      </c>
      <c r="F3411" s="4" t="str">
        <f>IF(OR(A3411="",E3411="","",A3411="?",E3411="?"),"duplicate?",IF(COUNTIFS($A:A,A3411,E:E,E3411)&gt;1,"yes","no"))</f>
        <v>duplicate?</v>
      </c>
      <c r="K3411" s="97" t="str">
        <f ca="1">IF(J3411="","Date",IF(J3411&lt;&gt;"",IF(K3411="Date",NOW(),K3411),""))</f>
        <v>Date</v>
      </c>
    </row>
    <row r="3412" spans="2:11">
      <c r="B3412" s="97" t="str">
        <f ca="1">IF(A3412="","Date",IF(A3412&lt;&gt;"",IF(B3412="Date",NOW(),B3412),""))</f>
        <v>Date</v>
      </c>
      <c r="C3412" s="19" t="str">
        <f>IF(ISBLANK(A3412),"Name",IF(ISNA(VLOOKUP(A3412,'Master List'!A:C,2,FALSE)), "Not Found", VLOOKUP(A3412,'Master List'!A:C,2,FALSE)))</f>
        <v>Name</v>
      </c>
      <c r="D3412" s="19" t="str">
        <f>IF(ISBLANK(A3412), "Email",IF(ISNA(VLOOKUP(A3412,'Master List'!A:C,3,FALSE)), "Not Found", VLOOKUP(A3412,'Master List'!A:C,3,FALSE)))</f>
        <v>Email</v>
      </c>
      <c r="F3412" s="4" t="str">
        <f>IF(OR(A3412="",E3412="","",A3412="?",E3412="?"),"duplicate?",IF(COUNTIFS($A:A,A3412,E:E,E3412)&gt;1,"yes","no"))</f>
        <v>duplicate?</v>
      </c>
      <c r="K3412" s="97" t="str">
        <f ca="1">IF(J3412="","Date",IF(J3412&lt;&gt;"",IF(K3412="Date",NOW(),K3412),""))</f>
        <v>Date</v>
      </c>
    </row>
    <row r="3413" spans="2:11">
      <c r="B3413" s="97" t="str">
        <f ca="1">IF(A3413="","Date",IF(A3413&lt;&gt;"",IF(B3413="Date",NOW(),B3413),""))</f>
        <v>Date</v>
      </c>
      <c r="C3413" s="19" t="str">
        <f>IF(ISBLANK(A3413),"Name",IF(ISNA(VLOOKUP(A3413,'Master List'!A:C,2,FALSE)), "Not Found", VLOOKUP(A3413,'Master List'!A:C,2,FALSE)))</f>
        <v>Name</v>
      </c>
      <c r="D3413" s="19" t="str">
        <f>IF(ISBLANK(A3413), "Email",IF(ISNA(VLOOKUP(A3413,'Master List'!A:C,3,FALSE)), "Not Found", VLOOKUP(A3413,'Master List'!A:C,3,FALSE)))</f>
        <v>Email</v>
      </c>
      <c r="F3413" s="4" t="str">
        <f>IF(OR(A3413="",E3413="","",A3413="?",E3413="?"),"duplicate?",IF(COUNTIFS($A:A,A3413,E:E,E3413)&gt;1,"yes","no"))</f>
        <v>duplicate?</v>
      </c>
      <c r="K3413" s="97" t="str">
        <f ca="1">IF(J3413="","Date",IF(J3413&lt;&gt;"",IF(K3413="Date",NOW(),K3413),""))</f>
        <v>Date</v>
      </c>
    </row>
    <row r="3414" spans="2:11">
      <c r="B3414" s="97" t="str">
        <f ca="1">IF(A3414="","Date",IF(A3414&lt;&gt;"",IF(B3414="Date",NOW(),B3414),""))</f>
        <v>Date</v>
      </c>
      <c r="C3414" s="19" t="str">
        <f>IF(ISBLANK(A3414),"Name",IF(ISNA(VLOOKUP(A3414,'Master List'!A:C,2,FALSE)), "Not Found", VLOOKUP(A3414,'Master List'!A:C,2,FALSE)))</f>
        <v>Name</v>
      </c>
      <c r="D3414" s="19" t="str">
        <f>IF(ISBLANK(A3414), "Email",IF(ISNA(VLOOKUP(A3414,'Master List'!A:C,3,FALSE)), "Not Found", VLOOKUP(A3414,'Master List'!A:C,3,FALSE)))</f>
        <v>Email</v>
      </c>
      <c r="F3414" s="4" t="str">
        <f>IF(OR(A3414="",E3414="","",A3414="?",E3414="?"),"duplicate?",IF(COUNTIFS($A:A,A3414,E:E,E3414)&gt;1,"yes","no"))</f>
        <v>duplicate?</v>
      </c>
      <c r="K3414" s="97" t="str">
        <f ca="1">IF(J3414="","Date",IF(J3414&lt;&gt;"",IF(K3414="Date",NOW(),K3414),""))</f>
        <v>Date</v>
      </c>
    </row>
    <row r="3415" spans="2:11">
      <c r="B3415" s="97" t="str">
        <f ca="1">IF(A3415="","Date",IF(A3415&lt;&gt;"",IF(B3415="Date",NOW(),B3415),""))</f>
        <v>Date</v>
      </c>
      <c r="C3415" s="19" t="str">
        <f>IF(ISBLANK(A3415),"Name",IF(ISNA(VLOOKUP(A3415,'Master List'!A:C,2,FALSE)), "Not Found", VLOOKUP(A3415,'Master List'!A:C,2,FALSE)))</f>
        <v>Name</v>
      </c>
      <c r="D3415" s="19" t="str">
        <f>IF(ISBLANK(A3415), "Email",IF(ISNA(VLOOKUP(A3415,'Master List'!A:C,3,FALSE)), "Not Found", VLOOKUP(A3415,'Master List'!A:C,3,FALSE)))</f>
        <v>Email</v>
      </c>
      <c r="F3415" s="4" t="str">
        <f>IF(OR(A3415="",E3415="","",A3415="?",E3415="?"),"duplicate?",IF(COUNTIFS($A:A,A3415,E:E,E3415)&gt;1,"yes","no"))</f>
        <v>duplicate?</v>
      </c>
      <c r="K3415" s="97" t="str">
        <f ca="1">IF(J3415="","Date",IF(J3415&lt;&gt;"",IF(K3415="Date",NOW(),K3415),""))</f>
        <v>Date</v>
      </c>
    </row>
    <row r="3416" spans="2:11">
      <c r="B3416" s="97" t="str">
        <f ca="1">IF(A3416="","Date",IF(A3416&lt;&gt;"",IF(B3416="Date",NOW(),B3416),""))</f>
        <v>Date</v>
      </c>
      <c r="C3416" s="19" t="str">
        <f>IF(ISBLANK(A3416),"Name",IF(ISNA(VLOOKUP(A3416,'Master List'!A:C,2,FALSE)), "Not Found", VLOOKUP(A3416,'Master List'!A:C,2,FALSE)))</f>
        <v>Name</v>
      </c>
      <c r="D3416" s="19" t="str">
        <f>IF(ISBLANK(A3416), "Email",IF(ISNA(VLOOKUP(A3416,'Master List'!A:C,3,FALSE)), "Not Found", VLOOKUP(A3416,'Master List'!A:C,3,FALSE)))</f>
        <v>Email</v>
      </c>
      <c r="F3416" s="4" t="str">
        <f>IF(OR(A3416="",E3416="","",A3416="?",E3416="?"),"duplicate?",IF(COUNTIFS($A:A,A3416,E:E,E3416)&gt;1,"yes","no"))</f>
        <v>duplicate?</v>
      </c>
      <c r="K3416" s="97" t="str">
        <f ca="1">IF(J3416="","Date",IF(J3416&lt;&gt;"",IF(K3416="Date",NOW(),K3416),""))</f>
        <v>Date</v>
      </c>
    </row>
    <row r="3417" spans="2:11">
      <c r="B3417" s="97" t="str">
        <f ca="1">IF(A3417="","Date",IF(A3417&lt;&gt;"",IF(B3417="Date",NOW(),B3417),""))</f>
        <v>Date</v>
      </c>
      <c r="C3417" s="19" t="str">
        <f>IF(ISBLANK(A3417),"Name",IF(ISNA(VLOOKUP(A3417,'Master List'!A:C,2,FALSE)), "Not Found", VLOOKUP(A3417,'Master List'!A:C,2,FALSE)))</f>
        <v>Name</v>
      </c>
      <c r="D3417" s="19" t="str">
        <f>IF(ISBLANK(A3417), "Email",IF(ISNA(VLOOKUP(A3417,'Master List'!A:C,3,FALSE)), "Not Found", VLOOKUP(A3417,'Master List'!A:C,3,FALSE)))</f>
        <v>Email</v>
      </c>
      <c r="F3417" s="4" t="str">
        <f>IF(OR(A3417="",E3417="","",A3417="?",E3417="?"),"duplicate?",IF(COUNTIFS($A:A,A3417,E:E,E3417)&gt;1,"yes","no"))</f>
        <v>duplicate?</v>
      </c>
      <c r="K3417" s="97" t="str">
        <f ca="1">IF(J3417="","Date",IF(J3417&lt;&gt;"",IF(K3417="Date",NOW(),K3417),""))</f>
        <v>Date</v>
      </c>
    </row>
    <row r="3418" spans="2:11">
      <c r="B3418" s="97" t="str">
        <f ca="1">IF(A3418="","Date",IF(A3418&lt;&gt;"",IF(B3418="Date",NOW(),B3418),""))</f>
        <v>Date</v>
      </c>
      <c r="C3418" s="19" t="str">
        <f>IF(ISBLANK(A3418),"Name",IF(ISNA(VLOOKUP(A3418,'Master List'!A:C,2,FALSE)), "Not Found", VLOOKUP(A3418,'Master List'!A:C,2,FALSE)))</f>
        <v>Name</v>
      </c>
      <c r="D3418" s="19" t="str">
        <f>IF(ISBLANK(A3418), "Email",IF(ISNA(VLOOKUP(A3418,'Master List'!A:C,3,FALSE)), "Not Found", VLOOKUP(A3418,'Master List'!A:C,3,FALSE)))</f>
        <v>Email</v>
      </c>
      <c r="F3418" s="4" t="str">
        <f>IF(OR(A3418="",E3418="","",A3418="?",E3418="?"),"duplicate?",IF(COUNTIFS($A:A,A3418,E:E,E3418)&gt;1,"yes","no"))</f>
        <v>duplicate?</v>
      </c>
      <c r="K3418" s="97" t="str">
        <f ca="1">IF(J3418="","Date",IF(J3418&lt;&gt;"",IF(K3418="Date",NOW(),K3418),""))</f>
        <v>Date</v>
      </c>
    </row>
    <row r="3419" spans="2:11">
      <c r="B3419" s="97" t="str">
        <f ca="1">IF(A3419="","Date",IF(A3419&lt;&gt;"",IF(B3419="Date",NOW(),B3419),""))</f>
        <v>Date</v>
      </c>
      <c r="C3419" s="19" t="str">
        <f>IF(ISBLANK(A3419),"Name",IF(ISNA(VLOOKUP(A3419,'Master List'!A:C,2,FALSE)), "Not Found", VLOOKUP(A3419,'Master List'!A:C,2,FALSE)))</f>
        <v>Name</v>
      </c>
      <c r="D3419" s="19" t="str">
        <f>IF(ISBLANK(A3419), "Email",IF(ISNA(VLOOKUP(A3419,'Master List'!A:C,3,FALSE)), "Not Found", VLOOKUP(A3419,'Master List'!A:C,3,FALSE)))</f>
        <v>Email</v>
      </c>
      <c r="F3419" s="4" t="str">
        <f>IF(OR(A3419="",E3419="","",A3419="?",E3419="?"),"duplicate?",IF(COUNTIFS($A:A,A3419,E:E,E3419)&gt;1,"yes","no"))</f>
        <v>duplicate?</v>
      </c>
      <c r="K3419" s="97" t="str">
        <f ca="1">IF(J3419="","Date",IF(J3419&lt;&gt;"",IF(K3419="Date",NOW(),K3419),""))</f>
        <v>Date</v>
      </c>
    </row>
    <row r="3420" spans="2:11">
      <c r="B3420" s="97" t="str">
        <f ca="1">IF(A3420="","Date",IF(A3420&lt;&gt;"",IF(B3420="Date",NOW(),B3420),""))</f>
        <v>Date</v>
      </c>
      <c r="C3420" s="19" t="str">
        <f>IF(ISBLANK(A3420),"Name",IF(ISNA(VLOOKUP(A3420,'Master List'!A:C,2,FALSE)), "Not Found", VLOOKUP(A3420,'Master List'!A:C,2,FALSE)))</f>
        <v>Name</v>
      </c>
      <c r="D3420" s="19" t="str">
        <f>IF(ISBLANK(A3420), "Email",IF(ISNA(VLOOKUP(A3420,'Master List'!A:C,3,FALSE)), "Not Found", VLOOKUP(A3420,'Master List'!A:C,3,FALSE)))</f>
        <v>Email</v>
      </c>
      <c r="F3420" s="4" t="str">
        <f>IF(OR(A3420="",E3420="","",A3420="?",E3420="?"),"duplicate?",IF(COUNTIFS($A:A,A3420,E:E,E3420)&gt;1,"yes","no"))</f>
        <v>duplicate?</v>
      </c>
      <c r="K3420" s="97" t="str">
        <f ca="1">IF(J3420="","Date",IF(J3420&lt;&gt;"",IF(K3420="Date",NOW(),K3420),""))</f>
        <v>Date</v>
      </c>
    </row>
    <row r="3421" spans="2:11">
      <c r="B3421" s="97" t="str">
        <f ca="1">IF(A3421="","Date",IF(A3421&lt;&gt;"",IF(B3421="Date",NOW(),B3421),""))</f>
        <v>Date</v>
      </c>
      <c r="C3421" s="19" t="str">
        <f>IF(ISBLANK(A3421),"Name",IF(ISNA(VLOOKUP(A3421,'Master List'!A:C,2,FALSE)), "Not Found", VLOOKUP(A3421,'Master List'!A:C,2,FALSE)))</f>
        <v>Name</v>
      </c>
      <c r="D3421" s="19" t="str">
        <f>IF(ISBLANK(A3421), "Email",IF(ISNA(VLOOKUP(A3421,'Master List'!A:C,3,FALSE)), "Not Found", VLOOKUP(A3421,'Master List'!A:C,3,FALSE)))</f>
        <v>Email</v>
      </c>
      <c r="F3421" s="4" t="str">
        <f>IF(OR(A3421="",E3421="","",A3421="?",E3421="?"),"duplicate?",IF(COUNTIFS($A:A,A3421,E:E,E3421)&gt;1,"yes","no"))</f>
        <v>duplicate?</v>
      </c>
      <c r="K3421" s="97" t="str">
        <f ca="1">IF(J3421="","Date",IF(J3421&lt;&gt;"",IF(K3421="Date",NOW(),K3421),""))</f>
        <v>Date</v>
      </c>
    </row>
    <row r="3422" spans="2:11">
      <c r="B3422" s="97" t="str">
        <f ca="1">IF(A3422="","Date",IF(A3422&lt;&gt;"",IF(B3422="Date",NOW(),B3422),""))</f>
        <v>Date</v>
      </c>
      <c r="C3422" s="19" t="str">
        <f>IF(ISBLANK(A3422),"Name",IF(ISNA(VLOOKUP(A3422,'Master List'!A:C,2,FALSE)), "Not Found", VLOOKUP(A3422,'Master List'!A:C,2,FALSE)))</f>
        <v>Name</v>
      </c>
      <c r="D3422" s="19" t="str">
        <f>IF(ISBLANK(A3422), "Email",IF(ISNA(VLOOKUP(A3422,'Master List'!A:C,3,FALSE)), "Not Found", VLOOKUP(A3422,'Master List'!A:C,3,FALSE)))</f>
        <v>Email</v>
      </c>
      <c r="F3422" s="4" t="str">
        <f>IF(OR(A3422="",E3422="","",A3422="?",E3422="?"),"duplicate?",IF(COUNTIFS($A:A,A3422,E:E,E3422)&gt;1,"yes","no"))</f>
        <v>duplicate?</v>
      </c>
      <c r="K3422" s="97" t="str">
        <f ca="1">IF(J3422="","Date",IF(J3422&lt;&gt;"",IF(K3422="Date",NOW(),K3422),""))</f>
        <v>Date</v>
      </c>
    </row>
    <row r="3423" spans="2:11">
      <c r="B3423" s="97" t="str">
        <f ca="1">IF(A3423="","Date",IF(A3423&lt;&gt;"",IF(B3423="Date",NOW(),B3423),""))</f>
        <v>Date</v>
      </c>
      <c r="C3423" s="19" t="str">
        <f>IF(ISBLANK(A3423),"Name",IF(ISNA(VLOOKUP(A3423,'Master List'!A:C,2,FALSE)), "Not Found", VLOOKUP(A3423,'Master List'!A:C,2,FALSE)))</f>
        <v>Name</v>
      </c>
      <c r="D3423" s="19" t="str">
        <f>IF(ISBLANK(A3423), "Email",IF(ISNA(VLOOKUP(A3423,'Master List'!A:C,3,FALSE)), "Not Found", VLOOKUP(A3423,'Master List'!A:C,3,FALSE)))</f>
        <v>Email</v>
      </c>
      <c r="F3423" s="4" t="str">
        <f>IF(OR(A3423="",E3423="","",A3423="?",E3423="?"),"duplicate?",IF(COUNTIFS($A:A,A3423,E:E,E3423)&gt;1,"yes","no"))</f>
        <v>duplicate?</v>
      </c>
      <c r="K3423" s="97" t="str">
        <f ca="1">IF(J3423="","Date",IF(J3423&lt;&gt;"",IF(K3423="Date",NOW(),K3423),""))</f>
        <v>Date</v>
      </c>
    </row>
    <row r="3424" spans="2:11">
      <c r="B3424" s="97" t="str">
        <f ca="1">IF(A3424="","Date",IF(A3424&lt;&gt;"",IF(B3424="Date",NOW(),B3424),""))</f>
        <v>Date</v>
      </c>
      <c r="C3424" s="19" t="str">
        <f>IF(ISBLANK(A3424),"Name",IF(ISNA(VLOOKUP(A3424,'Master List'!A:C,2,FALSE)), "Not Found", VLOOKUP(A3424,'Master List'!A:C,2,FALSE)))</f>
        <v>Name</v>
      </c>
      <c r="D3424" s="19" t="str">
        <f>IF(ISBLANK(A3424), "Email",IF(ISNA(VLOOKUP(A3424,'Master List'!A:C,3,FALSE)), "Not Found", VLOOKUP(A3424,'Master List'!A:C,3,FALSE)))</f>
        <v>Email</v>
      </c>
      <c r="F3424" s="4" t="str">
        <f>IF(OR(A3424="",E3424="","",A3424="?",E3424="?"),"duplicate?",IF(COUNTIFS($A:A,A3424,E:E,E3424)&gt;1,"yes","no"))</f>
        <v>duplicate?</v>
      </c>
      <c r="K3424" s="97" t="str">
        <f ca="1">IF(J3424="","Date",IF(J3424&lt;&gt;"",IF(K3424="Date",NOW(),K3424),""))</f>
        <v>Date</v>
      </c>
    </row>
    <row r="3425" spans="2:11">
      <c r="B3425" s="97" t="str">
        <f ca="1">IF(A3425="","Date",IF(A3425&lt;&gt;"",IF(B3425="Date",NOW(),B3425),""))</f>
        <v>Date</v>
      </c>
      <c r="C3425" s="19" t="str">
        <f>IF(ISBLANK(A3425),"Name",IF(ISNA(VLOOKUP(A3425,'Master List'!A:C,2,FALSE)), "Not Found", VLOOKUP(A3425,'Master List'!A:C,2,FALSE)))</f>
        <v>Name</v>
      </c>
      <c r="D3425" s="19" t="str">
        <f>IF(ISBLANK(A3425), "Email",IF(ISNA(VLOOKUP(A3425,'Master List'!A:C,3,FALSE)), "Not Found", VLOOKUP(A3425,'Master List'!A:C,3,FALSE)))</f>
        <v>Email</v>
      </c>
      <c r="F3425" s="4" t="str">
        <f>IF(OR(A3425="",E3425="","",A3425="?",E3425="?"),"duplicate?",IF(COUNTIFS($A:A,A3425,E:E,E3425)&gt;1,"yes","no"))</f>
        <v>duplicate?</v>
      </c>
      <c r="K3425" s="97" t="str">
        <f ca="1">IF(J3425="","Date",IF(J3425&lt;&gt;"",IF(K3425="Date",NOW(),K3425),""))</f>
        <v>Date</v>
      </c>
    </row>
    <row r="3426" spans="2:11">
      <c r="B3426" s="97" t="str">
        <f ca="1">IF(A3426="","Date",IF(A3426&lt;&gt;"",IF(B3426="Date",NOW(),B3426),""))</f>
        <v>Date</v>
      </c>
      <c r="C3426" s="19" t="str">
        <f>IF(ISBLANK(A3426),"Name",IF(ISNA(VLOOKUP(A3426,'Master List'!A:C,2,FALSE)), "Not Found", VLOOKUP(A3426,'Master List'!A:C,2,FALSE)))</f>
        <v>Name</v>
      </c>
      <c r="D3426" s="19" t="str">
        <f>IF(ISBLANK(A3426), "Email",IF(ISNA(VLOOKUP(A3426,'Master List'!A:C,3,FALSE)), "Not Found", VLOOKUP(A3426,'Master List'!A:C,3,FALSE)))</f>
        <v>Email</v>
      </c>
      <c r="F3426" s="4" t="str">
        <f>IF(OR(A3426="",E3426="","",A3426="?",E3426="?"),"duplicate?",IF(COUNTIFS($A:A,A3426,E:E,E3426)&gt;1,"yes","no"))</f>
        <v>duplicate?</v>
      </c>
      <c r="K3426" s="97" t="str">
        <f ca="1">IF(J3426="","Date",IF(J3426&lt;&gt;"",IF(K3426="Date",NOW(),K3426),""))</f>
        <v>Date</v>
      </c>
    </row>
    <row r="3427" spans="2:11">
      <c r="B3427" s="97" t="str">
        <f ca="1">IF(A3427="","Date",IF(A3427&lt;&gt;"",IF(B3427="Date",NOW(),B3427),""))</f>
        <v>Date</v>
      </c>
      <c r="C3427" s="19" t="str">
        <f>IF(ISBLANK(A3427),"Name",IF(ISNA(VLOOKUP(A3427,'Master List'!A:C,2,FALSE)), "Not Found", VLOOKUP(A3427,'Master List'!A:C,2,FALSE)))</f>
        <v>Name</v>
      </c>
      <c r="D3427" s="19" t="str">
        <f>IF(ISBLANK(A3427), "Email",IF(ISNA(VLOOKUP(A3427,'Master List'!A:C,3,FALSE)), "Not Found", VLOOKUP(A3427,'Master List'!A:C,3,FALSE)))</f>
        <v>Email</v>
      </c>
      <c r="F3427" s="4" t="str">
        <f>IF(OR(A3427="",E3427="","",A3427="?",E3427="?"),"duplicate?",IF(COUNTIFS($A:A,A3427,E:E,E3427)&gt;1,"yes","no"))</f>
        <v>duplicate?</v>
      </c>
      <c r="K3427" s="97" t="str">
        <f ca="1">IF(J3427="","Date",IF(J3427&lt;&gt;"",IF(K3427="Date",NOW(),K3427),""))</f>
        <v>Date</v>
      </c>
    </row>
    <row r="3428" spans="2:11">
      <c r="B3428" s="97" t="str">
        <f ca="1">IF(A3428="","Date",IF(A3428&lt;&gt;"",IF(B3428="Date",NOW(),B3428),""))</f>
        <v>Date</v>
      </c>
      <c r="C3428" s="19" t="str">
        <f>IF(ISBLANK(A3428),"Name",IF(ISNA(VLOOKUP(A3428,'Master List'!A:C,2,FALSE)), "Not Found", VLOOKUP(A3428,'Master List'!A:C,2,FALSE)))</f>
        <v>Name</v>
      </c>
      <c r="D3428" s="19" t="str">
        <f>IF(ISBLANK(A3428), "Email",IF(ISNA(VLOOKUP(A3428,'Master List'!A:C,3,FALSE)), "Not Found", VLOOKUP(A3428,'Master List'!A:C,3,FALSE)))</f>
        <v>Email</v>
      </c>
      <c r="F3428" s="4" t="str">
        <f>IF(OR(A3428="",E3428="","",A3428="?",E3428="?"),"duplicate?",IF(COUNTIFS($A:A,A3428,E:E,E3428)&gt;1,"yes","no"))</f>
        <v>duplicate?</v>
      </c>
      <c r="K3428" s="97" t="str">
        <f ca="1">IF(J3428="","Date",IF(J3428&lt;&gt;"",IF(K3428="Date",NOW(),K3428),""))</f>
        <v>Date</v>
      </c>
    </row>
    <row r="3429" spans="2:11">
      <c r="B3429" s="97" t="str">
        <f ca="1">IF(A3429="","Date",IF(A3429&lt;&gt;"",IF(B3429="Date",NOW(),B3429),""))</f>
        <v>Date</v>
      </c>
      <c r="C3429" s="19" t="str">
        <f>IF(ISBLANK(A3429),"Name",IF(ISNA(VLOOKUP(A3429,'Master List'!A:C,2,FALSE)), "Not Found", VLOOKUP(A3429,'Master List'!A:C,2,FALSE)))</f>
        <v>Name</v>
      </c>
      <c r="D3429" s="19" t="str">
        <f>IF(ISBLANK(A3429), "Email",IF(ISNA(VLOOKUP(A3429,'Master List'!A:C,3,FALSE)), "Not Found", VLOOKUP(A3429,'Master List'!A:C,3,FALSE)))</f>
        <v>Email</v>
      </c>
      <c r="F3429" s="4" t="str">
        <f>IF(OR(A3429="",E3429="","",A3429="?",E3429="?"),"duplicate?",IF(COUNTIFS($A:A,A3429,E:E,E3429)&gt;1,"yes","no"))</f>
        <v>duplicate?</v>
      </c>
      <c r="K3429" s="97" t="str">
        <f ca="1">IF(J3429="","Date",IF(J3429&lt;&gt;"",IF(K3429="Date",NOW(),K3429),""))</f>
        <v>Date</v>
      </c>
    </row>
    <row r="3430" spans="2:11">
      <c r="B3430" s="97" t="str">
        <f ca="1">IF(A3430="","Date",IF(A3430&lt;&gt;"",IF(B3430="Date",NOW(),B3430),""))</f>
        <v>Date</v>
      </c>
      <c r="C3430" s="19" t="str">
        <f>IF(ISBLANK(A3430),"Name",IF(ISNA(VLOOKUP(A3430,'Master List'!A:C,2,FALSE)), "Not Found", VLOOKUP(A3430,'Master List'!A:C,2,FALSE)))</f>
        <v>Name</v>
      </c>
      <c r="D3430" s="19" t="str">
        <f>IF(ISBLANK(A3430), "Email",IF(ISNA(VLOOKUP(A3430,'Master List'!A:C,3,FALSE)), "Not Found", VLOOKUP(A3430,'Master List'!A:C,3,FALSE)))</f>
        <v>Email</v>
      </c>
      <c r="F3430" s="4" t="str">
        <f>IF(OR(A3430="",E3430="","",A3430="?",E3430="?"),"duplicate?",IF(COUNTIFS($A:A,A3430,E:E,E3430)&gt;1,"yes","no"))</f>
        <v>duplicate?</v>
      </c>
      <c r="K3430" s="97" t="str">
        <f ca="1">IF(J3430="","Date",IF(J3430&lt;&gt;"",IF(K3430="Date",NOW(),K3430),""))</f>
        <v>Date</v>
      </c>
    </row>
    <row r="3431" spans="2:11">
      <c r="B3431" s="97" t="str">
        <f ca="1">IF(A3431="","Date",IF(A3431&lt;&gt;"",IF(B3431="Date",NOW(),B3431),""))</f>
        <v>Date</v>
      </c>
      <c r="C3431" s="19" t="str">
        <f>IF(ISBLANK(A3431),"Name",IF(ISNA(VLOOKUP(A3431,'Master List'!A:C,2,FALSE)), "Not Found", VLOOKUP(A3431,'Master List'!A:C,2,FALSE)))</f>
        <v>Name</v>
      </c>
      <c r="D3431" s="19" t="str">
        <f>IF(ISBLANK(A3431), "Email",IF(ISNA(VLOOKUP(A3431,'Master List'!A:C,3,FALSE)), "Not Found", VLOOKUP(A3431,'Master List'!A:C,3,FALSE)))</f>
        <v>Email</v>
      </c>
      <c r="F3431" s="4" t="str">
        <f>IF(OR(A3431="",E3431="","",A3431="?",E3431="?"),"duplicate?",IF(COUNTIFS($A:A,A3431,E:E,E3431)&gt;1,"yes","no"))</f>
        <v>duplicate?</v>
      </c>
      <c r="K3431" s="97" t="str">
        <f ca="1">IF(J3431="","Date",IF(J3431&lt;&gt;"",IF(K3431="Date",NOW(),K3431),""))</f>
        <v>Date</v>
      </c>
    </row>
    <row r="3432" spans="2:11">
      <c r="B3432" s="97" t="str">
        <f ca="1">IF(A3432="","Date",IF(A3432&lt;&gt;"",IF(B3432="Date",NOW(),B3432),""))</f>
        <v>Date</v>
      </c>
      <c r="C3432" s="19" t="str">
        <f>IF(ISBLANK(A3432),"Name",IF(ISNA(VLOOKUP(A3432,'Master List'!A:C,2,FALSE)), "Not Found", VLOOKUP(A3432,'Master List'!A:C,2,FALSE)))</f>
        <v>Name</v>
      </c>
      <c r="D3432" s="19" t="str">
        <f>IF(ISBLANK(A3432), "Email",IF(ISNA(VLOOKUP(A3432,'Master List'!A:C,3,FALSE)), "Not Found", VLOOKUP(A3432,'Master List'!A:C,3,FALSE)))</f>
        <v>Email</v>
      </c>
      <c r="F3432" s="4" t="str">
        <f>IF(OR(A3432="",E3432="","",A3432="?",E3432="?"),"duplicate?",IF(COUNTIFS($A:A,A3432,E:E,E3432)&gt;1,"yes","no"))</f>
        <v>duplicate?</v>
      </c>
      <c r="K3432" s="97" t="str">
        <f ca="1">IF(J3432="","Date",IF(J3432&lt;&gt;"",IF(K3432="Date",NOW(),K3432),""))</f>
        <v>Date</v>
      </c>
    </row>
    <row r="3433" spans="2:11">
      <c r="B3433" s="97" t="str">
        <f ca="1">IF(A3433="","Date",IF(A3433&lt;&gt;"",IF(B3433="Date",NOW(),B3433),""))</f>
        <v>Date</v>
      </c>
      <c r="C3433" s="19" t="str">
        <f>IF(ISBLANK(A3433),"Name",IF(ISNA(VLOOKUP(A3433,'Master List'!A:C,2,FALSE)), "Not Found", VLOOKUP(A3433,'Master List'!A:C,2,FALSE)))</f>
        <v>Name</v>
      </c>
      <c r="D3433" s="19" t="str">
        <f>IF(ISBLANK(A3433), "Email",IF(ISNA(VLOOKUP(A3433,'Master List'!A:C,3,FALSE)), "Not Found", VLOOKUP(A3433,'Master List'!A:C,3,FALSE)))</f>
        <v>Email</v>
      </c>
      <c r="F3433" s="4" t="str">
        <f>IF(OR(A3433="",E3433="","",A3433="?",E3433="?"),"duplicate?",IF(COUNTIFS($A:A,A3433,E:E,E3433)&gt;1,"yes","no"))</f>
        <v>duplicate?</v>
      </c>
      <c r="K3433" s="97" t="str">
        <f ca="1">IF(J3433="","Date",IF(J3433&lt;&gt;"",IF(K3433="Date",NOW(),K3433),""))</f>
        <v>Date</v>
      </c>
    </row>
    <row r="3434" spans="2:11">
      <c r="B3434" s="97" t="str">
        <f ca="1">IF(A3434="","Date",IF(A3434&lt;&gt;"",IF(B3434="Date",NOW(),B3434),""))</f>
        <v>Date</v>
      </c>
      <c r="C3434" s="19" t="str">
        <f>IF(ISBLANK(A3434),"Name",IF(ISNA(VLOOKUP(A3434,'Master List'!A:C,2,FALSE)), "Not Found", VLOOKUP(A3434,'Master List'!A:C,2,FALSE)))</f>
        <v>Name</v>
      </c>
      <c r="D3434" s="19" t="str">
        <f>IF(ISBLANK(A3434), "Email",IF(ISNA(VLOOKUP(A3434,'Master List'!A:C,3,FALSE)), "Not Found", VLOOKUP(A3434,'Master List'!A:C,3,FALSE)))</f>
        <v>Email</v>
      </c>
      <c r="F3434" s="4" t="str">
        <f>IF(OR(A3434="",E3434="","",A3434="?",E3434="?"),"duplicate?",IF(COUNTIFS($A:A,A3434,E:E,E3434)&gt;1,"yes","no"))</f>
        <v>duplicate?</v>
      </c>
      <c r="K3434" s="97" t="str">
        <f ca="1">IF(J3434="","Date",IF(J3434&lt;&gt;"",IF(K3434="Date",NOW(),K3434),""))</f>
        <v>Date</v>
      </c>
    </row>
    <row r="3435" spans="2:11">
      <c r="B3435" s="97" t="str">
        <f ca="1">IF(A3435="","Date",IF(A3435&lt;&gt;"",IF(B3435="Date",NOW(),B3435),""))</f>
        <v>Date</v>
      </c>
      <c r="C3435" s="19" t="str">
        <f>IF(ISBLANK(A3435),"Name",IF(ISNA(VLOOKUP(A3435,'Master List'!A:C,2,FALSE)), "Not Found", VLOOKUP(A3435,'Master List'!A:C,2,FALSE)))</f>
        <v>Name</v>
      </c>
      <c r="D3435" s="19" t="str">
        <f>IF(ISBLANK(A3435), "Email",IF(ISNA(VLOOKUP(A3435,'Master List'!A:C,3,FALSE)), "Not Found", VLOOKUP(A3435,'Master List'!A:C,3,FALSE)))</f>
        <v>Email</v>
      </c>
      <c r="F3435" s="4" t="str">
        <f>IF(OR(A3435="",E3435="","",A3435="?",E3435="?"),"duplicate?",IF(COUNTIFS($A:A,A3435,E:E,E3435)&gt;1,"yes","no"))</f>
        <v>duplicate?</v>
      </c>
      <c r="K3435" s="97" t="str">
        <f ca="1">IF(J3435="","Date",IF(J3435&lt;&gt;"",IF(K3435="Date",NOW(),K3435),""))</f>
        <v>Date</v>
      </c>
    </row>
    <row r="3436" spans="2:11">
      <c r="B3436" s="97" t="str">
        <f ca="1">IF(A3436="","Date",IF(A3436&lt;&gt;"",IF(B3436="Date",NOW(),B3436),""))</f>
        <v>Date</v>
      </c>
      <c r="C3436" s="19" t="str">
        <f>IF(ISBLANK(A3436),"Name",IF(ISNA(VLOOKUP(A3436,'Master List'!A:C,2,FALSE)), "Not Found", VLOOKUP(A3436,'Master List'!A:C,2,FALSE)))</f>
        <v>Name</v>
      </c>
      <c r="D3436" s="19" t="str">
        <f>IF(ISBLANK(A3436), "Email",IF(ISNA(VLOOKUP(A3436,'Master List'!A:C,3,FALSE)), "Not Found", VLOOKUP(A3436,'Master List'!A:C,3,FALSE)))</f>
        <v>Email</v>
      </c>
      <c r="F3436" s="4" t="str">
        <f>IF(OR(A3436="",E3436="","",A3436="?",E3436="?"),"duplicate?",IF(COUNTIFS($A:A,A3436,E:E,E3436)&gt;1,"yes","no"))</f>
        <v>duplicate?</v>
      </c>
      <c r="K3436" s="97" t="str">
        <f ca="1">IF(J3436="","Date",IF(J3436&lt;&gt;"",IF(K3436="Date",NOW(),K3436),""))</f>
        <v>Date</v>
      </c>
    </row>
    <row r="3437" spans="2:11">
      <c r="B3437" s="97" t="str">
        <f ca="1">IF(A3437="","Date",IF(A3437&lt;&gt;"",IF(B3437="Date",NOW(),B3437),""))</f>
        <v>Date</v>
      </c>
      <c r="C3437" s="19" t="str">
        <f>IF(ISBLANK(A3437),"Name",IF(ISNA(VLOOKUP(A3437,'Master List'!A:C,2,FALSE)), "Not Found", VLOOKUP(A3437,'Master List'!A:C,2,FALSE)))</f>
        <v>Name</v>
      </c>
      <c r="D3437" s="19" t="str">
        <f>IF(ISBLANK(A3437), "Email",IF(ISNA(VLOOKUP(A3437,'Master List'!A:C,3,FALSE)), "Not Found", VLOOKUP(A3437,'Master List'!A:C,3,FALSE)))</f>
        <v>Email</v>
      </c>
      <c r="F3437" s="4" t="str">
        <f>IF(OR(A3437="",E3437="","",A3437="?",E3437="?"),"duplicate?",IF(COUNTIFS($A:A,A3437,E:E,E3437)&gt;1,"yes","no"))</f>
        <v>duplicate?</v>
      </c>
      <c r="K3437" s="97" t="str">
        <f ca="1">IF(J3437="","Date",IF(J3437&lt;&gt;"",IF(K3437="Date",NOW(),K3437),""))</f>
        <v>Date</v>
      </c>
    </row>
    <row r="3438" spans="2:11">
      <c r="B3438" s="97" t="str">
        <f ca="1">IF(A3438="","Date",IF(A3438&lt;&gt;"",IF(B3438="Date",NOW(),B3438),""))</f>
        <v>Date</v>
      </c>
      <c r="C3438" s="19" t="str">
        <f>IF(ISBLANK(A3438),"Name",IF(ISNA(VLOOKUP(A3438,'Master List'!A:C,2,FALSE)), "Not Found", VLOOKUP(A3438,'Master List'!A:C,2,FALSE)))</f>
        <v>Name</v>
      </c>
      <c r="D3438" s="19" t="str">
        <f>IF(ISBLANK(A3438), "Email",IF(ISNA(VLOOKUP(A3438,'Master List'!A:C,3,FALSE)), "Not Found", VLOOKUP(A3438,'Master List'!A:C,3,FALSE)))</f>
        <v>Email</v>
      </c>
      <c r="F3438" s="4" t="str">
        <f>IF(OR(A3438="",E3438="","",A3438="?",E3438="?"),"duplicate?",IF(COUNTIFS($A:A,A3438,E:E,E3438)&gt;1,"yes","no"))</f>
        <v>duplicate?</v>
      </c>
      <c r="K3438" s="97" t="str">
        <f ca="1">IF(J3438="","Date",IF(J3438&lt;&gt;"",IF(K3438="Date",NOW(),K3438),""))</f>
        <v>Date</v>
      </c>
    </row>
    <row r="3439" spans="2:11">
      <c r="B3439" s="97" t="str">
        <f ca="1">IF(A3439="","Date",IF(A3439&lt;&gt;"",IF(B3439="Date",NOW(),B3439),""))</f>
        <v>Date</v>
      </c>
      <c r="C3439" s="19" t="str">
        <f>IF(ISBLANK(A3439),"Name",IF(ISNA(VLOOKUP(A3439,'Master List'!A:C,2,FALSE)), "Not Found", VLOOKUP(A3439,'Master List'!A:C,2,FALSE)))</f>
        <v>Name</v>
      </c>
      <c r="D3439" s="19" t="str">
        <f>IF(ISBLANK(A3439), "Email",IF(ISNA(VLOOKUP(A3439,'Master List'!A:C,3,FALSE)), "Not Found", VLOOKUP(A3439,'Master List'!A:C,3,FALSE)))</f>
        <v>Email</v>
      </c>
      <c r="F3439" s="4" t="str">
        <f>IF(OR(A3439="",E3439="","",A3439="?",E3439="?"),"duplicate?",IF(COUNTIFS($A:A,A3439,E:E,E3439)&gt;1,"yes","no"))</f>
        <v>duplicate?</v>
      </c>
      <c r="K3439" s="97" t="str">
        <f ca="1">IF(J3439="","Date",IF(J3439&lt;&gt;"",IF(K3439="Date",NOW(),K3439),""))</f>
        <v>Date</v>
      </c>
    </row>
    <row r="3440" spans="2:11">
      <c r="B3440" s="97" t="str">
        <f ca="1">IF(A3440="","Date",IF(A3440&lt;&gt;"",IF(B3440="Date",NOW(),B3440),""))</f>
        <v>Date</v>
      </c>
      <c r="C3440" s="19" t="str">
        <f>IF(ISBLANK(A3440),"Name",IF(ISNA(VLOOKUP(A3440,'Master List'!A:C,2,FALSE)), "Not Found", VLOOKUP(A3440,'Master List'!A:C,2,FALSE)))</f>
        <v>Name</v>
      </c>
      <c r="D3440" s="19" t="str">
        <f>IF(ISBLANK(A3440), "Email",IF(ISNA(VLOOKUP(A3440,'Master List'!A:C,3,FALSE)), "Not Found", VLOOKUP(A3440,'Master List'!A:C,3,FALSE)))</f>
        <v>Email</v>
      </c>
      <c r="F3440" s="4" t="str">
        <f>IF(OR(A3440="",E3440="","",A3440="?",E3440="?"),"duplicate?",IF(COUNTIFS($A:A,A3440,E:E,E3440)&gt;1,"yes","no"))</f>
        <v>duplicate?</v>
      </c>
      <c r="K3440" s="97" t="str">
        <f ca="1">IF(J3440="","Date",IF(J3440&lt;&gt;"",IF(K3440="Date",NOW(),K3440),""))</f>
        <v>Date</v>
      </c>
    </row>
    <row r="3441" spans="2:11">
      <c r="B3441" s="97" t="str">
        <f ca="1">IF(A3441="","Date",IF(A3441&lt;&gt;"",IF(B3441="Date",NOW(),B3441),""))</f>
        <v>Date</v>
      </c>
      <c r="C3441" s="19" t="str">
        <f>IF(ISBLANK(A3441),"Name",IF(ISNA(VLOOKUP(A3441,'Master List'!A:C,2,FALSE)), "Not Found", VLOOKUP(A3441,'Master List'!A:C,2,FALSE)))</f>
        <v>Name</v>
      </c>
      <c r="D3441" s="19" t="str">
        <f>IF(ISBLANK(A3441), "Email",IF(ISNA(VLOOKUP(A3441,'Master List'!A:C,3,FALSE)), "Not Found", VLOOKUP(A3441,'Master List'!A:C,3,FALSE)))</f>
        <v>Email</v>
      </c>
      <c r="F3441" s="4" t="str">
        <f>IF(OR(A3441="",E3441="","",A3441="?",E3441="?"),"duplicate?",IF(COUNTIFS($A:A,A3441,E:E,E3441)&gt;1,"yes","no"))</f>
        <v>duplicate?</v>
      </c>
      <c r="K3441" s="97" t="str">
        <f ca="1">IF(J3441="","Date",IF(J3441&lt;&gt;"",IF(K3441="Date",NOW(),K3441),""))</f>
        <v>Date</v>
      </c>
    </row>
    <row r="3442" spans="2:11">
      <c r="B3442" s="97" t="str">
        <f ca="1">IF(A3442="","Date",IF(A3442&lt;&gt;"",IF(B3442="Date",NOW(),B3442),""))</f>
        <v>Date</v>
      </c>
      <c r="C3442" s="19" t="str">
        <f>IF(ISBLANK(A3442),"Name",IF(ISNA(VLOOKUP(A3442,'Master List'!A:C,2,FALSE)), "Not Found", VLOOKUP(A3442,'Master List'!A:C,2,FALSE)))</f>
        <v>Name</v>
      </c>
      <c r="D3442" s="19" t="str">
        <f>IF(ISBLANK(A3442), "Email",IF(ISNA(VLOOKUP(A3442,'Master List'!A:C,3,FALSE)), "Not Found", VLOOKUP(A3442,'Master List'!A:C,3,FALSE)))</f>
        <v>Email</v>
      </c>
      <c r="F3442" s="4" t="str">
        <f>IF(OR(A3442="",E3442="","",A3442="?",E3442="?"),"duplicate?",IF(COUNTIFS($A:A,A3442,E:E,E3442)&gt;1,"yes","no"))</f>
        <v>duplicate?</v>
      </c>
      <c r="K3442" s="97" t="str">
        <f ca="1">IF(J3442="","Date",IF(J3442&lt;&gt;"",IF(K3442="Date",NOW(),K3442),""))</f>
        <v>Date</v>
      </c>
    </row>
    <row r="3443" spans="2:11">
      <c r="B3443" s="97" t="str">
        <f ca="1">IF(A3443="","Date",IF(A3443&lt;&gt;"",IF(B3443="Date",NOW(),B3443),""))</f>
        <v>Date</v>
      </c>
      <c r="C3443" s="19" t="str">
        <f>IF(ISBLANK(A3443),"Name",IF(ISNA(VLOOKUP(A3443,'Master List'!A:C,2,FALSE)), "Not Found", VLOOKUP(A3443,'Master List'!A:C,2,FALSE)))</f>
        <v>Name</v>
      </c>
      <c r="D3443" s="19" t="str">
        <f>IF(ISBLANK(A3443), "Email",IF(ISNA(VLOOKUP(A3443,'Master List'!A:C,3,FALSE)), "Not Found", VLOOKUP(A3443,'Master List'!A:C,3,FALSE)))</f>
        <v>Email</v>
      </c>
      <c r="F3443" s="4" t="str">
        <f>IF(OR(A3443="",E3443="","",A3443="?",E3443="?"),"duplicate?",IF(COUNTIFS($A:A,A3443,E:E,E3443)&gt;1,"yes","no"))</f>
        <v>duplicate?</v>
      </c>
      <c r="K3443" s="97" t="str">
        <f ca="1">IF(J3443="","Date",IF(J3443&lt;&gt;"",IF(K3443="Date",NOW(),K3443),""))</f>
        <v>Date</v>
      </c>
    </row>
    <row r="3444" spans="2:11">
      <c r="B3444" s="97" t="str">
        <f ca="1">IF(A3444="","Date",IF(A3444&lt;&gt;"",IF(B3444="Date",NOW(),B3444),""))</f>
        <v>Date</v>
      </c>
      <c r="C3444" s="19" t="str">
        <f>IF(ISBLANK(A3444),"Name",IF(ISNA(VLOOKUP(A3444,'Master List'!A:C,2,FALSE)), "Not Found", VLOOKUP(A3444,'Master List'!A:C,2,FALSE)))</f>
        <v>Name</v>
      </c>
      <c r="D3444" s="19" t="str">
        <f>IF(ISBLANK(A3444), "Email",IF(ISNA(VLOOKUP(A3444,'Master List'!A:C,3,FALSE)), "Not Found", VLOOKUP(A3444,'Master List'!A:C,3,FALSE)))</f>
        <v>Email</v>
      </c>
      <c r="F3444" s="4" t="str">
        <f>IF(OR(A3444="",E3444="","",A3444="?",E3444="?"),"duplicate?",IF(COUNTIFS($A:A,A3444,E:E,E3444)&gt;1,"yes","no"))</f>
        <v>duplicate?</v>
      </c>
      <c r="K3444" s="97" t="str">
        <f ca="1">IF(J3444="","Date",IF(J3444&lt;&gt;"",IF(K3444="Date",NOW(),K3444),""))</f>
        <v>Date</v>
      </c>
    </row>
    <row r="3445" spans="2:11">
      <c r="B3445" s="97" t="str">
        <f ca="1">IF(A3445="","Date",IF(A3445&lt;&gt;"",IF(B3445="Date",NOW(),B3445),""))</f>
        <v>Date</v>
      </c>
      <c r="C3445" s="19" t="str">
        <f>IF(ISBLANK(A3445),"Name",IF(ISNA(VLOOKUP(A3445,'Master List'!A:C,2,FALSE)), "Not Found", VLOOKUP(A3445,'Master List'!A:C,2,FALSE)))</f>
        <v>Name</v>
      </c>
      <c r="D3445" s="19" t="str">
        <f>IF(ISBLANK(A3445), "Email",IF(ISNA(VLOOKUP(A3445,'Master List'!A:C,3,FALSE)), "Not Found", VLOOKUP(A3445,'Master List'!A:C,3,FALSE)))</f>
        <v>Email</v>
      </c>
      <c r="F3445" s="4" t="str">
        <f>IF(OR(A3445="",E3445="","",A3445="?",E3445="?"),"duplicate?",IF(COUNTIFS($A:A,A3445,E:E,E3445)&gt;1,"yes","no"))</f>
        <v>duplicate?</v>
      </c>
      <c r="K3445" s="97" t="str">
        <f ca="1">IF(J3445="","Date",IF(J3445&lt;&gt;"",IF(K3445="Date",NOW(),K3445),""))</f>
        <v>Date</v>
      </c>
    </row>
    <row r="3446" spans="2:11">
      <c r="B3446" s="97" t="str">
        <f ca="1">IF(A3446="","Date",IF(A3446&lt;&gt;"",IF(B3446="Date",NOW(),B3446),""))</f>
        <v>Date</v>
      </c>
      <c r="C3446" s="19" t="str">
        <f>IF(ISBLANK(A3446),"Name",IF(ISNA(VLOOKUP(A3446,'Master List'!A:C,2,FALSE)), "Not Found", VLOOKUP(A3446,'Master List'!A:C,2,FALSE)))</f>
        <v>Name</v>
      </c>
      <c r="D3446" s="19" t="str">
        <f>IF(ISBLANK(A3446), "Email",IF(ISNA(VLOOKUP(A3446,'Master List'!A:C,3,FALSE)), "Not Found", VLOOKUP(A3446,'Master List'!A:C,3,FALSE)))</f>
        <v>Email</v>
      </c>
      <c r="F3446" s="4" t="str">
        <f>IF(OR(A3446="",E3446="","",A3446="?",E3446="?"),"duplicate?",IF(COUNTIFS($A:A,A3446,E:E,E3446)&gt;1,"yes","no"))</f>
        <v>duplicate?</v>
      </c>
      <c r="K3446" s="97" t="str">
        <f ca="1">IF(J3446="","Date",IF(J3446&lt;&gt;"",IF(K3446="Date",NOW(),K3446),""))</f>
        <v>Date</v>
      </c>
    </row>
    <row r="3447" spans="2:11">
      <c r="B3447" s="97" t="str">
        <f ca="1">IF(A3447="","Date",IF(A3447&lt;&gt;"",IF(B3447="Date",NOW(),B3447),""))</f>
        <v>Date</v>
      </c>
      <c r="C3447" s="19" t="str">
        <f>IF(ISBLANK(A3447),"Name",IF(ISNA(VLOOKUP(A3447,'Master List'!A:C,2,FALSE)), "Not Found", VLOOKUP(A3447,'Master List'!A:C,2,FALSE)))</f>
        <v>Name</v>
      </c>
      <c r="D3447" s="19" t="str">
        <f>IF(ISBLANK(A3447), "Email",IF(ISNA(VLOOKUP(A3447,'Master List'!A:C,3,FALSE)), "Not Found", VLOOKUP(A3447,'Master List'!A:C,3,FALSE)))</f>
        <v>Email</v>
      </c>
      <c r="F3447" s="4" t="str">
        <f>IF(OR(A3447="",E3447="","",A3447="?",E3447="?"),"duplicate?",IF(COUNTIFS($A:A,A3447,E:E,E3447)&gt;1,"yes","no"))</f>
        <v>duplicate?</v>
      </c>
      <c r="K3447" s="97" t="str">
        <f ca="1">IF(J3447="","Date",IF(J3447&lt;&gt;"",IF(K3447="Date",NOW(),K3447),""))</f>
        <v>Date</v>
      </c>
    </row>
    <row r="3448" spans="2:11">
      <c r="B3448" s="97" t="str">
        <f ca="1">IF(A3448="","Date",IF(A3448&lt;&gt;"",IF(B3448="Date",NOW(),B3448),""))</f>
        <v>Date</v>
      </c>
      <c r="C3448" s="19" t="str">
        <f>IF(ISBLANK(A3448),"Name",IF(ISNA(VLOOKUP(A3448,'Master List'!A:C,2,FALSE)), "Not Found", VLOOKUP(A3448,'Master List'!A:C,2,FALSE)))</f>
        <v>Name</v>
      </c>
      <c r="D3448" s="19" t="str">
        <f>IF(ISBLANK(A3448), "Email",IF(ISNA(VLOOKUP(A3448,'Master List'!A:C,3,FALSE)), "Not Found", VLOOKUP(A3448,'Master List'!A:C,3,FALSE)))</f>
        <v>Email</v>
      </c>
      <c r="F3448" s="4" t="str">
        <f>IF(OR(A3448="",E3448="","",A3448="?",E3448="?"),"duplicate?",IF(COUNTIFS($A:A,A3448,E:E,E3448)&gt;1,"yes","no"))</f>
        <v>duplicate?</v>
      </c>
      <c r="K3448" s="97" t="str">
        <f ca="1">IF(J3448="","Date",IF(J3448&lt;&gt;"",IF(K3448="Date",NOW(),K3448),""))</f>
        <v>Date</v>
      </c>
    </row>
    <row r="3449" spans="2:11">
      <c r="B3449" s="97" t="str">
        <f ca="1">IF(A3449="","Date",IF(A3449&lt;&gt;"",IF(B3449="Date",NOW(),B3449),""))</f>
        <v>Date</v>
      </c>
      <c r="C3449" s="19" t="str">
        <f>IF(ISBLANK(A3449),"Name",IF(ISNA(VLOOKUP(A3449,'Master List'!A:C,2,FALSE)), "Not Found", VLOOKUP(A3449,'Master List'!A:C,2,FALSE)))</f>
        <v>Name</v>
      </c>
      <c r="D3449" s="19" t="str">
        <f>IF(ISBLANK(A3449), "Email",IF(ISNA(VLOOKUP(A3449,'Master List'!A:C,3,FALSE)), "Not Found", VLOOKUP(A3449,'Master List'!A:C,3,FALSE)))</f>
        <v>Email</v>
      </c>
      <c r="F3449" s="4" t="str">
        <f>IF(OR(A3449="",E3449="","",A3449="?",E3449="?"),"duplicate?",IF(COUNTIFS($A:A,A3449,E:E,E3449)&gt;1,"yes","no"))</f>
        <v>duplicate?</v>
      </c>
      <c r="K3449" s="97" t="str">
        <f ca="1">IF(J3449="","Date",IF(J3449&lt;&gt;"",IF(K3449="Date",NOW(),K3449),""))</f>
        <v>Date</v>
      </c>
    </row>
    <row r="3450" spans="2:11">
      <c r="B3450" s="97" t="str">
        <f ca="1">IF(A3450="","Date",IF(A3450&lt;&gt;"",IF(B3450="Date",NOW(),B3450),""))</f>
        <v>Date</v>
      </c>
      <c r="C3450" s="19" t="str">
        <f>IF(ISBLANK(A3450),"Name",IF(ISNA(VLOOKUP(A3450,'Master List'!A:C,2,FALSE)), "Not Found", VLOOKUP(A3450,'Master List'!A:C,2,FALSE)))</f>
        <v>Name</v>
      </c>
      <c r="D3450" s="19" t="str">
        <f>IF(ISBLANK(A3450), "Email",IF(ISNA(VLOOKUP(A3450,'Master List'!A:C,3,FALSE)), "Not Found", VLOOKUP(A3450,'Master List'!A:C,3,FALSE)))</f>
        <v>Email</v>
      </c>
      <c r="F3450" s="4" t="str">
        <f>IF(OR(A3450="",E3450="","",A3450="?",E3450="?"),"duplicate?",IF(COUNTIFS($A:A,A3450,E:E,E3450)&gt;1,"yes","no"))</f>
        <v>duplicate?</v>
      </c>
      <c r="K3450" s="97" t="str">
        <f ca="1">IF(J3450="","Date",IF(J3450&lt;&gt;"",IF(K3450="Date",NOW(),K3450),""))</f>
        <v>Date</v>
      </c>
    </row>
    <row r="3451" spans="2:11">
      <c r="B3451" s="97" t="str">
        <f ca="1">IF(A3451="","Date",IF(A3451&lt;&gt;"",IF(B3451="Date",NOW(),B3451),""))</f>
        <v>Date</v>
      </c>
      <c r="C3451" s="19" t="str">
        <f>IF(ISBLANK(A3451),"Name",IF(ISNA(VLOOKUP(A3451,'Master List'!A:C,2,FALSE)), "Not Found", VLOOKUP(A3451,'Master List'!A:C,2,FALSE)))</f>
        <v>Name</v>
      </c>
      <c r="D3451" s="19" t="str">
        <f>IF(ISBLANK(A3451), "Email",IF(ISNA(VLOOKUP(A3451,'Master List'!A:C,3,FALSE)), "Not Found", VLOOKUP(A3451,'Master List'!A:C,3,FALSE)))</f>
        <v>Email</v>
      </c>
      <c r="F3451" s="4" t="str">
        <f>IF(OR(A3451="",E3451="","",A3451="?",E3451="?"),"duplicate?",IF(COUNTIFS($A:A,A3451,E:E,E3451)&gt;1,"yes","no"))</f>
        <v>duplicate?</v>
      </c>
      <c r="K3451" s="97" t="str">
        <f ca="1">IF(J3451="","Date",IF(J3451&lt;&gt;"",IF(K3451="Date",NOW(),K3451),""))</f>
        <v>Date</v>
      </c>
    </row>
    <row r="3452" spans="2:11">
      <c r="B3452" s="97" t="str">
        <f ca="1">IF(A3452="","Date",IF(A3452&lt;&gt;"",IF(B3452="Date",NOW(),B3452),""))</f>
        <v>Date</v>
      </c>
      <c r="C3452" s="19" t="str">
        <f>IF(ISBLANK(A3452),"Name",IF(ISNA(VLOOKUP(A3452,'Master List'!A:C,2,FALSE)), "Not Found", VLOOKUP(A3452,'Master List'!A:C,2,FALSE)))</f>
        <v>Name</v>
      </c>
      <c r="D3452" s="19" t="str">
        <f>IF(ISBLANK(A3452), "Email",IF(ISNA(VLOOKUP(A3452,'Master List'!A:C,3,FALSE)), "Not Found", VLOOKUP(A3452,'Master List'!A:C,3,FALSE)))</f>
        <v>Email</v>
      </c>
      <c r="F3452" s="4" t="str">
        <f>IF(OR(A3452="",E3452="","",A3452="?",E3452="?"),"duplicate?",IF(COUNTIFS($A:A,A3452,E:E,E3452)&gt;1,"yes","no"))</f>
        <v>duplicate?</v>
      </c>
      <c r="K3452" s="97" t="str">
        <f ca="1">IF(J3452="","Date",IF(J3452&lt;&gt;"",IF(K3452="Date",NOW(),K3452),""))</f>
        <v>Date</v>
      </c>
    </row>
    <row r="3453" spans="2:11">
      <c r="B3453" s="97" t="str">
        <f ca="1">IF(A3453="","Date",IF(A3453&lt;&gt;"",IF(B3453="Date",NOW(),B3453),""))</f>
        <v>Date</v>
      </c>
      <c r="C3453" s="19" t="str">
        <f>IF(ISBLANK(A3453),"Name",IF(ISNA(VLOOKUP(A3453,'Master List'!A:C,2,FALSE)), "Not Found", VLOOKUP(A3453,'Master List'!A:C,2,FALSE)))</f>
        <v>Name</v>
      </c>
      <c r="D3453" s="19" t="str">
        <f>IF(ISBLANK(A3453), "Email",IF(ISNA(VLOOKUP(A3453,'Master List'!A:C,3,FALSE)), "Not Found", VLOOKUP(A3453,'Master List'!A:C,3,FALSE)))</f>
        <v>Email</v>
      </c>
      <c r="F3453" s="4" t="str">
        <f>IF(OR(A3453="",E3453="","",A3453="?",E3453="?"),"duplicate?",IF(COUNTIFS($A:A,A3453,E:E,E3453)&gt;1,"yes","no"))</f>
        <v>duplicate?</v>
      </c>
      <c r="K3453" s="97" t="str">
        <f ca="1">IF(J3453="","Date",IF(J3453&lt;&gt;"",IF(K3453="Date",NOW(),K3453),""))</f>
        <v>Date</v>
      </c>
    </row>
    <row r="3454" spans="2:11">
      <c r="B3454" s="97" t="str">
        <f ca="1">IF(A3454="","Date",IF(A3454&lt;&gt;"",IF(B3454="Date",NOW(),B3454),""))</f>
        <v>Date</v>
      </c>
      <c r="C3454" s="19" t="str">
        <f>IF(ISBLANK(A3454),"Name",IF(ISNA(VLOOKUP(A3454,'Master List'!A:C,2,FALSE)), "Not Found", VLOOKUP(A3454,'Master List'!A:C,2,FALSE)))</f>
        <v>Name</v>
      </c>
      <c r="D3454" s="19" t="str">
        <f>IF(ISBLANK(A3454), "Email",IF(ISNA(VLOOKUP(A3454,'Master List'!A:C,3,FALSE)), "Not Found", VLOOKUP(A3454,'Master List'!A:C,3,FALSE)))</f>
        <v>Email</v>
      </c>
      <c r="F3454" s="4" t="str">
        <f>IF(OR(A3454="",E3454="","",A3454="?",E3454="?"),"duplicate?",IF(COUNTIFS($A:A,A3454,E:E,E3454)&gt;1,"yes","no"))</f>
        <v>duplicate?</v>
      </c>
      <c r="K3454" s="97" t="str">
        <f ca="1">IF(J3454="","Date",IF(J3454&lt;&gt;"",IF(K3454="Date",NOW(),K3454),""))</f>
        <v>Date</v>
      </c>
    </row>
    <row r="3455" spans="2:11">
      <c r="B3455" s="97" t="str">
        <f ca="1">IF(A3455="","Date",IF(A3455&lt;&gt;"",IF(B3455="Date",NOW(),B3455),""))</f>
        <v>Date</v>
      </c>
      <c r="C3455" s="19" t="str">
        <f>IF(ISBLANK(A3455),"Name",IF(ISNA(VLOOKUP(A3455,'Master List'!A:C,2,FALSE)), "Not Found", VLOOKUP(A3455,'Master List'!A:C,2,FALSE)))</f>
        <v>Name</v>
      </c>
      <c r="D3455" s="19" t="str">
        <f>IF(ISBLANK(A3455), "Email",IF(ISNA(VLOOKUP(A3455,'Master List'!A:C,3,FALSE)), "Not Found", VLOOKUP(A3455,'Master List'!A:C,3,FALSE)))</f>
        <v>Email</v>
      </c>
      <c r="F3455" s="4" t="str">
        <f>IF(OR(A3455="",E3455="","",A3455="?",E3455="?"),"duplicate?",IF(COUNTIFS($A:A,A3455,E:E,E3455)&gt;1,"yes","no"))</f>
        <v>duplicate?</v>
      </c>
      <c r="K3455" s="97" t="str">
        <f ca="1">IF(J3455="","Date",IF(J3455&lt;&gt;"",IF(K3455="Date",NOW(),K3455),""))</f>
        <v>Date</v>
      </c>
    </row>
    <row r="3456" spans="2:11">
      <c r="B3456" s="97" t="str">
        <f ca="1">IF(A3456="","Date",IF(A3456&lt;&gt;"",IF(B3456="Date",NOW(),B3456),""))</f>
        <v>Date</v>
      </c>
      <c r="C3456" s="19" t="str">
        <f>IF(ISBLANK(A3456),"Name",IF(ISNA(VLOOKUP(A3456,'Master List'!A:C,2,FALSE)), "Not Found", VLOOKUP(A3456,'Master List'!A:C,2,FALSE)))</f>
        <v>Name</v>
      </c>
      <c r="D3456" s="19" t="str">
        <f>IF(ISBLANK(A3456), "Email",IF(ISNA(VLOOKUP(A3456,'Master List'!A:C,3,FALSE)), "Not Found", VLOOKUP(A3456,'Master List'!A:C,3,FALSE)))</f>
        <v>Email</v>
      </c>
      <c r="F3456" s="4" t="str">
        <f>IF(OR(A3456="",E3456="","",A3456="?",E3456="?"),"duplicate?",IF(COUNTIFS($A:A,A3456,E:E,E3456)&gt;1,"yes","no"))</f>
        <v>duplicate?</v>
      </c>
      <c r="K3456" s="97" t="str">
        <f ca="1">IF(J3456="","Date",IF(J3456&lt;&gt;"",IF(K3456="Date",NOW(),K3456),""))</f>
        <v>Date</v>
      </c>
    </row>
    <row r="3457" spans="2:11">
      <c r="B3457" s="97" t="str">
        <f ca="1">IF(A3457="","Date",IF(A3457&lt;&gt;"",IF(B3457="Date",NOW(),B3457),""))</f>
        <v>Date</v>
      </c>
      <c r="C3457" s="19" t="str">
        <f>IF(ISBLANK(A3457),"Name",IF(ISNA(VLOOKUP(A3457,'Master List'!A:C,2,FALSE)), "Not Found", VLOOKUP(A3457,'Master List'!A:C,2,FALSE)))</f>
        <v>Name</v>
      </c>
      <c r="D3457" s="19" t="str">
        <f>IF(ISBLANK(A3457), "Email",IF(ISNA(VLOOKUP(A3457,'Master List'!A:C,3,FALSE)), "Not Found", VLOOKUP(A3457,'Master List'!A:C,3,FALSE)))</f>
        <v>Email</v>
      </c>
      <c r="F3457" s="4" t="str">
        <f>IF(OR(A3457="",E3457="","",A3457="?",E3457="?"),"duplicate?",IF(COUNTIFS($A:A,A3457,E:E,E3457)&gt;1,"yes","no"))</f>
        <v>duplicate?</v>
      </c>
      <c r="K3457" s="97" t="str">
        <f ca="1">IF(J3457="","Date",IF(J3457&lt;&gt;"",IF(K3457="Date",NOW(),K3457),""))</f>
        <v>Date</v>
      </c>
    </row>
    <row r="3458" spans="2:11">
      <c r="B3458" s="97" t="str">
        <f ca="1">IF(A3458="","Date",IF(A3458&lt;&gt;"",IF(B3458="Date",NOW(),B3458),""))</f>
        <v>Date</v>
      </c>
      <c r="C3458" s="19" t="str">
        <f>IF(ISBLANK(A3458),"Name",IF(ISNA(VLOOKUP(A3458,'Master List'!A:C,2,FALSE)), "Not Found", VLOOKUP(A3458,'Master List'!A:C,2,FALSE)))</f>
        <v>Name</v>
      </c>
      <c r="D3458" s="19" t="str">
        <f>IF(ISBLANK(A3458), "Email",IF(ISNA(VLOOKUP(A3458,'Master List'!A:C,3,FALSE)), "Not Found", VLOOKUP(A3458,'Master List'!A:C,3,FALSE)))</f>
        <v>Email</v>
      </c>
      <c r="F3458" s="4" t="str">
        <f>IF(OR(A3458="",E3458="","",A3458="?",E3458="?"),"duplicate?",IF(COUNTIFS($A:A,A3458,E:E,E3458)&gt;1,"yes","no"))</f>
        <v>duplicate?</v>
      </c>
      <c r="K3458" s="97" t="str">
        <f ca="1">IF(J3458="","Date",IF(J3458&lt;&gt;"",IF(K3458="Date",NOW(),K3458),""))</f>
        <v>Date</v>
      </c>
    </row>
    <row r="3459" spans="2:11">
      <c r="B3459" s="97" t="str">
        <f ca="1">IF(A3459="","Date",IF(A3459&lt;&gt;"",IF(B3459="Date",NOW(),B3459),""))</f>
        <v>Date</v>
      </c>
      <c r="C3459" s="19" t="str">
        <f>IF(ISBLANK(A3459),"Name",IF(ISNA(VLOOKUP(A3459,'Master List'!A:C,2,FALSE)), "Not Found", VLOOKUP(A3459,'Master List'!A:C,2,FALSE)))</f>
        <v>Name</v>
      </c>
      <c r="D3459" s="19" t="str">
        <f>IF(ISBLANK(A3459), "Email",IF(ISNA(VLOOKUP(A3459,'Master List'!A:C,3,FALSE)), "Not Found", VLOOKUP(A3459,'Master List'!A:C,3,FALSE)))</f>
        <v>Email</v>
      </c>
      <c r="F3459" s="4" t="str">
        <f>IF(OR(A3459="",E3459="","",A3459="?",E3459="?"),"duplicate?",IF(COUNTIFS($A:A,A3459,E:E,E3459)&gt;1,"yes","no"))</f>
        <v>duplicate?</v>
      </c>
      <c r="K3459" s="97" t="str">
        <f ca="1">IF(J3459="","Date",IF(J3459&lt;&gt;"",IF(K3459="Date",NOW(),K3459),""))</f>
        <v>Date</v>
      </c>
    </row>
    <row r="3460" spans="2:11">
      <c r="B3460" s="97" t="str">
        <f ca="1">IF(A3460="","Date",IF(A3460&lt;&gt;"",IF(B3460="Date",NOW(),B3460),""))</f>
        <v>Date</v>
      </c>
      <c r="C3460" s="19" t="str">
        <f>IF(ISBLANK(A3460),"Name",IF(ISNA(VLOOKUP(A3460,'Master List'!A:C,2,FALSE)), "Not Found", VLOOKUP(A3460,'Master List'!A:C,2,FALSE)))</f>
        <v>Name</v>
      </c>
      <c r="D3460" s="19" t="str">
        <f>IF(ISBLANK(A3460), "Email",IF(ISNA(VLOOKUP(A3460,'Master List'!A:C,3,FALSE)), "Not Found", VLOOKUP(A3460,'Master List'!A:C,3,FALSE)))</f>
        <v>Email</v>
      </c>
      <c r="F3460" s="4" t="str">
        <f>IF(OR(A3460="",E3460="","",A3460="?",E3460="?"),"duplicate?",IF(COUNTIFS($A:A,A3460,E:E,E3460)&gt;1,"yes","no"))</f>
        <v>duplicate?</v>
      </c>
      <c r="K3460" s="97" t="str">
        <f ca="1">IF(J3460="","Date",IF(J3460&lt;&gt;"",IF(K3460="Date",NOW(),K3460),""))</f>
        <v>Date</v>
      </c>
    </row>
    <row r="3461" spans="2:11">
      <c r="B3461" s="97" t="str">
        <f ca="1">IF(A3461="","Date",IF(A3461&lt;&gt;"",IF(B3461="Date",NOW(),B3461),""))</f>
        <v>Date</v>
      </c>
      <c r="C3461" s="19" t="str">
        <f>IF(ISBLANK(A3461),"Name",IF(ISNA(VLOOKUP(A3461,'Master List'!A:C,2,FALSE)), "Not Found", VLOOKUP(A3461,'Master List'!A:C,2,FALSE)))</f>
        <v>Name</v>
      </c>
      <c r="D3461" s="19" t="str">
        <f>IF(ISBLANK(A3461), "Email",IF(ISNA(VLOOKUP(A3461,'Master List'!A:C,3,FALSE)), "Not Found", VLOOKUP(A3461,'Master List'!A:C,3,FALSE)))</f>
        <v>Email</v>
      </c>
      <c r="F3461" s="4" t="str">
        <f>IF(OR(A3461="",E3461="","",A3461="?",E3461="?"),"duplicate?",IF(COUNTIFS($A:A,A3461,E:E,E3461)&gt;1,"yes","no"))</f>
        <v>duplicate?</v>
      </c>
      <c r="K3461" s="97" t="str">
        <f ca="1">IF(J3461="","Date",IF(J3461&lt;&gt;"",IF(K3461="Date",NOW(),K3461),""))</f>
        <v>Date</v>
      </c>
    </row>
    <row r="3462" spans="2:11">
      <c r="B3462" s="97" t="str">
        <f ca="1">IF(A3462="","Date",IF(A3462&lt;&gt;"",IF(B3462="Date",NOW(),B3462),""))</f>
        <v>Date</v>
      </c>
      <c r="C3462" s="19" t="str">
        <f>IF(ISBLANK(A3462),"Name",IF(ISNA(VLOOKUP(A3462,'Master List'!A:C,2,FALSE)), "Not Found", VLOOKUP(A3462,'Master List'!A:C,2,FALSE)))</f>
        <v>Name</v>
      </c>
      <c r="D3462" s="19" t="str">
        <f>IF(ISBLANK(A3462), "Email",IF(ISNA(VLOOKUP(A3462,'Master List'!A:C,3,FALSE)), "Not Found", VLOOKUP(A3462,'Master List'!A:C,3,FALSE)))</f>
        <v>Email</v>
      </c>
      <c r="F3462" s="4" t="str">
        <f>IF(OR(A3462="",E3462="","",A3462="?",E3462="?"),"duplicate?",IF(COUNTIFS($A:A,A3462,E:E,E3462)&gt;1,"yes","no"))</f>
        <v>duplicate?</v>
      </c>
      <c r="K3462" s="97" t="str">
        <f ca="1">IF(J3462="","Date",IF(J3462&lt;&gt;"",IF(K3462="Date",NOW(),K3462),""))</f>
        <v>Date</v>
      </c>
    </row>
    <row r="3463" spans="2:11">
      <c r="B3463" s="97" t="str">
        <f ca="1">IF(A3463="","Date",IF(A3463&lt;&gt;"",IF(B3463="Date",NOW(),B3463),""))</f>
        <v>Date</v>
      </c>
      <c r="C3463" s="19" t="str">
        <f>IF(ISBLANK(A3463),"Name",IF(ISNA(VLOOKUP(A3463,'Master List'!A:C,2,FALSE)), "Not Found", VLOOKUP(A3463,'Master List'!A:C,2,FALSE)))</f>
        <v>Name</v>
      </c>
      <c r="D3463" s="19" t="str">
        <f>IF(ISBLANK(A3463), "Email",IF(ISNA(VLOOKUP(A3463,'Master List'!A:C,3,FALSE)), "Not Found", VLOOKUP(A3463,'Master List'!A:C,3,FALSE)))</f>
        <v>Email</v>
      </c>
      <c r="F3463" s="4" t="str">
        <f>IF(OR(A3463="",E3463="","",A3463="?",E3463="?"),"duplicate?",IF(COUNTIFS($A:A,A3463,E:E,E3463)&gt;1,"yes","no"))</f>
        <v>duplicate?</v>
      </c>
      <c r="K3463" s="97" t="str">
        <f ca="1">IF(J3463="","Date",IF(J3463&lt;&gt;"",IF(K3463="Date",NOW(),K3463),""))</f>
        <v>Date</v>
      </c>
    </row>
    <row r="3464" spans="2:11">
      <c r="B3464" s="97" t="str">
        <f ca="1">IF(A3464="","Date",IF(A3464&lt;&gt;"",IF(B3464="Date",NOW(),B3464),""))</f>
        <v>Date</v>
      </c>
      <c r="C3464" s="19" t="str">
        <f>IF(ISBLANK(A3464),"Name",IF(ISNA(VLOOKUP(A3464,'Master List'!A:C,2,FALSE)), "Not Found", VLOOKUP(A3464,'Master List'!A:C,2,FALSE)))</f>
        <v>Name</v>
      </c>
      <c r="D3464" s="19" t="str">
        <f>IF(ISBLANK(A3464), "Email",IF(ISNA(VLOOKUP(A3464,'Master List'!A:C,3,FALSE)), "Not Found", VLOOKUP(A3464,'Master List'!A:C,3,FALSE)))</f>
        <v>Email</v>
      </c>
      <c r="F3464" s="4" t="str">
        <f>IF(OR(A3464="",E3464="","",A3464="?",E3464="?"),"duplicate?",IF(COUNTIFS($A:A,A3464,E:E,E3464)&gt;1,"yes","no"))</f>
        <v>duplicate?</v>
      </c>
      <c r="K3464" s="97" t="str">
        <f ca="1">IF(J3464="","Date",IF(J3464&lt;&gt;"",IF(K3464="Date",NOW(),K3464),""))</f>
        <v>Date</v>
      </c>
    </row>
    <row r="3465" spans="2:11">
      <c r="B3465" s="97" t="str">
        <f ca="1">IF(A3465="","Date",IF(A3465&lt;&gt;"",IF(B3465="Date",NOW(),B3465),""))</f>
        <v>Date</v>
      </c>
      <c r="C3465" s="19" t="str">
        <f>IF(ISBLANK(A3465),"Name",IF(ISNA(VLOOKUP(A3465,'Master List'!A:C,2,FALSE)), "Not Found", VLOOKUP(A3465,'Master List'!A:C,2,FALSE)))</f>
        <v>Name</v>
      </c>
      <c r="D3465" s="19" t="str">
        <f>IF(ISBLANK(A3465), "Email",IF(ISNA(VLOOKUP(A3465,'Master List'!A:C,3,FALSE)), "Not Found", VLOOKUP(A3465,'Master List'!A:C,3,FALSE)))</f>
        <v>Email</v>
      </c>
      <c r="F3465" s="4" t="str">
        <f>IF(OR(A3465="",E3465="","",A3465="?",E3465="?"),"duplicate?",IF(COUNTIFS($A:A,A3465,E:E,E3465)&gt;1,"yes","no"))</f>
        <v>duplicate?</v>
      </c>
      <c r="K3465" s="97" t="str">
        <f ca="1">IF(J3465="","Date",IF(J3465&lt;&gt;"",IF(K3465="Date",NOW(),K3465),""))</f>
        <v>Date</v>
      </c>
    </row>
    <row r="3466" spans="2:11">
      <c r="B3466" s="97" t="str">
        <f ca="1">IF(A3466="","Date",IF(A3466&lt;&gt;"",IF(B3466="Date",NOW(),B3466),""))</f>
        <v>Date</v>
      </c>
      <c r="C3466" s="19" t="str">
        <f>IF(ISBLANK(A3466),"Name",IF(ISNA(VLOOKUP(A3466,'Master List'!A:C,2,FALSE)), "Not Found", VLOOKUP(A3466,'Master List'!A:C,2,FALSE)))</f>
        <v>Name</v>
      </c>
      <c r="D3466" s="19" t="str">
        <f>IF(ISBLANK(A3466), "Email",IF(ISNA(VLOOKUP(A3466,'Master List'!A:C,3,FALSE)), "Not Found", VLOOKUP(A3466,'Master List'!A:C,3,FALSE)))</f>
        <v>Email</v>
      </c>
      <c r="F3466" s="4" t="str">
        <f>IF(OR(A3466="",E3466="","",A3466="?",E3466="?"),"duplicate?",IF(COUNTIFS($A:A,A3466,E:E,E3466)&gt;1,"yes","no"))</f>
        <v>duplicate?</v>
      </c>
      <c r="K3466" s="97" t="str">
        <f ca="1">IF(J3466="","Date",IF(J3466&lt;&gt;"",IF(K3466="Date",NOW(),K3466),""))</f>
        <v>Date</v>
      </c>
    </row>
    <row r="3467" spans="2:11">
      <c r="B3467" s="97" t="str">
        <f ca="1">IF(A3467="","Date",IF(A3467&lt;&gt;"",IF(B3467="Date",NOW(),B3467),""))</f>
        <v>Date</v>
      </c>
      <c r="C3467" s="19" t="str">
        <f>IF(ISBLANK(A3467),"Name",IF(ISNA(VLOOKUP(A3467,'Master List'!A:C,2,FALSE)), "Not Found", VLOOKUP(A3467,'Master List'!A:C,2,FALSE)))</f>
        <v>Name</v>
      </c>
      <c r="D3467" s="19" t="str">
        <f>IF(ISBLANK(A3467), "Email",IF(ISNA(VLOOKUP(A3467,'Master List'!A:C,3,FALSE)), "Not Found", VLOOKUP(A3467,'Master List'!A:C,3,FALSE)))</f>
        <v>Email</v>
      </c>
      <c r="F3467" s="4" t="str">
        <f>IF(OR(A3467="",E3467="","",A3467="?",E3467="?"),"duplicate?",IF(COUNTIFS($A:A,A3467,E:E,E3467)&gt;1,"yes","no"))</f>
        <v>duplicate?</v>
      </c>
      <c r="K3467" s="97" t="str">
        <f ca="1">IF(J3467="","Date",IF(J3467&lt;&gt;"",IF(K3467="Date",NOW(),K3467),""))</f>
        <v>Date</v>
      </c>
    </row>
    <row r="3468" spans="2:11">
      <c r="B3468" s="97" t="str">
        <f ca="1">IF(A3468="","Date",IF(A3468&lt;&gt;"",IF(B3468="Date",NOW(),B3468),""))</f>
        <v>Date</v>
      </c>
      <c r="C3468" s="19" t="str">
        <f>IF(ISBLANK(A3468),"Name",IF(ISNA(VLOOKUP(A3468,'Master List'!A:C,2,FALSE)), "Not Found", VLOOKUP(A3468,'Master List'!A:C,2,FALSE)))</f>
        <v>Name</v>
      </c>
      <c r="D3468" s="19" t="str">
        <f>IF(ISBLANK(A3468), "Email",IF(ISNA(VLOOKUP(A3468,'Master List'!A:C,3,FALSE)), "Not Found", VLOOKUP(A3468,'Master List'!A:C,3,FALSE)))</f>
        <v>Email</v>
      </c>
      <c r="F3468" s="4" t="str">
        <f>IF(OR(A3468="",E3468="","",A3468="?",E3468="?"),"duplicate?",IF(COUNTIFS($A:A,A3468,E:E,E3468)&gt;1,"yes","no"))</f>
        <v>duplicate?</v>
      </c>
      <c r="K3468" s="97" t="str">
        <f ca="1">IF(J3468="","Date",IF(J3468&lt;&gt;"",IF(K3468="Date",NOW(),K3468),""))</f>
        <v>Date</v>
      </c>
    </row>
    <row r="3469" spans="2:11">
      <c r="B3469" s="97" t="str">
        <f ca="1">IF(A3469="","Date",IF(A3469&lt;&gt;"",IF(B3469="Date",NOW(),B3469),""))</f>
        <v>Date</v>
      </c>
      <c r="C3469" s="19" t="str">
        <f>IF(ISBLANK(A3469),"Name",IF(ISNA(VLOOKUP(A3469,'Master List'!A:C,2,FALSE)), "Not Found", VLOOKUP(A3469,'Master List'!A:C,2,FALSE)))</f>
        <v>Name</v>
      </c>
      <c r="D3469" s="19" t="str">
        <f>IF(ISBLANK(A3469), "Email",IF(ISNA(VLOOKUP(A3469,'Master List'!A:C,3,FALSE)), "Not Found", VLOOKUP(A3469,'Master List'!A:C,3,FALSE)))</f>
        <v>Email</v>
      </c>
      <c r="F3469" s="4" t="str">
        <f>IF(OR(A3469="",E3469="","",A3469="?",E3469="?"),"duplicate?",IF(COUNTIFS($A:A,A3469,E:E,E3469)&gt;1,"yes","no"))</f>
        <v>duplicate?</v>
      </c>
      <c r="K3469" s="97" t="str">
        <f ca="1">IF(J3469="","Date",IF(J3469&lt;&gt;"",IF(K3469="Date",NOW(),K3469),""))</f>
        <v>Date</v>
      </c>
    </row>
    <row r="3470" spans="2:11">
      <c r="B3470" s="97" t="str">
        <f ca="1">IF(A3470="","Date",IF(A3470&lt;&gt;"",IF(B3470="Date",NOW(),B3470),""))</f>
        <v>Date</v>
      </c>
      <c r="C3470" s="19" t="str">
        <f>IF(ISBLANK(A3470),"Name",IF(ISNA(VLOOKUP(A3470,'Master List'!A:C,2,FALSE)), "Not Found", VLOOKUP(A3470,'Master List'!A:C,2,FALSE)))</f>
        <v>Name</v>
      </c>
      <c r="D3470" s="19" t="str">
        <f>IF(ISBLANK(A3470), "Email",IF(ISNA(VLOOKUP(A3470,'Master List'!A:C,3,FALSE)), "Not Found", VLOOKUP(A3470,'Master List'!A:C,3,FALSE)))</f>
        <v>Email</v>
      </c>
      <c r="F3470" s="4" t="str">
        <f>IF(OR(A3470="",E3470="","",A3470="?",E3470="?"),"duplicate?",IF(COUNTIFS($A:A,A3470,E:E,E3470)&gt;1,"yes","no"))</f>
        <v>duplicate?</v>
      </c>
      <c r="K3470" s="97" t="str">
        <f ca="1">IF(J3470="","Date",IF(J3470&lt;&gt;"",IF(K3470="Date",NOW(),K3470),""))</f>
        <v>Date</v>
      </c>
    </row>
    <row r="3471" spans="2:11">
      <c r="B3471" s="97" t="str">
        <f ca="1">IF(A3471="","Date",IF(A3471&lt;&gt;"",IF(B3471="Date",NOW(),B3471),""))</f>
        <v>Date</v>
      </c>
      <c r="C3471" s="19" t="str">
        <f>IF(ISBLANK(A3471),"Name",IF(ISNA(VLOOKUP(A3471,'Master List'!A:C,2,FALSE)), "Not Found", VLOOKUP(A3471,'Master List'!A:C,2,FALSE)))</f>
        <v>Name</v>
      </c>
      <c r="D3471" s="19" t="str">
        <f>IF(ISBLANK(A3471), "Email",IF(ISNA(VLOOKUP(A3471,'Master List'!A:C,3,FALSE)), "Not Found", VLOOKUP(A3471,'Master List'!A:C,3,FALSE)))</f>
        <v>Email</v>
      </c>
      <c r="F3471" s="4" t="str">
        <f>IF(OR(A3471="",E3471="","",A3471="?",E3471="?"),"duplicate?",IF(COUNTIFS($A:A,A3471,E:E,E3471)&gt;1,"yes","no"))</f>
        <v>duplicate?</v>
      </c>
      <c r="K3471" s="97" t="str">
        <f ca="1">IF(J3471="","Date",IF(J3471&lt;&gt;"",IF(K3471="Date",NOW(),K3471),""))</f>
        <v>Date</v>
      </c>
    </row>
    <row r="3472" spans="2:11">
      <c r="B3472" s="97" t="str">
        <f ca="1">IF(A3472="","Date",IF(A3472&lt;&gt;"",IF(B3472="Date",NOW(),B3472),""))</f>
        <v>Date</v>
      </c>
      <c r="C3472" s="19" t="str">
        <f>IF(ISBLANK(A3472),"Name",IF(ISNA(VLOOKUP(A3472,'Master List'!A:C,2,FALSE)), "Not Found", VLOOKUP(A3472,'Master List'!A:C,2,FALSE)))</f>
        <v>Name</v>
      </c>
      <c r="D3472" s="19" t="str">
        <f>IF(ISBLANK(A3472), "Email",IF(ISNA(VLOOKUP(A3472,'Master List'!A:C,3,FALSE)), "Not Found", VLOOKUP(A3472,'Master List'!A:C,3,FALSE)))</f>
        <v>Email</v>
      </c>
      <c r="F3472" s="4" t="str">
        <f>IF(OR(A3472="",E3472="","",A3472="?",E3472="?"),"duplicate?",IF(COUNTIFS($A:A,A3472,E:E,E3472)&gt;1,"yes","no"))</f>
        <v>duplicate?</v>
      </c>
      <c r="K3472" s="97" t="str">
        <f ca="1">IF(J3472="","Date",IF(J3472&lt;&gt;"",IF(K3472="Date",NOW(),K3472),""))</f>
        <v>Date</v>
      </c>
    </row>
    <row r="3473" spans="2:11">
      <c r="B3473" s="97" t="str">
        <f ca="1">IF(A3473="","Date",IF(A3473&lt;&gt;"",IF(B3473="Date",NOW(),B3473),""))</f>
        <v>Date</v>
      </c>
      <c r="C3473" s="19" t="str">
        <f>IF(ISBLANK(A3473),"Name",IF(ISNA(VLOOKUP(A3473,'Master List'!A:C,2,FALSE)), "Not Found", VLOOKUP(A3473,'Master List'!A:C,2,FALSE)))</f>
        <v>Name</v>
      </c>
      <c r="D3473" s="19" t="str">
        <f>IF(ISBLANK(A3473), "Email",IF(ISNA(VLOOKUP(A3473,'Master List'!A:C,3,FALSE)), "Not Found", VLOOKUP(A3473,'Master List'!A:C,3,FALSE)))</f>
        <v>Email</v>
      </c>
      <c r="F3473" s="4" t="str">
        <f>IF(OR(A3473="",E3473="","",A3473="?",E3473="?"),"duplicate?",IF(COUNTIFS($A:A,A3473,E:E,E3473)&gt;1,"yes","no"))</f>
        <v>duplicate?</v>
      </c>
      <c r="K3473" s="97" t="str">
        <f ca="1">IF(J3473="","Date",IF(J3473&lt;&gt;"",IF(K3473="Date",NOW(),K3473),""))</f>
        <v>Date</v>
      </c>
    </row>
    <row r="3474" spans="2:11">
      <c r="B3474" s="97" t="str">
        <f ca="1">IF(A3474="","Date",IF(A3474&lt;&gt;"",IF(B3474="Date",NOW(),B3474),""))</f>
        <v>Date</v>
      </c>
      <c r="C3474" s="19" t="str">
        <f>IF(ISBLANK(A3474),"Name",IF(ISNA(VLOOKUP(A3474,'Master List'!A:C,2,FALSE)), "Not Found", VLOOKUP(A3474,'Master List'!A:C,2,FALSE)))</f>
        <v>Name</v>
      </c>
      <c r="D3474" s="19" t="str">
        <f>IF(ISBLANK(A3474), "Email",IF(ISNA(VLOOKUP(A3474,'Master List'!A:C,3,FALSE)), "Not Found", VLOOKUP(A3474,'Master List'!A:C,3,FALSE)))</f>
        <v>Email</v>
      </c>
      <c r="F3474" s="4" t="str">
        <f>IF(OR(A3474="",E3474="","",A3474="?",E3474="?"),"duplicate?",IF(COUNTIFS($A:A,A3474,E:E,E3474)&gt;1,"yes","no"))</f>
        <v>duplicate?</v>
      </c>
      <c r="K3474" s="97" t="str">
        <f ca="1">IF(J3474="","Date",IF(J3474&lt;&gt;"",IF(K3474="Date",NOW(),K3474),""))</f>
        <v>Date</v>
      </c>
    </row>
    <row r="3475" spans="2:11">
      <c r="B3475" s="97" t="str">
        <f ca="1">IF(A3475="","Date",IF(A3475&lt;&gt;"",IF(B3475="Date",NOW(),B3475),""))</f>
        <v>Date</v>
      </c>
      <c r="C3475" s="19" t="str">
        <f>IF(ISBLANK(A3475),"Name",IF(ISNA(VLOOKUP(A3475,'Master List'!A:C,2,FALSE)), "Not Found", VLOOKUP(A3475,'Master List'!A:C,2,FALSE)))</f>
        <v>Name</v>
      </c>
      <c r="D3475" s="19" t="str">
        <f>IF(ISBLANK(A3475), "Email",IF(ISNA(VLOOKUP(A3475,'Master List'!A:C,3,FALSE)), "Not Found", VLOOKUP(A3475,'Master List'!A:C,3,FALSE)))</f>
        <v>Email</v>
      </c>
      <c r="F3475" s="4" t="str">
        <f>IF(OR(A3475="",E3475="","",A3475="?",E3475="?"),"duplicate?",IF(COUNTIFS($A:A,A3475,E:E,E3475)&gt;1,"yes","no"))</f>
        <v>duplicate?</v>
      </c>
      <c r="K3475" s="97" t="str">
        <f ca="1">IF(J3475="","Date",IF(J3475&lt;&gt;"",IF(K3475="Date",NOW(),K3475),""))</f>
        <v>Date</v>
      </c>
    </row>
    <row r="3476" spans="2:11">
      <c r="B3476" s="97" t="str">
        <f ca="1">IF(A3476="","Date",IF(A3476&lt;&gt;"",IF(B3476="Date",NOW(),B3476),""))</f>
        <v>Date</v>
      </c>
      <c r="C3476" s="19" t="str">
        <f>IF(ISBLANK(A3476),"Name",IF(ISNA(VLOOKUP(A3476,'Master List'!A:C,2,FALSE)), "Not Found", VLOOKUP(A3476,'Master List'!A:C,2,FALSE)))</f>
        <v>Name</v>
      </c>
      <c r="D3476" s="19" t="str">
        <f>IF(ISBLANK(A3476), "Email",IF(ISNA(VLOOKUP(A3476,'Master List'!A:C,3,FALSE)), "Not Found", VLOOKUP(A3476,'Master List'!A:C,3,FALSE)))</f>
        <v>Email</v>
      </c>
      <c r="F3476" s="4" t="str">
        <f>IF(OR(A3476="",E3476="","",A3476="?",E3476="?"),"duplicate?",IF(COUNTIFS($A:A,A3476,E:E,E3476)&gt;1,"yes","no"))</f>
        <v>duplicate?</v>
      </c>
      <c r="K3476" s="97" t="str">
        <f ca="1">IF(J3476="","Date",IF(J3476&lt;&gt;"",IF(K3476="Date",NOW(),K3476),""))</f>
        <v>Date</v>
      </c>
    </row>
    <row r="3477" spans="2:11">
      <c r="B3477" s="97" t="str">
        <f ca="1">IF(A3477="","Date",IF(A3477&lt;&gt;"",IF(B3477="Date",NOW(),B3477),""))</f>
        <v>Date</v>
      </c>
      <c r="C3477" s="19" t="str">
        <f>IF(ISBLANK(A3477),"Name",IF(ISNA(VLOOKUP(A3477,'Master List'!A:C,2,FALSE)), "Not Found", VLOOKUP(A3477,'Master List'!A:C,2,FALSE)))</f>
        <v>Name</v>
      </c>
      <c r="D3477" s="19" t="str">
        <f>IF(ISBLANK(A3477), "Email",IF(ISNA(VLOOKUP(A3477,'Master List'!A:C,3,FALSE)), "Not Found", VLOOKUP(A3477,'Master List'!A:C,3,FALSE)))</f>
        <v>Email</v>
      </c>
      <c r="F3477" s="4" t="str">
        <f>IF(OR(A3477="",E3477="","",A3477="?",E3477="?"),"duplicate?",IF(COUNTIFS($A:A,A3477,E:E,E3477)&gt;1,"yes","no"))</f>
        <v>duplicate?</v>
      </c>
      <c r="K3477" s="97" t="str">
        <f ca="1">IF(J3477="","Date",IF(J3477&lt;&gt;"",IF(K3477="Date",NOW(),K3477),""))</f>
        <v>Date</v>
      </c>
    </row>
    <row r="3478" spans="2:11">
      <c r="B3478" s="97" t="str">
        <f ca="1">IF(A3478="","Date",IF(A3478&lt;&gt;"",IF(B3478="Date",NOW(),B3478),""))</f>
        <v>Date</v>
      </c>
      <c r="C3478" s="19" t="str">
        <f>IF(ISBLANK(A3478),"Name",IF(ISNA(VLOOKUP(A3478,'Master List'!A:C,2,FALSE)), "Not Found", VLOOKUP(A3478,'Master List'!A:C,2,FALSE)))</f>
        <v>Name</v>
      </c>
      <c r="D3478" s="19" t="str">
        <f>IF(ISBLANK(A3478), "Email",IF(ISNA(VLOOKUP(A3478,'Master List'!A:C,3,FALSE)), "Not Found", VLOOKUP(A3478,'Master List'!A:C,3,FALSE)))</f>
        <v>Email</v>
      </c>
      <c r="F3478" s="4" t="str">
        <f>IF(OR(A3478="",E3478="","",A3478="?",E3478="?"),"duplicate?",IF(COUNTIFS($A:A,A3478,E:E,E3478)&gt;1,"yes","no"))</f>
        <v>duplicate?</v>
      </c>
      <c r="K3478" s="97" t="str">
        <f ca="1">IF(J3478="","Date",IF(J3478&lt;&gt;"",IF(K3478="Date",NOW(),K3478),""))</f>
        <v>Date</v>
      </c>
    </row>
    <row r="3479" spans="2:11">
      <c r="B3479" s="97" t="str">
        <f ca="1">IF(A3479="","Date",IF(A3479&lt;&gt;"",IF(B3479="Date",NOW(),B3479),""))</f>
        <v>Date</v>
      </c>
      <c r="C3479" s="19" t="str">
        <f>IF(ISBLANK(A3479),"Name",IF(ISNA(VLOOKUP(A3479,'Master List'!A:C,2,FALSE)), "Not Found", VLOOKUP(A3479,'Master List'!A:C,2,FALSE)))</f>
        <v>Name</v>
      </c>
      <c r="D3479" s="19" t="str">
        <f>IF(ISBLANK(A3479), "Email",IF(ISNA(VLOOKUP(A3479,'Master List'!A:C,3,FALSE)), "Not Found", VLOOKUP(A3479,'Master List'!A:C,3,FALSE)))</f>
        <v>Email</v>
      </c>
      <c r="F3479" s="4" t="str">
        <f>IF(OR(A3479="",E3479="","",A3479="?",E3479="?"),"duplicate?",IF(COUNTIFS($A:A,A3479,E:E,E3479)&gt;1,"yes","no"))</f>
        <v>duplicate?</v>
      </c>
      <c r="K3479" s="97" t="str">
        <f ca="1">IF(J3479="","Date",IF(J3479&lt;&gt;"",IF(K3479="Date",NOW(),K3479),""))</f>
        <v>Date</v>
      </c>
    </row>
    <row r="3480" spans="2:11">
      <c r="B3480" s="97" t="str">
        <f ca="1">IF(A3480="","Date",IF(A3480&lt;&gt;"",IF(B3480="Date",NOW(),B3480),""))</f>
        <v>Date</v>
      </c>
      <c r="C3480" s="19" t="str">
        <f>IF(ISBLANK(A3480),"Name",IF(ISNA(VLOOKUP(A3480,'Master List'!A:C,2,FALSE)), "Not Found", VLOOKUP(A3480,'Master List'!A:C,2,FALSE)))</f>
        <v>Name</v>
      </c>
      <c r="D3480" s="19" t="str">
        <f>IF(ISBLANK(A3480), "Email",IF(ISNA(VLOOKUP(A3480,'Master List'!A:C,3,FALSE)), "Not Found", VLOOKUP(A3480,'Master List'!A:C,3,FALSE)))</f>
        <v>Email</v>
      </c>
      <c r="F3480" s="4" t="str">
        <f>IF(OR(A3480="",E3480="","",A3480="?",E3480="?"),"duplicate?",IF(COUNTIFS($A:A,A3480,E:E,E3480)&gt;1,"yes","no"))</f>
        <v>duplicate?</v>
      </c>
      <c r="K3480" s="97" t="str">
        <f ca="1">IF(J3480="","Date",IF(J3480&lt;&gt;"",IF(K3480="Date",NOW(),K3480),""))</f>
        <v>Date</v>
      </c>
    </row>
    <row r="3481" spans="2:11">
      <c r="B3481" s="97" t="str">
        <f ca="1">IF(A3481="","Date",IF(A3481&lt;&gt;"",IF(B3481="Date",NOW(),B3481),""))</f>
        <v>Date</v>
      </c>
      <c r="C3481" s="19" t="str">
        <f>IF(ISBLANK(A3481),"Name",IF(ISNA(VLOOKUP(A3481,'Master List'!A:C,2,FALSE)), "Not Found", VLOOKUP(A3481,'Master List'!A:C,2,FALSE)))</f>
        <v>Name</v>
      </c>
      <c r="D3481" s="19" t="str">
        <f>IF(ISBLANK(A3481), "Email",IF(ISNA(VLOOKUP(A3481,'Master List'!A:C,3,FALSE)), "Not Found", VLOOKUP(A3481,'Master List'!A:C,3,FALSE)))</f>
        <v>Email</v>
      </c>
      <c r="F3481" s="4" t="str">
        <f>IF(OR(A3481="",E3481="","",A3481="?",E3481="?"),"duplicate?",IF(COUNTIFS($A:A,A3481,E:E,E3481)&gt;1,"yes","no"))</f>
        <v>duplicate?</v>
      </c>
      <c r="K3481" s="97" t="str">
        <f ca="1">IF(J3481="","Date",IF(J3481&lt;&gt;"",IF(K3481="Date",NOW(),K3481),""))</f>
        <v>Date</v>
      </c>
    </row>
    <row r="3482" spans="2:11">
      <c r="B3482" s="97" t="str">
        <f ca="1">IF(A3482="","Date",IF(A3482&lt;&gt;"",IF(B3482="Date",NOW(),B3482),""))</f>
        <v>Date</v>
      </c>
      <c r="C3482" s="19" t="str">
        <f>IF(ISBLANK(A3482),"Name",IF(ISNA(VLOOKUP(A3482,'Master List'!A:C,2,FALSE)), "Not Found", VLOOKUP(A3482,'Master List'!A:C,2,FALSE)))</f>
        <v>Name</v>
      </c>
      <c r="D3482" s="19" t="str">
        <f>IF(ISBLANK(A3482), "Email",IF(ISNA(VLOOKUP(A3482,'Master List'!A:C,3,FALSE)), "Not Found", VLOOKUP(A3482,'Master List'!A:C,3,FALSE)))</f>
        <v>Email</v>
      </c>
      <c r="F3482" s="4" t="str">
        <f>IF(OR(A3482="",E3482="","",A3482="?",E3482="?"),"duplicate?",IF(COUNTIFS($A:A,A3482,E:E,E3482)&gt;1,"yes","no"))</f>
        <v>duplicate?</v>
      </c>
      <c r="K3482" s="97" t="str">
        <f ca="1">IF(J3482="","Date",IF(J3482&lt;&gt;"",IF(K3482="Date",NOW(),K3482),""))</f>
        <v>Date</v>
      </c>
    </row>
    <row r="3483" spans="2:11">
      <c r="B3483" s="97" t="str">
        <f ca="1">IF(A3483="","Date",IF(A3483&lt;&gt;"",IF(B3483="Date",NOW(),B3483),""))</f>
        <v>Date</v>
      </c>
      <c r="C3483" s="19" t="str">
        <f>IF(ISBLANK(A3483),"Name",IF(ISNA(VLOOKUP(A3483,'Master List'!A:C,2,FALSE)), "Not Found", VLOOKUP(A3483,'Master List'!A:C,2,FALSE)))</f>
        <v>Name</v>
      </c>
      <c r="D3483" s="19" t="str">
        <f>IF(ISBLANK(A3483), "Email",IF(ISNA(VLOOKUP(A3483,'Master List'!A:C,3,FALSE)), "Not Found", VLOOKUP(A3483,'Master List'!A:C,3,FALSE)))</f>
        <v>Email</v>
      </c>
      <c r="F3483" s="4" t="str">
        <f>IF(OR(A3483="",E3483="","",A3483="?",E3483="?"),"duplicate?",IF(COUNTIFS($A:A,A3483,E:E,E3483)&gt;1,"yes","no"))</f>
        <v>duplicate?</v>
      </c>
      <c r="K3483" s="97" t="str">
        <f ca="1">IF(J3483="","Date",IF(J3483&lt;&gt;"",IF(K3483="Date",NOW(),K3483),""))</f>
        <v>Date</v>
      </c>
    </row>
    <row r="3484" spans="2:11">
      <c r="B3484" s="97" t="str">
        <f ca="1">IF(A3484="","Date",IF(A3484&lt;&gt;"",IF(B3484="Date",NOW(),B3484),""))</f>
        <v>Date</v>
      </c>
      <c r="C3484" s="19" t="str">
        <f>IF(ISBLANK(A3484),"Name",IF(ISNA(VLOOKUP(A3484,'Master List'!A:C,2,FALSE)), "Not Found", VLOOKUP(A3484,'Master List'!A:C,2,FALSE)))</f>
        <v>Name</v>
      </c>
      <c r="D3484" s="19" t="str">
        <f>IF(ISBLANK(A3484), "Email",IF(ISNA(VLOOKUP(A3484,'Master List'!A:C,3,FALSE)), "Not Found", VLOOKUP(A3484,'Master List'!A:C,3,FALSE)))</f>
        <v>Email</v>
      </c>
      <c r="F3484" s="4" t="str">
        <f>IF(OR(A3484="",E3484="","",A3484="?",E3484="?"),"duplicate?",IF(COUNTIFS($A:A,A3484,E:E,E3484)&gt;1,"yes","no"))</f>
        <v>duplicate?</v>
      </c>
      <c r="K3484" s="97" t="str">
        <f ca="1">IF(J3484="","Date",IF(J3484&lt;&gt;"",IF(K3484="Date",NOW(),K3484),""))</f>
        <v>Date</v>
      </c>
    </row>
    <row r="3485" spans="2:11">
      <c r="B3485" s="97" t="str">
        <f ca="1">IF(A3485="","Date",IF(A3485&lt;&gt;"",IF(B3485="Date",NOW(),B3485),""))</f>
        <v>Date</v>
      </c>
      <c r="C3485" s="19" t="str">
        <f>IF(ISBLANK(A3485),"Name",IF(ISNA(VLOOKUP(A3485,'Master List'!A:C,2,FALSE)), "Not Found", VLOOKUP(A3485,'Master List'!A:C,2,FALSE)))</f>
        <v>Name</v>
      </c>
      <c r="D3485" s="19" t="str">
        <f>IF(ISBLANK(A3485), "Email",IF(ISNA(VLOOKUP(A3485,'Master List'!A:C,3,FALSE)), "Not Found", VLOOKUP(A3485,'Master List'!A:C,3,FALSE)))</f>
        <v>Email</v>
      </c>
      <c r="F3485" s="4" t="str">
        <f>IF(OR(A3485="",E3485="","",A3485="?",E3485="?"),"duplicate?",IF(COUNTIFS($A:A,A3485,E:E,E3485)&gt;1,"yes","no"))</f>
        <v>duplicate?</v>
      </c>
      <c r="K3485" s="97" t="str">
        <f ca="1">IF(J3485="","Date",IF(J3485&lt;&gt;"",IF(K3485="Date",NOW(),K3485),""))</f>
        <v>Date</v>
      </c>
    </row>
    <row r="3486" spans="2:11">
      <c r="B3486" s="97" t="str">
        <f ca="1">IF(A3486="","Date",IF(A3486&lt;&gt;"",IF(B3486="Date",NOW(),B3486),""))</f>
        <v>Date</v>
      </c>
      <c r="C3486" s="19" t="str">
        <f>IF(ISBLANK(A3486),"Name",IF(ISNA(VLOOKUP(A3486,'Master List'!A:C,2,FALSE)), "Not Found", VLOOKUP(A3486,'Master List'!A:C,2,FALSE)))</f>
        <v>Name</v>
      </c>
      <c r="D3486" s="19" t="str">
        <f>IF(ISBLANK(A3486), "Email",IF(ISNA(VLOOKUP(A3486,'Master List'!A:C,3,FALSE)), "Not Found", VLOOKUP(A3486,'Master List'!A:C,3,FALSE)))</f>
        <v>Email</v>
      </c>
      <c r="F3486" s="4" t="str">
        <f>IF(OR(A3486="",E3486="","",A3486="?",E3486="?"),"duplicate?",IF(COUNTIFS($A:A,A3486,E:E,E3486)&gt;1,"yes","no"))</f>
        <v>duplicate?</v>
      </c>
      <c r="K3486" s="97" t="str">
        <f ca="1">IF(J3486="","Date",IF(J3486&lt;&gt;"",IF(K3486="Date",NOW(),K3486),""))</f>
        <v>Date</v>
      </c>
    </row>
    <row r="3487" spans="2:11">
      <c r="B3487" s="97" t="str">
        <f ca="1">IF(A3487="","Date",IF(A3487&lt;&gt;"",IF(B3487="Date",NOW(),B3487),""))</f>
        <v>Date</v>
      </c>
      <c r="C3487" s="19" t="str">
        <f>IF(ISBLANK(A3487),"Name",IF(ISNA(VLOOKUP(A3487,'Master List'!A:C,2,FALSE)), "Not Found", VLOOKUP(A3487,'Master List'!A:C,2,FALSE)))</f>
        <v>Name</v>
      </c>
      <c r="D3487" s="19" t="str">
        <f>IF(ISBLANK(A3487), "Email",IF(ISNA(VLOOKUP(A3487,'Master List'!A:C,3,FALSE)), "Not Found", VLOOKUP(A3487,'Master List'!A:C,3,FALSE)))</f>
        <v>Email</v>
      </c>
      <c r="F3487" s="4" t="str">
        <f>IF(OR(A3487="",E3487="","",A3487="?",E3487="?"),"duplicate?",IF(COUNTIFS($A:A,A3487,E:E,E3487)&gt;1,"yes","no"))</f>
        <v>duplicate?</v>
      </c>
      <c r="K3487" s="97" t="str">
        <f ca="1">IF(J3487="","Date",IF(J3487&lt;&gt;"",IF(K3487="Date",NOW(),K3487),""))</f>
        <v>Date</v>
      </c>
    </row>
    <row r="3488" spans="2:11">
      <c r="B3488" s="97" t="str">
        <f ca="1">IF(A3488="","Date",IF(A3488&lt;&gt;"",IF(B3488="Date",NOW(),B3488),""))</f>
        <v>Date</v>
      </c>
      <c r="C3488" s="19" t="str">
        <f>IF(ISBLANK(A3488),"Name",IF(ISNA(VLOOKUP(A3488,'Master List'!A:C,2,FALSE)), "Not Found", VLOOKUP(A3488,'Master List'!A:C,2,FALSE)))</f>
        <v>Name</v>
      </c>
      <c r="D3488" s="19" t="str">
        <f>IF(ISBLANK(A3488), "Email",IF(ISNA(VLOOKUP(A3488,'Master List'!A:C,3,FALSE)), "Not Found", VLOOKUP(A3488,'Master List'!A:C,3,FALSE)))</f>
        <v>Email</v>
      </c>
      <c r="F3488" s="4" t="str">
        <f>IF(OR(A3488="",E3488="","",A3488="?",E3488="?"),"duplicate?",IF(COUNTIFS($A:A,A3488,E:E,E3488)&gt;1,"yes","no"))</f>
        <v>duplicate?</v>
      </c>
      <c r="K3488" s="97" t="str">
        <f ca="1">IF(J3488="","Date",IF(J3488&lt;&gt;"",IF(K3488="Date",NOW(),K3488),""))</f>
        <v>Date</v>
      </c>
    </row>
    <row r="3489" spans="2:11">
      <c r="B3489" s="97" t="str">
        <f ca="1">IF(A3489="","Date",IF(A3489&lt;&gt;"",IF(B3489="Date",NOW(),B3489),""))</f>
        <v>Date</v>
      </c>
      <c r="C3489" s="19" t="str">
        <f>IF(ISBLANK(A3489),"Name",IF(ISNA(VLOOKUP(A3489,'Master List'!A:C,2,FALSE)), "Not Found", VLOOKUP(A3489,'Master List'!A:C,2,FALSE)))</f>
        <v>Name</v>
      </c>
      <c r="D3489" s="19" t="str">
        <f>IF(ISBLANK(A3489), "Email",IF(ISNA(VLOOKUP(A3489,'Master List'!A:C,3,FALSE)), "Not Found", VLOOKUP(A3489,'Master List'!A:C,3,FALSE)))</f>
        <v>Email</v>
      </c>
      <c r="F3489" s="4" t="str">
        <f>IF(OR(A3489="",E3489="","",A3489="?",E3489="?"),"duplicate?",IF(COUNTIFS($A:A,A3489,E:E,E3489)&gt;1,"yes","no"))</f>
        <v>duplicate?</v>
      </c>
      <c r="K3489" s="97" t="str">
        <f ca="1">IF(J3489="","Date",IF(J3489&lt;&gt;"",IF(K3489="Date",NOW(),K3489),""))</f>
        <v>Date</v>
      </c>
    </row>
    <row r="3490" spans="2:11">
      <c r="B3490" s="97" t="str">
        <f ca="1">IF(A3490="","Date",IF(A3490&lt;&gt;"",IF(B3490="Date",NOW(),B3490),""))</f>
        <v>Date</v>
      </c>
      <c r="C3490" s="19" t="str">
        <f>IF(ISBLANK(A3490),"Name",IF(ISNA(VLOOKUP(A3490,'Master List'!A:C,2,FALSE)), "Not Found", VLOOKUP(A3490,'Master List'!A:C,2,FALSE)))</f>
        <v>Name</v>
      </c>
      <c r="D3490" s="19" t="str">
        <f>IF(ISBLANK(A3490), "Email",IF(ISNA(VLOOKUP(A3490,'Master List'!A:C,3,FALSE)), "Not Found", VLOOKUP(A3490,'Master List'!A:C,3,FALSE)))</f>
        <v>Email</v>
      </c>
      <c r="F3490" s="4" t="str">
        <f>IF(OR(A3490="",E3490="","",A3490="?",E3490="?"),"duplicate?",IF(COUNTIFS($A:A,A3490,E:E,E3490)&gt;1,"yes","no"))</f>
        <v>duplicate?</v>
      </c>
      <c r="K3490" s="97" t="str">
        <f ca="1">IF(J3490="","Date",IF(J3490&lt;&gt;"",IF(K3490="Date",NOW(),K3490),""))</f>
        <v>Date</v>
      </c>
    </row>
    <row r="3491" spans="2:11">
      <c r="B3491" s="97" t="str">
        <f ca="1">IF(A3491="","Date",IF(A3491&lt;&gt;"",IF(B3491="Date",NOW(),B3491),""))</f>
        <v>Date</v>
      </c>
      <c r="C3491" s="19" t="str">
        <f>IF(ISBLANK(A3491),"Name",IF(ISNA(VLOOKUP(A3491,'Master List'!A:C,2,FALSE)), "Not Found", VLOOKUP(A3491,'Master List'!A:C,2,FALSE)))</f>
        <v>Name</v>
      </c>
      <c r="D3491" s="19" t="str">
        <f>IF(ISBLANK(A3491), "Email",IF(ISNA(VLOOKUP(A3491,'Master List'!A:C,3,FALSE)), "Not Found", VLOOKUP(A3491,'Master List'!A:C,3,FALSE)))</f>
        <v>Email</v>
      </c>
      <c r="F3491" s="4" t="str">
        <f>IF(OR(A3491="",E3491="","",A3491="?",E3491="?"),"duplicate?",IF(COUNTIFS($A:A,A3491,E:E,E3491)&gt;1,"yes","no"))</f>
        <v>duplicate?</v>
      </c>
      <c r="K3491" s="97" t="str">
        <f ca="1">IF(J3491="","Date",IF(J3491&lt;&gt;"",IF(K3491="Date",NOW(),K3491),""))</f>
        <v>Date</v>
      </c>
    </row>
    <row r="3492" spans="2:11">
      <c r="B3492" s="97" t="str">
        <f ca="1">IF(A3492="","Date",IF(A3492&lt;&gt;"",IF(B3492="Date",NOW(),B3492),""))</f>
        <v>Date</v>
      </c>
      <c r="C3492" s="19" t="str">
        <f>IF(ISBLANK(A3492),"Name",IF(ISNA(VLOOKUP(A3492,'Master List'!A:C,2,FALSE)), "Not Found", VLOOKUP(A3492,'Master List'!A:C,2,FALSE)))</f>
        <v>Name</v>
      </c>
      <c r="D3492" s="19" t="str">
        <f>IF(ISBLANK(A3492), "Email",IF(ISNA(VLOOKUP(A3492,'Master List'!A:C,3,FALSE)), "Not Found", VLOOKUP(A3492,'Master List'!A:C,3,FALSE)))</f>
        <v>Email</v>
      </c>
      <c r="F3492" s="4" t="str">
        <f>IF(OR(A3492="",E3492="","",A3492="?",E3492="?"),"duplicate?",IF(COUNTIFS($A:A,A3492,E:E,E3492)&gt;1,"yes","no"))</f>
        <v>duplicate?</v>
      </c>
      <c r="K3492" s="97" t="str">
        <f ca="1">IF(J3492="","Date",IF(J3492&lt;&gt;"",IF(K3492="Date",NOW(),K3492),""))</f>
        <v>Date</v>
      </c>
    </row>
    <row r="3493" spans="2:11">
      <c r="B3493" s="97" t="str">
        <f ca="1">IF(A3493="","Date",IF(A3493&lt;&gt;"",IF(B3493="Date",NOW(),B3493),""))</f>
        <v>Date</v>
      </c>
      <c r="C3493" s="19" t="str">
        <f>IF(ISBLANK(A3493),"Name",IF(ISNA(VLOOKUP(A3493,'Master List'!A:C,2,FALSE)), "Not Found", VLOOKUP(A3493,'Master List'!A:C,2,FALSE)))</f>
        <v>Name</v>
      </c>
      <c r="D3493" s="19" t="str">
        <f>IF(ISBLANK(A3493), "Email",IF(ISNA(VLOOKUP(A3493,'Master List'!A:C,3,FALSE)), "Not Found", VLOOKUP(A3493,'Master List'!A:C,3,FALSE)))</f>
        <v>Email</v>
      </c>
      <c r="F3493" s="4" t="str">
        <f>IF(OR(A3493="",E3493="","",A3493="?",E3493="?"),"duplicate?",IF(COUNTIFS($A:A,A3493,E:E,E3493)&gt;1,"yes","no"))</f>
        <v>duplicate?</v>
      </c>
      <c r="K3493" s="97" t="str">
        <f ca="1">IF(J3493="","Date",IF(J3493&lt;&gt;"",IF(K3493="Date",NOW(),K3493),""))</f>
        <v>Date</v>
      </c>
    </row>
    <row r="3494" spans="2:11">
      <c r="B3494" s="97" t="str">
        <f ca="1">IF(A3494="","Date",IF(A3494&lt;&gt;"",IF(B3494="Date",NOW(),B3494),""))</f>
        <v>Date</v>
      </c>
      <c r="C3494" s="19" t="str">
        <f>IF(ISBLANK(A3494),"Name",IF(ISNA(VLOOKUP(A3494,'Master List'!A:C,2,FALSE)), "Not Found", VLOOKUP(A3494,'Master List'!A:C,2,FALSE)))</f>
        <v>Name</v>
      </c>
      <c r="D3494" s="19" t="str">
        <f>IF(ISBLANK(A3494), "Email",IF(ISNA(VLOOKUP(A3494,'Master List'!A:C,3,FALSE)), "Not Found", VLOOKUP(A3494,'Master List'!A:C,3,FALSE)))</f>
        <v>Email</v>
      </c>
      <c r="F3494" s="4" t="str">
        <f>IF(OR(A3494="",E3494="","",A3494="?",E3494="?"),"duplicate?",IF(COUNTIFS($A:A,A3494,E:E,E3494)&gt;1,"yes","no"))</f>
        <v>duplicate?</v>
      </c>
      <c r="K3494" s="97" t="str">
        <f ca="1">IF(J3494="","Date",IF(J3494&lt;&gt;"",IF(K3494="Date",NOW(),K3494),""))</f>
        <v>Date</v>
      </c>
    </row>
    <row r="3495" spans="2:11">
      <c r="B3495" s="97" t="str">
        <f ca="1">IF(A3495="","Date",IF(A3495&lt;&gt;"",IF(B3495="Date",NOW(),B3495),""))</f>
        <v>Date</v>
      </c>
      <c r="C3495" s="19" t="str">
        <f>IF(ISBLANK(A3495),"Name",IF(ISNA(VLOOKUP(A3495,'Master List'!A:C,2,FALSE)), "Not Found", VLOOKUP(A3495,'Master List'!A:C,2,FALSE)))</f>
        <v>Name</v>
      </c>
      <c r="D3495" s="19" t="str">
        <f>IF(ISBLANK(A3495), "Email",IF(ISNA(VLOOKUP(A3495,'Master List'!A:C,3,FALSE)), "Not Found", VLOOKUP(A3495,'Master List'!A:C,3,FALSE)))</f>
        <v>Email</v>
      </c>
      <c r="F3495" s="4" t="str">
        <f>IF(OR(A3495="",E3495="","",A3495="?",E3495="?"),"duplicate?",IF(COUNTIFS($A:A,A3495,E:E,E3495)&gt;1,"yes","no"))</f>
        <v>duplicate?</v>
      </c>
      <c r="K3495" s="97" t="str">
        <f ca="1">IF(J3495="","Date",IF(J3495&lt;&gt;"",IF(K3495="Date",NOW(),K3495),""))</f>
        <v>Date</v>
      </c>
    </row>
    <row r="3496" spans="2:11">
      <c r="B3496" s="97" t="str">
        <f ca="1">IF(A3496="","Date",IF(A3496&lt;&gt;"",IF(B3496="Date",NOW(),B3496),""))</f>
        <v>Date</v>
      </c>
      <c r="C3496" s="19" t="str">
        <f>IF(ISBLANK(A3496),"Name",IF(ISNA(VLOOKUP(A3496,'Master List'!A:C,2,FALSE)), "Not Found", VLOOKUP(A3496,'Master List'!A:C,2,FALSE)))</f>
        <v>Name</v>
      </c>
      <c r="D3496" s="19" t="str">
        <f>IF(ISBLANK(A3496), "Email",IF(ISNA(VLOOKUP(A3496,'Master List'!A:C,3,FALSE)), "Not Found", VLOOKUP(A3496,'Master List'!A:C,3,FALSE)))</f>
        <v>Email</v>
      </c>
      <c r="F3496" s="4" t="str">
        <f>IF(OR(A3496="",E3496="","",A3496="?",E3496="?"),"duplicate?",IF(COUNTIFS($A:A,A3496,E:E,E3496)&gt;1,"yes","no"))</f>
        <v>duplicate?</v>
      </c>
      <c r="K3496" s="97" t="str">
        <f ca="1">IF(J3496="","Date",IF(J3496&lt;&gt;"",IF(K3496="Date",NOW(),K3496),""))</f>
        <v>Date</v>
      </c>
    </row>
    <row r="3497" spans="2:11">
      <c r="B3497" s="97" t="str">
        <f ca="1">IF(A3497="","Date",IF(A3497&lt;&gt;"",IF(B3497="Date",NOW(),B3497),""))</f>
        <v>Date</v>
      </c>
      <c r="C3497" s="19" t="str">
        <f>IF(ISBLANK(A3497),"Name",IF(ISNA(VLOOKUP(A3497,'Master List'!A:C,2,FALSE)), "Not Found", VLOOKUP(A3497,'Master List'!A:C,2,FALSE)))</f>
        <v>Name</v>
      </c>
      <c r="D3497" s="19" t="str">
        <f>IF(ISBLANK(A3497), "Email",IF(ISNA(VLOOKUP(A3497,'Master List'!A:C,3,FALSE)), "Not Found", VLOOKUP(A3497,'Master List'!A:C,3,FALSE)))</f>
        <v>Email</v>
      </c>
      <c r="F3497" s="4" t="str">
        <f>IF(OR(A3497="",E3497="","",A3497="?",E3497="?"),"duplicate?",IF(COUNTIFS($A:A,A3497,E:E,E3497)&gt;1,"yes","no"))</f>
        <v>duplicate?</v>
      </c>
      <c r="K3497" s="97" t="str">
        <f ca="1">IF(J3497="","Date",IF(J3497&lt;&gt;"",IF(K3497="Date",NOW(),K3497),""))</f>
        <v>Date</v>
      </c>
    </row>
    <row r="3498" spans="2:11">
      <c r="B3498" s="97" t="str">
        <f ca="1">IF(A3498="","Date",IF(A3498&lt;&gt;"",IF(B3498="Date",NOW(),B3498),""))</f>
        <v>Date</v>
      </c>
      <c r="C3498" s="19" t="str">
        <f>IF(ISBLANK(A3498),"Name",IF(ISNA(VLOOKUP(A3498,'Master List'!A:C,2,FALSE)), "Not Found", VLOOKUP(A3498,'Master List'!A:C,2,FALSE)))</f>
        <v>Name</v>
      </c>
      <c r="D3498" s="19" t="str">
        <f>IF(ISBLANK(A3498), "Email",IF(ISNA(VLOOKUP(A3498,'Master List'!A:C,3,FALSE)), "Not Found", VLOOKUP(A3498,'Master List'!A:C,3,FALSE)))</f>
        <v>Email</v>
      </c>
      <c r="F3498" s="4" t="str">
        <f>IF(OR(A3498="",E3498="","",A3498="?",E3498="?"),"duplicate?",IF(COUNTIFS($A:A,A3498,E:E,E3498)&gt;1,"yes","no"))</f>
        <v>duplicate?</v>
      </c>
      <c r="K3498" s="97" t="str">
        <f ca="1">IF(J3498="","Date",IF(J3498&lt;&gt;"",IF(K3498="Date",NOW(),K3498),""))</f>
        <v>Date</v>
      </c>
    </row>
    <row r="3499" spans="2:11">
      <c r="B3499" s="97" t="str">
        <f ca="1">IF(A3499="","Date",IF(A3499&lt;&gt;"",IF(B3499="Date",NOW(),B3499),""))</f>
        <v>Date</v>
      </c>
      <c r="C3499" s="19" t="str">
        <f>IF(ISBLANK(A3499),"Name",IF(ISNA(VLOOKUP(A3499,'Master List'!A:C,2,FALSE)), "Not Found", VLOOKUP(A3499,'Master List'!A:C,2,FALSE)))</f>
        <v>Name</v>
      </c>
      <c r="D3499" s="19" t="str">
        <f>IF(ISBLANK(A3499), "Email",IF(ISNA(VLOOKUP(A3499,'Master List'!A:C,3,FALSE)), "Not Found", VLOOKUP(A3499,'Master List'!A:C,3,FALSE)))</f>
        <v>Email</v>
      </c>
      <c r="F3499" s="4" t="str">
        <f>IF(OR(A3499="",E3499="","",A3499="?",E3499="?"),"duplicate?",IF(COUNTIFS($A:A,A3499,E:E,E3499)&gt;1,"yes","no"))</f>
        <v>duplicate?</v>
      </c>
      <c r="K3499" s="97" t="str">
        <f ca="1">IF(J3499="","Date",IF(J3499&lt;&gt;"",IF(K3499="Date",NOW(),K3499),""))</f>
        <v>Date</v>
      </c>
    </row>
    <row r="3500" spans="2:11">
      <c r="B3500" s="97" t="str">
        <f ca="1">IF(A3500="","Date",IF(A3500&lt;&gt;"",IF(B3500="Date",NOW(),B3500),""))</f>
        <v>Date</v>
      </c>
      <c r="C3500" s="19" t="str">
        <f>IF(ISBLANK(A3500),"Name",IF(ISNA(VLOOKUP(A3500,'Master List'!A:C,2,FALSE)), "Not Found", VLOOKUP(A3500,'Master List'!A:C,2,FALSE)))</f>
        <v>Name</v>
      </c>
      <c r="D3500" s="19" t="str">
        <f>IF(ISBLANK(A3500), "Email",IF(ISNA(VLOOKUP(A3500,'Master List'!A:C,3,FALSE)), "Not Found", VLOOKUP(A3500,'Master List'!A:C,3,FALSE)))</f>
        <v>Email</v>
      </c>
      <c r="F3500" s="4" t="str">
        <f>IF(OR(A3500="",E3500="","",A3500="?",E3500="?"),"duplicate?",IF(COUNTIFS($A:A,A3500,E:E,E3500)&gt;1,"yes","no"))</f>
        <v>duplicate?</v>
      </c>
      <c r="K3500" s="97" t="str">
        <f ca="1">IF(J3500="","Date",IF(J3500&lt;&gt;"",IF(K3500="Date",NOW(),K3500),""))</f>
        <v>Date</v>
      </c>
    </row>
    <row r="3501" spans="2:11">
      <c r="B3501" s="97" t="str">
        <f ca="1">IF(A3501="","Date",IF(A3501&lt;&gt;"",IF(B3501="Date",NOW(),B3501),""))</f>
        <v>Date</v>
      </c>
      <c r="C3501" s="19" t="str">
        <f>IF(ISBLANK(A3501),"Name",IF(ISNA(VLOOKUP(A3501,'Master List'!A:C,2,FALSE)), "Not Found", VLOOKUP(A3501,'Master List'!A:C,2,FALSE)))</f>
        <v>Name</v>
      </c>
      <c r="D3501" s="19" t="str">
        <f>IF(ISBLANK(A3501), "Email",IF(ISNA(VLOOKUP(A3501,'Master List'!A:C,3,FALSE)), "Not Found", VLOOKUP(A3501,'Master List'!A:C,3,FALSE)))</f>
        <v>Email</v>
      </c>
      <c r="F3501" s="4" t="str">
        <f>IF(OR(A3501="",E3501="","",A3501="?",E3501="?"),"duplicate?",IF(COUNTIFS($A:A,A3501,E:E,E3501)&gt;1,"yes","no"))</f>
        <v>duplicate?</v>
      </c>
      <c r="K3501" s="97" t="str">
        <f ca="1">IF(J3501="","Date",IF(J3501&lt;&gt;"",IF(K3501="Date",NOW(),K3501),""))</f>
        <v>Date</v>
      </c>
    </row>
    <row r="3502" spans="2:11">
      <c r="B3502" s="97" t="str">
        <f ca="1">IF(A3502="","Date",IF(A3502&lt;&gt;"",IF(B3502="Date",NOW(),B3502),""))</f>
        <v>Date</v>
      </c>
      <c r="C3502" s="19" t="str">
        <f>IF(ISBLANK(A3502),"Name",IF(ISNA(VLOOKUP(A3502,'Master List'!A:C,2,FALSE)), "Not Found", VLOOKUP(A3502,'Master List'!A:C,2,FALSE)))</f>
        <v>Name</v>
      </c>
      <c r="D3502" s="19" t="str">
        <f>IF(ISBLANK(A3502), "Email",IF(ISNA(VLOOKUP(A3502,'Master List'!A:C,3,FALSE)), "Not Found", VLOOKUP(A3502,'Master List'!A:C,3,FALSE)))</f>
        <v>Email</v>
      </c>
      <c r="F3502" s="4" t="str">
        <f>IF(OR(A3502="",E3502="","",A3502="?",E3502="?"),"duplicate?",IF(COUNTIFS($A:A,A3502,E:E,E3502)&gt;1,"yes","no"))</f>
        <v>duplicate?</v>
      </c>
      <c r="K3502" s="97" t="str">
        <f ca="1">IF(J3502="","Date",IF(J3502&lt;&gt;"",IF(K3502="Date",NOW(),K3502),""))</f>
        <v>Date</v>
      </c>
    </row>
    <row r="3503" spans="2:11">
      <c r="B3503" s="97" t="str">
        <f ca="1">IF(A3503="","Date",IF(A3503&lt;&gt;"",IF(B3503="Date",NOW(),B3503),""))</f>
        <v>Date</v>
      </c>
      <c r="C3503" s="19" t="str">
        <f>IF(ISBLANK(A3503),"Name",IF(ISNA(VLOOKUP(A3503,'Master List'!A:C,2,FALSE)), "Not Found", VLOOKUP(A3503,'Master List'!A:C,2,FALSE)))</f>
        <v>Name</v>
      </c>
      <c r="D3503" s="19" t="str">
        <f>IF(ISBLANK(A3503), "Email",IF(ISNA(VLOOKUP(A3503,'Master List'!A:C,3,FALSE)), "Not Found", VLOOKUP(A3503,'Master List'!A:C,3,FALSE)))</f>
        <v>Email</v>
      </c>
      <c r="F3503" s="4" t="str">
        <f>IF(OR(A3503="",E3503="","",A3503="?",E3503="?"),"duplicate?",IF(COUNTIFS($A:A,A3503,E:E,E3503)&gt;1,"yes","no"))</f>
        <v>duplicate?</v>
      </c>
      <c r="K3503" s="97" t="str">
        <f ca="1">IF(J3503="","Date",IF(J3503&lt;&gt;"",IF(K3503="Date",NOW(),K3503),""))</f>
        <v>Date</v>
      </c>
    </row>
    <row r="3504" spans="2:11">
      <c r="B3504" s="97" t="str">
        <f ca="1">IF(A3504="","Date",IF(A3504&lt;&gt;"",IF(B3504="Date",NOW(),B3504),""))</f>
        <v>Date</v>
      </c>
      <c r="C3504" s="19" t="str">
        <f>IF(ISBLANK(A3504),"Name",IF(ISNA(VLOOKUP(A3504,'Master List'!A:C,2,FALSE)), "Not Found", VLOOKUP(A3504,'Master List'!A:C,2,FALSE)))</f>
        <v>Name</v>
      </c>
      <c r="D3504" s="19" t="str">
        <f>IF(ISBLANK(A3504), "Email",IF(ISNA(VLOOKUP(A3504,'Master List'!A:C,3,FALSE)), "Not Found", VLOOKUP(A3504,'Master List'!A:C,3,FALSE)))</f>
        <v>Email</v>
      </c>
      <c r="F3504" s="4" t="str">
        <f>IF(OR(A3504="",E3504="","",A3504="?",E3504="?"),"duplicate?",IF(COUNTIFS($A:A,A3504,E:E,E3504)&gt;1,"yes","no"))</f>
        <v>duplicate?</v>
      </c>
      <c r="K3504" s="97" t="str">
        <f ca="1">IF(J3504="","Date",IF(J3504&lt;&gt;"",IF(K3504="Date",NOW(),K3504),""))</f>
        <v>Date</v>
      </c>
    </row>
    <row r="3505" spans="2:11">
      <c r="B3505" s="97" t="str">
        <f ca="1">IF(A3505="","Date",IF(A3505&lt;&gt;"",IF(B3505="Date",NOW(),B3505),""))</f>
        <v>Date</v>
      </c>
      <c r="C3505" s="19" t="str">
        <f>IF(ISBLANK(A3505),"Name",IF(ISNA(VLOOKUP(A3505,'Master List'!A:C,2,FALSE)), "Not Found", VLOOKUP(A3505,'Master List'!A:C,2,FALSE)))</f>
        <v>Name</v>
      </c>
      <c r="D3505" s="19" t="str">
        <f>IF(ISBLANK(A3505), "Email",IF(ISNA(VLOOKUP(A3505,'Master List'!A:C,3,FALSE)), "Not Found", VLOOKUP(A3505,'Master List'!A:C,3,FALSE)))</f>
        <v>Email</v>
      </c>
      <c r="F3505" s="4" t="str">
        <f>IF(OR(A3505="",E3505="","",A3505="?",E3505="?"),"duplicate?",IF(COUNTIFS($A:A,A3505,E:E,E3505)&gt;1,"yes","no"))</f>
        <v>duplicate?</v>
      </c>
      <c r="K3505" s="97" t="str">
        <f ca="1">IF(J3505="","Date",IF(J3505&lt;&gt;"",IF(K3505="Date",NOW(),K3505),""))</f>
        <v>Date</v>
      </c>
    </row>
    <row r="3506" spans="2:11">
      <c r="B3506" s="97" t="str">
        <f ca="1">IF(A3506="","Date",IF(A3506&lt;&gt;"",IF(B3506="Date",NOW(),B3506),""))</f>
        <v>Date</v>
      </c>
      <c r="C3506" s="19" t="str">
        <f>IF(ISBLANK(A3506),"Name",IF(ISNA(VLOOKUP(A3506,'Master List'!A:C,2,FALSE)), "Not Found", VLOOKUP(A3506,'Master List'!A:C,2,FALSE)))</f>
        <v>Name</v>
      </c>
      <c r="D3506" s="19" t="str">
        <f>IF(ISBLANK(A3506), "Email",IF(ISNA(VLOOKUP(A3506,'Master List'!A:C,3,FALSE)), "Not Found", VLOOKUP(A3506,'Master List'!A:C,3,FALSE)))</f>
        <v>Email</v>
      </c>
      <c r="F3506" s="4" t="str">
        <f>IF(OR(A3506="",E3506="","",A3506="?",E3506="?"),"duplicate?",IF(COUNTIFS($A:A,A3506,E:E,E3506)&gt;1,"yes","no"))</f>
        <v>duplicate?</v>
      </c>
      <c r="K3506" s="97" t="str">
        <f ca="1">IF(J3506="","Date",IF(J3506&lt;&gt;"",IF(K3506="Date",NOW(),K3506),""))</f>
        <v>Date</v>
      </c>
    </row>
    <row r="3507" spans="2:11">
      <c r="B3507" s="97" t="str">
        <f ca="1">IF(A3507="","Date",IF(A3507&lt;&gt;"",IF(B3507="Date",NOW(),B3507),""))</f>
        <v>Date</v>
      </c>
      <c r="C3507" s="19" t="str">
        <f>IF(ISBLANK(A3507),"Name",IF(ISNA(VLOOKUP(A3507,'Master List'!A:C,2,FALSE)), "Not Found", VLOOKUP(A3507,'Master List'!A:C,2,FALSE)))</f>
        <v>Name</v>
      </c>
      <c r="D3507" s="19" t="str">
        <f>IF(ISBLANK(A3507), "Email",IF(ISNA(VLOOKUP(A3507,'Master List'!A:C,3,FALSE)), "Not Found", VLOOKUP(A3507,'Master List'!A:C,3,FALSE)))</f>
        <v>Email</v>
      </c>
      <c r="F3507" s="4" t="str">
        <f>IF(OR(A3507="",E3507="","",A3507="?",E3507="?"),"duplicate?",IF(COUNTIFS($A:A,A3507,E:E,E3507)&gt;1,"yes","no"))</f>
        <v>duplicate?</v>
      </c>
      <c r="K3507" s="97" t="str">
        <f ca="1">IF(J3507="","Date",IF(J3507&lt;&gt;"",IF(K3507="Date",NOW(),K3507),""))</f>
        <v>Date</v>
      </c>
    </row>
    <row r="3508" spans="2:11">
      <c r="B3508" s="97" t="str">
        <f ca="1">IF(A3508="","Date",IF(A3508&lt;&gt;"",IF(B3508="Date",NOW(),B3508),""))</f>
        <v>Date</v>
      </c>
      <c r="C3508" s="19" t="str">
        <f>IF(ISBLANK(A3508),"Name",IF(ISNA(VLOOKUP(A3508,'Master List'!A:C,2,FALSE)), "Not Found", VLOOKUP(A3508,'Master List'!A:C,2,FALSE)))</f>
        <v>Name</v>
      </c>
      <c r="D3508" s="19" t="str">
        <f>IF(ISBLANK(A3508), "Email",IF(ISNA(VLOOKUP(A3508,'Master List'!A:C,3,FALSE)), "Not Found", VLOOKUP(A3508,'Master List'!A:C,3,FALSE)))</f>
        <v>Email</v>
      </c>
      <c r="F3508" s="4" t="str">
        <f>IF(OR(A3508="",E3508="","",A3508="?",E3508="?"),"duplicate?",IF(COUNTIFS($A:A,A3508,E:E,E3508)&gt;1,"yes","no"))</f>
        <v>duplicate?</v>
      </c>
      <c r="K3508" s="97" t="str">
        <f ca="1">IF(J3508="","Date",IF(J3508&lt;&gt;"",IF(K3508="Date",NOW(),K3508),""))</f>
        <v>Date</v>
      </c>
    </row>
    <row r="3509" spans="2:11">
      <c r="B3509" s="97" t="str">
        <f ca="1">IF(A3509="","Date",IF(A3509&lt;&gt;"",IF(B3509="Date",NOW(),B3509),""))</f>
        <v>Date</v>
      </c>
      <c r="C3509" s="19" t="str">
        <f>IF(ISBLANK(A3509),"Name",IF(ISNA(VLOOKUP(A3509,'Master List'!A:C,2,FALSE)), "Not Found", VLOOKUP(A3509,'Master List'!A:C,2,FALSE)))</f>
        <v>Name</v>
      </c>
      <c r="D3509" s="19" t="str">
        <f>IF(ISBLANK(A3509), "Email",IF(ISNA(VLOOKUP(A3509,'Master List'!A:C,3,FALSE)), "Not Found", VLOOKUP(A3509,'Master List'!A:C,3,FALSE)))</f>
        <v>Email</v>
      </c>
      <c r="F3509" s="4" t="str">
        <f>IF(OR(A3509="",E3509="","",A3509="?",E3509="?"),"duplicate?",IF(COUNTIFS($A:A,A3509,E:E,E3509)&gt;1,"yes","no"))</f>
        <v>duplicate?</v>
      </c>
      <c r="K3509" s="97" t="str">
        <f ca="1">IF(J3509="","Date",IF(J3509&lt;&gt;"",IF(K3509="Date",NOW(),K3509),""))</f>
        <v>Date</v>
      </c>
    </row>
    <row r="3510" spans="2:11">
      <c r="B3510" s="97" t="str">
        <f ca="1">IF(A3510="","Date",IF(A3510&lt;&gt;"",IF(B3510="Date",NOW(),B3510),""))</f>
        <v>Date</v>
      </c>
      <c r="C3510" s="19" t="str">
        <f>IF(ISBLANK(A3510),"Name",IF(ISNA(VLOOKUP(A3510,'Master List'!A:C,2,FALSE)), "Not Found", VLOOKUP(A3510,'Master List'!A:C,2,FALSE)))</f>
        <v>Name</v>
      </c>
      <c r="D3510" s="19" t="str">
        <f>IF(ISBLANK(A3510), "Email",IF(ISNA(VLOOKUP(A3510,'Master List'!A:C,3,FALSE)), "Not Found", VLOOKUP(A3510,'Master List'!A:C,3,FALSE)))</f>
        <v>Email</v>
      </c>
      <c r="F3510" s="4" t="str">
        <f>IF(OR(A3510="",E3510="","",A3510="?",E3510="?"),"duplicate?",IF(COUNTIFS($A:A,A3510,E:E,E3510)&gt;1,"yes","no"))</f>
        <v>duplicate?</v>
      </c>
      <c r="K3510" s="97" t="str">
        <f ca="1">IF(J3510="","Date",IF(J3510&lt;&gt;"",IF(K3510="Date",NOW(),K3510),""))</f>
        <v>Date</v>
      </c>
    </row>
    <row r="3511" spans="2:11">
      <c r="B3511" s="97" t="str">
        <f ca="1">IF(A3511="","Date",IF(A3511&lt;&gt;"",IF(B3511="Date",NOW(),B3511),""))</f>
        <v>Date</v>
      </c>
      <c r="C3511" s="19" t="str">
        <f>IF(ISBLANK(A3511),"Name",IF(ISNA(VLOOKUP(A3511,'Master List'!A:C,2,FALSE)), "Not Found", VLOOKUP(A3511,'Master List'!A:C,2,FALSE)))</f>
        <v>Name</v>
      </c>
      <c r="D3511" s="19" t="str">
        <f>IF(ISBLANK(A3511), "Email",IF(ISNA(VLOOKUP(A3511,'Master List'!A:C,3,FALSE)), "Not Found", VLOOKUP(A3511,'Master List'!A:C,3,FALSE)))</f>
        <v>Email</v>
      </c>
      <c r="F3511" s="4" t="str">
        <f>IF(OR(A3511="",E3511="","",A3511="?",E3511="?"),"duplicate?",IF(COUNTIFS($A:A,A3511,E:E,E3511)&gt;1,"yes","no"))</f>
        <v>duplicate?</v>
      </c>
      <c r="K3511" s="97" t="str">
        <f ca="1">IF(J3511="","Date",IF(J3511&lt;&gt;"",IF(K3511="Date",NOW(),K3511),""))</f>
        <v>Date</v>
      </c>
    </row>
    <row r="3512" spans="2:11">
      <c r="B3512" s="97" t="str">
        <f ca="1">IF(A3512="","Date",IF(A3512&lt;&gt;"",IF(B3512="Date",NOW(),B3512),""))</f>
        <v>Date</v>
      </c>
      <c r="C3512" s="19" t="str">
        <f>IF(ISBLANK(A3512),"Name",IF(ISNA(VLOOKUP(A3512,'Master List'!A:C,2,FALSE)), "Not Found", VLOOKUP(A3512,'Master List'!A:C,2,FALSE)))</f>
        <v>Name</v>
      </c>
      <c r="D3512" s="19" t="str">
        <f>IF(ISBLANK(A3512), "Email",IF(ISNA(VLOOKUP(A3512,'Master List'!A:C,3,FALSE)), "Not Found", VLOOKUP(A3512,'Master List'!A:C,3,FALSE)))</f>
        <v>Email</v>
      </c>
      <c r="F3512" s="4" t="str">
        <f>IF(OR(A3512="",E3512="","",A3512="?",E3512="?"),"duplicate?",IF(COUNTIFS($A:A,A3512,E:E,E3512)&gt;1,"yes","no"))</f>
        <v>duplicate?</v>
      </c>
      <c r="K3512" s="97" t="str">
        <f ca="1">IF(J3512="","Date",IF(J3512&lt;&gt;"",IF(K3512="Date",NOW(),K3512),""))</f>
        <v>Date</v>
      </c>
    </row>
    <row r="3513" spans="2:11">
      <c r="B3513" s="97" t="str">
        <f ca="1">IF(A3513="","Date",IF(A3513&lt;&gt;"",IF(B3513="Date",NOW(),B3513),""))</f>
        <v>Date</v>
      </c>
      <c r="C3513" s="19" t="str">
        <f>IF(ISBLANK(A3513),"Name",IF(ISNA(VLOOKUP(A3513,'Master List'!A:C,2,FALSE)), "Not Found", VLOOKUP(A3513,'Master List'!A:C,2,FALSE)))</f>
        <v>Name</v>
      </c>
      <c r="D3513" s="19" t="str">
        <f>IF(ISBLANK(A3513), "Email",IF(ISNA(VLOOKUP(A3513,'Master List'!A:C,3,FALSE)), "Not Found", VLOOKUP(A3513,'Master List'!A:C,3,FALSE)))</f>
        <v>Email</v>
      </c>
      <c r="F3513" s="4" t="str">
        <f>IF(OR(A3513="",E3513="","",A3513="?",E3513="?"),"duplicate?",IF(COUNTIFS($A:A,A3513,E:E,E3513)&gt;1,"yes","no"))</f>
        <v>duplicate?</v>
      </c>
      <c r="K3513" s="97" t="str">
        <f ca="1">IF(J3513="","Date",IF(J3513&lt;&gt;"",IF(K3513="Date",NOW(),K3513),""))</f>
        <v>Date</v>
      </c>
    </row>
    <row r="3514" spans="2:11">
      <c r="B3514" s="97" t="str">
        <f ca="1">IF(A3514="","Date",IF(A3514&lt;&gt;"",IF(B3514="Date",NOW(),B3514),""))</f>
        <v>Date</v>
      </c>
      <c r="C3514" s="19" t="str">
        <f>IF(ISBLANK(A3514),"Name",IF(ISNA(VLOOKUP(A3514,'Master List'!A:C,2,FALSE)), "Not Found", VLOOKUP(A3514,'Master List'!A:C,2,FALSE)))</f>
        <v>Name</v>
      </c>
      <c r="D3514" s="19" t="str">
        <f>IF(ISBLANK(A3514), "Email",IF(ISNA(VLOOKUP(A3514,'Master List'!A:C,3,FALSE)), "Not Found", VLOOKUP(A3514,'Master List'!A:C,3,FALSE)))</f>
        <v>Email</v>
      </c>
      <c r="F3514" s="4" t="str">
        <f>IF(OR(A3514="",E3514="","",A3514="?",E3514="?"),"duplicate?",IF(COUNTIFS($A:A,A3514,E:E,E3514)&gt;1,"yes","no"))</f>
        <v>duplicate?</v>
      </c>
      <c r="K3514" s="97" t="str">
        <f ca="1">IF(J3514="","Date",IF(J3514&lt;&gt;"",IF(K3514="Date",NOW(),K3514),""))</f>
        <v>Date</v>
      </c>
    </row>
    <row r="3515" spans="2:11">
      <c r="B3515" s="97" t="str">
        <f ca="1">IF(A3515="","Date",IF(A3515&lt;&gt;"",IF(B3515="Date",NOW(),B3515),""))</f>
        <v>Date</v>
      </c>
      <c r="C3515" s="19" t="str">
        <f>IF(ISBLANK(A3515),"Name",IF(ISNA(VLOOKUP(A3515,'Master List'!A:C,2,FALSE)), "Not Found", VLOOKUP(A3515,'Master List'!A:C,2,FALSE)))</f>
        <v>Name</v>
      </c>
      <c r="D3515" s="19" t="str">
        <f>IF(ISBLANK(A3515), "Email",IF(ISNA(VLOOKUP(A3515,'Master List'!A:C,3,FALSE)), "Not Found", VLOOKUP(A3515,'Master List'!A:C,3,FALSE)))</f>
        <v>Email</v>
      </c>
      <c r="F3515" s="4" t="str">
        <f>IF(OR(A3515="",E3515="","",A3515="?",E3515="?"),"duplicate?",IF(COUNTIFS($A:A,A3515,E:E,E3515)&gt;1,"yes","no"))</f>
        <v>duplicate?</v>
      </c>
      <c r="K3515" s="97" t="str">
        <f ca="1">IF(J3515="","Date",IF(J3515&lt;&gt;"",IF(K3515="Date",NOW(),K3515),""))</f>
        <v>Date</v>
      </c>
    </row>
    <row r="3516" spans="2:11">
      <c r="B3516" s="97" t="str">
        <f ca="1">IF(A3516="","Date",IF(A3516&lt;&gt;"",IF(B3516="Date",NOW(),B3516),""))</f>
        <v>Date</v>
      </c>
      <c r="C3516" s="19" t="str">
        <f>IF(ISBLANK(A3516),"Name",IF(ISNA(VLOOKUP(A3516,'Master List'!A:C,2,FALSE)), "Not Found", VLOOKUP(A3516,'Master List'!A:C,2,FALSE)))</f>
        <v>Name</v>
      </c>
      <c r="D3516" s="19" t="str">
        <f>IF(ISBLANK(A3516), "Email",IF(ISNA(VLOOKUP(A3516,'Master List'!A:C,3,FALSE)), "Not Found", VLOOKUP(A3516,'Master List'!A:C,3,FALSE)))</f>
        <v>Email</v>
      </c>
      <c r="F3516" s="4" t="str">
        <f>IF(OR(A3516="",E3516="","",A3516="?",E3516="?"),"duplicate?",IF(COUNTIFS($A:A,A3516,E:E,E3516)&gt;1,"yes","no"))</f>
        <v>duplicate?</v>
      </c>
      <c r="K3516" s="97" t="str">
        <f ca="1">IF(J3516="","Date",IF(J3516&lt;&gt;"",IF(K3516="Date",NOW(),K3516),""))</f>
        <v>Date</v>
      </c>
    </row>
    <row r="3517" spans="2:11">
      <c r="B3517" s="97" t="str">
        <f ca="1">IF(A3517="","Date",IF(A3517&lt;&gt;"",IF(B3517="Date",NOW(),B3517),""))</f>
        <v>Date</v>
      </c>
      <c r="C3517" s="19" t="str">
        <f>IF(ISBLANK(A3517),"Name",IF(ISNA(VLOOKUP(A3517,'Master List'!A:C,2,FALSE)), "Not Found", VLOOKUP(A3517,'Master List'!A:C,2,FALSE)))</f>
        <v>Name</v>
      </c>
      <c r="D3517" s="19" t="str">
        <f>IF(ISBLANK(A3517), "Email",IF(ISNA(VLOOKUP(A3517,'Master List'!A:C,3,FALSE)), "Not Found", VLOOKUP(A3517,'Master List'!A:C,3,FALSE)))</f>
        <v>Email</v>
      </c>
      <c r="F3517" s="4" t="str">
        <f>IF(OR(A3517="",E3517="","",A3517="?",E3517="?"),"duplicate?",IF(COUNTIFS($A:A,A3517,E:E,E3517)&gt;1,"yes","no"))</f>
        <v>duplicate?</v>
      </c>
      <c r="K3517" s="97" t="str">
        <f ca="1">IF(J3517="","Date",IF(J3517&lt;&gt;"",IF(K3517="Date",NOW(),K3517),""))</f>
        <v>Date</v>
      </c>
    </row>
    <row r="3518" spans="2:11">
      <c r="B3518" s="97" t="str">
        <f ca="1">IF(A3518="","Date",IF(A3518&lt;&gt;"",IF(B3518="Date",NOW(),B3518),""))</f>
        <v>Date</v>
      </c>
      <c r="C3518" s="19" t="str">
        <f>IF(ISBLANK(A3518),"Name",IF(ISNA(VLOOKUP(A3518,'Master List'!A:C,2,FALSE)), "Not Found", VLOOKUP(A3518,'Master List'!A:C,2,FALSE)))</f>
        <v>Name</v>
      </c>
      <c r="D3518" s="19" t="str">
        <f>IF(ISBLANK(A3518), "Email",IF(ISNA(VLOOKUP(A3518,'Master List'!A:C,3,FALSE)), "Not Found", VLOOKUP(A3518,'Master List'!A:C,3,FALSE)))</f>
        <v>Email</v>
      </c>
      <c r="F3518" s="4" t="str">
        <f>IF(OR(A3518="",E3518="","",A3518="?",E3518="?"),"duplicate?",IF(COUNTIFS($A:A,A3518,E:E,E3518)&gt;1,"yes","no"))</f>
        <v>duplicate?</v>
      </c>
      <c r="K3518" s="97" t="str">
        <f ca="1">IF(J3518="","Date",IF(J3518&lt;&gt;"",IF(K3518="Date",NOW(),K3518),""))</f>
        <v>Date</v>
      </c>
    </row>
    <row r="3519" spans="2:11">
      <c r="B3519" s="97" t="str">
        <f ca="1">IF(A3519="","Date",IF(A3519&lt;&gt;"",IF(B3519="Date",NOW(),B3519),""))</f>
        <v>Date</v>
      </c>
      <c r="C3519" s="19" t="str">
        <f>IF(ISBLANK(A3519),"Name",IF(ISNA(VLOOKUP(A3519,'Master List'!A:C,2,FALSE)), "Not Found", VLOOKUP(A3519,'Master List'!A:C,2,FALSE)))</f>
        <v>Name</v>
      </c>
      <c r="D3519" s="19" t="str">
        <f>IF(ISBLANK(A3519), "Email",IF(ISNA(VLOOKUP(A3519,'Master List'!A:C,3,FALSE)), "Not Found", VLOOKUP(A3519,'Master List'!A:C,3,FALSE)))</f>
        <v>Email</v>
      </c>
      <c r="F3519" s="4" t="str">
        <f>IF(OR(A3519="",E3519="","",A3519="?",E3519="?"),"duplicate?",IF(COUNTIFS($A:A,A3519,E:E,E3519)&gt;1,"yes","no"))</f>
        <v>duplicate?</v>
      </c>
      <c r="K3519" s="97" t="str">
        <f ca="1">IF(J3519="","Date",IF(J3519&lt;&gt;"",IF(K3519="Date",NOW(),K3519),""))</f>
        <v>Date</v>
      </c>
    </row>
    <row r="3520" spans="2:11">
      <c r="B3520" s="97" t="str">
        <f ca="1">IF(A3520="","Date",IF(A3520&lt;&gt;"",IF(B3520="Date",NOW(),B3520),""))</f>
        <v>Date</v>
      </c>
      <c r="C3520" s="19" t="str">
        <f>IF(ISBLANK(A3520),"Name",IF(ISNA(VLOOKUP(A3520,'Master List'!A:C,2,FALSE)), "Not Found", VLOOKUP(A3520,'Master List'!A:C,2,FALSE)))</f>
        <v>Name</v>
      </c>
      <c r="D3520" s="19" t="str">
        <f>IF(ISBLANK(A3520), "Email",IF(ISNA(VLOOKUP(A3520,'Master List'!A:C,3,FALSE)), "Not Found", VLOOKUP(A3520,'Master List'!A:C,3,FALSE)))</f>
        <v>Email</v>
      </c>
      <c r="F3520" s="4" t="str">
        <f>IF(OR(A3520="",E3520="","",A3520="?",E3520="?"),"duplicate?",IF(COUNTIFS($A:A,A3520,E:E,E3520)&gt;1,"yes","no"))</f>
        <v>duplicate?</v>
      </c>
      <c r="K3520" s="97" t="str">
        <f ca="1">IF(J3520="","Date",IF(J3520&lt;&gt;"",IF(K3520="Date",NOW(),K3520),""))</f>
        <v>Date</v>
      </c>
    </row>
    <row r="3521" spans="2:11">
      <c r="B3521" s="97" t="str">
        <f ca="1">IF(A3521="","Date",IF(A3521&lt;&gt;"",IF(B3521="Date",NOW(),B3521),""))</f>
        <v>Date</v>
      </c>
      <c r="C3521" s="19" t="str">
        <f>IF(ISBLANK(A3521),"Name",IF(ISNA(VLOOKUP(A3521,'Master List'!A:C,2,FALSE)), "Not Found", VLOOKUP(A3521,'Master List'!A:C,2,FALSE)))</f>
        <v>Name</v>
      </c>
      <c r="D3521" s="19" t="str">
        <f>IF(ISBLANK(A3521), "Email",IF(ISNA(VLOOKUP(A3521,'Master List'!A:C,3,FALSE)), "Not Found", VLOOKUP(A3521,'Master List'!A:C,3,FALSE)))</f>
        <v>Email</v>
      </c>
      <c r="F3521" s="4" t="str">
        <f>IF(OR(A3521="",E3521="","",A3521="?",E3521="?"),"duplicate?",IF(COUNTIFS($A:A,A3521,E:E,E3521)&gt;1,"yes","no"))</f>
        <v>duplicate?</v>
      </c>
      <c r="K3521" s="97" t="str">
        <f ca="1">IF(J3521="","Date",IF(J3521&lt;&gt;"",IF(K3521="Date",NOW(),K3521),""))</f>
        <v>Date</v>
      </c>
    </row>
    <row r="3522" spans="2:11">
      <c r="B3522" s="97" t="str">
        <f ca="1">IF(A3522="","Date",IF(A3522&lt;&gt;"",IF(B3522="Date",NOW(),B3522),""))</f>
        <v>Date</v>
      </c>
      <c r="C3522" s="19" t="str">
        <f>IF(ISBLANK(A3522),"Name",IF(ISNA(VLOOKUP(A3522,'Master List'!A:C,2,FALSE)), "Not Found", VLOOKUP(A3522,'Master List'!A:C,2,FALSE)))</f>
        <v>Name</v>
      </c>
      <c r="D3522" s="19" t="str">
        <f>IF(ISBLANK(A3522), "Email",IF(ISNA(VLOOKUP(A3522,'Master List'!A:C,3,FALSE)), "Not Found", VLOOKUP(A3522,'Master List'!A:C,3,FALSE)))</f>
        <v>Email</v>
      </c>
      <c r="F3522" s="4" t="str">
        <f>IF(OR(A3522="",E3522="","",A3522="?",E3522="?"),"duplicate?",IF(COUNTIFS($A:A,A3522,E:E,E3522)&gt;1,"yes","no"))</f>
        <v>duplicate?</v>
      </c>
      <c r="K3522" s="97" t="str">
        <f ca="1">IF(J3522="","Date",IF(J3522&lt;&gt;"",IF(K3522="Date",NOW(),K3522),""))</f>
        <v>Date</v>
      </c>
    </row>
    <row r="3523" spans="2:11">
      <c r="B3523" s="97" t="str">
        <f ca="1">IF(A3523="","Date",IF(A3523&lt;&gt;"",IF(B3523="Date",NOW(),B3523),""))</f>
        <v>Date</v>
      </c>
      <c r="C3523" s="19" t="str">
        <f>IF(ISBLANK(A3523),"Name",IF(ISNA(VLOOKUP(A3523,'Master List'!A:C,2,FALSE)), "Not Found", VLOOKUP(A3523,'Master List'!A:C,2,FALSE)))</f>
        <v>Name</v>
      </c>
      <c r="D3523" s="19" t="str">
        <f>IF(ISBLANK(A3523), "Email",IF(ISNA(VLOOKUP(A3523,'Master List'!A:C,3,FALSE)), "Not Found", VLOOKUP(A3523,'Master List'!A:C,3,FALSE)))</f>
        <v>Email</v>
      </c>
      <c r="F3523" s="4" t="str">
        <f>IF(OR(A3523="",E3523="","",A3523="?",E3523="?"),"duplicate?",IF(COUNTIFS($A:A,A3523,E:E,E3523)&gt;1,"yes","no"))</f>
        <v>duplicate?</v>
      </c>
      <c r="K3523" s="97" t="str">
        <f ca="1">IF(J3523="","Date",IF(J3523&lt;&gt;"",IF(K3523="Date",NOW(),K3523),""))</f>
        <v>Date</v>
      </c>
    </row>
    <row r="3524" spans="2:11">
      <c r="B3524" s="97" t="str">
        <f ca="1">IF(A3524="","Date",IF(A3524&lt;&gt;"",IF(B3524="Date",NOW(),B3524),""))</f>
        <v>Date</v>
      </c>
      <c r="C3524" s="19" t="str">
        <f>IF(ISBLANK(A3524),"Name",IF(ISNA(VLOOKUP(A3524,'Master List'!A:C,2,FALSE)), "Not Found", VLOOKUP(A3524,'Master List'!A:C,2,FALSE)))</f>
        <v>Name</v>
      </c>
      <c r="D3524" s="19" t="str">
        <f>IF(ISBLANK(A3524), "Email",IF(ISNA(VLOOKUP(A3524,'Master List'!A:C,3,FALSE)), "Not Found", VLOOKUP(A3524,'Master List'!A:C,3,FALSE)))</f>
        <v>Email</v>
      </c>
      <c r="F3524" s="4" t="str">
        <f>IF(OR(A3524="",E3524="","",A3524="?",E3524="?"),"duplicate?",IF(COUNTIFS($A:A,A3524,E:E,E3524)&gt;1,"yes","no"))</f>
        <v>duplicate?</v>
      </c>
      <c r="K3524" s="97" t="str">
        <f ca="1">IF(J3524="","Date",IF(J3524&lt;&gt;"",IF(K3524="Date",NOW(),K3524),""))</f>
        <v>Date</v>
      </c>
    </row>
    <row r="3525" spans="2:11">
      <c r="B3525" s="97" t="str">
        <f ca="1">IF(A3525="","Date",IF(A3525&lt;&gt;"",IF(B3525="Date",NOW(),B3525),""))</f>
        <v>Date</v>
      </c>
      <c r="C3525" s="19" t="str">
        <f>IF(ISBLANK(A3525),"Name",IF(ISNA(VLOOKUP(A3525,'Master List'!A:C,2,FALSE)), "Not Found", VLOOKUP(A3525,'Master List'!A:C,2,FALSE)))</f>
        <v>Name</v>
      </c>
      <c r="D3525" s="19" t="str">
        <f>IF(ISBLANK(A3525), "Email",IF(ISNA(VLOOKUP(A3525,'Master List'!A:C,3,FALSE)), "Not Found", VLOOKUP(A3525,'Master List'!A:C,3,FALSE)))</f>
        <v>Email</v>
      </c>
      <c r="F3525" s="4" t="str">
        <f>IF(OR(A3525="",E3525="","",A3525="?",E3525="?"),"duplicate?",IF(COUNTIFS($A:A,A3525,E:E,E3525)&gt;1,"yes","no"))</f>
        <v>duplicate?</v>
      </c>
      <c r="K3525" s="97" t="str">
        <f ca="1">IF(J3525="","Date",IF(J3525&lt;&gt;"",IF(K3525="Date",NOW(),K3525),""))</f>
        <v>Date</v>
      </c>
    </row>
    <row r="3526" spans="2:11">
      <c r="B3526" s="97" t="str">
        <f ca="1">IF(A3526="","Date",IF(A3526&lt;&gt;"",IF(B3526="Date",NOW(),B3526),""))</f>
        <v>Date</v>
      </c>
      <c r="C3526" s="19" t="str">
        <f>IF(ISBLANK(A3526),"Name",IF(ISNA(VLOOKUP(A3526,'Master List'!A:C,2,FALSE)), "Not Found", VLOOKUP(A3526,'Master List'!A:C,2,FALSE)))</f>
        <v>Name</v>
      </c>
      <c r="D3526" s="19" t="str">
        <f>IF(ISBLANK(A3526), "Email",IF(ISNA(VLOOKUP(A3526,'Master List'!A:C,3,FALSE)), "Not Found", VLOOKUP(A3526,'Master List'!A:C,3,FALSE)))</f>
        <v>Email</v>
      </c>
      <c r="F3526" s="4" t="str">
        <f>IF(OR(A3526="",E3526="","",A3526="?",E3526="?"),"duplicate?",IF(COUNTIFS($A:A,A3526,E:E,E3526)&gt;1,"yes","no"))</f>
        <v>duplicate?</v>
      </c>
      <c r="K3526" s="97" t="str">
        <f ca="1">IF(J3526="","Date",IF(J3526&lt;&gt;"",IF(K3526="Date",NOW(),K3526),""))</f>
        <v>Date</v>
      </c>
    </row>
    <row r="3527" spans="2:11">
      <c r="B3527" s="97" t="str">
        <f ca="1">IF(A3527="","Date",IF(A3527&lt;&gt;"",IF(B3527="Date",NOW(),B3527),""))</f>
        <v>Date</v>
      </c>
      <c r="C3527" s="19" t="str">
        <f>IF(ISBLANK(A3527),"Name",IF(ISNA(VLOOKUP(A3527,'Master List'!A:C,2,FALSE)), "Not Found", VLOOKUP(A3527,'Master List'!A:C,2,FALSE)))</f>
        <v>Name</v>
      </c>
      <c r="D3527" s="19" t="str">
        <f>IF(ISBLANK(A3527), "Email",IF(ISNA(VLOOKUP(A3527,'Master List'!A:C,3,FALSE)), "Not Found", VLOOKUP(A3527,'Master List'!A:C,3,FALSE)))</f>
        <v>Email</v>
      </c>
      <c r="F3527" s="4" t="str">
        <f>IF(OR(A3527="",E3527="","",A3527="?",E3527="?"),"duplicate?",IF(COUNTIFS($A:A,A3527,E:E,E3527)&gt;1,"yes","no"))</f>
        <v>duplicate?</v>
      </c>
      <c r="K3527" s="97" t="str">
        <f ca="1">IF(J3527="","Date",IF(J3527&lt;&gt;"",IF(K3527="Date",NOW(),K3527),""))</f>
        <v>Date</v>
      </c>
    </row>
    <row r="3528" spans="2:11">
      <c r="B3528" s="97" t="str">
        <f ca="1">IF(A3528="","Date",IF(A3528&lt;&gt;"",IF(B3528="Date",NOW(),B3528),""))</f>
        <v>Date</v>
      </c>
      <c r="C3528" s="19" t="str">
        <f>IF(ISBLANK(A3528),"Name",IF(ISNA(VLOOKUP(A3528,'Master List'!A:C,2,FALSE)), "Not Found", VLOOKUP(A3528,'Master List'!A:C,2,FALSE)))</f>
        <v>Name</v>
      </c>
      <c r="D3528" s="19" t="str">
        <f>IF(ISBLANK(A3528), "Email",IF(ISNA(VLOOKUP(A3528,'Master List'!A:C,3,FALSE)), "Not Found", VLOOKUP(A3528,'Master List'!A:C,3,FALSE)))</f>
        <v>Email</v>
      </c>
      <c r="F3528" s="4" t="str">
        <f>IF(OR(A3528="",E3528="","",A3528="?",E3528="?"),"duplicate?",IF(COUNTIFS($A:A,A3528,E:E,E3528)&gt;1,"yes","no"))</f>
        <v>duplicate?</v>
      </c>
      <c r="K3528" s="97" t="str">
        <f ca="1">IF(J3528="","Date",IF(J3528&lt;&gt;"",IF(K3528="Date",NOW(),K3528),""))</f>
        <v>Date</v>
      </c>
    </row>
    <row r="3529" spans="2:11">
      <c r="B3529" s="97" t="str">
        <f ca="1">IF(A3529="","Date",IF(A3529&lt;&gt;"",IF(B3529="Date",NOW(),B3529),""))</f>
        <v>Date</v>
      </c>
      <c r="C3529" s="19" t="str">
        <f>IF(ISBLANK(A3529),"Name",IF(ISNA(VLOOKUP(A3529,'Master List'!A:C,2,FALSE)), "Not Found", VLOOKUP(A3529,'Master List'!A:C,2,FALSE)))</f>
        <v>Name</v>
      </c>
      <c r="D3529" s="19" t="str">
        <f>IF(ISBLANK(A3529), "Email",IF(ISNA(VLOOKUP(A3529,'Master List'!A:C,3,FALSE)), "Not Found", VLOOKUP(A3529,'Master List'!A:C,3,FALSE)))</f>
        <v>Email</v>
      </c>
      <c r="F3529" s="4" t="str">
        <f>IF(OR(A3529="",E3529="","",A3529="?",E3529="?"),"duplicate?",IF(COUNTIFS($A:A,A3529,E:E,E3529)&gt;1,"yes","no"))</f>
        <v>duplicate?</v>
      </c>
      <c r="K3529" s="97" t="str">
        <f ca="1">IF(J3529="","Date",IF(J3529&lt;&gt;"",IF(K3529="Date",NOW(),K3529),""))</f>
        <v>Date</v>
      </c>
    </row>
    <row r="3530" spans="2:11">
      <c r="B3530" s="97" t="str">
        <f ca="1">IF(A3530="","Date",IF(A3530&lt;&gt;"",IF(B3530="Date",NOW(),B3530),""))</f>
        <v>Date</v>
      </c>
      <c r="C3530" s="19" t="str">
        <f>IF(ISBLANK(A3530),"Name",IF(ISNA(VLOOKUP(A3530,'Master List'!A:C,2,FALSE)), "Not Found", VLOOKUP(A3530,'Master List'!A:C,2,FALSE)))</f>
        <v>Name</v>
      </c>
      <c r="D3530" s="19" t="str">
        <f>IF(ISBLANK(A3530), "Email",IF(ISNA(VLOOKUP(A3530,'Master List'!A:C,3,FALSE)), "Not Found", VLOOKUP(A3530,'Master List'!A:C,3,FALSE)))</f>
        <v>Email</v>
      </c>
      <c r="F3530" s="4" t="str">
        <f>IF(OR(A3530="",E3530="","",A3530="?",E3530="?"),"duplicate?",IF(COUNTIFS($A:A,A3530,E:E,E3530)&gt;1,"yes","no"))</f>
        <v>duplicate?</v>
      </c>
      <c r="K3530" s="97" t="str">
        <f ca="1">IF(J3530="","Date",IF(J3530&lt;&gt;"",IF(K3530="Date",NOW(),K3530),""))</f>
        <v>Date</v>
      </c>
    </row>
    <row r="3531" spans="2:11">
      <c r="B3531" s="97" t="str">
        <f ca="1">IF(A3531="","Date",IF(A3531&lt;&gt;"",IF(B3531="Date",NOW(),B3531),""))</f>
        <v>Date</v>
      </c>
      <c r="C3531" s="19" t="str">
        <f>IF(ISBLANK(A3531),"Name",IF(ISNA(VLOOKUP(A3531,'Master List'!A:C,2,FALSE)), "Not Found", VLOOKUP(A3531,'Master List'!A:C,2,FALSE)))</f>
        <v>Name</v>
      </c>
      <c r="D3531" s="19" t="str">
        <f>IF(ISBLANK(A3531), "Email",IF(ISNA(VLOOKUP(A3531,'Master List'!A:C,3,FALSE)), "Not Found", VLOOKUP(A3531,'Master List'!A:C,3,FALSE)))</f>
        <v>Email</v>
      </c>
      <c r="F3531" s="4" t="str">
        <f>IF(OR(A3531="",E3531="","",A3531="?",E3531="?"),"duplicate?",IF(COUNTIFS($A:A,A3531,E:E,E3531)&gt;1,"yes","no"))</f>
        <v>duplicate?</v>
      </c>
      <c r="K3531" s="97" t="str">
        <f ca="1">IF(J3531="","Date",IF(J3531&lt;&gt;"",IF(K3531="Date",NOW(),K3531),""))</f>
        <v>Date</v>
      </c>
    </row>
    <row r="3532" spans="2:11">
      <c r="B3532" s="97" t="str">
        <f ca="1">IF(A3532="","Date",IF(A3532&lt;&gt;"",IF(B3532="Date",NOW(),B3532),""))</f>
        <v>Date</v>
      </c>
      <c r="C3532" s="19" t="str">
        <f>IF(ISBLANK(A3532),"Name",IF(ISNA(VLOOKUP(A3532,'Master List'!A:C,2,FALSE)), "Not Found", VLOOKUP(A3532,'Master List'!A:C,2,FALSE)))</f>
        <v>Name</v>
      </c>
      <c r="D3532" s="19" t="str">
        <f>IF(ISBLANK(A3532), "Email",IF(ISNA(VLOOKUP(A3532,'Master List'!A:C,3,FALSE)), "Not Found", VLOOKUP(A3532,'Master List'!A:C,3,FALSE)))</f>
        <v>Email</v>
      </c>
      <c r="F3532" s="4" t="str">
        <f>IF(OR(A3532="",E3532="","",A3532="?",E3532="?"),"duplicate?",IF(COUNTIFS($A:A,A3532,E:E,E3532)&gt;1,"yes","no"))</f>
        <v>duplicate?</v>
      </c>
      <c r="K3532" s="97" t="str">
        <f ca="1">IF(J3532="","Date",IF(J3532&lt;&gt;"",IF(K3532="Date",NOW(),K3532),""))</f>
        <v>Date</v>
      </c>
    </row>
    <row r="3533" spans="2:11">
      <c r="B3533" s="97" t="str">
        <f ca="1">IF(A3533="","Date",IF(A3533&lt;&gt;"",IF(B3533="Date",NOW(),B3533),""))</f>
        <v>Date</v>
      </c>
      <c r="C3533" s="19" t="str">
        <f>IF(ISBLANK(A3533),"Name",IF(ISNA(VLOOKUP(A3533,'Master List'!A:C,2,FALSE)), "Not Found", VLOOKUP(A3533,'Master List'!A:C,2,FALSE)))</f>
        <v>Name</v>
      </c>
      <c r="D3533" s="19" t="str">
        <f>IF(ISBLANK(A3533), "Email",IF(ISNA(VLOOKUP(A3533,'Master List'!A:C,3,FALSE)), "Not Found", VLOOKUP(A3533,'Master List'!A:C,3,FALSE)))</f>
        <v>Email</v>
      </c>
      <c r="F3533" s="4" t="str">
        <f>IF(OR(A3533="",E3533="","",A3533="?",E3533="?"),"duplicate?",IF(COUNTIFS($A:A,A3533,E:E,E3533)&gt;1,"yes","no"))</f>
        <v>duplicate?</v>
      </c>
      <c r="K3533" s="97" t="str">
        <f ca="1">IF(J3533="","Date",IF(J3533&lt;&gt;"",IF(K3533="Date",NOW(),K3533),""))</f>
        <v>Date</v>
      </c>
    </row>
    <row r="3534" spans="2:11">
      <c r="B3534" s="97" t="str">
        <f ca="1">IF(A3534="","Date",IF(A3534&lt;&gt;"",IF(B3534="Date",NOW(),B3534),""))</f>
        <v>Date</v>
      </c>
      <c r="C3534" s="19" t="str">
        <f>IF(ISBLANK(A3534),"Name",IF(ISNA(VLOOKUP(A3534,'Master List'!A:C,2,FALSE)), "Not Found", VLOOKUP(A3534,'Master List'!A:C,2,FALSE)))</f>
        <v>Name</v>
      </c>
      <c r="D3534" s="19" t="str">
        <f>IF(ISBLANK(A3534), "Email",IF(ISNA(VLOOKUP(A3534,'Master List'!A:C,3,FALSE)), "Not Found", VLOOKUP(A3534,'Master List'!A:C,3,FALSE)))</f>
        <v>Email</v>
      </c>
      <c r="F3534" s="4" t="str">
        <f>IF(OR(A3534="",E3534="","",A3534="?",E3534="?"),"duplicate?",IF(COUNTIFS($A:A,A3534,E:E,E3534)&gt;1,"yes","no"))</f>
        <v>duplicate?</v>
      </c>
      <c r="K3534" s="97" t="str">
        <f ca="1">IF(J3534="","Date",IF(J3534&lt;&gt;"",IF(K3534="Date",NOW(),K3534),""))</f>
        <v>Date</v>
      </c>
    </row>
    <row r="3535" spans="2:11">
      <c r="B3535" s="97" t="str">
        <f ca="1">IF(A3535="","Date",IF(A3535&lt;&gt;"",IF(B3535="Date",NOW(),B3535),""))</f>
        <v>Date</v>
      </c>
      <c r="C3535" s="19" t="str">
        <f>IF(ISBLANK(A3535),"Name",IF(ISNA(VLOOKUP(A3535,'Master List'!A:C,2,FALSE)), "Not Found", VLOOKUP(A3535,'Master List'!A:C,2,FALSE)))</f>
        <v>Name</v>
      </c>
      <c r="D3535" s="19" t="str">
        <f>IF(ISBLANK(A3535), "Email",IF(ISNA(VLOOKUP(A3535,'Master List'!A:C,3,FALSE)), "Not Found", VLOOKUP(A3535,'Master List'!A:C,3,FALSE)))</f>
        <v>Email</v>
      </c>
      <c r="F3535" s="4" t="str">
        <f>IF(OR(A3535="",E3535="","",A3535="?",E3535="?"),"duplicate?",IF(COUNTIFS($A:A,A3535,E:E,E3535)&gt;1,"yes","no"))</f>
        <v>duplicate?</v>
      </c>
      <c r="K3535" s="97" t="str">
        <f ca="1">IF(J3535="","Date",IF(J3535&lt;&gt;"",IF(K3535="Date",NOW(),K3535),""))</f>
        <v>Date</v>
      </c>
    </row>
    <row r="3536" spans="2:11">
      <c r="B3536" s="97" t="str">
        <f ca="1">IF(A3536="","Date",IF(A3536&lt;&gt;"",IF(B3536="Date",NOW(),B3536),""))</f>
        <v>Date</v>
      </c>
      <c r="C3536" s="19" t="str">
        <f>IF(ISBLANK(A3536),"Name",IF(ISNA(VLOOKUP(A3536,'Master List'!A:C,2,FALSE)), "Not Found", VLOOKUP(A3536,'Master List'!A:C,2,FALSE)))</f>
        <v>Name</v>
      </c>
      <c r="D3536" s="19" t="str">
        <f>IF(ISBLANK(A3536), "Email",IF(ISNA(VLOOKUP(A3536,'Master List'!A:C,3,FALSE)), "Not Found", VLOOKUP(A3536,'Master List'!A:C,3,FALSE)))</f>
        <v>Email</v>
      </c>
      <c r="F3536" s="4" t="str">
        <f>IF(OR(A3536="",E3536="","",A3536="?",E3536="?"),"duplicate?",IF(COUNTIFS($A:A,A3536,E:E,E3536)&gt;1,"yes","no"))</f>
        <v>duplicate?</v>
      </c>
      <c r="K3536" s="97" t="str">
        <f ca="1">IF(J3536="","Date",IF(J3536&lt;&gt;"",IF(K3536="Date",NOW(),K3536),""))</f>
        <v>Date</v>
      </c>
    </row>
    <row r="3537" spans="2:11">
      <c r="B3537" s="97" t="str">
        <f ca="1">IF(A3537="","Date",IF(A3537&lt;&gt;"",IF(B3537="Date",NOW(),B3537),""))</f>
        <v>Date</v>
      </c>
      <c r="C3537" s="19" t="str">
        <f>IF(ISBLANK(A3537),"Name",IF(ISNA(VLOOKUP(A3537,'Master List'!A:C,2,FALSE)), "Not Found", VLOOKUP(A3537,'Master List'!A:C,2,FALSE)))</f>
        <v>Name</v>
      </c>
      <c r="D3537" s="19" t="str">
        <f>IF(ISBLANK(A3537), "Email",IF(ISNA(VLOOKUP(A3537,'Master List'!A:C,3,FALSE)), "Not Found", VLOOKUP(A3537,'Master List'!A:C,3,FALSE)))</f>
        <v>Email</v>
      </c>
      <c r="F3537" s="4" t="str">
        <f>IF(OR(A3537="",E3537="","",A3537="?",E3537="?"),"duplicate?",IF(COUNTIFS($A:A,A3537,E:E,E3537)&gt;1,"yes","no"))</f>
        <v>duplicate?</v>
      </c>
      <c r="K3537" s="97" t="str">
        <f ca="1">IF(J3537="","Date",IF(J3537&lt;&gt;"",IF(K3537="Date",NOW(),K3537),""))</f>
        <v>Date</v>
      </c>
    </row>
    <row r="3538" spans="2:11">
      <c r="B3538" s="97" t="str">
        <f ca="1">IF(A3538="","Date",IF(A3538&lt;&gt;"",IF(B3538="Date",NOW(),B3538),""))</f>
        <v>Date</v>
      </c>
      <c r="C3538" s="19" t="str">
        <f>IF(ISBLANK(A3538),"Name",IF(ISNA(VLOOKUP(A3538,'Master List'!A:C,2,FALSE)), "Not Found", VLOOKUP(A3538,'Master List'!A:C,2,FALSE)))</f>
        <v>Name</v>
      </c>
      <c r="D3538" s="19" t="str">
        <f>IF(ISBLANK(A3538), "Email",IF(ISNA(VLOOKUP(A3538,'Master List'!A:C,3,FALSE)), "Not Found", VLOOKUP(A3538,'Master List'!A:C,3,FALSE)))</f>
        <v>Email</v>
      </c>
      <c r="F3538" s="4" t="str">
        <f>IF(OR(A3538="",E3538="","",A3538="?",E3538="?"),"duplicate?",IF(COUNTIFS($A:A,A3538,E:E,E3538)&gt;1,"yes","no"))</f>
        <v>duplicate?</v>
      </c>
      <c r="K3538" s="97" t="str">
        <f ca="1">IF(J3538="","Date",IF(J3538&lt;&gt;"",IF(K3538="Date",NOW(),K3538),""))</f>
        <v>Date</v>
      </c>
    </row>
    <row r="3539" spans="2:11">
      <c r="B3539" s="97" t="str">
        <f ca="1">IF(A3539="","Date",IF(A3539&lt;&gt;"",IF(B3539="Date",NOW(),B3539),""))</f>
        <v>Date</v>
      </c>
      <c r="C3539" s="19" t="str">
        <f>IF(ISBLANK(A3539),"Name",IF(ISNA(VLOOKUP(A3539,'Master List'!A:C,2,FALSE)), "Not Found", VLOOKUP(A3539,'Master List'!A:C,2,FALSE)))</f>
        <v>Name</v>
      </c>
      <c r="D3539" s="19" t="str">
        <f>IF(ISBLANK(A3539), "Email",IF(ISNA(VLOOKUP(A3539,'Master List'!A:C,3,FALSE)), "Not Found", VLOOKUP(A3539,'Master List'!A:C,3,FALSE)))</f>
        <v>Email</v>
      </c>
      <c r="F3539" s="4" t="str">
        <f>IF(OR(A3539="",E3539="","",A3539="?",E3539="?"),"duplicate?",IF(COUNTIFS($A:A,A3539,E:E,E3539)&gt;1,"yes","no"))</f>
        <v>duplicate?</v>
      </c>
      <c r="K3539" s="97" t="str">
        <f ca="1">IF(J3539="","Date",IF(J3539&lt;&gt;"",IF(K3539="Date",NOW(),K3539),""))</f>
        <v>Date</v>
      </c>
    </row>
    <row r="3540" spans="2:11">
      <c r="B3540" s="97" t="str">
        <f ca="1">IF(A3540="","Date",IF(A3540&lt;&gt;"",IF(B3540="Date",NOW(),B3540),""))</f>
        <v>Date</v>
      </c>
      <c r="C3540" s="19" t="str">
        <f>IF(ISBLANK(A3540),"Name",IF(ISNA(VLOOKUP(A3540,'Master List'!A:C,2,FALSE)), "Not Found", VLOOKUP(A3540,'Master List'!A:C,2,FALSE)))</f>
        <v>Name</v>
      </c>
      <c r="D3540" s="19" t="str">
        <f>IF(ISBLANK(A3540), "Email",IF(ISNA(VLOOKUP(A3540,'Master List'!A:C,3,FALSE)), "Not Found", VLOOKUP(A3540,'Master List'!A:C,3,FALSE)))</f>
        <v>Email</v>
      </c>
      <c r="F3540" s="4" t="str">
        <f>IF(OR(A3540="",E3540="","",A3540="?",E3540="?"),"duplicate?",IF(COUNTIFS($A:A,A3540,E:E,E3540)&gt;1,"yes","no"))</f>
        <v>duplicate?</v>
      </c>
      <c r="K3540" s="97" t="str">
        <f ca="1">IF(J3540="","Date",IF(J3540&lt;&gt;"",IF(K3540="Date",NOW(),K3540),""))</f>
        <v>Date</v>
      </c>
    </row>
    <row r="3541" spans="2:11">
      <c r="B3541" s="97" t="str">
        <f ca="1">IF(A3541="","Date",IF(A3541&lt;&gt;"",IF(B3541="Date",NOW(),B3541),""))</f>
        <v>Date</v>
      </c>
      <c r="C3541" s="19" t="str">
        <f>IF(ISBLANK(A3541),"Name",IF(ISNA(VLOOKUP(A3541,'Master List'!A:C,2,FALSE)), "Not Found", VLOOKUP(A3541,'Master List'!A:C,2,FALSE)))</f>
        <v>Name</v>
      </c>
      <c r="D3541" s="19" t="str">
        <f>IF(ISBLANK(A3541), "Email",IF(ISNA(VLOOKUP(A3541,'Master List'!A:C,3,FALSE)), "Not Found", VLOOKUP(A3541,'Master List'!A:C,3,FALSE)))</f>
        <v>Email</v>
      </c>
      <c r="F3541" s="4" t="str">
        <f>IF(OR(A3541="",E3541="","",A3541="?",E3541="?"),"duplicate?",IF(COUNTIFS($A:A,A3541,E:E,E3541)&gt;1,"yes","no"))</f>
        <v>duplicate?</v>
      </c>
      <c r="K3541" s="97" t="str">
        <f ca="1">IF(J3541="","Date",IF(J3541&lt;&gt;"",IF(K3541="Date",NOW(),K3541),""))</f>
        <v>Date</v>
      </c>
    </row>
    <row r="3542" spans="2:11">
      <c r="B3542" s="97" t="str">
        <f ca="1">IF(A3542="","Date",IF(A3542&lt;&gt;"",IF(B3542="Date",NOW(),B3542),""))</f>
        <v>Date</v>
      </c>
      <c r="C3542" s="19" t="str">
        <f>IF(ISBLANK(A3542),"Name",IF(ISNA(VLOOKUP(A3542,'Master List'!A:C,2,FALSE)), "Not Found", VLOOKUP(A3542,'Master List'!A:C,2,FALSE)))</f>
        <v>Name</v>
      </c>
      <c r="D3542" s="19" t="str">
        <f>IF(ISBLANK(A3542), "Email",IF(ISNA(VLOOKUP(A3542,'Master List'!A:C,3,FALSE)), "Not Found", VLOOKUP(A3542,'Master List'!A:C,3,FALSE)))</f>
        <v>Email</v>
      </c>
      <c r="F3542" s="4" t="str">
        <f>IF(OR(A3542="",E3542="","",A3542="?",E3542="?"),"duplicate?",IF(COUNTIFS($A:A,A3542,E:E,E3542)&gt;1,"yes","no"))</f>
        <v>duplicate?</v>
      </c>
      <c r="K3542" s="97" t="str">
        <f ca="1">IF(J3542="","Date",IF(J3542&lt;&gt;"",IF(K3542="Date",NOW(),K3542),""))</f>
        <v>Date</v>
      </c>
    </row>
    <row r="3543" spans="2:11">
      <c r="B3543" s="97" t="str">
        <f ca="1">IF(A3543="","Date",IF(A3543&lt;&gt;"",IF(B3543="Date",NOW(),B3543),""))</f>
        <v>Date</v>
      </c>
      <c r="C3543" s="19" t="str">
        <f>IF(ISBLANK(A3543),"Name",IF(ISNA(VLOOKUP(A3543,'Master List'!A:C,2,FALSE)), "Not Found", VLOOKUP(A3543,'Master List'!A:C,2,FALSE)))</f>
        <v>Name</v>
      </c>
      <c r="D3543" s="19" t="str">
        <f>IF(ISBLANK(A3543), "Email",IF(ISNA(VLOOKUP(A3543,'Master List'!A:C,3,FALSE)), "Not Found", VLOOKUP(A3543,'Master List'!A:C,3,FALSE)))</f>
        <v>Email</v>
      </c>
      <c r="F3543" s="4" t="str">
        <f>IF(OR(A3543="",E3543="","",A3543="?",E3543="?"),"duplicate?",IF(COUNTIFS($A:A,A3543,E:E,E3543)&gt;1,"yes","no"))</f>
        <v>duplicate?</v>
      </c>
      <c r="K3543" s="97" t="str">
        <f ca="1">IF(J3543="","Date",IF(J3543&lt;&gt;"",IF(K3543="Date",NOW(),K3543),""))</f>
        <v>Date</v>
      </c>
    </row>
    <row r="3544" spans="2:11">
      <c r="B3544" s="97" t="str">
        <f ca="1">IF(A3544="","Date",IF(A3544&lt;&gt;"",IF(B3544="Date",NOW(),B3544),""))</f>
        <v>Date</v>
      </c>
      <c r="C3544" s="19" t="str">
        <f>IF(ISBLANK(A3544),"Name",IF(ISNA(VLOOKUP(A3544,'Master List'!A:C,2,FALSE)), "Not Found", VLOOKUP(A3544,'Master List'!A:C,2,FALSE)))</f>
        <v>Name</v>
      </c>
      <c r="D3544" s="19" t="str">
        <f>IF(ISBLANK(A3544), "Email",IF(ISNA(VLOOKUP(A3544,'Master List'!A:C,3,FALSE)), "Not Found", VLOOKUP(A3544,'Master List'!A:C,3,FALSE)))</f>
        <v>Email</v>
      </c>
      <c r="F3544" s="4" t="str">
        <f>IF(OR(A3544="",E3544="","",A3544="?",E3544="?"),"duplicate?",IF(COUNTIFS($A:A,A3544,E:E,E3544)&gt;1,"yes","no"))</f>
        <v>duplicate?</v>
      </c>
      <c r="K3544" s="97" t="str">
        <f ca="1">IF(J3544="","Date",IF(J3544&lt;&gt;"",IF(K3544="Date",NOW(),K3544),""))</f>
        <v>Date</v>
      </c>
    </row>
    <row r="3545" spans="2:11">
      <c r="B3545" s="97" t="str">
        <f ca="1">IF(A3545="","Date",IF(A3545&lt;&gt;"",IF(B3545="Date",NOW(),B3545),""))</f>
        <v>Date</v>
      </c>
      <c r="C3545" s="19" t="str">
        <f>IF(ISBLANK(A3545),"Name",IF(ISNA(VLOOKUP(A3545,'Master List'!A:C,2,FALSE)), "Not Found", VLOOKUP(A3545,'Master List'!A:C,2,FALSE)))</f>
        <v>Name</v>
      </c>
      <c r="D3545" s="19" t="str">
        <f>IF(ISBLANK(A3545), "Email",IF(ISNA(VLOOKUP(A3545,'Master List'!A:C,3,FALSE)), "Not Found", VLOOKUP(A3545,'Master List'!A:C,3,FALSE)))</f>
        <v>Email</v>
      </c>
      <c r="F3545" s="4" t="str">
        <f>IF(OR(A3545="",E3545="","",A3545="?",E3545="?"),"duplicate?",IF(COUNTIFS($A:A,A3545,E:E,E3545)&gt;1,"yes","no"))</f>
        <v>duplicate?</v>
      </c>
      <c r="K3545" s="97" t="str">
        <f ca="1">IF(J3545="","Date",IF(J3545&lt;&gt;"",IF(K3545="Date",NOW(),K3545),""))</f>
        <v>Date</v>
      </c>
    </row>
    <row r="3546" spans="2:11">
      <c r="B3546" s="97" t="str">
        <f ca="1">IF(A3546="","Date",IF(A3546&lt;&gt;"",IF(B3546="Date",NOW(),B3546),""))</f>
        <v>Date</v>
      </c>
      <c r="C3546" s="19" t="str">
        <f>IF(ISBLANK(A3546),"Name",IF(ISNA(VLOOKUP(A3546,'Master List'!A:C,2,FALSE)), "Not Found", VLOOKUP(A3546,'Master List'!A:C,2,FALSE)))</f>
        <v>Name</v>
      </c>
      <c r="D3546" s="19" t="str">
        <f>IF(ISBLANK(A3546), "Email",IF(ISNA(VLOOKUP(A3546,'Master List'!A:C,3,FALSE)), "Not Found", VLOOKUP(A3546,'Master List'!A:C,3,FALSE)))</f>
        <v>Email</v>
      </c>
      <c r="F3546" s="4" t="str">
        <f>IF(OR(A3546="",E3546="","",A3546="?",E3546="?"),"duplicate?",IF(COUNTIFS($A:A,A3546,E:E,E3546)&gt;1,"yes","no"))</f>
        <v>duplicate?</v>
      </c>
      <c r="K3546" s="97" t="str">
        <f ca="1">IF(J3546="","Date",IF(J3546&lt;&gt;"",IF(K3546="Date",NOW(),K3546),""))</f>
        <v>Date</v>
      </c>
    </row>
    <row r="3547" spans="2:11">
      <c r="B3547" s="97" t="str">
        <f ca="1">IF(A3547="","Date",IF(A3547&lt;&gt;"",IF(B3547="Date",NOW(),B3547),""))</f>
        <v>Date</v>
      </c>
      <c r="C3547" s="19" t="str">
        <f>IF(ISBLANK(A3547),"Name",IF(ISNA(VLOOKUP(A3547,'Master List'!A:C,2,FALSE)), "Not Found", VLOOKUP(A3547,'Master List'!A:C,2,FALSE)))</f>
        <v>Name</v>
      </c>
      <c r="D3547" s="19" t="str">
        <f>IF(ISBLANK(A3547), "Email",IF(ISNA(VLOOKUP(A3547,'Master List'!A:C,3,FALSE)), "Not Found", VLOOKUP(A3547,'Master List'!A:C,3,FALSE)))</f>
        <v>Email</v>
      </c>
      <c r="F3547" s="4" t="str">
        <f>IF(OR(A3547="",E3547="","",A3547="?",E3547="?"),"duplicate?",IF(COUNTIFS($A:A,A3547,E:E,E3547)&gt;1,"yes","no"))</f>
        <v>duplicate?</v>
      </c>
      <c r="K3547" s="97" t="str">
        <f ca="1">IF(J3547="","Date",IF(J3547&lt;&gt;"",IF(K3547="Date",NOW(),K3547),""))</f>
        <v>Date</v>
      </c>
    </row>
    <row r="3548" spans="2:11">
      <c r="B3548" s="97" t="str">
        <f ca="1">IF(A3548="","Date",IF(A3548&lt;&gt;"",IF(B3548="Date",NOW(),B3548),""))</f>
        <v>Date</v>
      </c>
      <c r="C3548" s="19" t="str">
        <f>IF(ISBLANK(A3548),"Name",IF(ISNA(VLOOKUP(A3548,'Master List'!A:C,2,FALSE)), "Not Found", VLOOKUP(A3548,'Master List'!A:C,2,FALSE)))</f>
        <v>Name</v>
      </c>
      <c r="D3548" s="19" t="str">
        <f>IF(ISBLANK(A3548), "Email",IF(ISNA(VLOOKUP(A3548,'Master List'!A:C,3,FALSE)), "Not Found", VLOOKUP(A3548,'Master List'!A:C,3,FALSE)))</f>
        <v>Email</v>
      </c>
      <c r="F3548" s="4" t="str">
        <f>IF(OR(A3548="",E3548="","",A3548="?",E3548="?"),"duplicate?",IF(COUNTIFS($A:A,A3548,E:E,E3548)&gt;1,"yes","no"))</f>
        <v>duplicate?</v>
      </c>
      <c r="K3548" s="97" t="str">
        <f ca="1">IF(J3548="","Date",IF(J3548&lt;&gt;"",IF(K3548="Date",NOW(),K3548),""))</f>
        <v>Date</v>
      </c>
    </row>
    <row r="3549" spans="2:11">
      <c r="B3549" s="97" t="str">
        <f ca="1">IF(A3549="","Date",IF(A3549&lt;&gt;"",IF(B3549="Date",NOW(),B3549),""))</f>
        <v>Date</v>
      </c>
      <c r="C3549" s="19" t="str">
        <f>IF(ISBLANK(A3549),"Name",IF(ISNA(VLOOKUP(A3549,'Master List'!A:C,2,FALSE)), "Not Found", VLOOKUP(A3549,'Master List'!A:C,2,FALSE)))</f>
        <v>Name</v>
      </c>
      <c r="D3549" s="19" t="str">
        <f>IF(ISBLANK(A3549), "Email",IF(ISNA(VLOOKUP(A3549,'Master List'!A:C,3,FALSE)), "Not Found", VLOOKUP(A3549,'Master List'!A:C,3,FALSE)))</f>
        <v>Email</v>
      </c>
      <c r="F3549" s="4" t="str">
        <f>IF(OR(A3549="",E3549="","",A3549="?",E3549="?"),"duplicate?",IF(COUNTIFS($A:A,A3549,E:E,E3549)&gt;1,"yes","no"))</f>
        <v>duplicate?</v>
      </c>
      <c r="K3549" s="97" t="str">
        <f ca="1">IF(J3549="","Date",IF(J3549&lt;&gt;"",IF(K3549="Date",NOW(),K3549),""))</f>
        <v>Date</v>
      </c>
    </row>
    <row r="3550" spans="2:11">
      <c r="B3550" s="97" t="str">
        <f ca="1">IF(A3550="","Date",IF(A3550&lt;&gt;"",IF(B3550="Date",NOW(),B3550),""))</f>
        <v>Date</v>
      </c>
      <c r="C3550" s="19" t="str">
        <f>IF(ISBLANK(A3550),"Name",IF(ISNA(VLOOKUP(A3550,'Master List'!A:C,2,FALSE)), "Not Found", VLOOKUP(A3550,'Master List'!A:C,2,FALSE)))</f>
        <v>Name</v>
      </c>
      <c r="D3550" s="19" t="str">
        <f>IF(ISBLANK(A3550), "Email",IF(ISNA(VLOOKUP(A3550,'Master List'!A:C,3,FALSE)), "Not Found", VLOOKUP(A3550,'Master List'!A:C,3,FALSE)))</f>
        <v>Email</v>
      </c>
      <c r="F3550" s="4" t="str">
        <f>IF(OR(A3550="",E3550="","",A3550="?",E3550="?"),"duplicate?",IF(COUNTIFS($A:A,A3550,E:E,E3550)&gt;1,"yes","no"))</f>
        <v>duplicate?</v>
      </c>
      <c r="K3550" s="97" t="str">
        <f ca="1">IF(J3550="","Date",IF(J3550&lt;&gt;"",IF(K3550="Date",NOW(),K3550),""))</f>
        <v>Date</v>
      </c>
    </row>
    <row r="3551" spans="2:11">
      <c r="B3551" s="97" t="str">
        <f ca="1">IF(A3551="","Date",IF(A3551&lt;&gt;"",IF(B3551="Date",NOW(),B3551),""))</f>
        <v>Date</v>
      </c>
      <c r="C3551" s="19" t="str">
        <f>IF(ISBLANK(A3551),"Name",IF(ISNA(VLOOKUP(A3551,'Master List'!A:C,2,FALSE)), "Not Found", VLOOKUP(A3551,'Master List'!A:C,2,FALSE)))</f>
        <v>Name</v>
      </c>
      <c r="D3551" s="19" t="str">
        <f>IF(ISBLANK(A3551), "Email",IF(ISNA(VLOOKUP(A3551,'Master List'!A:C,3,FALSE)), "Not Found", VLOOKUP(A3551,'Master List'!A:C,3,FALSE)))</f>
        <v>Email</v>
      </c>
      <c r="F3551" s="4" t="str">
        <f>IF(OR(A3551="",E3551="","",A3551="?",E3551="?"),"duplicate?",IF(COUNTIFS($A:A,A3551,E:E,E3551)&gt;1,"yes","no"))</f>
        <v>duplicate?</v>
      </c>
      <c r="K3551" s="97" t="str">
        <f ca="1">IF(J3551="","Date",IF(J3551&lt;&gt;"",IF(K3551="Date",NOW(),K3551),""))</f>
        <v>Date</v>
      </c>
    </row>
    <row r="3552" spans="2:11">
      <c r="B3552" s="97" t="str">
        <f ca="1">IF(A3552="","Date",IF(A3552&lt;&gt;"",IF(B3552="Date",NOW(),B3552),""))</f>
        <v>Date</v>
      </c>
      <c r="C3552" s="19" t="str">
        <f>IF(ISBLANK(A3552),"Name",IF(ISNA(VLOOKUP(A3552,'Master List'!A:C,2,FALSE)), "Not Found", VLOOKUP(A3552,'Master List'!A:C,2,FALSE)))</f>
        <v>Name</v>
      </c>
      <c r="D3552" s="19" t="str">
        <f>IF(ISBLANK(A3552), "Email",IF(ISNA(VLOOKUP(A3552,'Master List'!A:C,3,FALSE)), "Not Found", VLOOKUP(A3552,'Master List'!A:C,3,FALSE)))</f>
        <v>Email</v>
      </c>
      <c r="F3552" s="4" t="str">
        <f>IF(OR(A3552="",E3552="","",A3552="?",E3552="?"),"duplicate?",IF(COUNTIFS($A:A,A3552,E:E,E3552)&gt;1,"yes","no"))</f>
        <v>duplicate?</v>
      </c>
      <c r="K3552" s="97" t="str">
        <f ca="1">IF(J3552="","Date",IF(J3552&lt;&gt;"",IF(K3552="Date",NOW(),K3552),""))</f>
        <v>Date</v>
      </c>
    </row>
    <row r="3553" spans="2:11">
      <c r="B3553" s="97" t="str">
        <f ca="1">IF(A3553="","Date",IF(A3553&lt;&gt;"",IF(B3553="Date",NOW(),B3553),""))</f>
        <v>Date</v>
      </c>
      <c r="C3553" s="19" t="str">
        <f>IF(ISBLANK(A3553),"Name",IF(ISNA(VLOOKUP(A3553,'Master List'!A:C,2,FALSE)), "Not Found", VLOOKUP(A3553,'Master List'!A:C,2,FALSE)))</f>
        <v>Name</v>
      </c>
      <c r="D3553" s="19" t="str">
        <f>IF(ISBLANK(A3553), "Email",IF(ISNA(VLOOKUP(A3553,'Master List'!A:C,3,FALSE)), "Not Found", VLOOKUP(A3553,'Master List'!A:C,3,FALSE)))</f>
        <v>Email</v>
      </c>
      <c r="F3553" s="4" t="str">
        <f>IF(OR(A3553="",E3553="","",A3553="?",E3553="?"),"duplicate?",IF(COUNTIFS($A:A,A3553,E:E,E3553)&gt;1,"yes","no"))</f>
        <v>duplicate?</v>
      </c>
      <c r="K3553" s="97" t="str">
        <f ca="1">IF(J3553="","Date",IF(J3553&lt;&gt;"",IF(K3553="Date",NOW(),K3553),""))</f>
        <v>Date</v>
      </c>
    </row>
    <row r="3554" spans="2:11">
      <c r="B3554" s="97" t="str">
        <f ca="1">IF(A3554="","Date",IF(A3554&lt;&gt;"",IF(B3554="Date",NOW(),B3554),""))</f>
        <v>Date</v>
      </c>
      <c r="C3554" s="19" t="str">
        <f>IF(ISBLANK(A3554),"Name",IF(ISNA(VLOOKUP(A3554,'Master List'!A:C,2,FALSE)), "Not Found", VLOOKUP(A3554,'Master List'!A:C,2,FALSE)))</f>
        <v>Name</v>
      </c>
      <c r="D3554" s="19" t="str">
        <f>IF(ISBLANK(A3554), "Email",IF(ISNA(VLOOKUP(A3554,'Master List'!A:C,3,FALSE)), "Not Found", VLOOKUP(A3554,'Master List'!A:C,3,FALSE)))</f>
        <v>Email</v>
      </c>
      <c r="F3554" s="4" t="str">
        <f>IF(OR(A3554="",E3554="","",A3554="?",E3554="?"),"duplicate?",IF(COUNTIFS($A:A,A3554,E:E,E3554)&gt;1,"yes","no"))</f>
        <v>duplicate?</v>
      </c>
      <c r="K3554" s="97" t="str">
        <f ca="1">IF(J3554="","Date",IF(J3554&lt;&gt;"",IF(K3554="Date",NOW(),K3554),""))</f>
        <v>Date</v>
      </c>
    </row>
    <row r="3555" spans="2:11">
      <c r="B3555" s="97" t="str">
        <f ca="1">IF(A3555="","Date",IF(A3555&lt;&gt;"",IF(B3555="Date",NOW(),B3555),""))</f>
        <v>Date</v>
      </c>
      <c r="C3555" s="19" t="str">
        <f>IF(ISBLANK(A3555),"Name",IF(ISNA(VLOOKUP(A3555,'Master List'!A:C,2,FALSE)), "Not Found", VLOOKUP(A3555,'Master List'!A:C,2,FALSE)))</f>
        <v>Name</v>
      </c>
      <c r="D3555" s="19" t="str">
        <f>IF(ISBLANK(A3555), "Email",IF(ISNA(VLOOKUP(A3555,'Master List'!A:C,3,FALSE)), "Not Found", VLOOKUP(A3555,'Master List'!A:C,3,FALSE)))</f>
        <v>Email</v>
      </c>
      <c r="F3555" s="4" t="str">
        <f>IF(OR(A3555="",E3555="","",A3555="?",E3555="?"),"duplicate?",IF(COUNTIFS($A:A,A3555,E:E,E3555)&gt;1,"yes","no"))</f>
        <v>duplicate?</v>
      </c>
      <c r="K3555" s="97" t="str">
        <f ca="1">IF(J3555="","Date",IF(J3555&lt;&gt;"",IF(K3555="Date",NOW(),K3555),""))</f>
        <v>Date</v>
      </c>
    </row>
    <row r="3556" spans="2:11">
      <c r="B3556" s="97" t="str">
        <f ca="1">IF(A3556="","Date",IF(A3556&lt;&gt;"",IF(B3556="Date",NOW(),B3556),""))</f>
        <v>Date</v>
      </c>
      <c r="C3556" s="19" t="str">
        <f>IF(ISBLANK(A3556),"Name",IF(ISNA(VLOOKUP(A3556,'Master List'!A:C,2,FALSE)), "Not Found", VLOOKUP(A3556,'Master List'!A:C,2,FALSE)))</f>
        <v>Name</v>
      </c>
      <c r="D3556" s="19" t="str">
        <f>IF(ISBLANK(A3556), "Email",IF(ISNA(VLOOKUP(A3556,'Master List'!A:C,3,FALSE)), "Not Found", VLOOKUP(A3556,'Master List'!A:C,3,FALSE)))</f>
        <v>Email</v>
      </c>
      <c r="F3556" s="4" t="str">
        <f>IF(OR(A3556="",E3556="","",A3556="?",E3556="?"),"duplicate?",IF(COUNTIFS($A:A,A3556,E:E,E3556)&gt;1,"yes","no"))</f>
        <v>duplicate?</v>
      </c>
      <c r="K3556" s="97" t="str">
        <f ca="1">IF(J3556="","Date",IF(J3556&lt;&gt;"",IF(K3556="Date",NOW(),K3556),""))</f>
        <v>Date</v>
      </c>
    </row>
    <row r="3557" spans="2:11">
      <c r="B3557" s="97" t="str">
        <f ca="1">IF(A3557="","Date",IF(A3557&lt;&gt;"",IF(B3557="Date",NOW(),B3557),""))</f>
        <v>Date</v>
      </c>
      <c r="C3557" s="19" t="str">
        <f>IF(ISBLANK(A3557),"Name",IF(ISNA(VLOOKUP(A3557,'Master List'!A:C,2,FALSE)), "Not Found", VLOOKUP(A3557,'Master List'!A:C,2,FALSE)))</f>
        <v>Name</v>
      </c>
      <c r="D3557" s="19" t="str">
        <f>IF(ISBLANK(A3557), "Email",IF(ISNA(VLOOKUP(A3557,'Master List'!A:C,3,FALSE)), "Not Found", VLOOKUP(A3557,'Master List'!A:C,3,FALSE)))</f>
        <v>Email</v>
      </c>
      <c r="F3557" s="4" t="str">
        <f>IF(OR(A3557="",E3557="","",A3557="?",E3557="?"),"duplicate?",IF(COUNTIFS($A:A,A3557,E:E,E3557)&gt;1,"yes","no"))</f>
        <v>duplicate?</v>
      </c>
      <c r="K3557" s="97" t="str">
        <f ca="1">IF(J3557="","Date",IF(J3557&lt;&gt;"",IF(K3557="Date",NOW(),K3557),""))</f>
        <v>Date</v>
      </c>
    </row>
    <row r="3558" spans="2:11">
      <c r="B3558" s="97" t="str">
        <f ca="1">IF(A3558="","Date",IF(A3558&lt;&gt;"",IF(B3558="Date",NOW(),B3558),""))</f>
        <v>Date</v>
      </c>
      <c r="C3558" s="19" t="str">
        <f>IF(ISBLANK(A3558),"Name",IF(ISNA(VLOOKUP(A3558,'Master List'!A:C,2,FALSE)), "Not Found", VLOOKUP(A3558,'Master List'!A:C,2,FALSE)))</f>
        <v>Name</v>
      </c>
      <c r="D3558" s="19" t="str">
        <f>IF(ISBLANK(A3558), "Email",IF(ISNA(VLOOKUP(A3558,'Master List'!A:C,3,FALSE)), "Not Found", VLOOKUP(A3558,'Master List'!A:C,3,FALSE)))</f>
        <v>Email</v>
      </c>
      <c r="F3558" s="4" t="str">
        <f>IF(OR(A3558="",E3558="","",A3558="?",E3558="?"),"duplicate?",IF(COUNTIFS($A:A,A3558,E:E,E3558)&gt;1,"yes","no"))</f>
        <v>duplicate?</v>
      </c>
      <c r="K3558" s="97" t="str">
        <f ca="1">IF(J3558="","Date",IF(J3558&lt;&gt;"",IF(K3558="Date",NOW(),K3558),""))</f>
        <v>Date</v>
      </c>
    </row>
    <row r="3559" spans="2:11">
      <c r="B3559" s="97" t="str">
        <f ca="1">IF(A3559="","Date",IF(A3559&lt;&gt;"",IF(B3559="Date",NOW(),B3559),""))</f>
        <v>Date</v>
      </c>
      <c r="C3559" s="19" t="str">
        <f>IF(ISBLANK(A3559),"Name",IF(ISNA(VLOOKUP(A3559,'Master List'!A:C,2,FALSE)), "Not Found", VLOOKUP(A3559,'Master List'!A:C,2,FALSE)))</f>
        <v>Name</v>
      </c>
      <c r="D3559" s="19" t="str">
        <f>IF(ISBLANK(A3559), "Email",IF(ISNA(VLOOKUP(A3559,'Master List'!A:C,3,FALSE)), "Not Found", VLOOKUP(A3559,'Master List'!A:C,3,FALSE)))</f>
        <v>Email</v>
      </c>
      <c r="F3559" s="4" t="str">
        <f>IF(OR(A3559="",E3559="","",A3559="?",E3559="?"),"duplicate?",IF(COUNTIFS($A:A,A3559,E:E,E3559)&gt;1,"yes","no"))</f>
        <v>duplicate?</v>
      </c>
      <c r="K3559" s="97" t="str">
        <f ca="1">IF(J3559="","Date",IF(J3559&lt;&gt;"",IF(K3559="Date",NOW(),K3559),""))</f>
        <v>Date</v>
      </c>
    </row>
    <row r="3560" spans="2:11">
      <c r="B3560" s="97" t="str">
        <f ca="1">IF(A3560="","Date",IF(A3560&lt;&gt;"",IF(B3560="Date",NOW(),B3560),""))</f>
        <v>Date</v>
      </c>
      <c r="C3560" s="19" t="str">
        <f>IF(ISBLANK(A3560),"Name",IF(ISNA(VLOOKUP(A3560,'Master List'!A:C,2,FALSE)), "Not Found", VLOOKUP(A3560,'Master List'!A:C,2,FALSE)))</f>
        <v>Name</v>
      </c>
      <c r="D3560" s="19" t="str">
        <f>IF(ISBLANK(A3560), "Email",IF(ISNA(VLOOKUP(A3560,'Master List'!A:C,3,FALSE)), "Not Found", VLOOKUP(A3560,'Master List'!A:C,3,FALSE)))</f>
        <v>Email</v>
      </c>
      <c r="F3560" s="4" t="str">
        <f>IF(OR(A3560="",E3560="","",A3560="?",E3560="?"),"duplicate?",IF(COUNTIFS($A:A,A3560,E:E,E3560)&gt;1,"yes","no"))</f>
        <v>duplicate?</v>
      </c>
      <c r="K3560" s="97" t="str">
        <f ca="1">IF(J3560="","Date",IF(J3560&lt;&gt;"",IF(K3560="Date",NOW(),K3560),""))</f>
        <v>Date</v>
      </c>
    </row>
    <row r="3561" spans="2:11">
      <c r="B3561" s="97" t="str">
        <f ca="1">IF(A3561="","Date",IF(A3561&lt;&gt;"",IF(B3561="Date",NOW(),B3561),""))</f>
        <v>Date</v>
      </c>
      <c r="C3561" s="19" t="str">
        <f>IF(ISBLANK(A3561),"Name",IF(ISNA(VLOOKUP(A3561,'Master List'!A:C,2,FALSE)), "Not Found", VLOOKUP(A3561,'Master List'!A:C,2,FALSE)))</f>
        <v>Name</v>
      </c>
      <c r="D3561" s="19" t="str">
        <f>IF(ISBLANK(A3561), "Email",IF(ISNA(VLOOKUP(A3561,'Master List'!A:C,3,FALSE)), "Not Found", VLOOKUP(A3561,'Master List'!A:C,3,FALSE)))</f>
        <v>Email</v>
      </c>
      <c r="F3561" s="4" t="str">
        <f>IF(OR(A3561="",E3561="","",A3561="?",E3561="?"),"duplicate?",IF(COUNTIFS($A:A,A3561,E:E,E3561)&gt;1,"yes","no"))</f>
        <v>duplicate?</v>
      </c>
      <c r="K3561" s="97" t="str">
        <f ca="1">IF(J3561="","Date",IF(J3561&lt;&gt;"",IF(K3561="Date",NOW(),K3561),""))</f>
        <v>Date</v>
      </c>
    </row>
    <row r="3562" spans="2:11">
      <c r="B3562" s="97" t="str">
        <f ca="1">IF(A3562="","Date",IF(A3562&lt;&gt;"",IF(B3562="Date",NOW(),B3562),""))</f>
        <v>Date</v>
      </c>
      <c r="C3562" s="19" t="str">
        <f>IF(ISBLANK(A3562),"Name",IF(ISNA(VLOOKUP(A3562,'Master List'!A:C,2,FALSE)), "Not Found", VLOOKUP(A3562,'Master List'!A:C,2,FALSE)))</f>
        <v>Name</v>
      </c>
      <c r="D3562" s="19" t="str">
        <f>IF(ISBLANK(A3562), "Email",IF(ISNA(VLOOKUP(A3562,'Master List'!A:C,3,FALSE)), "Not Found", VLOOKUP(A3562,'Master List'!A:C,3,FALSE)))</f>
        <v>Email</v>
      </c>
      <c r="F3562" s="4" t="str">
        <f>IF(OR(A3562="",E3562="","",A3562="?",E3562="?"),"duplicate?",IF(COUNTIFS($A:A,A3562,E:E,E3562)&gt;1,"yes","no"))</f>
        <v>duplicate?</v>
      </c>
      <c r="K3562" s="97" t="str">
        <f ca="1">IF(J3562="","Date",IF(J3562&lt;&gt;"",IF(K3562="Date",NOW(),K3562),""))</f>
        <v>Date</v>
      </c>
    </row>
    <row r="3563" spans="2:11">
      <c r="B3563" s="97" t="str">
        <f ca="1">IF(A3563="","Date",IF(A3563&lt;&gt;"",IF(B3563="Date",NOW(),B3563),""))</f>
        <v>Date</v>
      </c>
      <c r="C3563" s="19" t="str">
        <f>IF(ISBLANK(A3563),"Name",IF(ISNA(VLOOKUP(A3563,'Master List'!A:C,2,FALSE)), "Not Found", VLOOKUP(A3563,'Master List'!A:C,2,FALSE)))</f>
        <v>Name</v>
      </c>
      <c r="D3563" s="19" t="str">
        <f>IF(ISBLANK(A3563), "Email",IF(ISNA(VLOOKUP(A3563,'Master List'!A:C,3,FALSE)), "Not Found", VLOOKUP(A3563,'Master List'!A:C,3,FALSE)))</f>
        <v>Email</v>
      </c>
      <c r="F3563" s="4" t="str">
        <f>IF(OR(A3563="",E3563="","",A3563="?",E3563="?"),"duplicate?",IF(COUNTIFS($A:A,A3563,E:E,E3563)&gt;1,"yes","no"))</f>
        <v>duplicate?</v>
      </c>
      <c r="K3563" s="97" t="str">
        <f ca="1">IF(J3563="","Date",IF(J3563&lt;&gt;"",IF(K3563="Date",NOW(),K3563),""))</f>
        <v>Date</v>
      </c>
    </row>
    <row r="3564" spans="2:11">
      <c r="B3564" s="97" t="str">
        <f ca="1">IF(A3564="","Date",IF(A3564&lt;&gt;"",IF(B3564="Date",NOW(),B3564),""))</f>
        <v>Date</v>
      </c>
      <c r="C3564" s="19" t="str">
        <f>IF(ISBLANK(A3564),"Name",IF(ISNA(VLOOKUP(A3564,'Master List'!A:C,2,FALSE)), "Not Found", VLOOKUP(A3564,'Master List'!A:C,2,FALSE)))</f>
        <v>Name</v>
      </c>
      <c r="D3564" s="19" t="str">
        <f>IF(ISBLANK(A3564), "Email",IF(ISNA(VLOOKUP(A3564,'Master List'!A:C,3,FALSE)), "Not Found", VLOOKUP(A3564,'Master List'!A:C,3,FALSE)))</f>
        <v>Email</v>
      </c>
      <c r="F3564" s="4" t="str">
        <f>IF(OR(A3564="",E3564="","",A3564="?",E3564="?"),"duplicate?",IF(COUNTIFS($A:A,A3564,E:E,E3564)&gt;1,"yes","no"))</f>
        <v>duplicate?</v>
      </c>
      <c r="K3564" s="97" t="str">
        <f ca="1">IF(J3564="","Date",IF(J3564&lt;&gt;"",IF(K3564="Date",NOW(),K3564),""))</f>
        <v>Date</v>
      </c>
    </row>
    <row r="3565" spans="2:11">
      <c r="B3565" s="97" t="str">
        <f ca="1">IF(A3565="","Date",IF(A3565&lt;&gt;"",IF(B3565="Date",NOW(),B3565),""))</f>
        <v>Date</v>
      </c>
      <c r="C3565" s="19" t="str">
        <f>IF(ISBLANK(A3565),"Name",IF(ISNA(VLOOKUP(A3565,'Master List'!A:C,2,FALSE)), "Not Found", VLOOKUP(A3565,'Master List'!A:C,2,FALSE)))</f>
        <v>Name</v>
      </c>
      <c r="D3565" s="19" t="str">
        <f>IF(ISBLANK(A3565), "Email",IF(ISNA(VLOOKUP(A3565,'Master List'!A:C,3,FALSE)), "Not Found", VLOOKUP(A3565,'Master List'!A:C,3,FALSE)))</f>
        <v>Email</v>
      </c>
      <c r="F3565" s="4" t="str">
        <f>IF(OR(A3565="",E3565="","",A3565="?",E3565="?"),"duplicate?",IF(COUNTIFS($A:A,A3565,E:E,E3565)&gt;1,"yes","no"))</f>
        <v>duplicate?</v>
      </c>
      <c r="K3565" s="97" t="str">
        <f ca="1">IF(J3565="","Date",IF(J3565&lt;&gt;"",IF(K3565="Date",NOW(),K3565),""))</f>
        <v>Date</v>
      </c>
    </row>
    <row r="3566" spans="2:11">
      <c r="B3566" s="97" t="str">
        <f ca="1">IF(A3566="","Date",IF(A3566&lt;&gt;"",IF(B3566="Date",NOW(),B3566),""))</f>
        <v>Date</v>
      </c>
      <c r="C3566" s="19" t="str">
        <f>IF(ISBLANK(A3566),"Name",IF(ISNA(VLOOKUP(A3566,'Master List'!A:C,2,FALSE)), "Not Found", VLOOKUP(A3566,'Master List'!A:C,2,FALSE)))</f>
        <v>Name</v>
      </c>
      <c r="D3566" s="19" t="str">
        <f>IF(ISBLANK(A3566), "Email",IF(ISNA(VLOOKUP(A3566,'Master List'!A:C,3,FALSE)), "Not Found", VLOOKUP(A3566,'Master List'!A:C,3,FALSE)))</f>
        <v>Email</v>
      </c>
      <c r="F3566" s="4" t="str">
        <f>IF(OR(A3566="",E3566="","",A3566="?",E3566="?"),"duplicate?",IF(COUNTIFS($A:A,A3566,E:E,E3566)&gt;1,"yes","no"))</f>
        <v>duplicate?</v>
      </c>
      <c r="K3566" s="97" t="str">
        <f ca="1">IF(J3566="","Date",IF(J3566&lt;&gt;"",IF(K3566="Date",NOW(),K3566),""))</f>
        <v>Date</v>
      </c>
    </row>
    <row r="3567" spans="2:11">
      <c r="B3567" s="97" t="str">
        <f ca="1">IF(A3567="","Date",IF(A3567&lt;&gt;"",IF(B3567="Date",NOW(),B3567),""))</f>
        <v>Date</v>
      </c>
      <c r="C3567" s="19" t="str">
        <f>IF(ISBLANK(A3567),"Name",IF(ISNA(VLOOKUP(A3567,'Master List'!A:C,2,FALSE)), "Not Found", VLOOKUP(A3567,'Master List'!A:C,2,FALSE)))</f>
        <v>Name</v>
      </c>
      <c r="D3567" s="19" t="str">
        <f>IF(ISBLANK(A3567), "Email",IF(ISNA(VLOOKUP(A3567,'Master List'!A:C,3,FALSE)), "Not Found", VLOOKUP(A3567,'Master List'!A:C,3,FALSE)))</f>
        <v>Email</v>
      </c>
      <c r="F3567" s="4" t="str">
        <f>IF(OR(A3567="",E3567="","",A3567="?",E3567="?"),"duplicate?",IF(COUNTIFS($A:A,A3567,E:E,E3567)&gt;1,"yes","no"))</f>
        <v>duplicate?</v>
      </c>
      <c r="K3567" s="97" t="str">
        <f ca="1">IF(J3567="","Date",IF(J3567&lt;&gt;"",IF(K3567="Date",NOW(),K3567),""))</f>
        <v>Date</v>
      </c>
    </row>
    <row r="3568" spans="2:11">
      <c r="B3568" s="97" t="str">
        <f ca="1">IF(A3568="","Date",IF(A3568&lt;&gt;"",IF(B3568="Date",NOW(),B3568),""))</f>
        <v>Date</v>
      </c>
      <c r="C3568" s="19" t="str">
        <f>IF(ISBLANK(A3568),"Name",IF(ISNA(VLOOKUP(A3568,'Master List'!A:C,2,FALSE)), "Not Found", VLOOKUP(A3568,'Master List'!A:C,2,FALSE)))</f>
        <v>Name</v>
      </c>
      <c r="D3568" s="19" t="str">
        <f>IF(ISBLANK(A3568), "Email",IF(ISNA(VLOOKUP(A3568,'Master List'!A:C,3,FALSE)), "Not Found", VLOOKUP(A3568,'Master List'!A:C,3,FALSE)))</f>
        <v>Email</v>
      </c>
      <c r="F3568" s="4" t="str">
        <f>IF(OR(A3568="",E3568="","",A3568="?",E3568="?"),"duplicate?",IF(COUNTIFS($A:A,A3568,E:E,E3568)&gt;1,"yes","no"))</f>
        <v>duplicate?</v>
      </c>
      <c r="K3568" s="97" t="str">
        <f ca="1">IF(J3568="","Date",IF(J3568&lt;&gt;"",IF(K3568="Date",NOW(),K3568),""))</f>
        <v>Date</v>
      </c>
    </row>
    <row r="3569" spans="2:11">
      <c r="B3569" s="97" t="str">
        <f ca="1">IF(A3569="","Date",IF(A3569&lt;&gt;"",IF(B3569="Date",NOW(),B3569),""))</f>
        <v>Date</v>
      </c>
      <c r="C3569" s="19" t="str">
        <f>IF(ISBLANK(A3569),"Name",IF(ISNA(VLOOKUP(A3569,'Master List'!A:C,2,FALSE)), "Not Found", VLOOKUP(A3569,'Master List'!A:C,2,FALSE)))</f>
        <v>Name</v>
      </c>
      <c r="D3569" s="19" t="str">
        <f>IF(ISBLANK(A3569), "Email",IF(ISNA(VLOOKUP(A3569,'Master List'!A:C,3,FALSE)), "Not Found", VLOOKUP(A3569,'Master List'!A:C,3,FALSE)))</f>
        <v>Email</v>
      </c>
      <c r="F3569" s="4" t="str">
        <f>IF(OR(A3569="",E3569="","",A3569="?",E3569="?"),"duplicate?",IF(COUNTIFS($A:A,A3569,E:E,E3569)&gt;1,"yes","no"))</f>
        <v>duplicate?</v>
      </c>
      <c r="K3569" s="97" t="str">
        <f ca="1">IF(J3569="","Date",IF(J3569&lt;&gt;"",IF(K3569="Date",NOW(),K3569),""))</f>
        <v>Date</v>
      </c>
    </row>
    <row r="3570" spans="2:11">
      <c r="B3570" s="97" t="str">
        <f ca="1">IF(A3570="","Date",IF(A3570&lt;&gt;"",IF(B3570="Date",NOW(),B3570),""))</f>
        <v>Date</v>
      </c>
      <c r="C3570" s="19" t="str">
        <f>IF(ISBLANK(A3570),"Name",IF(ISNA(VLOOKUP(A3570,'Master List'!A:C,2,FALSE)), "Not Found", VLOOKUP(A3570,'Master List'!A:C,2,FALSE)))</f>
        <v>Name</v>
      </c>
      <c r="D3570" s="19" t="str">
        <f>IF(ISBLANK(A3570), "Email",IF(ISNA(VLOOKUP(A3570,'Master List'!A:C,3,FALSE)), "Not Found", VLOOKUP(A3570,'Master List'!A:C,3,FALSE)))</f>
        <v>Email</v>
      </c>
      <c r="F3570" s="4" t="str">
        <f>IF(OR(A3570="",E3570="","",A3570="?",E3570="?"),"duplicate?",IF(COUNTIFS($A:A,A3570,E:E,E3570)&gt;1,"yes","no"))</f>
        <v>duplicate?</v>
      </c>
      <c r="K3570" s="97" t="str">
        <f ca="1">IF(J3570="","Date",IF(J3570&lt;&gt;"",IF(K3570="Date",NOW(),K3570),""))</f>
        <v>Date</v>
      </c>
    </row>
    <row r="3571" spans="2:11">
      <c r="B3571" s="97" t="str">
        <f ca="1">IF(A3571="","Date",IF(A3571&lt;&gt;"",IF(B3571="Date",NOW(),B3571),""))</f>
        <v>Date</v>
      </c>
      <c r="C3571" s="19" t="str">
        <f>IF(ISBLANK(A3571),"Name",IF(ISNA(VLOOKUP(A3571,'Master List'!A:C,2,FALSE)), "Not Found", VLOOKUP(A3571,'Master List'!A:C,2,FALSE)))</f>
        <v>Name</v>
      </c>
      <c r="D3571" s="19" t="str">
        <f>IF(ISBLANK(A3571), "Email",IF(ISNA(VLOOKUP(A3571,'Master List'!A:C,3,FALSE)), "Not Found", VLOOKUP(A3571,'Master List'!A:C,3,FALSE)))</f>
        <v>Email</v>
      </c>
      <c r="F3571" s="4" t="str">
        <f>IF(OR(A3571="",E3571="","",A3571="?",E3571="?"),"duplicate?",IF(COUNTIFS($A:A,A3571,E:E,E3571)&gt;1,"yes","no"))</f>
        <v>duplicate?</v>
      </c>
      <c r="K3571" s="97" t="str">
        <f ca="1">IF(J3571="","Date",IF(J3571&lt;&gt;"",IF(K3571="Date",NOW(),K3571),""))</f>
        <v>Date</v>
      </c>
    </row>
    <row r="3572" spans="2:11">
      <c r="B3572" s="97" t="str">
        <f ca="1">IF(A3572="","Date",IF(A3572&lt;&gt;"",IF(B3572="Date",NOW(),B3572),""))</f>
        <v>Date</v>
      </c>
      <c r="C3572" s="19" t="str">
        <f>IF(ISBLANK(A3572),"Name",IF(ISNA(VLOOKUP(A3572,'Master List'!A:C,2,FALSE)), "Not Found", VLOOKUP(A3572,'Master List'!A:C,2,FALSE)))</f>
        <v>Name</v>
      </c>
      <c r="D3572" s="19" t="str">
        <f>IF(ISBLANK(A3572), "Email",IF(ISNA(VLOOKUP(A3572,'Master List'!A:C,3,FALSE)), "Not Found", VLOOKUP(A3572,'Master List'!A:C,3,FALSE)))</f>
        <v>Email</v>
      </c>
      <c r="F3572" s="4" t="str">
        <f>IF(OR(A3572="",E3572="","",A3572="?",E3572="?"),"duplicate?",IF(COUNTIFS($A:A,A3572,E:E,E3572)&gt;1,"yes","no"))</f>
        <v>duplicate?</v>
      </c>
      <c r="K3572" s="97" t="str">
        <f ca="1">IF(J3572="","Date",IF(J3572&lt;&gt;"",IF(K3572="Date",NOW(),K3572),""))</f>
        <v>Date</v>
      </c>
    </row>
    <row r="3573" spans="2:11">
      <c r="B3573" s="97" t="str">
        <f ca="1">IF(A3573="","Date",IF(A3573&lt;&gt;"",IF(B3573="Date",NOW(),B3573),""))</f>
        <v>Date</v>
      </c>
      <c r="C3573" s="19" t="str">
        <f>IF(ISBLANK(A3573),"Name",IF(ISNA(VLOOKUP(A3573,'Master List'!A:C,2,FALSE)), "Not Found", VLOOKUP(A3573,'Master List'!A:C,2,FALSE)))</f>
        <v>Name</v>
      </c>
      <c r="D3573" s="19" t="str">
        <f>IF(ISBLANK(A3573), "Email",IF(ISNA(VLOOKUP(A3573,'Master List'!A:C,3,FALSE)), "Not Found", VLOOKUP(A3573,'Master List'!A:C,3,FALSE)))</f>
        <v>Email</v>
      </c>
      <c r="F3573" s="4" t="str">
        <f>IF(OR(A3573="",E3573="","",A3573="?",E3573="?"),"duplicate?",IF(COUNTIFS($A:A,A3573,E:E,E3573)&gt;1,"yes","no"))</f>
        <v>duplicate?</v>
      </c>
      <c r="K3573" s="97" t="str">
        <f ca="1">IF(J3573="","Date",IF(J3573&lt;&gt;"",IF(K3573="Date",NOW(),K3573),""))</f>
        <v>Date</v>
      </c>
    </row>
    <row r="3574" spans="2:11">
      <c r="B3574" s="97" t="str">
        <f ca="1">IF(A3574="","Date",IF(A3574&lt;&gt;"",IF(B3574="Date",NOW(),B3574),""))</f>
        <v>Date</v>
      </c>
      <c r="C3574" s="19" t="str">
        <f>IF(ISBLANK(A3574),"Name",IF(ISNA(VLOOKUP(A3574,'Master List'!A:C,2,FALSE)), "Not Found", VLOOKUP(A3574,'Master List'!A:C,2,FALSE)))</f>
        <v>Name</v>
      </c>
      <c r="D3574" s="19" t="str">
        <f>IF(ISBLANK(A3574), "Email",IF(ISNA(VLOOKUP(A3574,'Master List'!A:C,3,FALSE)), "Not Found", VLOOKUP(A3574,'Master List'!A:C,3,FALSE)))</f>
        <v>Email</v>
      </c>
      <c r="F3574" s="4" t="str">
        <f>IF(OR(A3574="",E3574="","",A3574="?",E3574="?"),"duplicate?",IF(COUNTIFS($A:A,A3574,E:E,E3574)&gt;1,"yes","no"))</f>
        <v>duplicate?</v>
      </c>
      <c r="K3574" s="97" t="str">
        <f ca="1">IF(J3574="","Date",IF(J3574&lt;&gt;"",IF(K3574="Date",NOW(),K3574),""))</f>
        <v>Date</v>
      </c>
    </row>
    <row r="3575" spans="2:11">
      <c r="B3575" s="97" t="str">
        <f ca="1">IF(A3575="","Date",IF(A3575&lt;&gt;"",IF(B3575="Date",NOW(),B3575),""))</f>
        <v>Date</v>
      </c>
      <c r="C3575" s="19" t="str">
        <f>IF(ISBLANK(A3575),"Name",IF(ISNA(VLOOKUP(A3575,'Master List'!A:C,2,FALSE)), "Not Found", VLOOKUP(A3575,'Master List'!A:C,2,FALSE)))</f>
        <v>Name</v>
      </c>
      <c r="D3575" s="19" t="str">
        <f>IF(ISBLANK(A3575), "Email",IF(ISNA(VLOOKUP(A3575,'Master List'!A:C,3,FALSE)), "Not Found", VLOOKUP(A3575,'Master List'!A:C,3,FALSE)))</f>
        <v>Email</v>
      </c>
      <c r="F3575" s="4" t="str">
        <f>IF(OR(A3575="",E3575="","",A3575="?",E3575="?"),"duplicate?",IF(COUNTIFS($A:A,A3575,E:E,E3575)&gt;1,"yes","no"))</f>
        <v>duplicate?</v>
      </c>
      <c r="K3575" s="97" t="str">
        <f ca="1">IF(J3575="","Date",IF(J3575&lt;&gt;"",IF(K3575="Date",NOW(),K3575),""))</f>
        <v>Date</v>
      </c>
    </row>
    <row r="3576" spans="2:11">
      <c r="B3576" s="97" t="str">
        <f ca="1">IF(A3576="","Date",IF(A3576&lt;&gt;"",IF(B3576="Date",NOW(),B3576),""))</f>
        <v>Date</v>
      </c>
      <c r="C3576" s="19" t="str">
        <f>IF(ISBLANK(A3576),"Name",IF(ISNA(VLOOKUP(A3576,'Master List'!A:C,2,FALSE)), "Not Found", VLOOKUP(A3576,'Master List'!A:C,2,FALSE)))</f>
        <v>Name</v>
      </c>
      <c r="D3576" s="19" t="str">
        <f>IF(ISBLANK(A3576), "Email",IF(ISNA(VLOOKUP(A3576,'Master List'!A:C,3,FALSE)), "Not Found", VLOOKUP(A3576,'Master List'!A:C,3,FALSE)))</f>
        <v>Email</v>
      </c>
      <c r="F3576" s="4" t="str">
        <f>IF(OR(A3576="",E3576="","",A3576="?",E3576="?"),"duplicate?",IF(COUNTIFS($A:A,A3576,E:E,E3576)&gt;1,"yes","no"))</f>
        <v>duplicate?</v>
      </c>
      <c r="K3576" s="97" t="str">
        <f ca="1">IF(J3576="","Date",IF(J3576&lt;&gt;"",IF(K3576="Date",NOW(),K3576),""))</f>
        <v>Date</v>
      </c>
    </row>
    <row r="3577" spans="2:11">
      <c r="B3577" s="97" t="str">
        <f ca="1">IF(A3577="","Date",IF(A3577&lt;&gt;"",IF(B3577="Date",NOW(),B3577),""))</f>
        <v>Date</v>
      </c>
      <c r="C3577" s="19" t="str">
        <f>IF(ISBLANK(A3577),"Name",IF(ISNA(VLOOKUP(A3577,'Master List'!A:C,2,FALSE)), "Not Found", VLOOKUP(A3577,'Master List'!A:C,2,FALSE)))</f>
        <v>Name</v>
      </c>
      <c r="D3577" s="19" t="str">
        <f>IF(ISBLANK(A3577), "Email",IF(ISNA(VLOOKUP(A3577,'Master List'!A:C,3,FALSE)), "Not Found", VLOOKUP(A3577,'Master List'!A:C,3,FALSE)))</f>
        <v>Email</v>
      </c>
      <c r="F3577" s="4" t="str">
        <f>IF(OR(A3577="",E3577="","",A3577="?",E3577="?"),"duplicate?",IF(COUNTIFS($A:A,A3577,E:E,E3577)&gt;1,"yes","no"))</f>
        <v>duplicate?</v>
      </c>
      <c r="K3577" s="97" t="str">
        <f ca="1">IF(J3577="","Date",IF(J3577&lt;&gt;"",IF(K3577="Date",NOW(),K3577),""))</f>
        <v>Date</v>
      </c>
    </row>
    <row r="3578" spans="2:11">
      <c r="B3578" s="97" t="str">
        <f ca="1">IF(A3578="","Date",IF(A3578&lt;&gt;"",IF(B3578="Date",NOW(),B3578),""))</f>
        <v>Date</v>
      </c>
      <c r="C3578" s="19" t="str">
        <f>IF(ISBLANK(A3578),"Name",IF(ISNA(VLOOKUP(A3578,'Master List'!A:C,2,FALSE)), "Not Found", VLOOKUP(A3578,'Master List'!A:C,2,FALSE)))</f>
        <v>Name</v>
      </c>
      <c r="D3578" s="19" t="str">
        <f>IF(ISBLANK(A3578), "Email",IF(ISNA(VLOOKUP(A3578,'Master List'!A:C,3,FALSE)), "Not Found", VLOOKUP(A3578,'Master List'!A:C,3,FALSE)))</f>
        <v>Email</v>
      </c>
      <c r="F3578" s="4" t="str">
        <f>IF(OR(A3578="",E3578="","",A3578="?",E3578="?"),"duplicate?",IF(COUNTIFS($A:A,A3578,E:E,E3578)&gt;1,"yes","no"))</f>
        <v>duplicate?</v>
      </c>
      <c r="K3578" s="97" t="str">
        <f ca="1">IF(J3578="","Date",IF(J3578&lt;&gt;"",IF(K3578="Date",NOW(),K3578),""))</f>
        <v>Date</v>
      </c>
    </row>
    <row r="3579" spans="2:11">
      <c r="B3579" s="97" t="str">
        <f ca="1">IF(A3579="","Date",IF(A3579&lt;&gt;"",IF(B3579="Date",NOW(),B3579),""))</f>
        <v>Date</v>
      </c>
      <c r="C3579" s="19" t="str">
        <f>IF(ISBLANK(A3579),"Name",IF(ISNA(VLOOKUP(A3579,'Master List'!A:C,2,FALSE)), "Not Found", VLOOKUP(A3579,'Master List'!A:C,2,FALSE)))</f>
        <v>Name</v>
      </c>
      <c r="D3579" s="19" t="str">
        <f>IF(ISBLANK(A3579), "Email",IF(ISNA(VLOOKUP(A3579,'Master List'!A:C,3,FALSE)), "Not Found", VLOOKUP(A3579,'Master List'!A:C,3,FALSE)))</f>
        <v>Email</v>
      </c>
      <c r="F3579" s="4" t="str">
        <f>IF(OR(A3579="",E3579="","",A3579="?",E3579="?"),"duplicate?",IF(COUNTIFS($A:A,A3579,E:E,E3579)&gt;1,"yes","no"))</f>
        <v>duplicate?</v>
      </c>
      <c r="K3579" s="97" t="str">
        <f ca="1">IF(J3579="","Date",IF(J3579&lt;&gt;"",IF(K3579="Date",NOW(),K3579),""))</f>
        <v>Date</v>
      </c>
    </row>
    <row r="3580" spans="2:11">
      <c r="B3580" s="97" t="str">
        <f ca="1">IF(A3580="","Date",IF(A3580&lt;&gt;"",IF(B3580="Date",NOW(),B3580),""))</f>
        <v>Date</v>
      </c>
      <c r="C3580" s="19" t="str">
        <f>IF(ISBLANK(A3580),"Name",IF(ISNA(VLOOKUP(A3580,'Master List'!A:C,2,FALSE)), "Not Found", VLOOKUP(A3580,'Master List'!A:C,2,FALSE)))</f>
        <v>Name</v>
      </c>
      <c r="D3580" s="19" t="str">
        <f>IF(ISBLANK(A3580), "Email",IF(ISNA(VLOOKUP(A3580,'Master List'!A:C,3,FALSE)), "Not Found", VLOOKUP(A3580,'Master List'!A:C,3,FALSE)))</f>
        <v>Email</v>
      </c>
      <c r="F3580" s="4" t="str">
        <f>IF(OR(A3580="",E3580="","",A3580="?",E3580="?"),"duplicate?",IF(COUNTIFS($A:A,A3580,E:E,E3580)&gt;1,"yes","no"))</f>
        <v>duplicate?</v>
      </c>
      <c r="K3580" s="97" t="str">
        <f ca="1">IF(J3580="","Date",IF(J3580&lt;&gt;"",IF(K3580="Date",NOW(),K3580),""))</f>
        <v>Date</v>
      </c>
    </row>
    <row r="3581" spans="2:11">
      <c r="B3581" s="97" t="str">
        <f ca="1">IF(A3581="","Date",IF(A3581&lt;&gt;"",IF(B3581="Date",NOW(),B3581),""))</f>
        <v>Date</v>
      </c>
      <c r="C3581" s="19" t="str">
        <f>IF(ISBLANK(A3581),"Name",IF(ISNA(VLOOKUP(A3581,'Master List'!A:C,2,FALSE)), "Not Found", VLOOKUP(A3581,'Master List'!A:C,2,FALSE)))</f>
        <v>Name</v>
      </c>
      <c r="D3581" s="19" t="str">
        <f>IF(ISBLANK(A3581), "Email",IF(ISNA(VLOOKUP(A3581,'Master List'!A:C,3,FALSE)), "Not Found", VLOOKUP(A3581,'Master List'!A:C,3,FALSE)))</f>
        <v>Email</v>
      </c>
      <c r="F3581" s="4" t="str">
        <f>IF(OR(A3581="",E3581="","",A3581="?",E3581="?"),"duplicate?",IF(COUNTIFS($A:A,A3581,E:E,E3581)&gt;1,"yes","no"))</f>
        <v>duplicate?</v>
      </c>
      <c r="K3581" s="97" t="str">
        <f ca="1">IF(J3581="","Date",IF(J3581&lt;&gt;"",IF(K3581="Date",NOW(),K3581),""))</f>
        <v>Date</v>
      </c>
    </row>
    <row r="3582" spans="2:11">
      <c r="B3582" s="97" t="str">
        <f ca="1">IF(A3582="","Date",IF(A3582&lt;&gt;"",IF(B3582="Date",NOW(),B3582),""))</f>
        <v>Date</v>
      </c>
      <c r="C3582" s="19" t="str">
        <f>IF(ISBLANK(A3582),"Name",IF(ISNA(VLOOKUP(A3582,'Master List'!A:C,2,FALSE)), "Not Found", VLOOKUP(A3582,'Master List'!A:C,2,FALSE)))</f>
        <v>Name</v>
      </c>
      <c r="D3582" s="19" t="str">
        <f>IF(ISBLANK(A3582), "Email",IF(ISNA(VLOOKUP(A3582,'Master List'!A:C,3,FALSE)), "Not Found", VLOOKUP(A3582,'Master List'!A:C,3,FALSE)))</f>
        <v>Email</v>
      </c>
      <c r="F3582" s="4" t="str">
        <f>IF(OR(A3582="",E3582="","",A3582="?",E3582="?"),"duplicate?",IF(COUNTIFS($A:A,A3582,E:E,E3582)&gt;1,"yes","no"))</f>
        <v>duplicate?</v>
      </c>
      <c r="K3582" s="97" t="str">
        <f ca="1">IF(J3582="","Date",IF(J3582&lt;&gt;"",IF(K3582="Date",NOW(),K3582),""))</f>
        <v>Date</v>
      </c>
    </row>
    <row r="3583" spans="2:11">
      <c r="B3583" s="97" t="str">
        <f ca="1">IF(A3583="","Date",IF(A3583&lt;&gt;"",IF(B3583="Date",NOW(),B3583),""))</f>
        <v>Date</v>
      </c>
      <c r="C3583" s="19" t="str">
        <f>IF(ISBLANK(A3583),"Name",IF(ISNA(VLOOKUP(A3583,'Master List'!A:C,2,FALSE)), "Not Found", VLOOKUP(A3583,'Master List'!A:C,2,FALSE)))</f>
        <v>Name</v>
      </c>
      <c r="D3583" s="19" t="str">
        <f>IF(ISBLANK(A3583), "Email",IF(ISNA(VLOOKUP(A3583,'Master List'!A:C,3,FALSE)), "Not Found", VLOOKUP(A3583,'Master List'!A:C,3,FALSE)))</f>
        <v>Email</v>
      </c>
      <c r="F3583" s="4" t="str">
        <f>IF(OR(A3583="",E3583="","",A3583="?",E3583="?"),"duplicate?",IF(COUNTIFS($A:A,A3583,E:E,E3583)&gt;1,"yes","no"))</f>
        <v>duplicate?</v>
      </c>
      <c r="K3583" s="97" t="str">
        <f ca="1">IF(J3583="","Date",IF(J3583&lt;&gt;"",IF(K3583="Date",NOW(),K3583),""))</f>
        <v>Date</v>
      </c>
    </row>
    <row r="3584" spans="2:11">
      <c r="B3584" s="97" t="str">
        <f ca="1">IF(A3584="","Date",IF(A3584&lt;&gt;"",IF(B3584="Date",NOW(),B3584),""))</f>
        <v>Date</v>
      </c>
      <c r="C3584" s="19" t="str">
        <f>IF(ISBLANK(A3584),"Name",IF(ISNA(VLOOKUP(A3584,'Master List'!A:C,2,FALSE)), "Not Found", VLOOKUP(A3584,'Master List'!A:C,2,FALSE)))</f>
        <v>Name</v>
      </c>
      <c r="D3584" s="19" t="str">
        <f>IF(ISBLANK(A3584), "Email",IF(ISNA(VLOOKUP(A3584,'Master List'!A:C,3,FALSE)), "Not Found", VLOOKUP(A3584,'Master List'!A:C,3,FALSE)))</f>
        <v>Email</v>
      </c>
      <c r="F3584" s="4" t="str">
        <f>IF(OR(A3584="",E3584="","",A3584="?",E3584="?"),"duplicate?",IF(COUNTIFS($A:A,A3584,E:E,E3584)&gt;1,"yes","no"))</f>
        <v>duplicate?</v>
      </c>
      <c r="K3584" s="97" t="str">
        <f ca="1">IF(J3584="","Date",IF(J3584&lt;&gt;"",IF(K3584="Date",NOW(),K3584),""))</f>
        <v>Date</v>
      </c>
    </row>
    <row r="3585" spans="2:11">
      <c r="B3585" s="97" t="str">
        <f ca="1">IF(A3585="","Date",IF(A3585&lt;&gt;"",IF(B3585="Date",NOW(),B3585),""))</f>
        <v>Date</v>
      </c>
      <c r="C3585" s="19" t="str">
        <f>IF(ISBLANK(A3585),"Name",IF(ISNA(VLOOKUP(A3585,'Master List'!A:C,2,FALSE)), "Not Found", VLOOKUP(A3585,'Master List'!A:C,2,FALSE)))</f>
        <v>Name</v>
      </c>
      <c r="D3585" s="19" t="str">
        <f>IF(ISBLANK(A3585), "Email",IF(ISNA(VLOOKUP(A3585,'Master List'!A:C,3,FALSE)), "Not Found", VLOOKUP(A3585,'Master List'!A:C,3,FALSE)))</f>
        <v>Email</v>
      </c>
      <c r="F3585" s="4" t="str">
        <f>IF(OR(A3585="",E3585="","",A3585="?",E3585="?"),"duplicate?",IF(COUNTIFS($A:A,A3585,E:E,E3585)&gt;1,"yes","no"))</f>
        <v>duplicate?</v>
      </c>
      <c r="K3585" s="97" t="str">
        <f ca="1">IF(J3585="","Date",IF(J3585&lt;&gt;"",IF(K3585="Date",NOW(),K3585),""))</f>
        <v>Date</v>
      </c>
    </row>
    <row r="3586" spans="2:11">
      <c r="B3586" s="97" t="str">
        <f ca="1">IF(A3586="","Date",IF(A3586&lt;&gt;"",IF(B3586="Date",NOW(),B3586),""))</f>
        <v>Date</v>
      </c>
      <c r="C3586" s="19" t="str">
        <f>IF(ISBLANK(A3586),"Name",IF(ISNA(VLOOKUP(A3586,'Master List'!A:C,2,FALSE)), "Not Found", VLOOKUP(A3586,'Master List'!A:C,2,FALSE)))</f>
        <v>Name</v>
      </c>
      <c r="D3586" s="19" t="str">
        <f>IF(ISBLANK(A3586), "Email",IF(ISNA(VLOOKUP(A3586,'Master List'!A:C,3,FALSE)), "Not Found", VLOOKUP(A3586,'Master List'!A:C,3,FALSE)))</f>
        <v>Email</v>
      </c>
      <c r="F3586" s="4" t="str">
        <f>IF(OR(A3586="",E3586="","",A3586="?",E3586="?"),"duplicate?",IF(COUNTIFS($A:A,A3586,E:E,E3586)&gt;1,"yes","no"))</f>
        <v>duplicate?</v>
      </c>
      <c r="K3586" s="97" t="str">
        <f ca="1">IF(J3586="","Date",IF(J3586&lt;&gt;"",IF(K3586="Date",NOW(),K3586),""))</f>
        <v>Date</v>
      </c>
    </row>
    <row r="3587" spans="2:11">
      <c r="B3587" s="97" t="str">
        <f ca="1">IF(A3587="","Date",IF(A3587&lt;&gt;"",IF(B3587="Date",NOW(),B3587),""))</f>
        <v>Date</v>
      </c>
      <c r="C3587" s="19" t="str">
        <f>IF(ISBLANK(A3587),"Name",IF(ISNA(VLOOKUP(A3587,'Master List'!A:C,2,FALSE)), "Not Found", VLOOKUP(A3587,'Master List'!A:C,2,FALSE)))</f>
        <v>Name</v>
      </c>
      <c r="D3587" s="19" t="str">
        <f>IF(ISBLANK(A3587), "Email",IF(ISNA(VLOOKUP(A3587,'Master List'!A:C,3,FALSE)), "Not Found", VLOOKUP(A3587,'Master List'!A:C,3,FALSE)))</f>
        <v>Email</v>
      </c>
      <c r="F3587" s="4" t="str">
        <f>IF(OR(A3587="",E3587="","",A3587="?",E3587="?"),"duplicate?",IF(COUNTIFS($A:A,A3587,E:E,E3587)&gt;1,"yes","no"))</f>
        <v>duplicate?</v>
      </c>
      <c r="K3587" s="97" t="str">
        <f ca="1">IF(J3587="","Date",IF(J3587&lt;&gt;"",IF(K3587="Date",NOW(),K3587),""))</f>
        <v>Date</v>
      </c>
    </row>
    <row r="3588" spans="2:11">
      <c r="B3588" s="97" t="str">
        <f ca="1">IF(A3588="","Date",IF(A3588&lt;&gt;"",IF(B3588="Date",NOW(),B3588),""))</f>
        <v>Date</v>
      </c>
      <c r="C3588" s="19" t="str">
        <f>IF(ISBLANK(A3588),"Name",IF(ISNA(VLOOKUP(A3588,'Master List'!A:C,2,FALSE)), "Not Found", VLOOKUP(A3588,'Master List'!A:C,2,FALSE)))</f>
        <v>Name</v>
      </c>
      <c r="D3588" s="19" t="str">
        <f>IF(ISBLANK(A3588), "Email",IF(ISNA(VLOOKUP(A3588,'Master List'!A:C,3,FALSE)), "Not Found", VLOOKUP(A3588,'Master List'!A:C,3,FALSE)))</f>
        <v>Email</v>
      </c>
      <c r="F3588" s="4" t="str">
        <f>IF(OR(A3588="",E3588="","",A3588="?",E3588="?"),"duplicate?",IF(COUNTIFS($A:A,A3588,E:E,E3588)&gt;1,"yes","no"))</f>
        <v>duplicate?</v>
      </c>
      <c r="K3588" s="97" t="str">
        <f ca="1">IF(J3588="","Date",IF(J3588&lt;&gt;"",IF(K3588="Date",NOW(),K3588),""))</f>
        <v>Date</v>
      </c>
    </row>
    <row r="3589" spans="2:11">
      <c r="B3589" s="97" t="str">
        <f ca="1">IF(A3589="","Date",IF(A3589&lt;&gt;"",IF(B3589="Date",NOW(),B3589),""))</f>
        <v>Date</v>
      </c>
      <c r="C3589" s="19" t="str">
        <f>IF(ISBLANK(A3589),"Name",IF(ISNA(VLOOKUP(A3589,'Master List'!A:C,2,FALSE)), "Not Found", VLOOKUP(A3589,'Master List'!A:C,2,FALSE)))</f>
        <v>Name</v>
      </c>
      <c r="D3589" s="19" t="str">
        <f>IF(ISBLANK(A3589), "Email",IF(ISNA(VLOOKUP(A3589,'Master List'!A:C,3,FALSE)), "Not Found", VLOOKUP(A3589,'Master List'!A:C,3,FALSE)))</f>
        <v>Email</v>
      </c>
      <c r="F3589" s="4" t="str">
        <f>IF(OR(A3589="",E3589="","",A3589="?",E3589="?"),"duplicate?",IF(COUNTIFS($A:A,A3589,E:E,E3589)&gt;1,"yes","no"))</f>
        <v>duplicate?</v>
      </c>
      <c r="K3589" s="97" t="str">
        <f ca="1">IF(J3589="","Date",IF(J3589&lt;&gt;"",IF(K3589="Date",NOW(),K3589),""))</f>
        <v>Date</v>
      </c>
    </row>
    <row r="3590" spans="2:11">
      <c r="B3590" s="97" t="str">
        <f ca="1">IF(A3590="","Date",IF(A3590&lt;&gt;"",IF(B3590="Date",NOW(),B3590),""))</f>
        <v>Date</v>
      </c>
      <c r="C3590" s="19" t="str">
        <f>IF(ISBLANK(A3590),"Name",IF(ISNA(VLOOKUP(A3590,'Master List'!A:C,2,FALSE)), "Not Found", VLOOKUP(A3590,'Master List'!A:C,2,FALSE)))</f>
        <v>Name</v>
      </c>
      <c r="D3590" s="19" t="str">
        <f>IF(ISBLANK(A3590), "Email",IF(ISNA(VLOOKUP(A3590,'Master List'!A:C,3,FALSE)), "Not Found", VLOOKUP(A3590,'Master List'!A:C,3,FALSE)))</f>
        <v>Email</v>
      </c>
      <c r="F3590" s="4" t="str">
        <f>IF(OR(A3590="",E3590="","",A3590="?",E3590="?"),"duplicate?",IF(COUNTIFS($A:A,A3590,E:E,E3590)&gt;1,"yes","no"))</f>
        <v>duplicate?</v>
      </c>
      <c r="K3590" s="97" t="str">
        <f ca="1">IF(J3590="","Date",IF(J3590&lt;&gt;"",IF(K3590="Date",NOW(),K3590),""))</f>
        <v>Date</v>
      </c>
    </row>
    <row r="3591" spans="2:11">
      <c r="B3591" s="97" t="str">
        <f ca="1">IF(A3591="","Date",IF(A3591&lt;&gt;"",IF(B3591="Date",NOW(),B3591),""))</f>
        <v>Date</v>
      </c>
      <c r="C3591" s="19" t="str">
        <f>IF(ISBLANK(A3591),"Name",IF(ISNA(VLOOKUP(A3591,'Master List'!A:C,2,FALSE)), "Not Found", VLOOKUP(A3591,'Master List'!A:C,2,FALSE)))</f>
        <v>Name</v>
      </c>
      <c r="D3591" s="19" t="str">
        <f>IF(ISBLANK(A3591), "Email",IF(ISNA(VLOOKUP(A3591,'Master List'!A:C,3,FALSE)), "Not Found", VLOOKUP(A3591,'Master List'!A:C,3,FALSE)))</f>
        <v>Email</v>
      </c>
      <c r="F3591" s="4" t="str">
        <f>IF(OR(A3591="",E3591="","",A3591="?",E3591="?"),"duplicate?",IF(COUNTIFS($A:A,A3591,E:E,E3591)&gt;1,"yes","no"))</f>
        <v>duplicate?</v>
      </c>
      <c r="K3591" s="97" t="str">
        <f ca="1">IF(J3591="","Date",IF(J3591&lt;&gt;"",IF(K3591="Date",NOW(),K3591),""))</f>
        <v>Date</v>
      </c>
    </row>
    <row r="3592" spans="2:11">
      <c r="B3592" s="97" t="str">
        <f ca="1">IF(A3592="","Date",IF(A3592&lt;&gt;"",IF(B3592="Date",NOW(),B3592),""))</f>
        <v>Date</v>
      </c>
      <c r="C3592" s="19" t="str">
        <f>IF(ISBLANK(A3592),"Name",IF(ISNA(VLOOKUP(A3592,'Master List'!A:C,2,FALSE)), "Not Found", VLOOKUP(A3592,'Master List'!A:C,2,FALSE)))</f>
        <v>Name</v>
      </c>
      <c r="D3592" s="19" t="str">
        <f>IF(ISBLANK(A3592), "Email",IF(ISNA(VLOOKUP(A3592,'Master List'!A:C,3,FALSE)), "Not Found", VLOOKUP(A3592,'Master List'!A:C,3,FALSE)))</f>
        <v>Email</v>
      </c>
      <c r="F3592" s="4" t="str">
        <f>IF(OR(A3592="",E3592="","",A3592="?",E3592="?"),"duplicate?",IF(COUNTIFS($A:A,A3592,E:E,E3592)&gt;1,"yes","no"))</f>
        <v>duplicate?</v>
      </c>
      <c r="K3592" s="97" t="str">
        <f ca="1">IF(J3592="","Date",IF(J3592&lt;&gt;"",IF(K3592="Date",NOW(),K3592),""))</f>
        <v>Date</v>
      </c>
    </row>
    <row r="3593" spans="2:11">
      <c r="B3593" s="97" t="str">
        <f ca="1">IF(A3593="","Date",IF(A3593&lt;&gt;"",IF(B3593="Date",NOW(),B3593),""))</f>
        <v>Date</v>
      </c>
      <c r="C3593" s="19" t="str">
        <f>IF(ISBLANK(A3593),"Name",IF(ISNA(VLOOKUP(A3593,'Master List'!A:C,2,FALSE)), "Not Found", VLOOKUP(A3593,'Master List'!A:C,2,FALSE)))</f>
        <v>Name</v>
      </c>
      <c r="D3593" s="19" t="str">
        <f>IF(ISBLANK(A3593), "Email",IF(ISNA(VLOOKUP(A3593,'Master List'!A:C,3,FALSE)), "Not Found", VLOOKUP(A3593,'Master List'!A:C,3,FALSE)))</f>
        <v>Email</v>
      </c>
      <c r="F3593" s="4" t="str">
        <f>IF(OR(A3593="",E3593="","",A3593="?",E3593="?"),"duplicate?",IF(COUNTIFS($A:A,A3593,E:E,E3593)&gt;1,"yes","no"))</f>
        <v>duplicate?</v>
      </c>
      <c r="K3593" s="97" t="str">
        <f ca="1">IF(J3593="","Date",IF(J3593&lt;&gt;"",IF(K3593="Date",NOW(),K3593),""))</f>
        <v>Date</v>
      </c>
    </row>
    <row r="3594" spans="2:11">
      <c r="B3594" s="97" t="str">
        <f ca="1">IF(A3594="","Date",IF(A3594&lt;&gt;"",IF(B3594="Date",NOW(),B3594),""))</f>
        <v>Date</v>
      </c>
      <c r="C3594" s="19" t="str">
        <f>IF(ISBLANK(A3594),"Name",IF(ISNA(VLOOKUP(A3594,'Master List'!A:C,2,FALSE)), "Not Found", VLOOKUP(A3594,'Master List'!A:C,2,FALSE)))</f>
        <v>Name</v>
      </c>
      <c r="D3594" s="19" t="str">
        <f>IF(ISBLANK(A3594), "Email",IF(ISNA(VLOOKUP(A3594,'Master List'!A:C,3,FALSE)), "Not Found", VLOOKUP(A3594,'Master List'!A:C,3,FALSE)))</f>
        <v>Email</v>
      </c>
      <c r="F3594" s="4" t="str">
        <f>IF(OR(A3594="",E3594="","",A3594="?",E3594="?"),"duplicate?",IF(COUNTIFS($A:A,A3594,E:E,E3594)&gt;1,"yes","no"))</f>
        <v>duplicate?</v>
      </c>
      <c r="K3594" s="97" t="str">
        <f ca="1">IF(J3594="","Date",IF(J3594&lt;&gt;"",IF(K3594="Date",NOW(),K3594),""))</f>
        <v>Date</v>
      </c>
    </row>
    <row r="3595" spans="2:11">
      <c r="B3595" s="97" t="str">
        <f ca="1">IF(A3595="","Date",IF(A3595&lt;&gt;"",IF(B3595="Date",NOW(),B3595),""))</f>
        <v>Date</v>
      </c>
      <c r="C3595" s="19" t="str">
        <f>IF(ISBLANK(A3595),"Name",IF(ISNA(VLOOKUP(A3595,'Master List'!A:C,2,FALSE)), "Not Found", VLOOKUP(A3595,'Master List'!A:C,2,FALSE)))</f>
        <v>Name</v>
      </c>
      <c r="D3595" s="19" t="str">
        <f>IF(ISBLANK(A3595), "Email",IF(ISNA(VLOOKUP(A3595,'Master List'!A:C,3,FALSE)), "Not Found", VLOOKUP(A3595,'Master List'!A:C,3,FALSE)))</f>
        <v>Email</v>
      </c>
      <c r="F3595" s="4" t="str">
        <f>IF(OR(A3595="",E3595="","",A3595="?",E3595="?"),"duplicate?",IF(COUNTIFS($A:A,A3595,E:E,E3595)&gt;1,"yes","no"))</f>
        <v>duplicate?</v>
      </c>
      <c r="K3595" s="97" t="str">
        <f ca="1">IF(J3595="","Date",IF(J3595&lt;&gt;"",IF(K3595="Date",NOW(),K3595),""))</f>
        <v>Date</v>
      </c>
    </row>
    <row r="3596" spans="2:11">
      <c r="B3596" s="97" t="str">
        <f ca="1">IF(A3596="","Date",IF(A3596&lt;&gt;"",IF(B3596="Date",NOW(),B3596),""))</f>
        <v>Date</v>
      </c>
      <c r="C3596" s="19" t="str">
        <f>IF(ISBLANK(A3596),"Name",IF(ISNA(VLOOKUP(A3596,'Master List'!A:C,2,FALSE)), "Not Found", VLOOKUP(A3596,'Master List'!A:C,2,FALSE)))</f>
        <v>Name</v>
      </c>
      <c r="D3596" s="19" t="str">
        <f>IF(ISBLANK(A3596), "Email",IF(ISNA(VLOOKUP(A3596,'Master List'!A:C,3,FALSE)), "Not Found", VLOOKUP(A3596,'Master List'!A:C,3,FALSE)))</f>
        <v>Email</v>
      </c>
      <c r="F3596" s="4" t="str">
        <f>IF(OR(A3596="",E3596="","",A3596="?",E3596="?"),"duplicate?",IF(COUNTIFS($A:A,A3596,E:E,E3596)&gt;1,"yes","no"))</f>
        <v>duplicate?</v>
      </c>
      <c r="K3596" s="97" t="str">
        <f ca="1">IF(J3596="","Date",IF(J3596&lt;&gt;"",IF(K3596="Date",NOW(),K3596),""))</f>
        <v>Date</v>
      </c>
    </row>
    <row r="3597" spans="2:11">
      <c r="B3597" s="97" t="str">
        <f ca="1">IF(A3597="","Date",IF(A3597&lt;&gt;"",IF(B3597="Date",NOW(),B3597),""))</f>
        <v>Date</v>
      </c>
      <c r="C3597" s="19" t="str">
        <f>IF(ISBLANK(A3597),"Name",IF(ISNA(VLOOKUP(A3597,'Master List'!A:C,2,FALSE)), "Not Found", VLOOKUP(A3597,'Master List'!A:C,2,FALSE)))</f>
        <v>Name</v>
      </c>
      <c r="D3597" s="19" t="str">
        <f>IF(ISBLANK(A3597), "Email",IF(ISNA(VLOOKUP(A3597,'Master List'!A:C,3,FALSE)), "Not Found", VLOOKUP(A3597,'Master List'!A:C,3,FALSE)))</f>
        <v>Email</v>
      </c>
      <c r="F3597" s="4" t="str">
        <f>IF(OR(A3597="",E3597="","",A3597="?",E3597="?"),"duplicate?",IF(COUNTIFS($A:A,A3597,E:E,E3597)&gt;1,"yes","no"))</f>
        <v>duplicate?</v>
      </c>
      <c r="K3597" s="97" t="str">
        <f ca="1">IF(J3597="","Date",IF(J3597&lt;&gt;"",IF(K3597="Date",NOW(),K3597),""))</f>
        <v>Date</v>
      </c>
    </row>
    <row r="3598" spans="2:11">
      <c r="B3598" s="97" t="str">
        <f ca="1">IF(A3598="","Date",IF(A3598&lt;&gt;"",IF(B3598="Date",NOW(),B3598),""))</f>
        <v>Date</v>
      </c>
      <c r="C3598" s="19" t="str">
        <f>IF(ISBLANK(A3598),"Name",IF(ISNA(VLOOKUP(A3598,'Master List'!A:C,2,FALSE)), "Not Found", VLOOKUP(A3598,'Master List'!A:C,2,FALSE)))</f>
        <v>Name</v>
      </c>
      <c r="D3598" s="19" t="str">
        <f>IF(ISBLANK(A3598), "Email",IF(ISNA(VLOOKUP(A3598,'Master List'!A:C,3,FALSE)), "Not Found", VLOOKUP(A3598,'Master List'!A:C,3,FALSE)))</f>
        <v>Email</v>
      </c>
      <c r="F3598" s="4" t="str">
        <f>IF(OR(A3598="",E3598="","",A3598="?",E3598="?"),"duplicate?",IF(COUNTIFS($A:A,A3598,E:E,E3598)&gt;1,"yes","no"))</f>
        <v>duplicate?</v>
      </c>
      <c r="K3598" s="97" t="str">
        <f ca="1">IF(J3598="","Date",IF(J3598&lt;&gt;"",IF(K3598="Date",NOW(),K3598),""))</f>
        <v>Date</v>
      </c>
    </row>
    <row r="3599" spans="2:11">
      <c r="B3599" s="97" t="str">
        <f ca="1">IF(A3599="","Date",IF(A3599&lt;&gt;"",IF(B3599="Date",NOW(),B3599),""))</f>
        <v>Date</v>
      </c>
      <c r="C3599" s="19" t="str">
        <f>IF(ISBLANK(A3599),"Name",IF(ISNA(VLOOKUP(A3599,'Master List'!A:C,2,FALSE)), "Not Found", VLOOKUP(A3599,'Master List'!A:C,2,FALSE)))</f>
        <v>Name</v>
      </c>
      <c r="D3599" s="19" t="str">
        <f>IF(ISBLANK(A3599), "Email",IF(ISNA(VLOOKUP(A3599,'Master List'!A:C,3,FALSE)), "Not Found", VLOOKUP(A3599,'Master List'!A:C,3,FALSE)))</f>
        <v>Email</v>
      </c>
      <c r="F3599" s="4" t="str">
        <f>IF(OR(A3599="",E3599="","",A3599="?",E3599="?"),"duplicate?",IF(COUNTIFS($A:A,A3599,E:E,E3599)&gt;1,"yes","no"))</f>
        <v>duplicate?</v>
      </c>
      <c r="K3599" s="97" t="str">
        <f ca="1">IF(J3599="","Date",IF(J3599&lt;&gt;"",IF(K3599="Date",NOW(),K3599),""))</f>
        <v>Date</v>
      </c>
    </row>
    <row r="3600" spans="2:11">
      <c r="B3600" s="97" t="str">
        <f ca="1">IF(A3600="","Date",IF(A3600&lt;&gt;"",IF(B3600="Date",NOW(),B3600),""))</f>
        <v>Date</v>
      </c>
      <c r="C3600" s="19" t="str">
        <f>IF(ISBLANK(A3600),"Name",IF(ISNA(VLOOKUP(A3600,'Master List'!A:C,2,FALSE)), "Not Found", VLOOKUP(A3600,'Master List'!A:C,2,FALSE)))</f>
        <v>Name</v>
      </c>
      <c r="D3600" s="19" t="str">
        <f>IF(ISBLANK(A3600), "Email",IF(ISNA(VLOOKUP(A3600,'Master List'!A:C,3,FALSE)), "Not Found", VLOOKUP(A3600,'Master List'!A:C,3,FALSE)))</f>
        <v>Email</v>
      </c>
      <c r="F3600" s="4" t="str">
        <f>IF(OR(A3600="",E3600="","",A3600="?",E3600="?"),"duplicate?",IF(COUNTIFS($A:A,A3600,E:E,E3600)&gt;1,"yes","no"))</f>
        <v>duplicate?</v>
      </c>
      <c r="K3600" s="97" t="str">
        <f ca="1">IF(J3600="","Date",IF(J3600&lt;&gt;"",IF(K3600="Date",NOW(),K3600),""))</f>
        <v>Date</v>
      </c>
    </row>
    <row r="3601" spans="2:11">
      <c r="B3601" s="97" t="str">
        <f ca="1">IF(A3601="","Date",IF(A3601&lt;&gt;"",IF(B3601="Date",NOW(),B3601),""))</f>
        <v>Date</v>
      </c>
      <c r="C3601" s="19" t="str">
        <f>IF(ISBLANK(A3601),"Name",IF(ISNA(VLOOKUP(A3601,'Master List'!A:C,2,FALSE)), "Not Found", VLOOKUP(A3601,'Master List'!A:C,2,FALSE)))</f>
        <v>Name</v>
      </c>
      <c r="D3601" s="19" t="str">
        <f>IF(ISBLANK(A3601), "Email",IF(ISNA(VLOOKUP(A3601,'Master List'!A:C,3,FALSE)), "Not Found", VLOOKUP(A3601,'Master List'!A:C,3,FALSE)))</f>
        <v>Email</v>
      </c>
      <c r="F3601" s="4" t="str">
        <f>IF(OR(A3601="",E3601="","",A3601="?",E3601="?"),"duplicate?",IF(COUNTIFS($A:A,A3601,E:E,E3601)&gt;1,"yes","no"))</f>
        <v>duplicate?</v>
      </c>
      <c r="K3601" s="97" t="str">
        <f ca="1">IF(J3601="","Date",IF(J3601&lt;&gt;"",IF(K3601="Date",NOW(),K3601),""))</f>
        <v>Date</v>
      </c>
    </row>
    <row r="3602" spans="2:11">
      <c r="B3602" s="97" t="str">
        <f ca="1">IF(A3602="","Date",IF(A3602&lt;&gt;"",IF(B3602="Date",NOW(),B3602),""))</f>
        <v>Date</v>
      </c>
      <c r="C3602" s="19" t="str">
        <f>IF(ISBLANK(A3602),"Name",IF(ISNA(VLOOKUP(A3602,'Master List'!A:C,2,FALSE)), "Not Found", VLOOKUP(A3602,'Master List'!A:C,2,FALSE)))</f>
        <v>Name</v>
      </c>
      <c r="D3602" s="19" t="str">
        <f>IF(ISBLANK(A3602), "Email",IF(ISNA(VLOOKUP(A3602,'Master List'!A:C,3,FALSE)), "Not Found", VLOOKUP(A3602,'Master List'!A:C,3,FALSE)))</f>
        <v>Email</v>
      </c>
      <c r="F3602" s="4" t="str">
        <f>IF(OR(A3602="",E3602="","",A3602="?",E3602="?"),"duplicate?",IF(COUNTIFS($A:A,A3602,E:E,E3602)&gt;1,"yes","no"))</f>
        <v>duplicate?</v>
      </c>
      <c r="K3602" s="97" t="str">
        <f ca="1">IF(J3602="","Date",IF(J3602&lt;&gt;"",IF(K3602="Date",NOW(),K3602),""))</f>
        <v>Date</v>
      </c>
    </row>
    <row r="3603" spans="2:11">
      <c r="B3603" s="97" t="str">
        <f ca="1">IF(A3603="","Date",IF(A3603&lt;&gt;"",IF(B3603="Date",NOW(),B3603),""))</f>
        <v>Date</v>
      </c>
      <c r="C3603" s="19" t="str">
        <f>IF(ISBLANK(A3603),"Name",IF(ISNA(VLOOKUP(A3603,'Master List'!A:C,2,FALSE)), "Not Found", VLOOKUP(A3603,'Master List'!A:C,2,FALSE)))</f>
        <v>Name</v>
      </c>
      <c r="D3603" s="19" t="str">
        <f>IF(ISBLANK(A3603), "Email",IF(ISNA(VLOOKUP(A3603,'Master List'!A:C,3,FALSE)), "Not Found", VLOOKUP(A3603,'Master List'!A:C,3,FALSE)))</f>
        <v>Email</v>
      </c>
      <c r="F3603" s="4" t="str">
        <f>IF(OR(A3603="",E3603="","",A3603="?",E3603="?"),"duplicate?",IF(COUNTIFS($A:A,A3603,E:E,E3603)&gt;1,"yes","no"))</f>
        <v>duplicate?</v>
      </c>
      <c r="K3603" s="97" t="str">
        <f ca="1">IF(J3603="","Date",IF(J3603&lt;&gt;"",IF(K3603="Date",NOW(),K3603),""))</f>
        <v>Date</v>
      </c>
    </row>
    <row r="3604" spans="2:11">
      <c r="B3604" s="97" t="str">
        <f ca="1">IF(A3604="","Date",IF(A3604&lt;&gt;"",IF(B3604="Date",NOW(),B3604),""))</f>
        <v>Date</v>
      </c>
      <c r="C3604" s="19" t="str">
        <f>IF(ISBLANK(A3604),"Name",IF(ISNA(VLOOKUP(A3604,'Master List'!A:C,2,FALSE)), "Not Found", VLOOKUP(A3604,'Master List'!A:C,2,FALSE)))</f>
        <v>Name</v>
      </c>
      <c r="D3604" s="19" t="str">
        <f>IF(ISBLANK(A3604), "Email",IF(ISNA(VLOOKUP(A3604,'Master List'!A:C,3,FALSE)), "Not Found", VLOOKUP(A3604,'Master List'!A:C,3,FALSE)))</f>
        <v>Email</v>
      </c>
      <c r="F3604" s="4" t="str">
        <f>IF(OR(A3604="",E3604="","",A3604="?",E3604="?"),"duplicate?",IF(COUNTIFS($A:A,A3604,E:E,E3604)&gt;1,"yes","no"))</f>
        <v>duplicate?</v>
      </c>
      <c r="K3604" s="97" t="str">
        <f ca="1">IF(J3604="","Date",IF(J3604&lt;&gt;"",IF(K3604="Date",NOW(),K3604),""))</f>
        <v>Date</v>
      </c>
    </row>
    <row r="3605" spans="2:11">
      <c r="B3605" s="97" t="str">
        <f ca="1">IF(A3605="","Date",IF(A3605&lt;&gt;"",IF(B3605="Date",NOW(),B3605),""))</f>
        <v>Date</v>
      </c>
      <c r="C3605" s="19" t="str">
        <f>IF(ISBLANK(A3605),"Name",IF(ISNA(VLOOKUP(A3605,'Master List'!A:C,2,FALSE)), "Not Found", VLOOKUP(A3605,'Master List'!A:C,2,FALSE)))</f>
        <v>Name</v>
      </c>
      <c r="D3605" s="19" t="str">
        <f>IF(ISBLANK(A3605), "Email",IF(ISNA(VLOOKUP(A3605,'Master List'!A:C,3,FALSE)), "Not Found", VLOOKUP(A3605,'Master List'!A:C,3,FALSE)))</f>
        <v>Email</v>
      </c>
      <c r="F3605" s="4" t="str">
        <f>IF(OR(A3605="",E3605="","",A3605="?",E3605="?"),"duplicate?",IF(COUNTIFS($A:A,A3605,E:E,E3605)&gt;1,"yes","no"))</f>
        <v>duplicate?</v>
      </c>
      <c r="K3605" s="97" t="str">
        <f ca="1">IF(J3605="","Date",IF(J3605&lt;&gt;"",IF(K3605="Date",NOW(),K3605),""))</f>
        <v>Date</v>
      </c>
    </row>
    <row r="3606" spans="2:11">
      <c r="B3606" s="97" t="str">
        <f ca="1">IF(A3606="","Date",IF(A3606&lt;&gt;"",IF(B3606="Date",NOW(),B3606),""))</f>
        <v>Date</v>
      </c>
      <c r="C3606" s="19" t="str">
        <f>IF(ISBLANK(A3606),"Name",IF(ISNA(VLOOKUP(A3606,'Master List'!A:C,2,FALSE)), "Not Found", VLOOKUP(A3606,'Master List'!A:C,2,FALSE)))</f>
        <v>Name</v>
      </c>
      <c r="D3606" s="19" t="str">
        <f>IF(ISBLANK(A3606), "Email",IF(ISNA(VLOOKUP(A3606,'Master List'!A:C,3,FALSE)), "Not Found", VLOOKUP(A3606,'Master List'!A:C,3,FALSE)))</f>
        <v>Email</v>
      </c>
      <c r="F3606" s="4" t="str">
        <f>IF(OR(A3606="",E3606="","",A3606="?",E3606="?"),"duplicate?",IF(COUNTIFS($A:A,A3606,E:E,E3606)&gt;1,"yes","no"))</f>
        <v>duplicate?</v>
      </c>
      <c r="K3606" s="97" t="str">
        <f ca="1">IF(J3606="","Date",IF(J3606&lt;&gt;"",IF(K3606="Date",NOW(),K3606),""))</f>
        <v>Date</v>
      </c>
    </row>
    <row r="3607" spans="2:11">
      <c r="B3607" s="97" t="str">
        <f ca="1">IF(A3607="","Date",IF(A3607&lt;&gt;"",IF(B3607="Date",NOW(),B3607),""))</f>
        <v>Date</v>
      </c>
      <c r="C3607" s="19" t="str">
        <f>IF(ISBLANK(A3607),"Name",IF(ISNA(VLOOKUP(A3607,'Master List'!A:C,2,FALSE)), "Not Found", VLOOKUP(A3607,'Master List'!A:C,2,FALSE)))</f>
        <v>Name</v>
      </c>
      <c r="D3607" s="19" t="str">
        <f>IF(ISBLANK(A3607), "Email",IF(ISNA(VLOOKUP(A3607,'Master List'!A:C,3,FALSE)), "Not Found", VLOOKUP(A3607,'Master List'!A:C,3,FALSE)))</f>
        <v>Email</v>
      </c>
      <c r="F3607" s="4" t="str">
        <f>IF(OR(A3607="",E3607="","",A3607="?",E3607="?"),"duplicate?",IF(COUNTIFS($A:A,A3607,E:E,E3607)&gt;1,"yes","no"))</f>
        <v>duplicate?</v>
      </c>
      <c r="K3607" s="97" t="str">
        <f ca="1">IF(J3607="","Date",IF(J3607&lt;&gt;"",IF(K3607="Date",NOW(),K3607),""))</f>
        <v>Date</v>
      </c>
    </row>
    <row r="3608" spans="2:11">
      <c r="B3608" s="97" t="str">
        <f ca="1">IF(A3608="","Date",IF(A3608&lt;&gt;"",IF(B3608="Date",NOW(),B3608),""))</f>
        <v>Date</v>
      </c>
      <c r="C3608" s="19" t="str">
        <f>IF(ISBLANK(A3608),"Name",IF(ISNA(VLOOKUP(A3608,'Master List'!A:C,2,FALSE)), "Not Found", VLOOKUP(A3608,'Master List'!A:C,2,FALSE)))</f>
        <v>Name</v>
      </c>
      <c r="D3608" s="19" t="str">
        <f>IF(ISBLANK(A3608), "Email",IF(ISNA(VLOOKUP(A3608,'Master List'!A:C,3,FALSE)), "Not Found", VLOOKUP(A3608,'Master List'!A:C,3,FALSE)))</f>
        <v>Email</v>
      </c>
      <c r="F3608" s="4" t="str">
        <f>IF(OR(A3608="",E3608="","",A3608="?",E3608="?"),"duplicate?",IF(COUNTIFS($A:A,A3608,E:E,E3608)&gt;1,"yes","no"))</f>
        <v>duplicate?</v>
      </c>
      <c r="K3608" s="97" t="str">
        <f ca="1">IF(J3608="","Date",IF(J3608&lt;&gt;"",IF(K3608="Date",NOW(),K3608),""))</f>
        <v>Date</v>
      </c>
    </row>
    <row r="3609" spans="2:11">
      <c r="B3609" s="97" t="str">
        <f ca="1">IF(A3609="","Date",IF(A3609&lt;&gt;"",IF(B3609="Date",NOW(),B3609),""))</f>
        <v>Date</v>
      </c>
      <c r="C3609" s="19" t="str">
        <f>IF(ISBLANK(A3609),"Name",IF(ISNA(VLOOKUP(A3609,'Master List'!A:C,2,FALSE)), "Not Found", VLOOKUP(A3609,'Master List'!A:C,2,FALSE)))</f>
        <v>Name</v>
      </c>
      <c r="D3609" s="19" t="str">
        <f>IF(ISBLANK(A3609), "Email",IF(ISNA(VLOOKUP(A3609,'Master List'!A:C,3,FALSE)), "Not Found", VLOOKUP(A3609,'Master List'!A:C,3,FALSE)))</f>
        <v>Email</v>
      </c>
      <c r="F3609" s="4" t="str">
        <f>IF(OR(A3609="",E3609="","",A3609="?",E3609="?"),"duplicate?",IF(COUNTIFS($A:A,A3609,E:E,E3609)&gt;1,"yes","no"))</f>
        <v>duplicate?</v>
      </c>
      <c r="K3609" s="97" t="str">
        <f ca="1">IF(J3609="","Date",IF(J3609&lt;&gt;"",IF(K3609="Date",NOW(),K3609),""))</f>
        <v>Date</v>
      </c>
    </row>
    <row r="3610" spans="2:11">
      <c r="B3610" s="97" t="str">
        <f ca="1">IF(A3610="","Date",IF(A3610&lt;&gt;"",IF(B3610="Date",NOW(),B3610),""))</f>
        <v>Date</v>
      </c>
      <c r="C3610" s="19" t="str">
        <f>IF(ISBLANK(A3610),"Name",IF(ISNA(VLOOKUP(A3610,'Master List'!A:C,2,FALSE)), "Not Found", VLOOKUP(A3610,'Master List'!A:C,2,FALSE)))</f>
        <v>Name</v>
      </c>
      <c r="D3610" s="19" t="str">
        <f>IF(ISBLANK(A3610), "Email",IF(ISNA(VLOOKUP(A3610,'Master List'!A:C,3,FALSE)), "Not Found", VLOOKUP(A3610,'Master List'!A:C,3,FALSE)))</f>
        <v>Email</v>
      </c>
      <c r="F3610" s="4" t="str">
        <f>IF(OR(A3610="",E3610="","",A3610="?",E3610="?"),"duplicate?",IF(COUNTIFS($A:A,A3610,E:E,E3610)&gt;1,"yes","no"))</f>
        <v>duplicate?</v>
      </c>
      <c r="K3610" s="97" t="str">
        <f ca="1">IF(J3610="","Date",IF(J3610&lt;&gt;"",IF(K3610="Date",NOW(),K3610),""))</f>
        <v>Date</v>
      </c>
    </row>
    <row r="3611" spans="2:11">
      <c r="B3611" s="97" t="str">
        <f ca="1">IF(A3611="","Date",IF(A3611&lt;&gt;"",IF(B3611="Date",NOW(),B3611),""))</f>
        <v>Date</v>
      </c>
      <c r="C3611" s="19" t="str">
        <f>IF(ISBLANK(A3611),"Name",IF(ISNA(VLOOKUP(A3611,'Master List'!A:C,2,FALSE)), "Not Found", VLOOKUP(A3611,'Master List'!A:C,2,FALSE)))</f>
        <v>Name</v>
      </c>
      <c r="D3611" s="19" t="str">
        <f>IF(ISBLANK(A3611), "Email",IF(ISNA(VLOOKUP(A3611,'Master List'!A:C,3,FALSE)), "Not Found", VLOOKUP(A3611,'Master List'!A:C,3,FALSE)))</f>
        <v>Email</v>
      </c>
      <c r="F3611" s="4" t="str">
        <f>IF(OR(A3611="",E3611="","",A3611="?",E3611="?"),"duplicate?",IF(COUNTIFS($A:A,A3611,E:E,E3611)&gt;1,"yes","no"))</f>
        <v>duplicate?</v>
      </c>
      <c r="K3611" s="97" t="str">
        <f ca="1">IF(J3611="","Date",IF(J3611&lt;&gt;"",IF(K3611="Date",NOW(),K3611),""))</f>
        <v>Date</v>
      </c>
    </row>
    <row r="3612" spans="2:11">
      <c r="B3612" s="97" t="str">
        <f ca="1">IF(A3612="","Date",IF(A3612&lt;&gt;"",IF(B3612="Date",NOW(),B3612),""))</f>
        <v>Date</v>
      </c>
      <c r="C3612" s="19" t="str">
        <f>IF(ISBLANK(A3612),"Name",IF(ISNA(VLOOKUP(A3612,'Master List'!A:C,2,FALSE)), "Not Found", VLOOKUP(A3612,'Master List'!A:C,2,FALSE)))</f>
        <v>Name</v>
      </c>
      <c r="D3612" s="19" t="str">
        <f>IF(ISBLANK(A3612), "Email",IF(ISNA(VLOOKUP(A3612,'Master List'!A:C,3,FALSE)), "Not Found", VLOOKUP(A3612,'Master List'!A:C,3,FALSE)))</f>
        <v>Email</v>
      </c>
      <c r="F3612" s="4" t="str">
        <f>IF(OR(A3612="",E3612="","",A3612="?",E3612="?"),"duplicate?",IF(COUNTIFS($A:A,A3612,E:E,E3612)&gt;1,"yes","no"))</f>
        <v>duplicate?</v>
      </c>
      <c r="K3612" s="97" t="str">
        <f ca="1">IF(J3612="","Date",IF(J3612&lt;&gt;"",IF(K3612="Date",NOW(),K3612),""))</f>
        <v>Date</v>
      </c>
    </row>
    <row r="3613" spans="2:11">
      <c r="B3613" s="97" t="str">
        <f ca="1">IF(A3613="","Date",IF(A3613&lt;&gt;"",IF(B3613="Date",NOW(),B3613),""))</f>
        <v>Date</v>
      </c>
      <c r="C3613" s="19" t="str">
        <f>IF(ISBLANK(A3613),"Name",IF(ISNA(VLOOKUP(A3613,'Master List'!A:C,2,FALSE)), "Not Found", VLOOKUP(A3613,'Master List'!A:C,2,FALSE)))</f>
        <v>Name</v>
      </c>
      <c r="D3613" s="19" t="str">
        <f>IF(ISBLANK(A3613), "Email",IF(ISNA(VLOOKUP(A3613,'Master List'!A:C,3,FALSE)), "Not Found", VLOOKUP(A3613,'Master List'!A:C,3,FALSE)))</f>
        <v>Email</v>
      </c>
      <c r="F3613" s="4" t="str">
        <f>IF(OR(A3613="",E3613="","",A3613="?",E3613="?"),"duplicate?",IF(COUNTIFS($A:A,A3613,E:E,E3613)&gt;1,"yes","no"))</f>
        <v>duplicate?</v>
      </c>
      <c r="K3613" s="97" t="str">
        <f ca="1">IF(J3613="","Date",IF(J3613&lt;&gt;"",IF(K3613="Date",NOW(),K3613),""))</f>
        <v>Date</v>
      </c>
    </row>
    <row r="3614" spans="2:11">
      <c r="B3614" s="97" t="str">
        <f ca="1">IF(A3614="","Date",IF(A3614&lt;&gt;"",IF(B3614="Date",NOW(),B3614),""))</f>
        <v>Date</v>
      </c>
      <c r="C3614" s="19" t="str">
        <f>IF(ISBLANK(A3614),"Name",IF(ISNA(VLOOKUP(A3614,'Master List'!A:C,2,FALSE)), "Not Found", VLOOKUP(A3614,'Master List'!A:C,2,FALSE)))</f>
        <v>Name</v>
      </c>
      <c r="D3614" s="19" t="str">
        <f>IF(ISBLANK(A3614), "Email",IF(ISNA(VLOOKUP(A3614,'Master List'!A:C,3,FALSE)), "Not Found", VLOOKUP(A3614,'Master List'!A:C,3,FALSE)))</f>
        <v>Email</v>
      </c>
      <c r="F3614" s="4" t="str">
        <f>IF(OR(A3614="",E3614="","",A3614="?",E3614="?"),"duplicate?",IF(COUNTIFS($A:A,A3614,E:E,E3614)&gt;1,"yes","no"))</f>
        <v>duplicate?</v>
      </c>
      <c r="K3614" s="97" t="str">
        <f ca="1">IF(J3614="","Date",IF(J3614&lt;&gt;"",IF(K3614="Date",NOW(),K3614),""))</f>
        <v>Date</v>
      </c>
    </row>
    <row r="3615" spans="2:11">
      <c r="B3615" s="97" t="str">
        <f ca="1">IF(A3615="","Date",IF(A3615&lt;&gt;"",IF(B3615="Date",NOW(),B3615),""))</f>
        <v>Date</v>
      </c>
      <c r="C3615" s="19" t="str">
        <f>IF(ISBLANK(A3615),"Name",IF(ISNA(VLOOKUP(A3615,'Master List'!A:C,2,FALSE)), "Not Found", VLOOKUP(A3615,'Master List'!A:C,2,FALSE)))</f>
        <v>Name</v>
      </c>
      <c r="D3615" s="19" t="str">
        <f>IF(ISBLANK(A3615), "Email",IF(ISNA(VLOOKUP(A3615,'Master List'!A:C,3,FALSE)), "Not Found", VLOOKUP(A3615,'Master List'!A:C,3,FALSE)))</f>
        <v>Email</v>
      </c>
      <c r="F3615" s="4" t="str">
        <f>IF(OR(A3615="",E3615="","",A3615="?",E3615="?"),"duplicate?",IF(COUNTIFS($A:A,A3615,E:E,E3615)&gt;1,"yes","no"))</f>
        <v>duplicate?</v>
      </c>
      <c r="K3615" s="97" t="str">
        <f ca="1">IF(J3615="","Date",IF(J3615&lt;&gt;"",IF(K3615="Date",NOW(),K3615),""))</f>
        <v>Date</v>
      </c>
    </row>
    <row r="3616" spans="2:11">
      <c r="B3616" s="97" t="str">
        <f ca="1">IF(A3616="","Date",IF(A3616&lt;&gt;"",IF(B3616="Date",NOW(),B3616),""))</f>
        <v>Date</v>
      </c>
      <c r="C3616" s="19" t="str">
        <f>IF(ISBLANK(A3616),"Name",IF(ISNA(VLOOKUP(A3616,'Master List'!A:C,2,FALSE)), "Not Found", VLOOKUP(A3616,'Master List'!A:C,2,FALSE)))</f>
        <v>Name</v>
      </c>
      <c r="D3616" s="19" t="str">
        <f>IF(ISBLANK(A3616), "Email",IF(ISNA(VLOOKUP(A3616,'Master List'!A:C,3,FALSE)), "Not Found", VLOOKUP(A3616,'Master List'!A:C,3,FALSE)))</f>
        <v>Email</v>
      </c>
      <c r="F3616" s="4" t="str">
        <f>IF(OR(A3616="",E3616="","",A3616="?",E3616="?"),"duplicate?",IF(COUNTIFS($A:A,A3616,E:E,E3616)&gt;1,"yes","no"))</f>
        <v>duplicate?</v>
      </c>
      <c r="K3616" s="97" t="str">
        <f ca="1">IF(J3616="","Date",IF(J3616&lt;&gt;"",IF(K3616="Date",NOW(),K3616),""))</f>
        <v>Date</v>
      </c>
    </row>
    <row r="3617" spans="2:11">
      <c r="B3617" s="97" t="str">
        <f ca="1">IF(A3617="","Date",IF(A3617&lt;&gt;"",IF(B3617="Date",NOW(),B3617),""))</f>
        <v>Date</v>
      </c>
      <c r="C3617" s="19" t="str">
        <f>IF(ISBLANK(A3617),"Name",IF(ISNA(VLOOKUP(A3617,'Master List'!A:C,2,FALSE)), "Not Found", VLOOKUP(A3617,'Master List'!A:C,2,FALSE)))</f>
        <v>Name</v>
      </c>
      <c r="D3617" s="19" t="str">
        <f>IF(ISBLANK(A3617), "Email",IF(ISNA(VLOOKUP(A3617,'Master List'!A:C,3,FALSE)), "Not Found", VLOOKUP(A3617,'Master List'!A:C,3,FALSE)))</f>
        <v>Email</v>
      </c>
      <c r="F3617" s="4" t="str">
        <f>IF(OR(A3617="",E3617="","",A3617="?",E3617="?"),"duplicate?",IF(COUNTIFS($A:A,A3617,E:E,E3617)&gt;1,"yes","no"))</f>
        <v>duplicate?</v>
      </c>
      <c r="K3617" s="97" t="str">
        <f ca="1">IF(J3617="","Date",IF(J3617&lt;&gt;"",IF(K3617="Date",NOW(),K3617),""))</f>
        <v>Date</v>
      </c>
    </row>
    <row r="3618" spans="2:11">
      <c r="B3618" s="97" t="str">
        <f ca="1">IF(A3618="","Date",IF(A3618&lt;&gt;"",IF(B3618="Date",NOW(),B3618),""))</f>
        <v>Date</v>
      </c>
      <c r="C3618" s="19" t="str">
        <f>IF(ISBLANK(A3618),"Name",IF(ISNA(VLOOKUP(A3618,'Master List'!A:C,2,FALSE)), "Not Found", VLOOKUP(A3618,'Master List'!A:C,2,FALSE)))</f>
        <v>Name</v>
      </c>
      <c r="D3618" s="19" t="str">
        <f>IF(ISBLANK(A3618), "Email",IF(ISNA(VLOOKUP(A3618,'Master List'!A:C,3,FALSE)), "Not Found", VLOOKUP(A3618,'Master List'!A:C,3,FALSE)))</f>
        <v>Email</v>
      </c>
      <c r="F3618" s="4" t="str">
        <f>IF(OR(A3618="",E3618="","",A3618="?",E3618="?"),"duplicate?",IF(COUNTIFS($A:A,A3618,E:E,E3618)&gt;1,"yes","no"))</f>
        <v>duplicate?</v>
      </c>
      <c r="K3618" s="97" t="str">
        <f ca="1">IF(J3618="","Date",IF(J3618&lt;&gt;"",IF(K3618="Date",NOW(),K3618),""))</f>
        <v>Date</v>
      </c>
    </row>
    <row r="3619" spans="2:11">
      <c r="B3619" s="97" t="str">
        <f ca="1">IF(A3619="","Date",IF(A3619&lt;&gt;"",IF(B3619="Date",NOW(),B3619),""))</f>
        <v>Date</v>
      </c>
      <c r="C3619" s="19" t="str">
        <f>IF(ISBLANK(A3619),"Name",IF(ISNA(VLOOKUP(A3619,'Master List'!A:C,2,FALSE)), "Not Found", VLOOKUP(A3619,'Master List'!A:C,2,FALSE)))</f>
        <v>Name</v>
      </c>
      <c r="D3619" s="19" t="str">
        <f>IF(ISBLANK(A3619), "Email",IF(ISNA(VLOOKUP(A3619,'Master List'!A:C,3,FALSE)), "Not Found", VLOOKUP(A3619,'Master List'!A:C,3,FALSE)))</f>
        <v>Email</v>
      </c>
      <c r="F3619" s="4" t="str">
        <f>IF(OR(A3619="",E3619="","",A3619="?",E3619="?"),"duplicate?",IF(COUNTIFS($A:A,A3619,E:E,E3619)&gt;1,"yes","no"))</f>
        <v>duplicate?</v>
      </c>
      <c r="K3619" s="97" t="str">
        <f ca="1">IF(J3619="","Date",IF(J3619&lt;&gt;"",IF(K3619="Date",NOW(),K3619),""))</f>
        <v>Date</v>
      </c>
    </row>
    <row r="3620" spans="2:11">
      <c r="B3620" s="97" t="str">
        <f ca="1">IF(A3620="","Date",IF(A3620&lt;&gt;"",IF(B3620="Date",NOW(),B3620),""))</f>
        <v>Date</v>
      </c>
      <c r="C3620" s="19" t="str">
        <f>IF(ISBLANK(A3620),"Name",IF(ISNA(VLOOKUP(A3620,'Master List'!A:C,2,FALSE)), "Not Found", VLOOKUP(A3620,'Master List'!A:C,2,FALSE)))</f>
        <v>Name</v>
      </c>
      <c r="D3620" s="19" t="str">
        <f>IF(ISBLANK(A3620), "Email",IF(ISNA(VLOOKUP(A3620,'Master List'!A:C,3,FALSE)), "Not Found", VLOOKUP(A3620,'Master List'!A:C,3,FALSE)))</f>
        <v>Email</v>
      </c>
      <c r="F3620" s="4" t="str">
        <f>IF(OR(A3620="",E3620="","",A3620="?",E3620="?"),"duplicate?",IF(COUNTIFS($A:A,A3620,E:E,E3620)&gt;1,"yes","no"))</f>
        <v>duplicate?</v>
      </c>
      <c r="K3620" s="97" t="str">
        <f ca="1">IF(J3620="","Date",IF(J3620&lt;&gt;"",IF(K3620="Date",NOW(),K3620),""))</f>
        <v>Date</v>
      </c>
    </row>
    <row r="3621" spans="2:11">
      <c r="B3621" s="97" t="str">
        <f ca="1">IF(A3621="","Date",IF(A3621&lt;&gt;"",IF(B3621="Date",NOW(),B3621),""))</f>
        <v>Date</v>
      </c>
      <c r="C3621" s="19" t="str">
        <f>IF(ISBLANK(A3621),"Name",IF(ISNA(VLOOKUP(A3621,'Master List'!A:C,2,FALSE)), "Not Found", VLOOKUP(A3621,'Master List'!A:C,2,FALSE)))</f>
        <v>Name</v>
      </c>
      <c r="D3621" s="19" t="str">
        <f>IF(ISBLANK(A3621), "Email",IF(ISNA(VLOOKUP(A3621,'Master List'!A:C,3,FALSE)), "Not Found", VLOOKUP(A3621,'Master List'!A:C,3,FALSE)))</f>
        <v>Email</v>
      </c>
      <c r="F3621" s="4" t="str">
        <f>IF(OR(A3621="",E3621="","",A3621="?",E3621="?"),"duplicate?",IF(COUNTIFS($A:A,A3621,E:E,E3621)&gt;1,"yes","no"))</f>
        <v>duplicate?</v>
      </c>
      <c r="K3621" s="97" t="str">
        <f ca="1">IF(J3621="","Date",IF(J3621&lt;&gt;"",IF(K3621="Date",NOW(),K3621),""))</f>
        <v>Date</v>
      </c>
    </row>
    <row r="3622" spans="2:11">
      <c r="B3622" s="97" t="str">
        <f ca="1">IF(A3622="","Date",IF(A3622&lt;&gt;"",IF(B3622="Date",NOW(),B3622),""))</f>
        <v>Date</v>
      </c>
      <c r="C3622" s="19" t="str">
        <f>IF(ISBLANK(A3622),"Name",IF(ISNA(VLOOKUP(A3622,'Master List'!A:C,2,FALSE)), "Not Found", VLOOKUP(A3622,'Master List'!A:C,2,FALSE)))</f>
        <v>Name</v>
      </c>
      <c r="D3622" s="19" t="str">
        <f>IF(ISBLANK(A3622), "Email",IF(ISNA(VLOOKUP(A3622,'Master List'!A:C,3,FALSE)), "Not Found", VLOOKUP(A3622,'Master List'!A:C,3,FALSE)))</f>
        <v>Email</v>
      </c>
      <c r="F3622" s="4" t="str">
        <f>IF(OR(A3622="",E3622="","",A3622="?",E3622="?"),"duplicate?",IF(COUNTIFS($A:A,A3622,E:E,E3622)&gt;1,"yes","no"))</f>
        <v>duplicate?</v>
      </c>
      <c r="K3622" s="97" t="str">
        <f ca="1">IF(J3622="","Date",IF(J3622&lt;&gt;"",IF(K3622="Date",NOW(),K3622),""))</f>
        <v>Date</v>
      </c>
    </row>
    <row r="3623" spans="2:11">
      <c r="B3623" s="97" t="str">
        <f ca="1">IF(A3623="","Date",IF(A3623&lt;&gt;"",IF(B3623="Date",NOW(),B3623),""))</f>
        <v>Date</v>
      </c>
      <c r="C3623" s="19" t="str">
        <f>IF(ISBLANK(A3623),"Name",IF(ISNA(VLOOKUP(A3623,'Master List'!A:C,2,FALSE)), "Not Found", VLOOKUP(A3623,'Master List'!A:C,2,FALSE)))</f>
        <v>Name</v>
      </c>
      <c r="D3623" s="19" t="str">
        <f>IF(ISBLANK(A3623), "Email",IF(ISNA(VLOOKUP(A3623,'Master List'!A:C,3,FALSE)), "Not Found", VLOOKUP(A3623,'Master List'!A:C,3,FALSE)))</f>
        <v>Email</v>
      </c>
      <c r="F3623" s="4" t="str">
        <f>IF(OR(A3623="",E3623="","",A3623="?",E3623="?"),"duplicate?",IF(COUNTIFS($A:A,A3623,E:E,E3623)&gt;1,"yes","no"))</f>
        <v>duplicate?</v>
      </c>
      <c r="K3623" s="97" t="str">
        <f ca="1">IF(J3623="","Date",IF(J3623&lt;&gt;"",IF(K3623="Date",NOW(),K3623),""))</f>
        <v>Date</v>
      </c>
    </row>
    <row r="3624" spans="2:11">
      <c r="B3624" s="97" t="str">
        <f ca="1">IF(A3624="","Date",IF(A3624&lt;&gt;"",IF(B3624="Date",NOW(),B3624),""))</f>
        <v>Date</v>
      </c>
      <c r="C3624" s="19" t="str">
        <f>IF(ISBLANK(A3624),"Name",IF(ISNA(VLOOKUP(A3624,'Master List'!A:C,2,FALSE)), "Not Found", VLOOKUP(A3624,'Master List'!A:C,2,FALSE)))</f>
        <v>Name</v>
      </c>
      <c r="D3624" s="19" t="str">
        <f>IF(ISBLANK(A3624), "Email",IF(ISNA(VLOOKUP(A3624,'Master List'!A:C,3,FALSE)), "Not Found", VLOOKUP(A3624,'Master List'!A:C,3,FALSE)))</f>
        <v>Email</v>
      </c>
      <c r="F3624" s="4" t="str">
        <f>IF(OR(A3624="",E3624="","",A3624="?",E3624="?"),"duplicate?",IF(COUNTIFS($A:A,A3624,E:E,E3624)&gt;1,"yes","no"))</f>
        <v>duplicate?</v>
      </c>
      <c r="K3624" s="97" t="str">
        <f ca="1">IF(J3624="","Date",IF(J3624&lt;&gt;"",IF(K3624="Date",NOW(),K3624),""))</f>
        <v>Date</v>
      </c>
    </row>
    <row r="3625" spans="2:11">
      <c r="B3625" s="97" t="str">
        <f ca="1">IF(A3625="","Date",IF(A3625&lt;&gt;"",IF(B3625="Date",NOW(),B3625),""))</f>
        <v>Date</v>
      </c>
      <c r="C3625" s="19" t="str">
        <f>IF(ISBLANK(A3625),"Name",IF(ISNA(VLOOKUP(A3625,'Master List'!A:C,2,FALSE)), "Not Found", VLOOKUP(A3625,'Master List'!A:C,2,FALSE)))</f>
        <v>Name</v>
      </c>
      <c r="D3625" s="19" t="str">
        <f>IF(ISBLANK(A3625), "Email",IF(ISNA(VLOOKUP(A3625,'Master List'!A:C,3,FALSE)), "Not Found", VLOOKUP(A3625,'Master List'!A:C,3,FALSE)))</f>
        <v>Email</v>
      </c>
      <c r="F3625" s="4" t="str">
        <f>IF(OR(A3625="",E3625="","",A3625="?",E3625="?"),"duplicate?",IF(COUNTIFS($A:A,A3625,E:E,E3625)&gt;1,"yes","no"))</f>
        <v>duplicate?</v>
      </c>
      <c r="K3625" s="97" t="str">
        <f ca="1">IF(J3625="","Date",IF(J3625&lt;&gt;"",IF(K3625="Date",NOW(),K3625),""))</f>
        <v>Date</v>
      </c>
    </row>
    <row r="3626" spans="2:11">
      <c r="B3626" s="97" t="str">
        <f ca="1">IF(A3626="","Date",IF(A3626&lt;&gt;"",IF(B3626="Date",NOW(),B3626),""))</f>
        <v>Date</v>
      </c>
      <c r="C3626" s="19" t="str">
        <f>IF(ISBLANK(A3626),"Name",IF(ISNA(VLOOKUP(A3626,'Master List'!A:C,2,FALSE)), "Not Found", VLOOKUP(A3626,'Master List'!A:C,2,FALSE)))</f>
        <v>Name</v>
      </c>
      <c r="D3626" s="19" t="str">
        <f>IF(ISBLANK(A3626), "Email",IF(ISNA(VLOOKUP(A3626,'Master List'!A:C,3,FALSE)), "Not Found", VLOOKUP(A3626,'Master List'!A:C,3,FALSE)))</f>
        <v>Email</v>
      </c>
      <c r="F3626" s="4" t="str">
        <f>IF(OR(A3626="",E3626="","",A3626="?",E3626="?"),"duplicate?",IF(COUNTIFS($A:A,A3626,E:E,E3626)&gt;1,"yes","no"))</f>
        <v>duplicate?</v>
      </c>
      <c r="K3626" s="97" t="str">
        <f ca="1">IF(J3626="","Date",IF(J3626&lt;&gt;"",IF(K3626="Date",NOW(),K3626),""))</f>
        <v>Date</v>
      </c>
    </row>
    <row r="3627" spans="2:11">
      <c r="B3627" s="97" t="str">
        <f ca="1">IF(A3627="","Date",IF(A3627&lt;&gt;"",IF(B3627="Date",NOW(),B3627),""))</f>
        <v>Date</v>
      </c>
      <c r="C3627" s="19" t="str">
        <f>IF(ISBLANK(A3627),"Name",IF(ISNA(VLOOKUP(A3627,'Master List'!A:C,2,FALSE)), "Not Found", VLOOKUP(A3627,'Master List'!A:C,2,FALSE)))</f>
        <v>Name</v>
      </c>
      <c r="D3627" s="19" t="str">
        <f>IF(ISBLANK(A3627), "Email",IF(ISNA(VLOOKUP(A3627,'Master List'!A:C,3,FALSE)), "Not Found", VLOOKUP(A3627,'Master List'!A:C,3,FALSE)))</f>
        <v>Email</v>
      </c>
      <c r="F3627" s="4" t="str">
        <f>IF(OR(A3627="",E3627="","",A3627="?",E3627="?"),"duplicate?",IF(COUNTIFS($A:A,A3627,E:E,E3627)&gt;1,"yes","no"))</f>
        <v>duplicate?</v>
      </c>
      <c r="K3627" s="97" t="str">
        <f ca="1">IF(J3627="","Date",IF(J3627&lt;&gt;"",IF(K3627="Date",NOW(),K3627),""))</f>
        <v>Date</v>
      </c>
    </row>
    <row r="3628" spans="2:11">
      <c r="B3628" s="97" t="str">
        <f ca="1">IF(A3628="","Date",IF(A3628&lt;&gt;"",IF(B3628="Date",NOW(),B3628),""))</f>
        <v>Date</v>
      </c>
      <c r="C3628" s="19" t="str">
        <f>IF(ISBLANK(A3628),"Name",IF(ISNA(VLOOKUP(A3628,'Master List'!A:C,2,FALSE)), "Not Found", VLOOKUP(A3628,'Master List'!A:C,2,FALSE)))</f>
        <v>Name</v>
      </c>
      <c r="D3628" s="19" t="str">
        <f>IF(ISBLANK(A3628), "Email",IF(ISNA(VLOOKUP(A3628,'Master List'!A:C,3,FALSE)), "Not Found", VLOOKUP(A3628,'Master List'!A:C,3,FALSE)))</f>
        <v>Email</v>
      </c>
      <c r="F3628" s="4" t="str">
        <f>IF(OR(A3628="",E3628="","",A3628="?",E3628="?"),"duplicate?",IF(COUNTIFS($A:A,A3628,E:E,E3628)&gt;1,"yes","no"))</f>
        <v>duplicate?</v>
      </c>
      <c r="K3628" s="97" t="str">
        <f ca="1">IF(J3628="","Date",IF(J3628&lt;&gt;"",IF(K3628="Date",NOW(),K3628),""))</f>
        <v>Date</v>
      </c>
    </row>
    <row r="3629" spans="2:11">
      <c r="B3629" s="97" t="str">
        <f ca="1">IF(A3629="","Date",IF(A3629&lt;&gt;"",IF(B3629="Date",NOW(),B3629),""))</f>
        <v>Date</v>
      </c>
      <c r="C3629" s="19" t="str">
        <f>IF(ISBLANK(A3629),"Name",IF(ISNA(VLOOKUP(A3629,'Master List'!A:C,2,FALSE)), "Not Found", VLOOKUP(A3629,'Master List'!A:C,2,FALSE)))</f>
        <v>Name</v>
      </c>
      <c r="D3629" s="19" t="str">
        <f>IF(ISBLANK(A3629), "Email",IF(ISNA(VLOOKUP(A3629,'Master List'!A:C,3,FALSE)), "Not Found", VLOOKUP(A3629,'Master List'!A:C,3,FALSE)))</f>
        <v>Email</v>
      </c>
      <c r="F3629" s="4" t="str">
        <f>IF(OR(A3629="",E3629="","",A3629="?",E3629="?"),"duplicate?",IF(COUNTIFS($A:A,A3629,E:E,E3629)&gt;1,"yes","no"))</f>
        <v>duplicate?</v>
      </c>
      <c r="K3629" s="97" t="str">
        <f ca="1">IF(J3629="","Date",IF(J3629&lt;&gt;"",IF(K3629="Date",NOW(),K3629),""))</f>
        <v>Date</v>
      </c>
    </row>
    <row r="3630" spans="2:11">
      <c r="B3630" s="97" t="str">
        <f ca="1">IF(A3630="","Date",IF(A3630&lt;&gt;"",IF(B3630="Date",NOW(),B3630),""))</f>
        <v>Date</v>
      </c>
      <c r="C3630" s="19" t="str">
        <f>IF(ISBLANK(A3630),"Name",IF(ISNA(VLOOKUP(A3630,'Master List'!A:C,2,FALSE)), "Not Found", VLOOKUP(A3630,'Master List'!A:C,2,FALSE)))</f>
        <v>Name</v>
      </c>
      <c r="D3630" s="19" t="str">
        <f>IF(ISBLANK(A3630), "Email",IF(ISNA(VLOOKUP(A3630,'Master List'!A:C,3,FALSE)), "Not Found", VLOOKUP(A3630,'Master List'!A:C,3,FALSE)))</f>
        <v>Email</v>
      </c>
      <c r="F3630" s="4" t="str">
        <f>IF(OR(A3630="",E3630="","",A3630="?",E3630="?"),"duplicate?",IF(COUNTIFS($A:A,A3630,E:E,E3630)&gt;1,"yes","no"))</f>
        <v>duplicate?</v>
      </c>
      <c r="K3630" s="97" t="str">
        <f ca="1">IF(J3630="","Date",IF(J3630&lt;&gt;"",IF(K3630="Date",NOW(),K3630),""))</f>
        <v>Date</v>
      </c>
    </row>
    <row r="3631" spans="2:11">
      <c r="B3631" s="97" t="str">
        <f ca="1">IF(A3631="","Date",IF(A3631&lt;&gt;"",IF(B3631="Date",NOW(),B3631),""))</f>
        <v>Date</v>
      </c>
      <c r="C3631" s="19" t="str">
        <f>IF(ISBLANK(A3631),"Name",IF(ISNA(VLOOKUP(A3631,'Master List'!A:C,2,FALSE)), "Not Found", VLOOKUP(A3631,'Master List'!A:C,2,FALSE)))</f>
        <v>Name</v>
      </c>
      <c r="D3631" s="19" t="str">
        <f>IF(ISBLANK(A3631), "Email",IF(ISNA(VLOOKUP(A3631,'Master List'!A:C,3,FALSE)), "Not Found", VLOOKUP(A3631,'Master List'!A:C,3,FALSE)))</f>
        <v>Email</v>
      </c>
      <c r="F3631" s="4" t="str">
        <f>IF(OR(A3631="",E3631="","",A3631="?",E3631="?"),"duplicate?",IF(COUNTIFS($A:A,A3631,E:E,E3631)&gt;1,"yes","no"))</f>
        <v>duplicate?</v>
      </c>
      <c r="K3631" s="97" t="str">
        <f ca="1">IF(J3631="","Date",IF(J3631&lt;&gt;"",IF(K3631="Date",NOW(),K3631),""))</f>
        <v>Date</v>
      </c>
    </row>
    <row r="3632" spans="2:11">
      <c r="B3632" s="97" t="str">
        <f ca="1">IF(A3632="","Date",IF(A3632&lt;&gt;"",IF(B3632="Date",NOW(),B3632),""))</f>
        <v>Date</v>
      </c>
      <c r="C3632" s="19" t="str">
        <f>IF(ISBLANK(A3632),"Name",IF(ISNA(VLOOKUP(A3632,'Master List'!A:C,2,FALSE)), "Not Found", VLOOKUP(A3632,'Master List'!A:C,2,FALSE)))</f>
        <v>Name</v>
      </c>
      <c r="D3632" s="19" t="str">
        <f>IF(ISBLANK(A3632), "Email",IF(ISNA(VLOOKUP(A3632,'Master List'!A:C,3,FALSE)), "Not Found", VLOOKUP(A3632,'Master List'!A:C,3,FALSE)))</f>
        <v>Email</v>
      </c>
      <c r="F3632" s="4" t="str">
        <f>IF(OR(A3632="",E3632="","",A3632="?",E3632="?"),"duplicate?",IF(COUNTIFS($A:A,A3632,E:E,E3632)&gt;1,"yes","no"))</f>
        <v>duplicate?</v>
      </c>
      <c r="K3632" s="97" t="str">
        <f ca="1">IF(J3632="","Date",IF(J3632&lt;&gt;"",IF(K3632="Date",NOW(),K3632),""))</f>
        <v>Date</v>
      </c>
    </row>
    <row r="3633" spans="2:11">
      <c r="B3633" s="97" t="str">
        <f ca="1">IF(A3633="","Date",IF(A3633&lt;&gt;"",IF(B3633="Date",NOW(),B3633),""))</f>
        <v>Date</v>
      </c>
      <c r="C3633" s="19" t="str">
        <f>IF(ISBLANK(A3633),"Name",IF(ISNA(VLOOKUP(A3633,'Master List'!A:C,2,FALSE)), "Not Found", VLOOKUP(A3633,'Master List'!A:C,2,FALSE)))</f>
        <v>Name</v>
      </c>
      <c r="D3633" s="19" t="str">
        <f>IF(ISBLANK(A3633), "Email",IF(ISNA(VLOOKUP(A3633,'Master List'!A:C,3,FALSE)), "Not Found", VLOOKUP(A3633,'Master List'!A:C,3,FALSE)))</f>
        <v>Email</v>
      </c>
      <c r="F3633" s="4" t="str">
        <f>IF(OR(A3633="",E3633="","",A3633="?",E3633="?"),"duplicate?",IF(COUNTIFS($A:A,A3633,E:E,E3633)&gt;1,"yes","no"))</f>
        <v>duplicate?</v>
      </c>
      <c r="K3633" s="97" t="str">
        <f ca="1">IF(J3633="","Date",IF(J3633&lt;&gt;"",IF(K3633="Date",NOW(),K3633),""))</f>
        <v>Date</v>
      </c>
    </row>
    <row r="3634" spans="2:11">
      <c r="B3634" s="97" t="str">
        <f ca="1">IF(A3634="","Date",IF(A3634&lt;&gt;"",IF(B3634="Date",NOW(),B3634),""))</f>
        <v>Date</v>
      </c>
      <c r="C3634" s="19" t="str">
        <f>IF(ISBLANK(A3634),"Name",IF(ISNA(VLOOKUP(A3634,'Master List'!A:C,2,FALSE)), "Not Found", VLOOKUP(A3634,'Master List'!A:C,2,FALSE)))</f>
        <v>Name</v>
      </c>
      <c r="D3634" s="19" t="str">
        <f>IF(ISBLANK(A3634), "Email",IF(ISNA(VLOOKUP(A3634,'Master List'!A:C,3,FALSE)), "Not Found", VLOOKUP(A3634,'Master List'!A:C,3,FALSE)))</f>
        <v>Email</v>
      </c>
      <c r="F3634" s="4" t="str">
        <f>IF(OR(A3634="",E3634="","",A3634="?",E3634="?"),"duplicate?",IF(COUNTIFS($A:A,A3634,E:E,E3634)&gt;1,"yes","no"))</f>
        <v>duplicate?</v>
      </c>
      <c r="K3634" s="97" t="str">
        <f ca="1">IF(J3634="","Date",IF(J3634&lt;&gt;"",IF(K3634="Date",NOW(),K3634),""))</f>
        <v>Date</v>
      </c>
    </row>
    <row r="3635" spans="2:11">
      <c r="B3635" s="97" t="str">
        <f ca="1">IF(A3635="","Date",IF(A3635&lt;&gt;"",IF(B3635="Date",NOW(),B3635),""))</f>
        <v>Date</v>
      </c>
      <c r="C3635" s="19" t="str">
        <f>IF(ISBLANK(A3635),"Name",IF(ISNA(VLOOKUP(A3635,'Master List'!A:C,2,FALSE)), "Not Found", VLOOKUP(A3635,'Master List'!A:C,2,FALSE)))</f>
        <v>Name</v>
      </c>
      <c r="D3635" s="19" t="str">
        <f>IF(ISBLANK(A3635), "Email",IF(ISNA(VLOOKUP(A3635,'Master List'!A:C,3,FALSE)), "Not Found", VLOOKUP(A3635,'Master List'!A:C,3,FALSE)))</f>
        <v>Email</v>
      </c>
      <c r="F3635" s="4" t="str">
        <f>IF(OR(A3635="",E3635="","",A3635="?",E3635="?"),"duplicate?",IF(COUNTIFS($A:A,A3635,E:E,E3635)&gt;1,"yes","no"))</f>
        <v>duplicate?</v>
      </c>
      <c r="K3635" s="97" t="str">
        <f ca="1">IF(J3635="","Date",IF(J3635&lt;&gt;"",IF(K3635="Date",NOW(),K3635),""))</f>
        <v>Date</v>
      </c>
    </row>
    <row r="3636" spans="2:11">
      <c r="B3636" s="97" t="str">
        <f ca="1">IF(A3636="","Date",IF(A3636&lt;&gt;"",IF(B3636="Date",NOW(),B3636),""))</f>
        <v>Date</v>
      </c>
      <c r="C3636" s="19" t="str">
        <f>IF(ISBLANK(A3636),"Name",IF(ISNA(VLOOKUP(A3636,'Master List'!A:C,2,FALSE)), "Not Found", VLOOKUP(A3636,'Master List'!A:C,2,FALSE)))</f>
        <v>Name</v>
      </c>
      <c r="D3636" s="19" t="str">
        <f>IF(ISBLANK(A3636), "Email",IF(ISNA(VLOOKUP(A3636,'Master List'!A:C,3,FALSE)), "Not Found", VLOOKUP(A3636,'Master List'!A:C,3,FALSE)))</f>
        <v>Email</v>
      </c>
      <c r="F3636" s="4" t="str">
        <f>IF(OR(A3636="",E3636="","",A3636="?",E3636="?"),"duplicate?",IF(COUNTIFS($A:A,A3636,E:E,E3636)&gt;1,"yes","no"))</f>
        <v>duplicate?</v>
      </c>
      <c r="K3636" s="97" t="str">
        <f ca="1">IF(J3636="","Date",IF(J3636&lt;&gt;"",IF(K3636="Date",NOW(),K3636),""))</f>
        <v>Date</v>
      </c>
    </row>
    <row r="3637" spans="2:11">
      <c r="B3637" s="97" t="str">
        <f ca="1">IF(A3637="","Date",IF(A3637&lt;&gt;"",IF(B3637="Date",NOW(),B3637),""))</f>
        <v>Date</v>
      </c>
      <c r="C3637" s="19" t="str">
        <f>IF(ISBLANK(A3637),"Name",IF(ISNA(VLOOKUP(A3637,'Master List'!A:C,2,FALSE)), "Not Found", VLOOKUP(A3637,'Master List'!A:C,2,FALSE)))</f>
        <v>Name</v>
      </c>
      <c r="D3637" s="19" t="str">
        <f>IF(ISBLANK(A3637), "Email",IF(ISNA(VLOOKUP(A3637,'Master List'!A:C,3,FALSE)), "Not Found", VLOOKUP(A3637,'Master List'!A:C,3,FALSE)))</f>
        <v>Email</v>
      </c>
      <c r="F3637" s="4" t="str">
        <f>IF(OR(A3637="",E3637="","",A3637="?",E3637="?"),"duplicate?",IF(COUNTIFS($A:A,A3637,E:E,E3637)&gt;1,"yes","no"))</f>
        <v>duplicate?</v>
      </c>
      <c r="K3637" s="97" t="str">
        <f ca="1">IF(J3637="","Date",IF(J3637&lt;&gt;"",IF(K3637="Date",NOW(),K3637),""))</f>
        <v>Date</v>
      </c>
    </row>
    <row r="3638" spans="2:11">
      <c r="B3638" s="97" t="str">
        <f ca="1">IF(A3638="","Date",IF(A3638&lt;&gt;"",IF(B3638="Date",NOW(),B3638),""))</f>
        <v>Date</v>
      </c>
      <c r="C3638" s="19" t="str">
        <f>IF(ISBLANK(A3638),"Name",IF(ISNA(VLOOKUP(A3638,'Master List'!A:C,2,FALSE)), "Not Found", VLOOKUP(A3638,'Master List'!A:C,2,FALSE)))</f>
        <v>Name</v>
      </c>
      <c r="D3638" s="19" t="str">
        <f>IF(ISBLANK(A3638), "Email",IF(ISNA(VLOOKUP(A3638,'Master List'!A:C,3,FALSE)), "Not Found", VLOOKUP(A3638,'Master List'!A:C,3,FALSE)))</f>
        <v>Email</v>
      </c>
      <c r="F3638" s="4" t="str">
        <f>IF(OR(A3638="",E3638="","",A3638="?",E3638="?"),"duplicate?",IF(COUNTIFS($A:A,A3638,E:E,E3638)&gt;1,"yes","no"))</f>
        <v>duplicate?</v>
      </c>
      <c r="K3638" s="97" t="str">
        <f ca="1">IF(J3638="","Date",IF(J3638&lt;&gt;"",IF(K3638="Date",NOW(),K3638),""))</f>
        <v>Date</v>
      </c>
    </row>
    <row r="3639" spans="2:11">
      <c r="B3639" s="97" t="str">
        <f ca="1">IF(A3639="","Date",IF(A3639&lt;&gt;"",IF(B3639="Date",NOW(),B3639),""))</f>
        <v>Date</v>
      </c>
      <c r="C3639" s="19" t="str">
        <f>IF(ISBLANK(A3639),"Name",IF(ISNA(VLOOKUP(A3639,'Master List'!A:C,2,FALSE)), "Not Found", VLOOKUP(A3639,'Master List'!A:C,2,FALSE)))</f>
        <v>Name</v>
      </c>
      <c r="D3639" s="19" t="str">
        <f>IF(ISBLANK(A3639), "Email",IF(ISNA(VLOOKUP(A3639,'Master List'!A:C,3,FALSE)), "Not Found", VLOOKUP(A3639,'Master List'!A:C,3,FALSE)))</f>
        <v>Email</v>
      </c>
      <c r="F3639" s="4" t="str">
        <f>IF(OR(A3639="",E3639="","",A3639="?",E3639="?"),"duplicate?",IF(COUNTIFS($A:A,A3639,E:E,E3639)&gt;1,"yes","no"))</f>
        <v>duplicate?</v>
      </c>
      <c r="K3639" s="97" t="str">
        <f ca="1">IF(J3639="","Date",IF(J3639&lt;&gt;"",IF(K3639="Date",NOW(),K3639),""))</f>
        <v>Date</v>
      </c>
    </row>
    <row r="3640" spans="2:11">
      <c r="B3640" s="97" t="str">
        <f ca="1">IF(A3640="","Date",IF(A3640&lt;&gt;"",IF(B3640="Date",NOW(),B3640),""))</f>
        <v>Date</v>
      </c>
      <c r="C3640" s="19" t="str">
        <f>IF(ISBLANK(A3640),"Name",IF(ISNA(VLOOKUP(A3640,'Master List'!A:C,2,FALSE)), "Not Found", VLOOKUP(A3640,'Master List'!A:C,2,FALSE)))</f>
        <v>Name</v>
      </c>
      <c r="D3640" s="19" t="str">
        <f>IF(ISBLANK(A3640), "Email",IF(ISNA(VLOOKUP(A3640,'Master List'!A:C,3,FALSE)), "Not Found", VLOOKUP(A3640,'Master List'!A:C,3,FALSE)))</f>
        <v>Email</v>
      </c>
      <c r="F3640" s="4" t="str">
        <f>IF(OR(A3640="",E3640="","",A3640="?",E3640="?"),"duplicate?",IF(COUNTIFS($A:A,A3640,E:E,E3640)&gt;1,"yes","no"))</f>
        <v>duplicate?</v>
      </c>
      <c r="K3640" s="97" t="str">
        <f ca="1">IF(J3640="","Date",IF(J3640&lt;&gt;"",IF(K3640="Date",NOW(),K3640),""))</f>
        <v>Date</v>
      </c>
    </row>
    <row r="3641" spans="2:11">
      <c r="B3641" s="97" t="str">
        <f ca="1">IF(A3641="","Date",IF(A3641&lt;&gt;"",IF(B3641="Date",NOW(),B3641),""))</f>
        <v>Date</v>
      </c>
      <c r="C3641" s="19" t="str">
        <f>IF(ISBLANK(A3641),"Name",IF(ISNA(VLOOKUP(A3641,'Master List'!A:C,2,FALSE)), "Not Found", VLOOKUP(A3641,'Master List'!A:C,2,FALSE)))</f>
        <v>Name</v>
      </c>
      <c r="D3641" s="19" t="str">
        <f>IF(ISBLANK(A3641), "Email",IF(ISNA(VLOOKUP(A3641,'Master List'!A:C,3,FALSE)), "Not Found", VLOOKUP(A3641,'Master List'!A:C,3,FALSE)))</f>
        <v>Email</v>
      </c>
      <c r="F3641" s="4" t="str">
        <f>IF(OR(A3641="",E3641="","",A3641="?",E3641="?"),"duplicate?",IF(COUNTIFS($A:A,A3641,E:E,E3641)&gt;1,"yes","no"))</f>
        <v>duplicate?</v>
      </c>
      <c r="K3641" s="97" t="str">
        <f ca="1">IF(J3641="","Date",IF(J3641&lt;&gt;"",IF(K3641="Date",NOW(),K3641),""))</f>
        <v>Date</v>
      </c>
    </row>
    <row r="3642" spans="2:11">
      <c r="B3642" s="97" t="str">
        <f ca="1">IF(A3642="","Date",IF(A3642&lt;&gt;"",IF(B3642="Date",NOW(),B3642),""))</f>
        <v>Date</v>
      </c>
      <c r="C3642" s="19" t="str">
        <f>IF(ISBLANK(A3642),"Name",IF(ISNA(VLOOKUP(A3642,'Master List'!A:C,2,FALSE)), "Not Found", VLOOKUP(A3642,'Master List'!A:C,2,FALSE)))</f>
        <v>Name</v>
      </c>
      <c r="D3642" s="19" t="str">
        <f>IF(ISBLANK(A3642), "Email",IF(ISNA(VLOOKUP(A3642,'Master List'!A:C,3,FALSE)), "Not Found", VLOOKUP(A3642,'Master List'!A:C,3,FALSE)))</f>
        <v>Email</v>
      </c>
      <c r="F3642" s="4" t="str">
        <f>IF(OR(A3642="",E3642="","",A3642="?",E3642="?"),"duplicate?",IF(COUNTIFS($A:A,A3642,E:E,E3642)&gt;1,"yes","no"))</f>
        <v>duplicate?</v>
      </c>
      <c r="K3642" s="97" t="str">
        <f ca="1">IF(J3642="","Date",IF(J3642&lt;&gt;"",IF(K3642="Date",NOW(),K3642),""))</f>
        <v>Date</v>
      </c>
    </row>
    <row r="3643" spans="2:11">
      <c r="B3643" s="97" t="str">
        <f ca="1">IF(A3643="","Date",IF(A3643&lt;&gt;"",IF(B3643="Date",NOW(),B3643),""))</f>
        <v>Date</v>
      </c>
      <c r="C3643" s="19" t="str">
        <f>IF(ISBLANK(A3643),"Name",IF(ISNA(VLOOKUP(A3643,'Master List'!A:C,2,FALSE)), "Not Found", VLOOKUP(A3643,'Master List'!A:C,2,FALSE)))</f>
        <v>Name</v>
      </c>
      <c r="D3643" s="19" t="str">
        <f>IF(ISBLANK(A3643), "Email",IF(ISNA(VLOOKUP(A3643,'Master List'!A:C,3,FALSE)), "Not Found", VLOOKUP(A3643,'Master List'!A:C,3,FALSE)))</f>
        <v>Email</v>
      </c>
      <c r="F3643" s="4" t="str">
        <f>IF(OR(A3643="",E3643="","",A3643="?",E3643="?"),"duplicate?",IF(COUNTIFS($A:A,A3643,E:E,E3643)&gt;1,"yes","no"))</f>
        <v>duplicate?</v>
      </c>
      <c r="K3643" s="97" t="str">
        <f ca="1">IF(J3643="","Date",IF(J3643&lt;&gt;"",IF(K3643="Date",NOW(),K3643),""))</f>
        <v>Date</v>
      </c>
    </row>
    <row r="3644" spans="2:11">
      <c r="B3644" s="97" t="str">
        <f ca="1">IF(A3644="","Date",IF(A3644&lt;&gt;"",IF(B3644="Date",NOW(),B3644),""))</f>
        <v>Date</v>
      </c>
      <c r="C3644" s="19" t="str">
        <f>IF(ISBLANK(A3644),"Name",IF(ISNA(VLOOKUP(A3644,'Master List'!A:C,2,FALSE)), "Not Found", VLOOKUP(A3644,'Master List'!A:C,2,FALSE)))</f>
        <v>Name</v>
      </c>
      <c r="D3644" s="19" t="str">
        <f>IF(ISBLANK(A3644), "Email",IF(ISNA(VLOOKUP(A3644,'Master List'!A:C,3,FALSE)), "Not Found", VLOOKUP(A3644,'Master List'!A:C,3,FALSE)))</f>
        <v>Email</v>
      </c>
      <c r="F3644" s="4" t="str">
        <f>IF(OR(A3644="",E3644="","",A3644="?",E3644="?"),"duplicate?",IF(COUNTIFS($A:A,A3644,E:E,E3644)&gt;1,"yes","no"))</f>
        <v>duplicate?</v>
      </c>
      <c r="K3644" s="97" t="str">
        <f ca="1">IF(J3644="","Date",IF(J3644&lt;&gt;"",IF(K3644="Date",NOW(),K3644),""))</f>
        <v>Date</v>
      </c>
    </row>
    <row r="3645" spans="2:11">
      <c r="B3645" s="97" t="str">
        <f ca="1">IF(A3645="","Date",IF(A3645&lt;&gt;"",IF(B3645="Date",NOW(),B3645),""))</f>
        <v>Date</v>
      </c>
      <c r="C3645" s="19" t="str">
        <f>IF(ISBLANK(A3645),"Name",IF(ISNA(VLOOKUP(A3645,'Master List'!A:C,2,FALSE)), "Not Found", VLOOKUP(A3645,'Master List'!A:C,2,FALSE)))</f>
        <v>Name</v>
      </c>
      <c r="D3645" s="19" t="str">
        <f>IF(ISBLANK(A3645), "Email",IF(ISNA(VLOOKUP(A3645,'Master List'!A:C,3,FALSE)), "Not Found", VLOOKUP(A3645,'Master List'!A:C,3,FALSE)))</f>
        <v>Email</v>
      </c>
      <c r="F3645" s="4" t="str">
        <f>IF(OR(A3645="",E3645="","",A3645="?",E3645="?"),"duplicate?",IF(COUNTIFS($A:A,A3645,E:E,E3645)&gt;1,"yes","no"))</f>
        <v>duplicate?</v>
      </c>
      <c r="K3645" s="97" t="str">
        <f ca="1">IF(J3645="","Date",IF(J3645&lt;&gt;"",IF(K3645="Date",NOW(),K3645),""))</f>
        <v>Date</v>
      </c>
    </row>
    <row r="3646" spans="2:11">
      <c r="B3646" s="97" t="str">
        <f ca="1">IF(A3646="","Date",IF(A3646&lt;&gt;"",IF(B3646="Date",NOW(),B3646),""))</f>
        <v>Date</v>
      </c>
      <c r="C3646" s="19" t="str">
        <f>IF(ISBLANK(A3646),"Name",IF(ISNA(VLOOKUP(A3646,'Master List'!A:C,2,FALSE)), "Not Found", VLOOKUP(A3646,'Master List'!A:C,2,FALSE)))</f>
        <v>Name</v>
      </c>
      <c r="D3646" s="19" t="str">
        <f>IF(ISBLANK(A3646), "Email",IF(ISNA(VLOOKUP(A3646,'Master List'!A:C,3,FALSE)), "Not Found", VLOOKUP(A3646,'Master List'!A:C,3,FALSE)))</f>
        <v>Email</v>
      </c>
      <c r="F3646" s="4" t="str">
        <f>IF(OR(A3646="",E3646="","",A3646="?",E3646="?"),"duplicate?",IF(COUNTIFS($A:A,A3646,E:E,E3646)&gt;1,"yes","no"))</f>
        <v>duplicate?</v>
      </c>
      <c r="K3646" s="97" t="str">
        <f ca="1">IF(J3646="","Date",IF(J3646&lt;&gt;"",IF(K3646="Date",NOW(),K3646),""))</f>
        <v>Date</v>
      </c>
    </row>
    <row r="3647" spans="2:11">
      <c r="B3647" s="97" t="str">
        <f ca="1">IF(A3647="","Date",IF(A3647&lt;&gt;"",IF(B3647="Date",NOW(),B3647),""))</f>
        <v>Date</v>
      </c>
      <c r="C3647" s="19" t="str">
        <f>IF(ISBLANK(A3647),"Name",IF(ISNA(VLOOKUP(A3647,'Master List'!A:C,2,FALSE)), "Not Found", VLOOKUP(A3647,'Master List'!A:C,2,FALSE)))</f>
        <v>Name</v>
      </c>
      <c r="D3647" s="19" t="str">
        <f>IF(ISBLANK(A3647), "Email",IF(ISNA(VLOOKUP(A3647,'Master List'!A:C,3,FALSE)), "Not Found", VLOOKUP(A3647,'Master List'!A:C,3,FALSE)))</f>
        <v>Email</v>
      </c>
      <c r="F3647" s="4" t="str">
        <f>IF(OR(A3647="",E3647="","",A3647="?",E3647="?"),"duplicate?",IF(COUNTIFS($A:A,A3647,E:E,E3647)&gt;1,"yes","no"))</f>
        <v>duplicate?</v>
      </c>
      <c r="K3647" s="97" t="str">
        <f ca="1">IF(J3647="","Date",IF(J3647&lt;&gt;"",IF(K3647="Date",NOW(),K3647),""))</f>
        <v>Date</v>
      </c>
    </row>
    <row r="3648" spans="2:11">
      <c r="B3648" s="97" t="str">
        <f ca="1">IF(A3648="","Date",IF(A3648&lt;&gt;"",IF(B3648="Date",NOW(),B3648),""))</f>
        <v>Date</v>
      </c>
      <c r="C3648" s="19" t="str">
        <f>IF(ISBLANK(A3648),"Name",IF(ISNA(VLOOKUP(A3648,'Master List'!A:C,2,FALSE)), "Not Found", VLOOKUP(A3648,'Master List'!A:C,2,FALSE)))</f>
        <v>Name</v>
      </c>
      <c r="D3648" s="19" t="str">
        <f>IF(ISBLANK(A3648), "Email",IF(ISNA(VLOOKUP(A3648,'Master List'!A:C,3,FALSE)), "Not Found", VLOOKUP(A3648,'Master List'!A:C,3,FALSE)))</f>
        <v>Email</v>
      </c>
      <c r="F3648" s="4" t="str">
        <f>IF(OR(A3648="",E3648="","",A3648="?",E3648="?"),"duplicate?",IF(COUNTIFS($A:A,A3648,E:E,E3648)&gt;1,"yes","no"))</f>
        <v>duplicate?</v>
      </c>
      <c r="K3648" s="97" t="str">
        <f ca="1">IF(J3648="","Date",IF(J3648&lt;&gt;"",IF(K3648="Date",NOW(),K3648),""))</f>
        <v>Date</v>
      </c>
    </row>
    <row r="3649" spans="2:11">
      <c r="B3649" s="97" t="str">
        <f ca="1">IF(A3649="","Date",IF(A3649&lt;&gt;"",IF(B3649="Date",NOW(),B3649),""))</f>
        <v>Date</v>
      </c>
      <c r="C3649" s="19" t="str">
        <f>IF(ISBLANK(A3649),"Name",IF(ISNA(VLOOKUP(A3649,'Master List'!A:C,2,FALSE)), "Not Found", VLOOKUP(A3649,'Master List'!A:C,2,FALSE)))</f>
        <v>Name</v>
      </c>
      <c r="D3649" s="19" t="str">
        <f>IF(ISBLANK(A3649), "Email",IF(ISNA(VLOOKUP(A3649,'Master List'!A:C,3,FALSE)), "Not Found", VLOOKUP(A3649,'Master List'!A:C,3,FALSE)))</f>
        <v>Email</v>
      </c>
      <c r="F3649" s="4" t="str">
        <f>IF(OR(A3649="",E3649="","",A3649="?",E3649="?"),"duplicate?",IF(COUNTIFS($A:A,A3649,E:E,E3649)&gt;1,"yes","no"))</f>
        <v>duplicate?</v>
      </c>
      <c r="K3649" s="97" t="str">
        <f ca="1">IF(J3649="","Date",IF(J3649&lt;&gt;"",IF(K3649="Date",NOW(),K3649),""))</f>
        <v>Date</v>
      </c>
    </row>
    <row r="3650" spans="2:11">
      <c r="B3650" s="97" t="str">
        <f ca="1">IF(A3650="","Date",IF(A3650&lt;&gt;"",IF(B3650="Date",NOW(),B3650),""))</f>
        <v>Date</v>
      </c>
      <c r="C3650" s="19" t="str">
        <f>IF(ISBLANK(A3650),"Name",IF(ISNA(VLOOKUP(A3650,'Master List'!A:C,2,FALSE)), "Not Found", VLOOKUP(A3650,'Master List'!A:C,2,FALSE)))</f>
        <v>Name</v>
      </c>
      <c r="D3650" s="19" t="str">
        <f>IF(ISBLANK(A3650), "Email",IF(ISNA(VLOOKUP(A3650,'Master List'!A:C,3,FALSE)), "Not Found", VLOOKUP(A3650,'Master List'!A:C,3,FALSE)))</f>
        <v>Email</v>
      </c>
      <c r="F3650" s="4" t="str">
        <f>IF(OR(A3650="",E3650="","",A3650="?",E3650="?"),"duplicate?",IF(COUNTIFS($A:A,A3650,E:E,E3650)&gt;1,"yes","no"))</f>
        <v>duplicate?</v>
      </c>
      <c r="K3650" s="97" t="str">
        <f ca="1">IF(J3650="","Date",IF(J3650&lt;&gt;"",IF(K3650="Date",NOW(),K3650),""))</f>
        <v>Date</v>
      </c>
    </row>
    <row r="3651" spans="2:11">
      <c r="B3651" s="97" t="str">
        <f ca="1">IF(A3651="","Date",IF(A3651&lt;&gt;"",IF(B3651="Date",NOW(),B3651),""))</f>
        <v>Date</v>
      </c>
      <c r="C3651" s="19" t="str">
        <f>IF(ISBLANK(A3651),"Name",IF(ISNA(VLOOKUP(A3651,'Master List'!A:C,2,FALSE)), "Not Found", VLOOKUP(A3651,'Master List'!A:C,2,FALSE)))</f>
        <v>Name</v>
      </c>
      <c r="D3651" s="19" t="str">
        <f>IF(ISBLANK(A3651), "Email",IF(ISNA(VLOOKUP(A3651,'Master List'!A:C,3,FALSE)), "Not Found", VLOOKUP(A3651,'Master List'!A:C,3,FALSE)))</f>
        <v>Email</v>
      </c>
      <c r="F3651" s="4" t="str">
        <f>IF(OR(A3651="",E3651="","",A3651="?",E3651="?"),"duplicate?",IF(COUNTIFS($A:A,A3651,E:E,E3651)&gt;1,"yes","no"))</f>
        <v>duplicate?</v>
      </c>
      <c r="K3651" s="97" t="str">
        <f ca="1">IF(J3651="","Date",IF(J3651&lt;&gt;"",IF(K3651="Date",NOW(),K3651),""))</f>
        <v>Date</v>
      </c>
    </row>
    <row r="3652" spans="2:11">
      <c r="B3652" s="97" t="str">
        <f ca="1">IF(A3652="","Date",IF(A3652&lt;&gt;"",IF(B3652="Date",NOW(),B3652),""))</f>
        <v>Date</v>
      </c>
      <c r="C3652" s="19" t="str">
        <f>IF(ISBLANK(A3652),"Name",IF(ISNA(VLOOKUP(A3652,'Master List'!A:C,2,FALSE)), "Not Found", VLOOKUP(A3652,'Master List'!A:C,2,FALSE)))</f>
        <v>Name</v>
      </c>
      <c r="D3652" s="19" t="str">
        <f>IF(ISBLANK(A3652), "Email",IF(ISNA(VLOOKUP(A3652,'Master List'!A:C,3,FALSE)), "Not Found", VLOOKUP(A3652,'Master List'!A:C,3,FALSE)))</f>
        <v>Email</v>
      </c>
      <c r="F3652" s="4" t="str">
        <f>IF(OR(A3652="",E3652="","",A3652="?",E3652="?"),"duplicate?",IF(COUNTIFS($A:A,A3652,E:E,E3652)&gt;1,"yes","no"))</f>
        <v>duplicate?</v>
      </c>
      <c r="K3652" s="97" t="str">
        <f ca="1">IF(J3652="","Date",IF(J3652&lt;&gt;"",IF(K3652="Date",NOW(),K3652),""))</f>
        <v>Date</v>
      </c>
    </row>
    <row r="3653" spans="2:11">
      <c r="B3653" s="97" t="str">
        <f ca="1">IF(A3653="","Date",IF(A3653&lt;&gt;"",IF(B3653="Date",NOW(),B3653),""))</f>
        <v>Date</v>
      </c>
      <c r="C3653" s="19" t="str">
        <f>IF(ISBLANK(A3653),"Name",IF(ISNA(VLOOKUP(A3653,'Master List'!A:C,2,FALSE)), "Not Found", VLOOKUP(A3653,'Master List'!A:C,2,FALSE)))</f>
        <v>Name</v>
      </c>
      <c r="D3653" s="19" t="str">
        <f>IF(ISBLANK(A3653), "Email",IF(ISNA(VLOOKUP(A3653,'Master List'!A:C,3,FALSE)), "Not Found", VLOOKUP(A3653,'Master List'!A:C,3,FALSE)))</f>
        <v>Email</v>
      </c>
      <c r="F3653" s="4" t="str">
        <f>IF(OR(A3653="",E3653="","",A3653="?",E3653="?"),"duplicate?",IF(COUNTIFS($A:A,A3653,E:E,E3653)&gt;1,"yes","no"))</f>
        <v>duplicate?</v>
      </c>
      <c r="K3653" s="97" t="str">
        <f ca="1">IF(J3653="","Date",IF(J3653&lt;&gt;"",IF(K3653="Date",NOW(),K3653),""))</f>
        <v>Date</v>
      </c>
    </row>
    <row r="3654" spans="2:11">
      <c r="B3654" s="97" t="str">
        <f ca="1">IF(A3654="","Date",IF(A3654&lt;&gt;"",IF(B3654="Date",NOW(),B3654),""))</f>
        <v>Date</v>
      </c>
      <c r="C3654" s="19" t="str">
        <f>IF(ISBLANK(A3654),"Name",IF(ISNA(VLOOKUP(A3654,'Master List'!A:C,2,FALSE)), "Not Found", VLOOKUP(A3654,'Master List'!A:C,2,FALSE)))</f>
        <v>Name</v>
      </c>
      <c r="D3654" s="19" t="str">
        <f>IF(ISBLANK(A3654), "Email",IF(ISNA(VLOOKUP(A3654,'Master List'!A:C,3,FALSE)), "Not Found", VLOOKUP(A3654,'Master List'!A:C,3,FALSE)))</f>
        <v>Email</v>
      </c>
      <c r="F3654" s="4" t="str">
        <f>IF(OR(A3654="",E3654="","",A3654="?",E3654="?"),"duplicate?",IF(COUNTIFS($A:A,A3654,E:E,E3654)&gt;1,"yes","no"))</f>
        <v>duplicate?</v>
      </c>
      <c r="K3654" s="97" t="str">
        <f ca="1">IF(J3654="","Date",IF(J3654&lt;&gt;"",IF(K3654="Date",NOW(),K3654),""))</f>
        <v>Date</v>
      </c>
    </row>
    <row r="3655" spans="2:11">
      <c r="B3655" s="97" t="str">
        <f ca="1">IF(A3655="","Date",IF(A3655&lt;&gt;"",IF(B3655="Date",NOW(),B3655),""))</f>
        <v>Date</v>
      </c>
      <c r="C3655" s="19" t="str">
        <f>IF(ISBLANK(A3655),"Name",IF(ISNA(VLOOKUP(A3655,'Master List'!A:C,2,FALSE)), "Not Found", VLOOKUP(A3655,'Master List'!A:C,2,FALSE)))</f>
        <v>Name</v>
      </c>
      <c r="D3655" s="19" t="str">
        <f>IF(ISBLANK(A3655), "Email",IF(ISNA(VLOOKUP(A3655,'Master List'!A:C,3,FALSE)), "Not Found", VLOOKUP(A3655,'Master List'!A:C,3,FALSE)))</f>
        <v>Email</v>
      </c>
      <c r="F3655" s="4" t="str">
        <f>IF(OR(A3655="",E3655="","",A3655="?",E3655="?"),"duplicate?",IF(COUNTIFS($A:A,A3655,E:E,E3655)&gt;1,"yes","no"))</f>
        <v>duplicate?</v>
      </c>
      <c r="K3655" s="97" t="str">
        <f ca="1">IF(J3655="","Date",IF(J3655&lt;&gt;"",IF(K3655="Date",NOW(),K3655),""))</f>
        <v>Date</v>
      </c>
    </row>
    <row r="3656" spans="2:11">
      <c r="B3656" s="97" t="str">
        <f ca="1">IF(A3656="","Date",IF(A3656&lt;&gt;"",IF(B3656="Date",NOW(),B3656),""))</f>
        <v>Date</v>
      </c>
      <c r="C3656" s="19" t="str">
        <f>IF(ISBLANK(A3656),"Name",IF(ISNA(VLOOKUP(A3656,'Master List'!A:C,2,FALSE)), "Not Found", VLOOKUP(A3656,'Master List'!A:C,2,FALSE)))</f>
        <v>Name</v>
      </c>
      <c r="D3656" s="19" t="str">
        <f>IF(ISBLANK(A3656), "Email",IF(ISNA(VLOOKUP(A3656,'Master List'!A:C,3,FALSE)), "Not Found", VLOOKUP(A3656,'Master List'!A:C,3,FALSE)))</f>
        <v>Email</v>
      </c>
      <c r="F3656" s="4" t="str">
        <f>IF(OR(A3656="",E3656="","",A3656="?",E3656="?"),"duplicate?",IF(COUNTIFS($A:A,A3656,E:E,E3656)&gt;1,"yes","no"))</f>
        <v>duplicate?</v>
      </c>
      <c r="K3656" s="97" t="str">
        <f ca="1">IF(J3656="","Date",IF(J3656&lt;&gt;"",IF(K3656="Date",NOW(),K3656),""))</f>
        <v>Date</v>
      </c>
    </row>
    <row r="3657" spans="2:11">
      <c r="B3657" s="97" t="str">
        <f ca="1">IF(A3657="","Date",IF(A3657&lt;&gt;"",IF(B3657="Date",NOW(),B3657),""))</f>
        <v>Date</v>
      </c>
      <c r="C3657" s="19" t="str">
        <f>IF(ISBLANK(A3657),"Name",IF(ISNA(VLOOKUP(A3657,'Master List'!A:C,2,FALSE)), "Not Found", VLOOKUP(A3657,'Master List'!A:C,2,FALSE)))</f>
        <v>Name</v>
      </c>
      <c r="D3657" s="19" t="str">
        <f>IF(ISBLANK(A3657), "Email",IF(ISNA(VLOOKUP(A3657,'Master List'!A:C,3,FALSE)), "Not Found", VLOOKUP(A3657,'Master List'!A:C,3,FALSE)))</f>
        <v>Email</v>
      </c>
      <c r="F3657" s="4" t="str">
        <f>IF(OR(A3657="",E3657="","",A3657="?",E3657="?"),"duplicate?",IF(COUNTIFS($A:A,A3657,E:E,E3657)&gt;1,"yes","no"))</f>
        <v>duplicate?</v>
      </c>
      <c r="K3657" s="97" t="str">
        <f ca="1">IF(J3657="","Date",IF(J3657&lt;&gt;"",IF(K3657="Date",NOW(),K3657),""))</f>
        <v>Date</v>
      </c>
    </row>
    <row r="3658" spans="2:11">
      <c r="B3658" s="97" t="str">
        <f ca="1">IF(A3658="","Date",IF(A3658&lt;&gt;"",IF(B3658="Date",NOW(),B3658),""))</f>
        <v>Date</v>
      </c>
      <c r="C3658" s="19" t="str">
        <f>IF(ISBLANK(A3658),"Name",IF(ISNA(VLOOKUP(A3658,'Master List'!A:C,2,FALSE)), "Not Found", VLOOKUP(A3658,'Master List'!A:C,2,FALSE)))</f>
        <v>Name</v>
      </c>
      <c r="D3658" s="19" t="str">
        <f>IF(ISBLANK(A3658), "Email",IF(ISNA(VLOOKUP(A3658,'Master List'!A:C,3,FALSE)), "Not Found", VLOOKUP(A3658,'Master List'!A:C,3,FALSE)))</f>
        <v>Email</v>
      </c>
      <c r="F3658" s="4" t="str">
        <f>IF(OR(A3658="",E3658="","",A3658="?",E3658="?"),"duplicate?",IF(COUNTIFS($A:A,A3658,E:E,E3658)&gt;1,"yes","no"))</f>
        <v>duplicate?</v>
      </c>
      <c r="K3658" s="97" t="str">
        <f ca="1">IF(J3658="","Date",IF(J3658&lt;&gt;"",IF(K3658="Date",NOW(),K3658),""))</f>
        <v>Date</v>
      </c>
    </row>
    <row r="3659" spans="2:11">
      <c r="B3659" s="97" t="str">
        <f ca="1">IF(A3659="","Date",IF(A3659&lt;&gt;"",IF(B3659="Date",NOW(),B3659),""))</f>
        <v>Date</v>
      </c>
      <c r="C3659" s="19" t="str">
        <f>IF(ISBLANK(A3659),"Name",IF(ISNA(VLOOKUP(A3659,'Master List'!A:C,2,FALSE)), "Not Found", VLOOKUP(A3659,'Master List'!A:C,2,FALSE)))</f>
        <v>Name</v>
      </c>
      <c r="D3659" s="19" t="str">
        <f>IF(ISBLANK(A3659), "Email",IF(ISNA(VLOOKUP(A3659,'Master List'!A:C,3,FALSE)), "Not Found", VLOOKUP(A3659,'Master List'!A:C,3,FALSE)))</f>
        <v>Email</v>
      </c>
      <c r="F3659" s="4" t="str">
        <f>IF(OR(A3659="",E3659="","",A3659="?",E3659="?"),"duplicate?",IF(COUNTIFS($A:A,A3659,E:E,E3659)&gt;1,"yes","no"))</f>
        <v>duplicate?</v>
      </c>
      <c r="K3659" s="97" t="str">
        <f ca="1">IF(J3659="","Date",IF(J3659&lt;&gt;"",IF(K3659="Date",NOW(),K3659),""))</f>
        <v>Date</v>
      </c>
    </row>
    <row r="3660" spans="2:11">
      <c r="B3660" s="97" t="str">
        <f ca="1">IF(A3660="","Date",IF(A3660&lt;&gt;"",IF(B3660="Date",NOW(),B3660),""))</f>
        <v>Date</v>
      </c>
      <c r="C3660" s="19" t="str">
        <f>IF(ISBLANK(A3660),"Name",IF(ISNA(VLOOKUP(A3660,'Master List'!A:C,2,FALSE)), "Not Found", VLOOKUP(A3660,'Master List'!A:C,2,FALSE)))</f>
        <v>Name</v>
      </c>
      <c r="D3660" s="19" t="str">
        <f>IF(ISBLANK(A3660), "Email",IF(ISNA(VLOOKUP(A3660,'Master List'!A:C,3,FALSE)), "Not Found", VLOOKUP(A3660,'Master List'!A:C,3,FALSE)))</f>
        <v>Email</v>
      </c>
      <c r="F3660" s="4" t="str">
        <f>IF(OR(A3660="",E3660="","",A3660="?",E3660="?"),"duplicate?",IF(COUNTIFS($A:A,A3660,E:E,E3660)&gt;1,"yes","no"))</f>
        <v>duplicate?</v>
      </c>
      <c r="K3660" s="97" t="str">
        <f ca="1">IF(J3660="","Date",IF(J3660&lt;&gt;"",IF(K3660="Date",NOW(),K3660),""))</f>
        <v>Date</v>
      </c>
    </row>
    <row r="3661" spans="2:11">
      <c r="B3661" s="97" t="str">
        <f ca="1">IF(A3661="","Date",IF(A3661&lt;&gt;"",IF(B3661="Date",NOW(),B3661),""))</f>
        <v>Date</v>
      </c>
      <c r="C3661" s="19" t="str">
        <f>IF(ISBLANK(A3661),"Name",IF(ISNA(VLOOKUP(A3661,'Master List'!A:C,2,FALSE)), "Not Found", VLOOKUP(A3661,'Master List'!A:C,2,FALSE)))</f>
        <v>Name</v>
      </c>
      <c r="D3661" s="19" t="str">
        <f>IF(ISBLANK(A3661), "Email",IF(ISNA(VLOOKUP(A3661,'Master List'!A:C,3,FALSE)), "Not Found", VLOOKUP(A3661,'Master List'!A:C,3,FALSE)))</f>
        <v>Email</v>
      </c>
      <c r="F3661" s="4" t="str">
        <f>IF(OR(A3661="",E3661="","",A3661="?",E3661="?"),"duplicate?",IF(COUNTIFS($A:A,A3661,E:E,E3661)&gt;1,"yes","no"))</f>
        <v>duplicate?</v>
      </c>
      <c r="K3661" s="97" t="str">
        <f ca="1">IF(J3661="","Date",IF(J3661&lt;&gt;"",IF(K3661="Date",NOW(),K3661),""))</f>
        <v>Date</v>
      </c>
    </row>
    <row r="3662" spans="2:11">
      <c r="B3662" s="97" t="str">
        <f ca="1">IF(A3662="","Date",IF(A3662&lt;&gt;"",IF(B3662="Date",NOW(),B3662),""))</f>
        <v>Date</v>
      </c>
      <c r="C3662" s="19" t="str">
        <f>IF(ISBLANK(A3662),"Name",IF(ISNA(VLOOKUP(A3662,'Master List'!A:C,2,FALSE)), "Not Found", VLOOKUP(A3662,'Master List'!A:C,2,FALSE)))</f>
        <v>Name</v>
      </c>
      <c r="D3662" s="19" t="str">
        <f>IF(ISBLANK(A3662), "Email",IF(ISNA(VLOOKUP(A3662,'Master List'!A:C,3,FALSE)), "Not Found", VLOOKUP(A3662,'Master List'!A:C,3,FALSE)))</f>
        <v>Email</v>
      </c>
      <c r="F3662" s="4" t="str">
        <f>IF(OR(A3662="",E3662="","",A3662="?",E3662="?"),"duplicate?",IF(COUNTIFS($A:A,A3662,E:E,E3662)&gt;1,"yes","no"))</f>
        <v>duplicate?</v>
      </c>
      <c r="K3662" s="97" t="str">
        <f ca="1">IF(J3662="","Date",IF(J3662&lt;&gt;"",IF(K3662="Date",NOW(),K3662),""))</f>
        <v>Date</v>
      </c>
    </row>
    <row r="3663" spans="2:11">
      <c r="B3663" s="97" t="str">
        <f ca="1">IF(A3663="","Date",IF(A3663&lt;&gt;"",IF(B3663="Date",NOW(),B3663),""))</f>
        <v>Date</v>
      </c>
      <c r="C3663" s="19" t="str">
        <f>IF(ISBLANK(A3663),"Name",IF(ISNA(VLOOKUP(A3663,'Master List'!A:C,2,FALSE)), "Not Found", VLOOKUP(A3663,'Master List'!A:C,2,FALSE)))</f>
        <v>Name</v>
      </c>
      <c r="D3663" s="19" t="str">
        <f>IF(ISBLANK(A3663), "Email",IF(ISNA(VLOOKUP(A3663,'Master List'!A:C,3,FALSE)), "Not Found", VLOOKUP(A3663,'Master List'!A:C,3,FALSE)))</f>
        <v>Email</v>
      </c>
      <c r="F3663" s="4" t="str">
        <f>IF(OR(A3663="",E3663="","",A3663="?",E3663="?"),"duplicate?",IF(COUNTIFS($A:A,A3663,E:E,E3663)&gt;1,"yes","no"))</f>
        <v>duplicate?</v>
      </c>
      <c r="K3663" s="97" t="str">
        <f ca="1">IF(J3663="","Date",IF(J3663&lt;&gt;"",IF(K3663="Date",NOW(),K3663),""))</f>
        <v>Date</v>
      </c>
    </row>
    <row r="3664" spans="2:11">
      <c r="B3664" s="97" t="str">
        <f ca="1">IF(A3664="","Date",IF(A3664&lt;&gt;"",IF(B3664="Date",NOW(),B3664),""))</f>
        <v>Date</v>
      </c>
      <c r="C3664" s="19" t="str">
        <f>IF(ISBLANK(A3664),"Name",IF(ISNA(VLOOKUP(A3664,'Master List'!A:C,2,FALSE)), "Not Found", VLOOKUP(A3664,'Master List'!A:C,2,FALSE)))</f>
        <v>Name</v>
      </c>
      <c r="D3664" s="19" t="str">
        <f>IF(ISBLANK(A3664), "Email",IF(ISNA(VLOOKUP(A3664,'Master List'!A:C,3,FALSE)), "Not Found", VLOOKUP(A3664,'Master List'!A:C,3,FALSE)))</f>
        <v>Email</v>
      </c>
      <c r="F3664" s="4" t="str">
        <f>IF(OR(A3664="",E3664="","",A3664="?",E3664="?"),"duplicate?",IF(COUNTIFS($A:A,A3664,E:E,E3664)&gt;1,"yes","no"))</f>
        <v>duplicate?</v>
      </c>
      <c r="K3664" s="97" t="str">
        <f ca="1">IF(J3664="","Date",IF(J3664&lt;&gt;"",IF(K3664="Date",NOW(),K3664),""))</f>
        <v>Date</v>
      </c>
    </row>
    <row r="3665" spans="2:11">
      <c r="B3665" s="97" t="str">
        <f ca="1">IF(A3665="","Date",IF(A3665&lt;&gt;"",IF(B3665="Date",NOW(),B3665),""))</f>
        <v>Date</v>
      </c>
      <c r="C3665" s="19" t="str">
        <f>IF(ISBLANK(A3665),"Name",IF(ISNA(VLOOKUP(A3665,'Master List'!A:C,2,FALSE)), "Not Found", VLOOKUP(A3665,'Master List'!A:C,2,FALSE)))</f>
        <v>Name</v>
      </c>
      <c r="D3665" s="19" t="str">
        <f>IF(ISBLANK(A3665), "Email",IF(ISNA(VLOOKUP(A3665,'Master List'!A:C,3,FALSE)), "Not Found", VLOOKUP(A3665,'Master List'!A:C,3,FALSE)))</f>
        <v>Email</v>
      </c>
      <c r="F3665" s="4" t="str">
        <f>IF(OR(A3665="",E3665="","",A3665="?",E3665="?"),"duplicate?",IF(COUNTIFS($A:A,A3665,E:E,E3665)&gt;1,"yes","no"))</f>
        <v>duplicate?</v>
      </c>
      <c r="K3665" s="97" t="str">
        <f ca="1">IF(J3665="","Date",IF(J3665&lt;&gt;"",IF(K3665="Date",NOW(),K3665),""))</f>
        <v>Date</v>
      </c>
    </row>
    <row r="3666" spans="2:11">
      <c r="B3666" s="97" t="str">
        <f ca="1">IF(A3666="","Date",IF(A3666&lt;&gt;"",IF(B3666="Date",NOW(),B3666),""))</f>
        <v>Date</v>
      </c>
      <c r="C3666" s="19" t="str">
        <f>IF(ISBLANK(A3666),"Name",IF(ISNA(VLOOKUP(A3666,'Master List'!A:C,2,FALSE)), "Not Found", VLOOKUP(A3666,'Master List'!A:C,2,FALSE)))</f>
        <v>Name</v>
      </c>
      <c r="D3666" s="19" t="str">
        <f>IF(ISBLANK(A3666), "Email",IF(ISNA(VLOOKUP(A3666,'Master List'!A:C,3,FALSE)), "Not Found", VLOOKUP(A3666,'Master List'!A:C,3,FALSE)))</f>
        <v>Email</v>
      </c>
      <c r="F3666" s="4" t="str">
        <f>IF(OR(A3666="",E3666="","",A3666="?",E3666="?"),"duplicate?",IF(COUNTIFS($A:A,A3666,E:E,E3666)&gt;1,"yes","no"))</f>
        <v>duplicate?</v>
      </c>
      <c r="K3666" s="97" t="str">
        <f ca="1">IF(J3666="","Date",IF(J3666&lt;&gt;"",IF(K3666="Date",NOW(),K3666),""))</f>
        <v>Date</v>
      </c>
    </row>
    <row r="3667" spans="2:11">
      <c r="B3667" s="97" t="str">
        <f ca="1">IF(A3667="","Date",IF(A3667&lt;&gt;"",IF(B3667="Date",NOW(),B3667),""))</f>
        <v>Date</v>
      </c>
      <c r="C3667" s="19" t="str">
        <f>IF(ISBLANK(A3667),"Name",IF(ISNA(VLOOKUP(A3667,'Master List'!A:C,2,FALSE)), "Not Found", VLOOKUP(A3667,'Master List'!A:C,2,FALSE)))</f>
        <v>Name</v>
      </c>
      <c r="D3667" s="19" t="str">
        <f>IF(ISBLANK(A3667), "Email",IF(ISNA(VLOOKUP(A3667,'Master List'!A:C,3,FALSE)), "Not Found", VLOOKUP(A3667,'Master List'!A:C,3,FALSE)))</f>
        <v>Email</v>
      </c>
      <c r="F3667" s="4" t="str">
        <f>IF(OR(A3667="",E3667="","",A3667="?",E3667="?"),"duplicate?",IF(COUNTIFS($A:A,A3667,E:E,E3667)&gt;1,"yes","no"))</f>
        <v>duplicate?</v>
      </c>
      <c r="K3667" s="97" t="str">
        <f ca="1">IF(J3667="","Date",IF(J3667&lt;&gt;"",IF(K3667="Date",NOW(),K3667),""))</f>
        <v>Date</v>
      </c>
    </row>
    <row r="3668" spans="2:11">
      <c r="B3668" s="97" t="str">
        <f ca="1">IF(A3668="","Date",IF(A3668&lt;&gt;"",IF(B3668="Date",NOW(),B3668),""))</f>
        <v>Date</v>
      </c>
      <c r="C3668" s="19" t="str">
        <f>IF(ISBLANK(A3668),"Name",IF(ISNA(VLOOKUP(A3668,'Master List'!A:C,2,FALSE)), "Not Found", VLOOKUP(A3668,'Master List'!A:C,2,FALSE)))</f>
        <v>Name</v>
      </c>
      <c r="D3668" s="19" t="str">
        <f>IF(ISBLANK(A3668), "Email",IF(ISNA(VLOOKUP(A3668,'Master List'!A:C,3,FALSE)), "Not Found", VLOOKUP(A3668,'Master List'!A:C,3,FALSE)))</f>
        <v>Email</v>
      </c>
      <c r="F3668" s="4" t="str">
        <f>IF(OR(A3668="",E3668="","",A3668="?",E3668="?"),"duplicate?",IF(COUNTIFS($A:A,A3668,E:E,E3668)&gt;1,"yes","no"))</f>
        <v>duplicate?</v>
      </c>
      <c r="K3668" s="97" t="str">
        <f ca="1">IF(J3668="","Date",IF(J3668&lt;&gt;"",IF(K3668="Date",NOW(),K3668),""))</f>
        <v>Date</v>
      </c>
    </row>
    <row r="3669" spans="2:11">
      <c r="B3669" s="97" t="str">
        <f ca="1">IF(A3669="","Date",IF(A3669&lt;&gt;"",IF(B3669="Date",NOW(),B3669),""))</f>
        <v>Date</v>
      </c>
      <c r="C3669" s="19" t="str">
        <f>IF(ISBLANK(A3669),"Name",IF(ISNA(VLOOKUP(A3669,'Master List'!A:C,2,FALSE)), "Not Found", VLOOKUP(A3669,'Master List'!A:C,2,FALSE)))</f>
        <v>Name</v>
      </c>
      <c r="D3669" s="19" t="str">
        <f>IF(ISBLANK(A3669), "Email",IF(ISNA(VLOOKUP(A3669,'Master List'!A:C,3,FALSE)), "Not Found", VLOOKUP(A3669,'Master List'!A:C,3,FALSE)))</f>
        <v>Email</v>
      </c>
      <c r="F3669" s="4" t="str">
        <f>IF(OR(A3669="",E3669="","",A3669="?",E3669="?"),"duplicate?",IF(COUNTIFS($A:A,A3669,E:E,E3669)&gt;1,"yes","no"))</f>
        <v>duplicate?</v>
      </c>
      <c r="K3669" s="97" t="str">
        <f ca="1">IF(J3669="","Date",IF(J3669&lt;&gt;"",IF(K3669="Date",NOW(),K3669),""))</f>
        <v>Date</v>
      </c>
    </row>
    <row r="3670" spans="2:11">
      <c r="B3670" s="97" t="str">
        <f ca="1">IF(A3670="","Date",IF(A3670&lt;&gt;"",IF(B3670="Date",NOW(),B3670),""))</f>
        <v>Date</v>
      </c>
      <c r="C3670" s="19" t="str">
        <f>IF(ISBLANK(A3670),"Name",IF(ISNA(VLOOKUP(A3670,'Master List'!A:C,2,FALSE)), "Not Found", VLOOKUP(A3670,'Master List'!A:C,2,FALSE)))</f>
        <v>Name</v>
      </c>
      <c r="D3670" s="19" t="str">
        <f>IF(ISBLANK(A3670), "Email",IF(ISNA(VLOOKUP(A3670,'Master List'!A:C,3,FALSE)), "Not Found", VLOOKUP(A3670,'Master List'!A:C,3,FALSE)))</f>
        <v>Email</v>
      </c>
      <c r="F3670" s="4" t="str">
        <f>IF(OR(A3670="",E3670="","",A3670="?",E3670="?"),"duplicate?",IF(COUNTIFS($A:A,A3670,E:E,E3670)&gt;1,"yes","no"))</f>
        <v>duplicate?</v>
      </c>
      <c r="K3670" s="97" t="str">
        <f ca="1">IF(J3670="","Date",IF(J3670&lt;&gt;"",IF(K3670="Date",NOW(),K3670),""))</f>
        <v>Date</v>
      </c>
    </row>
    <row r="3671" spans="2:11">
      <c r="B3671" s="97" t="str">
        <f ca="1">IF(A3671="","Date",IF(A3671&lt;&gt;"",IF(B3671="Date",NOW(),B3671),""))</f>
        <v>Date</v>
      </c>
      <c r="C3671" s="19" t="str">
        <f>IF(ISBLANK(A3671),"Name",IF(ISNA(VLOOKUP(A3671,'Master List'!A:C,2,FALSE)), "Not Found", VLOOKUP(A3671,'Master List'!A:C,2,FALSE)))</f>
        <v>Name</v>
      </c>
      <c r="D3671" s="19" t="str">
        <f>IF(ISBLANK(A3671), "Email",IF(ISNA(VLOOKUP(A3671,'Master List'!A:C,3,FALSE)), "Not Found", VLOOKUP(A3671,'Master List'!A:C,3,FALSE)))</f>
        <v>Email</v>
      </c>
      <c r="F3671" s="4" t="str">
        <f>IF(OR(A3671="",E3671="","",A3671="?",E3671="?"),"duplicate?",IF(COUNTIFS($A:A,A3671,E:E,E3671)&gt;1,"yes","no"))</f>
        <v>duplicate?</v>
      </c>
      <c r="K3671" s="97" t="str">
        <f ca="1">IF(J3671="","Date",IF(J3671&lt;&gt;"",IF(K3671="Date",NOW(),K3671),""))</f>
        <v>Date</v>
      </c>
    </row>
    <row r="3672" spans="2:11">
      <c r="B3672" s="97" t="str">
        <f ca="1">IF(A3672="","Date",IF(A3672&lt;&gt;"",IF(B3672="Date",NOW(),B3672),""))</f>
        <v>Date</v>
      </c>
      <c r="C3672" s="19" t="str">
        <f>IF(ISBLANK(A3672),"Name",IF(ISNA(VLOOKUP(A3672,'Master List'!A:C,2,FALSE)), "Not Found", VLOOKUP(A3672,'Master List'!A:C,2,FALSE)))</f>
        <v>Name</v>
      </c>
      <c r="D3672" s="19" t="str">
        <f>IF(ISBLANK(A3672), "Email",IF(ISNA(VLOOKUP(A3672,'Master List'!A:C,3,FALSE)), "Not Found", VLOOKUP(A3672,'Master List'!A:C,3,FALSE)))</f>
        <v>Email</v>
      </c>
      <c r="F3672" s="4" t="str">
        <f>IF(OR(A3672="",E3672="","",A3672="?",E3672="?"),"duplicate?",IF(COUNTIFS($A:A,A3672,E:E,E3672)&gt;1,"yes","no"))</f>
        <v>duplicate?</v>
      </c>
      <c r="K3672" s="97" t="str">
        <f ca="1">IF(J3672="","Date",IF(J3672&lt;&gt;"",IF(K3672="Date",NOW(),K3672),""))</f>
        <v>Date</v>
      </c>
    </row>
    <row r="3673" spans="2:11">
      <c r="B3673" s="97" t="str">
        <f ca="1">IF(A3673="","Date",IF(A3673&lt;&gt;"",IF(B3673="Date",NOW(),B3673),""))</f>
        <v>Date</v>
      </c>
      <c r="C3673" s="19" t="str">
        <f>IF(ISBLANK(A3673),"Name",IF(ISNA(VLOOKUP(A3673,'Master List'!A:C,2,FALSE)), "Not Found", VLOOKUP(A3673,'Master List'!A:C,2,FALSE)))</f>
        <v>Name</v>
      </c>
      <c r="D3673" s="19" t="str">
        <f>IF(ISBLANK(A3673), "Email",IF(ISNA(VLOOKUP(A3673,'Master List'!A:C,3,FALSE)), "Not Found", VLOOKUP(A3673,'Master List'!A:C,3,FALSE)))</f>
        <v>Email</v>
      </c>
      <c r="F3673" s="4" t="str">
        <f>IF(OR(A3673="",E3673="","",A3673="?",E3673="?"),"duplicate?",IF(COUNTIFS($A:A,A3673,E:E,E3673)&gt;1,"yes","no"))</f>
        <v>duplicate?</v>
      </c>
      <c r="K3673" s="97" t="str">
        <f ca="1">IF(J3673="","Date",IF(J3673&lt;&gt;"",IF(K3673="Date",NOW(),K3673),""))</f>
        <v>Date</v>
      </c>
    </row>
    <row r="3674" spans="2:11">
      <c r="B3674" s="97" t="str">
        <f ca="1">IF(A3674="","Date",IF(A3674&lt;&gt;"",IF(B3674="Date",NOW(),B3674),""))</f>
        <v>Date</v>
      </c>
      <c r="C3674" s="19" t="str">
        <f>IF(ISBLANK(A3674),"Name",IF(ISNA(VLOOKUP(A3674,'Master List'!A:C,2,FALSE)), "Not Found", VLOOKUP(A3674,'Master List'!A:C,2,FALSE)))</f>
        <v>Name</v>
      </c>
      <c r="D3674" s="19" t="str">
        <f>IF(ISBLANK(A3674), "Email",IF(ISNA(VLOOKUP(A3674,'Master List'!A:C,3,FALSE)), "Not Found", VLOOKUP(A3674,'Master List'!A:C,3,FALSE)))</f>
        <v>Email</v>
      </c>
      <c r="F3674" s="4" t="str">
        <f>IF(OR(A3674="",E3674="","",A3674="?",E3674="?"),"duplicate?",IF(COUNTIFS($A:A,A3674,E:E,E3674)&gt;1,"yes","no"))</f>
        <v>duplicate?</v>
      </c>
      <c r="K3674" s="97" t="str">
        <f ca="1">IF(J3674="","Date",IF(J3674&lt;&gt;"",IF(K3674="Date",NOW(),K3674),""))</f>
        <v>Date</v>
      </c>
    </row>
    <row r="3675" spans="2:11">
      <c r="B3675" s="97" t="str">
        <f ca="1">IF(A3675="","Date",IF(A3675&lt;&gt;"",IF(B3675="Date",NOW(),B3675),""))</f>
        <v>Date</v>
      </c>
      <c r="C3675" s="19" t="str">
        <f>IF(ISBLANK(A3675),"Name",IF(ISNA(VLOOKUP(A3675,'Master List'!A:C,2,FALSE)), "Not Found", VLOOKUP(A3675,'Master List'!A:C,2,FALSE)))</f>
        <v>Name</v>
      </c>
      <c r="D3675" s="19" t="str">
        <f>IF(ISBLANK(A3675), "Email",IF(ISNA(VLOOKUP(A3675,'Master List'!A:C,3,FALSE)), "Not Found", VLOOKUP(A3675,'Master List'!A:C,3,FALSE)))</f>
        <v>Email</v>
      </c>
      <c r="F3675" s="4" t="str">
        <f>IF(OR(A3675="",E3675="","",A3675="?",E3675="?"),"duplicate?",IF(COUNTIFS($A:A,A3675,E:E,E3675)&gt;1,"yes","no"))</f>
        <v>duplicate?</v>
      </c>
      <c r="K3675" s="97" t="str">
        <f ca="1">IF(J3675="","Date",IF(J3675&lt;&gt;"",IF(K3675="Date",NOW(),K3675),""))</f>
        <v>Date</v>
      </c>
    </row>
    <row r="3676" spans="2:11">
      <c r="B3676" s="97" t="str">
        <f ca="1">IF(A3676="","Date",IF(A3676&lt;&gt;"",IF(B3676="Date",NOW(),B3676),""))</f>
        <v>Date</v>
      </c>
      <c r="C3676" s="19" t="str">
        <f>IF(ISBLANK(A3676),"Name",IF(ISNA(VLOOKUP(A3676,'Master List'!A:C,2,FALSE)), "Not Found", VLOOKUP(A3676,'Master List'!A:C,2,FALSE)))</f>
        <v>Name</v>
      </c>
      <c r="D3676" s="19" t="str">
        <f>IF(ISBLANK(A3676), "Email",IF(ISNA(VLOOKUP(A3676,'Master List'!A:C,3,FALSE)), "Not Found", VLOOKUP(A3676,'Master List'!A:C,3,FALSE)))</f>
        <v>Email</v>
      </c>
      <c r="F3676" s="4" t="str">
        <f>IF(OR(A3676="",E3676="","",A3676="?",E3676="?"),"duplicate?",IF(COUNTIFS($A:A,A3676,E:E,E3676)&gt;1,"yes","no"))</f>
        <v>duplicate?</v>
      </c>
      <c r="K3676" s="97" t="str">
        <f ca="1">IF(J3676="","Date",IF(J3676&lt;&gt;"",IF(K3676="Date",NOW(),K3676),""))</f>
        <v>Date</v>
      </c>
    </row>
    <row r="3677" spans="2:11">
      <c r="B3677" s="97" t="str">
        <f ca="1">IF(A3677="","Date",IF(A3677&lt;&gt;"",IF(B3677="Date",NOW(),B3677),""))</f>
        <v>Date</v>
      </c>
      <c r="C3677" s="19" t="str">
        <f>IF(ISBLANK(A3677),"Name",IF(ISNA(VLOOKUP(A3677,'Master List'!A:C,2,FALSE)), "Not Found", VLOOKUP(A3677,'Master List'!A:C,2,FALSE)))</f>
        <v>Name</v>
      </c>
      <c r="D3677" s="19" t="str">
        <f>IF(ISBLANK(A3677), "Email",IF(ISNA(VLOOKUP(A3677,'Master List'!A:C,3,FALSE)), "Not Found", VLOOKUP(A3677,'Master List'!A:C,3,FALSE)))</f>
        <v>Email</v>
      </c>
      <c r="F3677" s="4" t="str">
        <f>IF(OR(A3677="",E3677="","",A3677="?",E3677="?"),"duplicate?",IF(COUNTIFS($A:A,A3677,E:E,E3677)&gt;1,"yes","no"))</f>
        <v>duplicate?</v>
      </c>
      <c r="K3677" s="97" t="str">
        <f ca="1">IF(J3677="","Date",IF(J3677&lt;&gt;"",IF(K3677="Date",NOW(),K3677),""))</f>
        <v>Date</v>
      </c>
    </row>
    <row r="3678" spans="2:11">
      <c r="B3678" s="97" t="str">
        <f ca="1">IF(A3678="","Date",IF(A3678&lt;&gt;"",IF(B3678="Date",NOW(),B3678),""))</f>
        <v>Date</v>
      </c>
      <c r="C3678" s="19" t="str">
        <f>IF(ISBLANK(A3678),"Name",IF(ISNA(VLOOKUP(A3678,'Master List'!A:C,2,FALSE)), "Not Found", VLOOKUP(A3678,'Master List'!A:C,2,FALSE)))</f>
        <v>Name</v>
      </c>
      <c r="D3678" s="19" t="str">
        <f>IF(ISBLANK(A3678), "Email",IF(ISNA(VLOOKUP(A3678,'Master List'!A:C,3,FALSE)), "Not Found", VLOOKUP(A3678,'Master List'!A:C,3,FALSE)))</f>
        <v>Email</v>
      </c>
      <c r="F3678" s="4" t="str">
        <f>IF(OR(A3678="",E3678="","",A3678="?",E3678="?"),"duplicate?",IF(COUNTIFS($A:A,A3678,E:E,E3678)&gt;1,"yes","no"))</f>
        <v>duplicate?</v>
      </c>
      <c r="K3678" s="97" t="str">
        <f ca="1">IF(J3678="","Date",IF(J3678&lt;&gt;"",IF(K3678="Date",NOW(),K3678),""))</f>
        <v>Date</v>
      </c>
    </row>
    <row r="3679" spans="2:11">
      <c r="B3679" s="97" t="str">
        <f ca="1">IF(A3679="","Date",IF(A3679&lt;&gt;"",IF(B3679="Date",NOW(),B3679),""))</f>
        <v>Date</v>
      </c>
      <c r="C3679" s="19" t="str">
        <f>IF(ISBLANK(A3679),"Name",IF(ISNA(VLOOKUP(A3679,'Master List'!A:C,2,FALSE)), "Not Found", VLOOKUP(A3679,'Master List'!A:C,2,FALSE)))</f>
        <v>Name</v>
      </c>
      <c r="D3679" s="19" t="str">
        <f>IF(ISBLANK(A3679), "Email",IF(ISNA(VLOOKUP(A3679,'Master List'!A:C,3,FALSE)), "Not Found", VLOOKUP(A3679,'Master List'!A:C,3,FALSE)))</f>
        <v>Email</v>
      </c>
      <c r="F3679" s="4" t="str">
        <f>IF(OR(A3679="",E3679="","",A3679="?",E3679="?"),"duplicate?",IF(COUNTIFS($A:A,A3679,E:E,E3679)&gt;1,"yes","no"))</f>
        <v>duplicate?</v>
      </c>
      <c r="K3679" s="97" t="str">
        <f ca="1">IF(J3679="","Date",IF(J3679&lt;&gt;"",IF(K3679="Date",NOW(),K3679),""))</f>
        <v>Date</v>
      </c>
    </row>
    <row r="3680" spans="2:11">
      <c r="B3680" s="97" t="str">
        <f ca="1">IF(A3680="","Date",IF(A3680&lt;&gt;"",IF(B3680="Date",NOW(),B3680),""))</f>
        <v>Date</v>
      </c>
      <c r="C3680" s="19" t="str">
        <f>IF(ISBLANK(A3680),"Name",IF(ISNA(VLOOKUP(A3680,'Master List'!A:C,2,FALSE)), "Not Found", VLOOKUP(A3680,'Master List'!A:C,2,FALSE)))</f>
        <v>Name</v>
      </c>
      <c r="D3680" s="19" t="str">
        <f>IF(ISBLANK(A3680), "Email",IF(ISNA(VLOOKUP(A3680,'Master List'!A:C,3,FALSE)), "Not Found", VLOOKUP(A3680,'Master List'!A:C,3,FALSE)))</f>
        <v>Email</v>
      </c>
      <c r="F3680" s="4" t="str">
        <f>IF(OR(A3680="",E3680="","",A3680="?",E3680="?"),"duplicate?",IF(COUNTIFS($A:A,A3680,E:E,E3680)&gt;1,"yes","no"))</f>
        <v>duplicate?</v>
      </c>
      <c r="K3680" s="97" t="str">
        <f ca="1">IF(J3680="","Date",IF(J3680&lt;&gt;"",IF(K3680="Date",NOW(),K3680),""))</f>
        <v>Date</v>
      </c>
    </row>
    <row r="3681" spans="2:11">
      <c r="B3681" s="97" t="str">
        <f ca="1">IF(A3681="","Date",IF(A3681&lt;&gt;"",IF(B3681="Date",NOW(),B3681),""))</f>
        <v>Date</v>
      </c>
      <c r="C3681" s="19" t="str">
        <f>IF(ISBLANK(A3681),"Name",IF(ISNA(VLOOKUP(A3681,'Master List'!A:C,2,FALSE)), "Not Found", VLOOKUP(A3681,'Master List'!A:C,2,FALSE)))</f>
        <v>Name</v>
      </c>
      <c r="D3681" s="19" t="str">
        <f>IF(ISBLANK(A3681), "Email",IF(ISNA(VLOOKUP(A3681,'Master List'!A:C,3,FALSE)), "Not Found", VLOOKUP(A3681,'Master List'!A:C,3,FALSE)))</f>
        <v>Email</v>
      </c>
      <c r="F3681" s="4" t="str">
        <f>IF(OR(A3681="",E3681="","",A3681="?",E3681="?"),"duplicate?",IF(COUNTIFS($A:A,A3681,E:E,E3681)&gt;1,"yes","no"))</f>
        <v>duplicate?</v>
      </c>
      <c r="K3681" s="97" t="str">
        <f ca="1">IF(J3681="","Date",IF(J3681&lt;&gt;"",IF(K3681="Date",NOW(),K3681),""))</f>
        <v>Date</v>
      </c>
    </row>
    <row r="3682" spans="2:11">
      <c r="B3682" s="97" t="str">
        <f ca="1">IF(A3682="","Date",IF(A3682&lt;&gt;"",IF(B3682="Date",NOW(),B3682),""))</f>
        <v>Date</v>
      </c>
      <c r="C3682" s="19" t="str">
        <f>IF(ISBLANK(A3682),"Name",IF(ISNA(VLOOKUP(A3682,'Master List'!A:C,2,FALSE)), "Not Found", VLOOKUP(A3682,'Master List'!A:C,2,FALSE)))</f>
        <v>Name</v>
      </c>
      <c r="D3682" s="19" t="str">
        <f>IF(ISBLANK(A3682), "Email",IF(ISNA(VLOOKUP(A3682,'Master List'!A:C,3,FALSE)), "Not Found", VLOOKUP(A3682,'Master List'!A:C,3,FALSE)))</f>
        <v>Email</v>
      </c>
      <c r="F3682" s="4" t="str">
        <f>IF(OR(A3682="",E3682="","",A3682="?",E3682="?"),"duplicate?",IF(COUNTIFS($A:A,A3682,E:E,E3682)&gt;1,"yes","no"))</f>
        <v>duplicate?</v>
      </c>
      <c r="K3682" s="97" t="str">
        <f ca="1">IF(J3682="","Date",IF(J3682&lt;&gt;"",IF(K3682="Date",NOW(),K3682),""))</f>
        <v>Date</v>
      </c>
    </row>
    <row r="3683" spans="2:11">
      <c r="B3683" s="97" t="str">
        <f ca="1">IF(A3683="","Date",IF(A3683&lt;&gt;"",IF(B3683="Date",NOW(),B3683),""))</f>
        <v>Date</v>
      </c>
      <c r="C3683" s="19" t="str">
        <f>IF(ISBLANK(A3683),"Name",IF(ISNA(VLOOKUP(A3683,'Master List'!A:C,2,FALSE)), "Not Found", VLOOKUP(A3683,'Master List'!A:C,2,FALSE)))</f>
        <v>Name</v>
      </c>
      <c r="D3683" s="19" t="str">
        <f>IF(ISBLANK(A3683), "Email",IF(ISNA(VLOOKUP(A3683,'Master List'!A:C,3,FALSE)), "Not Found", VLOOKUP(A3683,'Master List'!A:C,3,FALSE)))</f>
        <v>Email</v>
      </c>
      <c r="F3683" s="4" t="str">
        <f>IF(OR(A3683="",E3683="","",A3683="?",E3683="?"),"duplicate?",IF(COUNTIFS($A:A,A3683,E:E,E3683)&gt;1,"yes","no"))</f>
        <v>duplicate?</v>
      </c>
      <c r="K3683" s="97" t="str">
        <f ca="1">IF(J3683="","Date",IF(J3683&lt;&gt;"",IF(K3683="Date",NOW(),K3683),""))</f>
        <v>Date</v>
      </c>
    </row>
    <row r="3684" spans="2:11">
      <c r="B3684" s="97" t="str">
        <f ca="1">IF(A3684="","Date",IF(A3684&lt;&gt;"",IF(B3684="Date",NOW(),B3684),""))</f>
        <v>Date</v>
      </c>
      <c r="C3684" s="19" t="str">
        <f>IF(ISBLANK(A3684),"Name",IF(ISNA(VLOOKUP(A3684,'Master List'!A:C,2,FALSE)), "Not Found", VLOOKUP(A3684,'Master List'!A:C,2,FALSE)))</f>
        <v>Name</v>
      </c>
      <c r="D3684" s="19" t="str">
        <f>IF(ISBLANK(A3684), "Email",IF(ISNA(VLOOKUP(A3684,'Master List'!A:C,3,FALSE)), "Not Found", VLOOKUP(A3684,'Master List'!A:C,3,FALSE)))</f>
        <v>Email</v>
      </c>
      <c r="F3684" s="4" t="str">
        <f>IF(OR(A3684="",E3684="","",A3684="?",E3684="?"),"duplicate?",IF(COUNTIFS($A:A,A3684,E:E,E3684)&gt;1,"yes","no"))</f>
        <v>duplicate?</v>
      </c>
      <c r="K3684" s="97" t="str">
        <f ca="1">IF(J3684="","Date",IF(J3684&lt;&gt;"",IF(K3684="Date",NOW(),K3684),""))</f>
        <v>Date</v>
      </c>
    </row>
    <row r="3685" spans="2:11">
      <c r="B3685" s="97" t="str">
        <f ca="1">IF(A3685="","Date",IF(A3685&lt;&gt;"",IF(B3685="Date",NOW(),B3685),""))</f>
        <v>Date</v>
      </c>
      <c r="C3685" s="19" t="str">
        <f>IF(ISBLANK(A3685),"Name",IF(ISNA(VLOOKUP(A3685,'Master List'!A:C,2,FALSE)), "Not Found", VLOOKUP(A3685,'Master List'!A:C,2,FALSE)))</f>
        <v>Name</v>
      </c>
      <c r="D3685" s="19" t="str">
        <f>IF(ISBLANK(A3685), "Email",IF(ISNA(VLOOKUP(A3685,'Master List'!A:C,3,FALSE)), "Not Found", VLOOKUP(A3685,'Master List'!A:C,3,FALSE)))</f>
        <v>Email</v>
      </c>
      <c r="F3685" s="4" t="str">
        <f>IF(OR(A3685="",E3685="","",A3685="?",E3685="?"),"duplicate?",IF(COUNTIFS($A:A,A3685,E:E,E3685)&gt;1,"yes","no"))</f>
        <v>duplicate?</v>
      </c>
      <c r="K3685" s="97" t="str">
        <f ca="1">IF(J3685="","Date",IF(J3685&lt;&gt;"",IF(K3685="Date",NOW(),K3685),""))</f>
        <v>Date</v>
      </c>
    </row>
    <row r="3686" spans="2:11">
      <c r="B3686" s="97" t="str">
        <f ca="1">IF(A3686="","Date",IF(A3686&lt;&gt;"",IF(B3686="Date",NOW(),B3686),""))</f>
        <v>Date</v>
      </c>
      <c r="C3686" s="19" t="str">
        <f>IF(ISBLANK(A3686),"Name",IF(ISNA(VLOOKUP(A3686,'Master List'!A:C,2,FALSE)), "Not Found", VLOOKUP(A3686,'Master List'!A:C,2,FALSE)))</f>
        <v>Name</v>
      </c>
      <c r="D3686" s="19" t="str">
        <f>IF(ISBLANK(A3686), "Email",IF(ISNA(VLOOKUP(A3686,'Master List'!A:C,3,FALSE)), "Not Found", VLOOKUP(A3686,'Master List'!A:C,3,FALSE)))</f>
        <v>Email</v>
      </c>
      <c r="F3686" s="4" t="str">
        <f>IF(OR(A3686="",E3686="","",A3686="?",E3686="?"),"duplicate?",IF(COUNTIFS($A:A,A3686,E:E,E3686)&gt;1,"yes","no"))</f>
        <v>duplicate?</v>
      </c>
      <c r="K3686" s="97" t="str">
        <f ca="1">IF(J3686="","Date",IF(J3686&lt;&gt;"",IF(K3686="Date",NOW(),K3686),""))</f>
        <v>Date</v>
      </c>
    </row>
    <row r="3687" spans="2:11">
      <c r="B3687" s="97" t="str">
        <f ca="1">IF(A3687="","Date",IF(A3687&lt;&gt;"",IF(B3687="Date",NOW(),B3687),""))</f>
        <v>Date</v>
      </c>
      <c r="C3687" s="19" t="str">
        <f>IF(ISBLANK(A3687),"Name",IF(ISNA(VLOOKUP(A3687,'Master List'!A:C,2,FALSE)), "Not Found", VLOOKUP(A3687,'Master List'!A:C,2,FALSE)))</f>
        <v>Name</v>
      </c>
      <c r="D3687" s="19" t="str">
        <f>IF(ISBLANK(A3687), "Email",IF(ISNA(VLOOKUP(A3687,'Master List'!A:C,3,FALSE)), "Not Found", VLOOKUP(A3687,'Master List'!A:C,3,FALSE)))</f>
        <v>Email</v>
      </c>
      <c r="F3687" s="4" t="str">
        <f>IF(OR(A3687="",E3687="","",A3687="?",E3687="?"),"duplicate?",IF(COUNTIFS($A:A,A3687,E:E,E3687)&gt;1,"yes","no"))</f>
        <v>duplicate?</v>
      </c>
      <c r="K3687" s="97" t="str">
        <f ca="1">IF(J3687="","Date",IF(J3687&lt;&gt;"",IF(K3687="Date",NOW(),K3687),""))</f>
        <v>Date</v>
      </c>
    </row>
    <row r="3688" spans="2:11">
      <c r="B3688" s="97" t="str">
        <f ca="1">IF(A3688="","Date",IF(A3688&lt;&gt;"",IF(B3688="Date",NOW(),B3688),""))</f>
        <v>Date</v>
      </c>
      <c r="C3688" s="19" t="str">
        <f>IF(ISBLANK(A3688),"Name",IF(ISNA(VLOOKUP(A3688,'Master List'!A:C,2,FALSE)), "Not Found", VLOOKUP(A3688,'Master List'!A:C,2,FALSE)))</f>
        <v>Name</v>
      </c>
      <c r="D3688" s="19" t="str">
        <f>IF(ISBLANK(A3688), "Email",IF(ISNA(VLOOKUP(A3688,'Master List'!A:C,3,FALSE)), "Not Found", VLOOKUP(A3688,'Master List'!A:C,3,FALSE)))</f>
        <v>Email</v>
      </c>
      <c r="F3688" s="4" t="str">
        <f>IF(OR(A3688="",E3688="","",A3688="?",E3688="?"),"duplicate?",IF(COUNTIFS($A:A,A3688,E:E,E3688)&gt;1,"yes","no"))</f>
        <v>duplicate?</v>
      </c>
      <c r="K3688" s="97" t="str">
        <f ca="1">IF(J3688="","Date",IF(J3688&lt;&gt;"",IF(K3688="Date",NOW(),K3688),""))</f>
        <v>Date</v>
      </c>
    </row>
    <row r="3689" spans="2:11">
      <c r="B3689" s="97" t="str">
        <f ca="1">IF(A3689="","Date",IF(A3689&lt;&gt;"",IF(B3689="Date",NOW(),B3689),""))</f>
        <v>Date</v>
      </c>
      <c r="C3689" s="19" t="str">
        <f>IF(ISBLANK(A3689),"Name",IF(ISNA(VLOOKUP(A3689,'Master List'!A:C,2,FALSE)), "Not Found", VLOOKUP(A3689,'Master List'!A:C,2,FALSE)))</f>
        <v>Name</v>
      </c>
      <c r="D3689" s="19" t="str">
        <f>IF(ISBLANK(A3689), "Email",IF(ISNA(VLOOKUP(A3689,'Master List'!A:C,3,FALSE)), "Not Found", VLOOKUP(A3689,'Master List'!A:C,3,FALSE)))</f>
        <v>Email</v>
      </c>
      <c r="F3689" s="4" t="str">
        <f>IF(OR(A3689="",E3689="","",A3689="?",E3689="?"),"duplicate?",IF(COUNTIFS($A:A,A3689,E:E,E3689)&gt;1,"yes","no"))</f>
        <v>duplicate?</v>
      </c>
      <c r="K3689" s="97" t="str">
        <f ca="1">IF(J3689="","Date",IF(J3689&lt;&gt;"",IF(K3689="Date",NOW(),K3689),""))</f>
        <v>Date</v>
      </c>
    </row>
    <row r="3690" spans="2:11">
      <c r="B3690" s="97" t="str">
        <f ca="1">IF(A3690="","Date",IF(A3690&lt;&gt;"",IF(B3690="Date",NOW(),B3690),""))</f>
        <v>Date</v>
      </c>
      <c r="C3690" s="19" t="str">
        <f>IF(ISBLANK(A3690),"Name",IF(ISNA(VLOOKUP(A3690,'Master List'!A:C,2,FALSE)), "Not Found", VLOOKUP(A3690,'Master List'!A:C,2,FALSE)))</f>
        <v>Name</v>
      </c>
      <c r="D3690" s="19" t="str">
        <f>IF(ISBLANK(A3690), "Email",IF(ISNA(VLOOKUP(A3690,'Master List'!A:C,3,FALSE)), "Not Found", VLOOKUP(A3690,'Master List'!A:C,3,FALSE)))</f>
        <v>Email</v>
      </c>
      <c r="F3690" s="4" t="str">
        <f>IF(OR(A3690="",E3690="","",A3690="?",E3690="?"),"duplicate?",IF(COUNTIFS($A:A,A3690,E:E,E3690)&gt;1,"yes","no"))</f>
        <v>duplicate?</v>
      </c>
      <c r="K3690" s="97" t="str">
        <f ca="1">IF(J3690="","Date",IF(J3690&lt;&gt;"",IF(K3690="Date",NOW(),K3690),""))</f>
        <v>Date</v>
      </c>
    </row>
    <row r="3691" spans="2:11">
      <c r="B3691" s="97" t="str">
        <f ca="1">IF(A3691="","Date",IF(A3691&lt;&gt;"",IF(B3691="Date",NOW(),B3691),""))</f>
        <v>Date</v>
      </c>
      <c r="C3691" s="19" t="str">
        <f>IF(ISBLANK(A3691),"Name",IF(ISNA(VLOOKUP(A3691,'Master List'!A:C,2,FALSE)), "Not Found", VLOOKUP(A3691,'Master List'!A:C,2,FALSE)))</f>
        <v>Name</v>
      </c>
      <c r="D3691" s="19" t="str">
        <f>IF(ISBLANK(A3691), "Email",IF(ISNA(VLOOKUP(A3691,'Master List'!A:C,3,FALSE)), "Not Found", VLOOKUP(A3691,'Master List'!A:C,3,FALSE)))</f>
        <v>Email</v>
      </c>
      <c r="F3691" s="4" t="str">
        <f>IF(OR(A3691="",E3691="","",A3691="?",E3691="?"),"duplicate?",IF(COUNTIFS($A:A,A3691,E:E,E3691)&gt;1,"yes","no"))</f>
        <v>duplicate?</v>
      </c>
      <c r="K3691" s="97" t="str">
        <f ca="1">IF(J3691="","Date",IF(J3691&lt;&gt;"",IF(K3691="Date",NOW(),K3691),""))</f>
        <v>Date</v>
      </c>
    </row>
    <row r="3692" spans="2:11">
      <c r="B3692" s="97" t="str">
        <f ca="1">IF(A3692="","Date",IF(A3692&lt;&gt;"",IF(B3692="Date",NOW(),B3692),""))</f>
        <v>Date</v>
      </c>
      <c r="C3692" s="19" t="str">
        <f>IF(ISBLANK(A3692),"Name",IF(ISNA(VLOOKUP(A3692,'Master List'!A:C,2,FALSE)), "Not Found", VLOOKUP(A3692,'Master List'!A:C,2,FALSE)))</f>
        <v>Name</v>
      </c>
      <c r="D3692" s="19" t="str">
        <f>IF(ISBLANK(A3692), "Email",IF(ISNA(VLOOKUP(A3692,'Master List'!A:C,3,FALSE)), "Not Found", VLOOKUP(A3692,'Master List'!A:C,3,FALSE)))</f>
        <v>Email</v>
      </c>
      <c r="F3692" s="4" t="str">
        <f>IF(OR(A3692="",E3692="","",A3692="?",E3692="?"),"duplicate?",IF(COUNTIFS($A:A,A3692,E:E,E3692)&gt;1,"yes","no"))</f>
        <v>duplicate?</v>
      </c>
      <c r="K3692" s="97" t="str">
        <f ca="1">IF(J3692="","Date",IF(J3692&lt;&gt;"",IF(K3692="Date",NOW(),K3692),""))</f>
        <v>Date</v>
      </c>
    </row>
    <row r="3693" spans="2:11">
      <c r="B3693" s="97" t="str">
        <f ca="1">IF(A3693="","Date",IF(A3693&lt;&gt;"",IF(B3693="Date",NOW(),B3693),""))</f>
        <v>Date</v>
      </c>
      <c r="C3693" s="19" t="str">
        <f>IF(ISBLANK(A3693),"Name",IF(ISNA(VLOOKUP(A3693,'Master List'!A:C,2,FALSE)), "Not Found", VLOOKUP(A3693,'Master List'!A:C,2,FALSE)))</f>
        <v>Name</v>
      </c>
      <c r="D3693" s="19" t="str">
        <f>IF(ISBLANK(A3693), "Email",IF(ISNA(VLOOKUP(A3693,'Master List'!A:C,3,FALSE)), "Not Found", VLOOKUP(A3693,'Master List'!A:C,3,FALSE)))</f>
        <v>Email</v>
      </c>
      <c r="F3693" s="4" t="str">
        <f>IF(OR(A3693="",E3693="","",A3693="?",E3693="?"),"duplicate?",IF(COUNTIFS($A:A,A3693,E:E,E3693)&gt;1,"yes","no"))</f>
        <v>duplicate?</v>
      </c>
      <c r="K3693" s="97" t="str">
        <f ca="1">IF(J3693="","Date",IF(J3693&lt;&gt;"",IF(K3693="Date",NOW(),K3693),""))</f>
        <v>Date</v>
      </c>
    </row>
    <row r="3694" spans="2:11">
      <c r="B3694" s="97" t="str">
        <f ca="1">IF(A3694="","Date",IF(A3694&lt;&gt;"",IF(B3694="Date",NOW(),B3694),""))</f>
        <v>Date</v>
      </c>
      <c r="C3694" s="19" t="str">
        <f>IF(ISBLANK(A3694),"Name",IF(ISNA(VLOOKUP(A3694,'Master List'!A:C,2,FALSE)), "Not Found", VLOOKUP(A3694,'Master List'!A:C,2,FALSE)))</f>
        <v>Name</v>
      </c>
      <c r="D3694" s="19" t="str">
        <f>IF(ISBLANK(A3694), "Email",IF(ISNA(VLOOKUP(A3694,'Master List'!A:C,3,FALSE)), "Not Found", VLOOKUP(A3694,'Master List'!A:C,3,FALSE)))</f>
        <v>Email</v>
      </c>
      <c r="F3694" s="4" t="str">
        <f>IF(OR(A3694="",E3694="","",A3694="?",E3694="?"),"duplicate?",IF(COUNTIFS($A:A,A3694,E:E,E3694)&gt;1,"yes","no"))</f>
        <v>duplicate?</v>
      </c>
      <c r="K3694" s="97" t="str">
        <f ca="1">IF(J3694="","Date",IF(J3694&lt;&gt;"",IF(K3694="Date",NOW(),K3694),""))</f>
        <v>Date</v>
      </c>
    </row>
    <row r="3695" spans="2:11">
      <c r="B3695" s="97" t="str">
        <f ca="1">IF(A3695="","Date",IF(A3695&lt;&gt;"",IF(B3695="Date",NOW(),B3695),""))</f>
        <v>Date</v>
      </c>
      <c r="C3695" s="19" t="str">
        <f>IF(ISBLANK(A3695),"Name",IF(ISNA(VLOOKUP(A3695,'Master List'!A:C,2,FALSE)), "Not Found", VLOOKUP(A3695,'Master List'!A:C,2,FALSE)))</f>
        <v>Name</v>
      </c>
      <c r="D3695" s="19" t="str">
        <f>IF(ISBLANK(A3695), "Email",IF(ISNA(VLOOKUP(A3695,'Master List'!A:C,3,FALSE)), "Not Found", VLOOKUP(A3695,'Master List'!A:C,3,FALSE)))</f>
        <v>Email</v>
      </c>
      <c r="F3695" s="4" t="str">
        <f>IF(OR(A3695="",E3695="","",A3695="?",E3695="?"),"duplicate?",IF(COUNTIFS($A:A,A3695,E:E,E3695)&gt;1,"yes","no"))</f>
        <v>duplicate?</v>
      </c>
      <c r="K3695" s="97" t="str">
        <f ca="1">IF(J3695="","Date",IF(J3695&lt;&gt;"",IF(K3695="Date",NOW(),K3695),""))</f>
        <v>Date</v>
      </c>
    </row>
    <row r="3696" spans="2:11">
      <c r="B3696" s="97" t="str">
        <f ca="1">IF(A3696="","Date",IF(A3696&lt;&gt;"",IF(B3696="Date",NOW(),B3696),""))</f>
        <v>Date</v>
      </c>
      <c r="C3696" s="19" t="str">
        <f>IF(ISBLANK(A3696),"Name",IF(ISNA(VLOOKUP(A3696,'Master List'!A:C,2,FALSE)), "Not Found", VLOOKUP(A3696,'Master List'!A:C,2,FALSE)))</f>
        <v>Name</v>
      </c>
      <c r="D3696" s="19" t="str">
        <f>IF(ISBLANK(A3696), "Email",IF(ISNA(VLOOKUP(A3696,'Master List'!A:C,3,FALSE)), "Not Found", VLOOKUP(A3696,'Master List'!A:C,3,FALSE)))</f>
        <v>Email</v>
      </c>
      <c r="F3696" s="4" t="str">
        <f>IF(OR(A3696="",E3696="","",A3696="?",E3696="?"),"duplicate?",IF(COUNTIFS($A:A,A3696,E:E,E3696)&gt;1,"yes","no"))</f>
        <v>duplicate?</v>
      </c>
      <c r="K3696" s="97" t="str">
        <f ca="1">IF(J3696="","Date",IF(J3696&lt;&gt;"",IF(K3696="Date",NOW(),K3696),""))</f>
        <v>Date</v>
      </c>
    </row>
    <row r="3697" spans="2:11">
      <c r="B3697" s="97" t="str">
        <f ca="1">IF(A3697="","Date",IF(A3697&lt;&gt;"",IF(B3697="Date",NOW(),B3697),""))</f>
        <v>Date</v>
      </c>
      <c r="C3697" s="19" t="str">
        <f>IF(ISBLANK(A3697),"Name",IF(ISNA(VLOOKUP(A3697,'Master List'!A:C,2,FALSE)), "Not Found", VLOOKUP(A3697,'Master List'!A:C,2,FALSE)))</f>
        <v>Name</v>
      </c>
      <c r="D3697" s="19" t="str">
        <f>IF(ISBLANK(A3697), "Email",IF(ISNA(VLOOKUP(A3697,'Master List'!A:C,3,FALSE)), "Not Found", VLOOKUP(A3697,'Master List'!A:C,3,FALSE)))</f>
        <v>Email</v>
      </c>
      <c r="F3697" s="4" t="str">
        <f>IF(OR(A3697="",E3697="","",A3697="?",E3697="?"),"duplicate?",IF(COUNTIFS($A:A,A3697,E:E,E3697)&gt;1,"yes","no"))</f>
        <v>duplicate?</v>
      </c>
      <c r="K3697" s="97" t="str">
        <f ca="1">IF(J3697="","Date",IF(J3697&lt;&gt;"",IF(K3697="Date",NOW(),K3697),""))</f>
        <v>Date</v>
      </c>
    </row>
    <row r="3698" spans="2:11">
      <c r="B3698" s="97" t="str">
        <f ca="1">IF(A3698="","Date",IF(A3698&lt;&gt;"",IF(B3698="Date",NOW(),B3698),""))</f>
        <v>Date</v>
      </c>
      <c r="C3698" s="19" t="str">
        <f>IF(ISBLANK(A3698),"Name",IF(ISNA(VLOOKUP(A3698,'Master List'!A:C,2,FALSE)), "Not Found", VLOOKUP(A3698,'Master List'!A:C,2,FALSE)))</f>
        <v>Name</v>
      </c>
      <c r="D3698" s="19" t="str">
        <f>IF(ISBLANK(A3698), "Email",IF(ISNA(VLOOKUP(A3698,'Master List'!A:C,3,FALSE)), "Not Found", VLOOKUP(A3698,'Master List'!A:C,3,FALSE)))</f>
        <v>Email</v>
      </c>
      <c r="F3698" s="4" t="str">
        <f>IF(OR(A3698="",E3698="","",A3698="?",E3698="?"),"duplicate?",IF(COUNTIFS($A:A,A3698,E:E,E3698)&gt;1,"yes","no"))</f>
        <v>duplicate?</v>
      </c>
      <c r="K3698" s="97" t="str">
        <f ca="1">IF(J3698="","Date",IF(J3698&lt;&gt;"",IF(K3698="Date",NOW(),K3698),""))</f>
        <v>Date</v>
      </c>
    </row>
    <row r="3699" spans="2:11">
      <c r="B3699" s="97" t="str">
        <f ca="1">IF(A3699="","Date",IF(A3699&lt;&gt;"",IF(B3699="Date",NOW(),B3699),""))</f>
        <v>Date</v>
      </c>
      <c r="C3699" s="19" t="str">
        <f>IF(ISBLANK(A3699),"Name",IF(ISNA(VLOOKUP(A3699,'Master List'!A:C,2,FALSE)), "Not Found", VLOOKUP(A3699,'Master List'!A:C,2,FALSE)))</f>
        <v>Name</v>
      </c>
      <c r="D3699" s="19" t="str">
        <f>IF(ISBLANK(A3699), "Email",IF(ISNA(VLOOKUP(A3699,'Master List'!A:C,3,FALSE)), "Not Found", VLOOKUP(A3699,'Master List'!A:C,3,FALSE)))</f>
        <v>Email</v>
      </c>
      <c r="F3699" s="4" t="str">
        <f>IF(OR(A3699="",E3699="","",A3699="?",E3699="?"),"duplicate?",IF(COUNTIFS($A:A,A3699,E:E,E3699)&gt;1,"yes","no"))</f>
        <v>duplicate?</v>
      </c>
      <c r="K3699" s="97" t="str">
        <f ca="1">IF(J3699="","Date",IF(J3699&lt;&gt;"",IF(K3699="Date",NOW(),K3699),""))</f>
        <v>Date</v>
      </c>
    </row>
    <row r="3700" spans="2:11">
      <c r="B3700" s="97" t="str">
        <f ca="1">IF(A3700="","Date",IF(A3700&lt;&gt;"",IF(B3700="Date",NOW(),B3700),""))</f>
        <v>Date</v>
      </c>
      <c r="C3700" s="19" t="str">
        <f>IF(ISBLANK(A3700),"Name",IF(ISNA(VLOOKUP(A3700,'Master List'!A:C,2,FALSE)), "Not Found", VLOOKUP(A3700,'Master List'!A:C,2,FALSE)))</f>
        <v>Name</v>
      </c>
      <c r="D3700" s="19" t="str">
        <f>IF(ISBLANK(A3700), "Email",IF(ISNA(VLOOKUP(A3700,'Master List'!A:C,3,FALSE)), "Not Found", VLOOKUP(A3700,'Master List'!A:C,3,FALSE)))</f>
        <v>Email</v>
      </c>
      <c r="F3700" s="4" t="str">
        <f>IF(OR(A3700="",E3700="","",A3700="?",E3700="?"),"duplicate?",IF(COUNTIFS($A:A,A3700,E:E,E3700)&gt;1,"yes","no"))</f>
        <v>duplicate?</v>
      </c>
      <c r="K3700" s="97" t="str">
        <f ca="1">IF(J3700="","Date",IF(J3700&lt;&gt;"",IF(K3700="Date",NOW(),K3700),""))</f>
        <v>Date</v>
      </c>
    </row>
    <row r="3701" spans="2:11">
      <c r="B3701" s="97" t="str">
        <f ca="1">IF(A3701="","Date",IF(A3701&lt;&gt;"",IF(B3701="Date",NOW(),B3701),""))</f>
        <v>Date</v>
      </c>
      <c r="C3701" s="19" t="str">
        <f>IF(ISBLANK(A3701),"Name",IF(ISNA(VLOOKUP(A3701,'Master List'!A:C,2,FALSE)), "Not Found", VLOOKUP(A3701,'Master List'!A:C,2,FALSE)))</f>
        <v>Name</v>
      </c>
      <c r="D3701" s="19" t="str">
        <f>IF(ISBLANK(A3701), "Email",IF(ISNA(VLOOKUP(A3701,'Master List'!A:C,3,FALSE)), "Not Found", VLOOKUP(A3701,'Master List'!A:C,3,FALSE)))</f>
        <v>Email</v>
      </c>
      <c r="F3701" s="4" t="str">
        <f>IF(OR(A3701="",E3701="","",A3701="?",E3701="?"),"duplicate?",IF(COUNTIFS($A:A,A3701,E:E,E3701)&gt;1,"yes","no"))</f>
        <v>duplicate?</v>
      </c>
      <c r="K3701" s="97" t="str">
        <f ca="1">IF(J3701="","Date",IF(J3701&lt;&gt;"",IF(K3701="Date",NOW(),K3701),""))</f>
        <v>Date</v>
      </c>
    </row>
    <row r="3702" spans="2:11">
      <c r="B3702" s="97" t="str">
        <f ca="1">IF(A3702="","Date",IF(A3702&lt;&gt;"",IF(B3702="Date",NOW(),B3702),""))</f>
        <v>Date</v>
      </c>
      <c r="C3702" s="19" t="str">
        <f>IF(ISBLANK(A3702),"Name",IF(ISNA(VLOOKUP(A3702,'Master List'!A:C,2,FALSE)), "Not Found", VLOOKUP(A3702,'Master List'!A:C,2,FALSE)))</f>
        <v>Name</v>
      </c>
      <c r="D3702" s="19" t="str">
        <f>IF(ISBLANK(A3702), "Email",IF(ISNA(VLOOKUP(A3702,'Master List'!A:C,3,FALSE)), "Not Found", VLOOKUP(A3702,'Master List'!A:C,3,FALSE)))</f>
        <v>Email</v>
      </c>
      <c r="F3702" s="4" t="str">
        <f>IF(OR(A3702="",E3702="","",A3702="?",E3702="?"),"duplicate?",IF(COUNTIFS($A:A,A3702,E:E,E3702)&gt;1,"yes","no"))</f>
        <v>duplicate?</v>
      </c>
      <c r="K3702" s="97" t="str">
        <f ca="1">IF(J3702="","Date",IF(J3702&lt;&gt;"",IF(K3702="Date",NOW(),K3702),""))</f>
        <v>Date</v>
      </c>
    </row>
    <row r="3703" spans="2:11">
      <c r="B3703" s="97" t="str">
        <f ca="1">IF(A3703="","Date",IF(A3703&lt;&gt;"",IF(B3703="Date",NOW(),B3703),""))</f>
        <v>Date</v>
      </c>
      <c r="C3703" s="19" t="str">
        <f>IF(ISBLANK(A3703),"Name",IF(ISNA(VLOOKUP(A3703,'Master List'!A:C,2,FALSE)), "Not Found", VLOOKUP(A3703,'Master List'!A:C,2,FALSE)))</f>
        <v>Name</v>
      </c>
      <c r="D3703" s="19" t="str">
        <f>IF(ISBLANK(A3703), "Email",IF(ISNA(VLOOKUP(A3703,'Master List'!A:C,3,FALSE)), "Not Found", VLOOKUP(A3703,'Master List'!A:C,3,FALSE)))</f>
        <v>Email</v>
      </c>
      <c r="F3703" s="4" t="str">
        <f>IF(OR(A3703="",E3703="","",A3703="?",E3703="?"),"duplicate?",IF(COUNTIFS($A:A,A3703,E:E,E3703)&gt;1,"yes","no"))</f>
        <v>duplicate?</v>
      </c>
      <c r="K3703" s="97" t="str">
        <f ca="1">IF(J3703="","Date",IF(J3703&lt;&gt;"",IF(K3703="Date",NOW(),K3703),""))</f>
        <v>Date</v>
      </c>
    </row>
    <row r="3704" spans="2:11">
      <c r="B3704" s="97" t="str">
        <f ca="1">IF(A3704="","Date",IF(A3704&lt;&gt;"",IF(B3704="Date",NOW(),B3704),""))</f>
        <v>Date</v>
      </c>
      <c r="C3704" s="19" t="str">
        <f>IF(ISBLANK(A3704),"Name",IF(ISNA(VLOOKUP(A3704,'Master List'!A:C,2,FALSE)), "Not Found", VLOOKUP(A3704,'Master List'!A:C,2,FALSE)))</f>
        <v>Name</v>
      </c>
      <c r="D3704" s="19" t="str">
        <f>IF(ISBLANK(A3704), "Email",IF(ISNA(VLOOKUP(A3704,'Master List'!A:C,3,FALSE)), "Not Found", VLOOKUP(A3704,'Master List'!A:C,3,FALSE)))</f>
        <v>Email</v>
      </c>
      <c r="F3704" s="4" t="str">
        <f>IF(OR(A3704="",E3704="","",A3704="?",E3704="?"),"duplicate?",IF(COUNTIFS($A:A,A3704,E:E,E3704)&gt;1,"yes","no"))</f>
        <v>duplicate?</v>
      </c>
      <c r="K3704" s="97" t="str">
        <f ca="1">IF(J3704="","Date",IF(J3704&lt;&gt;"",IF(K3704="Date",NOW(),K3704),""))</f>
        <v>Date</v>
      </c>
    </row>
    <row r="3705" spans="2:11">
      <c r="B3705" s="97" t="str">
        <f ca="1">IF(A3705="","Date",IF(A3705&lt;&gt;"",IF(B3705="Date",NOW(),B3705),""))</f>
        <v>Date</v>
      </c>
      <c r="C3705" s="19" t="str">
        <f>IF(ISBLANK(A3705),"Name",IF(ISNA(VLOOKUP(A3705,'Master List'!A:C,2,FALSE)), "Not Found", VLOOKUP(A3705,'Master List'!A:C,2,FALSE)))</f>
        <v>Name</v>
      </c>
      <c r="D3705" s="19" t="str">
        <f>IF(ISBLANK(A3705), "Email",IF(ISNA(VLOOKUP(A3705,'Master List'!A:C,3,FALSE)), "Not Found", VLOOKUP(A3705,'Master List'!A:C,3,FALSE)))</f>
        <v>Email</v>
      </c>
      <c r="F3705" s="4" t="str">
        <f>IF(OR(A3705="",E3705="","",A3705="?",E3705="?"),"duplicate?",IF(COUNTIFS($A:A,A3705,E:E,E3705)&gt;1,"yes","no"))</f>
        <v>duplicate?</v>
      </c>
      <c r="K3705" s="97" t="str">
        <f ca="1">IF(J3705="","Date",IF(J3705&lt;&gt;"",IF(K3705="Date",NOW(),K3705),""))</f>
        <v>Date</v>
      </c>
    </row>
    <row r="3706" spans="2:11">
      <c r="B3706" s="97" t="str">
        <f ca="1">IF(A3706="","Date",IF(A3706&lt;&gt;"",IF(B3706="Date",NOW(),B3706),""))</f>
        <v>Date</v>
      </c>
      <c r="C3706" s="19" t="str">
        <f>IF(ISBLANK(A3706),"Name",IF(ISNA(VLOOKUP(A3706,'Master List'!A:C,2,FALSE)), "Not Found", VLOOKUP(A3706,'Master List'!A:C,2,FALSE)))</f>
        <v>Name</v>
      </c>
      <c r="D3706" s="19" t="str">
        <f>IF(ISBLANK(A3706), "Email",IF(ISNA(VLOOKUP(A3706,'Master List'!A:C,3,FALSE)), "Not Found", VLOOKUP(A3706,'Master List'!A:C,3,FALSE)))</f>
        <v>Email</v>
      </c>
      <c r="F3706" s="4" t="str">
        <f>IF(OR(A3706="",E3706="","",A3706="?",E3706="?"),"duplicate?",IF(COUNTIFS($A:A,A3706,E:E,E3706)&gt;1,"yes","no"))</f>
        <v>duplicate?</v>
      </c>
      <c r="K3706" s="97" t="str">
        <f ca="1">IF(J3706="","Date",IF(J3706&lt;&gt;"",IF(K3706="Date",NOW(),K3706),""))</f>
        <v>Date</v>
      </c>
    </row>
    <row r="3707" spans="2:11">
      <c r="B3707" s="97" t="str">
        <f ca="1">IF(A3707="","Date",IF(A3707&lt;&gt;"",IF(B3707="Date",NOW(),B3707),""))</f>
        <v>Date</v>
      </c>
      <c r="C3707" s="19" t="str">
        <f>IF(ISBLANK(A3707),"Name",IF(ISNA(VLOOKUP(A3707,'Master List'!A:C,2,FALSE)), "Not Found", VLOOKUP(A3707,'Master List'!A:C,2,FALSE)))</f>
        <v>Name</v>
      </c>
      <c r="D3707" s="19" t="str">
        <f>IF(ISBLANK(A3707), "Email",IF(ISNA(VLOOKUP(A3707,'Master List'!A:C,3,FALSE)), "Not Found", VLOOKUP(A3707,'Master List'!A:C,3,FALSE)))</f>
        <v>Email</v>
      </c>
      <c r="F3707" s="4" t="str">
        <f>IF(OR(A3707="",E3707="","",A3707="?",E3707="?"),"duplicate?",IF(COUNTIFS($A:A,A3707,E:E,E3707)&gt;1,"yes","no"))</f>
        <v>duplicate?</v>
      </c>
      <c r="K3707" s="97" t="str">
        <f ca="1">IF(J3707="","Date",IF(J3707&lt;&gt;"",IF(K3707="Date",NOW(),K3707),""))</f>
        <v>Date</v>
      </c>
    </row>
    <row r="3708" spans="2:11">
      <c r="B3708" s="97" t="str">
        <f ca="1">IF(A3708="","Date",IF(A3708&lt;&gt;"",IF(B3708="Date",NOW(),B3708),""))</f>
        <v>Date</v>
      </c>
      <c r="C3708" s="19" t="str">
        <f>IF(ISBLANK(A3708),"Name",IF(ISNA(VLOOKUP(A3708,'Master List'!A:C,2,FALSE)), "Not Found", VLOOKUP(A3708,'Master List'!A:C,2,FALSE)))</f>
        <v>Name</v>
      </c>
      <c r="D3708" s="19" t="str">
        <f>IF(ISBLANK(A3708), "Email",IF(ISNA(VLOOKUP(A3708,'Master List'!A:C,3,FALSE)), "Not Found", VLOOKUP(A3708,'Master List'!A:C,3,FALSE)))</f>
        <v>Email</v>
      </c>
      <c r="F3708" s="4" t="str">
        <f>IF(OR(A3708="",E3708="","",A3708="?",E3708="?"),"duplicate?",IF(COUNTIFS($A:A,A3708,E:E,E3708)&gt;1,"yes","no"))</f>
        <v>duplicate?</v>
      </c>
      <c r="K3708" s="97" t="str">
        <f ca="1">IF(J3708="","Date",IF(J3708&lt;&gt;"",IF(K3708="Date",NOW(),K3708),""))</f>
        <v>Date</v>
      </c>
    </row>
    <row r="3709" spans="2:11">
      <c r="B3709" s="97" t="str">
        <f ca="1">IF(A3709="","Date",IF(A3709&lt;&gt;"",IF(B3709="Date",NOW(),B3709),""))</f>
        <v>Date</v>
      </c>
      <c r="C3709" s="19" t="str">
        <f>IF(ISBLANK(A3709),"Name",IF(ISNA(VLOOKUP(A3709,'Master List'!A:C,2,FALSE)), "Not Found", VLOOKUP(A3709,'Master List'!A:C,2,FALSE)))</f>
        <v>Name</v>
      </c>
      <c r="D3709" s="19" t="str">
        <f>IF(ISBLANK(A3709), "Email",IF(ISNA(VLOOKUP(A3709,'Master List'!A:C,3,FALSE)), "Not Found", VLOOKUP(A3709,'Master List'!A:C,3,FALSE)))</f>
        <v>Email</v>
      </c>
      <c r="F3709" s="4" t="str">
        <f>IF(OR(A3709="",E3709="","",A3709="?",E3709="?"),"duplicate?",IF(COUNTIFS($A:A,A3709,E:E,E3709)&gt;1,"yes","no"))</f>
        <v>duplicate?</v>
      </c>
      <c r="K3709" s="97" t="str">
        <f ca="1">IF(J3709="","Date",IF(J3709&lt;&gt;"",IF(K3709="Date",NOW(),K3709),""))</f>
        <v>Date</v>
      </c>
    </row>
    <row r="3710" spans="2:11">
      <c r="B3710" s="97" t="str">
        <f ca="1">IF(A3710="","Date",IF(A3710&lt;&gt;"",IF(B3710="Date",NOW(),B3710),""))</f>
        <v>Date</v>
      </c>
      <c r="C3710" s="19" t="str">
        <f>IF(ISBLANK(A3710),"Name",IF(ISNA(VLOOKUP(A3710,'Master List'!A:C,2,FALSE)), "Not Found", VLOOKUP(A3710,'Master List'!A:C,2,FALSE)))</f>
        <v>Name</v>
      </c>
      <c r="D3710" s="19" t="str">
        <f>IF(ISBLANK(A3710), "Email",IF(ISNA(VLOOKUP(A3710,'Master List'!A:C,3,FALSE)), "Not Found", VLOOKUP(A3710,'Master List'!A:C,3,FALSE)))</f>
        <v>Email</v>
      </c>
      <c r="F3710" s="4" t="str">
        <f>IF(OR(A3710="",E3710="","",A3710="?",E3710="?"),"duplicate?",IF(COUNTIFS($A:A,A3710,E:E,E3710)&gt;1,"yes","no"))</f>
        <v>duplicate?</v>
      </c>
      <c r="K3710" s="97" t="str">
        <f ca="1">IF(J3710="","Date",IF(J3710&lt;&gt;"",IF(K3710="Date",NOW(),K3710),""))</f>
        <v>Date</v>
      </c>
    </row>
    <row r="3711" spans="2:11">
      <c r="B3711" s="97" t="str">
        <f ca="1">IF(A3711="","Date",IF(A3711&lt;&gt;"",IF(B3711="Date",NOW(),B3711),""))</f>
        <v>Date</v>
      </c>
      <c r="C3711" s="19" t="str">
        <f>IF(ISBLANK(A3711),"Name",IF(ISNA(VLOOKUP(A3711,'Master List'!A:C,2,FALSE)), "Not Found", VLOOKUP(A3711,'Master List'!A:C,2,FALSE)))</f>
        <v>Name</v>
      </c>
      <c r="D3711" s="19" t="str">
        <f>IF(ISBLANK(A3711), "Email",IF(ISNA(VLOOKUP(A3711,'Master List'!A:C,3,FALSE)), "Not Found", VLOOKUP(A3711,'Master List'!A:C,3,FALSE)))</f>
        <v>Email</v>
      </c>
      <c r="F3711" s="4" t="str">
        <f>IF(OR(A3711="",E3711="","",A3711="?",E3711="?"),"duplicate?",IF(COUNTIFS($A:A,A3711,E:E,E3711)&gt;1,"yes","no"))</f>
        <v>duplicate?</v>
      </c>
      <c r="K3711" s="97" t="str">
        <f ca="1">IF(J3711="","Date",IF(J3711&lt;&gt;"",IF(K3711="Date",NOW(),K3711),""))</f>
        <v>Date</v>
      </c>
    </row>
    <row r="3712" spans="2:11">
      <c r="B3712" s="97" t="str">
        <f ca="1">IF(A3712="","Date",IF(A3712&lt;&gt;"",IF(B3712="Date",NOW(),B3712),""))</f>
        <v>Date</v>
      </c>
      <c r="C3712" s="19" t="str">
        <f>IF(ISBLANK(A3712),"Name",IF(ISNA(VLOOKUP(A3712,'Master List'!A:C,2,FALSE)), "Not Found", VLOOKUP(A3712,'Master List'!A:C,2,FALSE)))</f>
        <v>Name</v>
      </c>
      <c r="D3712" s="19" t="str">
        <f>IF(ISBLANK(A3712), "Email",IF(ISNA(VLOOKUP(A3712,'Master List'!A:C,3,FALSE)), "Not Found", VLOOKUP(A3712,'Master List'!A:C,3,FALSE)))</f>
        <v>Email</v>
      </c>
      <c r="F3712" s="4" t="str">
        <f>IF(OR(A3712="",E3712="","",A3712="?",E3712="?"),"duplicate?",IF(COUNTIFS($A:A,A3712,E:E,E3712)&gt;1,"yes","no"))</f>
        <v>duplicate?</v>
      </c>
      <c r="K3712" s="97" t="str">
        <f ca="1">IF(J3712="","Date",IF(J3712&lt;&gt;"",IF(K3712="Date",NOW(),K3712),""))</f>
        <v>Date</v>
      </c>
    </row>
    <row r="3713" spans="2:11">
      <c r="B3713" s="97" t="str">
        <f ca="1">IF(A3713="","Date",IF(A3713&lt;&gt;"",IF(B3713="Date",NOW(),B3713),""))</f>
        <v>Date</v>
      </c>
      <c r="C3713" s="19" t="str">
        <f>IF(ISBLANK(A3713),"Name",IF(ISNA(VLOOKUP(A3713,'Master List'!A:C,2,FALSE)), "Not Found", VLOOKUP(A3713,'Master List'!A:C,2,FALSE)))</f>
        <v>Name</v>
      </c>
      <c r="D3713" s="19" t="str">
        <f>IF(ISBLANK(A3713), "Email",IF(ISNA(VLOOKUP(A3713,'Master List'!A:C,3,FALSE)), "Not Found", VLOOKUP(A3713,'Master List'!A:C,3,FALSE)))</f>
        <v>Email</v>
      </c>
      <c r="F3713" s="4" t="str">
        <f>IF(OR(A3713="",E3713="","",A3713="?",E3713="?"),"duplicate?",IF(COUNTIFS($A:A,A3713,E:E,E3713)&gt;1,"yes","no"))</f>
        <v>duplicate?</v>
      </c>
      <c r="K3713" s="97" t="str">
        <f ca="1">IF(J3713="","Date",IF(J3713&lt;&gt;"",IF(K3713="Date",NOW(),K3713),""))</f>
        <v>Date</v>
      </c>
    </row>
    <row r="3714" spans="2:11">
      <c r="B3714" s="97" t="str">
        <f ca="1">IF(A3714="","Date",IF(A3714&lt;&gt;"",IF(B3714="Date",NOW(),B3714),""))</f>
        <v>Date</v>
      </c>
      <c r="C3714" s="19" t="str">
        <f>IF(ISBLANK(A3714),"Name",IF(ISNA(VLOOKUP(A3714,'Master List'!A:C,2,FALSE)), "Not Found", VLOOKUP(A3714,'Master List'!A:C,2,FALSE)))</f>
        <v>Name</v>
      </c>
      <c r="D3714" s="19" t="str">
        <f>IF(ISBLANK(A3714), "Email",IF(ISNA(VLOOKUP(A3714,'Master List'!A:C,3,FALSE)), "Not Found", VLOOKUP(A3714,'Master List'!A:C,3,FALSE)))</f>
        <v>Email</v>
      </c>
      <c r="F3714" s="4" t="str">
        <f>IF(OR(A3714="",E3714="","",A3714="?",E3714="?"),"duplicate?",IF(COUNTIFS($A:A,A3714,E:E,E3714)&gt;1,"yes","no"))</f>
        <v>duplicate?</v>
      </c>
      <c r="K3714" s="97" t="str">
        <f ca="1">IF(J3714="","Date",IF(J3714&lt;&gt;"",IF(K3714="Date",NOW(),K3714),""))</f>
        <v>Date</v>
      </c>
    </row>
    <row r="3715" spans="2:11">
      <c r="B3715" s="97" t="str">
        <f ca="1">IF(A3715="","Date",IF(A3715&lt;&gt;"",IF(B3715="Date",NOW(),B3715),""))</f>
        <v>Date</v>
      </c>
      <c r="C3715" s="19" t="str">
        <f>IF(ISBLANK(A3715),"Name",IF(ISNA(VLOOKUP(A3715,'Master List'!A:C,2,FALSE)), "Not Found", VLOOKUP(A3715,'Master List'!A:C,2,FALSE)))</f>
        <v>Name</v>
      </c>
      <c r="D3715" s="19" t="str">
        <f>IF(ISBLANK(A3715), "Email",IF(ISNA(VLOOKUP(A3715,'Master List'!A:C,3,FALSE)), "Not Found", VLOOKUP(A3715,'Master List'!A:C,3,FALSE)))</f>
        <v>Email</v>
      </c>
      <c r="F3715" s="4" t="str">
        <f>IF(OR(A3715="",E3715="","",A3715="?",E3715="?"),"duplicate?",IF(COUNTIFS($A:A,A3715,E:E,E3715)&gt;1,"yes","no"))</f>
        <v>duplicate?</v>
      </c>
      <c r="K3715" s="97" t="str">
        <f ca="1">IF(J3715="","Date",IF(J3715&lt;&gt;"",IF(K3715="Date",NOW(),K3715),""))</f>
        <v>Date</v>
      </c>
    </row>
    <row r="3716" spans="2:11">
      <c r="B3716" s="97" t="str">
        <f ca="1">IF(A3716="","Date",IF(A3716&lt;&gt;"",IF(B3716="Date",NOW(),B3716),""))</f>
        <v>Date</v>
      </c>
      <c r="C3716" s="19" t="str">
        <f>IF(ISBLANK(A3716),"Name",IF(ISNA(VLOOKUP(A3716,'Master List'!A:C,2,FALSE)), "Not Found", VLOOKUP(A3716,'Master List'!A:C,2,FALSE)))</f>
        <v>Name</v>
      </c>
      <c r="D3716" s="19" t="str">
        <f>IF(ISBLANK(A3716), "Email",IF(ISNA(VLOOKUP(A3716,'Master List'!A:C,3,FALSE)), "Not Found", VLOOKUP(A3716,'Master List'!A:C,3,FALSE)))</f>
        <v>Email</v>
      </c>
      <c r="F3716" s="4" t="str">
        <f>IF(OR(A3716="",E3716="","",A3716="?",E3716="?"),"duplicate?",IF(COUNTIFS($A:A,A3716,E:E,E3716)&gt;1,"yes","no"))</f>
        <v>duplicate?</v>
      </c>
      <c r="K3716" s="97" t="str">
        <f ca="1">IF(J3716="","Date",IF(J3716&lt;&gt;"",IF(K3716="Date",NOW(),K3716),""))</f>
        <v>Date</v>
      </c>
    </row>
    <row r="3717" spans="2:11">
      <c r="B3717" s="97" t="str">
        <f ca="1">IF(A3717="","Date",IF(A3717&lt;&gt;"",IF(B3717="Date",NOW(),B3717),""))</f>
        <v>Date</v>
      </c>
      <c r="C3717" s="19" t="str">
        <f>IF(ISBLANK(A3717),"Name",IF(ISNA(VLOOKUP(A3717,'Master List'!A:C,2,FALSE)), "Not Found", VLOOKUP(A3717,'Master List'!A:C,2,FALSE)))</f>
        <v>Name</v>
      </c>
      <c r="D3717" s="19" t="str">
        <f>IF(ISBLANK(A3717), "Email",IF(ISNA(VLOOKUP(A3717,'Master List'!A:C,3,FALSE)), "Not Found", VLOOKUP(A3717,'Master List'!A:C,3,FALSE)))</f>
        <v>Email</v>
      </c>
      <c r="F3717" s="4" t="str">
        <f>IF(OR(A3717="",E3717="","",A3717="?",E3717="?"),"duplicate?",IF(COUNTIFS($A:A,A3717,E:E,E3717)&gt;1,"yes","no"))</f>
        <v>duplicate?</v>
      </c>
      <c r="K3717" s="97" t="str">
        <f ca="1">IF(J3717="","Date",IF(J3717&lt;&gt;"",IF(K3717="Date",NOW(),K3717),""))</f>
        <v>Date</v>
      </c>
    </row>
    <row r="3718" spans="2:11">
      <c r="B3718" s="97" t="str">
        <f ca="1">IF(A3718="","Date",IF(A3718&lt;&gt;"",IF(B3718="Date",NOW(),B3718),""))</f>
        <v>Date</v>
      </c>
      <c r="C3718" s="19" t="str">
        <f>IF(ISBLANK(A3718),"Name",IF(ISNA(VLOOKUP(A3718,'Master List'!A:C,2,FALSE)), "Not Found", VLOOKUP(A3718,'Master List'!A:C,2,FALSE)))</f>
        <v>Name</v>
      </c>
      <c r="D3718" s="19" t="str">
        <f>IF(ISBLANK(A3718), "Email",IF(ISNA(VLOOKUP(A3718,'Master List'!A:C,3,FALSE)), "Not Found", VLOOKUP(A3718,'Master List'!A:C,3,FALSE)))</f>
        <v>Email</v>
      </c>
      <c r="F3718" s="4" t="str">
        <f>IF(OR(A3718="",E3718="","",A3718="?",E3718="?"),"duplicate?",IF(COUNTIFS($A:A,A3718,E:E,E3718)&gt;1,"yes","no"))</f>
        <v>duplicate?</v>
      </c>
      <c r="K3718" s="97" t="str">
        <f ca="1">IF(J3718="","Date",IF(J3718&lt;&gt;"",IF(K3718="Date",NOW(),K3718),""))</f>
        <v>Date</v>
      </c>
    </row>
    <row r="3719" spans="2:11">
      <c r="B3719" s="97" t="str">
        <f ca="1">IF(A3719="","Date",IF(A3719&lt;&gt;"",IF(B3719="Date",NOW(),B3719),""))</f>
        <v>Date</v>
      </c>
      <c r="C3719" s="19" t="str">
        <f>IF(ISBLANK(A3719),"Name",IF(ISNA(VLOOKUP(A3719,'Master List'!A:C,2,FALSE)), "Not Found", VLOOKUP(A3719,'Master List'!A:C,2,FALSE)))</f>
        <v>Name</v>
      </c>
      <c r="D3719" s="19" t="str">
        <f>IF(ISBLANK(A3719), "Email",IF(ISNA(VLOOKUP(A3719,'Master List'!A:C,3,FALSE)), "Not Found", VLOOKUP(A3719,'Master List'!A:C,3,FALSE)))</f>
        <v>Email</v>
      </c>
      <c r="F3719" s="4" t="str">
        <f>IF(OR(A3719="",E3719="","",A3719="?",E3719="?"),"duplicate?",IF(COUNTIFS($A:A,A3719,E:E,E3719)&gt;1,"yes","no"))</f>
        <v>duplicate?</v>
      </c>
      <c r="K3719" s="97" t="str">
        <f ca="1">IF(J3719="","Date",IF(J3719&lt;&gt;"",IF(K3719="Date",NOW(),K3719),""))</f>
        <v>Date</v>
      </c>
    </row>
    <row r="3720" spans="2:11">
      <c r="B3720" s="97" t="str">
        <f ca="1">IF(A3720="","Date",IF(A3720&lt;&gt;"",IF(B3720="Date",NOW(),B3720),""))</f>
        <v>Date</v>
      </c>
      <c r="C3720" s="19" t="str">
        <f>IF(ISBLANK(A3720),"Name",IF(ISNA(VLOOKUP(A3720,'Master List'!A:C,2,FALSE)), "Not Found", VLOOKUP(A3720,'Master List'!A:C,2,FALSE)))</f>
        <v>Name</v>
      </c>
      <c r="D3720" s="19" t="str">
        <f>IF(ISBLANK(A3720), "Email",IF(ISNA(VLOOKUP(A3720,'Master List'!A:C,3,FALSE)), "Not Found", VLOOKUP(A3720,'Master List'!A:C,3,FALSE)))</f>
        <v>Email</v>
      </c>
      <c r="F3720" s="4" t="str">
        <f>IF(OR(A3720="",E3720="","",A3720="?",E3720="?"),"duplicate?",IF(COUNTIFS($A:A,A3720,E:E,E3720)&gt;1,"yes","no"))</f>
        <v>duplicate?</v>
      </c>
      <c r="K3720" s="97" t="str">
        <f ca="1">IF(J3720="","Date",IF(J3720&lt;&gt;"",IF(K3720="Date",NOW(),K3720),""))</f>
        <v>Date</v>
      </c>
    </row>
    <row r="3721" spans="2:11">
      <c r="B3721" s="97" t="str">
        <f ca="1">IF(A3721="","Date",IF(A3721&lt;&gt;"",IF(B3721="Date",NOW(),B3721),""))</f>
        <v>Date</v>
      </c>
      <c r="C3721" s="19" t="str">
        <f>IF(ISBLANK(A3721),"Name",IF(ISNA(VLOOKUP(A3721,'Master List'!A:C,2,FALSE)), "Not Found", VLOOKUP(A3721,'Master List'!A:C,2,FALSE)))</f>
        <v>Name</v>
      </c>
      <c r="D3721" s="19" t="str">
        <f>IF(ISBLANK(A3721), "Email",IF(ISNA(VLOOKUP(A3721,'Master List'!A:C,3,FALSE)), "Not Found", VLOOKUP(A3721,'Master List'!A:C,3,FALSE)))</f>
        <v>Email</v>
      </c>
      <c r="F3721" s="4" t="str">
        <f>IF(OR(A3721="",E3721="","",A3721="?",E3721="?"),"duplicate?",IF(COUNTIFS($A:A,A3721,E:E,E3721)&gt;1,"yes","no"))</f>
        <v>duplicate?</v>
      </c>
      <c r="K3721" s="97" t="str">
        <f ca="1">IF(J3721="","Date",IF(J3721&lt;&gt;"",IF(K3721="Date",NOW(),K3721),""))</f>
        <v>Date</v>
      </c>
    </row>
    <row r="3722" spans="2:11">
      <c r="B3722" s="97" t="str">
        <f ca="1">IF(A3722="","Date",IF(A3722&lt;&gt;"",IF(B3722="Date",NOW(),B3722),""))</f>
        <v>Date</v>
      </c>
      <c r="C3722" s="19" t="str">
        <f>IF(ISBLANK(A3722),"Name",IF(ISNA(VLOOKUP(A3722,'Master List'!A:C,2,FALSE)), "Not Found", VLOOKUP(A3722,'Master List'!A:C,2,FALSE)))</f>
        <v>Name</v>
      </c>
      <c r="D3722" s="19" t="str">
        <f>IF(ISBLANK(A3722), "Email",IF(ISNA(VLOOKUP(A3722,'Master List'!A:C,3,FALSE)), "Not Found", VLOOKUP(A3722,'Master List'!A:C,3,FALSE)))</f>
        <v>Email</v>
      </c>
      <c r="F3722" s="4" t="str">
        <f>IF(OR(A3722="",E3722="","",A3722="?",E3722="?"),"duplicate?",IF(COUNTIFS($A:A,A3722,E:E,E3722)&gt;1,"yes","no"))</f>
        <v>duplicate?</v>
      </c>
      <c r="K3722" s="97" t="str">
        <f ca="1">IF(J3722="","Date",IF(J3722&lt;&gt;"",IF(K3722="Date",NOW(),K3722),""))</f>
        <v>Date</v>
      </c>
    </row>
    <row r="3723" spans="2:11">
      <c r="B3723" s="97" t="str">
        <f ca="1">IF(A3723="","Date",IF(A3723&lt;&gt;"",IF(B3723="Date",NOW(),B3723),""))</f>
        <v>Date</v>
      </c>
      <c r="C3723" s="19" t="str">
        <f>IF(ISBLANK(A3723),"Name",IF(ISNA(VLOOKUP(A3723,'Master List'!A:C,2,FALSE)), "Not Found", VLOOKUP(A3723,'Master List'!A:C,2,FALSE)))</f>
        <v>Name</v>
      </c>
      <c r="D3723" s="19" t="str">
        <f>IF(ISBLANK(A3723), "Email",IF(ISNA(VLOOKUP(A3723,'Master List'!A:C,3,FALSE)), "Not Found", VLOOKUP(A3723,'Master List'!A:C,3,FALSE)))</f>
        <v>Email</v>
      </c>
      <c r="F3723" s="4" t="str">
        <f>IF(OR(A3723="",E3723="","",A3723="?",E3723="?"),"duplicate?",IF(COUNTIFS($A:A,A3723,E:E,E3723)&gt;1,"yes","no"))</f>
        <v>duplicate?</v>
      </c>
      <c r="K3723" s="97" t="str">
        <f ca="1">IF(J3723="","Date",IF(J3723&lt;&gt;"",IF(K3723="Date",NOW(),K3723),""))</f>
        <v>Date</v>
      </c>
    </row>
    <row r="3724" spans="2:11">
      <c r="B3724" s="97" t="str">
        <f ca="1">IF(A3724="","Date",IF(A3724&lt;&gt;"",IF(B3724="Date",NOW(),B3724),""))</f>
        <v>Date</v>
      </c>
      <c r="C3724" s="19" t="str">
        <f>IF(ISBLANK(A3724),"Name",IF(ISNA(VLOOKUP(A3724,'Master List'!A:C,2,FALSE)), "Not Found", VLOOKUP(A3724,'Master List'!A:C,2,FALSE)))</f>
        <v>Name</v>
      </c>
      <c r="D3724" s="19" t="str">
        <f>IF(ISBLANK(A3724), "Email",IF(ISNA(VLOOKUP(A3724,'Master List'!A:C,3,FALSE)), "Not Found", VLOOKUP(A3724,'Master List'!A:C,3,FALSE)))</f>
        <v>Email</v>
      </c>
      <c r="F3724" s="4" t="str">
        <f>IF(OR(A3724="",E3724="","",A3724="?",E3724="?"),"duplicate?",IF(COUNTIFS($A:A,A3724,E:E,E3724)&gt;1,"yes","no"))</f>
        <v>duplicate?</v>
      </c>
      <c r="K3724" s="97" t="str">
        <f ca="1">IF(J3724="","Date",IF(J3724&lt;&gt;"",IF(K3724="Date",NOW(),K3724),""))</f>
        <v>Date</v>
      </c>
    </row>
    <row r="3725" spans="2:11">
      <c r="B3725" s="97" t="str">
        <f ca="1">IF(A3725="","Date",IF(A3725&lt;&gt;"",IF(B3725="Date",NOW(),B3725),""))</f>
        <v>Date</v>
      </c>
      <c r="C3725" s="19" t="str">
        <f>IF(ISBLANK(A3725),"Name",IF(ISNA(VLOOKUP(A3725,'Master List'!A:C,2,FALSE)), "Not Found", VLOOKUP(A3725,'Master List'!A:C,2,FALSE)))</f>
        <v>Name</v>
      </c>
      <c r="D3725" s="19" t="str">
        <f>IF(ISBLANK(A3725), "Email",IF(ISNA(VLOOKUP(A3725,'Master List'!A:C,3,FALSE)), "Not Found", VLOOKUP(A3725,'Master List'!A:C,3,FALSE)))</f>
        <v>Email</v>
      </c>
      <c r="F3725" s="4" t="str">
        <f>IF(OR(A3725="",E3725="","",A3725="?",E3725="?"),"duplicate?",IF(COUNTIFS($A:A,A3725,E:E,E3725)&gt;1,"yes","no"))</f>
        <v>duplicate?</v>
      </c>
      <c r="K3725" s="97" t="str">
        <f ca="1">IF(J3725="","Date",IF(J3725&lt;&gt;"",IF(K3725="Date",NOW(),K3725),""))</f>
        <v>Date</v>
      </c>
    </row>
    <row r="3726" spans="2:11">
      <c r="B3726" s="97" t="str">
        <f ca="1">IF(A3726="","Date",IF(A3726&lt;&gt;"",IF(B3726="Date",NOW(),B3726),""))</f>
        <v>Date</v>
      </c>
      <c r="C3726" s="19" t="str">
        <f>IF(ISBLANK(A3726),"Name",IF(ISNA(VLOOKUP(A3726,'Master List'!A:C,2,FALSE)), "Not Found", VLOOKUP(A3726,'Master List'!A:C,2,FALSE)))</f>
        <v>Name</v>
      </c>
      <c r="D3726" s="19" t="str">
        <f>IF(ISBLANK(A3726), "Email",IF(ISNA(VLOOKUP(A3726,'Master List'!A:C,3,FALSE)), "Not Found", VLOOKUP(A3726,'Master List'!A:C,3,FALSE)))</f>
        <v>Email</v>
      </c>
      <c r="F3726" s="4" t="str">
        <f>IF(OR(A3726="",E3726="","",A3726="?",E3726="?"),"duplicate?",IF(COUNTIFS($A:A,A3726,E:E,E3726)&gt;1,"yes","no"))</f>
        <v>duplicate?</v>
      </c>
      <c r="K3726" s="97" t="str">
        <f ca="1">IF(J3726="","Date",IF(J3726&lt;&gt;"",IF(K3726="Date",NOW(),K3726),""))</f>
        <v>Date</v>
      </c>
    </row>
    <row r="3727" spans="2:11">
      <c r="B3727" s="97" t="str">
        <f ca="1">IF(A3727="","Date",IF(A3727&lt;&gt;"",IF(B3727="Date",NOW(),B3727),""))</f>
        <v>Date</v>
      </c>
      <c r="C3727" s="19" t="str">
        <f>IF(ISBLANK(A3727),"Name",IF(ISNA(VLOOKUP(A3727,'Master List'!A:C,2,FALSE)), "Not Found", VLOOKUP(A3727,'Master List'!A:C,2,FALSE)))</f>
        <v>Name</v>
      </c>
      <c r="D3727" s="19" t="str">
        <f>IF(ISBLANK(A3727), "Email",IF(ISNA(VLOOKUP(A3727,'Master List'!A:C,3,FALSE)), "Not Found", VLOOKUP(A3727,'Master List'!A:C,3,FALSE)))</f>
        <v>Email</v>
      </c>
      <c r="F3727" s="4" t="str">
        <f>IF(OR(A3727="",E3727="","",A3727="?",E3727="?"),"duplicate?",IF(COUNTIFS($A:A,A3727,E:E,E3727)&gt;1,"yes","no"))</f>
        <v>duplicate?</v>
      </c>
      <c r="K3727" s="97" t="str">
        <f ca="1">IF(J3727="","Date",IF(J3727&lt;&gt;"",IF(K3727="Date",NOW(),K3727),""))</f>
        <v>Date</v>
      </c>
    </row>
    <row r="3728" spans="2:11">
      <c r="B3728" s="97" t="str">
        <f ca="1">IF(A3728="","Date",IF(A3728&lt;&gt;"",IF(B3728="Date",NOW(),B3728),""))</f>
        <v>Date</v>
      </c>
      <c r="C3728" s="19" t="str">
        <f>IF(ISBLANK(A3728),"Name",IF(ISNA(VLOOKUP(A3728,'Master List'!A:C,2,FALSE)), "Not Found", VLOOKUP(A3728,'Master List'!A:C,2,FALSE)))</f>
        <v>Name</v>
      </c>
      <c r="D3728" s="19" t="str">
        <f>IF(ISBLANK(A3728), "Email",IF(ISNA(VLOOKUP(A3728,'Master List'!A:C,3,FALSE)), "Not Found", VLOOKUP(A3728,'Master List'!A:C,3,FALSE)))</f>
        <v>Email</v>
      </c>
      <c r="F3728" s="4" t="str">
        <f>IF(OR(A3728="",E3728="","",A3728="?",E3728="?"),"duplicate?",IF(COUNTIFS($A:A,A3728,E:E,E3728)&gt;1,"yes","no"))</f>
        <v>duplicate?</v>
      </c>
      <c r="K3728" s="97" t="str">
        <f ca="1">IF(J3728="","Date",IF(J3728&lt;&gt;"",IF(K3728="Date",NOW(),K3728),""))</f>
        <v>Date</v>
      </c>
    </row>
    <row r="3729" spans="2:11">
      <c r="B3729" s="97" t="str">
        <f ca="1">IF(A3729="","Date",IF(A3729&lt;&gt;"",IF(B3729="Date",NOW(),B3729),""))</f>
        <v>Date</v>
      </c>
      <c r="C3729" s="19" t="str">
        <f>IF(ISBLANK(A3729),"Name",IF(ISNA(VLOOKUP(A3729,'Master List'!A:C,2,FALSE)), "Not Found", VLOOKUP(A3729,'Master List'!A:C,2,FALSE)))</f>
        <v>Name</v>
      </c>
      <c r="D3729" s="19" t="str">
        <f>IF(ISBLANK(A3729), "Email",IF(ISNA(VLOOKUP(A3729,'Master List'!A:C,3,FALSE)), "Not Found", VLOOKUP(A3729,'Master List'!A:C,3,FALSE)))</f>
        <v>Email</v>
      </c>
      <c r="F3729" s="4" t="str">
        <f>IF(OR(A3729="",E3729="","",A3729="?",E3729="?"),"duplicate?",IF(COUNTIFS($A:A,A3729,E:E,E3729)&gt;1,"yes","no"))</f>
        <v>duplicate?</v>
      </c>
      <c r="K3729" s="97" t="str">
        <f ca="1">IF(J3729="","Date",IF(J3729&lt;&gt;"",IF(K3729="Date",NOW(),K3729),""))</f>
        <v>Date</v>
      </c>
    </row>
    <row r="3730" spans="2:11">
      <c r="B3730" s="97" t="str">
        <f ca="1">IF(A3730="","Date",IF(A3730&lt;&gt;"",IF(B3730="Date",NOW(),B3730),""))</f>
        <v>Date</v>
      </c>
      <c r="C3730" s="19" t="str">
        <f>IF(ISBLANK(A3730),"Name",IF(ISNA(VLOOKUP(A3730,'Master List'!A:C,2,FALSE)), "Not Found", VLOOKUP(A3730,'Master List'!A:C,2,FALSE)))</f>
        <v>Name</v>
      </c>
      <c r="D3730" s="19" t="str">
        <f>IF(ISBLANK(A3730), "Email",IF(ISNA(VLOOKUP(A3730,'Master List'!A:C,3,FALSE)), "Not Found", VLOOKUP(A3730,'Master List'!A:C,3,FALSE)))</f>
        <v>Email</v>
      </c>
      <c r="F3730" s="4" t="str">
        <f>IF(OR(A3730="",E3730="","",A3730="?",E3730="?"),"duplicate?",IF(COUNTIFS($A:A,A3730,E:E,E3730)&gt;1,"yes","no"))</f>
        <v>duplicate?</v>
      </c>
      <c r="K3730" s="97" t="str">
        <f ca="1">IF(J3730="","Date",IF(J3730&lt;&gt;"",IF(K3730="Date",NOW(),K3730),""))</f>
        <v>Date</v>
      </c>
    </row>
    <row r="3731" spans="2:11">
      <c r="B3731" s="97" t="str">
        <f ca="1">IF(A3731="","Date",IF(A3731&lt;&gt;"",IF(B3731="Date",NOW(),B3731),""))</f>
        <v>Date</v>
      </c>
      <c r="C3731" s="19" t="str">
        <f>IF(ISBLANK(A3731),"Name",IF(ISNA(VLOOKUP(A3731,'Master List'!A:C,2,FALSE)), "Not Found", VLOOKUP(A3731,'Master List'!A:C,2,FALSE)))</f>
        <v>Name</v>
      </c>
      <c r="D3731" s="19" t="str">
        <f>IF(ISBLANK(A3731), "Email",IF(ISNA(VLOOKUP(A3731,'Master List'!A:C,3,FALSE)), "Not Found", VLOOKUP(A3731,'Master List'!A:C,3,FALSE)))</f>
        <v>Email</v>
      </c>
      <c r="F3731" s="4" t="str">
        <f>IF(OR(A3731="",E3731="","",A3731="?",E3731="?"),"duplicate?",IF(COUNTIFS($A:A,A3731,E:E,E3731)&gt;1,"yes","no"))</f>
        <v>duplicate?</v>
      </c>
      <c r="K3731" s="97" t="str">
        <f ca="1">IF(J3731="","Date",IF(J3731&lt;&gt;"",IF(K3731="Date",NOW(),K3731),""))</f>
        <v>Date</v>
      </c>
    </row>
    <row r="3732" spans="2:11">
      <c r="B3732" s="97" t="str">
        <f ca="1">IF(A3732="","Date",IF(A3732&lt;&gt;"",IF(B3732="Date",NOW(),B3732),""))</f>
        <v>Date</v>
      </c>
      <c r="C3732" s="19" t="str">
        <f>IF(ISBLANK(A3732),"Name",IF(ISNA(VLOOKUP(A3732,'Master List'!A:C,2,FALSE)), "Not Found", VLOOKUP(A3732,'Master List'!A:C,2,FALSE)))</f>
        <v>Name</v>
      </c>
      <c r="D3732" s="19" t="str">
        <f>IF(ISBLANK(A3732), "Email",IF(ISNA(VLOOKUP(A3732,'Master List'!A:C,3,FALSE)), "Not Found", VLOOKUP(A3732,'Master List'!A:C,3,FALSE)))</f>
        <v>Email</v>
      </c>
      <c r="F3732" s="4" t="str">
        <f>IF(OR(A3732="",E3732="","",A3732="?",E3732="?"),"duplicate?",IF(COUNTIFS($A:A,A3732,E:E,E3732)&gt;1,"yes","no"))</f>
        <v>duplicate?</v>
      </c>
      <c r="K3732" s="97" t="str">
        <f ca="1">IF(J3732="","Date",IF(J3732&lt;&gt;"",IF(K3732="Date",NOW(),K3732),""))</f>
        <v>Date</v>
      </c>
    </row>
    <row r="3733" spans="2:11">
      <c r="B3733" s="97" t="str">
        <f ca="1">IF(A3733="","Date",IF(A3733&lt;&gt;"",IF(B3733="Date",NOW(),B3733),""))</f>
        <v>Date</v>
      </c>
      <c r="C3733" s="19" t="str">
        <f>IF(ISBLANK(A3733),"Name",IF(ISNA(VLOOKUP(A3733,'Master List'!A:C,2,FALSE)), "Not Found", VLOOKUP(A3733,'Master List'!A:C,2,FALSE)))</f>
        <v>Name</v>
      </c>
      <c r="D3733" s="19" t="str">
        <f>IF(ISBLANK(A3733), "Email",IF(ISNA(VLOOKUP(A3733,'Master List'!A:C,3,FALSE)), "Not Found", VLOOKUP(A3733,'Master List'!A:C,3,FALSE)))</f>
        <v>Email</v>
      </c>
      <c r="F3733" s="4" t="str">
        <f>IF(OR(A3733="",E3733="","",A3733="?",E3733="?"),"duplicate?",IF(COUNTIFS($A:A,A3733,E:E,E3733)&gt;1,"yes","no"))</f>
        <v>duplicate?</v>
      </c>
      <c r="K3733" s="97" t="str">
        <f ca="1">IF(J3733="","Date",IF(J3733&lt;&gt;"",IF(K3733="Date",NOW(),K3733),""))</f>
        <v>Date</v>
      </c>
    </row>
    <row r="3734" spans="2:11">
      <c r="B3734" s="97" t="str">
        <f ca="1">IF(A3734="","Date",IF(A3734&lt;&gt;"",IF(B3734="Date",NOW(),B3734),""))</f>
        <v>Date</v>
      </c>
      <c r="C3734" s="19" t="str">
        <f>IF(ISBLANK(A3734),"Name",IF(ISNA(VLOOKUP(A3734,'Master List'!A:C,2,FALSE)), "Not Found", VLOOKUP(A3734,'Master List'!A:C,2,FALSE)))</f>
        <v>Name</v>
      </c>
      <c r="D3734" s="19" t="str">
        <f>IF(ISBLANK(A3734), "Email",IF(ISNA(VLOOKUP(A3734,'Master List'!A:C,3,FALSE)), "Not Found", VLOOKUP(A3734,'Master List'!A:C,3,FALSE)))</f>
        <v>Email</v>
      </c>
      <c r="F3734" s="4" t="str">
        <f>IF(OR(A3734="",E3734="","",A3734="?",E3734="?"),"duplicate?",IF(COUNTIFS($A:A,A3734,E:E,E3734)&gt;1,"yes","no"))</f>
        <v>duplicate?</v>
      </c>
      <c r="K3734" s="97" t="str">
        <f ca="1">IF(J3734="","Date",IF(J3734&lt;&gt;"",IF(K3734="Date",NOW(),K3734),""))</f>
        <v>Date</v>
      </c>
    </row>
    <row r="3735" spans="2:11">
      <c r="B3735" s="97" t="str">
        <f ca="1">IF(A3735="","Date",IF(A3735&lt;&gt;"",IF(B3735="Date",NOW(),B3735),""))</f>
        <v>Date</v>
      </c>
      <c r="C3735" s="19" t="str">
        <f>IF(ISBLANK(A3735),"Name",IF(ISNA(VLOOKUP(A3735,'Master List'!A:C,2,FALSE)), "Not Found", VLOOKUP(A3735,'Master List'!A:C,2,FALSE)))</f>
        <v>Name</v>
      </c>
      <c r="D3735" s="19" t="str">
        <f>IF(ISBLANK(A3735), "Email",IF(ISNA(VLOOKUP(A3735,'Master List'!A:C,3,FALSE)), "Not Found", VLOOKUP(A3735,'Master List'!A:C,3,FALSE)))</f>
        <v>Email</v>
      </c>
      <c r="F3735" s="4" t="str">
        <f>IF(OR(A3735="",E3735="","",A3735="?",E3735="?"),"duplicate?",IF(COUNTIFS($A:A,A3735,E:E,E3735)&gt;1,"yes","no"))</f>
        <v>duplicate?</v>
      </c>
      <c r="K3735" s="97" t="str">
        <f ca="1">IF(J3735="","Date",IF(J3735&lt;&gt;"",IF(K3735="Date",NOW(),K3735),""))</f>
        <v>Date</v>
      </c>
    </row>
    <row r="3736" spans="2:11">
      <c r="B3736" s="97" t="str">
        <f ca="1">IF(A3736="","Date",IF(A3736&lt;&gt;"",IF(B3736="Date",NOW(),B3736),""))</f>
        <v>Date</v>
      </c>
      <c r="C3736" s="19" t="str">
        <f>IF(ISBLANK(A3736),"Name",IF(ISNA(VLOOKUP(A3736,'Master List'!A:C,2,FALSE)), "Not Found", VLOOKUP(A3736,'Master List'!A:C,2,FALSE)))</f>
        <v>Name</v>
      </c>
      <c r="D3736" s="19" t="str">
        <f>IF(ISBLANK(A3736), "Email",IF(ISNA(VLOOKUP(A3736,'Master List'!A:C,3,FALSE)), "Not Found", VLOOKUP(A3736,'Master List'!A:C,3,FALSE)))</f>
        <v>Email</v>
      </c>
      <c r="F3736" s="4" t="str">
        <f>IF(OR(A3736="",E3736="","",A3736="?",E3736="?"),"duplicate?",IF(COUNTIFS($A:A,A3736,E:E,E3736)&gt;1,"yes","no"))</f>
        <v>duplicate?</v>
      </c>
      <c r="K3736" s="97" t="str">
        <f ca="1">IF(J3736="","Date",IF(J3736&lt;&gt;"",IF(K3736="Date",NOW(),K3736),""))</f>
        <v>Date</v>
      </c>
    </row>
    <row r="3737" spans="2:11">
      <c r="B3737" s="97" t="str">
        <f ca="1">IF(A3737="","Date",IF(A3737&lt;&gt;"",IF(B3737="Date",NOW(),B3737),""))</f>
        <v>Date</v>
      </c>
      <c r="C3737" s="19" t="str">
        <f>IF(ISBLANK(A3737),"Name",IF(ISNA(VLOOKUP(A3737,'Master List'!A:C,2,FALSE)), "Not Found", VLOOKUP(A3737,'Master List'!A:C,2,FALSE)))</f>
        <v>Name</v>
      </c>
      <c r="D3737" s="19" t="str">
        <f>IF(ISBLANK(A3737), "Email",IF(ISNA(VLOOKUP(A3737,'Master List'!A:C,3,FALSE)), "Not Found", VLOOKUP(A3737,'Master List'!A:C,3,FALSE)))</f>
        <v>Email</v>
      </c>
      <c r="F3737" s="4" t="str">
        <f>IF(OR(A3737="",E3737="","",A3737="?",E3737="?"),"duplicate?",IF(COUNTIFS($A:A,A3737,E:E,E3737)&gt;1,"yes","no"))</f>
        <v>duplicate?</v>
      </c>
      <c r="K3737" s="97" t="str">
        <f ca="1">IF(J3737="","Date",IF(J3737&lt;&gt;"",IF(K3737="Date",NOW(),K3737),""))</f>
        <v>Date</v>
      </c>
    </row>
    <row r="3738" spans="2:11">
      <c r="B3738" s="97" t="str">
        <f ca="1">IF(A3738="","Date",IF(A3738&lt;&gt;"",IF(B3738="Date",NOW(),B3738),""))</f>
        <v>Date</v>
      </c>
      <c r="C3738" s="19" t="str">
        <f>IF(ISBLANK(A3738),"Name",IF(ISNA(VLOOKUP(A3738,'Master List'!A:C,2,FALSE)), "Not Found", VLOOKUP(A3738,'Master List'!A:C,2,FALSE)))</f>
        <v>Name</v>
      </c>
      <c r="D3738" s="19" t="str">
        <f>IF(ISBLANK(A3738), "Email",IF(ISNA(VLOOKUP(A3738,'Master List'!A:C,3,FALSE)), "Not Found", VLOOKUP(A3738,'Master List'!A:C,3,FALSE)))</f>
        <v>Email</v>
      </c>
      <c r="F3738" s="4" t="str">
        <f>IF(OR(A3738="",E3738="","",A3738="?",E3738="?"),"duplicate?",IF(COUNTIFS($A:A,A3738,E:E,E3738)&gt;1,"yes","no"))</f>
        <v>duplicate?</v>
      </c>
      <c r="K3738" s="97" t="str">
        <f ca="1">IF(J3738="","Date",IF(J3738&lt;&gt;"",IF(K3738="Date",NOW(),K3738),""))</f>
        <v>Date</v>
      </c>
    </row>
    <row r="3739" spans="2:11">
      <c r="B3739" s="97" t="str">
        <f ca="1">IF(A3739="","Date",IF(A3739&lt;&gt;"",IF(B3739="Date",NOW(),B3739),""))</f>
        <v>Date</v>
      </c>
      <c r="C3739" s="19" t="str">
        <f>IF(ISBLANK(A3739),"Name",IF(ISNA(VLOOKUP(A3739,'Master List'!A:C,2,FALSE)), "Not Found", VLOOKUP(A3739,'Master List'!A:C,2,FALSE)))</f>
        <v>Name</v>
      </c>
      <c r="D3739" s="19" t="str">
        <f>IF(ISBLANK(A3739), "Email",IF(ISNA(VLOOKUP(A3739,'Master List'!A:C,3,FALSE)), "Not Found", VLOOKUP(A3739,'Master List'!A:C,3,FALSE)))</f>
        <v>Email</v>
      </c>
      <c r="F3739" s="4" t="str">
        <f>IF(OR(A3739="",E3739="","",A3739="?",E3739="?"),"duplicate?",IF(COUNTIFS($A:A,A3739,E:E,E3739)&gt;1,"yes","no"))</f>
        <v>duplicate?</v>
      </c>
      <c r="K3739" s="97" t="str">
        <f ca="1">IF(J3739="","Date",IF(J3739&lt;&gt;"",IF(K3739="Date",NOW(),K3739),""))</f>
        <v>Date</v>
      </c>
    </row>
    <row r="3740" spans="2:11">
      <c r="B3740" s="97" t="str">
        <f ca="1">IF(A3740="","Date",IF(A3740&lt;&gt;"",IF(B3740="Date",NOW(),B3740),""))</f>
        <v>Date</v>
      </c>
      <c r="C3740" s="19" t="str">
        <f>IF(ISBLANK(A3740),"Name",IF(ISNA(VLOOKUP(A3740,'Master List'!A:C,2,FALSE)), "Not Found", VLOOKUP(A3740,'Master List'!A:C,2,FALSE)))</f>
        <v>Name</v>
      </c>
      <c r="D3740" s="19" t="str">
        <f>IF(ISBLANK(A3740), "Email",IF(ISNA(VLOOKUP(A3740,'Master List'!A:C,3,FALSE)), "Not Found", VLOOKUP(A3740,'Master List'!A:C,3,FALSE)))</f>
        <v>Email</v>
      </c>
      <c r="F3740" s="4" t="str">
        <f>IF(OR(A3740="",E3740="","",A3740="?",E3740="?"),"duplicate?",IF(COUNTIFS($A:A,A3740,E:E,E3740)&gt;1,"yes","no"))</f>
        <v>duplicate?</v>
      </c>
      <c r="K3740" s="97" t="str">
        <f ca="1">IF(J3740="","Date",IF(J3740&lt;&gt;"",IF(K3740="Date",NOW(),K3740),""))</f>
        <v>Date</v>
      </c>
    </row>
    <row r="3741" spans="2:11">
      <c r="B3741" s="97" t="str">
        <f ca="1">IF(A3741="","Date",IF(A3741&lt;&gt;"",IF(B3741="Date",NOW(),B3741),""))</f>
        <v>Date</v>
      </c>
      <c r="C3741" s="19" t="str">
        <f>IF(ISBLANK(A3741),"Name",IF(ISNA(VLOOKUP(A3741,'Master List'!A:C,2,FALSE)), "Not Found", VLOOKUP(A3741,'Master List'!A:C,2,FALSE)))</f>
        <v>Name</v>
      </c>
      <c r="D3741" s="19" t="str">
        <f>IF(ISBLANK(A3741), "Email",IF(ISNA(VLOOKUP(A3741,'Master List'!A:C,3,FALSE)), "Not Found", VLOOKUP(A3741,'Master List'!A:C,3,FALSE)))</f>
        <v>Email</v>
      </c>
      <c r="F3741" s="4" t="str">
        <f>IF(OR(A3741="",E3741="","",A3741="?",E3741="?"),"duplicate?",IF(COUNTIFS($A:A,A3741,E:E,E3741)&gt;1,"yes","no"))</f>
        <v>duplicate?</v>
      </c>
      <c r="K3741" s="97" t="str">
        <f ca="1">IF(J3741="","Date",IF(J3741&lt;&gt;"",IF(K3741="Date",NOW(),K3741),""))</f>
        <v>Date</v>
      </c>
    </row>
    <row r="3742" spans="2:11">
      <c r="B3742" s="97" t="str">
        <f ca="1">IF(A3742="","Date",IF(A3742&lt;&gt;"",IF(B3742="Date",NOW(),B3742),""))</f>
        <v>Date</v>
      </c>
      <c r="C3742" s="19" t="str">
        <f>IF(ISBLANK(A3742),"Name",IF(ISNA(VLOOKUP(A3742,'Master List'!A:C,2,FALSE)), "Not Found", VLOOKUP(A3742,'Master List'!A:C,2,FALSE)))</f>
        <v>Name</v>
      </c>
      <c r="D3742" s="19" t="str">
        <f>IF(ISBLANK(A3742), "Email",IF(ISNA(VLOOKUP(A3742,'Master List'!A:C,3,FALSE)), "Not Found", VLOOKUP(A3742,'Master List'!A:C,3,FALSE)))</f>
        <v>Email</v>
      </c>
      <c r="F3742" s="4" t="str">
        <f>IF(OR(A3742="",E3742="","",A3742="?",E3742="?"),"duplicate?",IF(COUNTIFS($A:A,A3742,E:E,E3742)&gt;1,"yes","no"))</f>
        <v>duplicate?</v>
      </c>
      <c r="K3742" s="97" t="str">
        <f ca="1">IF(J3742="","Date",IF(J3742&lt;&gt;"",IF(K3742="Date",NOW(),K3742),""))</f>
        <v>Date</v>
      </c>
    </row>
    <row r="3743" spans="2:11">
      <c r="B3743" s="97" t="str">
        <f ca="1">IF(A3743="","Date",IF(A3743&lt;&gt;"",IF(B3743="Date",NOW(),B3743),""))</f>
        <v>Date</v>
      </c>
      <c r="C3743" s="19" t="str">
        <f>IF(ISBLANK(A3743),"Name",IF(ISNA(VLOOKUP(A3743,'Master List'!A:C,2,FALSE)), "Not Found", VLOOKUP(A3743,'Master List'!A:C,2,FALSE)))</f>
        <v>Name</v>
      </c>
      <c r="D3743" s="19" t="str">
        <f>IF(ISBLANK(A3743), "Email",IF(ISNA(VLOOKUP(A3743,'Master List'!A:C,3,FALSE)), "Not Found", VLOOKUP(A3743,'Master List'!A:C,3,FALSE)))</f>
        <v>Email</v>
      </c>
      <c r="F3743" s="4" t="str">
        <f>IF(OR(A3743="",E3743="","",A3743="?",E3743="?"),"duplicate?",IF(COUNTIFS($A:A,A3743,E:E,E3743)&gt;1,"yes","no"))</f>
        <v>duplicate?</v>
      </c>
      <c r="K3743" s="97" t="str">
        <f ca="1">IF(J3743="","Date",IF(J3743&lt;&gt;"",IF(K3743="Date",NOW(),K3743),""))</f>
        <v>Date</v>
      </c>
    </row>
    <row r="3744" spans="2:11">
      <c r="B3744" s="97" t="str">
        <f ca="1">IF(A3744="","Date",IF(A3744&lt;&gt;"",IF(B3744="Date",NOW(),B3744),""))</f>
        <v>Date</v>
      </c>
      <c r="C3744" s="19" t="str">
        <f>IF(ISBLANK(A3744),"Name",IF(ISNA(VLOOKUP(A3744,'Master List'!A:C,2,FALSE)), "Not Found", VLOOKUP(A3744,'Master List'!A:C,2,FALSE)))</f>
        <v>Name</v>
      </c>
      <c r="D3744" s="19" t="str">
        <f>IF(ISBLANK(A3744), "Email",IF(ISNA(VLOOKUP(A3744,'Master List'!A:C,3,FALSE)), "Not Found", VLOOKUP(A3744,'Master List'!A:C,3,FALSE)))</f>
        <v>Email</v>
      </c>
      <c r="F3744" s="4" t="str">
        <f>IF(OR(A3744="",E3744="","",A3744="?",E3744="?"),"duplicate?",IF(COUNTIFS($A:A,A3744,E:E,E3744)&gt;1,"yes","no"))</f>
        <v>duplicate?</v>
      </c>
      <c r="K3744" s="97" t="str">
        <f ca="1">IF(J3744="","Date",IF(J3744&lt;&gt;"",IF(K3744="Date",NOW(),K3744),""))</f>
        <v>Date</v>
      </c>
    </row>
    <row r="3745" spans="2:11">
      <c r="B3745" s="97" t="str">
        <f ca="1">IF(A3745="","Date",IF(A3745&lt;&gt;"",IF(B3745="Date",NOW(),B3745),""))</f>
        <v>Date</v>
      </c>
      <c r="C3745" s="19" t="str">
        <f>IF(ISBLANK(A3745),"Name",IF(ISNA(VLOOKUP(A3745,'Master List'!A:C,2,FALSE)), "Not Found", VLOOKUP(A3745,'Master List'!A:C,2,FALSE)))</f>
        <v>Name</v>
      </c>
      <c r="D3745" s="19" t="str">
        <f>IF(ISBLANK(A3745), "Email",IF(ISNA(VLOOKUP(A3745,'Master List'!A:C,3,FALSE)), "Not Found", VLOOKUP(A3745,'Master List'!A:C,3,FALSE)))</f>
        <v>Email</v>
      </c>
      <c r="F3745" s="4" t="str">
        <f>IF(OR(A3745="",E3745="","",A3745="?",E3745="?"),"duplicate?",IF(COUNTIFS($A:A,A3745,E:E,E3745)&gt;1,"yes","no"))</f>
        <v>duplicate?</v>
      </c>
      <c r="K3745" s="97" t="str">
        <f ca="1">IF(J3745="","Date",IF(J3745&lt;&gt;"",IF(K3745="Date",NOW(),K3745),""))</f>
        <v>Date</v>
      </c>
    </row>
    <row r="3746" spans="2:11">
      <c r="B3746" s="97" t="str">
        <f ca="1">IF(A3746="","Date",IF(A3746&lt;&gt;"",IF(B3746="Date",NOW(),B3746),""))</f>
        <v>Date</v>
      </c>
      <c r="C3746" s="19" t="str">
        <f>IF(ISBLANK(A3746),"Name",IF(ISNA(VLOOKUP(A3746,'Master List'!A:C,2,FALSE)), "Not Found", VLOOKUP(A3746,'Master List'!A:C,2,FALSE)))</f>
        <v>Name</v>
      </c>
      <c r="D3746" s="19" t="str">
        <f>IF(ISBLANK(A3746), "Email",IF(ISNA(VLOOKUP(A3746,'Master List'!A:C,3,FALSE)), "Not Found", VLOOKUP(A3746,'Master List'!A:C,3,FALSE)))</f>
        <v>Email</v>
      </c>
      <c r="F3746" s="4" t="str">
        <f>IF(OR(A3746="",E3746="","",A3746="?",E3746="?"),"duplicate?",IF(COUNTIFS($A:A,A3746,E:E,E3746)&gt;1,"yes","no"))</f>
        <v>duplicate?</v>
      </c>
      <c r="K3746" s="97" t="str">
        <f ca="1">IF(J3746="","Date",IF(J3746&lt;&gt;"",IF(K3746="Date",NOW(),K3746),""))</f>
        <v>Date</v>
      </c>
    </row>
    <row r="3747" spans="2:11">
      <c r="B3747" s="97" t="str">
        <f ca="1">IF(A3747="","Date",IF(A3747&lt;&gt;"",IF(B3747="Date",NOW(),B3747),""))</f>
        <v>Date</v>
      </c>
      <c r="C3747" s="19" t="str">
        <f>IF(ISBLANK(A3747),"Name",IF(ISNA(VLOOKUP(A3747,'Master List'!A:C,2,FALSE)), "Not Found", VLOOKUP(A3747,'Master List'!A:C,2,FALSE)))</f>
        <v>Name</v>
      </c>
      <c r="D3747" s="19" t="str">
        <f>IF(ISBLANK(A3747), "Email",IF(ISNA(VLOOKUP(A3747,'Master List'!A:C,3,FALSE)), "Not Found", VLOOKUP(A3747,'Master List'!A:C,3,FALSE)))</f>
        <v>Email</v>
      </c>
      <c r="F3747" s="4" t="str">
        <f>IF(OR(A3747="",E3747="","",A3747="?",E3747="?"),"duplicate?",IF(COUNTIFS($A:A,A3747,E:E,E3747)&gt;1,"yes","no"))</f>
        <v>duplicate?</v>
      </c>
      <c r="K3747" s="97" t="str">
        <f ca="1">IF(J3747="","Date",IF(J3747&lt;&gt;"",IF(K3747="Date",NOW(),K3747),""))</f>
        <v>Date</v>
      </c>
    </row>
    <row r="3748" spans="2:11">
      <c r="B3748" s="97" t="str">
        <f ca="1">IF(A3748="","Date",IF(A3748&lt;&gt;"",IF(B3748="Date",NOW(),B3748),""))</f>
        <v>Date</v>
      </c>
      <c r="C3748" s="19" t="str">
        <f>IF(ISBLANK(A3748),"Name",IF(ISNA(VLOOKUP(A3748,'Master List'!A:C,2,FALSE)), "Not Found", VLOOKUP(A3748,'Master List'!A:C,2,FALSE)))</f>
        <v>Name</v>
      </c>
      <c r="D3748" s="19" t="str">
        <f>IF(ISBLANK(A3748), "Email",IF(ISNA(VLOOKUP(A3748,'Master List'!A:C,3,FALSE)), "Not Found", VLOOKUP(A3748,'Master List'!A:C,3,FALSE)))</f>
        <v>Email</v>
      </c>
      <c r="F3748" s="4" t="str">
        <f>IF(OR(A3748="",E3748="","",A3748="?",E3748="?"),"duplicate?",IF(COUNTIFS($A:A,A3748,E:E,E3748)&gt;1,"yes","no"))</f>
        <v>duplicate?</v>
      </c>
      <c r="K3748" s="97" t="str">
        <f ca="1">IF(J3748="","Date",IF(J3748&lt;&gt;"",IF(K3748="Date",NOW(),K3748),""))</f>
        <v>Date</v>
      </c>
    </row>
    <row r="3749" spans="2:11">
      <c r="B3749" s="97" t="str">
        <f ca="1">IF(A3749="","Date",IF(A3749&lt;&gt;"",IF(B3749="Date",NOW(),B3749),""))</f>
        <v>Date</v>
      </c>
      <c r="C3749" s="19" t="str">
        <f>IF(ISBLANK(A3749),"Name",IF(ISNA(VLOOKUP(A3749,'Master List'!A:C,2,FALSE)), "Not Found", VLOOKUP(A3749,'Master List'!A:C,2,FALSE)))</f>
        <v>Name</v>
      </c>
      <c r="D3749" s="19" t="str">
        <f>IF(ISBLANK(A3749), "Email",IF(ISNA(VLOOKUP(A3749,'Master List'!A:C,3,FALSE)), "Not Found", VLOOKUP(A3749,'Master List'!A:C,3,FALSE)))</f>
        <v>Email</v>
      </c>
      <c r="F3749" s="4" t="str">
        <f>IF(OR(A3749="",E3749="","",A3749="?",E3749="?"),"duplicate?",IF(COUNTIFS($A:A,A3749,E:E,E3749)&gt;1,"yes","no"))</f>
        <v>duplicate?</v>
      </c>
      <c r="K3749" s="97" t="str">
        <f ca="1">IF(J3749="","Date",IF(J3749&lt;&gt;"",IF(K3749="Date",NOW(),K3749),""))</f>
        <v>Date</v>
      </c>
    </row>
    <row r="3750" spans="2:11">
      <c r="B3750" s="97" t="str">
        <f ca="1">IF(A3750="","Date",IF(A3750&lt;&gt;"",IF(B3750="Date",NOW(),B3750),""))</f>
        <v>Date</v>
      </c>
      <c r="C3750" s="19" t="str">
        <f>IF(ISBLANK(A3750),"Name",IF(ISNA(VLOOKUP(A3750,'Master List'!A:C,2,FALSE)), "Not Found", VLOOKUP(A3750,'Master List'!A:C,2,FALSE)))</f>
        <v>Name</v>
      </c>
      <c r="D3750" s="19" t="str">
        <f>IF(ISBLANK(A3750), "Email",IF(ISNA(VLOOKUP(A3750,'Master List'!A:C,3,FALSE)), "Not Found", VLOOKUP(A3750,'Master List'!A:C,3,FALSE)))</f>
        <v>Email</v>
      </c>
      <c r="F3750" s="4" t="str">
        <f>IF(OR(A3750="",E3750="","",A3750="?",E3750="?"),"duplicate?",IF(COUNTIFS($A:A,A3750,E:E,E3750)&gt;1,"yes","no"))</f>
        <v>duplicate?</v>
      </c>
      <c r="K3750" s="97" t="str">
        <f ca="1">IF(J3750="","Date",IF(J3750&lt;&gt;"",IF(K3750="Date",NOW(),K3750),""))</f>
        <v>Date</v>
      </c>
    </row>
    <row r="3751" spans="2:11">
      <c r="B3751" s="97" t="str">
        <f ca="1">IF(A3751="","Date",IF(A3751&lt;&gt;"",IF(B3751="Date",NOW(),B3751),""))</f>
        <v>Date</v>
      </c>
      <c r="C3751" s="19" t="str">
        <f>IF(ISBLANK(A3751),"Name",IF(ISNA(VLOOKUP(A3751,'Master List'!A:C,2,FALSE)), "Not Found", VLOOKUP(A3751,'Master List'!A:C,2,FALSE)))</f>
        <v>Name</v>
      </c>
      <c r="D3751" s="19" t="str">
        <f>IF(ISBLANK(A3751), "Email",IF(ISNA(VLOOKUP(A3751,'Master List'!A:C,3,FALSE)), "Not Found", VLOOKUP(A3751,'Master List'!A:C,3,FALSE)))</f>
        <v>Email</v>
      </c>
      <c r="F3751" s="4" t="str">
        <f>IF(OR(A3751="",E3751="","",A3751="?",E3751="?"),"duplicate?",IF(COUNTIFS($A:A,A3751,E:E,E3751)&gt;1,"yes","no"))</f>
        <v>duplicate?</v>
      </c>
      <c r="K3751" s="97" t="str">
        <f ca="1">IF(J3751="","Date",IF(J3751&lt;&gt;"",IF(K3751="Date",NOW(),K3751),""))</f>
        <v>Date</v>
      </c>
    </row>
    <row r="3752" spans="2:11">
      <c r="B3752" s="97" t="str">
        <f ca="1">IF(A3752="","Date",IF(A3752&lt;&gt;"",IF(B3752="Date",NOW(),B3752),""))</f>
        <v>Date</v>
      </c>
      <c r="C3752" s="19" t="str">
        <f>IF(ISBLANK(A3752),"Name",IF(ISNA(VLOOKUP(A3752,'Master List'!A:C,2,FALSE)), "Not Found", VLOOKUP(A3752,'Master List'!A:C,2,FALSE)))</f>
        <v>Name</v>
      </c>
      <c r="D3752" s="19" t="str">
        <f>IF(ISBLANK(A3752), "Email",IF(ISNA(VLOOKUP(A3752,'Master List'!A:C,3,FALSE)), "Not Found", VLOOKUP(A3752,'Master List'!A:C,3,FALSE)))</f>
        <v>Email</v>
      </c>
      <c r="F3752" s="4" t="str">
        <f>IF(OR(A3752="",E3752="","",A3752="?",E3752="?"),"duplicate?",IF(COUNTIFS($A:A,A3752,E:E,E3752)&gt;1,"yes","no"))</f>
        <v>duplicate?</v>
      </c>
      <c r="K3752" s="97" t="str">
        <f ca="1">IF(J3752="","Date",IF(J3752&lt;&gt;"",IF(K3752="Date",NOW(),K3752),""))</f>
        <v>Date</v>
      </c>
    </row>
    <row r="3753" spans="2:11">
      <c r="B3753" s="97" t="str">
        <f ca="1">IF(A3753="","Date",IF(A3753&lt;&gt;"",IF(B3753="Date",NOW(),B3753),""))</f>
        <v>Date</v>
      </c>
      <c r="C3753" s="19" t="str">
        <f>IF(ISBLANK(A3753),"Name",IF(ISNA(VLOOKUP(A3753,'Master List'!A:C,2,FALSE)), "Not Found", VLOOKUP(A3753,'Master List'!A:C,2,FALSE)))</f>
        <v>Name</v>
      </c>
      <c r="D3753" s="19" t="str">
        <f>IF(ISBLANK(A3753), "Email",IF(ISNA(VLOOKUP(A3753,'Master List'!A:C,3,FALSE)), "Not Found", VLOOKUP(A3753,'Master List'!A:C,3,FALSE)))</f>
        <v>Email</v>
      </c>
      <c r="F3753" s="4" t="str">
        <f>IF(OR(A3753="",E3753="","",A3753="?",E3753="?"),"duplicate?",IF(COUNTIFS($A:A,A3753,E:E,E3753)&gt;1,"yes","no"))</f>
        <v>duplicate?</v>
      </c>
      <c r="K3753" s="97" t="str">
        <f ca="1">IF(J3753="","Date",IF(J3753&lt;&gt;"",IF(K3753="Date",NOW(),K3753),""))</f>
        <v>Date</v>
      </c>
    </row>
    <row r="3754" spans="2:11">
      <c r="B3754" s="97" t="str">
        <f ca="1">IF(A3754="","Date",IF(A3754&lt;&gt;"",IF(B3754="Date",NOW(),B3754),""))</f>
        <v>Date</v>
      </c>
      <c r="C3754" s="19" t="str">
        <f>IF(ISBLANK(A3754),"Name",IF(ISNA(VLOOKUP(A3754,'Master List'!A:C,2,FALSE)), "Not Found", VLOOKUP(A3754,'Master List'!A:C,2,FALSE)))</f>
        <v>Name</v>
      </c>
      <c r="D3754" s="19" t="str">
        <f>IF(ISBLANK(A3754), "Email",IF(ISNA(VLOOKUP(A3754,'Master List'!A:C,3,FALSE)), "Not Found", VLOOKUP(A3754,'Master List'!A:C,3,FALSE)))</f>
        <v>Email</v>
      </c>
      <c r="F3754" s="4" t="str">
        <f>IF(OR(A3754="",E3754="","",A3754="?",E3754="?"),"duplicate?",IF(COUNTIFS($A:A,A3754,E:E,E3754)&gt;1,"yes","no"))</f>
        <v>duplicate?</v>
      </c>
      <c r="K3754" s="97" t="str">
        <f ca="1">IF(J3754="","Date",IF(J3754&lt;&gt;"",IF(K3754="Date",NOW(),K3754),""))</f>
        <v>Date</v>
      </c>
    </row>
    <row r="3755" spans="2:11">
      <c r="B3755" s="97" t="str">
        <f ca="1">IF(A3755="","Date",IF(A3755&lt;&gt;"",IF(B3755="Date",NOW(),B3755),""))</f>
        <v>Date</v>
      </c>
      <c r="C3755" s="19" t="str">
        <f>IF(ISBLANK(A3755),"Name",IF(ISNA(VLOOKUP(A3755,'Master List'!A:C,2,FALSE)), "Not Found", VLOOKUP(A3755,'Master List'!A:C,2,FALSE)))</f>
        <v>Name</v>
      </c>
      <c r="D3755" s="19" t="str">
        <f>IF(ISBLANK(A3755), "Email",IF(ISNA(VLOOKUP(A3755,'Master List'!A:C,3,FALSE)), "Not Found", VLOOKUP(A3755,'Master List'!A:C,3,FALSE)))</f>
        <v>Email</v>
      </c>
      <c r="F3755" s="4" t="str">
        <f>IF(OR(A3755="",E3755="","",A3755="?",E3755="?"),"duplicate?",IF(COUNTIFS($A:A,A3755,E:E,E3755)&gt;1,"yes","no"))</f>
        <v>duplicate?</v>
      </c>
      <c r="K3755" s="97" t="str">
        <f ca="1">IF(J3755="","Date",IF(J3755&lt;&gt;"",IF(K3755="Date",NOW(),K3755),""))</f>
        <v>Date</v>
      </c>
    </row>
    <row r="3756" spans="2:11">
      <c r="B3756" s="97" t="str">
        <f ca="1">IF(A3756="","Date",IF(A3756&lt;&gt;"",IF(B3756="Date",NOW(),B3756),""))</f>
        <v>Date</v>
      </c>
      <c r="C3756" s="19" t="str">
        <f>IF(ISBLANK(A3756),"Name",IF(ISNA(VLOOKUP(A3756,'Master List'!A:C,2,FALSE)), "Not Found", VLOOKUP(A3756,'Master List'!A:C,2,FALSE)))</f>
        <v>Name</v>
      </c>
      <c r="D3756" s="19" t="str">
        <f>IF(ISBLANK(A3756), "Email",IF(ISNA(VLOOKUP(A3756,'Master List'!A:C,3,FALSE)), "Not Found", VLOOKUP(A3756,'Master List'!A:C,3,FALSE)))</f>
        <v>Email</v>
      </c>
      <c r="F3756" s="4" t="str">
        <f>IF(OR(A3756="",E3756="","",A3756="?",E3756="?"),"duplicate?",IF(COUNTIFS($A:A,A3756,E:E,E3756)&gt;1,"yes","no"))</f>
        <v>duplicate?</v>
      </c>
      <c r="K3756" s="97" t="str">
        <f ca="1">IF(J3756="","Date",IF(J3756&lt;&gt;"",IF(K3756="Date",NOW(),K3756),""))</f>
        <v>Date</v>
      </c>
    </row>
    <row r="3757" spans="2:11">
      <c r="B3757" s="97" t="str">
        <f ca="1">IF(A3757="","Date",IF(A3757&lt;&gt;"",IF(B3757="Date",NOW(),B3757),""))</f>
        <v>Date</v>
      </c>
      <c r="C3757" s="19" t="str">
        <f>IF(ISBLANK(A3757),"Name",IF(ISNA(VLOOKUP(A3757,'Master List'!A:C,2,FALSE)), "Not Found", VLOOKUP(A3757,'Master List'!A:C,2,FALSE)))</f>
        <v>Name</v>
      </c>
      <c r="D3757" s="19" t="str">
        <f>IF(ISBLANK(A3757), "Email",IF(ISNA(VLOOKUP(A3757,'Master List'!A:C,3,FALSE)), "Not Found", VLOOKUP(A3757,'Master List'!A:C,3,FALSE)))</f>
        <v>Email</v>
      </c>
      <c r="F3757" s="4" t="str">
        <f>IF(OR(A3757="",E3757="","",A3757="?",E3757="?"),"duplicate?",IF(COUNTIFS($A:A,A3757,E:E,E3757)&gt;1,"yes","no"))</f>
        <v>duplicate?</v>
      </c>
      <c r="K3757" s="97" t="str">
        <f ca="1">IF(J3757="","Date",IF(J3757&lt;&gt;"",IF(K3757="Date",NOW(),K3757),""))</f>
        <v>Date</v>
      </c>
    </row>
    <row r="3758" spans="2:11">
      <c r="B3758" s="97" t="str">
        <f ca="1">IF(A3758="","Date",IF(A3758&lt;&gt;"",IF(B3758="Date",NOW(),B3758),""))</f>
        <v>Date</v>
      </c>
      <c r="C3758" s="19" t="str">
        <f>IF(ISBLANK(A3758),"Name",IF(ISNA(VLOOKUP(A3758,'Master List'!A:C,2,FALSE)), "Not Found", VLOOKUP(A3758,'Master List'!A:C,2,FALSE)))</f>
        <v>Name</v>
      </c>
      <c r="D3758" s="19" t="str">
        <f>IF(ISBLANK(A3758), "Email",IF(ISNA(VLOOKUP(A3758,'Master List'!A:C,3,FALSE)), "Not Found", VLOOKUP(A3758,'Master List'!A:C,3,FALSE)))</f>
        <v>Email</v>
      </c>
      <c r="F3758" s="4" t="str">
        <f>IF(OR(A3758="",E3758="","",A3758="?",E3758="?"),"duplicate?",IF(COUNTIFS($A:A,A3758,E:E,E3758)&gt;1,"yes","no"))</f>
        <v>duplicate?</v>
      </c>
      <c r="K3758" s="97" t="str">
        <f ca="1">IF(J3758="","Date",IF(J3758&lt;&gt;"",IF(K3758="Date",NOW(),K3758),""))</f>
        <v>Date</v>
      </c>
    </row>
    <row r="3759" spans="2:11">
      <c r="B3759" s="97" t="str">
        <f ca="1">IF(A3759="","Date",IF(A3759&lt;&gt;"",IF(B3759="Date",NOW(),B3759),""))</f>
        <v>Date</v>
      </c>
      <c r="C3759" s="19" t="str">
        <f>IF(ISBLANK(A3759),"Name",IF(ISNA(VLOOKUP(A3759,'Master List'!A:C,2,FALSE)), "Not Found", VLOOKUP(A3759,'Master List'!A:C,2,FALSE)))</f>
        <v>Name</v>
      </c>
      <c r="D3759" s="19" t="str">
        <f>IF(ISBLANK(A3759), "Email",IF(ISNA(VLOOKUP(A3759,'Master List'!A:C,3,FALSE)), "Not Found", VLOOKUP(A3759,'Master List'!A:C,3,FALSE)))</f>
        <v>Email</v>
      </c>
      <c r="F3759" s="4" t="str">
        <f>IF(OR(A3759="",E3759="","",A3759="?",E3759="?"),"duplicate?",IF(COUNTIFS($A:A,A3759,E:E,E3759)&gt;1,"yes","no"))</f>
        <v>duplicate?</v>
      </c>
      <c r="K3759" s="97" t="str">
        <f ca="1">IF(J3759="","Date",IF(J3759&lt;&gt;"",IF(K3759="Date",NOW(),K3759),""))</f>
        <v>Date</v>
      </c>
    </row>
    <row r="3760" spans="2:11">
      <c r="B3760" s="97" t="str">
        <f ca="1">IF(A3760="","Date",IF(A3760&lt;&gt;"",IF(B3760="Date",NOW(),B3760),""))</f>
        <v>Date</v>
      </c>
      <c r="C3760" s="19" t="str">
        <f>IF(ISBLANK(A3760),"Name",IF(ISNA(VLOOKUP(A3760,'Master List'!A:C,2,FALSE)), "Not Found", VLOOKUP(A3760,'Master List'!A:C,2,FALSE)))</f>
        <v>Name</v>
      </c>
      <c r="D3760" s="19" t="str">
        <f>IF(ISBLANK(A3760), "Email",IF(ISNA(VLOOKUP(A3760,'Master List'!A:C,3,FALSE)), "Not Found", VLOOKUP(A3760,'Master List'!A:C,3,FALSE)))</f>
        <v>Email</v>
      </c>
      <c r="F3760" s="4" t="str">
        <f>IF(OR(A3760="",E3760="","",A3760="?",E3760="?"),"duplicate?",IF(COUNTIFS($A:A,A3760,E:E,E3760)&gt;1,"yes","no"))</f>
        <v>duplicate?</v>
      </c>
      <c r="K3760" s="97" t="str">
        <f ca="1">IF(J3760="","Date",IF(J3760&lt;&gt;"",IF(K3760="Date",NOW(),K3760),""))</f>
        <v>Date</v>
      </c>
    </row>
    <row r="3761" spans="2:11">
      <c r="B3761" s="97" t="str">
        <f ca="1">IF(A3761="","Date",IF(A3761&lt;&gt;"",IF(B3761="Date",NOW(),B3761),""))</f>
        <v>Date</v>
      </c>
      <c r="C3761" s="19" t="str">
        <f>IF(ISBLANK(A3761),"Name",IF(ISNA(VLOOKUP(A3761,'Master List'!A:C,2,FALSE)), "Not Found", VLOOKUP(A3761,'Master List'!A:C,2,FALSE)))</f>
        <v>Name</v>
      </c>
      <c r="D3761" s="19" t="str">
        <f>IF(ISBLANK(A3761), "Email",IF(ISNA(VLOOKUP(A3761,'Master List'!A:C,3,FALSE)), "Not Found", VLOOKUP(A3761,'Master List'!A:C,3,FALSE)))</f>
        <v>Email</v>
      </c>
      <c r="F3761" s="4" t="str">
        <f>IF(OR(A3761="",E3761="","",A3761="?",E3761="?"),"duplicate?",IF(COUNTIFS($A:A,A3761,E:E,E3761)&gt;1,"yes","no"))</f>
        <v>duplicate?</v>
      </c>
      <c r="K3761" s="97" t="str">
        <f ca="1">IF(J3761="","Date",IF(J3761&lt;&gt;"",IF(K3761="Date",NOW(),K3761),""))</f>
        <v>Date</v>
      </c>
    </row>
    <row r="3762" spans="2:11">
      <c r="B3762" s="97" t="str">
        <f ca="1">IF(A3762="","Date",IF(A3762&lt;&gt;"",IF(B3762="Date",NOW(),B3762),""))</f>
        <v>Date</v>
      </c>
      <c r="C3762" s="19" t="str">
        <f>IF(ISBLANK(A3762),"Name",IF(ISNA(VLOOKUP(A3762,'Master List'!A:C,2,FALSE)), "Not Found", VLOOKUP(A3762,'Master List'!A:C,2,FALSE)))</f>
        <v>Name</v>
      </c>
      <c r="D3762" s="19" t="str">
        <f>IF(ISBLANK(A3762), "Email",IF(ISNA(VLOOKUP(A3762,'Master List'!A:C,3,FALSE)), "Not Found", VLOOKUP(A3762,'Master List'!A:C,3,FALSE)))</f>
        <v>Email</v>
      </c>
      <c r="F3762" s="4" t="str">
        <f>IF(OR(A3762="",E3762="","",A3762="?",E3762="?"),"duplicate?",IF(COUNTIFS($A:A,A3762,E:E,E3762)&gt;1,"yes","no"))</f>
        <v>duplicate?</v>
      </c>
      <c r="K3762" s="97" t="str">
        <f ca="1">IF(J3762="","Date",IF(J3762&lt;&gt;"",IF(K3762="Date",NOW(),K3762),""))</f>
        <v>Date</v>
      </c>
    </row>
    <row r="3763" spans="2:11">
      <c r="B3763" s="97" t="str">
        <f ca="1">IF(A3763="","Date",IF(A3763&lt;&gt;"",IF(B3763="Date",NOW(),B3763),""))</f>
        <v>Date</v>
      </c>
      <c r="C3763" s="19" t="str">
        <f>IF(ISBLANK(A3763),"Name",IF(ISNA(VLOOKUP(A3763,'Master List'!A:C,2,FALSE)), "Not Found", VLOOKUP(A3763,'Master List'!A:C,2,FALSE)))</f>
        <v>Name</v>
      </c>
      <c r="D3763" s="19" t="str">
        <f>IF(ISBLANK(A3763), "Email",IF(ISNA(VLOOKUP(A3763,'Master List'!A:C,3,FALSE)), "Not Found", VLOOKUP(A3763,'Master List'!A:C,3,FALSE)))</f>
        <v>Email</v>
      </c>
      <c r="F3763" s="4" t="str">
        <f>IF(OR(A3763="",E3763="","",A3763="?",E3763="?"),"duplicate?",IF(COUNTIFS($A:A,A3763,E:E,E3763)&gt;1,"yes","no"))</f>
        <v>duplicate?</v>
      </c>
      <c r="K3763" s="97" t="str">
        <f ca="1">IF(J3763="","Date",IF(J3763&lt;&gt;"",IF(K3763="Date",NOW(),K3763),""))</f>
        <v>Date</v>
      </c>
    </row>
    <row r="3764" spans="2:11">
      <c r="B3764" s="97" t="str">
        <f ca="1">IF(A3764="","Date",IF(A3764&lt;&gt;"",IF(B3764="Date",NOW(),B3764),""))</f>
        <v>Date</v>
      </c>
      <c r="C3764" s="19" t="str">
        <f>IF(ISBLANK(A3764),"Name",IF(ISNA(VLOOKUP(A3764,'Master List'!A:C,2,FALSE)), "Not Found", VLOOKUP(A3764,'Master List'!A:C,2,FALSE)))</f>
        <v>Name</v>
      </c>
      <c r="D3764" s="19" t="str">
        <f>IF(ISBLANK(A3764), "Email",IF(ISNA(VLOOKUP(A3764,'Master List'!A:C,3,FALSE)), "Not Found", VLOOKUP(A3764,'Master List'!A:C,3,FALSE)))</f>
        <v>Email</v>
      </c>
      <c r="F3764" s="4" t="str">
        <f>IF(OR(A3764="",E3764="","",A3764="?",E3764="?"),"duplicate?",IF(COUNTIFS($A:A,A3764,E:E,E3764)&gt;1,"yes","no"))</f>
        <v>duplicate?</v>
      </c>
      <c r="K3764" s="97" t="str">
        <f ca="1">IF(J3764="","Date",IF(J3764&lt;&gt;"",IF(K3764="Date",NOW(),K3764),""))</f>
        <v>Date</v>
      </c>
    </row>
    <row r="3765" spans="2:11">
      <c r="B3765" s="97" t="str">
        <f ca="1">IF(A3765="","Date",IF(A3765&lt;&gt;"",IF(B3765="Date",NOW(),B3765),""))</f>
        <v>Date</v>
      </c>
      <c r="C3765" s="19" t="str">
        <f>IF(ISBLANK(A3765),"Name",IF(ISNA(VLOOKUP(A3765,'Master List'!A:C,2,FALSE)), "Not Found", VLOOKUP(A3765,'Master List'!A:C,2,FALSE)))</f>
        <v>Name</v>
      </c>
      <c r="D3765" s="19" t="str">
        <f>IF(ISBLANK(A3765), "Email",IF(ISNA(VLOOKUP(A3765,'Master List'!A:C,3,FALSE)), "Not Found", VLOOKUP(A3765,'Master List'!A:C,3,FALSE)))</f>
        <v>Email</v>
      </c>
      <c r="F3765" s="4" t="str">
        <f>IF(OR(A3765="",E3765="","",A3765="?",E3765="?"),"duplicate?",IF(COUNTIFS($A:A,A3765,E:E,E3765)&gt;1,"yes","no"))</f>
        <v>duplicate?</v>
      </c>
      <c r="K3765" s="97" t="str">
        <f ca="1">IF(J3765="","Date",IF(J3765&lt;&gt;"",IF(K3765="Date",NOW(),K3765),""))</f>
        <v>Date</v>
      </c>
    </row>
    <row r="3766" spans="2:11">
      <c r="B3766" s="97" t="str">
        <f ca="1">IF(A3766="","Date",IF(A3766&lt;&gt;"",IF(B3766="Date",NOW(),B3766),""))</f>
        <v>Date</v>
      </c>
      <c r="C3766" s="19" t="str">
        <f>IF(ISBLANK(A3766),"Name",IF(ISNA(VLOOKUP(A3766,'Master List'!A:C,2,FALSE)), "Not Found", VLOOKUP(A3766,'Master List'!A:C,2,FALSE)))</f>
        <v>Name</v>
      </c>
      <c r="D3766" s="19" t="str">
        <f>IF(ISBLANK(A3766), "Email",IF(ISNA(VLOOKUP(A3766,'Master List'!A:C,3,FALSE)), "Not Found", VLOOKUP(A3766,'Master List'!A:C,3,FALSE)))</f>
        <v>Email</v>
      </c>
      <c r="F3766" s="4" t="str">
        <f>IF(OR(A3766="",E3766="","",A3766="?",E3766="?"),"duplicate?",IF(COUNTIFS($A:A,A3766,E:E,E3766)&gt;1,"yes","no"))</f>
        <v>duplicate?</v>
      </c>
      <c r="K3766" s="97" t="str">
        <f ca="1">IF(J3766="","Date",IF(J3766&lt;&gt;"",IF(K3766="Date",NOW(),K3766),""))</f>
        <v>Date</v>
      </c>
    </row>
    <row r="3767" spans="2:11">
      <c r="B3767" s="97" t="str">
        <f ca="1">IF(A3767="","Date",IF(A3767&lt;&gt;"",IF(B3767="Date",NOW(),B3767),""))</f>
        <v>Date</v>
      </c>
      <c r="C3767" s="19" t="str">
        <f>IF(ISBLANK(A3767),"Name",IF(ISNA(VLOOKUP(A3767,'Master List'!A:C,2,FALSE)), "Not Found", VLOOKUP(A3767,'Master List'!A:C,2,FALSE)))</f>
        <v>Name</v>
      </c>
      <c r="D3767" s="19" t="str">
        <f>IF(ISBLANK(A3767), "Email",IF(ISNA(VLOOKUP(A3767,'Master List'!A:C,3,FALSE)), "Not Found", VLOOKUP(A3767,'Master List'!A:C,3,FALSE)))</f>
        <v>Email</v>
      </c>
      <c r="F3767" s="4" t="str">
        <f>IF(OR(A3767="",E3767="","",A3767="?",E3767="?"),"duplicate?",IF(COUNTIFS($A:A,A3767,E:E,E3767)&gt;1,"yes","no"))</f>
        <v>duplicate?</v>
      </c>
      <c r="K3767" s="97" t="str">
        <f ca="1">IF(J3767="","Date",IF(J3767&lt;&gt;"",IF(K3767="Date",NOW(),K3767),""))</f>
        <v>Date</v>
      </c>
    </row>
    <row r="3768" spans="2:11">
      <c r="B3768" s="97" t="str">
        <f ca="1">IF(A3768="","Date",IF(A3768&lt;&gt;"",IF(B3768="Date",NOW(),B3768),""))</f>
        <v>Date</v>
      </c>
      <c r="C3768" s="19" t="str">
        <f>IF(ISBLANK(A3768),"Name",IF(ISNA(VLOOKUP(A3768,'Master List'!A:C,2,FALSE)), "Not Found", VLOOKUP(A3768,'Master List'!A:C,2,FALSE)))</f>
        <v>Name</v>
      </c>
      <c r="D3768" s="19" t="str">
        <f>IF(ISBLANK(A3768), "Email",IF(ISNA(VLOOKUP(A3768,'Master List'!A:C,3,FALSE)), "Not Found", VLOOKUP(A3768,'Master List'!A:C,3,FALSE)))</f>
        <v>Email</v>
      </c>
      <c r="F3768" s="4" t="str">
        <f>IF(OR(A3768="",E3768="","",A3768="?",E3768="?"),"duplicate?",IF(COUNTIFS($A:A,A3768,E:E,E3768)&gt;1,"yes","no"))</f>
        <v>duplicate?</v>
      </c>
      <c r="K3768" s="97" t="str">
        <f ca="1">IF(J3768="","Date",IF(J3768&lt;&gt;"",IF(K3768="Date",NOW(),K3768),""))</f>
        <v>Date</v>
      </c>
    </row>
    <row r="3769" spans="2:11">
      <c r="B3769" s="97" t="str">
        <f ca="1">IF(A3769="","Date",IF(A3769&lt;&gt;"",IF(B3769="Date",NOW(),B3769),""))</f>
        <v>Date</v>
      </c>
      <c r="C3769" s="19" t="str">
        <f>IF(ISBLANK(A3769),"Name",IF(ISNA(VLOOKUP(A3769,'Master List'!A:C,2,FALSE)), "Not Found", VLOOKUP(A3769,'Master List'!A:C,2,FALSE)))</f>
        <v>Name</v>
      </c>
      <c r="D3769" s="19" t="str">
        <f>IF(ISBLANK(A3769), "Email",IF(ISNA(VLOOKUP(A3769,'Master List'!A:C,3,FALSE)), "Not Found", VLOOKUP(A3769,'Master List'!A:C,3,FALSE)))</f>
        <v>Email</v>
      </c>
      <c r="F3769" s="4" t="str">
        <f>IF(OR(A3769="",E3769="","",A3769="?",E3769="?"),"duplicate?",IF(COUNTIFS($A:A,A3769,E:E,E3769)&gt;1,"yes","no"))</f>
        <v>duplicate?</v>
      </c>
      <c r="K3769" s="97" t="str">
        <f ca="1">IF(J3769="","Date",IF(J3769&lt;&gt;"",IF(K3769="Date",NOW(),K3769),""))</f>
        <v>Date</v>
      </c>
    </row>
    <row r="3770" spans="2:11">
      <c r="B3770" s="97" t="str">
        <f ca="1">IF(A3770="","Date",IF(A3770&lt;&gt;"",IF(B3770="Date",NOW(),B3770),""))</f>
        <v>Date</v>
      </c>
      <c r="C3770" s="19" t="str">
        <f>IF(ISBLANK(A3770),"Name",IF(ISNA(VLOOKUP(A3770,'Master List'!A:C,2,FALSE)), "Not Found", VLOOKUP(A3770,'Master List'!A:C,2,FALSE)))</f>
        <v>Name</v>
      </c>
      <c r="D3770" s="19" t="str">
        <f>IF(ISBLANK(A3770), "Email",IF(ISNA(VLOOKUP(A3770,'Master List'!A:C,3,FALSE)), "Not Found", VLOOKUP(A3770,'Master List'!A:C,3,FALSE)))</f>
        <v>Email</v>
      </c>
      <c r="F3770" s="4" t="str">
        <f>IF(OR(A3770="",E3770="","",A3770="?",E3770="?"),"duplicate?",IF(COUNTIFS($A:A,A3770,E:E,E3770)&gt;1,"yes","no"))</f>
        <v>duplicate?</v>
      </c>
      <c r="K3770" s="97" t="str">
        <f ca="1">IF(J3770="","Date",IF(J3770&lt;&gt;"",IF(K3770="Date",NOW(),K3770),""))</f>
        <v>Date</v>
      </c>
    </row>
    <row r="3771" spans="2:11">
      <c r="B3771" s="97" t="str">
        <f ca="1">IF(A3771="","Date",IF(A3771&lt;&gt;"",IF(B3771="Date",NOW(),B3771),""))</f>
        <v>Date</v>
      </c>
      <c r="C3771" s="19" t="str">
        <f>IF(ISBLANK(A3771),"Name",IF(ISNA(VLOOKUP(A3771,'Master List'!A:C,2,FALSE)), "Not Found", VLOOKUP(A3771,'Master List'!A:C,2,FALSE)))</f>
        <v>Name</v>
      </c>
      <c r="D3771" s="19" t="str">
        <f>IF(ISBLANK(A3771), "Email",IF(ISNA(VLOOKUP(A3771,'Master List'!A:C,3,FALSE)), "Not Found", VLOOKUP(A3771,'Master List'!A:C,3,FALSE)))</f>
        <v>Email</v>
      </c>
      <c r="F3771" s="4" t="str">
        <f>IF(OR(A3771="",E3771="","",A3771="?",E3771="?"),"duplicate?",IF(COUNTIFS($A:A,A3771,E:E,E3771)&gt;1,"yes","no"))</f>
        <v>duplicate?</v>
      </c>
      <c r="K3771" s="97" t="str">
        <f ca="1">IF(J3771="","Date",IF(J3771&lt;&gt;"",IF(K3771="Date",NOW(),K3771),""))</f>
        <v>Date</v>
      </c>
    </row>
    <row r="3772" spans="2:11">
      <c r="B3772" s="97" t="str">
        <f ca="1">IF(A3772="","Date",IF(A3772&lt;&gt;"",IF(B3772="Date",NOW(),B3772),""))</f>
        <v>Date</v>
      </c>
      <c r="C3772" s="19" t="str">
        <f>IF(ISBLANK(A3772),"Name",IF(ISNA(VLOOKUP(A3772,'Master List'!A:C,2,FALSE)), "Not Found", VLOOKUP(A3772,'Master List'!A:C,2,FALSE)))</f>
        <v>Name</v>
      </c>
      <c r="D3772" s="19" t="str">
        <f>IF(ISBLANK(A3772), "Email",IF(ISNA(VLOOKUP(A3772,'Master List'!A:C,3,FALSE)), "Not Found", VLOOKUP(A3772,'Master List'!A:C,3,FALSE)))</f>
        <v>Email</v>
      </c>
      <c r="F3772" s="4" t="str">
        <f>IF(OR(A3772="",E3772="","",A3772="?",E3772="?"),"duplicate?",IF(COUNTIFS($A:A,A3772,E:E,E3772)&gt;1,"yes","no"))</f>
        <v>duplicate?</v>
      </c>
      <c r="K3772" s="97" t="str">
        <f ca="1">IF(J3772="","Date",IF(J3772&lt;&gt;"",IF(K3772="Date",NOW(),K3772),""))</f>
        <v>Date</v>
      </c>
    </row>
    <row r="3773" spans="2:11">
      <c r="B3773" s="97" t="str">
        <f ca="1">IF(A3773="","Date",IF(A3773&lt;&gt;"",IF(B3773="Date",NOW(),B3773),""))</f>
        <v>Date</v>
      </c>
      <c r="C3773" s="19" t="str">
        <f>IF(ISBLANK(A3773),"Name",IF(ISNA(VLOOKUP(A3773,'Master List'!A:C,2,FALSE)), "Not Found", VLOOKUP(A3773,'Master List'!A:C,2,FALSE)))</f>
        <v>Name</v>
      </c>
      <c r="D3773" s="19" t="str">
        <f>IF(ISBLANK(A3773), "Email",IF(ISNA(VLOOKUP(A3773,'Master List'!A:C,3,FALSE)), "Not Found", VLOOKUP(A3773,'Master List'!A:C,3,FALSE)))</f>
        <v>Email</v>
      </c>
      <c r="F3773" s="4" t="str">
        <f>IF(OR(A3773="",E3773="","",A3773="?",E3773="?"),"duplicate?",IF(COUNTIFS($A:A,A3773,E:E,E3773)&gt;1,"yes","no"))</f>
        <v>duplicate?</v>
      </c>
      <c r="K3773" s="97" t="str">
        <f ca="1">IF(J3773="","Date",IF(J3773&lt;&gt;"",IF(K3773="Date",NOW(),K3773),""))</f>
        <v>Date</v>
      </c>
    </row>
    <row r="3774" spans="2:11">
      <c r="B3774" s="97" t="str">
        <f ca="1">IF(A3774="","Date",IF(A3774&lt;&gt;"",IF(B3774="Date",NOW(),B3774),""))</f>
        <v>Date</v>
      </c>
      <c r="C3774" s="19" t="str">
        <f>IF(ISBLANK(A3774),"Name",IF(ISNA(VLOOKUP(A3774,'Master List'!A:C,2,FALSE)), "Not Found", VLOOKUP(A3774,'Master List'!A:C,2,FALSE)))</f>
        <v>Name</v>
      </c>
      <c r="D3774" s="19" t="str">
        <f>IF(ISBLANK(A3774), "Email",IF(ISNA(VLOOKUP(A3774,'Master List'!A:C,3,FALSE)), "Not Found", VLOOKUP(A3774,'Master List'!A:C,3,FALSE)))</f>
        <v>Email</v>
      </c>
      <c r="F3774" s="4" t="str">
        <f>IF(OR(A3774="",E3774="","",A3774="?",E3774="?"),"duplicate?",IF(COUNTIFS($A:A,A3774,E:E,E3774)&gt;1,"yes","no"))</f>
        <v>duplicate?</v>
      </c>
      <c r="K3774" s="97" t="str">
        <f ca="1">IF(J3774="","Date",IF(J3774&lt;&gt;"",IF(K3774="Date",NOW(),K3774),""))</f>
        <v>Date</v>
      </c>
    </row>
    <row r="3775" spans="2:11">
      <c r="B3775" s="97" t="str">
        <f ca="1">IF(A3775="","Date",IF(A3775&lt;&gt;"",IF(B3775="Date",NOW(),B3775),""))</f>
        <v>Date</v>
      </c>
      <c r="C3775" s="19" t="str">
        <f>IF(ISBLANK(A3775),"Name",IF(ISNA(VLOOKUP(A3775,'Master List'!A:C,2,FALSE)), "Not Found", VLOOKUP(A3775,'Master List'!A:C,2,FALSE)))</f>
        <v>Name</v>
      </c>
      <c r="D3775" s="19" t="str">
        <f>IF(ISBLANK(A3775), "Email",IF(ISNA(VLOOKUP(A3775,'Master List'!A:C,3,FALSE)), "Not Found", VLOOKUP(A3775,'Master List'!A:C,3,FALSE)))</f>
        <v>Email</v>
      </c>
      <c r="F3775" s="4" t="str">
        <f>IF(OR(A3775="",E3775="","",A3775="?",E3775="?"),"duplicate?",IF(COUNTIFS($A:A,A3775,E:E,E3775)&gt;1,"yes","no"))</f>
        <v>duplicate?</v>
      </c>
      <c r="K3775" s="97" t="str">
        <f ca="1">IF(J3775="","Date",IF(J3775&lt;&gt;"",IF(K3775="Date",NOW(),K3775),""))</f>
        <v>Date</v>
      </c>
    </row>
    <row r="3776" spans="2:11">
      <c r="B3776" s="97" t="str">
        <f ca="1">IF(A3776="","Date",IF(A3776&lt;&gt;"",IF(B3776="Date",NOW(),B3776),""))</f>
        <v>Date</v>
      </c>
      <c r="C3776" s="19" t="str">
        <f>IF(ISBLANK(A3776),"Name",IF(ISNA(VLOOKUP(A3776,'Master List'!A:C,2,FALSE)), "Not Found", VLOOKUP(A3776,'Master List'!A:C,2,FALSE)))</f>
        <v>Name</v>
      </c>
      <c r="D3776" s="19" t="str">
        <f>IF(ISBLANK(A3776), "Email",IF(ISNA(VLOOKUP(A3776,'Master List'!A:C,3,FALSE)), "Not Found", VLOOKUP(A3776,'Master List'!A:C,3,FALSE)))</f>
        <v>Email</v>
      </c>
      <c r="F3776" s="4" t="str">
        <f>IF(OR(A3776="",E3776="","",A3776="?",E3776="?"),"duplicate?",IF(COUNTIFS($A:A,A3776,E:E,E3776)&gt;1,"yes","no"))</f>
        <v>duplicate?</v>
      </c>
      <c r="K3776" s="97" t="str">
        <f ca="1">IF(J3776="","Date",IF(J3776&lt;&gt;"",IF(K3776="Date",NOW(),K3776),""))</f>
        <v>Date</v>
      </c>
    </row>
    <row r="3777" spans="2:11">
      <c r="B3777" s="97" t="str">
        <f ca="1">IF(A3777="","Date",IF(A3777&lt;&gt;"",IF(B3777="Date",NOW(),B3777),""))</f>
        <v>Date</v>
      </c>
      <c r="C3777" s="19" t="str">
        <f>IF(ISBLANK(A3777),"Name",IF(ISNA(VLOOKUP(A3777,'Master List'!A:C,2,FALSE)), "Not Found", VLOOKUP(A3777,'Master List'!A:C,2,FALSE)))</f>
        <v>Name</v>
      </c>
      <c r="D3777" s="19" t="str">
        <f>IF(ISBLANK(A3777), "Email",IF(ISNA(VLOOKUP(A3777,'Master List'!A:C,3,FALSE)), "Not Found", VLOOKUP(A3777,'Master List'!A:C,3,FALSE)))</f>
        <v>Email</v>
      </c>
      <c r="F3777" s="4" t="str">
        <f>IF(OR(A3777="",E3777="","",A3777="?",E3777="?"),"duplicate?",IF(COUNTIFS($A:A,A3777,E:E,E3777)&gt;1,"yes","no"))</f>
        <v>duplicate?</v>
      </c>
      <c r="K3777" s="97" t="str">
        <f ca="1">IF(J3777="","Date",IF(J3777&lt;&gt;"",IF(K3777="Date",NOW(),K3777),""))</f>
        <v>Date</v>
      </c>
    </row>
    <row r="3778" spans="2:11">
      <c r="B3778" s="97" t="str">
        <f ca="1">IF(A3778="","Date",IF(A3778&lt;&gt;"",IF(B3778="Date",NOW(),B3778),""))</f>
        <v>Date</v>
      </c>
      <c r="C3778" s="19" t="str">
        <f>IF(ISBLANK(A3778),"Name",IF(ISNA(VLOOKUP(A3778,'Master List'!A:C,2,FALSE)), "Not Found", VLOOKUP(A3778,'Master List'!A:C,2,FALSE)))</f>
        <v>Name</v>
      </c>
      <c r="D3778" s="19" t="str">
        <f>IF(ISBLANK(A3778), "Email",IF(ISNA(VLOOKUP(A3778,'Master List'!A:C,3,FALSE)), "Not Found", VLOOKUP(A3778,'Master List'!A:C,3,FALSE)))</f>
        <v>Email</v>
      </c>
      <c r="F3778" s="4" t="str">
        <f>IF(OR(A3778="",E3778="","",A3778="?",E3778="?"),"duplicate?",IF(COUNTIFS($A:A,A3778,E:E,E3778)&gt;1,"yes","no"))</f>
        <v>duplicate?</v>
      </c>
      <c r="K3778" s="97" t="str">
        <f ca="1">IF(J3778="","Date",IF(J3778&lt;&gt;"",IF(K3778="Date",NOW(),K3778),""))</f>
        <v>Date</v>
      </c>
    </row>
    <row r="3779" spans="2:11">
      <c r="B3779" s="97" t="str">
        <f ca="1">IF(A3779="","Date",IF(A3779&lt;&gt;"",IF(B3779="Date",NOW(),B3779),""))</f>
        <v>Date</v>
      </c>
      <c r="C3779" s="19" t="str">
        <f>IF(ISBLANK(A3779),"Name",IF(ISNA(VLOOKUP(A3779,'Master List'!A:C,2,FALSE)), "Not Found", VLOOKUP(A3779,'Master List'!A:C,2,FALSE)))</f>
        <v>Name</v>
      </c>
      <c r="D3779" s="19" t="str">
        <f>IF(ISBLANK(A3779), "Email",IF(ISNA(VLOOKUP(A3779,'Master List'!A:C,3,FALSE)), "Not Found", VLOOKUP(A3779,'Master List'!A:C,3,FALSE)))</f>
        <v>Email</v>
      </c>
      <c r="F3779" s="4" t="str">
        <f>IF(OR(A3779="",E3779="","",A3779="?",E3779="?"),"duplicate?",IF(COUNTIFS($A:A,A3779,E:E,E3779)&gt;1,"yes","no"))</f>
        <v>duplicate?</v>
      </c>
      <c r="K3779" s="97" t="str">
        <f ca="1">IF(J3779="","Date",IF(J3779&lt;&gt;"",IF(K3779="Date",NOW(),K3779),""))</f>
        <v>Date</v>
      </c>
    </row>
    <row r="3780" spans="2:11">
      <c r="B3780" s="97" t="str">
        <f ca="1">IF(A3780="","Date",IF(A3780&lt;&gt;"",IF(B3780="Date",NOW(),B3780),""))</f>
        <v>Date</v>
      </c>
      <c r="C3780" s="19" t="str">
        <f>IF(ISBLANK(A3780),"Name",IF(ISNA(VLOOKUP(A3780,'Master List'!A:C,2,FALSE)), "Not Found", VLOOKUP(A3780,'Master List'!A:C,2,FALSE)))</f>
        <v>Name</v>
      </c>
      <c r="D3780" s="19" t="str">
        <f>IF(ISBLANK(A3780), "Email",IF(ISNA(VLOOKUP(A3780,'Master List'!A:C,3,FALSE)), "Not Found", VLOOKUP(A3780,'Master List'!A:C,3,FALSE)))</f>
        <v>Email</v>
      </c>
      <c r="F3780" s="4" t="str">
        <f>IF(OR(A3780="",E3780="","",A3780="?",E3780="?"),"duplicate?",IF(COUNTIFS($A:A,A3780,E:E,E3780)&gt;1,"yes","no"))</f>
        <v>duplicate?</v>
      </c>
      <c r="K3780" s="97" t="str">
        <f ca="1">IF(J3780="","Date",IF(J3780&lt;&gt;"",IF(K3780="Date",NOW(),K3780),""))</f>
        <v>Date</v>
      </c>
    </row>
    <row r="3781" spans="2:11">
      <c r="B3781" s="97" t="str">
        <f ca="1">IF(A3781="","Date",IF(A3781&lt;&gt;"",IF(B3781="Date",NOW(),B3781),""))</f>
        <v>Date</v>
      </c>
      <c r="C3781" s="19" t="str">
        <f>IF(ISBLANK(A3781),"Name",IF(ISNA(VLOOKUP(A3781,'Master List'!A:C,2,FALSE)), "Not Found", VLOOKUP(A3781,'Master List'!A:C,2,FALSE)))</f>
        <v>Name</v>
      </c>
      <c r="D3781" s="19" t="str">
        <f>IF(ISBLANK(A3781), "Email",IF(ISNA(VLOOKUP(A3781,'Master List'!A:C,3,FALSE)), "Not Found", VLOOKUP(A3781,'Master List'!A:C,3,FALSE)))</f>
        <v>Email</v>
      </c>
      <c r="F3781" s="4" t="str">
        <f>IF(OR(A3781="",E3781="","",A3781="?",E3781="?"),"duplicate?",IF(COUNTIFS($A:A,A3781,E:E,E3781)&gt;1,"yes","no"))</f>
        <v>duplicate?</v>
      </c>
      <c r="K3781" s="97" t="str">
        <f ca="1">IF(J3781="","Date",IF(J3781&lt;&gt;"",IF(K3781="Date",NOW(),K3781),""))</f>
        <v>Date</v>
      </c>
    </row>
    <row r="3782" spans="2:11">
      <c r="B3782" s="97" t="str">
        <f ca="1">IF(A3782="","Date",IF(A3782&lt;&gt;"",IF(B3782="Date",NOW(),B3782),""))</f>
        <v>Date</v>
      </c>
      <c r="C3782" s="19" t="str">
        <f>IF(ISBLANK(A3782),"Name",IF(ISNA(VLOOKUP(A3782,'Master List'!A:C,2,FALSE)), "Not Found", VLOOKUP(A3782,'Master List'!A:C,2,FALSE)))</f>
        <v>Name</v>
      </c>
      <c r="D3782" s="19" t="str">
        <f>IF(ISBLANK(A3782), "Email",IF(ISNA(VLOOKUP(A3782,'Master List'!A:C,3,FALSE)), "Not Found", VLOOKUP(A3782,'Master List'!A:C,3,FALSE)))</f>
        <v>Email</v>
      </c>
      <c r="F3782" s="4" t="str">
        <f>IF(OR(A3782="",E3782="","",A3782="?",E3782="?"),"duplicate?",IF(COUNTIFS($A:A,A3782,E:E,E3782)&gt;1,"yes","no"))</f>
        <v>duplicate?</v>
      </c>
      <c r="K3782" s="97" t="str">
        <f ca="1">IF(J3782="","Date",IF(J3782&lt;&gt;"",IF(K3782="Date",NOW(),K3782),""))</f>
        <v>Date</v>
      </c>
    </row>
    <row r="3783" spans="2:11">
      <c r="B3783" s="97" t="str">
        <f ca="1">IF(A3783="","Date",IF(A3783&lt;&gt;"",IF(B3783="Date",NOW(),B3783),""))</f>
        <v>Date</v>
      </c>
      <c r="C3783" s="19" t="str">
        <f>IF(ISBLANK(A3783),"Name",IF(ISNA(VLOOKUP(A3783,'Master List'!A:C,2,FALSE)), "Not Found", VLOOKUP(A3783,'Master List'!A:C,2,FALSE)))</f>
        <v>Name</v>
      </c>
      <c r="D3783" s="19" t="str">
        <f>IF(ISBLANK(A3783), "Email",IF(ISNA(VLOOKUP(A3783,'Master List'!A:C,3,FALSE)), "Not Found", VLOOKUP(A3783,'Master List'!A:C,3,FALSE)))</f>
        <v>Email</v>
      </c>
      <c r="F3783" s="4" t="str">
        <f>IF(OR(A3783="",E3783="","",A3783="?",E3783="?"),"duplicate?",IF(COUNTIFS($A:A,A3783,E:E,E3783)&gt;1,"yes","no"))</f>
        <v>duplicate?</v>
      </c>
      <c r="K3783" s="97" t="str">
        <f ca="1">IF(J3783="","Date",IF(J3783&lt;&gt;"",IF(K3783="Date",NOW(),K3783),""))</f>
        <v>Date</v>
      </c>
    </row>
    <row r="3784" spans="2:11">
      <c r="B3784" s="97" t="str">
        <f ca="1">IF(A3784="","Date",IF(A3784&lt;&gt;"",IF(B3784="Date",NOW(),B3784),""))</f>
        <v>Date</v>
      </c>
      <c r="C3784" s="19" t="str">
        <f>IF(ISBLANK(A3784),"Name",IF(ISNA(VLOOKUP(A3784,'Master List'!A:C,2,FALSE)), "Not Found", VLOOKUP(A3784,'Master List'!A:C,2,FALSE)))</f>
        <v>Name</v>
      </c>
      <c r="D3784" s="19" t="str">
        <f>IF(ISBLANK(A3784), "Email",IF(ISNA(VLOOKUP(A3784,'Master List'!A:C,3,FALSE)), "Not Found", VLOOKUP(A3784,'Master List'!A:C,3,FALSE)))</f>
        <v>Email</v>
      </c>
      <c r="F3784" s="4" t="str">
        <f>IF(OR(A3784="",E3784="","",A3784="?",E3784="?"),"duplicate?",IF(COUNTIFS($A:A,A3784,E:E,E3784)&gt;1,"yes","no"))</f>
        <v>duplicate?</v>
      </c>
      <c r="K3784" s="97" t="str">
        <f ca="1">IF(J3784="","Date",IF(J3784&lt;&gt;"",IF(K3784="Date",NOW(),K3784),""))</f>
        <v>Date</v>
      </c>
    </row>
    <row r="3785" spans="2:11">
      <c r="B3785" s="97" t="str">
        <f ca="1">IF(A3785="","Date",IF(A3785&lt;&gt;"",IF(B3785="Date",NOW(),B3785),""))</f>
        <v>Date</v>
      </c>
      <c r="C3785" s="19" t="str">
        <f>IF(ISBLANK(A3785),"Name",IF(ISNA(VLOOKUP(A3785,'Master List'!A:C,2,FALSE)), "Not Found", VLOOKUP(A3785,'Master List'!A:C,2,FALSE)))</f>
        <v>Name</v>
      </c>
      <c r="D3785" s="19" t="str">
        <f>IF(ISBLANK(A3785), "Email",IF(ISNA(VLOOKUP(A3785,'Master List'!A:C,3,FALSE)), "Not Found", VLOOKUP(A3785,'Master List'!A:C,3,FALSE)))</f>
        <v>Email</v>
      </c>
      <c r="F3785" s="4" t="str">
        <f>IF(OR(A3785="",E3785="","",A3785="?",E3785="?"),"duplicate?",IF(COUNTIFS($A:A,A3785,E:E,E3785)&gt;1,"yes","no"))</f>
        <v>duplicate?</v>
      </c>
      <c r="K3785" s="97" t="str">
        <f ca="1">IF(J3785="","Date",IF(J3785&lt;&gt;"",IF(K3785="Date",NOW(),K3785),""))</f>
        <v>Date</v>
      </c>
    </row>
    <row r="3786" spans="2:11">
      <c r="B3786" s="97" t="str">
        <f ca="1">IF(A3786="","Date",IF(A3786&lt;&gt;"",IF(B3786="Date",NOW(),B3786),""))</f>
        <v>Date</v>
      </c>
      <c r="C3786" s="19" t="str">
        <f>IF(ISBLANK(A3786),"Name",IF(ISNA(VLOOKUP(A3786,'Master List'!A:C,2,FALSE)), "Not Found", VLOOKUP(A3786,'Master List'!A:C,2,FALSE)))</f>
        <v>Name</v>
      </c>
      <c r="D3786" s="19" t="str">
        <f>IF(ISBLANK(A3786), "Email",IF(ISNA(VLOOKUP(A3786,'Master List'!A:C,3,FALSE)), "Not Found", VLOOKUP(A3786,'Master List'!A:C,3,FALSE)))</f>
        <v>Email</v>
      </c>
      <c r="F3786" s="4" t="str">
        <f>IF(OR(A3786="",E3786="","",A3786="?",E3786="?"),"duplicate?",IF(COUNTIFS($A:A,A3786,E:E,E3786)&gt;1,"yes","no"))</f>
        <v>duplicate?</v>
      </c>
      <c r="K3786" s="97" t="str">
        <f ca="1">IF(J3786="","Date",IF(J3786&lt;&gt;"",IF(K3786="Date",NOW(),K3786),""))</f>
        <v>Date</v>
      </c>
    </row>
    <row r="3787" spans="2:11">
      <c r="B3787" s="97" t="str">
        <f ca="1">IF(A3787="","Date",IF(A3787&lt;&gt;"",IF(B3787="Date",NOW(),B3787),""))</f>
        <v>Date</v>
      </c>
      <c r="C3787" s="19" t="str">
        <f>IF(ISBLANK(A3787),"Name",IF(ISNA(VLOOKUP(A3787,'Master List'!A:C,2,FALSE)), "Not Found", VLOOKUP(A3787,'Master List'!A:C,2,FALSE)))</f>
        <v>Name</v>
      </c>
      <c r="D3787" s="19" t="str">
        <f>IF(ISBLANK(A3787), "Email",IF(ISNA(VLOOKUP(A3787,'Master List'!A:C,3,FALSE)), "Not Found", VLOOKUP(A3787,'Master List'!A:C,3,FALSE)))</f>
        <v>Email</v>
      </c>
      <c r="F3787" s="4" t="str">
        <f>IF(OR(A3787="",E3787="","",A3787="?",E3787="?"),"duplicate?",IF(COUNTIFS($A:A,A3787,E:E,E3787)&gt;1,"yes","no"))</f>
        <v>duplicate?</v>
      </c>
      <c r="K3787" s="97" t="str">
        <f ca="1">IF(J3787="","Date",IF(J3787&lt;&gt;"",IF(K3787="Date",NOW(),K3787),""))</f>
        <v>Date</v>
      </c>
    </row>
    <row r="3788" spans="2:11">
      <c r="B3788" s="97" t="str">
        <f ca="1">IF(A3788="","Date",IF(A3788&lt;&gt;"",IF(B3788="Date",NOW(),B3788),""))</f>
        <v>Date</v>
      </c>
      <c r="C3788" s="19" t="str">
        <f>IF(ISBLANK(A3788),"Name",IF(ISNA(VLOOKUP(A3788,'Master List'!A:C,2,FALSE)), "Not Found", VLOOKUP(A3788,'Master List'!A:C,2,FALSE)))</f>
        <v>Name</v>
      </c>
      <c r="D3788" s="19" t="str">
        <f>IF(ISBLANK(A3788), "Email",IF(ISNA(VLOOKUP(A3788,'Master List'!A:C,3,FALSE)), "Not Found", VLOOKUP(A3788,'Master List'!A:C,3,FALSE)))</f>
        <v>Email</v>
      </c>
      <c r="F3788" s="4" t="str">
        <f>IF(OR(A3788="",E3788="","",A3788="?",E3788="?"),"duplicate?",IF(COUNTIFS($A:A,A3788,E:E,E3788)&gt;1,"yes","no"))</f>
        <v>duplicate?</v>
      </c>
      <c r="K3788" s="97" t="str">
        <f ca="1">IF(J3788="","Date",IF(J3788&lt;&gt;"",IF(K3788="Date",NOW(),K3788),""))</f>
        <v>Date</v>
      </c>
    </row>
    <row r="3789" spans="2:11">
      <c r="B3789" s="97" t="str">
        <f ca="1">IF(A3789="","Date",IF(A3789&lt;&gt;"",IF(B3789="Date",NOW(),B3789),""))</f>
        <v>Date</v>
      </c>
      <c r="C3789" s="19" t="str">
        <f>IF(ISBLANK(A3789),"Name",IF(ISNA(VLOOKUP(A3789,'Master List'!A:C,2,FALSE)), "Not Found", VLOOKUP(A3789,'Master List'!A:C,2,FALSE)))</f>
        <v>Name</v>
      </c>
      <c r="D3789" s="19" t="str">
        <f>IF(ISBLANK(A3789), "Email",IF(ISNA(VLOOKUP(A3789,'Master List'!A:C,3,FALSE)), "Not Found", VLOOKUP(A3789,'Master List'!A:C,3,FALSE)))</f>
        <v>Email</v>
      </c>
      <c r="F3789" s="4" t="str">
        <f>IF(OR(A3789="",E3789="","",A3789="?",E3789="?"),"duplicate?",IF(COUNTIFS($A:A,A3789,E:E,E3789)&gt;1,"yes","no"))</f>
        <v>duplicate?</v>
      </c>
      <c r="K3789" s="97" t="str">
        <f ca="1">IF(J3789="","Date",IF(J3789&lt;&gt;"",IF(K3789="Date",NOW(),K3789),""))</f>
        <v>Date</v>
      </c>
    </row>
    <row r="3790" spans="2:11">
      <c r="B3790" s="97" t="str">
        <f ca="1">IF(A3790="","Date",IF(A3790&lt;&gt;"",IF(B3790="Date",NOW(),B3790),""))</f>
        <v>Date</v>
      </c>
      <c r="C3790" s="19" t="str">
        <f>IF(ISBLANK(A3790),"Name",IF(ISNA(VLOOKUP(A3790,'Master List'!A:C,2,FALSE)), "Not Found", VLOOKUP(A3790,'Master List'!A:C,2,FALSE)))</f>
        <v>Name</v>
      </c>
      <c r="D3790" s="19" t="str">
        <f>IF(ISBLANK(A3790), "Email",IF(ISNA(VLOOKUP(A3790,'Master List'!A:C,3,FALSE)), "Not Found", VLOOKUP(A3790,'Master List'!A:C,3,FALSE)))</f>
        <v>Email</v>
      </c>
      <c r="F3790" s="4" t="str">
        <f>IF(OR(A3790="",E3790="","",A3790="?",E3790="?"),"duplicate?",IF(COUNTIFS($A:A,A3790,E:E,E3790)&gt;1,"yes","no"))</f>
        <v>duplicate?</v>
      </c>
      <c r="K3790" s="97" t="str">
        <f ca="1">IF(J3790="","Date",IF(J3790&lt;&gt;"",IF(K3790="Date",NOW(),K3790),""))</f>
        <v>Date</v>
      </c>
    </row>
    <row r="3791" spans="2:11">
      <c r="B3791" s="97" t="str">
        <f ca="1">IF(A3791="","Date",IF(A3791&lt;&gt;"",IF(B3791="Date",NOW(),B3791),""))</f>
        <v>Date</v>
      </c>
      <c r="C3791" s="19" t="str">
        <f>IF(ISBLANK(A3791),"Name",IF(ISNA(VLOOKUP(A3791,'Master List'!A:C,2,FALSE)), "Not Found", VLOOKUP(A3791,'Master List'!A:C,2,FALSE)))</f>
        <v>Name</v>
      </c>
      <c r="D3791" s="19" t="str">
        <f>IF(ISBLANK(A3791), "Email",IF(ISNA(VLOOKUP(A3791,'Master List'!A:C,3,FALSE)), "Not Found", VLOOKUP(A3791,'Master List'!A:C,3,FALSE)))</f>
        <v>Email</v>
      </c>
      <c r="F3791" s="4" t="str">
        <f>IF(OR(A3791="",E3791="","",A3791="?",E3791="?"),"duplicate?",IF(COUNTIFS($A:A,A3791,E:E,E3791)&gt;1,"yes","no"))</f>
        <v>duplicate?</v>
      </c>
      <c r="K3791" s="97" t="str">
        <f ca="1">IF(J3791="","Date",IF(J3791&lt;&gt;"",IF(K3791="Date",NOW(),K3791),""))</f>
        <v>Date</v>
      </c>
    </row>
    <row r="3792" spans="2:11">
      <c r="B3792" s="97" t="str">
        <f ca="1">IF(A3792="","Date",IF(A3792&lt;&gt;"",IF(B3792="Date",NOW(),B3792),""))</f>
        <v>Date</v>
      </c>
      <c r="C3792" s="19" t="str">
        <f>IF(ISBLANK(A3792),"Name",IF(ISNA(VLOOKUP(A3792,'Master List'!A:C,2,FALSE)), "Not Found", VLOOKUP(A3792,'Master List'!A:C,2,FALSE)))</f>
        <v>Name</v>
      </c>
      <c r="D3792" s="19" t="str">
        <f>IF(ISBLANK(A3792), "Email",IF(ISNA(VLOOKUP(A3792,'Master List'!A:C,3,FALSE)), "Not Found", VLOOKUP(A3792,'Master List'!A:C,3,FALSE)))</f>
        <v>Email</v>
      </c>
      <c r="F3792" s="4" t="str">
        <f>IF(OR(A3792="",E3792="","",A3792="?",E3792="?"),"duplicate?",IF(COUNTIFS($A:A,A3792,E:E,E3792)&gt;1,"yes","no"))</f>
        <v>duplicate?</v>
      </c>
      <c r="K3792" s="97" t="str">
        <f ca="1">IF(J3792="","Date",IF(J3792&lt;&gt;"",IF(K3792="Date",NOW(),K3792),""))</f>
        <v>Date</v>
      </c>
    </row>
    <row r="3793" spans="2:11">
      <c r="B3793" s="97" t="str">
        <f ca="1">IF(A3793="","Date",IF(A3793&lt;&gt;"",IF(B3793="Date",NOW(),B3793),""))</f>
        <v>Date</v>
      </c>
      <c r="C3793" s="19" t="str">
        <f>IF(ISBLANK(A3793),"Name",IF(ISNA(VLOOKUP(A3793,'Master List'!A:C,2,FALSE)), "Not Found", VLOOKUP(A3793,'Master List'!A:C,2,FALSE)))</f>
        <v>Name</v>
      </c>
      <c r="D3793" s="19" t="str">
        <f>IF(ISBLANK(A3793), "Email",IF(ISNA(VLOOKUP(A3793,'Master List'!A:C,3,FALSE)), "Not Found", VLOOKUP(A3793,'Master List'!A:C,3,FALSE)))</f>
        <v>Email</v>
      </c>
      <c r="F3793" s="4" t="str">
        <f>IF(OR(A3793="",E3793="","",A3793="?",E3793="?"),"duplicate?",IF(COUNTIFS($A:A,A3793,E:E,E3793)&gt;1,"yes","no"))</f>
        <v>duplicate?</v>
      </c>
      <c r="K3793" s="97" t="str">
        <f ca="1">IF(J3793="","Date",IF(J3793&lt;&gt;"",IF(K3793="Date",NOW(),K3793),""))</f>
        <v>Date</v>
      </c>
    </row>
    <row r="3794" spans="2:11">
      <c r="B3794" s="97" t="str">
        <f ca="1">IF(A3794="","Date",IF(A3794&lt;&gt;"",IF(B3794="Date",NOW(),B3794),""))</f>
        <v>Date</v>
      </c>
      <c r="C3794" s="19" t="str">
        <f>IF(ISBLANK(A3794),"Name",IF(ISNA(VLOOKUP(A3794,'Master List'!A:C,2,FALSE)), "Not Found", VLOOKUP(A3794,'Master List'!A:C,2,FALSE)))</f>
        <v>Name</v>
      </c>
      <c r="D3794" s="19" t="str">
        <f>IF(ISBLANK(A3794), "Email",IF(ISNA(VLOOKUP(A3794,'Master List'!A:C,3,FALSE)), "Not Found", VLOOKUP(A3794,'Master List'!A:C,3,FALSE)))</f>
        <v>Email</v>
      </c>
      <c r="F3794" s="4" t="str">
        <f>IF(OR(A3794="",E3794="","",A3794="?",E3794="?"),"duplicate?",IF(COUNTIFS($A:A,A3794,E:E,E3794)&gt;1,"yes","no"))</f>
        <v>duplicate?</v>
      </c>
      <c r="K3794" s="97" t="str">
        <f ca="1">IF(J3794="","Date",IF(J3794&lt;&gt;"",IF(K3794="Date",NOW(),K3794),""))</f>
        <v>Date</v>
      </c>
    </row>
    <row r="3795" spans="2:11">
      <c r="B3795" s="97" t="str">
        <f ca="1">IF(A3795="","Date",IF(A3795&lt;&gt;"",IF(B3795="Date",NOW(),B3795),""))</f>
        <v>Date</v>
      </c>
      <c r="C3795" s="19" t="str">
        <f>IF(ISBLANK(A3795),"Name",IF(ISNA(VLOOKUP(A3795,'Master List'!A:C,2,FALSE)), "Not Found", VLOOKUP(A3795,'Master List'!A:C,2,FALSE)))</f>
        <v>Name</v>
      </c>
      <c r="D3795" s="19" t="str">
        <f>IF(ISBLANK(A3795), "Email",IF(ISNA(VLOOKUP(A3795,'Master List'!A:C,3,FALSE)), "Not Found", VLOOKUP(A3795,'Master List'!A:C,3,FALSE)))</f>
        <v>Email</v>
      </c>
      <c r="F3795" s="4" t="str">
        <f>IF(OR(A3795="",E3795="","",A3795="?",E3795="?"),"duplicate?",IF(COUNTIFS($A:A,A3795,E:E,E3795)&gt;1,"yes","no"))</f>
        <v>duplicate?</v>
      </c>
      <c r="K3795" s="97" t="str">
        <f ca="1">IF(J3795="","Date",IF(J3795&lt;&gt;"",IF(K3795="Date",NOW(),K3795),""))</f>
        <v>Date</v>
      </c>
    </row>
    <row r="3796" spans="2:11">
      <c r="B3796" s="97" t="str">
        <f ca="1">IF(A3796="","Date",IF(A3796&lt;&gt;"",IF(B3796="Date",NOW(),B3796),""))</f>
        <v>Date</v>
      </c>
      <c r="C3796" s="19" t="str">
        <f>IF(ISBLANK(A3796),"Name",IF(ISNA(VLOOKUP(A3796,'Master List'!A:C,2,FALSE)), "Not Found", VLOOKUP(A3796,'Master List'!A:C,2,FALSE)))</f>
        <v>Name</v>
      </c>
      <c r="D3796" s="19" t="str">
        <f>IF(ISBLANK(A3796), "Email",IF(ISNA(VLOOKUP(A3796,'Master List'!A:C,3,FALSE)), "Not Found", VLOOKUP(A3796,'Master List'!A:C,3,FALSE)))</f>
        <v>Email</v>
      </c>
      <c r="F3796" s="4" t="str">
        <f>IF(OR(A3796="",E3796="","",A3796="?",E3796="?"),"duplicate?",IF(COUNTIFS($A:A,A3796,E:E,E3796)&gt;1,"yes","no"))</f>
        <v>duplicate?</v>
      </c>
      <c r="K3796" s="97" t="str">
        <f ca="1">IF(J3796="","Date",IF(J3796&lt;&gt;"",IF(K3796="Date",NOW(),K3796),""))</f>
        <v>Date</v>
      </c>
    </row>
    <row r="3797" spans="2:11">
      <c r="B3797" s="97" t="str">
        <f ca="1">IF(A3797="","Date",IF(A3797&lt;&gt;"",IF(B3797="Date",NOW(),B3797),""))</f>
        <v>Date</v>
      </c>
      <c r="C3797" s="19" t="str">
        <f>IF(ISBLANK(A3797),"Name",IF(ISNA(VLOOKUP(A3797,'Master List'!A:C,2,FALSE)), "Not Found", VLOOKUP(A3797,'Master List'!A:C,2,FALSE)))</f>
        <v>Name</v>
      </c>
      <c r="D3797" s="19" t="str">
        <f>IF(ISBLANK(A3797), "Email",IF(ISNA(VLOOKUP(A3797,'Master List'!A:C,3,FALSE)), "Not Found", VLOOKUP(A3797,'Master List'!A:C,3,FALSE)))</f>
        <v>Email</v>
      </c>
      <c r="F3797" s="4" t="str">
        <f>IF(OR(A3797="",E3797="","",A3797="?",E3797="?"),"duplicate?",IF(COUNTIFS($A:A,A3797,E:E,E3797)&gt;1,"yes","no"))</f>
        <v>duplicate?</v>
      </c>
      <c r="K3797" s="97" t="str">
        <f ca="1">IF(J3797="","Date",IF(J3797&lt;&gt;"",IF(K3797="Date",NOW(),K3797),""))</f>
        <v>Date</v>
      </c>
    </row>
    <row r="3798" spans="2:11">
      <c r="B3798" s="97" t="str">
        <f ca="1">IF(A3798="","Date",IF(A3798&lt;&gt;"",IF(B3798="Date",NOW(),B3798),""))</f>
        <v>Date</v>
      </c>
      <c r="C3798" s="19" t="str">
        <f>IF(ISBLANK(A3798),"Name",IF(ISNA(VLOOKUP(A3798,'Master List'!A:C,2,FALSE)), "Not Found", VLOOKUP(A3798,'Master List'!A:C,2,FALSE)))</f>
        <v>Name</v>
      </c>
      <c r="D3798" s="19" t="str">
        <f>IF(ISBLANK(A3798), "Email",IF(ISNA(VLOOKUP(A3798,'Master List'!A:C,3,FALSE)), "Not Found", VLOOKUP(A3798,'Master List'!A:C,3,FALSE)))</f>
        <v>Email</v>
      </c>
      <c r="F3798" s="4" t="str">
        <f>IF(OR(A3798="",E3798="","",A3798="?",E3798="?"),"duplicate?",IF(COUNTIFS($A:A,A3798,E:E,E3798)&gt;1,"yes","no"))</f>
        <v>duplicate?</v>
      </c>
      <c r="K3798" s="97" t="str">
        <f ca="1">IF(J3798="","Date",IF(J3798&lt;&gt;"",IF(K3798="Date",NOW(),K3798),""))</f>
        <v>Date</v>
      </c>
    </row>
    <row r="3799" spans="2:11">
      <c r="B3799" s="97" t="str">
        <f ca="1">IF(A3799="","Date",IF(A3799&lt;&gt;"",IF(B3799="Date",NOW(),B3799),""))</f>
        <v>Date</v>
      </c>
      <c r="C3799" s="19" t="str">
        <f>IF(ISBLANK(A3799),"Name",IF(ISNA(VLOOKUP(A3799,'Master List'!A:C,2,FALSE)), "Not Found", VLOOKUP(A3799,'Master List'!A:C,2,FALSE)))</f>
        <v>Name</v>
      </c>
      <c r="D3799" s="19" t="str">
        <f>IF(ISBLANK(A3799), "Email",IF(ISNA(VLOOKUP(A3799,'Master List'!A:C,3,FALSE)), "Not Found", VLOOKUP(A3799,'Master List'!A:C,3,FALSE)))</f>
        <v>Email</v>
      </c>
      <c r="F3799" s="4" t="str">
        <f>IF(OR(A3799="",E3799="","",A3799="?",E3799="?"),"duplicate?",IF(COUNTIFS($A:A,A3799,E:E,E3799)&gt;1,"yes","no"))</f>
        <v>duplicate?</v>
      </c>
      <c r="K3799" s="97" t="str">
        <f ca="1">IF(J3799="","Date",IF(J3799&lt;&gt;"",IF(K3799="Date",NOW(),K3799),""))</f>
        <v>Date</v>
      </c>
    </row>
    <row r="3800" spans="2:11">
      <c r="B3800" s="97" t="str">
        <f ca="1">IF(A3800="","Date",IF(A3800&lt;&gt;"",IF(B3800="Date",NOW(),B3800),""))</f>
        <v>Date</v>
      </c>
      <c r="C3800" s="19" t="str">
        <f>IF(ISBLANK(A3800),"Name",IF(ISNA(VLOOKUP(A3800,'Master List'!A:C,2,FALSE)), "Not Found", VLOOKUP(A3800,'Master List'!A:C,2,FALSE)))</f>
        <v>Name</v>
      </c>
      <c r="D3800" s="19" t="str">
        <f>IF(ISBLANK(A3800), "Email",IF(ISNA(VLOOKUP(A3800,'Master List'!A:C,3,FALSE)), "Not Found", VLOOKUP(A3800,'Master List'!A:C,3,FALSE)))</f>
        <v>Email</v>
      </c>
      <c r="F3800" s="4" t="str">
        <f>IF(OR(A3800="",E3800="","",A3800="?",E3800="?"),"duplicate?",IF(COUNTIFS($A:A,A3800,E:E,E3800)&gt;1,"yes","no"))</f>
        <v>duplicate?</v>
      </c>
      <c r="K3800" s="97" t="str">
        <f ca="1">IF(J3800="","Date",IF(J3800&lt;&gt;"",IF(K3800="Date",NOW(),K3800),""))</f>
        <v>Date</v>
      </c>
    </row>
    <row r="3801" spans="2:11">
      <c r="B3801" s="97" t="str">
        <f ca="1">IF(A3801="","Date",IF(A3801&lt;&gt;"",IF(B3801="Date",NOW(),B3801),""))</f>
        <v>Date</v>
      </c>
      <c r="C3801" s="19" t="str">
        <f>IF(ISBLANK(A3801),"Name",IF(ISNA(VLOOKUP(A3801,'Master List'!A:C,2,FALSE)), "Not Found", VLOOKUP(A3801,'Master List'!A:C,2,FALSE)))</f>
        <v>Name</v>
      </c>
      <c r="D3801" s="19" t="str">
        <f>IF(ISBLANK(A3801), "Email",IF(ISNA(VLOOKUP(A3801,'Master List'!A:C,3,FALSE)), "Not Found", VLOOKUP(A3801,'Master List'!A:C,3,FALSE)))</f>
        <v>Email</v>
      </c>
      <c r="F3801" s="4" t="str">
        <f>IF(OR(A3801="",E3801="","",A3801="?",E3801="?"),"duplicate?",IF(COUNTIFS($A:A,A3801,E:E,E3801)&gt;1,"yes","no"))</f>
        <v>duplicate?</v>
      </c>
      <c r="K3801" s="97" t="str">
        <f ca="1">IF(J3801="","Date",IF(J3801&lt;&gt;"",IF(K3801="Date",NOW(),K3801),""))</f>
        <v>Date</v>
      </c>
    </row>
    <row r="3802" spans="2:11">
      <c r="B3802" s="97" t="str">
        <f ca="1">IF(A3802="","Date",IF(A3802&lt;&gt;"",IF(B3802="Date",NOW(),B3802),""))</f>
        <v>Date</v>
      </c>
      <c r="C3802" s="19" t="str">
        <f>IF(ISBLANK(A3802),"Name",IF(ISNA(VLOOKUP(A3802,'Master List'!A:C,2,FALSE)), "Not Found", VLOOKUP(A3802,'Master List'!A:C,2,FALSE)))</f>
        <v>Name</v>
      </c>
      <c r="D3802" s="19" t="str">
        <f>IF(ISBLANK(A3802), "Email",IF(ISNA(VLOOKUP(A3802,'Master List'!A:C,3,FALSE)), "Not Found", VLOOKUP(A3802,'Master List'!A:C,3,FALSE)))</f>
        <v>Email</v>
      </c>
      <c r="F3802" s="4" t="str">
        <f>IF(OR(A3802="",E3802="","",A3802="?",E3802="?"),"duplicate?",IF(COUNTIFS($A:A,A3802,E:E,E3802)&gt;1,"yes","no"))</f>
        <v>duplicate?</v>
      </c>
      <c r="K3802" s="97" t="str">
        <f ca="1">IF(J3802="","Date",IF(J3802&lt;&gt;"",IF(K3802="Date",NOW(),K3802),""))</f>
        <v>Date</v>
      </c>
    </row>
    <row r="3803" spans="2:11">
      <c r="B3803" s="97" t="str">
        <f ca="1">IF(A3803="","Date",IF(A3803&lt;&gt;"",IF(B3803="Date",NOW(),B3803),""))</f>
        <v>Date</v>
      </c>
      <c r="C3803" s="19" t="str">
        <f>IF(ISBLANK(A3803),"Name",IF(ISNA(VLOOKUP(A3803,'Master List'!A:C,2,FALSE)), "Not Found", VLOOKUP(A3803,'Master List'!A:C,2,FALSE)))</f>
        <v>Name</v>
      </c>
      <c r="D3803" s="19" t="str">
        <f>IF(ISBLANK(A3803), "Email",IF(ISNA(VLOOKUP(A3803,'Master List'!A:C,3,FALSE)), "Not Found", VLOOKUP(A3803,'Master List'!A:C,3,FALSE)))</f>
        <v>Email</v>
      </c>
      <c r="F3803" s="4" t="str">
        <f>IF(OR(A3803="",E3803="","",A3803="?",E3803="?"),"duplicate?",IF(COUNTIFS($A:A,A3803,E:E,E3803)&gt;1,"yes","no"))</f>
        <v>duplicate?</v>
      </c>
      <c r="K3803" s="97" t="str">
        <f ca="1">IF(J3803="","Date",IF(J3803&lt;&gt;"",IF(K3803="Date",NOW(),K3803),""))</f>
        <v>Date</v>
      </c>
    </row>
    <row r="3804" spans="2:11">
      <c r="B3804" s="97" t="str">
        <f ca="1">IF(A3804="","Date",IF(A3804&lt;&gt;"",IF(B3804="Date",NOW(),B3804),""))</f>
        <v>Date</v>
      </c>
      <c r="C3804" s="19" t="str">
        <f>IF(ISBLANK(A3804),"Name",IF(ISNA(VLOOKUP(A3804,'Master List'!A:C,2,FALSE)), "Not Found", VLOOKUP(A3804,'Master List'!A:C,2,FALSE)))</f>
        <v>Name</v>
      </c>
      <c r="D3804" s="19" t="str">
        <f>IF(ISBLANK(A3804), "Email",IF(ISNA(VLOOKUP(A3804,'Master List'!A:C,3,FALSE)), "Not Found", VLOOKUP(A3804,'Master List'!A:C,3,FALSE)))</f>
        <v>Email</v>
      </c>
      <c r="F3804" s="4" t="str">
        <f>IF(OR(A3804="",E3804="","",A3804="?",E3804="?"),"duplicate?",IF(COUNTIFS($A:A,A3804,E:E,E3804)&gt;1,"yes","no"))</f>
        <v>duplicate?</v>
      </c>
      <c r="K3804" s="97" t="str">
        <f ca="1">IF(J3804="","Date",IF(J3804&lt;&gt;"",IF(K3804="Date",NOW(),K3804),""))</f>
        <v>Date</v>
      </c>
    </row>
    <row r="3805" spans="2:11">
      <c r="B3805" s="97" t="str">
        <f ca="1">IF(A3805="","Date",IF(A3805&lt;&gt;"",IF(B3805="Date",NOW(),B3805),""))</f>
        <v>Date</v>
      </c>
      <c r="C3805" s="19" t="str">
        <f>IF(ISBLANK(A3805),"Name",IF(ISNA(VLOOKUP(A3805,'Master List'!A:C,2,FALSE)), "Not Found", VLOOKUP(A3805,'Master List'!A:C,2,FALSE)))</f>
        <v>Name</v>
      </c>
      <c r="D3805" s="19" t="str">
        <f>IF(ISBLANK(A3805), "Email",IF(ISNA(VLOOKUP(A3805,'Master List'!A:C,3,FALSE)), "Not Found", VLOOKUP(A3805,'Master List'!A:C,3,FALSE)))</f>
        <v>Email</v>
      </c>
      <c r="F3805" s="4" t="str">
        <f>IF(OR(A3805="",E3805="","",A3805="?",E3805="?"),"duplicate?",IF(COUNTIFS($A:A,A3805,E:E,E3805)&gt;1,"yes","no"))</f>
        <v>duplicate?</v>
      </c>
      <c r="K3805" s="97" t="str">
        <f ca="1">IF(J3805="","Date",IF(J3805&lt;&gt;"",IF(K3805="Date",NOW(),K3805),""))</f>
        <v>Date</v>
      </c>
    </row>
    <row r="3806" spans="2:11">
      <c r="B3806" s="97" t="str">
        <f ca="1">IF(A3806="","Date",IF(A3806&lt;&gt;"",IF(B3806="Date",NOW(),B3806),""))</f>
        <v>Date</v>
      </c>
      <c r="C3806" s="19" t="str">
        <f>IF(ISBLANK(A3806),"Name",IF(ISNA(VLOOKUP(A3806,'Master List'!A:C,2,FALSE)), "Not Found", VLOOKUP(A3806,'Master List'!A:C,2,FALSE)))</f>
        <v>Name</v>
      </c>
      <c r="D3806" s="19" t="str">
        <f>IF(ISBLANK(A3806), "Email",IF(ISNA(VLOOKUP(A3806,'Master List'!A:C,3,FALSE)), "Not Found", VLOOKUP(A3806,'Master List'!A:C,3,FALSE)))</f>
        <v>Email</v>
      </c>
      <c r="F3806" s="4" t="str">
        <f>IF(OR(A3806="",E3806="","",A3806="?",E3806="?"),"duplicate?",IF(COUNTIFS($A:A,A3806,E:E,E3806)&gt;1,"yes","no"))</f>
        <v>duplicate?</v>
      </c>
      <c r="K3806" s="97" t="str">
        <f ca="1">IF(J3806="","Date",IF(J3806&lt;&gt;"",IF(K3806="Date",NOW(),K3806),""))</f>
        <v>Date</v>
      </c>
    </row>
    <row r="3807" spans="2:11">
      <c r="B3807" s="97" t="str">
        <f ca="1">IF(A3807="","Date",IF(A3807&lt;&gt;"",IF(B3807="Date",NOW(),B3807),""))</f>
        <v>Date</v>
      </c>
      <c r="C3807" s="19" t="str">
        <f>IF(ISBLANK(A3807),"Name",IF(ISNA(VLOOKUP(A3807,'Master List'!A:C,2,FALSE)), "Not Found", VLOOKUP(A3807,'Master List'!A:C,2,FALSE)))</f>
        <v>Name</v>
      </c>
      <c r="D3807" s="19" t="str">
        <f>IF(ISBLANK(A3807), "Email",IF(ISNA(VLOOKUP(A3807,'Master List'!A:C,3,FALSE)), "Not Found", VLOOKUP(A3807,'Master List'!A:C,3,FALSE)))</f>
        <v>Email</v>
      </c>
      <c r="F3807" s="4" t="str">
        <f>IF(OR(A3807="",E3807="","",A3807="?",E3807="?"),"duplicate?",IF(COUNTIFS($A:A,A3807,E:E,E3807)&gt;1,"yes","no"))</f>
        <v>duplicate?</v>
      </c>
      <c r="K3807" s="97" t="str">
        <f ca="1">IF(J3807="","Date",IF(J3807&lt;&gt;"",IF(K3807="Date",NOW(),K3807),""))</f>
        <v>Date</v>
      </c>
    </row>
    <row r="3808" spans="2:11">
      <c r="B3808" s="97" t="str">
        <f ca="1">IF(A3808="","Date",IF(A3808&lt;&gt;"",IF(B3808="Date",NOW(),B3808),""))</f>
        <v>Date</v>
      </c>
      <c r="C3808" s="19" t="str">
        <f>IF(ISBLANK(A3808),"Name",IF(ISNA(VLOOKUP(A3808,'Master List'!A:C,2,FALSE)), "Not Found", VLOOKUP(A3808,'Master List'!A:C,2,FALSE)))</f>
        <v>Name</v>
      </c>
      <c r="D3808" s="19" t="str">
        <f>IF(ISBLANK(A3808), "Email",IF(ISNA(VLOOKUP(A3808,'Master List'!A:C,3,FALSE)), "Not Found", VLOOKUP(A3808,'Master List'!A:C,3,FALSE)))</f>
        <v>Email</v>
      </c>
      <c r="F3808" s="4" t="str">
        <f>IF(OR(A3808="",E3808="","",A3808="?",E3808="?"),"duplicate?",IF(COUNTIFS($A:A,A3808,E:E,E3808)&gt;1,"yes","no"))</f>
        <v>duplicate?</v>
      </c>
      <c r="K3808" s="97" t="str">
        <f ca="1">IF(J3808="","Date",IF(J3808&lt;&gt;"",IF(K3808="Date",NOW(),K3808),""))</f>
        <v>Date</v>
      </c>
    </row>
    <row r="3809" spans="2:11">
      <c r="B3809" s="97" t="str">
        <f ca="1">IF(A3809="","Date",IF(A3809&lt;&gt;"",IF(B3809="Date",NOW(),B3809),""))</f>
        <v>Date</v>
      </c>
      <c r="C3809" s="19" t="str">
        <f>IF(ISBLANK(A3809),"Name",IF(ISNA(VLOOKUP(A3809,'Master List'!A:C,2,FALSE)), "Not Found", VLOOKUP(A3809,'Master List'!A:C,2,FALSE)))</f>
        <v>Name</v>
      </c>
      <c r="D3809" s="19" t="str">
        <f>IF(ISBLANK(A3809), "Email",IF(ISNA(VLOOKUP(A3809,'Master List'!A:C,3,FALSE)), "Not Found", VLOOKUP(A3809,'Master List'!A:C,3,FALSE)))</f>
        <v>Email</v>
      </c>
      <c r="F3809" s="4" t="str">
        <f>IF(OR(A3809="",E3809="","",A3809="?",E3809="?"),"duplicate?",IF(COUNTIFS($A:A,A3809,E:E,E3809)&gt;1,"yes","no"))</f>
        <v>duplicate?</v>
      </c>
      <c r="K3809" s="97" t="str">
        <f ca="1">IF(J3809="","Date",IF(J3809&lt;&gt;"",IF(K3809="Date",NOW(),K3809),""))</f>
        <v>Date</v>
      </c>
    </row>
    <row r="3810" spans="2:11">
      <c r="B3810" s="97" t="str">
        <f ca="1">IF(A3810="","Date",IF(A3810&lt;&gt;"",IF(B3810="Date",NOW(),B3810),""))</f>
        <v>Date</v>
      </c>
      <c r="C3810" s="19" t="str">
        <f>IF(ISBLANK(A3810),"Name",IF(ISNA(VLOOKUP(A3810,'Master List'!A:C,2,FALSE)), "Not Found", VLOOKUP(A3810,'Master List'!A:C,2,FALSE)))</f>
        <v>Name</v>
      </c>
      <c r="D3810" s="19" t="str">
        <f>IF(ISBLANK(A3810), "Email",IF(ISNA(VLOOKUP(A3810,'Master List'!A:C,3,FALSE)), "Not Found", VLOOKUP(A3810,'Master List'!A:C,3,FALSE)))</f>
        <v>Email</v>
      </c>
      <c r="F3810" s="4" t="str">
        <f>IF(OR(A3810="",E3810="","",A3810="?",E3810="?"),"duplicate?",IF(COUNTIFS($A:A,A3810,E:E,E3810)&gt;1,"yes","no"))</f>
        <v>duplicate?</v>
      </c>
      <c r="K3810" s="97" t="str">
        <f ca="1">IF(J3810="","Date",IF(J3810&lt;&gt;"",IF(K3810="Date",NOW(),K3810),""))</f>
        <v>Date</v>
      </c>
    </row>
    <row r="3811" spans="2:11">
      <c r="B3811" s="97" t="str">
        <f ca="1">IF(A3811="","Date",IF(A3811&lt;&gt;"",IF(B3811="Date",NOW(),B3811),""))</f>
        <v>Date</v>
      </c>
      <c r="C3811" s="19" t="str">
        <f>IF(ISBLANK(A3811),"Name",IF(ISNA(VLOOKUP(A3811,'Master List'!A:C,2,FALSE)), "Not Found", VLOOKUP(A3811,'Master List'!A:C,2,FALSE)))</f>
        <v>Name</v>
      </c>
      <c r="D3811" s="19" t="str">
        <f>IF(ISBLANK(A3811), "Email",IF(ISNA(VLOOKUP(A3811,'Master List'!A:C,3,FALSE)), "Not Found", VLOOKUP(A3811,'Master List'!A:C,3,FALSE)))</f>
        <v>Email</v>
      </c>
      <c r="F3811" s="4" t="str">
        <f>IF(OR(A3811="",E3811="","",A3811="?",E3811="?"),"duplicate?",IF(COUNTIFS($A:A,A3811,E:E,E3811)&gt;1,"yes","no"))</f>
        <v>duplicate?</v>
      </c>
      <c r="K3811" s="97" t="str">
        <f ca="1">IF(J3811="","Date",IF(J3811&lt;&gt;"",IF(K3811="Date",NOW(),K3811),""))</f>
        <v>Date</v>
      </c>
    </row>
    <row r="3812" spans="2:11">
      <c r="B3812" s="97" t="str">
        <f ca="1">IF(A3812="","Date",IF(A3812&lt;&gt;"",IF(B3812="Date",NOW(),B3812),""))</f>
        <v>Date</v>
      </c>
      <c r="C3812" s="19" t="str">
        <f>IF(ISBLANK(A3812),"Name",IF(ISNA(VLOOKUP(A3812,'Master List'!A:C,2,FALSE)), "Not Found", VLOOKUP(A3812,'Master List'!A:C,2,FALSE)))</f>
        <v>Name</v>
      </c>
      <c r="D3812" s="19" t="str">
        <f>IF(ISBLANK(A3812), "Email",IF(ISNA(VLOOKUP(A3812,'Master List'!A:C,3,FALSE)), "Not Found", VLOOKUP(A3812,'Master List'!A:C,3,FALSE)))</f>
        <v>Email</v>
      </c>
      <c r="F3812" s="4" t="str">
        <f>IF(OR(A3812="",E3812="","",A3812="?",E3812="?"),"duplicate?",IF(COUNTIFS($A:A,A3812,E:E,E3812)&gt;1,"yes","no"))</f>
        <v>duplicate?</v>
      </c>
      <c r="K3812" s="97" t="str">
        <f ca="1">IF(J3812="","Date",IF(J3812&lt;&gt;"",IF(K3812="Date",NOW(),K3812),""))</f>
        <v>Date</v>
      </c>
    </row>
    <row r="3813" spans="2:11">
      <c r="B3813" s="97" t="str">
        <f ca="1">IF(A3813="","Date",IF(A3813&lt;&gt;"",IF(B3813="Date",NOW(),B3813),""))</f>
        <v>Date</v>
      </c>
      <c r="C3813" s="19" t="str">
        <f>IF(ISBLANK(A3813),"Name",IF(ISNA(VLOOKUP(A3813,'Master List'!A:C,2,FALSE)), "Not Found", VLOOKUP(A3813,'Master List'!A:C,2,FALSE)))</f>
        <v>Name</v>
      </c>
      <c r="D3813" s="19" t="str">
        <f>IF(ISBLANK(A3813), "Email",IF(ISNA(VLOOKUP(A3813,'Master List'!A:C,3,FALSE)), "Not Found", VLOOKUP(A3813,'Master List'!A:C,3,FALSE)))</f>
        <v>Email</v>
      </c>
      <c r="F3813" s="4" t="str">
        <f>IF(OR(A3813="",E3813="","",A3813="?",E3813="?"),"duplicate?",IF(COUNTIFS($A:A,A3813,E:E,E3813)&gt;1,"yes","no"))</f>
        <v>duplicate?</v>
      </c>
      <c r="K3813" s="97" t="str">
        <f ca="1">IF(J3813="","Date",IF(J3813&lt;&gt;"",IF(K3813="Date",NOW(),K3813),""))</f>
        <v>Date</v>
      </c>
    </row>
    <row r="3814" spans="2:11">
      <c r="B3814" s="97" t="str">
        <f ca="1">IF(A3814="","Date",IF(A3814&lt;&gt;"",IF(B3814="Date",NOW(),B3814),""))</f>
        <v>Date</v>
      </c>
      <c r="C3814" s="19" t="str">
        <f>IF(ISBLANK(A3814),"Name",IF(ISNA(VLOOKUP(A3814,'Master List'!A:C,2,FALSE)), "Not Found", VLOOKUP(A3814,'Master List'!A:C,2,FALSE)))</f>
        <v>Name</v>
      </c>
      <c r="D3814" s="19" t="str">
        <f>IF(ISBLANK(A3814), "Email",IF(ISNA(VLOOKUP(A3814,'Master List'!A:C,3,FALSE)), "Not Found", VLOOKUP(A3814,'Master List'!A:C,3,FALSE)))</f>
        <v>Email</v>
      </c>
      <c r="F3814" s="4" t="str">
        <f>IF(OR(A3814="",E3814="","",A3814="?",E3814="?"),"duplicate?",IF(COUNTIFS($A:A,A3814,E:E,E3814)&gt;1,"yes","no"))</f>
        <v>duplicate?</v>
      </c>
      <c r="K3814" s="97" t="str">
        <f ca="1">IF(J3814="","Date",IF(J3814&lt;&gt;"",IF(K3814="Date",NOW(),K3814),""))</f>
        <v>Date</v>
      </c>
    </row>
    <row r="3815" spans="2:11">
      <c r="B3815" s="97" t="str">
        <f ca="1">IF(A3815="","Date",IF(A3815&lt;&gt;"",IF(B3815="Date",NOW(),B3815),""))</f>
        <v>Date</v>
      </c>
      <c r="C3815" s="19" t="str">
        <f>IF(ISBLANK(A3815),"Name",IF(ISNA(VLOOKUP(A3815,'Master List'!A:C,2,FALSE)), "Not Found", VLOOKUP(A3815,'Master List'!A:C,2,FALSE)))</f>
        <v>Name</v>
      </c>
      <c r="D3815" s="19" t="str">
        <f>IF(ISBLANK(A3815), "Email",IF(ISNA(VLOOKUP(A3815,'Master List'!A:C,3,FALSE)), "Not Found", VLOOKUP(A3815,'Master List'!A:C,3,FALSE)))</f>
        <v>Email</v>
      </c>
      <c r="F3815" s="4" t="str">
        <f>IF(OR(A3815="",E3815="","",A3815="?",E3815="?"),"duplicate?",IF(COUNTIFS($A:A,A3815,E:E,E3815)&gt;1,"yes","no"))</f>
        <v>duplicate?</v>
      </c>
      <c r="K3815" s="97" t="str">
        <f ca="1">IF(J3815="","Date",IF(J3815&lt;&gt;"",IF(K3815="Date",NOW(),K3815),""))</f>
        <v>Date</v>
      </c>
    </row>
    <row r="3816" spans="2:11">
      <c r="B3816" s="97" t="str">
        <f ca="1">IF(A3816="","Date",IF(A3816&lt;&gt;"",IF(B3816="Date",NOW(),B3816),""))</f>
        <v>Date</v>
      </c>
      <c r="C3816" s="19" t="str">
        <f>IF(ISBLANK(A3816),"Name",IF(ISNA(VLOOKUP(A3816,'Master List'!A:C,2,FALSE)), "Not Found", VLOOKUP(A3816,'Master List'!A:C,2,FALSE)))</f>
        <v>Name</v>
      </c>
      <c r="D3816" s="19" t="str">
        <f>IF(ISBLANK(A3816), "Email",IF(ISNA(VLOOKUP(A3816,'Master List'!A:C,3,FALSE)), "Not Found", VLOOKUP(A3816,'Master List'!A:C,3,FALSE)))</f>
        <v>Email</v>
      </c>
      <c r="F3816" s="4" t="str">
        <f>IF(OR(A3816="",E3816="","",A3816="?",E3816="?"),"duplicate?",IF(COUNTIFS($A:A,A3816,E:E,E3816)&gt;1,"yes","no"))</f>
        <v>duplicate?</v>
      </c>
      <c r="K3816" s="97" t="str">
        <f ca="1">IF(J3816="","Date",IF(J3816&lt;&gt;"",IF(K3816="Date",NOW(),K3816),""))</f>
        <v>Date</v>
      </c>
    </row>
    <row r="3817" spans="2:11">
      <c r="B3817" s="97" t="str">
        <f ca="1">IF(A3817="","Date",IF(A3817&lt;&gt;"",IF(B3817="Date",NOW(),B3817),""))</f>
        <v>Date</v>
      </c>
      <c r="C3817" s="19" t="str">
        <f>IF(ISBLANK(A3817),"Name",IF(ISNA(VLOOKUP(A3817,'Master List'!A:C,2,FALSE)), "Not Found", VLOOKUP(A3817,'Master List'!A:C,2,FALSE)))</f>
        <v>Name</v>
      </c>
      <c r="D3817" s="19" t="str">
        <f>IF(ISBLANK(A3817), "Email",IF(ISNA(VLOOKUP(A3817,'Master List'!A:C,3,FALSE)), "Not Found", VLOOKUP(A3817,'Master List'!A:C,3,FALSE)))</f>
        <v>Email</v>
      </c>
      <c r="F3817" s="4" t="str">
        <f>IF(OR(A3817="",E3817="","",A3817="?",E3817="?"),"duplicate?",IF(COUNTIFS($A:A,A3817,E:E,E3817)&gt;1,"yes","no"))</f>
        <v>duplicate?</v>
      </c>
      <c r="K3817" s="97" t="str">
        <f ca="1">IF(J3817="","Date",IF(J3817&lt;&gt;"",IF(K3817="Date",NOW(),K3817),""))</f>
        <v>Date</v>
      </c>
    </row>
    <row r="3818" spans="2:11">
      <c r="B3818" s="97" t="str">
        <f ca="1">IF(A3818="","Date",IF(A3818&lt;&gt;"",IF(B3818="Date",NOW(),B3818),""))</f>
        <v>Date</v>
      </c>
      <c r="C3818" s="19" t="str">
        <f>IF(ISBLANK(A3818),"Name",IF(ISNA(VLOOKUP(A3818,'Master List'!A:C,2,FALSE)), "Not Found", VLOOKUP(A3818,'Master List'!A:C,2,FALSE)))</f>
        <v>Name</v>
      </c>
      <c r="D3818" s="19" t="str">
        <f>IF(ISBLANK(A3818), "Email",IF(ISNA(VLOOKUP(A3818,'Master List'!A:C,3,FALSE)), "Not Found", VLOOKUP(A3818,'Master List'!A:C,3,FALSE)))</f>
        <v>Email</v>
      </c>
      <c r="F3818" s="4" t="str">
        <f>IF(OR(A3818="",E3818="","",A3818="?",E3818="?"),"duplicate?",IF(COUNTIFS($A:A,A3818,E:E,E3818)&gt;1,"yes","no"))</f>
        <v>duplicate?</v>
      </c>
      <c r="K3818" s="97" t="str">
        <f ca="1">IF(J3818="","Date",IF(J3818&lt;&gt;"",IF(K3818="Date",NOW(),K3818),""))</f>
        <v>Date</v>
      </c>
    </row>
    <row r="3819" spans="2:11">
      <c r="B3819" s="97" t="str">
        <f ca="1">IF(A3819="","Date",IF(A3819&lt;&gt;"",IF(B3819="Date",NOW(),B3819),""))</f>
        <v>Date</v>
      </c>
      <c r="C3819" s="19" t="str">
        <f>IF(ISBLANK(A3819),"Name",IF(ISNA(VLOOKUP(A3819,'Master List'!A:C,2,FALSE)), "Not Found", VLOOKUP(A3819,'Master List'!A:C,2,FALSE)))</f>
        <v>Name</v>
      </c>
      <c r="D3819" s="19" t="str">
        <f>IF(ISBLANK(A3819), "Email",IF(ISNA(VLOOKUP(A3819,'Master List'!A:C,3,FALSE)), "Not Found", VLOOKUP(A3819,'Master List'!A:C,3,FALSE)))</f>
        <v>Email</v>
      </c>
      <c r="F3819" s="4" t="str">
        <f>IF(OR(A3819="",E3819="","",A3819="?",E3819="?"),"duplicate?",IF(COUNTIFS($A:A,A3819,E:E,E3819)&gt;1,"yes","no"))</f>
        <v>duplicate?</v>
      </c>
      <c r="K3819" s="97" t="str">
        <f ca="1">IF(J3819="","Date",IF(J3819&lt;&gt;"",IF(K3819="Date",NOW(),K3819),""))</f>
        <v>Date</v>
      </c>
    </row>
    <row r="3820" spans="2:11">
      <c r="B3820" s="97" t="str">
        <f ca="1">IF(A3820="","Date",IF(A3820&lt;&gt;"",IF(B3820="Date",NOW(),B3820),""))</f>
        <v>Date</v>
      </c>
      <c r="C3820" s="19" t="str">
        <f>IF(ISBLANK(A3820),"Name",IF(ISNA(VLOOKUP(A3820,'Master List'!A:C,2,FALSE)), "Not Found", VLOOKUP(A3820,'Master List'!A:C,2,FALSE)))</f>
        <v>Name</v>
      </c>
      <c r="D3820" s="19" t="str">
        <f>IF(ISBLANK(A3820), "Email",IF(ISNA(VLOOKUP(A3820,'Master List'!A:C,3,FALSE)), "Not Found", VLOOKUP(A3820,'Master List'!A:C,3,FALSE)))</f>
        <v>Email</v>
      </c>
      <c r="F3820" s="4" t="str">
        <f>IF(OR(A3820="",E3820="","",A3820="?",E3820="?"),"duplicate?",IF(COUNTIFS($A:A,A3820,E:E,E3820)&gt;1,"yes","no"))</f>
        <v>duplicate?</v>
      </c>
      <c r="K3820" s="97" t="str">
        <f ca="1">IF(J3820="","Date",IF(J3820&lt;&gt;"",IF(K3820="Date",NOW(),K3820),""))</f>
        <v>Date</v>
      </c>
    </row>
    <row r="3821" spans="2:11">
      <c r="B3821" s="97" t="str">
        <f ca="1">IF(A3821="","Date",IF(A3821&lt;&gt;"",IF(B3821="Date",NOW(),B3821),""))</f>
        <v>Date</v>
      </c>
      <c r="C3821" s="19" t="str">
        <f>IF(ISBLANK(A3821),"Name",IF(ISNA(VLOOKUP(A3821,'Master List'!A:C,2,FALSE)), "Not Found", VLOOKUP(A3821,'Master List'!A:C,2,FALSE)))</f>
        <v>Name</v>
      </c>
      <c r="D3821" s="19" t="str">
        <f>IF(ISBLANK(A3821), "Email",IF(ISNA(VLOOKUP(A3821,'Master List'!A:C,3,FALSE)), "Not Found", VLOOKUP(A3821,'Master List'!A:C,3,FALSE)))</f>
        <v>Email</v>
      </c>
      <c r="F3821" s="4" t="str">
        <f>IF(OR(A3821="",E3821="","",A3821="?",E3821="?"),"duplicate?",IF(COUNTIFS($A:A,A3821,E:E,E3821)&gt;1,"yes","no"))</f>
        <v>duplicate?</v>
      </c>
      <c r="K3821" s="97" t="str">
        <f ca="1">IF(J3821="","Date",IF(J3821&lt;&gt;"",IF(K3821="Date",NOW(),K3821),""))</f>
        <v>Date</v>
      </c>
    </row>
    <row r="3822" spans="2:11">
      <c r="B3822" s="97" t="str">
        <f ca="1">IF(A3822="","Date",IF(A3822&lt;&gt;"",IF(B3822="Date",NOW(),B3822),""))</f>
        <v>Date</v>
      </c>
      <c r="C3822" s="19" t="str">
        <f>IF(ISBLANK(A3822),"Name",IF(ISNA(VLOOKUP(A3822,'Master List'!A:C,2,FALSE)), "Not Found", VLOOKUP(A3822,'Master List'!A:C,2,FALSE)))</f>
        <v>Name</v>
      </c>
      <c r="D3822" s="19" t="str">
        <f>IF(ISBLANK(A3822), "Email",IF(ISNA(VLOOKUP(A3822,'Master List'!A:C,3,FALSE)), "Not Found", VLOOKUP(A3822,'Master List'!A:C,3,FALSE)))</f>
        <v>Email</v>
      </c>
      <c r="F3822" s="4" t="str">
        <f>IF(OR(A3822="",E3822="","",A3822="?",E3822="?"),"duplicate?",IF(COUNTIFS($A:A,A3822,E:E,E3822)&gt;1,"yes","no"))</f>
        <v>duplicate?</v>
      </c>
      <c r="K3822" s="97" t="str">
        <f ca="1">IF(J3822="","Date",IF(J3822&lt;&gt;"",IF(K3822="Date",NOW(),K3822),""))</f>
        <v>Date</v>
      </c>
    </row>
    <row r="3823" spans="2:11">
      <c r="B3823" s="97" t="str">
        <f ca="1">IF(A3823="","Date",IF(A3823&lt;&gt;"",IF(B3823="Date",NOW(),B3823),""))</f>
        <v>Date</v>
      </c>
      <c r="C3823" s="19" t="str">
        <f>IF(ISBLANK(A3823),"Name",IF(ISNA(VLOOKUP(A3823,'Master List'!A:C,2,FALSE)), "Not Found", VLOOKUP(A3823,'Master List'!A:C,2,FALSE)))</f>
        <v>Name</v>
      </c>
      <c r="D3823" s="19" t="str">
        <f>IF(ISBLANK(A3823), "Email",IF(ISNA(VLOOKUP(A3823,'Master List'!A:C,3,FALSE)), "Not Found", VLOOKUP(A3823,'Master List'!A:C,3,FALSE)))</f>
        <v>Email</v>
      </c>
      <c r="F3823" s="4" t="str">
        <f>IF(OR(A3823="",E3823="","",A3823="?",E3823="?"),"duplicate?",IF(COUNTIFS($A:A,A3823,E:E,E3823)&gt;1,"yes","no"))</f>
        <v>duplicate?</v>
      </c>
      <c r="K3823" s="97" t="str">
        <f ca="1">IF(J3823="","Date",IF(J3823&lt;&gt;"",IF(K3823="Date",NOW(),K3823),""))</f>
        <v>Date</v>
      </c>
    </row>
    <row r="3824" spans="2:11">
      <c r="B3824" s="97" t="str">
        <f ca="1">IF(A3824="","Date",IF(A3824&lt;&gt;"",IF(B3824="Date",NOW(),B3824),""))</f>
        <v>Date</v>
      </c>
      <c r="C3824" s="19" t="str">
        <f>IF(ISBLANK(A3824),"Name",IF(ISNA(VLOOKUP(A3824,'Master List'!A:C,2,FALSE)), "Not Found", VLOOKUP(A3824,'Master List'!A:C,2,FALSE)))</f>
        <v>Name</v>
      </c>
      <c r="D3824" s="19" t="str">
        <f>IF(ISBLANK(A3824), "Email",IF(ISNA(VLOOKUP(A3824,'Master List'!A:C,3,FALSE)), "Not Found", VLOOKUP(A3824,'Master List'!A:C,3,FALSE)))</f>
        <v>Email</v>
      </c>
      <c r="F3824" s="4" t="str">
        <f>IF(OR(A3824="",E3824="","",A3824="?",E3824="?"),"duplicate?",IF(COUNTIFS($A:A,A3824,E:E,E3824)&gt;1,"yes","no"))</f>
        <v>duplicate?</v>
      </c>
      <c r="K3824" s="97" t="str">
        <f ca="1">IF(J3824="","Date",IF(J3824&lt;&gt;"",IF(K3824="Date",NOW(),K3824),""))</f>
        <v>Date</v>
      </c>
    </row>
    <row r="3825" spans="2:11">
      <c r="B3825" s="97" t="str">
        <f ca="1">IF(A3825="","Date",IF(A3825&lt;&gt;"",IF(B3825="Date",NOW(),B3825),""))</f>
        <v>Date</v>
      </c>
      <c r="C3825" s="19" t="str">
        <f>IF(ISBLANK(A3825),"Name",IF(ISNA(VLOOKUP(A3825,'Master List'!A:C,2,FALSE)), "Not Found", VLOOKUP(A3825,'Master List'!A:C,2,FALSE)))</f>
        <v>Name</v>
      </c>
      <c r="D3825" s="19" t="str">
        <f>IF(ISBLANK(A3825), "Email",IF(ISNA(VLOOKUP(A3825,'Master List'!A:C,3,FALSE)), "Not Found", VLOOKUP(A3825,'Master List'!A:C,3,FALSE)))</f>
        <v>Email</v>
      </c>
      <c r="F3825" s="4" t="str">
        <f>IF(OR(A3825="",E3825="","",A3825="?",E3825="?"),"duplicate?",IF(COUNTIFS($A:A,A3825,E:E,E3825)&gt;1,"yes","no"))</f>
        <v>duplicate?</v>
      </c>
      <c r="K3825" s="97" t="str">
        <f ca="1">IF(J3825="","Date",IF(J3825&lt;&gt;"",IF(K3825="Date",NOW(),K3825),""))</f>
        <v>Date</v>
      </c>
    </row>
    <row r="3826" spans="2:11">
      <c r="B3826" s="97" t="str">
        <f ca="1">IF(A3826="","Date",IF(A3826&lt;&gt;"",IF(B3826="Date",NOW(),B3826),""))</f>
        <v>Date</v>
      </c>
      <c r="C3826" s="19" t="str">
        <f>IF(ISBLANK(A3826),"Name",IF(ISNA(VLOOKUP(A3826,'Master List'!A:C,2,FALSE)), "Not Found", VLOOKUP(A3826,'Master List'!A:C,2,FALSE)))</f>
        <v>Name</v>
      </c>
      <c r="D3826" s="19" t="str">
        <f>IF(ISBLANK(A3826), "Email",IF(ISNA(VLOOKUP(A3826,'Master List'!A:C,3,FALSE)), "Not Found", VLOOKUP(A3826,'Master List'!A:C,3,FALSE)))</f>
        <v>Email</v>
      </c>
      <c r="F3826" s="4" t="str">
        <f>IF(OR(A3826="",E3826="","",A3826="?",E3826="?"),"duplicate?",IF(COUNTIFS($A:A,A3826,E:E,E3826)&gt;1,"yes","no"))</f>
        <v>duplicate?</v>
      </c>
      <c r="K3826" s="97" t="str">
        <f ca="1">IF(J3826="","Date",IF(J3826&lt;&gt;"",IF(K3826="Date",NOW(),K3826),""))</f>
        <v>Date</v>
      </c>
    </row>
    <row r="3827" spans="2:11">
      <c r="B3827" s="97" t="str">
        <f ca="1">IF(A3827="","Date",IF(A3827&lt;&gt;"",IF(B3827="Date",NOW(),B3827),""))</f>
        <v>Date</v>
      </c>
      <c r="C3827" s="19" t="str">
        <f>IF(ISBLANK(A3827),"Name",IF(ISNA(VLOOKUP(A3827,'Master List'!A:C,2,FALSE)), "Not Found", VLOOKUP(A3827,'Master List'!A:C,2,FALSE)))</f>
        <v>Name</v>
      </c>
      <c r="D3827" s="19" t="str">
        <f>IF(ISBLANK(A3827), "Email",IF(ISNA(VLOOKUP(A3827,'Master List'!A:C,3,FALSE)), "Not Found", VLOOKUP(A3827,'Master List'!A:C,3,FALSE)))</f>
        <v>Email</v>
      </c>
      <c r="F3827" s="4" t="str">
        <f>IF(OR(A3827="",E3827="","",A3827="?",E3827="?"),"duplicate?",IF(COUNTIFS($A:A,A3827,E:E,E3827)&gt;1,"yes","no"))</f>
        <v>duplicate?</v>
      </c>
      <c r="K3827" s="97" t="str">
        <f ca="1">IF(J3827="","Date",IF(J3827&lt;&gt;"",IF(K3827="Date",NOW(),K3827),""))</f>
        <v>Date</v>
      </c>
    </row>
    <row r="3828" spans="2:11">
      <c r="B3828" s="97" t="str">
        <f ca="1">IF(A3828="","Date",IF(A3828&lt;&gt;"",IF(B3828="Date",NOW(),B3828),""))</f>
        <v>Date</v>
      </c>
      <c r="C3828" s="19" t="str">
        <f>IF(ISBLANK(A3828),"Name",IF(ISNA(VLOOKUP(A3828,'Master List'!A:C,2,FALSE)), "Not Found", VLOOKUP(A3828,'Master List'!A:C,2,FALSE)))</f>
        <v>Name</v>
      </c>
      <c r="D3828" s="19" t="str">
        <f>IF(ISBLANK(A3828), "Email",IF(ISNA(VLOOKUP(A3828,'Master List'!A:C,3,FALSE)), "Not Found", VLOOKUP(A3828,'Master List'!A:C,3,FALSE)))</f>
        <v>Email</v>
      </c>
      <c r="F3828" s="4" t="str">
        <f>IF(OR(A3828="",E3828="","",A3828="?",E3828="?"),"duplicate?",IF(COUNTIFS($A:A,A3828,E:E,E3828)&gt;1,"yes","no"))</f>
        <v>duplicate?</v>
      </c>
      <c r="K3828" s="97" t="str">
        <f ca="1">IF(J3828="","Date",IF(J3828&lt;&gt;"",IF(K3828="Date",NOW(),K3828),""))</f>
        <v>Date</v>
      </c>
    </row>
    <row r="3829" spans="2:11">
      <c r="B3829" s="97" t="str">
        <f ca="1">IF(A3829="","Date",IF(A3829&lt;&gt;"",IF(B3829="Date",NOW(),B3829),""))</f>
        <v>Date</v>
      </c>
      <c r="C3829" s="19" t="str">
        <f>IF(ISBLANK(A3829),"Name",IF(ISNA(VLOOKUP(A3829,'Master List'!A:C,2,FALSE)), "Not Found", VLOOKUP(A3829,'Master List'!A:C,2,FALSE)))</f>
        <v>Name</v>
      </c>
      <c r="D3829" s="19" t="str">
        <f>IF(ISBLANK(A3829), "Email",IF(ISNA(VLOOKUP(A3829,'Master List'!A:C,3,FALSE)), "Not Found", VLOOKUP(A3829,'Master List'!A:C,3,FALSE)))</f>
        <v>Email</v>
      </c>
      <c r="F3829" s="4" t="str">
        <f>IF(OR(A3829="",E3829="","",A3829="?",E3829="?"),"duplicate?",IF(COUNTIFS($A:A,A3829,E:E,E3829)&gt;1,"yes","no"))</f>
        <v>duplicate?</v>
      </c>
      <c r="K3829" s="97" t="str">
        <f ca="1">IF(J3829="","Date",IF(J3829&lt;&gt;"",IF(K3829="Date",NOW(),K3829),""))</f>
        <v>Date</v>
      </c>
    </row>
    <row r="3830" spans="2:11">
      <c r="B3830" s="97" t="str">
        <f ca="1">IF(A3830="","Date",IF(A3830&lt;&gt;"",IF(B3830="Date",NOW(),B3830),""))</f>
        <v>Date</v>
      </c>
      <c r="C3830" s="19" t="str">
        <f>IF(ISBLANK(A3830),"Name",IF(ISNA(VLOOKUP(A3830,'Master List'!A:C,2,FALSE)), "Not Found", VLOOKUP(A3830,'Master List'!A:C,2,FALSE)))</f>
        <v>Name</v>
      </c>
      <c r="D3830" s="19" t="str">
        <f>IF(ISBLANK(A3830), "Email",IF(ISNA(VLOOKUP(A3830,'Master List'!A:C,3,FALSE)), "Not Found", VLOOKUP(A3830,'Master List'!A:C,3,FALSE)))</f>
        <v>Email</v>
      </c>
      <c r="F3830" s="4" t="str">
        <f>IF(OR(A3830="",E3830="","",A3830="?",E3830="?"),"duplicate?",IF(COUNTIFS($A:A,A3830,E:E,E3830)&gt;1,"yes","no"))</f>
        <v>duplicate?</v>
      </c>
      <c r="K3830" s="97" t="str">
        <f ca="1">IF(J3830="","Date",IF(J3830&lt;&gt;"",IF(K3830="Date",NOW(),K3830),""))</f>
        <v>Date</v>
      </c>
    </row>
    <row r="3831" spans="2:11">
      <c r="B3831" s="97" t="str">
        <f ca="1">IF(A3831="","Date",IF(A3831&lt;&gt;"",IF(B3831="Date",NOW(),B3831),""))</f>
        <v>Date</v>
      </c>
      <c r="C3831" s="19" t="str">
        <f>IF(ISBLANK(A3831),"Name",IF(ISNA(VLOOKUP(A3831,'Master List'!A:C,2,FALSE)), "Not Found", VLOOKUP(A3831,'Master List'!A:C,2,FALSE)))</f>
        <v>Name</v>
      </c>
      <c r="D3831" s="19" t="str">
        <f>IF(ISBLANK(A3831), "Email",IF(ISNA(VLOOKUP(A3831,'Master List'!A:C,3,FALSE)), "Not Found", VLOOKUP(A3831,'Master List'!A:C,3,FALSE)))</f>
        <v>Email</v>
      </c>
      <c r="F3831" s="4" t="str">
        <f>IF(OR(A3831="",E3831="","",A3831="?",E3831="?"),"duplicate?",IF(COUNTIFS($A:A,A3831,E:E,E3831)&gt;1,"yes","no"))</f>
        <v>duplicate?</v>
      </c>
      <c r="K3831" s="97" t="str">
        <f ca="1">IF(J3831="","Date",IF(J3831&lt;&gt;"",IF(K3831="Date",NOW(),K3831),""))</f>
        <v>Date</v>
      </c>
    </row>
    <row r="3832" spans="2:11">
      <c r="B3832" s="97" t="str">
        <f ca="1">IF(A3832="","Date",IF(A3832&lt;&gt;"",IF(B3832="Date",NOW(),B3832),""))</f>
        <v>Date</v>
      </c>
      <c r="C3832" s="19" t="str">
        <f>IF(ISBLANK(A3832),"Name",IF(ISNA(VLOOKUP(A3832,'Master List'!A:C,2,FALSE)), "Not Found", VLOOKUP(A3832,'Master List'!A:C,2,FALSE)))</f>
        <v>Name</v>
      </c>
      <c r="D3832" s="19" t="str">
        <f>IF(ISBLANK(A3832), "Email",IF(ISNA(VLOOKUP(A3832,'Master List'!A:C,3,FALSE)), "Not Found", VLOOKUP(A3832,'Master List'!A:C,3,FALSE)))</f>
        <v>Email</v>
      </c>
      <c r="F3832" s="4" t="str">
        <f>IF(OR(A3832="",E3832="","",A3832="?",E3832="?"),"duplicate?",IF(COUNTIFS($A:A,A3832,E:E,E3832)&gt;1,"yes","no"))</f>
        <v>duplicate?</v>
      </c>
      <c r="K3832" s="97" t="str">
        <f ca="1">IF(J3832="","Date",IF(J3832&lt;&gt;"",IF(K3832="Date",NOW(),K3832),""))</f>
        <v>Date</v>
      </c>
    </row>
    <row r="3833" spans="2:11">
      <c r="B3833" s="97" t="str">
        <f ca="1">IF(A3833="","Date",IF(A3833&lt;&gt;"",IF(B3833="Date",NOW(),B3833),""))</f>
        <v>Date</v>
      </c>
      <c r="C3833" s="19" t="str">
        <f>IF(ISBLANK(A3833),"Name",IF(ISNA(VLOOKUP(A3833,'Master List'!A:C,2,FALSE)), "Not Found", VLOOKUP(A3833,'Master List'!A:C,2,FALSE)))</f>
        <v>Name</v>
      </c>
      <c r="D3833" s="19" t="str">
        <f>IF(ISBLANK(A3833), "Email",IF(ISNA(VLOOKUP(A3833,'Master List'!A:C,3,FALSE)), "Not Found", VLOOKUP(A3833,'Master List'!A:C,3,FALSE)))</f>
        <v>Email</v>
      </c>
      <c r="F3833" s="4" t="str">
        <f>IF(OR(A3833="",E3833="","",A3833="?",E3833="?"),"duplicate?",IF(COUNTIFS($A:A,A3833,E:E,E3833)&gt;1,"yes","no"))</f>
        <v>duplicate?</v>
      </c>
      <c r="K3833" s="97" t="str">
        <f ca="1">IF(J3833="","Date",IF(J3833&lt;&gt;"",IF(K3833="Date",NOW(),K3833),""))</f>
        <v>Date</v>
      </c>
    </row>
    <row r="3834" spans="2:11">
      <c r="B3834" s="97" t="str">
        <f ca="1">IF(A3834="","Date",IF(A3834&lt;&gt;"",IF(B3834="Date",NOW(),B3834),""))</f>
        <v>Date</v>
      </c>
      <c r="C3834" s="19" t="str">
        <f>IF(ISBLANK(A3834),"Name",IF(ISNA(VLOOKUP(A3834,'Master List'!A:C,2,FALSE)), "Not Found", VLOOKUP(A3834,'Master List'!A:C,2,FALSE)))</f>
        <v>Name</v>
      </c>
      <c r="D3834" s="19" t="str">
        <f>IF(ISBLANK(A3834), "Email",IF(ISNA(VLOOKUP(A3834,'Master List'!A:C,3,FALSE)), "Not Found", VLOOKUP(A3834,'Master List'!A:C,3,FALSE)))</f>
        <v>Email</v>
      </c>
      <c r="F3834" s="4" t="str">
        <f>IF(OR(A3834="",E3834="","",A3834="?",E3834="?"),"duplicate?",IF(COUNTIFS($A:A,A3834,E:E,E3834)&gt;1,"yes","no"))</f>
        <v>duplicate?</v>
      </c>
      <c r="K3834" s="97" t="str">
        <f ca="1">IF(J3834="","Date",IF(J3834&lt;&gt;"",IF(K3834="Date",NOW(),K3834),""))</f>
        <v>Date</v>
      </c>
    </row>
    <row r="3835" spans="2:11">
      <c r="B3835" s="97" t="str">
        <f ca="1">IF(A3835="","Date",IF(A3835&lt;&gt;"",IF(B3835="Date",NOW(),B3835),""))</f>
        <v>Date</v>
      </c>
      <c r="C3835" s="19" t="str">
        <f>IF(ISBLANK(A3835),"Name",IF(ISNA(VLOOKUP(A3835,'Master List'!A:C,2,FALSE)), "Not Found", VLOOKUP(A3835,'Master List'!A:C,2,FALSE)))</f>
        <v>Name</v>
      </c>
      <c r="D3835" s="19" t="str">
        <f>IF(ISBLANK(A3835), "Email",IF(ISNA(VLOOKUP(A3835,'Master List'!A:C,3,FALSE)), "Not Found", VLOOKUP(A3835,'Master List'!A:C,3,FALSE)))</f>
        <v>Email</v>
      </c>
      <c r="F3835" s="4" t="str">
        <f>IF(OR(A3835="",E3835="","",A3835="?",E3835="?"),"duplicate?",IF(COUNTIFS($A:A,A3835,E:E,E3835)&gt;1,"yes","no"))</f>
        <v>duplicate?</v>
      </c>
      <c r="K3835" s="97" t="str">
        <f ca="1">IF(J3835="","Date",IF(J3835&lt;&gt;"",IF(K3835="Date",NOW(),K3835),""))</f>
        <v>Date</v>
      </c>
    </row>
    <row r="3836" spans="2:11">
      <c r="B3836" s="97" t="str">
        <f ca="1">IF(A3836="","Date",IF(A3836&lt;&gt;"",IF(B3836="Date",NOW(),B3836),""))</f>
        <v>Date</v>
      </c>
      <c r="C3836" s="19" t="str">
        <f>IF(ISBLANK(A3836),"Name",IF(ISNA(VLOOKUP(A3836,'Master List'!A:C,2,FALSE)), "Not Found", VLOOKUP(A3836,'Master List'!A:C,2,FALSE)))</f>
        <v>Name</v>
      </c>
      <c r="D3836" s="19" t="str">
        <f>IF(ISBLANK(A3836), "Email",IF(ISNA(VLOOKUP(A3836,'Master List'!A:C,3,FALSE)), "Not Found", VLOOKUP(A3836,'Master List'!A:C,3,FALSE)))</f>
        <v>Email</v>
      </c>
      <c r="F3836" s="4" t="str">
        <f>IF(OR(A3836="",E3836="","",A3836="?",E3836="?"),"duplicate?",IF(COUNTIFS($A:A,A3836,E:E,E3836)&gt;1,"yes","no"))</f>
        <v>duplicate?</v>
      </c>
      <c r="K3836" s="97" t="str">
        <f ca="1">IF(J3836="","Date",IF(J3836&lt;&gt;"",IF(K3836="Date",NOW(),K3836),""))</f>
        <v>Date</v>
      </c>
    </row>
    <row r="3837" spans="2:11">
      <c r="B3837" s="97" t="str">
        <f ca="1">IF(A3837="","Date",IF(A3837&lt;&gt;"",IF(B3837="Date",NOW(),B3837),""))</f>
        <v>Date</v>
      </c>
      <c r="C3837" s="19" t="str">
        <f>IF(ISBLANK(A3837),"Name",IF(ISNA(VLOOKUP(A3837,'Master List'!A:C,2,FALSE)), "Not Found", VLOOKUP(A3837,'Master List'!A:C,2,FALSE)))</f>
        <v>Name</v>
      </c>
      <c r="D3837" s="19" t="str">
        <f>IF(ISBLANK(A3837), "Email",IF(ISNA(VLOOKUP(A3837,'Master List'!A:C,3,FALSE)), "Not Found", VLOOKUP(A3837,'Master List'!A:C,3,FALSE)))</f>
        <v>Email</v>
      </c>
      <c r="F3837" s="4" t="str">
        <f>IF(OR(A3837="",E3837="","",A3837="?",E3837="?"),"duplicate?",IF(COUNTIFS($A:A,A3837,E:E,E3837)&gt;1,"yes","no"))</f>
        <v>duplicate?</v>
      </c>
      <c r="K3837" s="97" t="str">
        <f ca="1">IF(J3837="","Date",IF(J3837&lt;&gt;"",IF(K3837="Date",NOW(),K3837),""))</f>
        <v>Date</v>
      </c>
    </row>
    <row r="3838" spans="2:11">
      <c r="B3838" s="97" t="str">
        <f ca="1">IF(A3838="","Date",IF(A3838&lt;&gt;"",IF(B3838="Date",NOW(),B3838),""))</f>
        <v>Date</v>
      </c>
      <c r="C3838" s="19" t="str">
        <f>IF(ISBLANK(A3838),"Name",IF(ISNA(VLOOKUP(A3838,'Master List'!A:C,2,FALSE)), "Not Found", VLOOKUP(A3838,'Master List'!A:C,2,FALSE)))</f>
        <v>Name</v>
      </c>
      <c r="D3838" s="19" t="str">
        <f>IF(ISBLANK(A3838), "Email",IF(ISNA(VLOOKUP(A3838,'Master List'!A:C,3,FALSE)), "Not Found", VLOOKUP(A3838,'Master List'!A:C,3,FALSE)))</f>
        <v>Email</v>
      </c>
      <c r="F3838" s="4" t="str">
        <f>IF(OR(A3838="",E3838="","",A3838="?",E3838="?"),"duplicate?",IF(COUNTIFS($A:A,A3838,E:E,E3838)&gt;1,"yes","no"))</f>
        <v>duplicate?</v>
      </c>
      <c r="K3838" s="97" t="str">
        <f ca="1">IF(J3838="","Date",IF(J3838&lt;&gt;"",IF(K3838="Date",NOW(),K3838),""))</f>
        <v>Date</v>
      </c>
    </row>
    <row r="3839" spans="2:11">
      <c r="B3839" s="97" t="str">
        <f ca="1">IF(A3839="","Date",IF(A3839&lt;&gt;"",IF(B3839="Date",NOW(),B3839),""))</f>
        <v>Date</v>
      </c>
      <c r="C3839" s="19" t="str">
        <f>IF(ISBLANK(A3839),"Name",IF(ISNA(VLOOKUP(A3839,'Master List'!A:C,2,FALSE)), "Not Found", VLOOKUP(A3839,'Master List'!A:C,2,FALSE)))</f>
        <v>Name</v>
      </c>
      <c r="D3839" s="19" t="str">
        <f>IF(ISBLANK(A3839), "Email",IF(ISNA(VLOOKUP(A3839,'Master List'!A:C,3,FALSE)), "Not Found", VLOOKUP(A3839,'Master List'!A:C,3,FALSE)))</f>
        <v>Email</v>
      </c>
      <c r="F3839" s="4" t="str">
        <f>IF(OR(A3839="",E3839="","",A3839="?",E3839="?"),"duplicate?",IF(COUNTIFS($A:A,A3839,E:E,E3839)&gt;1,"yes","no"))</f>
        <v>duplicate?</v>
      </c>
      <c r="K3839" s="97" t="str">
        <f ca="1">IF(J3839="","Date",IF(J3839&lt;&gt;"",IF(K3839="Date",NOW(),K3839),""))</f>
        <v>Date</v>
      </c>
    </row>
    <row r="3840" spans="2:11">
      <c r="B3840" s="97" t="str">
        <f ca="1">IF(A3840="","Date",IF(A3840&lt;&gt;"",IF(B3840="Date",NOW(),B3840),""))</f>
        <v>Date</v>
      </c>
      <c r="C3840" s="19" t="str">
        <f>IF(ISBLANK(A3840),"Name",IF(ISNA(VLOOKUP(A3840,'Master List'!A:C,2,FALSE)), "Not Found", VLOOKUP(A3840,'Master List'!A:C,2,FALSE)))</f>
        <v>Name</v>
      </c>
      <c r="D3840" s="19" t="str">
        <f>IF(ISBLANK(A3840), "Email",IF(ISNA(VLOOKUP(A3840,'Master List'!A:C,3,FALSE)), "Not Found", VLOOKUP(A3840,'Master List'!A:C,3,FALSE)))</f>
        <v>Email</v>
      </c>
      <c r="F3840" s="4" t="str">
        <f>IF(OR(A3840="",E3840="","",A3840="?",E3840="?"),"duplicate?",IF(COUNTIFS($A:A,A3840,E:E,E3840)&gt;1,"yes","no"))</f>
        <v>duplicate?</v>
      </c>
      <c r="K3840" s="97" t="str">
        <f ca="1">IF(J3840="","Date",IF(J3840&lt;&gt;"",IF(K3840="Date",NOW(),K3840),""))</f>
        <v>Date</v>
      </c>
    </row>
    <row r="3841" spans="2:11">
      <c r="B3841" s="97" t="str">
        <f ca="1">IF(A3841="","Date",IF(A3841&lt;&gt;"",IF(B3841="Date",NOW(),B3841),""))</f>
        <v>Date</v>
      </c>
      <c r="C3841" s="19" t="str">
        <f>IF(ISBLANK(A3841),"Name",IF(ISNA(VLOOKUP(A3841,'Master List'!A:C,2,FALSE)), "Not Found", VLOOKUP(A3841,'Master List'!A:C,2,FALSE)))</f>
        <v>Name</v>
      </c>
      <c r="D3841" s="19" t="str">
        <f>IF(ISBLANK(A3841), "Email",IF(ISNA(VLOOKUP(A3841,'Master List'!A:C,3,FALSE)), "Not Found", VLOOKUP(A3841,'Master List'!A:C,3,FALSE)))</f>
        <v>Email</v>
      </c>
      <c r="F3841" s="4" t="str">
        <f>IF(OR(A3841="",E3841="","",A3841="?",E3841="?"),"duplicate?",IF(COUNTIFS($A:A,A3841,E:E,E3841)&gt;1,"yes","no"))</f>
        <v>duplicate?</v>
      </c>
      <c r="K3841" s="97" t="str">
        <f ca="1">IF(J3841="","Date",IF(J3841&lt;&gt;"",IF(K3841="Date",NOW(),K3841),""))</f>
        <v>Date</v>
      </c>
    </row>
    <row r="3842" spans="2:11">
      <c r="B3842" s="97" t="str">
        <f ca="1">IF(A3842="","Date",IF(A3842&lt;&gt;"",IF(B3842="Date",NOW(),B3842),""))</f>
        <v>Date</v>
      </c>
      <c r="C3842" s="19" t="str">
        <f>IF(ISBLANK(A3842),"Name",IF(ISNA(VLOOKUP(A3842,'Master List'!A:C,2,FALSE)), "Not Found", VLOOKUP(A3842,'Master List'!A:C,2,FALSE)))</f>
        <v>Name</v>
      </c>
      <c r="D3842" s="19" t="str">
        <f>IF(ISBLANK(A3842), "Email",IF(ISNA(VLOOKUP(A3842,'Master List'!A:C,3,FALSE)), "Not Found", VLOOKUP(A3842,'Master List'!A:C,3,FALSE)))</f>
        <v>Email</v>
      </c>
      <c r="F3842" s="4" t="str">
        <f>IF(OR(A3842="",E3842="","",A3842="?",E3842="?"),"duplicate?",IF(COUNTIFS($A:A,A3842,E:E,E3842)&gt;1,"yes","no"))</f>
        <v>duplicate?</v>
      </c>
      <c r="K3842" s="97" t="str">
        <f ca="1">IF(J3842="","Date",IF(J3842&lt;&gt;"",IF(K3842="Date",NOW(),K3842),""))</f>
        <v>Date</v>
      </c>
    </row>
    <row r="3843" spans="2:11">
      <c r="B3843" s="97" t="str">
        <f ca="1">IF(A3843="","Date",IF(A3843&lt;&gt;"",IF(B3843="Date",NOW(),B3843),""))</f>
        <v>Date</v>
      </c>
      <c r="C3843" s="19" t="str">
        <f>IF(ISBLANK(A3843),"Name",IF(ISNA(VLOOKUP(A3843,'Master List'!A:C,2,FALSE)), "Not Found", VLOOKUP(A3843,'Master List'!A:C,2,FALSE)))</f>
        <v>Name</v>
      </c>
      <c r="D3843" s="19" t="str">
        <f>IF(ISBLANK(A3843), "Email",IF(ISNA(VLOOKUP(A3843,'Master List'!A:C,3,FALSE)), "Not Found", VLOOKUP(A3843,'Master List'!A:C,3,FALSE)))</f>
        <v>Email</v>
      </c>
      <c r="F3843" s="4" t="str">
        <f>IF(OR(A3843="",E3843="","",A3843="?",E3843="?"),"duplicate?",IF(COUNTIFS($A:A,A3843,E:E,E3843)&gt;1,"yes","no"))</f>
        <v>duplicate?</v>
      </c>
      <c r="K3843" s="97" t="str">
        <f ca="1">IF(J3843="","Date",IF(J3843&lt;&gt;"",IF(K3843="Date",NOW(),K3843),""))</f>
        <v>Date</v>
      </c>
    </row>
    <row r="3844" spans="2:11">
      <c r="B3844" s="97" t="str">
        <f ca="1">IF(A3844="","Date",IF(A3844&lt;&gt;"",IF(B3844="Date",NOW(),B3844),""))</f>
        <v>Date</v>
      </c>
      <c r="C3844" s="19" t="str">
        <f>IF(ISBLANK(A3844),"Name",IF(ISNA(VLOOKUP(A3844,'Master List'!A:C,2,FALSE)), "Not Found", VLOOKUP(A3844,'Master List'!A:C,2,FALSE)))</f>
        <v>Name</v>
      </c>
      <c r="D3844" s="19" t="str">
        <f>IF(ISBLANK(A3844), "Email",IF(ISNA(VLOOKUP(A3844,'Master List'!A:C,3,FALSE)), "Not Found", VLOOKUP(A3844,'Master List'!A:C,3,FALSE)))</f>
        <v>Email</v>
      </c>
      <c r="F3844" s="4" t="str">
        <f>IF(OR(A3844="",E3844="","",A3844="?",E3844="?"),"duplicate?",IF(COUNTIFS($A:A,A3844,E:E,E3844)&gt;1,"yes","no"))</f>
        <v>duplicate?</v>
      </c>
      <c r="K3844" s="97" t="str">
        <f ca="1">IF(J3844="","Date",IF(J3844&lt;&gt;"",IF(K3844="Date",NOW(),K3844),""))</f>
        <v>Date</v>
      </c>
    </row>
    <row r="3845" spans="2:11">
      <c r="B3845" s="97" t="str">
        <f ca="1">IF(A3845="","Date",IF(A3845&lt;&gt;"",IF(B3845="Date",NOW(),B3845),""))</f>
        <v>Date</v>
      </c>
      <c r="C3845" s="19" t="str">
        <f>IF(ISBLANK(A3845),"Name",IF(ISNA(VLOOKUP(A3845,'Master List'!A:C,2,FALSE)), "Not Found", VLOOKUP(A3845,'Master List'!A:C,2,FALSE)))</f>
        <v>Name</v>
      </c>
      <c r="D3845" s="19" t="str">
        <f>IF(ISBLANK(A3845), "Email",IF(ISNA(VLOOKUP(A3845,'Master List'!A:C,3,FALSE)), "Not Found", VLOOKUP(A3845,'Master List'!A:C,3,FALSE)))</f>
        <v>Email</v>
      </c>
      <c r="F3845" s="4" t="str">
        <f>IF(OR(A3845="",E3845="","",A3845="?",E3845="?"),"duplicate?",IF(COUNTIFS($A:A,A3845,E:E,E3845)&gt;1,"yes","no"))</f>
        <v>duplicate?</v>
      </c>
      <c r="K3845" s="97" t="str">
        <f ca="1">IF(J3845="","Date",IF(J3845&lt;&gt;"",IF(K3845="Date",NOW(),K3845),""))</f>
        <v>Date</v>
      </c>
    </row>
    <row r="3846" spans="2:11">
      <c r="B3846" s="97" t="str">
        <f ca="1">IF(A3846="","Date",IF(A3846&lt;&gt;"",IF(B3846="Date",NOW(),B3846),""))</f>
        <v>Date</v>
      </c>
      <c r="C3846" s="19" t="str">
        <f>IF(ISBLANK(A3846),"Name",IF(ISNA(VLOOKUP(A3846,'Master List'!A:C,2,FALSE)), "Not Found", VLOOKUP(A3846,'Master List'!A:C,2,FALSE)))</f>
        <v>Name</v>
      </c>
      <c r="D3846" s="19" t="str">
        <f>IF(ISBLANK(A3846), "Email",IF(ISNA(VLOOKUP(A3846,'Master List'!A:C,3,FALSE)), "Not Found", VLOOKUP(A3846,'Master List'!A:C,3,FALSE)))</f>
        <v>Email</v>
      </c>
      <c r="F3846" s="4" t="str">
        <f>IF(OR(A3846="",E3846="","",A3846="?",E3846="?"),"duplicate?",IF(COUNTIFS($A:A,A3846,E:E,E3846)&gt;1,"yes","no"))</f>
        <v>duplicate?</v>
      </c>
      <c r="K3846" s="97" t="str">
        <f ca="1">IF(J3846="","Date",IF(J3846&lt;&gt;"",IF(K3846="Date",NOW(),K3846),""))</f>
        <v>Date</v>
      </c>
    </row>
    <row r="3847" spans="2:11">
      <c r="B3847" s="97" t="str">
        <f ca="1">IF(A3847="","Date",IF(A3847&lt;&gt;"",IF(B3847="Date",NOW(),B3847),""))</f>
        <v>Date</v>
      </c>
      <c r="C3847" s="19" t="str">
        <f>IF(ISBLANK(A3847),"Name",IF(ISNA(VLOOKUP(A3847,'Master List'!A:C,2,FALSE)), "Not Found", VLOOKUP(A3847,'Master List'!A:C,2,FALSE)))</f>
        <v>Name</v>
      </c>
      <c r="D3847" s="19" t="str">
        <f>IF(ISBLANK(A3847), "Email",IF(ISNA(VLOOKUP(A3847,'Master List'!A:C,3,FALSE)), "Not Found", VLOOKUP(A3847,'Master List'!A:C,3,FALSE)))</f>
        <v>Email</v>
      </c>
      <c r="F3847" s="4" t="str">
        <f>IF(OR(A3847="",E3847="","",A3847="?",E3847="?"),"duplicate?",IF(COUNTIFS($A:A,A3847,E:E,E3847)&gt;1,"yes","no"))</f>
        <v>duplicate?</v>
      </c>
      <c r="K3847" s="97" t="str">
        <f ca="1">IF(J3847="","Date",IF(J3847&lt;&gt;"",IF(K3847="Date",NOW(),K3847),""))</f>
        <v>Date</v>
      </c>
    </row>
    <row r="3848" spans="2:11">
      <c r="B3848" s="97" t="str">
        <f ca="1">IF(A3848="","Date",IF(A3848&lt;&gt;"",IF(B3848="Date",NOW(),B3848),""))</f>
        <v>Date</v>
      </c>
      <c r="C3848" s="19" t="str">
        <f>IF(ISBLANK(A3848),"Name",IF(ISNA(VLOOKUP(A3848,'Master List'!A:C,2,FALSE)), "Not Found", VLOOKUP(A3848,'Master List'!A:C,2,FALSE)))</f>
        <v>Name</v>
      </c>
      <c r="D3848" s="19" t="str">
        <f>IF(ISBLANK(A3848), "Email",IF(ISNA(VLOOKUP(A3848,'Master List'!A:C,3,FALSE)), "Not Found", VLOOKUP(A3848,'Master List'!A:C,3,FALSE)))</f>
        <v>Email</v>
      </c>
      <c r="F3848" s="4" t="str">
        <f>IF(OR(A3848="",E3848="","",A3848="?",E3848="?"),"duplicate?",IF(COUNTIFS($A:A,A3848,E:E,E3848)&gt;1,"yes","no"))</f>
        <v>duplicate?</v>
      </c>
      <c r="K3848" s="97" t="str">
        <f ca="1">IF(J3848="","Date",IF(J3848&lt;&gt;"",IF(K3848="Date",NOW(),K3848),""))</f>
        <v>Date</v>
      </c>
    </row>
    <row r="3849" spans="2:11">
      <c r="B3849" s="97" t="str">
        <f ca="1">IF(A3849="","Date",IF(A3849&lt;&gt;"",IF(B3849="Date",NOW(),B3849),""))</f>
        <v>Date</v>
      </c>
      <c r="C3849" s="19" t="str">
        <f>IF(ISBLANK(A3849),"Name",IF(ISNA(VLOOKUP(A3849,'Master List'!A:C,2,FALSE)), "Not Found", VLOOKUP(A3849,'Master List'!A:C,2,FALSE)))</f>
        <v>Name</v>
      </c>
      <c r="D3849" s="19" t="str">
        <f>IF(ISBLANK(A3849), "Email",IF(ISNA(VLOOKUP(A3849,'Master List'!A:C,3,FALSE)), "Not Found", VLOOKUP(A3849,'Master List'!A:C,3,FALSE)))</f>
        <v>Email</v>
      </c>
      <c r="F3849" s="4" t="str">
        <f>IF(OR(A3849="",E3849="","",A3849="?",E3849="?"),"duplicate?",IF(COUNTIFS($A:A,A3849,E:E,E3849)&gt;1,"yes","no"))</f>
        <v>duplicate?</v>
      </c>
      <c r="K3849" s="97" t="str">
        <f ca="1">IF(J3849="","Date",IF(J3849&lt;&gt;"",IF(K3849="Date",NOW(),K3849),""))</f>
        <v>Date</v>
      </c>
    </row>
    <row r="3850" spans="2:11">
      <c r="B3850" s="97" t="str">
        <f ca="1">IF(A3850="","Date",IF(A3850&lt;&gt;"",IF(B3850="Date",NOW(),B3850),""))</f>
        <v>Date</v>
      </c>
      <c r="C3850" s="19" t="str">
        <f>IF(ISBLANK(A3850),"Name",IF(ISNA(VLOOKUP(A3850,'Master List'!A:C,2,FALSE)), "Not Found", VLOOKUP(A3850,'Master List'!A:C,2,FALSE)))</f>
        <v>Name</v>
      </c>
      <c r="D3850" s="19" t="str">
        <f>IF(ISBLANK(A3850), "Email",IF(ISNA(VLOOKUP(A3850,'Master List'!A:C,3,FALSE)), "Not Found", VLOOKUP(A3850,'Master List'!A:C,3,FALSE)))</f>
        <v>Email</v>
      </c>
      <c r="F3850" s="4" t="str">
        <f>IF(OR(A3850="",E3850="","",A3850="?",E3850="?"),"duplicate?",IF(COUNTIFS($A:A,A3850,E:E,E3850)&gt;1,"yes","no"))</f>
        <v>duplicate?</v>
      </c>
      <c r="K3850" s="97" t="str">
        <f ca="1">IF(J3850="","Date",IF(J3850&lt;&gt;"",IF(K3850="Date",NOW(),K3850),""))</f>
        <v>Date</v>
      </c>
    </row>
    <row r="3851" spans="2:11">
      <c r="B3851" s="97" t="str">
        <f ca="1">IF(A3851="","Date",IF(A3851&lt;&gt;"",IF(B3851="Date",NOW(),B3851),""))</f>
        <v>Date</v>
      </c>
      <c r="C3851" s="19" t="str">
        <f>IF(ISBLANK(A3851),"Name",IF(ISNA(VLOOKUP(A3851,'Master List'!A:C,2,FALSE)), "Not Found", VLOOKUP(A3851,'Master List'!A:C,2,FALSE)))</f>
        <v>Name</v>
      </c>
      <c r="D3851" s="19" t="str">
        <f>IF(ISBLANK(A3851), "Email",IF(ISNA(VLOOKUP(A3851,'Master List'!A:C,3,FALSE)), "Not Found", VLOOKUP(A3851,'Master List'!A:C,3,FALSE)))</f>
        <v>Email</v>
      </c>
      <c r="F3851" s="4" t="str">
        <f>IF(OR(A3851="",E3851="","",A3851="?",E3851="?"),"duplicate?",IF(COUNTIFS($A:A,A3851,E:E,E3851)&gt;1,"yes","no"))</f>
        <v>duplicate?</v>
      </c>
      <c r="K3851" s="97" t="str">
        <f ca="1">IF(J3851="","Date",IF(J3851&lt;&gt;"",IF(K3851="Date",NOW(),K3851),""))</f>
        <v>Date</v>
      </c>
    </row>
    <row r="3852" spans="2:11">
      <c r="B3852" s="97" t="str">
        <f ca="1">IF(A3852="","Date",IF(A3852&lt;&gt;"",IF(B3852="Date",NOW(),B3852),""))</f>
        <v>Date</v>
      </c>
      <c r="C3852" s="19" t="str">
        <f>IF(ISBLANK(A3852),"Name",IF(ISNA(VLOOKUP(A3852,'Master List'!A:C,2,FALSE)), "Not Found", VLOOKUP(A3852,'Master List'!A:C,2,FALSE)))</f>
        <v>Name</v>
      </c>
      <c r="D3852" s="19" t="str">
        <f>IF(ISBLANK(A3852), "Email",IF(ISNA(VLOOKUP(A3852,'Master List'!A:C,3,FALSE)), "Not Found", VLOOKUP(A3852,'Master List'!A:C,3,FALSE)))</f>
        <v>Email</v>
      </c>
      <c r="F3852" s="4" t="str">
        <f>IF(OR(A3852="",E3852="","",A3852="?",E3852="?"),"duplicate?",IF(COUNTIFS($A:A,A3852,E:E,E3852)&gt;1,"yes","no"))</f>
        <v>duplicate?</v>
      </c>
      <c r="K3852" s="97" t="str">
        <f ca="1">IF(J3852="","Date",IF(J3852&lt;&gt;"",IF(K3852="Date",NOW(),K3852),""))</f>
        <v>Date</v>
      </c>
    </row>
    <row r="3853" spans="2:11">
      <c r="B3853" s="97" t="str">
        <f ca="1">IF(A3853="","Date",IF(A3853&lt;&gt;"",IF(B3853="Date",NOW(),B3853),""))</f>
        <v>Date</v>
      </c>
      <c r="C3853" s="19" t="str">
        <f>IF(ISBLANK(A3853),"Name",IF(ISNA(VLOOKUP(A3853,'Master List'!A:C,2,FALSE)), "Not Found", VLOOKUP(A3853,'Master List'!A:C,2,FALSE)))</f>
        <v>Name</v>
      </c>
      <c r="D3853" s="19" t="str">
        <f>IF(ISBLANK(A3853), "Email",IF(ISNA(VLOOKUP(A3853,'Master List'!A:C,3,FALSE)), "Not Found", VLOOKUP(A3853,'Master List'!A:C,3,FALSE)))</f>
        <v>Email</v>
      </c>
      <c r="F3853" s="4" t="str">
        <f>IF(OR(A3853="",E3853="","",A3853="?",E3853="?"),"duplicate?",IF(COUNTIFS($A:A,A3853,E:E,E3853)&gt;1,"yes","no"))</f>
        <v>duplicate?</v>
      </c>
      <c r="K3853" s="97" t="str">
        <f ca="1">IF(J3853="","Date",IF(J3853&lt;&gt;"",IF(K3853="Date",NOW(),K3853),""))</f>
        <v>Date</v>
      </c>
    </row>
    <row r="3854" spans="2:11">
      <c r="B3854" s="97" t="str">
        <f ca="1">IF(A3854="","Date",IF(A3854&lt;&gt;"",IF(B3854="Date",NOW(),B3854),""))</f>
        <v>Date</v>
      </c>
      <c r="C3854" s="19" t="str">
        <f>IF(ISBLANK(A3854),"Name",IF(ISNA(VLOOKUP(A3854,'Master List'!A:C,2,FALSE)), "Not Found", VLOOKUP(A3854,'Master List'!A:C,2,FALSE)))</f>
        <v>Name</v>
      </c>
      <c r="D3854" s="19" t="str">
        <f>IF(ISBLANK(A3854), "Email",IF(ISNA(VLOOKUP(A3854,'Master List'!A:C,3,FALSE)), "Not Found", VLOOKUP(A3854,'Master List'!A:C,3,FALSE)))</f>
        <v>Email</v>
      </c>
      <c r="F3854" s="4" t="str">
        <f>IF(OR(A3854="",E3854="","",A3854="?",E3854="?"),"duplicate?",IF(COUNTIFS($A:A,A3854,E:E,E3854)&gt;1,"yes","no"))</f>
        <v>duplicate?</v>
      </c>
      <c r="K3854" s="97" t="str">
        <f ca="1">IF(J3854="","Date",IF(J3854&lt;&gt;"",IF(K3854="Date",NOW(),K3854),""))</f>
        <v>Date</v>
      </c>
    </row>
    <row r="3855" spans="2:11">
      <c r="B3855" s="97" t="str">
        <f ca="1">IF(A3855="","Date",IF(A3855&lt;&gt;"",IF(B3855="Date",NOW(),B3855),""))</f>
        <v>Date</v>
      </c>
      <c r="C3855" s="19" t="str">
        <f>IF(ISBLANK(A3855),"Name",IF(ISNA(VLOOKUP(A3855,'Master List'!A:C,2,FALSE)), "Not Found", VLOOKUP(A3855,'Master List'!A:C,2,FALSE)))</f>
        <v>Name</v>
      </c>
      <c r="D3855" s="19" t="str">
        <f>IF(ISBLANK(A3855), "Email",IF(ISNA(VLOOKUP(A3855,'Master List'!A:C,3,FALSE)), "Not Found", VLOOKUP(A3855,'Master List'!A:C,3,FALSE)))</f>
        <v>Email</v>
      </c>
      <c r="F3855" s="4" t="str">
        <f>IF(OR(A3855="",E3855="","",A3855="?",E3855="?"),"duplicate?",IF(COUNTIFS($A:A,A3855,E:E,E3855)&gt;1,"yes","no"))</f>
        <v>duplicate?</v>
      </c>
      <c r="K3855" s="97" t="str">
        <f ca="1">IF(J3855="","Date",IF(J3855&lt;&gt;"",IF(K3855="Date",NOW(),K3855),""))</f>
        <v>Date</v>
      </c>
    </row>
    <row r="3856" spans="2:11">
      <c r="B3856" s="97" t="str">
        <f ca="1">IF(A3856="","Date",IF(A3856&lt;&gt;"",IF(B3856="Date",NOW(),B3856),""))</f>
        <v>Date</v>
      </c>
      <c r="C3856" s="19" t="str">
        <f>IF(ISBLANK(A3856),"Name",IF(ISNA(VLOOKUP(A3856,'Master List'!A:C,2,FALSE)), "Not Found", VLOOKUP(A3856,'Master List'!A:C,2,FALSE)))</f>
        <v>Name</v>
      </c>
      <c r="D3856" s="19" t="str">
        <f>IF(ISBLANK(A3856), "Email",IF(ISNA(VLOOKUP(A3856,'Master List'!A:C,3,FALSE)), "Not Found", VLOOKUP(A3856,'Master List'!A:C,3,FALSE)))</f>
        <v>Email</v>
      </c>
      <c r="F3856" s="4" t="str">
        <f>IF(OR(A3856="",E3856="","",A3856="?",E3856="?"),"duplicate?",IF(COUNTIFS($A:A,A3856,E:E,E3856)&gt;1,"yes","no"))</f>
        <v>duplicate?</v>
      </c>
      <c r="K3856" s="97" t="str">
        <f ca="1">IF(J3856="","Date",IF(J3856&lt;&gt;"",IF(K3856="Date",NOW(),K3856),""))</f>
        <v>Date</v>
      </c>
    </row>
    <row r="3857" spans="2:11">
      <c r="B3857" s="97" t="str">
        <f ca="1">IF(A3857="","Date",IF(A3857&lt;&gt;"",IF(B3857="Date",NOW(),B3857),""))</f>
        <v>Date</v>
      </c>
      <c r="C3857" s="19" t="str">
        <f>IF(ISBLANK(A3857),"Name",IF(ISNA(VLOOKUP(A3857,'Master List'!A:C,2,FALSE)), "Not Found", VLOOKUP(A3857,'Master List'!A:C,2,FALSE)))</f>
        <v>Name</v>
      </c>
      <c r="D3857" s="19" t="str">
        <f>IF(ISBLANK(A3857), "Email",IF(ISNA(VLOOKUP(A3857,'Master List'!A:C,3,FALSE)), "Not Found", VLOOKUP(A3857,'Master List'!A:C,3,FALSE)))</f>
        <v>Email</v>
      </c>
      <c r="F3857" s="4" t="str">
        <f>IF(OR(A3857="",E3857="","",A3857="?",E3857="?"),"duplicate?",IF(COUNTIFS($A:A,A3857,E:E,E3857)&gt;1,"yes","no"))</f>
        <v>duplicate?</v>
      </c>
      <c r="K3857" s="97" t="str">
        <f ca="1">IF(J3857="","Date",IF(J3857&lt;&gt;"",IF(K3857="Date",NOW(),K3857),""))</f>
        <v>Date</v>
      </c>
    </row>
    <row r="3858" spans="2:11">
      <c r="B3858" s="97" t="str">
        <f ca="1">IF(A3858="","Date",IF(A3858&lt;&gt;"",IF(B3858="Date",NOW(),B3858),""))</f>
        <v>Date</v>
      </c>
      <c r="C3858" s="19" t="str">
        <f>IF(ISBLANK(A3858),"Name",IF(ISNA(VLOOKUP(A3858,'Master List'!A:C,2,FALSE)), "Not Found", VLOOKUP(A3858,'Master List'!A:C,2,FALSE)))</f>
        <v>Name</v>
      </c>
      <c r="D3858" s="19" t="str">
        <f>IF(ISBLANK(A3858), "Email",IF(ISNA(VLOOKUP(A3858,'Master List'!A:C,3,FALSE)), "Not Found", VLOOKUP(A3858,'Master List'!A:C,3,FALSE)))</f>
        <v>Email</v>
      </c>
      <c r="F3858" s="4" t="str">
        <f>IF(OR(A3858="",E3858="","",A3858="?",E3858="?"),"duplicate?",IF(COUNTIFS($A:A,A3858,E:E,E3858)&gt;1,"yes","no"))</f>
        <v>duplicate?</v>
      </c>
      <c r="K3858" s="97" t="str">
        <f ca="1">IF(J3858="","Date",IF(J3858&lt;&gt;"",IF(K3858="Date",NOW(),K3858),""))</f>
        <v>Date</v>
      </c>
    </row>
    <row r="3859" spans="2:11">
      <c r="B3859" s="97" t="str">
        <f ca="1">IF(A3859="","Date",IF(A3859&lt;&gt;"",IF(B3859="Date",NOW(),B3859),""))</f>
        <v>Date</v>
      </c>
      <c r="C3859" s="19" t="str">
        <f>IF(ISBLANK(A3859),"Name",IF(ISNA(VLOOKUP(A3859,'Master List'!A:C,2,FALSE)), "Not Found", VLOOKUP(A3859,'Master List'!A:C,2,FALSE)))</f>
        <v>Name</v>
      </c>
      <c r="D3859" s="19" t="str">
        <f>IF(ISBLANK(A3859), "Email",IF(ISNA(VLOOKUP(A3859,'Master List'!A:C,3,FALSE)), "Not Found", VLOOKUP(A3859,'Master List'!A:C,3,FALSE)))</f>
        <v>Email</v>
      </c>
      <c r="F3859" s="4" t="str">
        <f>IF(OR(A3859="",E3859="","",A3859="?",E3859="?"),"duplicate?",IF(COUNTIFS($A:A,A3859,E:E,E3859)&gt;1,"yes","no"))</f>
        <v>duplicate?</v>
      </c>
      <c r="K3859" s="97" t="str">
        <f ca="1">IF(J3859="","Date",IF(J3859&lt;&gt;"",IF(K3859="Date",NOW(),K3859),""))</f>
        <v>Date</v>
      </c>
    </row>
    <row r="3860" spans="2:11">
      <c r="B3860" s="97" t="str">
        <f ca="1">IF(A3860="","Date",IF(A3860&lt;&gt;"",IF(B3860="Date",NOW(),B3860),""))</f>
        <v>Date</v>
      </c>
      <c r="C3860" s="19" t="str">
        <f>IF(ISBLANK(A3860),"Name",IF(ISNA(VLOOKUP(A3860,'Master List'!A:C,2,FALSE)), "Not Found", VLOOKUP(A3860,'Master List'!A:C,2,FALSE)))</f>
        <v>Name</v>
      </c>
      <c r="D3860" s="19" t="str">
        <f>IF(ISBLANK(A3860), "Email",IF(ISNA(VLOOKUP(A3860,'Master List'!A:C,3,FALSE)), "Not Found", VLOOKUP(A3860,'Master List'!A:C,3,FALSE)))</f>
        <v>Email</v>
      </c>
      <c r="F3860" s="4" t="str">
        <f>IF(OR(A3860="",E3860="","",A3860="?",E3860="?"),"duplicate?",IF(COUNTIFS($A:A,A3860,E:E,E3860)&gt;1,"yes","no"))</f>
        <v>duplicate?</v>
      </c>
      <c r="K3860" s="97" t="str">
        <f ca="1">IF(J3860="","Date",IF(J3860&lt;&gt;"",IF(K3860="Date",NOW(),K3860),""))</f>
        <v>Date</v>
      </c>
    </row>
    <row r="3861" spans="2:11">
      <c r="B3861" s="97" t="str">
        <f ca="1">IF(A3861="","Date",IF(A3861&lt;&gt;"",IF(B3861="Date",NOW(),B3861),""))</f>
        <v>Date</v>
      </c>
      <c r="C3861" s="19" t="str">
        <f>IF(ISBLANK(A3861),"Name",IF(ISNA(VLOOKUP(A3861,'Master List'!A:C,2,FALSE)), "Not Found", VLOOKUP(A3861,'Master List'!A:C,2,FALSE)))</f>
        <v>Name</v>
      </c>
      <c r="D3861" s="19" t="str">
        <f>IF(ISBLANK(A3861), "Email",IF(ISNA(VLOOKUP(A3861,'Master List'!A:C,3,FALSE)), "Not Found", VLOOKUP(A3861,'Master List'!A:C,3,FALSE)))</f>
        <v>Email</v>
      </c>
      <c r="F3861" s="4" t="str">
        <f>IF(OR(A3861="",E3861="","",A3861="?",E3861="?"),"duplicate?",IF(COUNTIFS($A:A,A3861,E:E,E3861)&gt;1,"yes","no"))</f>
        <v>duplicate?</v>
      </c>
      <c r="K3861" s="97" t="str">
        <f ca="1">IF(J3861="","Date",IF(J3861&lt;&gt;"",IF(K3861="Date",NOW(),K3861),""))</f>
        <v>Date</v>
      </c>
    </row>
    <row r="3862" spans="2:11">
      <c r="B3862" s="97" t="str">
        <f ca="1">IF(A3862="","Date",IF(A3862&lt;&gt;"",IF(B3862="Date",NOW(),B3862),""))</f>
        <v>Date</v>
      </c>
      <c r="C3862" s="19" t="str">
        <f>IF(ISBLANK(A3862),"Name",IF(ISNA(VLOOKUP(A3862,'Master List'!A:C,2,FALSE)), "Not Found", VLOOKUP(A3862,'Master List'!A:C,2,FALSE)))</f>
        <v>Name</v>
      </c>
      <c r="D3862" s="19" t="str">
        <f>IF(ISBLANK(A3862), "Email",IF(ISNA(VLOOKUP(A3862,'Master List'!A:C,3,FALSE)), "Not Found", VLOOKUP(A3862,'Master List'!A:C,3,FALSE)))</f>
        <v>Email</v>
      </c>
      <c r="F3862" s="4" t="str">
        <f>IF(OR(A3862="",E3862="","",A3862="?",E3862="?"),"duplicate?",IF(COUNTIFS($A:A,A3862,E:E,E3862)&gt;1,"yes","no"))</f>
        <v>duplicate?</v>
      </c>
      <c r="K3862" s="97" t="str">
        <f ca="1">IF(J3862="","Date",IF(J3862&lt;&gt;"",IF(K3862="Date",NOW(),K3862),""))</f>
        <v>Date</v>
      </c>
    </row>
    <row r="3863" spans="2:11">
      <c r="B3863" s="97" t="str">
        <f ca="1">IF(A3863="","Date",IF(A3863&lt;&gt;"",IF(B3863="Date",NOW(),B3863),""))</f>
        <v>Date</v>
      </c>
      <c r="C3863" s="19" t="str">
        <f>IF(ISBLANK(A3863),"Name",IF(ISNA(VLOOKUP(A3863,'Master List'!A:C,2,FALSE)), "Not Found", VLOOKUP(A3863,'Master List'!A:C,2,FALSE)))</f>
        <v>Name</v>
      </c>
      <c r="D3863" s="19" t="str">
        <f>IF(ISBLANK(A3863), "Email",IF(ISNA(VLOOKUP(A3863,'Master List'!A:C,3,FALSE)), "Not Found", VLOOKUP(A3863,'Master List'!A:C,3,FALSE)))</f>
        <v>Email</v>
      </c>
      <c r="F3863" s="4" t="str">
        <f>IF(OR(A3863="",E3863="","",A3863="?",E3863="?"),"duplicate?",IF(COUNTIFS($A:A,A3863,E:E,E3863)&gt;1,"yes","no"))</f>
        <v>duplicate?</v>
      </c>
      <c r="K3863" s="97" t="str">
        <f ca="1">IF(J3863="","Date",IF(J3863&lt;&gt;"",IF(K3863="Date",NOW(),K3863),""))</f>
        <v>Date</v>
      </c>
    </row>
    <row r="3864" spans="2:11">
      <c r="B3864" s="97" t="str">
        <f ca="1">IF(A3864="","Date",IF(A3864&lt;&gt;"",IF(B3864="Date",NOW(),B3864),""))</f>
        <v>Date</v>
      </c>
      <c r="C3864" s="19" t="str">
        <f>IF(ISBLANK(A3864),"Name",IF(ISNA(VLOOKUP(A3864,'Master List'!A:C,2,FALSE)), "Not Found", VLOOKUP(A3864,'Master List'!A:C,2,FALSE)))</f>
        <v>Name</v>
      </c>
      <c r="D3864" s="19" t="str">
        <f>IF(ISBLANK(A3864), "Email",IF(ISNA(VLOOKUP(A3864,'Master List'!A:C,3,FALSE)), "Not Found", VLOOKUP(A3864,'Master List'!A:C,3,FALSE)))</f>
        <v>Email</v>
      </c>
      <c r="F3864" s="4" t="str">
        <f>IF(OR(A3864="",E3864="","",A3864="?",E3864="?"),"duplicate?",IF(COUNTIFS($A:A,A3864,E:E,E3864)&gt;1,"yes","no"))</f>
        <v>duplicate?</v>
      </c>
      <c r="K3864" s="97" t="str">
        <f ca="1">IF(J3864="","Date",IF(J3864&lt;&gt;"",IF(K3864="Date",NOW(),K3864),""))</f>
        <v>Date</v>
      </c>
    </row>
    <row r="3865" spans="2:11">
      <c r="B3865" s="97" t="str">
        <f ca="1">IF(A3865="","Date",IF(A3865&lt;&gt;"",IF(B3865="Date",NOW(),B3865),""))</f>
        <v>Date</v>
      </c>
      <c r="C3865" s="19" t="str">
        <f>IF(ISBLANK(A3865),"Name",IF(ISNA(VLOOKUP(A3865,'Master List'!A:C,2,FALSE)), "Not Found", VLOOKUP(A3865,'Master List'!A:C,2,FALSE)))</f>
        <v>Name</v>
      </c>
      <c r="D3865" s="19" t="str">
        <f>IF(ISBLANK(A3865), "Email",IF(ISNA(VLOOKUP(A3865,'Master List'!A:C,3,FALSE)), "Not Found", VLOOKUP(A3865,'Master List'!A:C,3,FALSE)))</f>
        <v>Email</v>
      </c>
      <c r="F3865" s="4" t="str">
        <f>IF(OR(A3865="",E3865="","",A3865="?",E3865="?"),"duplicate?",IF(COUNTIFS($A:A,A3865,E:E,E3865)&gt;1,"yes","no"))</f>
        <v>duplicate?</v>
      </c>
      <c r="K3865" s="97" t="str">
        <f ca="1">IF(J3865="","Date",IF(J3865&lt;&gt;"",IF(K3865="Date",NOW(),K3865),""))</f>
        <v>Date</v>
      </c>
    </row>
    <row r="3866" spans="2:11">
      <c r="B3866" s="97" t="str">
        <f ca="1">IF(A3866="","Date",IF(A3866&lt;&gt;"",IF(B3866="Date",NOW(),B3866),""))</f>
        <v>Date</v>
      </c>
      <c r="C3866" s="19" t="str">
        <f>IF(ISBLANK(A3866),"Name",IF(ISNA(VLOOKUP(A3866,'Master List'!A:C,2,FALSE)), "Not Found", VLOOKUP(A3866,'Master List'!A:C,2,FALSE)))</f>
        <v>Name</v>
      </c>
      <c r="D3866" s="19" t="str">
        <f>IF(ISBLANK(A3866), "Email",IF(ISNA(VLOOKUP(A3866,'Master List'!A:C,3,FALSE)), "Not Found", VLOOKUP(A3866,'Master List'!A:C,3,FALSE)))</f>
        <v>Email</v>
      </c>
      <c r="F3866" s="4" t="str">
        <f>IF(OR(A3866="",E3866="","",A3866="?",E3866="?"),"duplicate?",IF(COUNTIFS($A:A,A3866,E:E,E3866)&gt;1,"yes","no"))</f>
        <v>duplicate?</v>
      </c>
      <c r="K3866" s="97" t="str">
        <f ca="1">IF(J3866="","Date",IF(J3866&lt;&gt;"",IF(K3866="Date",NOW(),K3866),""))</f>
        <v>Date</v>
      </c>
    </row>
    <row r="3867" spans="2:11">
      <c r="B3867" s="97" t="str">
        <f ca="1">IF(A3867="","Date",IF(A3867&lt;&gt;"",IF(B3867="Date",NOW(),B3867),""))</f>
        <v>Date</v>
      </c>
      <c r="C3867" s="19" t="str">
        <f>IF(ISBLANK(A3867),"Name",IF(ISNA(VLOOKUP(A3867,'Master List'!A:C,2,FALSE)), "Not Found", VLOOKUP(A3867,'Master List'!A:C,2,FALSE)))</f>
        <v>Name</v>
      </c>
      <c r="D3867" s="19" t="str">
        <f>IF(ISBLANK(A3867), "Email",IF(ISNA(VLOOKUP(A3867,'Master List'!A:C,3,FALSE)), "Not Found", VLOOKUP(A3867,'Master List'!A:C,3,FALSE)))</f>
        <v>Email</v>
      </c>
      <c r="F3867" s="4" t="str">
        <f>IF(OR(A3867="",E3867="","",A3867="?",E3867="?"),"duplicate?",IF(COUNTIFS($A:A,A3867,E:E,E3867)&gt;1,"yes","no"))</f>
        <v>duplicate?</v>
      </c>
      <c r="K3867" s="97" t="str">
        <f ca="1">IF(J3867="","Date",IF(J3867&lt;&gt;"",IF(K3867="Date",NOW(),K3867),""))</f>
        <v>Date</v>
      </c>
    </row>
    <row r="3868" spans="2:11">
      <c r="B3868" s="97" t="str">
        <f ca="1">IF(A3868="","Date",IF(A3868&lt;&gt;"",IF(B3868="Date",NOW(),B3868),""))</f>
        <v>Date</v>
      </c>
      <c r="C3868" s="19" t="str">
        <f>IF(ISBLANK(A3868),"Name",IF(ISNA(VLOOKUP(A3868,'Master List'!A:C,2,FALSE)), "Not Found", VLOOKUP(A3868,'Master List'!A:C,2,FALSE)))</f>
        <v>Name</v>
      </c>
      <c r="D3868" s="19" t="str">
        <f>IF(ISBLANK(A3868), "Email",IF(ISNA(VLOOKUP(A3868,'Master List'!A:C,3,FALSE)), "Not Found", VLOOKUP(A3868,'Master List'!A:C,3,FALSE)))</f>
        <v>Email</v>
      </c>
      <c r="F3868" s="4" t="str">
        <f>IF(OR(A3868="",E3868="","",A3868="?",E3868="?"),"duplicate?",IF(COUNTIFS($A:A,A3868,E:E,E3868)&gt;1,"yes","no"))</f>
        <v>duplicate?</v>
      </c>
      <c r="K3868" s="97" t="str">
        <f ca="1">IF(J3868="","Date",IF(J3868&lt;&gt;"",IF(K3868="Date",NOW(),K3868),""))</f>
        <v>Date</v>
      </c>
    </row>
    <row r="3869" spans="2:11">
      <c r="B3869" s="97" t="str">
        <f ca="1">IF(A3869="","Date",IF(A3869&lt;&gt;"",IF(B3869="Date",NOW(),B3869),""))</f>
        <v>Date</v>
      </c>
      <c r="C3869" s="19" t="str">
        <f>IF(ISBLANK(A3869),"Name",IF(ISNA(VLOOKUP(A3869,'Master List'!A:C,2,FALSE)), "Not Found", VLOOKUP(A3869,'Master List'!A:C,2,FALSE)))</f>
        <v>Name</v>
      </c>
      <c r="D3869" s="19" t="str">
        <f>IF(ISBLANK(A3869), "Email",IF(ISNA(VLOOKUP(A3869,'Master List'!A:C,3,FALSE)), "Not Found", VLOOKUP(A3869,'Master List'!A:C,3,FALSE)))</f>
        <v>Email</v>
      </c>
      <c r="F3869" s="4" t="str">
        <f>IF(OR(A3869="",E3869="","",A3869="?",E3869="?"),"duplicate?",IF(COUNTIFS($A:A,A3869,E:E,E3869)&gt;1,"yes","no"))</f>
        <v>duplicate?</v>
      </c>
      <c r="K3869" s="97" t="str">
        <f ca="1">IF(J3869="","Date",IF(J3869&lt;&gt;"",IF(K3869="Date",NOW(),K3869),""))</f>
        <v>Date</v>
      </c>
    </row>
    <row r="3870" spans="2:11">
      <c r="B3870" s="97" t="str">
        <f ca="1">IF(A3870="","Date",IF(A3870&lt;&gt;"",IF(B3870="Date",NOW(),B3870),""))</f>
        <v>Date</v>
      </c>
      <c r="C3870" s="19" t="str">
        <f>IF(ISBLANK(A3870),"Name",IF(ISNA(VLOOKUP(A3870,'Master List'!A:C,2,FALSE)), "Not Found", VLOOKUP(A3870,'Master List'!A:C,2,FALSE)))</f>
        <v>Name</v>
      </c>
      <c r="D3870" s="19" t="str">
        <f>IF(ISBLANK(A3870), "Email",IF(ISNA(VLOOKUP(A3870,'Master List'!A:C,3,FALSE)), "Not Found", VLOOKUP(A3870,'Master List'!A:C,3,FALSE)))</f>
        <v>Email</v>
      </c>
      <c r="F3870" s="4" t="str">
        <f>IF(OR(A3870="",E3870="","",A3870="?",E3870="?"),"duplicate?",IF(COUNTIFS($A:A,A3870,E:E,E3870)&gt;1,"yes","no"))</f>
        <v>duplicate?</v>
      </c>
      <c r="K3870" s="97" t="str">
        <f ca="1">IF(J3870="","Date",IF(J3870&lt;&gt;"",IF(K3870="Date",NOW(),K3870),""))</f>
        <v>Date</v>
      </c>
    </row>
    <row r="3871" spans="2:11">
      <c r="B3871" s="97" t="str">
        <f ca="1">IF(A3871="","Date",IF(A3871&lt;&gt;"",IF(B3871="Date",NOW(),B3871),""))</f>
        <v>Date</v>
      </c>
      <c r="C3871" s="19" t="str">
        <f>IF(ISBLANK(A3871),"Name",IF(ISNA(VLOOKUP(A3871,'Master List'!A:C,2,FALSE)), "Not Found", VLOOKUP(A3871,'Master List'!A:C,2,FALSE)))</f>
        <v>Name</v>
      </c>
      <c r="D3871" s="19" t="str">
        <f>IF(ISBLANK(A3871), "Email",IF(ISNA(VLOOKUP(A3871,'Master List'!A:C,3,FALSE)), "Not Found", VLOOKUP(A3871,'Master List'!A:C,3,FALSE)))</f>
        <v>Email</v>
      </c>
      <c r="F3871" s="4" t="str">
        <f>IF(OR(A3871="",E3871="","",A3871="?",E3871="?"),"duplicate?",IF(COUNTIFS($A:A,A3871,E:E,E3871)&gt;1,"yes","no"))</f>
        <v>duplicate?</v>
      </c>
      <c r="K3871" s="97" t="str">
        <f ca="1">IF(J3871="","Date",IF(J3871&lt;&gt;"",IF(K3871="Date",NOW(),K3871),""))</f>
        <v>Date</v>
      </c>
    </row>
    <row r="3872" spans="2:11">
      <c r="B3872" s="97" t="str">
        <f ca="1">IF(A3872="","Date",IF(A3872&lt;&gt;"",IF(B3872="Date",NOW(),B3872),""))</f>
        <v>Date</v>
      </c>
      <c r="C3872" s="19" t="str">
        <f>IF(ISBLANK(A3872),"Name",IF(ISNA(VLOOKUP(A3872,'Master List'!A:C,2,FALSE)), "Not Found", VLOOKUP(A3872,'Master List'!A:C,2,FALSE)))</f>
        <v>Name</v>
      </c>
      <c r="D3872" s="19" t="str">
        <f>IF(ISBLANK(A3872), "Email",IF(ISNA(VLOOKUP(A3872,'Master List'!A:C,3,FALSE)), "Not Found", VLOOKUP(A3872,'Master List'!A:C,3,FALSE)))</f>
        <v>Email</v>
      </c>
      <c r="F3872" s="4" t="str">
        <f>IF(OR(A3872="",E3872="","",A3872="?",E3872="?"),"duplicate?",IF(COUNTIFS($A:A,A3872,E:E,E3872)&gt;1,"yes","no"))</f>
        <v>duplicate?</v>
      </c>
      <c r="K3872" s="97" t="str">
        <f ca="1">IF(J3872="","Date",IF(J3872&lt;&gt;"",IF(K3872="Date",NOW(),K3872),""))</f>
        <v>Date</v>
      </c>
    </row>
    <row r="3873" spans="2:11">
      <c r="B3873" s="97" t="str">
        <f ca="1">IF(A3873="","Date",IF(A3873&lt;&gt;"",IF(B3873="Date",NOW(),B3873),""))</f>
        <v>Date</v>
      </c>
      <c r="C3873" s="19" t="str">
        <f>IF(ISBLANK(A3873),"Name",IF(ISNA(VLOOKUP(A3873,'Master List'!A:C,2,FALSE)), "Not Found", VLOOKUP(A3873,'Master List'!A:C,2,FALSE)))</f>
        <v>Name</v>
      </c>
      <c r="D3873" s="19" t="str">
        <f>IF(ISBLANK(A3873), "Email",IF(ISNA(VLOOKUP(A3873,'Master List'!A:C,3,FALSE)), "Not Found", VLOOKUP(A3873,'Master List'!A:C,3,FALSE)))</f>
        <v>Email</v>
      </c>
      <c r="F3873" s="4" t="str">
        <f>IF(OR(A3873="",E3873="","",A3873="?",E3873="?"),"duplicate?",IF(COUNTIFS($A:A,A3873,E:E,E3873)&gt;1,"yes","no"))</f>
        <v>duplicate?</v>
      </c>
      <c r="K3873" s="97" t="str">
        <f ca="1">IF(J3873="","Date",IF(J3873&lt;&gt;"",IF(K3873="Date",NOW(),K3873),""))</f>
        <v>Date</v>
      </c>
    </row>
    <row r="3874" spans="2:11">
      <c r="B3874" s="97" t="str">
        <f ca="1">IF(A3874="","Date",IF(A3874&lt;&gt;"",IF(B3874="Date",NOW(),B3874),""))</f>
        <v>Date</v>
      </c>
      <c r="C3874" s="19" t="str">
        <f>IF(ISBLANK(A3874),"Name",IF(ISNA(VLOOKUP(A3874,'Master List'!A:C,2,FALSE)), "Not Found", VLOOKUP(A3874,'Master List'!A:C,2,FALSE)))</f>
        <v>Name</v>
      </c>
      <c r="D3874" s="19" t="str">
        <f>IF(ISBLANK(A3874), "Email",IF(ISNA(VLOOKUP(A3874,'Master List'!A:C,3,FALSE)), "Not Found", VLOOKUP(A3874,'Master List'!A:C,3,FALSE)))</f>
        <v>Email</v>
      </c>
      <c r="F3874" s="4" t="str">
        <f>IF(OR(A3874="",E3874="","",A3874="?",E3874="?"),"duplicate?",IF(COUNTIFS($A:A,A3874,E:E,E3874)&gt;1,"yes","no"))</f>
        <v>duplicate?</v>
      </c>
      <c r="K3874" s="97" t="str">
        <f ca="1">IF(J3874="","Date",IF(J3874&lt;&gt;"",IF(K3874="Date",NOW(),K3874),""))</f>
        <v>Date</v>
      </c>
    </row>
    <row r="3875" spans="2:11">
      <c r="B3875" s="97" t="str">
        <f ca="1">IF(A3875="","Date",IF(A3875&lt;&gt;"",IF(B3875="Date",NOW(),B3875),""))</f>
        <v>Date</v>
      </c>
      <c r="C3875" s="19" t="str">
        <f>IF(ISBLANK(A3875),"Name",IF(ISNA(VLOOKUP(A3875,'Master List'!A:C,2,FALSE)), "Not Found", VLOOKUP(A3875,'Master List'!A:C,2,FALSE)))</f>
        <v>Name</v>
      </c>
      <c r="D3875" s="19" t="str">
        <f>IF(ISBLANK(A3875), "Email",IF(ISNA(VLOOKUP(A3875,'Master List'!A:C,3,FALSE)), "Not Found", VLOOKUP(A3875,'Master List'!A:C,3,FALSE)))</f>
        <v>Email</v>
      </c>
      <c r="F3875" s="4" t="str">
        <f>IF(OR(A3875="",E3875="","",A3875="?",E3875="?"),"duplicate?",IF(COUNTIFS($A:A,A3875,E:E,E3875)&gt;1,"yes","no"))</f>
        <v>duplicate?</v>
      </c>
      <c r="K3875" s="97" t="str">
        <f ca="1">IF(J3875="","Date",IF(J3875&lt;&gt;"",IF(K3875="Date",NOW(),K3875),""))</f>
        <v>Date</v>
      </c>
    </row>
    <row r="3876" spans="2:11">
      <c r="B3876" s="97" t="str">
        <f ca="1">IF(A3876="","Date",IF(A3876&lt;&gt;"",IF(B3876="Date",NOW(),B3876),""))</f>
        <v>Date</v>
      </c>
      <c r="C3876" s="19" t="str">
        <f>IF(ISBLANK(A3876),"Name",IF(ISNA(VLOOKUP(A3876,'Master List'!A:C,2,FALSE)), "Not Found", VLOOKUP(A3876,'Master List'!A:C,2,FALSE)))</f>
        <v>Name</v>
      </c>
      <c r="D3876" s="19" t="str">
        <f>IF(ISBLANK(A3876), "Email",IF(ISNA(VLOOKUP(A3876,'Master List'!A:C,3,FALSE)), "Not Found", VLOOKUP(A3876,'Master List'!A:C,3,FALSE)))</f>
        <v>Email</v>
      </c>
      <c r="F3876" s="4" t="str">
        <f>IF(OR(A3876="",E3876="","",A3876="?",E3876="?"),"duplicate?",IF(COUNTIFS($A:A,A3876,E:E,E3876)&gt;1,"yes","no"))</f>
        <v>duplicate?</v>
      </c>
      <c r="K3876" s="97" t="str">
        <f ca="1">IF(J3876="","Date",IF(J3876&lt;&gt;"",IF(K3876="Date",NOW(),K3876),""))</f>
        <v>Date</v>
      </c>
    </row>
    <row r="3877" spans="2:11">
      <c r="B3877" s="97" t="str">
        <f ca="1">IF(A3877="","Date",IF(A3877&lt;&gt;"",IF(B3877="Date",NOW(),B3877),""))</f>
        <v>Date</v>
      </c>
      <c r="C3877" s="19" t="str">
        <f>IF(ISBLANK(A3877),"Name",IF(ISNA(VLOOKUP(A3877,'Master List'!A:C,2,FALSE)), "Not Found", VLOOKUP(A3877,'Master List'!A:C,2,FALSE)))</f>
        <v>Name</v>
      </c>
      <c r="D3877" s="19" t="str">
        <f>IF(ISBLANK(A3877), "Email",IF(ISNA(VLOOKUP(A3877,'Master List'!A:C,3,FALSE)), "Not Found", VLOOKUP(A3877,'Master List'!A:C,3,FALSE)))</f>
        <v>Email</v>
      </c>
      <c r="F3877" s="4" t="str">
        <f>IF(OR(A3877="",E3877="","",A3877="?",E3877="?"),"duplicate?",IF(COUNTIFS($A:A,A3877,E:E,E3877)&gt;1,"yes","no"))</f>
        <v>duplicate?</v>
      </c>
      <c r="K3877" s="97" t="str">
        <f ca="1">IF(J3877="","Date",IF(J3877&lt;&gt;"",IF(K3877="Date",NOW(),K3877),""))</f>
        <v>Date</v>
      </c>
    </row>
    <row r="3878" spans="2:11">
      <c r="B3878" s="97" t="str">
        <f ca="1">IF(A3878="","Date",IF(A3878&lt;&gt;"",IF(B3878="Date",NOW(),B3878),""))</f>
        <v>Date</v>
      </c>
      <c r="C3878" s="19" t="str">
        <f>IF(ISBLANK(A3878),"Name",IF(ISNA(VLOOKUP(A3878,'Master List'!A:C,2,FALSE)), "Not Found", VLOOKUP(A3878,'Master List'!A:C,2,FALSE)))</f>
        <v>Name</v>
      </c>
      <c r="D3878" s="19" t="str">
        <f>IF(ISBLANK(A3878), "Email",IF(ISNA(VLOOKUP(A3878,'Master List'!A:C,3,FALSE)), "Not Found", VLOOKUP(A3878,'Master List'!A:C,3,FALSE)))</f>
        <v>Email</v>
      </c>
      <c r="F3878" s="4" t="str">
        <f>IF(OR(A3878="",E3878="","",A3878="?",E3878="?"),"duplicate?",IF(COUNTIFS($A:A,A3878,E:E,E3878)&gt;1,"yes","no"))</f>
        <v>duplicate?</v>
      </c>
      <c r="K3878" s="97" t="str">
        <f ca="1">IF(J3878="","Date",IF(J3878&lt;&gt;"",IF(K3878="Date",NOW(),K3878),""))</f>
        <v>Date</v>
      </c>
    </row>
    <row r="3879" spans="2:11">
      <c r="B3879" s="97" t="str">
        <f ca="1">IF(A3879="","Date",IF(A3879&lt;&gt;"",IF(B3879="Date",NOW(),B3879),""))</f>
        <v>Date</v>
      </c>
      <c r="C3879" s="19" t="str">
        <f>IF(ISBLANK(A3879),"Name",IF(ISNA(VLOOKUP(A3879,'Master List'!A:C,2,FALSE)), "Not Found", VLOOKUP(A3879,'Master List'!A:C,2,FALSE)))</f>
        <v>Name</v>
      </c>
      <c r="D3879" s="19" t="str">
        <f>IF(ISBLANK(A3879), "Email",IF(ISNA(VLOOKUP(A3879,'Master List'!A:C,3,FALSE)), "Not Found", VLOOKUP(A3879,'Master List'!A:C,3,FALSE)))</f>
        <v>Email</v>
      </c>
      <c r="F3879" s="4" t="str">
        <f>IF(OR(A3879="",E3879="","",A3879="?",E3879="?"),"duplicate?",IF(COUNTIFS($A:A,A3879,E:E,E3879)&gt;1,"yes","no"))</f>
        <v>duplicate?</v>
      </c>
      <c r="K3879" s="97" t="str">
        <f ca="1">IF(J3879="","Date",IF(J3879&lt;&gt;"",IF(K3879="Date",NOW(),K3879),""))</f>
        <v>Date</v>
      </c>
    </row>
    <row r="3880" spans="2:11">
      <c r="B3880" s="97" t="str">
        <f ca="1">IF(A3880="","Date",IF(A3880&lt;&gt;"",IF(B3880="Date",NOW(),B3880),""))</f>
        <v>Date</v>
      </c>
      <c r="C3880" s="19" t="str">
        <f>IF(ISBLANK(A3880),"Name",IF(ISNA(VLOOKUP(A3880,'Master List'!A:C,2,FALSE)), "Not Found", VLOOKUP(A3880,'Master List'!A:C,2,FALSE)))</f>
        <v>Name</v>
      </c>
      <c r="D3880" s="19" t="str">
        <f>IF(ISBLANK(A3880), "Email",IF(ISNA(VLOOKUP(A3880,'Master List'!A:C,3,FALSE)), "Not Found", VLOOKUP(A3880,'Master List'!A:C,3,FALSE)))</f>
        <v>Email</v>
      </c>
      <c r="F3880" s="4" t="str">
        <f>IF(OR(A3880="",E3880="","",A3880="?",E3880="?"),"duplicate?",IF(COUNTIFS($A:A,A3880,E:E,E3880)&gt;1,"yes","no"))</f>
        <v>duplicate?</v>
      </c>
      <c r="K3880" s="97" t="str">
        <f ca="1">IF(J3880="","Date",IF(J3880&lt;&gt;"",IF(K3880="Date",NOW(),K3880),""))</f>
        <v>Date</v>
      </c>
    </row>
    <row r="3881" spans="2:11">
      <c r="B3881" s="97" t="str">
        <f ca="1">IF(A3881="","Date",IF(A3881&lt;&gt;"",IF(B3881="Date",NOW(),B3881),""))</f>
        <v>Date</v>
      </c>
      <c r="C3881" s="19" t="str">
        <f>IF(ISBLANK(A3881),"Name",IF(ISNA(VLOOKUP(A3881,'Master List'!A:C,2,FALSE)), "Not Found", VLOOKUP(A3881,'Master List'!A:C,2,FALSE)))</f>
        <v>Name</v>
      </c>
      <c r="D3881" s="19" t="str">
        <f>IF(ISBLANK(A3881), "Email",IF(ISNA(VLOOKUP(A3881,'Master List'!A:C,3,FALSE)), "Not Found", VLOOKUP(A3881,'Master List'!A:C,3,FALSE)))</f>
        <v>Email</v>
      </c>
      <c r="F3881" s="4" t="str">
        <f>IF(OR(A3881="",E3881="","",A3881="?",E3881="?"),"duplicate?",IF(COUNTIFS($A:A,A3881,E:E,E3881)&gt;1,"yes","no"))</f>
        <v>duplicate?</v>
      </c>
      <c r="K3881" s="97" t="str">
        <f ca="1">IF(J3881="","Date",IF(J3881&lt;&gt;"",IF(K3881="Date",NOW(),K3881),""))</f>
        <v>Date</v>
      </c>
    </row>
    <row r="3882" spans="2:11">
      <c r="B3882" s="97" t="str">
        <f ca="1">IF(A3882="","Date",IF(A3882&lt;&gt;"",IF(B3882="Date",NOW(),B3882),""))</f>
        <v>Date</v>
      </c>
      <c r="C3882" s="19" t="str">
        <f>IF(ISBLANK(A3882),"Name",IF(ISNA(VLOOKUP(A3882,'Master List'!A:C,2,FALSE)), "Not Found", VLOOKUP(A3882,'Master List'!A:C,2,FALSE)))</f>
        <v>Name</v>
      </c>
      <c r="D3882" s="19" t="str">
        <f>IF(ISBLANK(A3882), "Email",IF(ISNA(VLOOKUP(A3882,'Master List'!A:C,3,FALSE)), "Not Found", VLOOKUP(A3882,'Master List'!A:C,3,FALSE)))</f>
        <v>Email</v>
      </c>
      <c r="F3882" s="4" t="str">
        <f>IF(OR(A3882="",E3882="","",A3882="?",E3882="?"),"duplicate?",IF(COUNTIFS($A:A,A3882,E:E,E3882)&gt;1,"yes","no"))</f>
        <v>duplicate?</v>
      </c>
      <c r="K3882" s="97" t="str">
        <f ca="1">IF(J3882="","Date",IF(J3882&lt;&gt;"",IF(K3882="Date",NOW(),K3882),""))</f>
        <v>Date</v>
      </c>
    </row>
    <row r="3883" spans="2:11">
      <c r="B3883" s="97" t="str">
        <f ca="1">IF(A3883="","Date",IF(A3883&lt;&gt;"",IF(B3883="Date",NOW(),B3883),""))</f>
        <v>Date</v>
      </c>
      <c r="C3883" s="19" t="str">
        <f>IF(ISBLANK(A3883),"Name",IF(ISNA(VLOOKUP(A3883,'Master List'!A:C,2,FALSE)), "Not Found", VLOOKUP(A3883,'Master List'!A:C,2,FALSE)))</f>
        <v>Name</v>
      </c>
      <c r="D3883" s="19" t="str">
        <f>IF(ISBLANK(A3883), "Email",IF(ISNA(VLOOKUP(A3883,'Master List'!A:C,3,FALSE)), "Not Found", VLOOKUP(A3883,'Master List'!A:C,3,FALSE)))</f>
        <v>Email</v>
      </c>
      <c r="F3883" s="4" t="str">
        <f>IF(OR(A3883="",E3883="","",A3883="?",E3883="?"),"duplicate?",IF(COUNTIFS($A:A,A3883,E:E,E3883)&gt;1,"yes","no"))</f>
        <v>duplicate?</v>
      </c>
      <c r="K3883" s="97" t="str">
        <f ca="1">IF(J3883="","Date",IF(J3883&lt;&gt;"",IF(K3883="Date",NOW(),K3883),""))</f>
        <v>Date</v>
      </c>
    </row>
    <row r="3884" spans="2:11">
      <c r="B3884" s="97" t="str">
        <f ca="1">IF(A3884="","Date",IF(A3884&lt;&gt;"",IF(B3884="Date",NOW(),B3884),""))</f>
        <v>Date</v>
      </c>
      <c r="C3884" s="19" t="str">
        <f>IF(ISBLANK(A3884),"Name",IF(ISNA(VLOOKUP(A3884,'Master List'!A:C,2,FALSE)), "Not Found", VLOOKUP(A3884,'Master List'!A:C,2,FALSE)))</f>
        <v>Name</v>
      </c>
      <c r="D3884" s="19" t="str">
        <f>IF(ISBLANK(A3884), "Email",IF(ISNA(VLOOKUP(A3884,'Master List'!A:C,3,FALSE)), "Not Found", VLOOKUP(A3884,'Master List'!A:C,3,FALSE)))</f>
        <v>Email</v>
      </c>
      <c r="F3884" s="4" t="str">
        <f>IF(OR(A3884="",E3884="","",A3884="?",E3884="?"),"duplicate?",IF(COUNTIFS($A:A,A3884,E:E,E3884)&gt;1,"yes","no"))</f>
        <v>duplicate?</v>
      </c>
      <c r="K3884" s="97" t="str">
        <f ca="1">IF(J3884="","Date",IF(J3884&lt;&gt;"",IF(K3884="Date",NOW(),K3884),""))</f>
        <v>Date</v>
      </c>
    </row>
    <row r="3885" spans="2:11">
      <c r="B3885" s="97" t="str">
        <f ca="1">IF(A3885="","Date",IF(A3885&lt;&gt;"",IF(B3885="Date",NOW(),B3885),""))</f>
        <v>Date</v>
      </c>
      <c r="C3885" s="19" t="str">
        <f>IF(ISBLANK(A3885),"Name",IF(ISNA(VLOOKUP(A3885,'Master List'!A:C,2,FALSE)), "Not Found", VLOOKUP(A3885,'Master List'!A:C,2,FALSE)))</f>
        <v>Name</v>
      </c>
      <c r="D3885" s="19" t="str">
        <f>IF(ISBLANK(A3885), "Email",IF(ISNA(VLOOKUP(A3885,'Master List'!A:C,3,FALSE)), "Not Found", VLOOKUP(A3885,'Master List'!A:C,3,FALSE)))</f>
        <v>Email</v>
      </c>
      <c r="F3885" s="4" t="str">
        <f>IF(OR(A3885="",E3885="","",A3885="?",E3885="?"),"duplicate?",IF(COUNTIFS($A:A,A3885,E:E,E3885)&gt;1,"yes","no"))</f>
        <v>duplicate?</v>
      </c>
      <c r="K3885" s="97" t="str">
        <f ca="1">IF(J3885="","Date",IF(J3885&lt;&gt;"",IF(K3885="Date",NOW(),K3885),""))</f>
        <v>Date</v>
      </c>
    </row>
    <row r="3886" spans="2:11">
      <c r="B3886" s="97" t="str">
        <f ca="1">IF(A3886="","Date",IF(A3886&lt;&gt;"",IF(B3886="Date",NOW(),B3886),""))</f>
        <v>Date</v>
      </c>
      <c r="C3886" s="19" t="str">
        <f>IF(ISBLANK(A3886),"Name",IF(ISNA(VLOOKUP(A3886,'Master List'!A:C,2,FALSE)), "Not Found", VLOOKUP(A3886,'Master List'!A:C,2,FALSE)))</f>
        <v>Name</v>
      </c>
      <c r="D3886" s="19" t="str">
        <f>IF(ISBLANK(A3886), "Email",IF(ISNA(VLOOKUP(A3886,'Master List'!A:C,3,FALSE)), "Not Found", VLOOKUP(A3886,'Master List'!A:C,3,FALSE)))</f>
        <v>Email</v>
      </c>
      <c r="F3886" s="4" t="str">
        <f>IF(OR(A3886="",E3886="","",A3886="?",E3886="?"),"duplicate?",IF(COUNTIFS($A:A,A3886,E:E,E3886)&gt;1,"yes","no"))</f>
        <v>duplicate?</v>
      </c>
      <c r="K3886" s="97" t="str">
        <f ca="1">IF(J3886="","Date",IF(J3886&lt;&gt;"",IF(K3886="Date",NOW(),K3886),""))</f>
        <v>Date</v>
      </c>
    </row>
    <row r="3887" spans="2:11">
      <c r="B3887" s="97" t="str">
        <f ca="1">IF(A3887="","Date",IF(A3887&lt;&gt;"",IF(B3887="Date",NOW(),B3887),""))</f>
        <v>Date</v>
      </c>
      <c r="C3887" s="19" t="str">
        <f>IF(ISBLANK(A3887),"Name",IF(ISNA(VLOOKUP(A3887,'Master List'!A:C,2,FALSE)), "Not Found", VLOOKUP(A3887,'Master List'!A:C,2,FALSE)))</f>
        <v>Name</v>
      </c>
      <c r="D3887" s="19" t="str">
        <f>IF(ISBLANK(A3887), "Email",IF(ISNA(VLOOKUP(A3887,'Master List'!A:C,3,FALSE)), "Not Found", VLOOKUP(A3887,'Master List'!A:C,3,FALSE)))</f>
        <v>Email</v>
      </c>
      <c r="F3887" s="4" t="str">
        <f>IF(OR(A3887="",E3887="","",A3887="?",E3887="?"),"duplicate?",IF(COUNTIFS($A:A,A3887,E:E,E3887)&gt;1,"yes","no"))</f>
        <v>duplicate?</v>
      </c>
      <c r="K3887" s="97" t="str">
        <f ca="1">IF(J3887="","Date",IF(J3887&lt;&gt;"",IF(K3887="Date",NOW(),K3887),""))</f>
        <v>Date</v>
      </c>
    </row>
    <row r="3888" spans="2:11">
      <c r="B3888" s="97" t="str">
        <f ca="1">IF(A3888="","Date",IF(A3888&lt;&gt;"",IF(B3888="Date",NOW(),B3888),""))</f>
        <v>Date</v>
      </c>
      <c r="C3888" s="19" t="str">
        <f>IF(ISBLANK(A3888),"Name",IF(ISNA(VLOOKUP(A3888,'Master List'!A:C,2,FALSE)), "Not Found", VLOOKUP(A3888,'Master List'!A:C,2,FALSE)))</f>
        <v>Name</v>
      </c>
      <c r="D3888" s="19" t="str">
        <f>IF(ISBLANK(A3888), "Email",IF(ISNA(VLOOKUP(A3888,'Master List'!A:C,3,FALSE)), "Not Found", VLOOKUP(A3888,'Master List'!A:C,3,FALSE)))</f>
        <v>Email</v>
      </c>
      <c r="F3888" s="4" t="str">
        <f>IF(OR(A3888="",E3888="","",A3888="?",E3888="?"),"duplicate?",IF(COUNTIFS($A:A,A3888,E:E,E3888)&gt;1,"yes","no"))</f>
        <v>duplicate?</v>
      </c>
      <c r="K3888" s="97" t="str">
        <f ca="1">IF(J3888="","Date",IF(J3888&lt;&gt;"",IF(K3888="Date",NOW(),K3888),""))</f>
        <v>Date</v>
      </c>
    </row>
    <row r="3889" spans="2:11">
      <c r="B3889" s="97" t="str">
        <f ca="1">IF(A3889="","Date",IF(A3889&lt;&gt;"",IF(B3889="Date",NOW(),B3889),""))</f>
        <v>Date</v>
      </c>
      <c r="C3889" s="19" t="str">
        <f>IF(ISBLANK(A3889),"Name",IF(ISNA(VLOOKUP(A3889,'Master List'!A:C,2,FALSE)), "Not Found", VLOOKUP(A3889,'Master List'!A:C,2,FALSE)))</f>
        <v>Name</v>
      </c>
      <c r="D3889" s="19" t="str">
        <f>IF(ISBLANK(A3889), "Email",IF(ISNA(VLOOKUP(A3889,'Master List'!A:C,3,FALSE)), "Not Found", VLOOKUP(A3889,'Master List'!A:C,3,FALSE)))</f>
        <v>Email</v>
      </c>
      <c r="F3889" s="4" t="str">
        <f>IF(OR(A3889="",E3889="","",A3889="?",E3889="?"),"duplicate?",IF(COUNTIFS($A:A,A3889,E:E,E3889)&gt;1,"yes","no"))</f>
        <v>duplicate?</v>
      </c>
      <c r="K3889" s="97" t="str">
        <f ca="1">IF(J3889="","Date",IF(J3889&lt;&gt;"",IF(K3889="Date",NOW(),K3889),""))</f>
        <v>Date</v>
      </c>
    </row>
    <row r="3890" spans="2:11">
      <c r="B3890" s="97" t="str">
        <f ca="1">IF(A3890="","Date",IF(A3890&lt;&gt;"",IF(B3890="Date",NOW(),B3890),""))</f>
        <v>Date</v>
      </c>
      <c r="C3890" s="19" t="str">
        <f>IF(ISBLANK(A3890),"Name",IF(ISNA(VLOOKUP(A3890,'Master List'!A:C,2,FALSE)), "Not Found", VLOOKUP(A3890,'Master List'!A:C,2,FALSE)))</f>
        <v>Name</v>
      </c>
      <c r="D3890" s="19" t="str">
        <f>IF(ISBLANK(A3890), "Email",IF(ISNA(VLOOKUP(A3890,'Master List'!A:C,3,FALSE)), "Not Found", VLOOKUP(A3890,'Master List'!A:C,3,FALSE)))</f>
        <v>Email</v>
      </c>
      <c r="F3890" s="4" t="str">
        <f>IF(OR(A3890="",E3890="","",A3890="?",E3890="?"),"duplicate?",IF(COUNTIFS($A:A,A3890,E:E,E3890)&gt;1,"yes","no"))</f>
        <v>duplicate?</v>
      </c>
      <c r="K3890" s="97" t="str">
        <f ca="1">IF(J3890="","Date",IF(J3890&lt;&gt;"",IF(K3890="Date",NOW(),K3890),""))</f>
        <v>Date</v>
      </c>
    </row>
    <row r="3891" spans="2:11">
      <c r="B3891" s="97" t="str">
        <f ca="1">IF(A3891="","Date",IF(A3891&lt;&gt;"",IF(B3891="Date",NOW(),B3891),""))</f>
        <v>Date</v>
      </c>
      <c r="C3891" s="19" t="str">
        <f>IF(ISBLANK(A3891),"Name",IF(ISNA(VLOOKUP(A3891,'Master List'!A:C,2,FALSE)), "Not Found", VLOOKUP(A3891,'Master List'!A:C,2,FALSE)))</f>
        <v>Name</v>
      </c>
      <c r="D3891" s="19" t="str">
        <f>IF(ISBLANK(A3891), "Email",IF(ISNA(VLOOKUP(A3891,'Master List'!A:C,3,FALSE)), "Not Found", VLOOKUP(A3891,'Master List'!A:C,3,FALSE)))</f>
        <v>Email</v>
      </c>
      <c r="F3891" s="4" t="str">
        <f>IF(OR(A3891="",E3891="","",A3891="?",E3891="?"),"duplicate?",IF(COUNTIFS($A:A,A3891,E:E,E3891)&gt;1,"yes","no"))</f>
        <v>duplicate?</v>
      </c>
      <c r="K3891" s="97" t="str">
        <f ca="1">IF(J3891="","Date",IF(J3891&lt;&gt;"",IF(K3891="Date",NOW(),K3891),""))</f>
        <v>Date</v>
      </c>
    </row>
    <row r="3892" spans="2:11">
      <c r="B3892" s="97" t="str">
        <f ca="1">IF(A3892="","Date",IF(A3892&lt;&gt;"",IF(B3892="Date",NOW(),B3892),""))</f>
        <v>Date</v>
      </c>
      <c r="C3892" s="19" t="str">
        <f>IF(ISBLANK(A3892),"Name",IF(ISNA(VLOOKUP(A3892,'Master List'!A:C,2,FALSE)), "Not Found", VLOOKUP(A3892,'Master List'!A:C,2,FALSE)))</f>
        <v>Name</v>
      </c>
      <c r="D3892" s="19" t="str">
        <f>IF(ISBLANK(A3892), "Email",IF(ISNA(VLOOKUP(A3892,'Master List'!A:C,3,FALSE)), "Not Found", VLOOKUP(A3892,'Master List'!A:C,3,FALSE)))</f>
        <v>Email</v>
      </c>
      <c r="F3892" s="4" t="str">
        <f>IF(OR(A3892="",E3892="","",A3892="?",E3892="?"),"duplicate?",IF(COUNTIFS($A:A,A3892,E:E,E3892)&gt;1,"yes","no"))</f>
        <v>duplicate?</v>
      </c>
      <c r="K3892" s="97" t="str">
        <f ca="1">IF(J3892="","Date",IF(J3892&lt;&gt;"",IF(K3892="Date",NOW(),K3892),""))</f>
        <v>Date</v>
      </c>
    </row>
    <row r="3893" spans="2:11">
      <c r="B3893" s="97" t="str">
        <f ca="1">IF(A3893="","Date",IF(A3893&lt;&gt;"",IF(B3893="Date",NOW(),B3893),""))</f>
        <v>Date</v>
      </c>
      <c r="C3893" s="19" t="str">
        <f>IF(ISBLANK(A3893),"Name",IF(ISNA(VLOOKUP(A3893,'Master List'!A:C,2,FALSE)), "Not Found", VLOOKUP(A3893,'Master List'!A:C,2,FALSE)))</f>
        <v>Name</v>
      </c>
      <c r="D3893" s="19" t="str">
        <f>IF(ISBLANK(A3893), "Email",IF(ISNA(VLOOKUP(A3893,'Master List'!A:C,3,FALSE)), "Not Found", VLOOKUP(A3893,'Master List'!A:C,3,FALSE)))</f>
        <v>Email</v>
      </c>
      <c r="F3893" s="4" t="str">
        <f>IF(OR(A3893="",E3893="","",A3893="?",E3893="?"),"duplicate?",IF(COUNTIFS($A:A,A3893,E:E,E3893)&gt;1,"yes","no"))</f>
        <v>duplicate?</v>
      </c>
      <c r="K3893" s="97" t="str">
        <f ca="1">IF(J3893="","Date",IF(J3893&lt;&gt;"",IF(K3893="Date",NOW(),K3893),""))</f>
        <v>Date</v>
      </c>
    </row>
    <row r="3894" spans="2:11">
      <c r="B3894" s="97" t="str">
        <f ca="1">IF(A3894="","Date",IF(A3894&lt;&gt;"",IF(B3894="Date",NOW(),B3894),""))</f>
        <v>Date</v>
      </c>
      <c r="C3894" s="19" t="str">
        <f>IF(ISBLANK(A3894),"Name",IF(ISNA(VLOOKUP(A3894,'Master List'!A:C,2,FALSE)), "Not Found", VLOOKUP(A3894,'Master List'!A:C,2,FALSE)))</f>
        <v>Name</v>
      </c>
      <c r="D3894" s="19" t="str">
        <f>IF(ISBLANK(A3894), "Email",IF(ISNA(VLOOKUP(A3894,'Master List'!A:C,3,FALSE)), "Not Found", VLOOKUP(A3894,'Master List'!A:C,3,FALSE)))</f>
        <v>Email</v>
      </c>
      <c r="F3894" s="4" t="str">
        <f>IF(OR(A3894="",E3894="","",A3894="?",E3894="?"),"duplicate?",IF(COUNTIFS($A:A,A3894,E:E,E3894)&gt;1,"yes","no"))</f>
        <v>duplicate?</v>
      </c>
      <c r="K3894" s="97" t="str">
        <f ca="1">IF(J3894="","Date",IF(J3894&lt;&gt;"",IF(K3894="Date",NOW(),K3894),""))</f>
        <v>Date</v>
      </c>
    </row>
    <row r="3895" spans="2:11">
      <c r="B3895" s="97" t="str">
        <f ca="1">IF(A3895="","Date",IF(A3895&lt;&gt;"",IF(B3895="Date",NOW(),B3895),""))</f>
        <v>Date</v>
      </c>
      <c r="C3895" s="19" t="str">
        <f>IF(ISBLANK(A3895),"Name",IF(ISNA(VLOOKUP(A3895,'Master List'!A:C,2,FALSE)), "Not Found", VLOOKUP(A3895,'Master List'!A:C,2,FALSE)))</f>
        <v>Name</v>
      </c>
      <c r="D3895" s="19" t="str">
        <f>IF(ISBLANK(A3895), "Email",IF(ISNA(VLOOKUP(A3895,'Master List'!A:C,3,FALSE)), "Not Found", VLOOKUP(A3895,'Master List'!A:C,3,FALSE)))</f>
        <v>Email</v>
      </c>
      <c r="F3895" s="4" t="str">
        <f>IF(OR(A3895="",E3895="","",A3895="?",E3895="?"),"duplicate?",IF(COUNTIFS($A:A,A3895,E:E,E3895)&gt;1,"yes","no"))</f>
        <v>duplicate?</v>
      </c>
      <c r="K3895" s="97" t="str">
        <f ca="1">IF(J3895="","Date",IF(J3895&lt;&gt;"",IF(K3895="Date",NOW(),K3895),""))</f>
        <v>Date</v>
      </c>
    </row>
    <row r="3896" spans="2:11">
      <c r="B3896" s="97" t="str">
        <f ca="1">IF(A3896="","Date",IF(A3896&lt;&gt;"",IF(B3896="Date",NOW(),B3896),""))</f>
        <v>Date</v>
      </c>
      <c r="C3896" s="19" t="str">
        <f>IF(ISBLANK(A3896),"Name",IF(ISNA(VLOOKUP(A3896,'Master List'!A:C,2,FALSE)), "Not Found", VLOOKUP(A3896,'Master List'!A:C,2,FALSE)))</f>
        <v>Name</v>
      </c>
      <c r="D3896" s="19" t="str">
        <f>IF(ISBLANK(A3896), "Email",IF(ISNA(VLOOKUP(A3896,'Master List'!A:C,3,FALSE)), "Not Found", VLOOKUP(A3896,'Master List'!A:C,3,FALSE)))</f>
        <v>Email</v>
      </c>
      <c r="F3896" s="4" t="str">
        <f>IF(OR(A3896="",E3896="","",A3896="?",E3896="?"),"duplicate?",IF(COUNTIFS($A:A,A3896,E:E,E3896)&gt;1,"yes","no"))</f>
        <v>duplicate?</v>
      </c>
      <c r="K3896" s="97" t="str">
        <f ca="1">IF(J3896="","Date",IF(J3896&lt;&gt;"",IF(K3896="Date",NOW(),K3896),""))</f>
        <v>Date</v>
      </c>
    </row>
    <row r="3897" spans="2:11">
      <c r="B3897" s="97" t="str">
        <f ca="1">IF(A3897="","Date",IF(A3897&lt;&gt;"",IF(B3897="Date",NOW(),B3897),""))</f>
        <v>Date</v>
      </c>
      <c r="C3897" s="19" t="str">
        <f>IF(ISBLANK(A3897),"Name",IF(ISNA(VLOOKUP(A3897,'Master List'!A:C,2,FALSE)), "Not Found", VLOOKUP(A3897,'Master List'!A:C,2,FALSE)))</f>
        <v>Name</v>
      </c>
      <c r="D3897" s="19" t="str">
        <f>IF(ISBLANK(A3897), "Email",IF(ISNA(VLOOKUP(A3897,'Master List'!A:C,3,FALSE)), "Not Found", VLOOKUP(A3897,'Master List'!A:C,3,FALSE)))</f>
        <v>Email</v>
      </c>
      <c r="F3897" s="4" t="str">
        <f>IF(OR(A3897="",E3897="","",A3897="?",E3897="?"),"duplicate?",IF(COUNTIFS($A:A,A3897,E:E,E3897)&gt;1,"yes","no"))</f>
        <v>duplicate?</v>
      </c>
      <c r="K3897" s="97" t="str">
        <f ca="1">IF(J3897="","Date",IF(J3897&lt;&gt;"",IF(K3897="Date",NOW(),K3897),""))</f>
        <v>Date</v>
      </c>
    </row>
    <row r="3898" spans="2:11">
      <c r="B3898" s="97" t="str">
        <f ca="1">IF(A3898="","Date",IF(A3898&lt;&gt;"",IF(B3898="Date",NOW(),B3898),""))</f>
        <v>Date</v>
      </c>
      <c r="C3898" s="19" t="str">
        <f>IF(ISBLANK(A3898),"Name",IF(ISNA(VLOOKUP(A3898,'Master List'!A:C,2,FALSE)), "Not Found", VLOOKUP(A3898,'Master List'!A:C,2,FALSE)))</f>
        <v>Name</v>
      </c>
      <c r="D3898" s="19" t="str">
        <f>IF(ISBLANK(A3898), "Email",IF(ISNA(VLOOKUP(A3898,'Master List'!A:C,3,FALSE)), "Not Found", VLOOKUP(A3898,'Master List'!A:C,3,FALSE)))</f>
        <v>Email</v>
      </c>
      <c r="F3898" s="4" t="str">
        <f>IF(OR(A3898="",E3898="","",A3898="?",E3898="?"),"duplicate?",IF(COUNTIFS($A:A,A3898,E:E,E3898)&gt;1,"yes","no"))</f>
        <v>duplicate?</v>
      </c>
      <c r="K3898" s="97" t="str">
        <f ca="1">IF(J3898="","Date",IF(J3898&lt;&gt;"",IF(K3898="Date",NOW(),K3898),""))</f>
        <v>Date</v>
      </c>
    </row>
    <row r="3899" spans="2:11">
      <c r="B3899" s="97" t="str">
        <f ca="1">IF(A3899="","Date",IF(A3899&lt;&gt;"",IF(B3899="Date",NOW(),B3899),""))</f>
        <v>Date</v>
      </c>
      <c r="C3899" s="19" t="str">
        <f>IF(ISBLANK(A3899),"Name",IF(ISNA(VLOOKUP(A3899,'Master List'!A:C,2,FALSE)), "Not Found", VLOOKUP(A3899,'Master List'!A:C,2,FALSE)))</f>
        <v>Name</v>
      </c>
      <c r="D3899" s="19" t="str">
        <f>IF(ISBLANK(A3899), "Email",IF(ISNA(VLOOKUP(A3899,'Master List'!A:C,3,FALSE)), "Not Found", VLOOKUP(A3899,'Master List'!A:C,3,FALSE)))</f>
        <v>Email</v>
      </c>
      <c r="F3899" s="4" t="str">
        <f>IF(OR(A3899="",E3899="","",A3899="?",E3899="?"),"duplicate?",IF(COUNTIFS($A:A,A3899,E:E,E3899)&gt;1,"yes","no"))</f>
        <v>duplicate?</v>
      </c>
      <c r="K3899" s="97" t="str">
        <f ca="1">IF(J3899="","Date",IF(J3899&lt;&gt;"",IF(K3899="Date",NOW(),K3899),""))</f>
        <v>Date</v>
      </c>
    </row>
    <row r="3900" spans="2:11">
      <c r="B3900" s="97" t="str">
        <f ca="1">IF(A3900="","Date",IF(A3900&lt;&gt;"",IF(B3900="Date",NOW(),B3900),""))</f>
        <v>Date</v>
      </c>
      <c r="C3900" s="19" t="str">
        <f>IF(ISBLANK(A3900),"Name",IF(ISNA(VLOOKUP(A3900,'Master List'!A:C,2,FALSE)), "Not Found", VLOOKUP(A3900,'Master List'!A:C,2,FALSE)))</f>
        <v>Name</v>
      </c>
      <c r="D3900" s="19" t="str">
        <f>IF(ISBLANK(A3900), "Email",IF(ISNA(VLOOKUP(A3900,'Master List'!A:C,3,FALSE)), "Not Found", VLOOKUP(A3900,'Master List'!A:C,3,FALSE)))</f>
        <v>Email</v>
      </c>
      <c r="F3900" s="4" t="str">
        <f>IF(OR(A3900="",E3900="","",A3900="?",E3900="?"),"duplicate?",IF(COUNTIFS($A:A,A3900,E:E,E3900)&gt;1,"yes","no"))</f>
        <v>duplicate?</v>
      </c>
      <c r="K3900" s="97" t="str">
        <f ca="1">IF(J3900="","Date",IF(J3900&lt;&gt;"",IF(K3900="Date",NOW(),K3900),""))</f>
        <v>Date</v>
      </c>
    </row>
    <row r="3901" spans="2:11">
      <c r="B3901" s="97" t="str">
        <f ca="1">IF(A3901="","Date",IF(A3901&lt;&gt;"",IF(B3901="Date",NOW(),B3901),""))</f>
        <v>Date</v>
      </c>
      <c r="C3901" s="19" t="str">
        <f>IF(ISBLANK(A3901),"Name",IF(ISNA(VLOOKUP(A3901,'Master List'!A:C,2,FALSE)), "Not Found", VLOOKUP(A3901,'Master List'!A:C,2,FALSE)))</f>
        <v>Name</v>
      </c>
      <c r="D3901" s="19" t="str">
        <f>IF(ISBLANK(A3901), "Email",IF(ISNA(VLOOKUP(A3901,'Master List'!A:C,3,FALSE)), "Not Found", VLOOKUP(A3901,'Master List'!A:C,3,FALSE)))</f>
        <v>Email</v>
      </c>
      <c r="F3901" s="4" t="str">
        <f>IF(OR(A3901="",E3901="","",A3901="?",E3901="?"),"duplicate?",IF(COUNTIFS($A:A,A3901,E:E,E3901)&gt;1,"yes","no"))</f>
        <v>duplicate?</v>
      </c>
      <c r="K3901" s="97" t="str">
        <f ca="1">IF(J3901="","Date",IF(J3901&lt;&gt;"",IF(K3901="Date",NOW(),K3901),""))</f>
        <v>Date</v>
      </c>
    </row>
    <row r="3902" spans="2:11">
      <c r="B3902" s="97" t="str">
        <f ca="1">IF(A3902="","Date",IF(A3902&lt;&gt;"",IF(B3902="Date",NOW(),B3902),""))</f>
        <v>Date</v>
      </c>
      <c r="C3902" s="19" t="str">
        <f>IF(ISBLANK(A3902),"Name",IF(ISNA(VLOOKUP(A3902,'Master List'!A:C,2,FALSE)), "Not Found", VLOOKUP(A3902,'Master List'!A:C,2,FALSE)))</f>
        <v>Name</v>
      </c>
      <c r="D3902" s="19" t="str">
        <f>IF(ISBLANK(A3902), "Email",IF(ISNA(VLOOKUP(A3902,'Master List'!A:C,3,FALSE)), "Not Found", VLOOKUP(A3902,'Master List'!A:C,3,FALSE)))</f>
        <v>Email</v>
      </c>
      <c r="F3902" s="4" t="str">
        <f>IF(OR(A3902="",E3902="","",A3902="?",E3902="?"),"duplicate?",IF(COUNTIFS($A:A,A3902,E:E,E3902)&gt;1,"yes","no"))</f>
        <v>duplicate?</v>
      </c>
      <c r="K3902" s="97" t="str">
        <f ca="1">IF(J3902="","Date",IF(J3902&lt;&gt;"",IF(K3902="Date",NOW(),K3902),""))</f>
        <v>Date</v>
      </c>
    </row>
    <row r="3903" spans="2:11">
      <c r="B3903" s="97" t="str">
        <f ca="1">IF(A3903="","Date",IF(A3903&lt;&gt;"",IF(B3903="Date",NOW(),B3903),""))</f>
        <v>Date</v>
      </c>
      <c r="C3903" s="19" t="str">
        <f>IF(ISBLANK(A3903),"Name",IF(ISNA(VLOOKUP(A3903,'Master List'!A:C,2,FALSE)), "Not Found", VLOOKUP(A3903,'Master List'!A:C,2,FALSE)))</f>
        <v>Name</v>
      </c>
      <c r="D3903" s="19" t="str">
        <f>IF(ISBLANK(A3903), "Email",IF(ISNA(VLOOKUP(A3903,'Master List'!A:C,3,FALSE)), "Not Found", VLOOKUP(A3903,'Master List'!A:C,3,FALSE)))</f>
        <v>Email</v>
      </c>
      <c r="F3903" s="4" t="str">
        <f>IF(OR(A3903="",E3903="","",A3903="?",E3903="?"),"duplicate?",IF(COUNTIFS($A:A,A3903,E:E,E3903)&gt;1,"yes","no"))</f>
        <v>duplicate?</v>
      </c>
      <c r="K3903" s="97" t="str">
        <f ca="1">IF(J3903="","Date",IF(J3903&lt;&gt;"",IF(K3903="Date",NOW(),K3903),""))</f>
        <v>Date</v>
      </c>
    </row>
    <row r="3904" spans="2:11">
      <c r="B3904" s="97" t="str">
        <f ca="1">IF(A3904="","Date",IF(A3904&lt;&gt;"",IF(B3904="Date",NOW(),B3904),""))</f>
        <v>Date</v>
      </c>
      <c r="C3904" s="19" t="str">
        <f>IF(ISBLANK(A3904),"Name",IF(ISNA(VLOOKUP(A3904,'Master List'!A:C,2,FALSE)), "Not Found", VLOOKUP(A3904,'Master List'!A:C,2,FALSE)))</f>
        <v>Name</v>
      </c>
      <c r="D3904" s="19" t="str">
        <f>IF(ISBLANK(A3904), "Email",IF(ISNA(VLOOKUP(A3904,'Master List'!A:C,3,FALSE)), "Not Found", VLOOKUP(A3904,'Master List'!A:C,3,FALSE)))</f>
        <v>Email</v>
      </c>
      <c r="F3904" s="4" t="str">
        <f>IF(OR(A3904="",E3904="","",A3904="?",E3904="?"),"duplicate?",IF(COUNTIFS($A:A,A3904,E:E,E3904)&gt;1,"yes","no"))</f>
        <v>duplicate?</v>
      </c>
      <c r="K3904" s="97" t="str">
        <f ca="1">IF(J3904="","Date",IF(J3904&lt;&gt;"",IF(K3904="Date",NOW(),K3904),""))</f>
        <v>Date</v>
      </c>
    </row>
    <row r="3905" spans="2:11">
      <c r="B3905" s="97" t="str">
        <f ca="1">IF(A3905="","Date",IF(A3905&lt;&gt;"",IF(B3905="Date",NOW(),B3905),""))</f>
        <v>Date</v>
      </c>
      <c r="C3905" s="19" t="str">
        <f>IF(ISBLANK(A3905),"Name",IF(ISNA(VLOOKUP(A3905,'Master List'!A:C,2,FALSE)), "Not Found", VLOOKUP(A3905,'Master List'!A:C,2,FALSE)))</f>
        <v>Name</v>
      </c>
      <c r="D3905" s="19" t="str">
        <f>IF(ISBLANK(A3905), "Email",IF(ISNA(VLOOKUP(A3905,'Master List'!A:C,3,FALSE)), "Not Found", VLOOKUP(A3905,'Master List'!A:C,3,FALSE)))</f>
        <v>Email</v>
      </c>
      <c r="F3905" s="4" t="str">
        <f>IF(OR(A3905="",E3905="","",A3905="?",E3905="?"),"duplicate?",IF(COUNTIFS($A:A,A3905,E:E,E3905)&gt;1,"yes","no"))</f>
        <v>duplicate?</v>
      </c>
      <c r="K3905" s="97" t="str">
        <f ca="1">IF(J3905="","Date",IF(J3905&lt;&gt;"",IF(K3905="Date",NOW(),K3905),""))</f>
        <v>Date</v>
      </c>
    </row>
    <row r="3906" spans="2:11">
      <c r="B3906" s="97" t="str">
        <f ca="1">IF(A3906="","Date",IF(A3906&lt;&gt;"",IF(B3906="Date",NOW(),B3906),""))</f>
        <v>Date</v>
      </c>
      <c r="C3906" s="19" t="str">
        <f>IF(ISBLANK(A3906),"Name",IF(ISNA(VLOOKUP(A3906,'Master List'!A:C,2,FALSE)), "Not Found", VLOOKUP(A3906,'Master List'!A:C,2,FALSE)))</f>
        <v>Name</v>
      </c>
      <c r="D3906" s="19" t="str">
        <f>IF(ISBLANK(A3906), "Email",IF(ISNA(VLOOKUP(A3906,'Master List'!A:C,3,FALSE)), "Not Found", VLOOKUP(A3906,'Master List'!A:C,3,FALSE)))</f>
        <v>Email</v>
      </c>
      <c r="F3906" s="4" t="str">
        <f>IF(OR(A3906="",E3906="","",A3906="?",E3906="?"),"duplicate?",IF(COUNTIFS($A:A,A3906,E:E,E3906)&gt;1,"yes","no"))</f>
        <v>duplicate?</v>
      </c>
      <c r="K3906" s="97" t="str">
        <f ca="1">IF(J3906="","Date",IF(J3906&lt;&gt;"",IF(K3906="Date",NOW(),K3906),""))</f>
        <v>Date</v>
      </c>
    </row>
    <row r="3907" spans="2:11">
      <c r="B3907" s="97" t="str">
        <f ca="1">IF(A3907="","Date",IF(A3907&lt;&gt;"",IF(B3907="Date",NOW(),B3907),""))</f>
        <v>Date</v>
      </c>
      <c r="C3907" s="19" t="str">
        <f>IF(ISBLANK(A3907),"Name",IF(ISNA(VLOOKUP(A3907,'Master List'!A:C,2,FALSE)), "Not Found", VLOOKUP(A3907,'Master List'!A:C,2,FALSE)))</f>
        <v>Name</v>
      </c>
      <c r="D3907" s="19" t="str">
        <f>IF(ISBLANK(A3907), "Email",IF(ISNA(VLOOKUP(A3907,'Master List'!A:C,3,FALSE)), "Not Found", VLOOKUP(A3907,'Master List'!A:C,3,FALSE)))</f>
        <v>Email</v>
      </c>
      <c r="F3907" s="4" t="str">
        <f>IF(OR(A3907="",E3907="","",A3907="?",E3907="?"),"duplicate?",IF(COUNTIFS($A:A,A3907,E:E,E3907)&gt;1,"yes","no"))</f>
        <v>duplicate?</v>
      </c>
      <c r="K3907" s="97" t="str">
        <f ca="1">IF(J3907="","Date",IF(J3907&lt;&gt;"",IF(K3907="Date",NOW(),K3907),""))</f>
        <v>Date</v>
      </c>
    </row>
    <row r="3908" spans="2:11">
      <c r="B3908" s="97" t="str">
        <f ca="1">IF(A3908="","Date",IF(A3908&lt;&gt;"",IF(B3908="Date",NOW(),B3908),""))</f>
        <v>Date</v>
      </c>
      <c r="C3908" s="19" t="str">
        <f>IF(ISBLANK(A3908),"Name",IF(ISNA(VLOOKUP(A3908,'Master List'!A:C,2,FALSE)), "Not Found", VLOOKUP(A3908,'Master List'!A:C,2,FALSE)))</f>
        <v>Name</v>
      </c>
      <c r="D3908" s="19" t="str">
        <f>IF(ISBLANK(A3908), "Email",IF(ISNA(VLOOKUP(A3908,'Master List'!A:C,3,FALSE)), "Not Found", VLOOKUP(A3908,'Master List'!A:C,3,FALSE)))</f>
        <v>Email</v>
      </c>
      <c r="F3908" s="4" t="str">
        <f>IF(OR(A3908="",E3908="","",A3908="?",E3908="?"),"duplicate?",IF(COUNTIFS($A:A,A3908,E:E,E3908)&gt;1,"yes","no"))</f>
        <v>duplicate?</v>
      </c>
      <c r="K3908" s="97" t="str">
        <f ca="1">IF(J3908="","Date",IF(J3908&lt;&gt;"",IF(K3908="Date",NOW(),K3908),""))</f>
        <v>Date</v>
      </c>
    </row>
    <row r="3909" spans="2:11">
      <c r="B3909" s="97" t="str">
        <f ca="1">IF(A3909="","Date",IF(A3909&lt;&gt;"",IF(B3909="Date",NOW(),B3909),""))</f>
        <v>Date</v>
      </c>
      <c r="C3909" s="19" t="str">
        <f>IF(ISBLANK(A3909),"Name",IF(ISNA(VLOOKUP(A3909,'Master List'!A:C,2,FALSE)), "Not Found", VLOOKUP(A3909,'Master List'!A:C,2,FALSE)))</f>
        <v>Name</v>
      </c>
      <c r="D3909" s="19" t="str">
        <f>IF(ISBLANK(A3909), "Email",IF(ISNA(VLOOKUP(A3909,'Master List'!A:C,3,FALSE)), "Not Found", VLOOKUP(A3909,'Master List'!A:C,3,FALSE)))</f>
        <v>Email</v>
      </c>
      <c r="F3909" s="4" t="str">
        <f>IF(OR(A3909="",E3909="","",A3909="?",E3909="?"),"duplicate?",IF(COUNTIFS($A:A,A3909,E:E,E3909)&gt;1,"yes","no"))</f>
        <v>duplicate?</v>
      </c>
      <c r="K3909" s="97" t="str">
        <f ca="1">IF(J3909="","Date",IF(J3909&lt;&gt;"",IF(K3909="Date",NOW(),K3909),""))</f>
        <v>Date</v>
      </c>
    </row>
    <row r="3910" spans="2:11">
      <c r="B3910" s="97" t="str">
        <f ca="1">IF(A3910="","Date",IF(A3910&lt;&gt;"",IF(B3910="Date",NOW(),B3910),""))</f>
        <v>Date</v>
      </c>
      <c r="C3910" s="19" t="str">
        <f>IF(ISBLANK(A3910),"Name",IF(ISNA(VLOOKUP(A3910,'Master List'!A:C,2,FALSE)), "Not Found", VLOOKUP(A3910,'Master List'!A:C,2,FALSE)))</f>
        <v>Name</v>
      </c>
      <c r="D3910" s="19" t="str">
        <f>IF(ISBLANK(A3910), "Email",IF(ISNA(VLOOKUP(A3910,'Master List'!A:C,3,FALSE)), "Not Found", VLOOKUP(A3910,'Master List'!A:C,3,FALSE)))</f>
        <v>Email</v>
      </c>
      <c r="F3910" s="4" t="str">
        <f>IF(OR(A3910="",E3910="","",A3910="?",E3910="?"),"duplicate?",IF(COUNTIFS($A:A,A3910,E:E,E3910)&gt;1,"yes","no"))</f>
        <v>duplicate?</v>
      </c>
      <c r="K3910" s="97" t="str">
        <f ca="1">IF(J3910="","Date",IF(J3910&lt;&gt;"",IF(K3910="Date",NOW(),K3910),""))</f>
        <v>Date</v>
      </c>
    </row>
    <row r="3911" spans="2:11">
      <c r="B3911" s="97" t="str">
        <f ca="1">IF(A3911="","Date",IF(A3911&lt;&gt;"",IF(B3911="Date",NOW(),B3911),""))</f>
        <v>Date</v>
      </c>
      <c r="C3911" s="19" t="str">
        <f>IF(ISBLANK(A3911),"Name",IF(ISNA(VLOOKUP(A3911,'Master List'!A:C,2,FALSE)), "Not Found", VLOOKUP(A3911,'Master List'!A:C,2,FALSE)))</f>
        <v>Name</v>
      </c>
      <c r="D3911" s="19" t="str">
        <f>IF(ISBLANK(A3911), "Email",IF(ISNA(VLOOKUP(A3911,'Master List'!A:C,3,FALSE)), "Not Found", VLOOKUP(A3911,'Master List'!A:C,3,FALSE)))</f>
        <v>Email</v>
      </c>
      <c r="F3911" s="4" t="str">
        <f>IF(OR(A3911="",E3911="","",A3911="?",E3911="?"),"duplicate?",IF(COUNTIFS($A:A,A3911,E:E,E3911)&gt;1,"yes","no"))</f>
        <v>duplicate?</v>
      </c>
      <c r="K3911" s="97" t="str">
        <f ca="1">IF(J3911="","Date",IF(J3911&lt;&gt;"",IF(K3911="Date",NOW(),K3911),""))</f>
        <v>Date</v>
      </c>
    </row>
    <row r="3912" spans="2:11">
      <c r="B3912" s="97" t="str">
        <f ca="1">IF(A3912="","Date",IF(A3912&lt;&gt;"",IF(B3912="Date",NOW(),B3912),""))</f>
        <v>Date</v>
      </c>
      <c r="C3912" s="19" t="str">
        <f>IF(ISBLANK(A3912),"Name",IF(ISNA(VLOOKUP(A3912,'Master List'!A:C,2,FALSE)), "Not Found", VLOOKUP(A3912,'Master List'!A:C,2,FALSE)))</f>
        <v>Name</v>
      </c>
      <c r="D3912" s="19" t="str">
        <f>IF(ISBLANK(A3912), "Email",IF(ISNA(VLOOKUP(A3912,'Master List'!A:C,3,FALSE)), "Not Found", VLOOKUP(A3912,'Master List'!A:C,3,FALSE)))</f>
        <v>Email</v>
      </c>
      <c r="F3912" s="4" t="str">
        <f>IF(OR(A3912="",E3912="","",A3912="?",E3912="?"),"duplicate?",IF(COUNTIFS($A:A,A3912,E:E,E3912)&gt;1,"yes","no"))</f>
        <v>duplicate?</v>
      </c>
      <c r="K3912" s="97" t="str">
        <f ca="1">IF(J3912="","Date",IF(J3912&lt;&gt;"",IF(K3912="Date",NOW(),K3912),""))</f>
        <v>Date</v>
      </c>
    </row>
    <row r="3913" spans="2:11">
      <c r="B3913" s="97" t="str">
        <f ca="1">IF(A3913="","Date",IF(A3913&lt;&gt;"",IF(B3913="Date",NOW(),B3913),""))</f>
        <v>Date</v>
      </c>
      <c r="C3913" s="19" t="str">
        <f>IF(ISBLANK(A3913),"Name",IF(ISNA(VLOOKUP(A3913,'Master List'!A:C,2,FALSE)), "Not Found", VLOOKUP(A3913,'Master List'!A:C,2,FALSE)))</f>
        <v>Name</v>
      </c>
      <c r="D3913" s="19" t="str">
        <f>IF(ISBLANK(A3913), "Email",IF(ISNA(VLOOKUP(A3913,'Master List'!A:C,3,FALSE)), "Not Found", VLOOKUP(A3913,'Master List'!A:C,3,FALSE)))</f>
        <v>Email</v>
      </c>
      <c r="F3913" s="4" t="str">
        <f>IF(OR(A3913="",E3913="","",A3913="?",E3913="?"),"duplicate?",IF(COUNTIFS($A:A,A3913,E:E,E3913)&gt;1,"yes","no"))</f>
        <v>duplicate?</v>
      </c>
      <c r="K3913" s="97" t="str">
        <f ca="1">IF(J3913="","Date",IF(J3913&lt;&gt;"",IF(K3913="Date",NOW(),K3913),""))</f>
        <v>Date</v>
      </c>
    </row>
    <row r="3914" spans="2:11">
      <c r="B3914" s="97" t="str">
        <f ca="1">IF(A3914="","Date",IF(A3914&lt;&gt;"",IF(B3914="Date",NOW(),B3914),""))</f>
        <v>Date</v>
      </c>
      <c r="C3914" s="19" t="str">
        <f>IF(ISBLANK(A3914),"Name",IF(ISNA(VLOOKUP(A3914,'Master List'!A:C,2,FALSE)), "Not Found", VLOOKUP(A3914,'Master List'!A:C,2,FALSE)))</f>
        <v>Name</v>
      </c>
      <c r="D3914" s="19" t="str">
        <f>IF(ISBLANK(A3914), "Email",IF(ISNA(VLOOKUP(A3914,'Master List'!A:C,3,FALSE)), "Not Found", VLOOKUP(A3914,'Master List'!A:C,3,FALSE)))</f>
        <v>Email</v>
      </c>
      <c r="F3914" s="4" t="str">
        <f>IF(OR(A3914="",E3914="","",A3914="?",E3914="?"),"duplicate?",IF(COUNTIFS($A:A,A3914,E:E,E3914)&gt;1,"yes","no"))</f>
        <v>duplicate?</v>
      </c>
      <c r="K3914" s="97" t="str">
        <f ca="1">IF(J3914="","Date",IF(J3914&lt;&gt;"",IF(K3914="Date",NOW(),K3914),""))</f>
        <v>Date</v>
      </c>
    </row>
    <row r="3915" spans="2:11">
      <c r="B3915" s="97" t="str">
        <f ca="1">IF(A3915="","Date",IF(A3915&lt;&gt;"",IF(B3915="Date",NOW(),B3915),""))</f>
        <v>Date</v>
      </c>
      <c r="C3915" s="19" t="str">
        <f>IF(ISBLANK(A3915),"Name",IF(ISNA(VLOOKUP(A3915,'Master List'!A:C,2,FALSE)), "Not Found", VLOOKUP(A3915,'Master List'!A:C,2,FALSE)))</f>
        <v>Name</v>
      </c>
      <c r="D3915" s="19" t="str">
        <f>IF(ISBLANK(A3915), "Email",IF(ISNA(VLOOKUP(A3915,'Master List'!A:C,3,FALSE)), "Not Found", VLOOKUP(A3915,'Master List'!A:C,3,FALSE)))</f>
        <v>Email</v>
      </c>
      <c r="F3915" s="4" t="str">
        <f>IF(OR(A3915="",E3915="","",A3915="?",E3915="?"),"duplicate?",IF(COUNTIFS($A:A,A3915,E:E,E3915)&gt;1,"yes","no"))</f>
        <v>duplicate?</v>
      </c>
      <c r="K3915" s="97" t="str">
        <f ca="1">IF(J3915="","Date",IF(J3915&lt;&gt;"",IF(K3915="Date",NOW(),K3915),""))</f>
        <v>Date</v>
      </c>
    </row>
    <row r="3916" spans="2:11">
      <c r="B3916" s="97" t="str">
        <f ca="1">IF(A3916="","Date",IF(A3916&lt;&gt;"",IF(B3916="Date",NOW(),B3916),""))</f>
        <v>Date</v>
      </c>
      <c r="C3916" s="19" t="str">
        <f>IF(ISBLANK(A3916),"Name",IF(ISNA(VLOOKUP(A3916,'Master List'!A:C,2,FALSE)), "Not Found", VLOOKUP(A3916,'Master List'!A:C,2,FALSE)))</f>
        <v>Name</v>
      </c>
      <c r="D3916" s="19" t="str">
        <f>IF(ISBLANK(A3916), "Email",IF(ISNA(VLOOKUP(A3916,'Master List'!A:C,3,FALSE)), "Not Found", VLOOKUP(A3916,'Master List'!A:C,3,FALSE)))</f>
        <v>Email</v>
      </c>
      <c r="F3916" s="4" t="str">
        <f>IF(OR(A3916="",E3916="","",A3916="?",E3916="?"),"duplicate?",IF(COUNTIFS($A:A,A3916,E:E,E3916)&gt;1,"yes","no"))</f>
        <v>duplicate?</v>
      </c>
      <c r="K3916" s="97" t="str">
        <f ca="1">IF(J3916="","Date",IF(J3916&lt;&gt;"",IF(K3916="Date",NOW(),K3916),""))</f>
        <v>Date</v>
      </c>
    </row>
    <row r="3917" spans="2:11">
      <c r="B3917" s="97" t="str">
        <f ca="1">IF(A3917="","Date",IF(A3917&lt;&gt;"",IF(B3917="Date",NOW(),B3917),""))</f>
        <v>Date</v>
      </c>
      <c r="C3917" s="19" t="str">
        <f>IF(ISBLANK(A3917),"Name",IF(ISNA(VLOOKUP(A3917,'Master List'!A:C,2,FALSE)), "Not Found", VLOOKUP(A3917,'Master List'!A:C,2,FALSE)))</f>
        <v>Name</v>
      </c>
      <c r="D3917" s="19" t="str">
        <f>IF(ISBLANK(A3917), "Email",IF(ISNA(VLOOKUP(A3917,'Master List'!A:C,3,FALSE)), "Not Found", VLOOKUP(A3917,'Master List'!A:C,3,FALSE)))</f>
        <v>Email</v>
      </c>
      <c r="F3917" s="4" t="str">
        <f>IF(OR(A3917="",E3917="","",A3917="?",E3917="?"),"duplicate?",IF(COUNTIFS($A:A,A3917,E:E,E3917)&gt;1,"yes","no"))</f>
        <v>duplicate?</v>
      </c>
      <c r="K3917" s="97" t="str">
        <f ca="1">IF(J3917="","Date",IF(J3917&lt;&gt;"",IF(K3917="Date",NOW(),K3917),""))</f>
        <v>Date</v>
      </c>
    </row>
    <row r="3918" spans="2:11">
      <c r="B3918" s="97" t="str">
        <f ca="1">IF(A3918="","Date",IF(A3918&lt;&gt;"",IF(B3918="Date",NOW(),B3918),""))</f>
        <v>Date</v>
      </c>
      <c r="C3918" s="19" t="str">
        <f>IF(ISBLANK(A3918),"Name",IF(ISNA(VLOOKUP(A3918,'Master List'!A:C,2,FALSE)), "Not Found", VLOOKUP(A3918,'Master List'!A:C,2,FALSE)))</f>
        <v>Name</v>
      </c>
      <c r="D3918" s="19" t="str">
        <f>IF(ISBLANK(A3918), "Email",IF(ISNA(VLOOKUP(A3918,'Master List'!A:C,3,FALSE)), "Not Found", VLOOKUP(A3918,'Master List'!A:C,3,FALSE)))</f>
        <v>Email</v>
      </c>
      <c r="F3918" s="4" t="str">
        <f>IF(OR(A3918="",E3918="","",A3918="?",E3918="?"),"duplicate?",IF(COUNTIFS($A:A,A3918,E:E,E3918)&gt;1,"yes","no"))</f>
        <v>duplicate?</v>
      </c>
      <c r="K3918" s="97" t="str">
        <f ca="1">IF(J3918="","Date",IF(J3918&lt;&gt;"",IF(K3918="Date",NOW(),K3918),""))</f>
        <v>Date</v>
      </c>
    </row>
    <row r="3919" spans="2:11">
      <c r="B3919" s="97" t="str">
        <f ca="1">IF(A3919="","Date",IF(A3919&lt;&gt;"",IF(B3919="Date",NOW(),B3919),""))</f>
        <v>Date</v>
      </c>
      <c r="C3919" s="19" t="str">
        <f>IF(ISBLANK(A3919),"Name",IF(ISNA(VLOOKUP(A3919,'Master List'!A:C,2,FALSE)), "Not Found", VLOOKUP(A3919,'Master List'!A:C,2,FALSE)))</f>
        <v>Name</v>
      </c>
      <c r="D3919" s="19" t="str">
        <f>IF(ISBLANK(A3919), "Email",IF(ISNA(VLOOKUP(A3919,'Master List'!A:C,3,FALSE)), "Not Found", VLOOKUP(A3919,'Master List'!A:C,3,FALSE)))</f>
        <v>Email</v>
      </c>
      <c r="F3919" s="4" t="str">
        <f>IF(OR(A3919="",E3919="","",A3919="?",E3919="?"),"duplicate?",IF(COUNTIFS($A:A,A3919,E:E,E3919)&gt;1,"yes","no"))</f>
        <v>duplicate?</v>
      </c>
      <c r="K3919" s="97" t="str">
        <f ca="1">IF(J3919="","Date",IF(J3919&lt;&gt;"",IF(K3919="Date",NOW(),K3919),""))</f>
        <v>Date</v>
      </c>
    </row>
    <row r="3920" spans="2:11">
      <c r="B3920" s="97" t="str">
        <f ca="1">IF(A3920="","Date",IF(A3920&lt;&gt;"",IF(B3920="Date",NOW(),B3920),""))</f>
        <v>Date</v>
      </c>
      <c r="C3920" s="19" t="str">
        <f>IF(ISBLANK(A3920),"Name",IF(ISNA(VLOOKUP(A3920,'Master List'!A:C,2,FALSE)), "Not Found", VLOOKUP(A3920,'Master List'!A:C,2,FALSE)))</f>
        <v>Name</v>
      </c>
      <c r="D3920" s="19" t="str">
        <f>IF(ISBLANK(A3920), "Email",IF(ISNA(VLOOKUP(A3920,'Master List'!A:C,3,FALSE)), "Not Found", VLOOKUP(A3920,'Master List'!A:C,3,FALSE)))</f>
        <v>Email</v>
      </c>
      <c r="F3920" s="4" t="str">
        <f>IF(OR(A3920="",E3920="","",A3920="?",E3920="?"),"duplicate?",IF(COUNTIFS($A:A,A3920,E:E,E3920)&gt;1,"yes","no"))</f>
        <v>duplicate?</v>
      </c>
      <c r="K3920" s="97" t="str">
        <f ca="1">IF(J3920="","Date",IF(J3920&lt;&gt;"",IF(K3920="Date",NOW(),K3920),""))</f>
        <v>Date</v>
      </c>
    </row>
    <row r="3921" spans="2:11">
      <c r="B3921" s="97" t="str">
        <f ca="1">IF(A3921="","Date",IF(A3921&lt;&gt;"",IF(B3921="Date",NOW(),B3921),""))</f>
        <v>Date</v>
      </c>
      <c r="C3921" s="19" t="str">
        <f>IF(ISBLANK(A3921),"Name",IF(ISNA(VLOOKUP(A3921,'Master List'!A:C,2,FALSE)), "Not Found", VLOOKUP(A3921,'Master List'!A:C,2,FALSE)))</f>
        <v>Name</v>
      </c>
      <c r="D3921" s="19" t="str">
        <f>IF(ISBLANK(A3921), "Email",IF(ISNA(VLOOKUP(A3921,'Master List'!A:C,3,FALSE)), "Not Found", VLOOKUP(A3921,'Master List'!A:C,3,FALSE)))</f>
        <v>Email</v>
      </c>
      <c r="F3921" s="4" t="str">
        <f>IF(OR(A3921="",E3921="","",A3921="?",E3921="?"),"duplicate?",IF(COUNTIFS($A:A,A3921,E:E,E3921)&gt;1,"yes","no"))</f>
        <v>duplicate?</v>
      </c>
      <c r="K3921" s="97" t="str">
        <f ca="1">IF(J3921="","Date",IF(J3921&lt;&gt;"",IF(K3921="Date",NOW(),K3921),""))</f>
        <v>Date</v>
      </c>
    </row>
    <row r="3922" spans="2:11">
      <c r="B3922" s="97" t="str">
        <f ca="1">IF(A3922="","Date",IF(A3922&lt;&gt;"",IF(B3922="Date",NOW(),B3922),""))</f>
        <v>Date</v>
      </c>
      <c r="C3922" s="19" t="str">
        <f>IF(ISBLANK(A3922),"Name",IF(ISNA(VLOOKUP(A3922,'Master List'!A:C,2,FALSE)), "Not Found", VLOOKUP(A3922,'Master List'!A:C,2,FALSE)))</f>
        <v>Name</v>
      </c>
      <c r="D3922" s="19" t="str">
        <f>IF(ISBLANK(A3922), "Email",IF(ISNA(VLOOKUP(A3922,'Master List'!A:C,3,FALSE)), "Not Found", VLOOKUP(A3922,'Master List'!A:C,3,FALSE)))</f>
        <v>Email</v>
      </c>
      <c r="F3922" s="4" t="str">
        <f>IF(OR(A3922="",E3922="","",A3922="?",E3922="?"),"duplicate?",IF(COUNTIFS($A:A,A3922,E:E,E3922)&gt;1,"yes","no"))</f>
        <v>duplicate?</v>
      </c>
      <c r="K3922" s="97" t="str">
        <f ca="1">IF(J3922="","Date",IF(J3922&lt;&gt;"",IF(K3922="Date",NOW(),K3922),""))</f>
        <v>Date</v>
      </c>
    </row>
    <row r="3923" spans="2:11">
      <c r="B3923" s="97" t="str">
        <f ca="1">IF(A3923="","Date",IF(A3923&lt;&gt;"",IF(B3923="Date",NOW(),B3923),""))</f>
        <v>Date</v>
      </c>
      <c r="C3923" s="19" t="str">
        <f>IF(ISBLANK(A3923),"Name",IF(ISNA(VLOOKUP(A3923,'Master List'!A:C,2,FALSE)), "Not Found", VLOOKUP(A3923,'Master List'!A:C,2,FALSE)))</f>
        <v>Name</v>
      </c>
      <c r="D3923" s="19" t="str">
        <f>IF(ISBLANK(A3923), "Email",IF(ISNA(VLOOKUP(A3923,'Master List'!A:C,3,FALSE)), "Not Found", VLOOKUP(A3923,'Master List'!A:C,3,FALSE)))</f>
        <v>Email</v>
      </c>
      <c r="F3923" s="4" t="str">
        <f>IF(OR(A3923="",E3923="","",A3923="?",E3923="?"),"duplicate?",IF(COUNTIFS($A:A,A3923,E:E,E3923)&gt;1,"yes","no"))</f>
        <v>duplicate?</v>
      </c>
      <c r="K3923" s="97" t="str">
        <f ca="1">IF(J3923="","Date",IF(J3923&lt;&gt;"",IF(K3923="Date",NOW(),K3923),""))</f>
        <v>Date</v>
      </c>
    </row>
    <row r="3924" spans="2:11">
      <c r="B3924" s="97" t="str">
        <f ca="1">IF(A3924="","Date",IF(A3924&lt;&gt;"",IF(B3924="Date",NOW(),B3924),""))</f>
        <v>Date</v>
      </c>
      <c r="C3924" s="19" t="str">
        <f>IF(ISBLANK(A3924),"Name",IF(ISNA(VLOOKUP(A3924,'Master List'!A:C,2,FALSE)), "Not Found", VLOOKUP(A3924,'Master List'!A:C,2,FALSE)))</f>
        <v>Name</v>
      </c>
      <c r="D3924" s="19" t="str">
        <f>IF(ISBLANK(A3924), "Email",IF(ISNA(VLOOKUP(A3924,'Master List'!A:C,3,FALSE)), "Not Found", VLOOKUP(A3924,'Master List'!A:C,3,FALSE)))</f>
        <v>Email</v>
      </c>
      <c r="F3924" s="4" t="str">
        <f>IF(OR(A3924="",E3924="","",A3924="?",E3924="?"),"duplicate?",IF(COUNTIFS($A:A,A3924,E:E,E3924)&gt;1,"yes","no"))</f>
        <v>duplicate?</v>
      </c>
      <c r="K3924" s="97" t="str">
        <f ca="1">IF(J3924="","Date",IF(J3924&lt;&gt;"",IF(K3924="Date",NOW(),K3924),""))</f>
        <v>Date</v>
      </c>
    </row>
    <row r="3925" spans="2:11">
      <c r="B3925" s="97" t="str">
        <f ca="1">IF(A3925="","Date",IF(A3925&lt;&gt;"",IF(B3925="Date",NOW(),B3925),""))</f>
        <v>Date</v>
      </c>
      <c r="C3925" s="19" t="str">
        <f>IF(ISBLANK(A3925),"Name",IF(ISNA(VLOOKUP(A3925,'Master List'!A:C,2,FALSE)), "Not Found", VLOOKUP(A3925,'Master List'!A:C,2,FALSE)))</f>
        <v>Name</v>
      </c>
      <c r="D3925" s="19" t="str">
        <f>IF(ISBLANK(A3925), "Email",IF(ISNA(VLOOKUP(A3925,'Master List'!A:C,3,FALSE)), "Not Found", VLOOKUP(A3925,'Master List'!A:C,3,FALSE)))</f>
        <v>Email</v>
      </c>
      <c r="F3925" s="4" t="str">
        <f>IF(OR(A3925="",E3925="","",A3925="?",E3925="?"),"duplicate?",IF(COUNTIFS($A:A,A3925,E:E,E3925)&gt;1,"yes","no"))</f>
        <v>duplicate?</v>
      </c>
      <c r="K3925" s="97" t="str">
        <f ca="1">IF(J3925="","Date",IF(J3925&lt;&gt;"",IF(K3925="Date",NOW(),K3925),""))</f>
        <v>Date</v>
      </c>
    </row>
    <row r="3926" spans="2:11">
      <c r="B3926" s="97" t="str">
        <f ca="1">IF(A3926="","Date",IF(A3926&lt;&gt;"",IF(B3926="Date",NOW(),B3926),""))</f>
        <v>Date</v>
      </c>
      <c r="C3926" s="19" t="str">
        <f>IF(ISBLANK(A3926),"Name",IF(ISNA(VLOOKUP(A3926,'Master List'!A:C,2,FALSE)), "Not Found", VLOOKUP(A3926,'Master List'!A:C,2,FALSE)))</f>
        <v>Name</v>
      </c>
      <c r="D3926" s="19" t="str">
        <f>IF(ISBLANK(A3926), "Email",IF(ISNA(VLOOKUP(A3926,'Master List'!A:C,3,FALSE)), "Not Found", VLOOKUP(A3926,'Master List'!A:C,3,FALSE)))</f>
        <v>Email</v>
      </c>
      <c r="F3926" s="4" t="str">
        <f>IF(OR(A3926="",E3926="","",A3926="?",E3926="?"),"duplicate?",IF(COUNTIFS($A:A,A3926,E:E,E3926)&gt;1,"yes","no"))</f>
        <v>duplicate?</v>
      </c>
      <c r="K3926" s="97" t="str">
        <f ca="1">IF(J3926="","Date",IF(J3926&lt;&gt;"",IF(K3926="Date",NOW(),K3926),""))</f>
        <v>Date</v>
      </c>
    </row>
    <row r="3927" spans="2:11">
      <c r="B3927" s="97" t="str">
        <f ca="1">IF(A3927="","Date",IF(A3927&lt;&gt;"",IF(B3927="Date",NOW(),B3927),""))</f>
        <v>Date</v>
      </c>
      <c r="C3927" s="19" t="str">
        <f>IF(ISBLANK(A3927),"Name",IF(ISNA(VLOOKUP(A3927,'Master List'!A:C,2,FALSE)), "Not Found", VLOOKUP(A3927,'Master List'!A:C,2,FALSE)))</f>
        <v>Name</v>
      </c>
      <c r="D3927" s="19" t="str">
        <f>IF(ISBLANK(A3927), "Email",IF(ISNA(VLOOKUP(A3927,'Master List'!A:C,3,FALSE)), "Not Found", VLOOKUP(A3927,'Master List'!A:C,3,FALSE)))</f>
        <v>Email</v>
      </c>
      <c r="F3927" s="4" t="str">
        <f>IF(OR(A3927="",E3927="","",A3927="?",E3927="?"),"duplicate?",IF(COUNTIFS($A:A,A3927,E:E,E3927)&gt;1,"yes","no"))</f>
        <v>duplicate?</v>
      </c>
      <c r="K3927" s="97" t="str">
        <f ca="1">IF(J3927="","Date",IF(J3927&lt;&gt;"",IF(K3927="Date",NOW(),K3927),""))</f>
        <v>Date</v>
      </c>
    </row>
    <row r="3928" spans="2:11">
      <c r="B3928" s="97" t="str">
        <f ca="1">IF(A3928="","Date",IF(A3928&lt;&gt;"",IF(B3928="Date",NOW(),B3928),""))</f>
        <v>Date</v>
      </c>
      <c r="C3928" s="19" t="str">
        <f>IF(ISBLANK(A3928),"Name",IF(ISNA(VLOOKUP(A3928,'Master List'!A:C,2,FALSE)), "Not Found", VLOOKUP(A3928,'Master List'!A:C,2,FALSE)))</f>
        <v>Name</v>
      </c>
      <c r="D3928" s="19" t="str">
        <f>IF(ISBLANK(A3928), "Email",IF(ISNA(VLOOKUP(A3928,'Master List'!A:C,3,FALSE)), "Not Found", VLOOKUP(A3928,'Master List'!A:C,3,FALSE)))</f>
        <v>Email</v>
      </c>
      <c r="F3928" s="4" t="str">
        <f>IF(OR(A3928="",E3928="","",A3928="?",E3928="?"),"duplicate?",IF(COUNTIFS($A:A,A3928,E:E,E3928)&gt;1,"yes","no"))</f>
        <v>duplicate?</v>
      </c>
      <c r="K3928" s="97" t="str">
        <f ca="1">IF(J3928="","Date",IF(J3928&lt;&gt;"",IF(K3928="Date",NOW(),K3928),""))</f>
        <v>Date</v>
      </c>
    </row>
    <row r="3929" spans="2:11">
      <c r="B3929" s="97" t="str">
        <f ca="1">IF(A3929="","Date",IF(A3929&lt;&gt;"",IF(B3929="Date",NOW(),B3929),""))</f>
        <v>Date</v>
      </c>
      <c r="C3929" s="19" t="str">
        <f>IF(ISBLANK(A3929),"Name",IF(ISNA(VLOOKUP(A3929,'Master List'!A:C,2,FALSE)), "Not Found", VLOOKUP(A3929,'Master List'!A:C,2,FALSE)))</f>
        <v>Name</v>
      </c>
      <c r="D3929" s="19" t="str">
        <f>IF(ISBLANK(A3929), "Email",IF(ISNA(VLOOKUP(A3929,'Master List'!A:C,3,FALSE)), "Not Found", VLOOKUP(A3929,'Master List'!A:C,3,FALSE)))</f>
        <v>Email</v>
      </c>
      <c r="F3929" s="4" t="str">
        <f>IF(OR(A3929="",E3929="","",A3929="?",E3929="?"),"duplicate?",IF(COUNTIFS($A:A,A3929,E:E,E3929)&gt;1,"yes","no"))</f>
        <v>duplicate?</v>
      </c>
      <c r="K3929" s="97" t="str">
        <f ca="1">IF(J3929="","Date",IF(J3929&lt;&gt;"",IF(K3929="Date",NOW(),K3929),""))</f>
        <v>Date</v>
      </c>
    </row>
    <row r="3930" spans="2:11">
      <c r="B3930" s="97" t="str">
        <f ca="1">IF(A3930="","Date",IF(A3930&lt;&gt;"",IF(B3930="Date",NOW(),B3930),""))</f>
        <v>Date</v>
      </c>
      <c r="C3930" s="19" t="str">
        <f>IF(ISBLANK(A3930),"Name",IF(ISNA(VLOOKUP(A3930,'Master List'!A:C,2,FALSE)), "Not Found", VLOOKUP(A3930,'Master List'!A:C,2,FALSE)))</f>
        <v>Name</v>
      </c>
      <c r="D3930" s="19" t="str">
        <f>IF(ISBLANK(A3930), "Email",IF(ISNA(VLOOKUP(A3930,'Master List'!A:C,3,FALSE)), "Not Found", VLOOKUP(A3930,'Master List'!A:C,3,FALSE)))</f>
        <v>Email</v>
      </c>
      <c r="F3930" s="4" t="str">
        <f>IF(OR(A3930="",E3930="","",A3930="?",E3930="?"),"duplicate?",IF(COUNTIFS($A:A,A3930,E:E,E3930)&gt;1,"yes","no"))</f>
        <v>duplicate?</v>
      </c>
      <c r="K3930" s="97" t="str">
        <f ca="1">IF(J3930="","Date",IF(J3930&lt;&gt;"",IF(K3930="Date",NOW(),K3930),""))</f>
        <v>Date</v>
      </c>
    </row>
    <row r="3931" spans="2:11">
      <c r="B3931" s="97" t="str">
        <f ca="1">IF(A3931="","Date",IF(A3931&lt;&gt;"",IF(B3931="Date",NOW(),B3931),""))</f>
        <v>Date</v>
      </c>
      <c r="C3931" s="19" t="str">
        <f>IF(ISBLANK(A3931),"Name",IF(ISNA(VLOOKUP(A3931,'Master List'!A:C,2,FALSE)), "Not Found", VLOOKUP(A3931,'Master List'!A:C,2,FALSE)))</f>
        <v>Name</v>
      </c>
      <c r="D3931" s="19" t="str">
        <f>IF(ISBLANK(A3931), "Email",IF(ISNA(VLOOKUP(A3931,'Master List'!A:C,3,FALSE)), "Not Found", VLOOKUP(A3931,'Master List'!A:C,3,FALSE)))</f>
        <v>Email</v>
      </c>
      <c r="F3931" s="4" t="str">
        <f>IF(OR(A3931="",E3931="","",A3931="?",E3931="?"),"duplicate?",IF(COUNTIFS($A:A,A3931,E:E,E3931)&gt;1,"yes","no"))</f>
        <v>duplicate?</v>
      </c>
      <c r="K3931" s="97" t="str">
        <f ca="1">IF(J3931="","Date",IF(J3931&lt;&gt;"",IF(K3931="Date",NOW(),K3931),""))</f>
        <v>Date</v>
      </c>
    </row>
    <row r="3932" spans="2:11">
      <c r="B3932" s="97" t="str">
        <f ca="1">IF(A3932="","Date",IF(A3932&lt;&gt;"",IF(B3932="Date",NOW(),B3932),""))</f>
        <v>Date</v>
      </c>
      <c r="C3932" s="19" t="str">
        <f>IF(ISBLANK(A3932),"Name",IF(ISNA(VLOOKUP(A3932,'Master List'!A:C,2,FALSE)), "Not Found", VLOOKUP(A3932,'Master List'!A:C,2,FALSE)))</f>
        <v>Name</v>
      </c>
      <c r="D3932" s="19" t="str">
        <f>IF(ISBLANK(A3932), "Email",IF(ISNA(VLOOKUP(A3932,'Master List'!A:C,3,FALSE)), "Not Found", VLOOKUP(A3932,'Master List'!A:C,3,FALSE)))</f>
        <v>Email</v>
      </c>
      <c r="F3932" s="4" t="str">
        <f>IF(OR(A3932="",E3932="","",A3932="?",E3932="?"),"duplicate?",IF(COUNTIFS($A:A,A3932,E:E,E3932)&gt;1,"yes","no"))</f>
        <v>duplicate?</v>
      </c>
      <c r="K3932" s="97" t="str">
        <f ca="1">IF(J3932="","Date",IF(J3932&lt;&gt;"",IF(K3932="Date",NOW(),K3932),""))</f>
        <v>Date</v>
      </c>
    </row>
    <row r="3933" spans="2:11">
      <c r="B3933" s="97" t="str">
        <f ca="1">IF(A3933="","Date",IF(A3933&lt;&gt;"",IF(B3933="Date",NOW(),B3933),""))</f>
        <v>Date</v>
      </c>
      <c r="C3933" s="19" t="str">
        <f>IF(ISBLANK(A3933),"Name",IF(ISNA(VLOOKUP(A3933,'Master List'!A:C,2,FALSE)), "Not Found", VLOOKUP(A3933,'Master List'!A:C,2,FALSE)))</f>
        <v>Name</v>
      </c>
      <c r="D3933" s="19" t="str">
        <f>IF(ISBLANK(A3933), "Email",IF(ISNA(VLOOKUP(A3933,'Master List'!A:C,3,FALSE)), "Not Found", VLOOKUP(A3933,'Master List'!A:C,3,FALSE)))</f>
        <v>Email</v>
      </c>
      <c r="F3933" s="4" t="str">
        <f>IF(OR(A3933="",E3933="","",A3933="?",E3933="?"),"duplicate?",IF(COUNTIFS($A:A,A3933,E:E,E3933)&gt;1,"yes","no"))</f>
        <v>duplicate?</v>
      </c>
      <c r="K3933" s="97" t="str">
        <f ca="1">IF(J3933="","Date",IF(J3933&lt;&gt;"",IF(K3933="Date",NOW(),K3933),""))</f>
        <v>Date</v>
      </c>
    </row>
    <row r="3934" spans="2:11">
      <c r="B3934" s="97" t="str">
        <f ca="1">IF(A3934="","Date",IF(A3934&lt;&gt;"",IF(B3934="Date",NOW(),B3934),""))</f>
        <v>Date</v>
      </c>
      <c r="C3934" s="19" t="str">
        <f>IF(ISBLANK(A3934),"Name",IF(ISNA(VLOOKUP(A3934,'Master List'!A:C,2,FALSE)), "Not Found", VLOOKUP(A3934,'Master List'!A:C,2,FALSE)))</f>
        <v>Name</v>
      </c>
      <c r="D3934" s="19" t="str">
        <f>IF(ISBLANK(A3934), "Email",IF(ISNA(VLOOKUP(A3934,'Master List'!A:C,3,FALSE)), "Not Found", VLOOKUP(A3934,'Master List'!A:C,3,FALSE)))</f>
        <v>Email</v>
      </c>
      <c r="F3934" s="4" t="str">
        <f>IF(OR(A3934="",E3934="","",A3934="?",E3934="?"),"duplicate?",IF(COUNTIFS($A:A,A3934,E:E,E3934)&gt;1,"yes","no"))</f>
        <v>duplicate?</v>
      </c>
      <c r="K3934" s="97" t="str">
        <f ca="1">IF(J3934="","Date",IF(J3934&lt;&gt;"",IF(K3934="Date",NOW(),K3934),""))</f>
        <v>Date</v>
      </c>
    </row>
    <row r="3935" spans="2:11">
      <c r="B3935" s="97" t="str">
        <f ca="1">IF(A3935="","Date",IF(A3935&lt;&gt;"",IF(B3935="Date",NOW(),B3935),""))</f>
        <v>Date</v>
      </c>
      <c r="C3935" s="19" t="str">
        <f>IF(ISBLANK(A3935),"Name",IF(ISNA(VLOOKUP(A3935,'Master List'!A:C,2,FALSE)), "Not Found", VLOOKUP(A3935,'Master List'!A:C,2,FALSE)))</f>
        <v>Name</v>
      </c>
      <c r="D3935" s="19" t="str">
        <f>IF(ISBLANK(A3935), "Email",IF(ISNA(VLOOKUP(A3935,'Master List'!A:C,3,FALSE)), "Not Found", VLOOKUP(A3935,'Master List'!A:C,3,FALSE)))</f>
        <v>Email</v>
      </c>
      <c r="F3935" s="4" t="str">
        <f>IF(OR(A3935="",E3935="","",A3935="?",E3935="?"),"duplicate?",IF(COUNTIFS($A:A,A3935,E:E,E3935)&gt;1,"yes","no"))</f>
        <v>duplicate?</v>
      </c>
      <c r="K3935" s="97" t="str">
        <f ca="1">IF(J3935="","Date",IF(J3935&lt;&gt;"",IF(K3935="Date",NOW(),K3935),""))</f>
        <v>Date</v>
      </c>
    </row>
    <row r="3936" spans="2:11">
      <c r="B3936" s="97" t="str">
        <f ca="1">IF(A3936="","Date",IF(A3936&lt;&gt;"",IF(B3936="Date",NOW(),B3936),""))</f>
        <v>Date</v>
      </c>
      <c r="C3936" s="19" t="str">
        <f>IF(ISBLANK(A3936),"Name",IF(ISNA(VLOOKUP(A3936,'Master List'!A:C,2,FALSE)), "Not Found", VLOOKUP(A3936,'Master List'!A:C,2,FALSE)))</f>
        <v>Name</v>
      </c>
      <c r="D3936" s="19" t="str">
        <f>IF(ISBLANK(A3936), "Email",IF(ISNA(VLOOKUP(A3936,'Master List'!A:C,3,FALSE)), "Not Found", VLOOKUP(A3936,'Master List'!A:C,3,FALSE)))</f>
        <v>Email</v>
      </c>
      <c r="F3936" s="4" t="str">
        <f>IF(OR(A3936="",E3936="","",A3936="?",E3936="?"),"duplicate?",IF(COUNTIFS($A:A,A3936,E:E,E3936)&gt;1,"yes","no"))</f>
        <v>duplicate?</v>
      </c>
      <c r="K3936" s="97" t="str">
        <f ca="1">IF(J3936="","Date",IF(J3936&lt;&gt;"",IF(K3936="Date",NOW(),K3936),""))</f>
        <v>Date</v>
      </c>
    </row>
    <row r="3937" spans="2:11">
      <c r="B3937" s="97" t="str">
        <f ca="1">IF(A3937="","Date",IF(A3937&lt;&gt;"",IF(B3937="Date",NOW(),B3937),""))</f>
        <v>Date</v>
      </c>
      <c r="C3937" s="19" t="str">
        <f>IF(ISBLANK(A3937),"Name",IF(ISNA(VLOOKUP(A3937,'Master List'!A:C,2,FALSE)), "Not Found", VLOOKUP(A3937,'Master List'!A:C,2,FALSE)))</f>
        <v>Name</v>
      </c>
      <c r="D3937" s="19" t="str">
        <f>IF(ISBLANK(A3937), "Email",IF(ISNA(VLOOKUP(A3937,'Master List'!A:C,3,FALSE)), "Not Found", VLOOKUP(A3937,'Master List'!A:C,3,FALSE)))</f>
        <v>Email</v>
      </c>
      <c r="F3937" s="4" t="str">
        <f>IF(OR(A3937="",E3937="","",A3937="?",E3937="?"),"duplicate?",IF(COUNTIFS($A:A,A3937,E:E,E3937)&gt;1,"yes","no"))</f>
        <v>duplicate?</v>
      </c>
      <c r="K3937" s="97" t="str">
        <f ca="1">IF(J3937="","Date",IF(J3937&lt;&gt;"",IF(K3937="Date",NOW(),K3937),""))</f>
        <v>Date</v>
      </c>
    </row>
    <row r="3938" spans="2:11">
      <c r="B3938" s="97" t="str">
        <f ca="1">IF(A3938="","Date",IF(A3938&lt;&gt;"",IF(B3938="Date",NOW(),B3938),""))</f>
        <v>Date</v>
      </c>
      <c r="C3938" s="19" t="str">
        <f>IF(ISBLANK(A3938),"Name",IF(ISNA(VLOOKUP(A3938,'Master List'!A:C,2,FALSE)), "Not Found", VLOOKUP(A3938,'Master List'!A:C,2,FALSE)))</f>
        <v>Name</v>
      </c>
      <c r="D3938" s="19" t="str">
        <f>IF(ISBLANK(A3938), "Email",IF(ISNA(VLOOKUP(A3938,'Master List'!A:C,3,FALSE)), "Not Found", VLOOKUP(A3938,'Master List'!A:C,3,FALSE)))</f>
        <v>Email</v>
      </c>
      <c r="F3938" s="4" t="str">
        <f>IF(OR(A3938="",E3938="","",A3938="?",E3938="?"),"duplicate?",IF(COUNTIFS($A:A,A3938,E:E,E3938)&gt;1,"yes","no"))</f>
        <v>duplicate?</v>
      </c>
      <c r="K3938" s="97" t="str">
        <f ca="1">IF(J3938="","Date",IF(J3938&lt;&gt;"",IF(K3938="Date",NOW(),K3938),""))</f>
        <v>Date</v>
      </c>
    </row>
    <row r="3939" spans="2:11">
      <c r="B3939" s="97" t="str">
        <f ca="1">IF(A3939="","Date",IF(A3939&lt;&gt;"",IF(B3939="Date",NOW(),B3939),""))</f>
        <v>Date</v>
      </c>
      <c r="C3939" s="19" t="str">
        <f>IF(ISBLANK(A3939),"Name",IF(ISNA(VLOOKUP(A3939,'Master List'!A:C,2,FALSE)), "Not Found", VLOOKUP(A3939,'Master List'!A:C,2,FALSE)))</f>
        <v>Name</v>
      </c>
      <c r="D3939" s="19" t="str">
        <f>IF(ISBLANK(A3939), "Email",IF(ISNA(VLOOKUP(A3939,'Master List'!A:C,3,FALSE)), "Not Found", VLOOKUP(A3939,'Master List'!A:C,3,FALSE)))</f>
        <v>Email</v>
      </c>
      <c r="F3939" s="4" t="str">
        <f>IF(OR(A3939="",E3939="","",A3939="?",E3939="?"),"duplicate?",IF(COUNTIFS($A:A,A3939,E:E,E3939)&gt;1,"yes","no"))</f>
        <v>duplicate?</v>
      </c>
      <c r="K3939" s="97" t="str">
        <f ca="1">IF(J3939="","Date",IF(J3939&lt;&gt;"",IF(K3939="Date",NOW(),K3939),""))</f>
        <v>Date</v>
      </c>
    </row>
    <row r="3940" spans="2:11">
      <c r="B3940" s="97" t="str">
        <f ca="1">IF(A3940="","Date",IF(A3940&lt;&gt;"",IF(B3940="Date",NOW(),B3940),""))</f>
        <v>Date</v>
      </c>
      <c r="C3940" s="19" t="str">
        <f>IF(ISBLANK(A3940),"Name",IF(ISNA(VLOOKUP(A3940,'Master List'!A:C,2,FALSE)), "Not Found", VLOOKUP(A3940,'Master List'!A:C,2,FALSE)))</f>
        <v>Name</v>
      </c>
      <c r="D3940" s="19" t="str">
        <f>IF(ISBLANK(A3940), "Email",IF(ISNA(VLOOKUP(A3940,'Master List'!A:C,3,FALSE)), "Not Found", VLOOKUP(A3940,'Master List'!A:C,3,FALSE)))</f>
        <v>Email</v>
      </c>
      <c r="F3940" s="4" t="str">
        <f>IF(OR(A3940="",E3940="","",A3940="?",E3940="?"),"duplicate?",IF(COUNTIFS($A:A,A3940,E:E,E3940)&gt;1,"yes","no"))</f>
        <v>duplicate?</v>
      </c>
      <c r="K3940" s="97" t="str">
        <f ca="1">IF(J3940="","Date",IF(J3940&lt;&gt;"",IF(K3940="Date",NOW(),K3940),""))</f>
        <v>Date</v>
      </c>
    </row>
    <row r="3941" spans="2:11">
      <c r="B3941" s="97" t="str">
        <f ca="1">IF(A3941="","Date",IF(A3941&lt;&gt;"",IF(B3941="Date",NOW(),B3941),""))</f>
        <v>Date</v>
      </c>
      <c r="C3941" s="19" t="str">
        <f>IF(ISBLANK(A3941),"Name",IF(ISNA(VLOOKUP(A3941,'Master List'!A:C,2,FALSE)), "Not Found", VLOOKUP(A3941,'Master List'!A:C,2,FALSE)))</f>
        <v>Name</v>
      </c>
      <c r="D3941" s="19" t="str">
        <f>IF(ISBLANK(A3941), "Email",IF(ISNA(VLOOKUP(A3941,'Master List'!A:C,3,FALSE)), "Not Found", VLOOKUP(A3941,'Master List'!A:C,3,FALSE)))</f>
        <v>Email</v>
      </c>
      <c r="F3941" s="4" t="str">
        <f>IF(OR(A3941="",E3941="","",A3941="?",E3941="?"),"duplicate?",IF(COUNTIFS($A:A,A3941,E:E,E3941)&gt;1,"yes","no"))</f>
        <v>duplicate?</v>
      </c>
      <c r="K3941" s="97" t="str">
        <f ca="1">IF(J3941="","Date",IF(J3941&lt;&gt;"",IF(K3941="Date",NOW(),K3941),""))</f>
        <v>Date</v>
      </c>
    </row>
    <row r="3942" spans="2:11">
      <c r="B3942" s="97" t="str">
        <f ca="1">IF(A3942="","Date",IF(A3942&lt;&gt;"",IF(B3942="Date",NOW(),B3942),""))</f>
        <v>Date</v>
      </c>
      <c r="C3942" s="19" t="str">
        <f>IF(ISBLANK(A3942),"Name",IF(ISNA(VLOOKUP(A3942,'Master List'!A:C,2,FALSE)), "Not Found", VLOOKUP(A3942,'Master List'!A:C,2,FALSE)))</f>
        <v>Name</v>
      </c>
      <c r="D3942" s="19" t="str">
        <f>IF(ISBLANK(A3942), "Email",IF(ISNA(VLOOKUP(A3942,'Master List'!A:C,3,FALSE)), "Not Found", VLOOKUP(A3942,'Master List'!A:C,3,FALSE)))</f>
        <v>Email</v>
      </c>
      <c r="F3942" s="4" t="str">
        <f>IF(OR(A3942="",E3942="","",A3942="?",E3942="?"),"duplicate?",IF(COUNTIFS($A:A,A3942,E:E,E3942)&gt;1,"yes","no"))</f>
        <v>duplicate?</v>
      </c>
      <c r="K3942" s="97" t="str">
        <f ca="1">IF(J3942="","Date",IF(J3942&lt;&gt;"",IF(K3942="Date",NOW(),K3942),""))</f>
        <v>Date</v>
      </c>
    </row>
    <row r="3943" spans="2:11">
      <c r="B3943" s="97" t="str">
        <f ca="1">IF(A3943="","Date",IF(A3943&lt;&gt;"",IF(B3943="Date",NOW(),B3943),""))</f>
        <v>Date</v>
      </c>
      <c r="C3943" s="19" t="str">
        <f>IF(ISBLANK(A3943),"Name",IF(ISNA(VLOOKUP(A3943,'Master List'!A:C,2,FALSE)), "Not Found", VLOOKUP(A3943,'Master List'!A:C,2,FALSE)))</f>
        <v>Name</v>
      </c>
      <c r="D3943" s="19" t="str">
        <f>IF(ISBLANK(A3943), "Email",IF(ISNA(VLOOKUP(A3943,'Master List'!A:C,3,FALSE)), "Not Found", VLOOKUP(A3943,'Master List'!A:C,3,FALSE)))</f>
        <v>Email</v>
      </c>
      <c r="F3943" s="4" t="str">
        <f>IF(OR(A3943="",E3943="","",A3943="?",E3943="?"),"duplicate?",IF(COUNTIFS($A:A,A3943,E:E,E3943)&gt;1,"yes","no"))</f>
        <v>duplicate?</v>
      </c>
      <c r="K3943" s="97" t="str">
        <f ca="1">IF(J3943="","Date",IF(J3943&lt;&gt;"",IF(K3943="Date",NOW(),K3943),""))</f>
        <v>Date</v>
      </c>
    </row>
    <row r="3944" spans="2:11">
      <c r="B3944" s="97" t="str">
        <f ca="1">IF(A3944="","Date",IF(A3944&lt;&gt;"",IF(B3944="Date",NOW(),B3944),""))</f>
        <v>Date</v>
      </c>
      <c r="C3944" s="19" t="str">
        <f>IF(ISBLANK(A3944),"Name",IF(ISNA(VLOOKUP(A3944,'Master List'!A:C,2,FALSE)), "Not Found", VLOOKUP(A3944,'Master List'!A:C,2,FALSE)))</f>
        <v>Name</v>
      </c>
      <c r="D3944" s="19" t="str">
        <f>IF(ISBLANK(A3944), "Email",IF(ISNA(VLOOKUP(A3944,'Master List'!A:C,3,FALSE)), "Not Found", VLOOKUP(A3944,'Master List'!A:C,3,FALSE)))</f>
        <v>Email</v>
      </c>
      <c r="F3944" s="4" t="str">
        <f>IF(OR(A3944="",E3944="","",A3944="?",E3944="?"),"duplicate?",IF(COUNTIFS($A:A,A3944,E:E,E3944)&gt;1,"yes","no"))</f>
        <v>duplicate?</v>
      </c>
      <c r="K3944" s="97" t="str">
        <f ca="1">IF(J3944="","Date",IF(J3944&lt;&gt;"",IF(K3944="Date",NOW(),K3944),""))</f>
        <v>Date</v>
      </c>
    </row>
    <row r="3945" spans="2:11">
      <c r="B3945" s="97" t="str">
        <f ca="1">IF(A3945="","Date",IF(A3945&lt;&gt;"",IF(B3945="Date",NOW(),B3945),""))</f>
        <v>Date</v>
      </c>
      <c r="C3945" s="19" t="str">
        <f>IF(ISBLANK(A3945),"Name",IF(ISNA(VLOOKUP(A3945,'Master List'!A:C,2,FALSE)), "Not Found", VLOOKUP(A3945,'Master List'!A:C,2,FALSE)))</f>
        <v>Name</v>
      </c>
      <c r="D3945" s="19" t="str">
        <f>IF(ISBLANK(A3945), "Email",IF(ISNA(VLOOKUP(A3945,'Master List'!A:C,3,FALSE)), "Not Found", VLOOKUP(A3945,'Master List'!A:C,3,FALSE)))</f>
        <v>Email</v>
      </c>
      <c r="F3945" s="4" t="str">
        <f>IF(OR(A3945="",E3945="","",A3945="?",E3945="?"),"duplicate?",IF(COUNTIFS($A:A,A3945,E:E,E3945)&gt;1,"yes","no"))</f>
        <v>duplicate?</v>
      </c>
      <c r="K3945" s="97" t="str">
        <f ca="1">IF(J3945="","Date",IF(J3945&lt;&gt;"",IF(K3945="Date",NOW(),K3945),""))</f>
        <v>Date</v>
      </c>
    </row>
    <row r="3946" spans="2:11">
      <c r="B3946" s="97" t="str">
        <f ca="1">IF(A3946="","Date",IF(A3946&lt;&gt;"",IF(B3946="Date",NOW(),B3946),""))</f>
        <v>Date</v>
      </c>
      <c r="C3946" s="19" t="str">
        <f>IF(ISBLANK(A3946),"Name",IF(ISNA(VLOOKUP(A3946,'Master List'!A:C,2,FALSE)), "Not Found", VLOOKUP(A3946,'Master List'!A:C,2,FALSE)))</f>
        <v>Name</v>
      </c>
      <c r="D3946" s="19" t="str">
        <f>IF(ISBLANK(A3946), "Email",IF(ISNA(VLOOKUP(A3946,'Master List'!A:C,3,FALSE)), "Not Found", VLOOKUP(A3946,'Master List'!A:C,3,FALSE)))</f>
        <v>Email</v>
      </c>
      <c r="F3946" s="4" t="str">
        <f>IF(OR(A3946="",E3946="","",A3946="?",E3946="?"),"duplicate?",IF(COUNTIFS($A:A,A3946,E:E,E3946)&gt;1,"yes","no"))</f>
        <v>duplicate?</v>
      </c>
      <c r="K3946" s="97" t="str">
        <f ca="1">IF(J3946="","Date",IF(J3946&lt;&gt;"",IF(K3946="Date",NOW(),K3946),""))</f>
        <v>Date</v>
      </c>
    </row>
    <row r="3947" spans="2:11">
      <c r="B3947" s="97" t="str">
        <f ca="1">IF(A3947="","Date",IF(A3947&lt;&gt;"",IF(B3947="Date",NOW(),B3947),""))</f>
        <v>Date</v>
      </c>
      <c r="C3947" s="19" t="str">
        <f>IF(ISBLANK(A3947),"Name",IF(ISNA(VLOOKUP(A3947,'Master List'!A:C,2,FALSE)), "Not Found", VLOOKUP(A3947,'Master List'!A:C,2,FALSE)))</f>
        <v>Name</v>
      </c>
      <c r="D3947" s="19" t="str">
        <f>IF(ISBLANK(A3947), "Email",IF(ISNA(VLOOKUP(A3947,'Master List'!A:C,3,FALSE)), "Not Found", VLOOKUP(A3947,'Master List'!A:C,3,FALSE)))</f>
        <v>Email</v>
      </c>
      <c r="F3947" s="4" t="str">
        <f>IF(OR(A3947="",E3947="","",A3947="?",E3947="?"),"duplicate?",IF(COUNTIFS($A:A,A3947,E:E,E3947)&gt;1,"yes","no"))</f>
        <v>duplicate?</v>
      </c>
      <c r="K3947" s="97" t="str">
        <f ca="1">IF(J3947="","Date",IF(J3947&lt;&gt;"",IF(K3947="Date",NOW(),K3947),""))</f>
        <v>Date</v>
      </c>
    </row>
    <row r="3948" spans="2:11">
      <c r="B3948" s="97" t="str">
        <f ca="1">IF(A3948="","Date",IF(A3948&lt;&gt;"",IF(B3948="Date",NOW(),B3948),""))</f>
        <v>Date</v>
      </c>
      <c r="C3948" s="19" t="str">
        <f>IF(ISBLANK(A3948),"Name",IF(ISNA(VLOOKUP(A3948,'Master List'!A:C,2,FALSE)), "Not Found", VLOOKUP(A3948,'Master List'!A:C,2,FALSE)))</f>
        <v>Name</v>
      </c>
      <c r="D3948" s="19" t="str">
        <f>IF(ISBLANK(A3948), "Email",IF(ISNA(VLOOKUP(A3948,'Master List'!A:C,3,FALSE)), "Not Found", VLOOKUP(A3948,'Master List'!A:C,3,FALSE)))</f>
        <v>Email</v>
      </c>
      <c r="F3948" s="4" t="str">
        <f>IF(OR(A3948="",E3948="","",A3948="?",E3948="?"),"duplicate?",IF(COUNTIFS($A:A,A3948,E:E,E3948)&gt;1,"yes","no"))</f>
        <v>duplicate?</v>
      </c>
      <c r="K3948" s="97" t="str">
        <f ca="1">IF(J3948="","Date",IF(J3948&lt;&gt;"",IF(K3948="Date",NOW(),K3948),""))</f>
        <v>Date</v>
      </c>
    </row>
    <row r="3949" spans="2:11">
      <c r="B3949" s="97" t="str">
        <f ca="1">IF(A3949="","Date",IF(A3949&lt;&gt;"",IF(B3949="Date",NOW(),B3949),""))</f>
        <v>Date</v>
      </c>
      <c r="C3949" s="19" t="str">
        <f>IF(ISBLANK(A3949),"Name",IF(ISNA(VLOOKUP(A3949,'Master List'!A:C,2,FALSE)), "Not Found", VLOOKUP(A3949,'Master List'!A:C,2,FALSE)))</f>
        <v>Name</v>
      </c>
      <c r="D3949" s="19" t="str">
        <f>IF(ISBLANK(A3949), "Email",IF(ISNA(VLOOKUP(A3949,'Master List'!A:C,3,FALSE)), "Not Found", VLOOKUP(A3949,'Master List'!A:C,3,FALSE)))</f>
        <v>Email</v>
      </c>
      <c r="F3949" s="4" t="str">
        <f>IF(OR(A3949="",E3949="","",A3949="?",E3949="?"),"duplicate?",IF(COUNTIFS($A:A,A3949,E:E,E3949)&gt;1,"yes","no"))</f>
        <v>duplicate?</v>
      </c>
      <c r="K3949" s="97" t="str">
        <f ca="1">IF(J3949="","Date",IF(J3949&lt;&gt;"",IF(K3949="Date",NOW(),K3949),""))</f>
        <v>Date</v>
      </c>
    </row>
    <row r="3950" spans="2:11">
      <c r="B3950" s="97" t="str">
        <f ca="1">IF(A3950="","Date",IF(A3950&lt;&gt;"",IF(B3950="Date",NOW(),B3950),""))</f>
        <v>Date</v>
      </c>
      <c r="C3950" s="19" t="str">
        <f>IF(ISBLANK(A3950),"Name",IF(ISNA(VLOOKUP(A3950,'Master List'!A:C,2,FALSE)), "Not Found", VLOOKUP(A3950,'Master List'!A:C,2,FALSE)))</f>
        <v>Name</v>
      </c>
      <c r="D3950" s="19" t="str">
        <f>IF(ISBLANK(A3950), "Email",IF(ISNA(VLOOKUP(A3950,'Master List'!A:C,3,FALSE)), "Not Found", VLOOKUP(A3950,'Master List'!A:C,3,FALSE)))</f>
        <v>Email</v>
      </c>
      <c r="F3950" s="4" t="str">
        <f>IF(OR(A3950="",E3950="","",A3950="?",E3950="?"),"duplicate?",IF(COUNTIFS($A:A,A3950,E:E,E3950)&gt;1,"yes","no"))</f>
        <v>duplicate?</v>
      </c>
      <c r="K3950" s="97" t="str">
        <f ca="1">IF(J3950="","Date",IF(J3950&lt;&gt;"",IF(K3950="Date",NOW(),K3950),""))</f>
        <v>Date</v>
      </c>
    </row>
    <row r="3951" spans="2:11">
      <c r="B3951" s="97" t="str">
        <f ca="1">IF(A3951="","Date",IF(A3951&lt;&gt;"",IF(B3951="Date",NOW(),B3951),""))</f>
        <v>Date</v>
      </c>
      <c r="C3951" s="19" t="str">
        <f>IF(ISBLANK(A3951),"Name",IF(ISNA(VLOOKUP(A3951,'Master List'!A:C,2,FALSE)), "Not Found", VLOOKUP(A3951,'Master List'!A:C,2,FALSE)))</f>
        <v>Name</v>
      </c>
      <c r="D3951" s="19" t="str">
        <f>IF(ISBLANK(A3951), "Email",IF(ISNA(VLOOKUP(A3951,'Master List'!A:C,3,FALSE)), "Not Found", VLOOKUP(A3951,'Master List'!A:C,3,FALSE)))</f>
        <v>Email</v>
      </c>
      <c r="F3951" s="4" t="str">
        <f>IF(OR(A3951="",E3951="","",A3951="?",E3951="?"),"duplicate?",IF(COUNTIFS($A:A,A3951,E:E,E3951)&gt;1,"yes","no"))</f>
        <v>duplicate?</v>
      </c>
      <c r="K3951" s="97" t="str">
        <f ca="1">IF(J3951="","Date",IF(J3951&lt;&gt;"",IF(K3951="Date",NOW(),K3951),""))</f>
        <v>Date</v>
      </c>
    </row>
    <row r="3952" spans="2:11">
      <c r="B3952" s="97" t="str">
        <f ca="1">IF(A3952="","Date",IF(A3952&lt;&gt;"",IF(B3952="Date",NOW(),B3952),""))</f>
        <v>Date</v>
      </c>
      <c r="C3952" s="19" t="str">
        <f>IF(ISBLANK(A3952),"Name",IF(ISNA(VLOOKUP(A3952,'Master List'!A:C,2,FALSE)), "Not Found", VLOOKUP(A3952,'Master List'!A:C,2,FALSE)))</f>
        <v>Name</v>
      </c>
      <c r="D3952" s="19" t="str">
        <f>IF(ISBLANK(A3952), "Email",IF(ISNA(VLOOKUP(A3952,'Master List'!A:C,3,FALSE)), "Not Found", VLOOKUP(A3952,'Master List'!A:C,3,FALSE)))</f>
        <v>Email</v>
      </c>
      <c r="F3952" s="4" t="str">
        <f>IF(OR(A3952="",E3952="","",A3952="?",E3952="?"),"duplicate?",IF(COUNTIFS($A:A,A3952,E:E,E3952)&gt;1,"yes","no"))</f>
        <v>duplicate?</v>
      </c>
      <c r="K3952" s="97" t="str">
        <f ca="1">IF(J3952="","Date",IF(J3952&lt;&gt;"",IF(K3952="Date",NOW(),K3952),""))</f>
        <v>Date</v>
      </c>
    </row>
    <row r="3953" spans="2:11">
      <c r="B3953" s="97" t="str">
        <f ca="1">IF(A3953="","Date",IF(A3953&lt;&gt;"",IF(B3953="Date",NOW(),B3953),""))</f>
        <v>Date</v>
      </c>
      <c r="C3953" s="19" t="str">
        <f>IF(ISBLANK(A3953),"Name",IF(ISNA(VLOOKUP(A3953,'Master List'!A:C,2,FALSE)), "Not Found", VLOOKUP(A3953,'Master List'!A:C,2,FALSE)))</f>
        <v>Name</v>
      </c>
      <c r="D3953" s="19" t="str">
        <f>IF(ISBLANK(A3953), "Email",IF(ISNA(VLOOKUP(A3953,'Master List'!A:C,3,FALSE)), "Not Found", VLOOKUP(A3953,'Master List'!A:C,3,FALSE)))</f>
        <v>Email</v>
      </c>
      <c r="F3953" s="4" t="str">
        <f>IF(OR(A3953="",E3953="","",A3953="?",E3953="?"),"duplicate?",IF(COUNTIFS($A:A,A3953,E:E,E3953)&gt;1,"yes","no"))</f>
        <v>duplicate?</v>
      </c>
      <c r="K3953" s="97" t="str">
        <f ca="1">IF(J3953="","Date",IF(J3953&lt;&gt;"",IF(K3953="Date",NOW(),K3953),""))</f>
        <v>Date</v>
      </c>
    </row>
    <row r="3954" spans="2:11">
      <c r="B3954" s="97" t="str">
        <f ca="1">IF(A3954="","Date",IF(A3954&lt;&gt;"",IF(B3954="Date",NOW(),B3954),""))</f>
        <v>Date</v>
      </c>
      <c r="C3954" s="19" t="str">
        <f>IF(ISBLANK(A3954),"Name",IF(ISNA(VLOOKUP(A3954,'Master List'!A:C,2,FALSE)), "Not Found", VLOOKUP(A3954,'Master List'!A:C,2,FALSE)))</f>
        <v>Name</v>
      </c>
      <c r="D3954" s="19" t="str">
        <f>IF(ISBLANK(A3954), "Email",IF(ISNA(VLOOKUP(A3954,'Master List'!A:C,3,FALSE)), "Not Found", VLOOKUP(A3954,'Master List'!A:C,3,FALSE)))</f>
        <v>Email</v>
      </c>
      <c r="F3954" s="4" t="str">
        <f>IF(OR(A3954="",E3954="","",A3954="?",E3954="?"),"duplicate?",IF(COUNTIFS($A:A,A3954,E:E,E3954)&gt;1,"yes","no"))</f>
        <v>duplicate?</v>
      </c>
      <c r="K3954" s="97" t="str">
        <f ca="1">IF(J3954="","Date",IF(J3954&lt;&gt;"",IF(K3954="Date",NOW(),K3954),""))</f>
        <v>Date</v>
      </c>
    </row>
    <row r="3955" spans="2:11">
      <c r="B3955" s="97" t="str">
        <f ca="1">IF(A3955="","Date",IF(A3955&lt;&gt;"",IF(B3955="Date",NOW(),B3955),""))</f>
        <v>Date</v>
      </c>
      <c r="C3955" s="19" t="str">
        <f>IF(ISBLANK(A3955),"Name",IF(ISNA(VLOOKUP(A3955,'Master List'!A:C,2,FALSE)), "Not Found", VLOOKUP(A3955,'Master List'!A:C,2,FALSE)))</f>
        <v>Name</v>
      </c>
      <c r="D3955" s="19" t="str">
        <f>IF(ISBLANK(A3955), "Email",IF(ISNA(VLOOKUP(A3955,'Master List'!A:C,3,FALSE)), "Not Found", VLOOKUP(A3955,'Master List'!A:C,3,FALSE)))</f>
        <v>Email</v>
      </c>
      <c r="F3955" s="4" t="str">
        <f>IF(OR(A3955="",E3955="","",A3955="?",E3955="?"),"duplicate?",IF(COUNTIFS($A:A,A3955,E:E,E3955)&gt;1,"yes","no"))</f>
        <v>duplicate?</v>
      </c>
      <c r="K3955" s="97" t="str">
        <f ca="1">IF(J3955="","Date",IF(J3955&lt;&gt;"",IF(K3955="Date",NOW(),K3955),""))</f>
        <v>Date</v>
      </c>
    </row>
    <row r="3956" spans="2:11">
      <c r="B3956" s="97" t="str">
        <f ca="1">IF(A3956="","Date",IF(A3956&lt;&gt;"",IF(B3956="Date",NOW(),B3956),""))</f>
        <v>Date</v>
      </c>
      <c r="C3956" s="19" t="str">
        <f>IF(ISBLANK(A3956),"Name",IF(ISNA(VLOOKUP(A3956,'Master List'!A:C,2,FALSE)), "Not Found", VLOOKUP(A3956,'Master List'!A:C,2,FALSE)))</f>
        <v>Name</v>
      </c>
      <c r="D3956" s="19" t="str">
        <f>IF(ISBLANK(A3956), "Email",IF(ISNA(VLOOKUP(A3956,'Master List'!A:C,3,FALSE)), "Not Found", VLOOKUP(A3956,'Master List'!A:C,3,FALSE)))</f>
        <v>Email</v>
      </c>
      <c r="F3956" s="4" t="str">
        <f>IF(OR(A3956="",E3956="","",A3956="?",E3956="?"),"duplicate?",IF(COUNTIFS($A:A,A3956,E:E,E3956)&gt;1,"yes","no"))</f>
        <v>duplicate?</v>
      </c>
      <c r="K3956" s="97" t="str">
        <f ca="1">IF(J3956="","Date",IF(J3956&lt;&gt;"",IF(K3956="Date",NOW(),K3956),""))</f>
        <v>Date</v>
      </c>
    </row>
    <row r="3957" spans="2:11">
      <c r="B3957" s="97" t="str">
        <f ca="1">IF(A3957="","Date",IF(A3957&lt;&gt;"",IF(B3957="Date",NOW(),B3957),""))</f>
        <v>Date</v>
      </c>
      <c r="C3957" s="19" t="str">
        <f>IF(ISBLANK(A3957),"Name",IF(ISNA(VLOOKUP(A3957,'Master List'!A:C,2,FALSE)), "Not Found", VLOOKUP(A3957,'Master List'!A:C,2,FALSE)))</f>
        <v>Name</v>
      </c>
      <c r="D3957" s="19" t="str">
        <f>IF(ISBLANK(A3957), "Email",IF(ISNA(VLOOKUP(A3957,'Master List'!A:C,3,FALSE)), "Not Found", VLOOKUP(A3957,'Master List'!A:C,3,FALSE)))</f>
        <v>Email</v>
      </c>
      <c r="F3957" s="4" t="str">
        <f>IF(OR(A3957="",E3957="","",A3957="?",E3957="?"),"duplicate?",IF(COUNTIFS($A:A,A3957,E:E,E3957)&gt;1,"yes","no"))</f>
        <v>duplicate?</v>
      </c>
      <c r="K3957" s="97" t="str">
        <f ca="1">IF(J3957="","Date",IF(J3957&lt;&gt;"",IF(K3957="Date",NOW(),K3957),""))</f>
        <v>Date</v>
      </c>
    </row>
    <row r="3958" spans="2:11">
      <c r="B3958" s="97" t="str">
        <f ca="1">IF(A3958="","Date",IF(A3958&lt;&gt;"",IF(B3958="Date",NOW(),B3958),""))</f>
        <v>Date</v>
      </c>
      <c r="C3958" s="19" t="str">
        <f>IF(ISBLANK(A3958),"Name",IF(ISNA(VLOOKUP(A3958,'Master List'!A:C,2,FALSE)), "Not Found", VLOOKUP(A3958,'Master List'!A:C,2,FALSE)))</f>
        <v>Name</v>
      </c>
      <c r="D3958" s="19" t="str">
        <f>IF(ISBLANK(A3958), "Email",IF(ISNA(VLOOKUP(A3958,'Master List'!A:C,3,FALSE)), "Not Found", VLOOKUP(A3958,'Master List'!A:C,3,FALSE)))</f>
        <v>Email</v>
      </c>
      <c r="F3958" s="4" t="str">
        <f>IF(OR(A3958="",E3958="","",A3958="?",E3958="?"),"duplicate?",IF(COUNTIFS($A:A,A3958,E:E,E3958)&gt;1,"yes","no"))</f>
        <v>duplicate?</v>
      </c>
      <c r="K3958" s="97" t="str">
        <f ca="1">IF(J3958="","Date",IF(J3958&lt;&gt;"",IF(K3958="Date",NOW(),K3958),""))</f>
        <v>Date</v>
      </c>
    </row>
    <row r="3959" spans="2:11">
      <c r="B3959" s="97" t="str">
        <f ca="1">IF(A3959="","Date",IF(A3959&lt;&gt;"",IF(B3959="Date",NOW(),B3959),""))</f>
        <v>Date</v>
      </c>
      <c r="C3959" s="19" t="str">
        <f>IF(ISBLANK(A3959),"Name",IF(ISNA(VLOOKUP(A3959,'Master List'!A:C,2,FALSE)), "Not Found", VLOOKUP(A3959,'Master List'!A:C,2,FALSE)))</f>
        <v>Name</v>
      </c>
      <c r="D3959" s="19" t="str">
        <f>IF(ISBLANK(A3959), "Email",IF(ISNA(VLOOKUP(A3959,'Master List'!A:C,3,FALSE)), "Not Found", VLOOKUP(A3959,'Master List'!A:C,3,FALSE)))</f>
        <v>Email</v>
      </c>
      <c r="F3959" s="4" t="str">
        <f>IF(OR(A3959="",E3959="","",A3959="?",E3959="?"),"duplicate?",IF(COUNTIFS($A:A,A3959,E:E,E3959)&gt;1,"yes","no"))</f>
        <v>duplicate?</v>
      </c>
      <c r="K3959" s="97" t="str">
        <f ca="1">IF(J3959="","Date",IF(J3959&lt;&gt;"",IF(K3959="Date",NOW(),K3959),""))</f>
        <v>Date</v>
      </c>
    </row>
    <row r="3960" spans="2:11">
      <c r="B3960" s="97" t="str">
        <f ca="1">IF(A3960="","Date",IF(A3960&lt;&gt;"",IF(B3960="Date",NOW(),B3960),""))</f>
        <v>Date</v>
      </c>
      <c r="C3960" s="19" t="str">
        <f>IF(ISBLANK(A3960),"Name",IF(ISNA(VLOOKUP(A3960,'Master List'!A:C,2,FALSE)), "Not Found", VLOOKUP(A3960,'Master List'!A:C,2,FALSE)))</f>
        <v>Name</v>
      </c>
      <c r="D3960" s="19" t="str">
        <f>IF(ISBLANK(A3960), "Email",IF(ISNA(VLOOKUP(A3960,'Master List'!A:C,3,FALSE)), "Not Found", VLOOKUP(A3960,'Master List'!A:C,3,FALSE)))</f>
        <v>Email</v>
      </c>
      <c r="F3960" s="4" t="str">
        <f>IF(OR(A3960="",E3960="","",A3960="?",E3960="?"),"duplicate?",IF(COUNTIFS($A:A,A3960,E:E,E3960)&gt;1,"yes","no"))</f>
        <v>duplicate?</v>
      </c>
      <c r="K3960" s="97" t="str">
        <f ca="1">IF(J3960="","Date",IF(J3960&lt;&gt;"",IF(K3960="Date",NOW(),K3960),""))</f>
        <v>Date</v>
      </c>
    </row>
    <row r="3961" spans="2:11">
      <c r="B3961" s="97" t="str">
        <f ca="1">IF(A3961="","Date",IF(A3961&lt;&gt;"",IF(B3961="Date",NOW(),B3961),""))</f>
        <v>Date</v>
      </c>
      <c r="C3961" s="19" t="str">
        <f>IF(ISBLANK(A3961),"Name",IF(ISNA(VLOOKUP(A3961,'Master List'!A:C,2,FALSE)), "Not Found", VLOOKUP(A3961,'Master List'!A:C,2,FALSE)))</f>
        <v>Name</v>
      </c>
      <c r="D3961" s="19" t="str">
        <f>IF(ISBLANK(A3961), "Email",IF(ISNA(VLOOKUP(A3961,'Master List'!A:C,3,FALSE)), "Not Found", VLOOKUP(A3961,'Master List'!A:C,3,FALSE)))</f>
        <v>Email</v>
      </c>
      <c r="F3961" s="4" t="str">
        <f>IF(OR(A3961="",E3961="","",A3961="?",E3961="?"),"duplicate?",IF(COUNTIFS($A:A,A3961,E:E,E3961)&gt;1,"yes","no"))</f>
        <v>duplicate?</v>
      </c>
      <c r="K3961" s="97" t="str">
        <f ca="1">IF(J3961="","Date",IF(J3961&lt;&gt;"",IF(K3961="Date",NOW(),K3961),""))</f>
        <v>Date</v>
      </c>
    </row>
    <row r="3962" spans="2:11">
      <c r="B3962" s="97" t="str">
        <f ca="1">IF(A3962="","Date",IF(A3962&lt;&gt;"",IF(B3962="Date",NOW(),B3962),""))</f>
        <v>Date</v>
      </c>
      <c r="C3962" s="19" t="str">
        <f>IF(ISBLANK(A3962),"Name",IF(ISNA(VLOOKUP(A3962,'Master List'!A:C,2,FALSE)), "Not Found", VLOOKUP(A3962,'Master List'!A:C,2,FALSE)))</f>
        <v>Name</v>
      </c>
      <c r="D3962" s="19" t="str">
        <f>IF(ISBLANK(A3962), "Email",IF(ISNA(VLOOKUP(A3962,'Master List'!A:C,3,FALSE)), "Not Found", VLOOKUP(A3962,'Master List'!A:C,3,FALSE)))</f>
        <v>Email</v>
      </c>
      <c r="F3962" s="4" t="str">
        <f>IF(OR(A3962="",E3962="","",A3962="?",E3962="?"),"duplicate?",IF(COUNTIFS($A:A,A3962,E:E,E3962)&gt;1,"yes","no"))</f>
        <v>duplicate?</v>
      </c>
      <c r="K3962" s="97" t="str">
        <f ca="1">IF(J3962="","Date",IF(J3962&lt;&gt;"",IF(K3962="Date",NOW(),K3962),""))</f>
        <v>Date</v>
      </c>
    </row>
    <row r="3963" spans="2:11">
      <c r="B3963" s="97" t="str">
        <f ca="1">IF(A3963="","Date",IF(A3963&lt;&gt;"",IF(B3963="Date",NOW(),B3963),""))</f>
        <v>Date</v>
      </c>
      <c r="C3963" s="19" t="str">
        <f>IF(ISBLANK(A3963),"Name",IF(ISNA(VLOOKUP(A3963,'Master List'!A:C,2,FALSE)), "Not Found", VLOOKUP(A3963,'Master List'!A:C,2,FALSE)))</f>
        <v>Name</v>
      </c>
      <c r="D3963" s="19" t="str">
        <f>IF(ISBLANK(A3963), "Email",IF(ISNA(VLOOKUP(A3963,'Master List'!A:C,3,FALSE)), "Not Found", VLOOKUP(A3963,'Master List'!A:C,3,FALSE)))</f>
        <v>Email</v>
      </c>
      <c r="F3963" s="4" t="str">
        <f>IF(OR(A3963="",E3963="","",A3963="?",E3963="?"),"duplicate?",IF(COUNTIFS($A:A,A3963,E:E,E3963)&gt;1,"yes","no"))</f>
        <v>duplicate?</v>
      </c>
      <c r="K3963" s="97" t="str">
        <f ca="1">IF(J3963="","Date",IF(J3963&lt;&gt;"",IF(K3963="Date",NOW(),K3963),""))</f>
        <v>Date</v>
      </c>
    </row>
    <row r="3964" spans="2:11">
      <c r="B3964" s="97" t="str">
        <f ca="1">IF(A3964="","Date",IF(A3964&lt;&gt;"",IF(B3964="Date",NOW(),B3964),""))</f>
        <v>Date</v>
      </c>
      <c r="C3964" s="19" t="str">
        <f>IF(ISBLANK(A3964),"Name",IF(ISNA(VLOOKUP(A3964,'Master List'!A:C,2,FALSE)), "Not Found", VLOOKUP(A3964,'Master List'!A:C,2,FALSE)))</f>
        <v>Name</v>
      </c>
      <c r="D3964" s="19" t="str">
        <f>IF(ISBLANK(A3964), "Email",IF(ISNA(VLOOKUP(A3964,'Master List'!A:C,3,FALSE)), "Not Found", VLOOKUP(A3964,'Master List'!A:C,3,FALSE)))</f>
        <v>Email</v>
      </c>
      <c r="F3964" s="4" t="str">
        <f>IF(OR(A3964="",E3964="","",A3964="?",E3964="?"),"duplicate?",IF(COUNTIFS($A:A,A3964,E:E,E3964)&gt;1,"yes","no"))</f>
        <v>duplicate?</v>
      </c>
      <c r="K3964" s="97" t="str">
        <f ca="1">IF(J3964="","Date",IF(J3964&lt;&gt;"",IF(K3964="Date",NOW(),K3964),""))</f>
        <v>Date</v>
      </c>
    </row>
    <row r="3965" spans="2:11">
      <c r="B3965" s="97" t="str">
        <f ca="1">IF(A3965="","Date",IF(A3965&lt;&gt;"",IF(B3965="Date",NOW(),B3965),""))</f>
        <v>Date</v>
      </c>
      <c r="C3965" s="19" t="str">
        <f>IF(ISBLANK(A3965),"Name",IF(ISNA(VLOOKUP(A3965,'Master List'!A:C,2,FALSE)), "Not Found", VLOOKUP(A3965,'Master List'!A:C,2,FALSE)))</f>
        <v>Name</v>
      </c>
      <c r="D3965" s="19" t="str">
        <f>IF(ISBLANK(A3965), "Email",IF(ISNA(VLOOKUP(A3965,'Master List'!A:C,3,FALSE)), "Not Found", VLOOKUP(A3965,'Master List'!A:C,3,FALSE)))</f>
        <v>Email</v>
      </c>
      <c r="F3965" s="4" t="str">
        <f>IF(OR(A3965="",E3965="","",A3965="?",E3965="?"),"duplicate?",IF(COUNTIFS($A:A,A3965,E:E,E3965)&gt;1,"yes","no"))</f>
        <v>duplicate?</v>
      </c>
      <c r="K3965" s="97" t="str">
        <f ca="1">IF(J3965="","Date",IF(J3965&lt;&gt;"",IF(K3965="Date",NOW(),K3965),""))</f>
        <v>Date</v>
      </c>
    </row>
    <row r="3966" spans="2:11">
      <c r="B3966" s="97" t="str">
        <f ca="1">IF(A3966="","Date",IF(A3966&lt;&gt;"",IF(B3966="Date",NOW(),B3966),""))</f>
        <v>Date</v>
      </c>
      <c r="C3966" s="19" t="str">
        <f>IF(ISBLANK(A3966),"Name",IF(ISNA(VLOOKUP(A3966,'Master List'!A:C,2,FALSE)), "Not Found", VLOOKUP(A3966,'Master List'!A:C,2,FALSE)))</f>
        <v>Name</v>
      </c>
      <c r="D3966" s="19" t="str">
        <f>IF(ISBLANK(A3966), "Email",IF(ISNA(VLOOKUP(A3966,'Master List'!A:C,3,FALSE)), "Not Found", VLOOKUP(A3966,'Master List'!A:C,3,FALSE)))</f>
        <v>Email</v>
      </c>
      <c r="F3966" s="4" t="str">
        <f>IF(OR(A3966="",E3966="","",A3966="?",E3966="?"),"duplicate?",IF(COUNTIFS($A:A,A3966,E:E,E3966)&gt;1,"yes","no"))</f>
        <v>duplicate?</v>
      </c>
      <c r="K3966" s="97" t="str">
        <f ca="1">IF(J3966="","Date",IF(J3966&lt;&gt;"",IF(K3966="Date",NOW(),K3966),""))</f>
        <v>Date</v>
      </c>
    </row>
    <row r="3967" spans="2:11">
      <c r="B3967" s="97" t="str">
        <f ca="1">IF(A3967="","Date",IF(A3967&lt;&gt;"",IF(B3967="Date",NOW(),B3967),""))</f>
        <v>Date</v>
      </c>
      <c r="C3967" s="19" t="str">
        <f>IF(ISBLANK(A3967),"Name",IF(ISNA(VLOOKUP(A3967,'Master List'!A:C,2,FALSE)), "Not Found", VLOOKUP(A3967,'Master List'!A:C,2,FALSE)))</f>
        <v>Name</v>
      </c>
      <c r="D3967" s="19" t="str">
        <f>IF(ISBLANK(A3967), "Email",IF(ISNA(VLOOKUP(A3967,'Master List'!A:C,3,FALSE)), "Not Found", VLOOKUP(A3967,'Master List'!A:C,3,FALSE)))</f>
        <v>Email</v>
      </c>
      <c r="F3967" s="4" t="str">
        <f>IF(OR(A3967="",E3967="","",A3967="?",E3967="?"),"duplicate?",IF(COUNTIFS($A:A,A3967,E:E,E3967)&gt;1,"yes","no"))</f>
        <v>duplicate?</v>
      </c>
      <c r="K3967" s="97" t="str">
        <f ca="1">IF(J3967="","Date",IF(J3967&lt;&gt;"",IF(K3967="Date",NOW(),K3967),""))</f>
        <v>Date</v>
      </c>
    </row>
    <row r="3968" spans="2:11">
      <c r="B3968" s="97" t="str">
        <f ca="1">IF(A3968="","Date",IF(A3968&lt;&gt;"",IF(B3968="Date",NOW(),B3968),""))</f>
        <v>Date</v>
      </c>
      <c r="C3968" s="19" t="str">
        <f>IF(ISBLANK(A3968),"Name",IF(ISNA(VLOOKUP(A3968,'Master List'!A:C,2,FALSE)), "Not Found", VLOOKUP(A3968,'Master List'!A:C,2,FALSE)))</f>
        <v>Name</v>
      </c>
      <c r="D3968" s="19" t="str">
        <f>IF(ISBLANK(A3968), "Email",IF(ISNA(VLOOKUP(A3968,'Master List'!A:C,3,FALSE)), "Not Found", VLOOKUP(A3968,'Master List'!A:C,3,FALSE)))</f>
        <v>Email</v>
      </c>
      <c r="F3968" s="4" t="str">
        <f>IF(OR(A3968="",E3968="","",A3968="?",E3968="?"),"duplicate?",IF(COUNTIFS($A:A,A3968,E:E,E3968)&gt;1,"yes","no"))</f>
        <v>duplicate?</v>
      </c>
      <c r="K3968" s="97" t="str">
        <f ca="1">IF(J3968="","Date",IF(J3968&lt;&gt;"",IF(K3968="Date",NOW(),K3968),""))</f>
        <v>Date</v>
      </c>
    </row>
    <row r="3969" spans="2:11">
      <c r="B3969" s="97" t="str">
        <f ca="1">IF(A3969="","Date",IF(A3969&lt;&gt;"",IF(B3969="Date",NOW(),B3969),""))</f>
        <v>Date</v>
      </c>
      <c r="C3969" s="19" t="str">
        <f>IF(ISBLANK(A3969),"Name",IF(ISNA(VLOOKUP(A3969,'Master List'!A:C,2,FALSE)), "Not Found", VLOOKUP(A3969,'Master List'!A:C,2,FALSE)))</f>
        <v>Name</v>
      </c>
      <c r="D3969" s="19" t="str">
        <f>IF(ISBLANK(A3969), "Email",IF(ISNA(VLOOKUP(A3969,'Master List'!A:C,3,FALSE)), "Not Found", VLOOKUP(A3969,'Master List'!A:C,3,FALSE)))</f>
        <v>Email</v>
      </c>
      <c r="F3969" s="4" t="str">
        <f>IF(OR(A3969="",E3969="","",A3969="?",E3969="?"),"duplicate?",IF(COUNTIFS($A:A,A3969,E:E,E3969)&gt;1,"yes","no"))</f>
        <v>duplicate?</v>
      </c>
      <c r="K3969" s="97" t="str">
        <f ca="1">IF(J3969="","Date",IF(J3969&lt;&gt;"",IF(K3969="Date",NOW(),K3969),""))</f>
        <v>Date</v>
      </c>
    </row>
    <row r="3970" spans="2:11">
      <c r="B3970" s="97" t="str">
        <f ca="1">IF(A3970="","Date",IF(A3970&lt;&gt;"",IF(B3970="Date",NOW(),B3970),""))</f>
        <v>Date</v>
      </c>
      <c r="C3970" s="19" t="str">
        <f>IF(ISBLANK(A3970),"Name",IF(ISNA(VLOOKUP(A3970,'Master List'!A:C,2,FALSE)), "Not Found", VLOOKUP(A3970,'Master List'!A:C,2,FALSE)))</f>
        <v>Name</v>
      </c>
      <c r="D3970" s="19" t="str">
        <f>IF(ISBLANK(A3970), "Email",IF(ISNA(VLOOKUP(A3970,'Master List'!A:C,3,FALSE)), "Not Found", VLOOKUP(A3970,'Master List'!A:C,3,FALSE)))</f>
        <v>Email</v>
      </c>
      <c r="F3970" s="4" t="str">
        <f>IF(OR(A3970="",E3970="","",A3970="?",E3970="?"),"duplicate?",IF(COUNTIFS($A:A,A3970,E:E,E3970)&gt;1,"yes","no"))</f>
        <v>duplicate?</v>
      </c>
      <c r="K3970" s="97" t="str">
        <f ca="1">IF(J3970="","Date",IF(J3970&lt;&gt;"",IF(K3970="Date",NOW(),K3970),""))</f>
        <v>Date</v>
      </c>
    </row>
    <row r="3971" spans="2:11">
      <c r="B3971" s="97" t="str">
        <f ca="1">IF(A3971="","Date",IF(A3971&lt;&gt;"",IF(B3971="Date",NOW(),B3971),""))</f>
        <v>Date</v>
      </c>
      <c r="C3971" s="19" t="str">
        <f>IF(ISBLANK(A3971),"Name",IF(ISNA(VLOOKUP(A3971,'Master List'!A:C,2,FALSE)), "Not Found", VLOOKUP(A3971,'Master List'!A:C,2,FALSE)))</f>
        <v>Name</v>
      </c>
      <c r="D3971" s="19" t="str">
        <f>IF(ISBLANK(A3971), "Email",IF(ISNA(VLOOKUP(A3971,'Master List'!A:C,3,FALSE)), "Not Found", VLOOKUP(A3971,'Master List'!A:C,3,FALSE)))</f>
        <v>Email</v>
      </c>
      <c r="F3971" s="4" t="str">
        <f>IF(OR(A3971="",E3971="","",A3971="?",E3971="?"),"duplicate?",IF(COUNTIFS($A:A,A3971,E:E,E3971)&gt;1,"yes","no"))</f>
        <v>duplicate?</v>
      </c>
      <c r="K3971" s="97" t="str">
        <f ca="1">IF(J3971="","Date",IF(J3971&lt;&gt;"",IF(K3971="Date",NOW(),K3971),""))</f>
        <v>Date</v>
      </c>
    </row>
    <row r="3972" spans="2:11">
      <c r="B3972" s="97" t="str">
        <f ca="1">IF(A3972="","Date",IF(A3972&lt;&gt;"",IF(B3972="Date",NOW(),B3972),""))</f>
        <v>Date</v>
      </c>
      <c r="C3972" s="19" t="str">
        <f>IF(ISBLANK(A3972),"Name",IF(ISNA(VLOOKUP(A3972,'Master List'!A:C,2,FALSE)), "Not Found", VLOOKUP(A3972,'Master List'!A:C,2,FALSE)))</f>
        <v>Name</v>
      </c>
      <c r="D3972" s="19" t="str">
        <f>IF(ISBLANK(A3972), "Email",IF(ISNA(VLOOKUP(A3972,'Master List'!A:C,3,FALSE)), "Not Found", VLOOKUP(A3972,'Master List'!A:C,3,FALSE)))</f>
        <v>Email</v>
      </c>
      <c r="F3972" s="4" t="str">
        <f>IF(OR(A3972="",E3972="","",A3972="?",E3972="?"),"duplicate?",IF(COUNTIFS($A:A,A3972,E:E,E3972)&gt;1,"yes","no"))</f>
        <v>duplicate?</v>
      </c>
      <c r="K3972" s="97" t="str">
        <f ca="1">IF(J3972="","Date",IF(J3972&lt;&gt;"",IF(K3972="Date",NOW(),K3972),""))</f>
        <v>Date</v>
      </c>
    </row>
    <row r="3973" spans="2:11">
      <c r="B3973" s="97" t="str">
        <f ca="1">IF(A3973="","Date",IF(A3973&lt;&gt;"",IF(B3973="Date",NOW(),B3973),""))</f>
        <v>Date</v>
      </c>
      <c r="C3973" s="19" t="str">
        <f>IF(ISBLANK(A3973),"Name",IF(ISNA(VLOOKUP(A3973,'Master List'!A:C,2,FALSE)), "Not Found", VLOOKUP(A3973,'Master List'!A:C,2,FALSE)))</f>
        <v>Name</v>
      </c>
      <c r="D3973" s="19" t="str">
        <f>IF(ISBLANK(A3973), "Email",IF(ISNA(VLOOKUP(A3973,'Master List'!A:C,3,FALSE)), "Not Found", VLOOKUP(A3973,'Master List'!A:C,3,FALSE)))</f>
        <v>Email</v>
      </c>
      <c r="F3973" s="4" t="str">
        <f>IF(OR(A3973="",E3973="","",A3973="?",E3973="?"),"duplicate?",IF(COUNTIFS($A:A,A3973,E:E,E3973)&gt;1,"yes","no"))</f>
        <v>duplicate?</v>
      </c>
      <c r="K3973" s="97" t="str">
        <f ca="1">IF(J3973="","Date",IF(J3973&lt;&gt;"",IF(K3973="Date",NOW(),K3973),""))</f>
        <v>Date</v>
      </c>
    </row>
    <row r="3974" spans="2:11">
      <c r="B3974" s="97" t="str">
        <f ca="1">IF(A3974="","Date",IF(A3974&lt;&gt;"",IF(B3974="Date",NOW(),B3974),""))</f>
        <v>Date</v>
      </c>
      <c r="C3974" s="19" t="str">
        <f>IF(ISBLANK(A3974),"Name",IF(ISNA(VLOOKUP(A3974,'Master List'!A:C,2,FALSE)), "Not Found", VLOOKUP(A3974,'Master List'!A:C,2,FALSE)))</f>
        <v>Name</v>
      </c>
      <c r="D3974" s="19" t="str">
        <f>IF(ISBLANK(A3974), "Email",IF(ISNA(VLOOKUP(A3974,'Master List'!A:C,3,FALSE)), "Not Found", VLOOKUP(A3974,'Master List'!A:C,3,FALSE)))</f>
        <v>Email</v>
      </c>
      <c r="F3974" s="4" t="str">
        <f>IF(OR(A3974="",E3974="","",A3974="?",E3974="?"),"duplicate?",IF(COUNTIFS($A:A,A3974,E:E,E3974)&gt;1,"yes","no"))</f>
        <v>duplicate?</v>
      </c>
      <c r="K3974" s="97" t="str">
        <f ca="1">IF(J3974="","Date",IF(J3974&lt;&gt;"",IF(K3974="Date",NOW(),K3974),""))</f>
        <v>Date</v>
      </c>
    </row>
    <row r="3975" spans="2:11">
      <c r="B3975" s="97" t="str">
        <f ca="1">IF(A3975="","Date",IF(A3975&lt;&gt;"",IF(B3975="Date",NOW(),B3975),""))</f>
        <v>Date</v>
      </c>
      <c r="C3975" s="19" t="str">
        <f>IF(ISBLANK(A3975),"Name",IF(ISNA(VLOOKUP(A3975,'Master List'!A:C,2,FALSE)), "Not Found", VLOOKUP(A3975,'Master List'!A:C,2,FALSE)))</f>
        <v>Name</v>
      </c>
      <c r="D3975" s="19" t="str">
        <f>IF(ISBLANK(A3975), "Email",IF(ISNA(VLOOKUP(A3975,'Master List'!A:C,3,FALSE)), "Not Found", VLOOKUP(A3975,'Master List'!A:C,3,FALSE)))</f>
        <v>Email</v>
      </c>
      <c r="F3975" s="4" t="str">
        <f>IF(OR(A3975="",E3975="","",A3975="?",E3975="?"),"duplicate?",IF(COUNTIFS($A:A,A3975,E:E,E3975)&gt;1,"yes","no"))</f>
        <v>duplicate?</v>
      </c>
      <c r="K3975" s="97" t="str">
        <f ca="1">IF(J3975="","Date",IF(J3975&lt;&gt;"",IF(K3975="Date",NOW(),K3975),""))</f>
        <v>Date</v>
      </c>
    </row>
    <row r="3976" spans="2:11">
      <c r="B3976" s="97" t="str">
        <f ca="1">IF(A3976="","Date",IF(A3976&lt;&gt;"",IF(B3976="Date",NOW(),B3976),""))</f>
        <v>Date</v>
      </c>
      <c r="C3976" s="19" t="str">
        <f>IF(ISBLANK(A3976),"Name",IF(ISNA(VLOOKUP(A3976,'Master List'!A:C,2,FALSE)), "Not Found", VLOOKUP(A3976,'Master List'!A:C,2,FALSE)))</f>
        <v>Name</v>
      </c>
      <c r="D3976" s="19" t="str">
        <f>IF(ISBLANK(A3976), "Email",IF(ISNA(VLOOKUP(A3976,'Master List'!A:C,3,FALSE)), "Not Found", VLOOKUP(A3976,'Master List'!A:C,3,FALSE)))</f>
        <v>Email</v>
      </c>
      <c r="F3976" s="4" t="str">
        <f>IF(OR(A3976="",E3976="","",A3976="?",E3976="?"),"duplicate?",IF(COUNTIFS($A:A,A3976,E:E,E3976)&gt;1,"yes","no"))</f>
        <v>duplicate?</v>
      </c>
      <c r="K3976" s="97" t="str">
        <f ca="1">IF(J3976="","Date",IF(J3976&lt;&gt;"",IF(K3976="Date",NOW(),K3976),""))</f>
        <v>Date</v>
      </c>
    </row>
    <row r="3977" spans="2:11">
      <c r="B3977" s="97" t="str">
        <f ca="1">IF(A3977="","Date",IF(A3977&lt;&gt;"",IF(B3977="Date",NOW(),B3977),""))</f>
        <v>Date</v>
      </c>
      <c r="C3977" s="19" t="str">
        <f>IF(ISBLANK(A3977),"Name",IF(ISNA(VLOOKUP(A3977,'Master List'!A:C,2,FALSE)), "Not Found", VLOOKUP(A3977,'Master List'!A:C,2,FALSE)))</f>
        <v>Name</v>
      </c>
      <c r="D3977" s="19" t="str">
        <f>IF(ISBLANK(A3977), "Email",IF(ISNA(VLOOKUP(A3977,'Master List'!A:C,3,FALSE)), "Not Found", VLOOKUP(A3977,'Master List'!A:C,3,FALSE)))</f>
        <v>Email</v>
      </c>
      <c r="F3977" s="4" t="str">
        <f>IF(OR(A3977="",E3977="","",A3977="?",E3977="?"),"duplicate?",IF(COUNTIFS($A:A,A3977,E:E,E3977)&gt;1,"yes","no"))</f>
        <v>duplicate?</v>
      </c>
      <c r="K3977" s="97" t="str">
        <f ca="1">IF(J3977="","Date",IF(J3977&lt;&gt;"",IF(K3977="Date",NOW(),K3977),""))</f>
        <v>Date</v>
      </c>
    </row>
    <row r="3978" spans="2:11">
      <c r="B3978" s="97" t="str">
        <f ca="1">IF(A3978="","Date",IF(A3978&lt;&gt;"",IF(B3978="Date",NOW(),B3978),""))</f>
        <v>Date</v>
      </c>
      <c r="C3978" s="19" t="str">
        <f>IF(ISBLANK(A3978),"Name",IF(ISNA(VLOOKUP(A3978,'Master List'!A:C,2,FALSE)), "Not Found", VLOOKUP(A3978,'Master List'!A:C,2,FALSE)))</f>
        <v>Name</v>
      </c>
      <c r="D3978" s="19" t="str">
        <f>IF(ISBLANK(A3978), "Email",IF(ISNA(VLOOKUP(A3978,'Master List'!A:C,3,FALSE)), "Not Found", VLOOKUP(A3978,'Master List'!A:C,3,FALSE)))</f>
        <v>Email</v>
      </c>
      <c r="F3978" s="4" t="str">
        <f>IF(OR(A3978="",E3978="","",A3978="?",E3978="?"),"duplicate?",IF(COUNTIFS($A:A,A3978,E:E,E3978)&gt;1,"yes","no"))</f>
        <v>duplicate?</v>
      </c>
      <c r="K3978" s="97" t="str">
        <f ca="1">IF(J3978="","Date",IF(J3978&lt;&gt;"",IF(K3978="Date",NOW(),K3978),""))</f>
        <v>Date</v>
      </c>
    </row>
    <row r="3979" spans="2:11">
      <c r="B3979" s="97" t="str">
        <f ca="1">IF(A3979="","Date",IF(A3979&lt;&gt;"",IF(B3979="Date",NOW(),B3979),""))</f>
        <v>Date</v>
      </c>
      <c r="C3979" s="19" t="str">
        <f>IF(ISBLANK(A3979),"Name",IF(ISNA(VLOOKUP(A3979,'Master List'!A:C,2,FALSE)), "Not Found", VLOOKUP(A3979,'Master List'!A:C,2,FALSE)))</f>
        <v>Name</v>
      </c>
      <c r="D3979" s="19" t="str">
        <f>IF(ISBLANK(A3979), "Email",IF(ISNA(VLOOKUP(A3979,'Master List'!A:C,3,FALSE)), "Not Found", VLOOKUP(A3979,'Master List'!A:C,3,FALSE)))</f>
        <v>Email</v>
      </c>
      <c r="F3979" s="4" t="str">
        <f>IF(OR(A3979="",E3979="","",A3979="?",E3979="?"),"duplicate?",IF(COUNTIFS($A:A,A3979,E:E,E3979)&gt;1,"yes","no"))</f>
        <v>duplicate?</v>
      </c>
      <c r="K3979" s="97" t="str">
        <f ca="1">IF(J3979="","Date",IF(J3979&lt;&gt;"",IF(K3979="Date",NOW(),K3979),""))</f>
        <v>Date</v>
      </c>
    </row>
    <row r="3980" spans="2:11">
      <c r="B3980" s="97" t="str">
        <f ca="1">IF(A3980="","Date",IF(A3980&lt;&gt;"",IF(B3980="Date",NOW(),B3980),""))</f>
        <v>Date</v>
      </c>
      <c r="C3980" s="19" t="str">
        <f>IF(ISBLANK(A3980),"Name",IF(ISNA(VLOOKUP(A3980,'Master List'!A:C,2,FALSE)), "Not Found", VLOOKUP(A3980,'Master List'!A:C,2,FALSE)))</f>
        <v>Name</v>
      </c>
      <c r="D3980" s="19" t="str">
        <f>IF(ISBLANK(A3980), "Email",IF(ISNA(VLOOKUP(A3980,'Master List'!A:C,3,FALSE)), "Not Found", VLOOKUP(A3980,'Master List'!A:C,3,FALSE)))</f>
        <v>Email</v>
      </c>
      <c r="F3980" s="4" t="str">
        <f>IF(OR(A3980="",E3980="","",A3980="?",E3980="?"),"duplicate?",IF(COUNTIFS($A:A,A3980,E:E,E3980)&gt;1,"yes","no"))</f>
        <v>duplicate?</v>
      </c>
      <c r="K3980" s="97" t="str">
        <f ca="1">IF(J3980="","Date",IF(J3980&lt;&gt;"",IF(K3980="Date",NOW(),K3980),""))</f>
        <v>Date</v>
      </c>
    </row>
    <row r="3981" spans="2:11">
      <c r="B3981" s="97" t="str">
        <f ca="1">IF(A3981="","Date",IF(A3981&lt;&gt;"",IF(B3981="Date",NOW(),B3981),""))</f>
        <v>Date</v>
      </c>
      <c r="C3981" s="19" t="str">
        <f>IF(ISBLANK(A3981),"Name",IF(ISNA(VLOOKUP(A3981,'Master List'!A:C,2,FALSE)), "Not Found", VLOOKUP(A3981,'Master List'!A:C,2,FALSE)))</f>
        <v>Name</v>
      </c>
      <c r="D3981" s="19" t="str">
        <f>IF(ISBLANK(A3981), "Email",IF(ISNA(VLOOKUP(A3981,'Master List'!A:C,3,FALSE)), "Not Found", VLOOKUP(A3981,'Master List'!A:C,3,FALSE)))</f>
        <v>Email</v>
      </c>
      <c r="F3981" s="4" t="str">
        <f>IF(OR(A3981="",E3981="","",A3981="?",E3981="?"),"duplicate?",IF(COUNTIFS($A:A,A3981,E:E,E3981)&gt;1,"yes","no"))</f>
        <v>duplicate?</v>
      </c>
      <c r="K3981" s="97" t="str">
        <f ca="1">IF(J3981="","Date",IF(J3981&lt;&gt;"",IF(K3981="Date",NOW(),K3981),""))</f>
        <v>Date</v>
      </c>
    </row>
    <row r="3982" spans="2:11">
      <c r="B3982" s="97" t="str">
        <f ca="1">IF(A3982="","Date",IF(A3982&lt;&gt;"",IF(B3982="Date",NOW(),B3982),""))</f>
        <v>Date</v>
      </c>
      <c r="C3982" s="19" t="str">
        <f>IF(ISBLANK(A3982),"Name",IF(ISNA(VLOOKUP(A3982,'Master List'!A:C,2,FALSE)), "Not Found", VLOOKUP(A3982,'Master List'!A:C,2,FALSE)))</f>
        <v>Name</v>
      </c>
      <c r="D3982" s="19" t="str">
        <f>IF(ISBLANK(A3982), "Email",IF(ISNA(VLOOKUP(A3982,'Master List'!A:C,3,FALSE)), "Not Found", VLOOKUP(A3982,'Master List'!A:C,3,FALSE)))</f>
        <v>Email</v>
      </c>
      <c r="F3982" s="4" t="str">
        <f>IF(OR(A3982="",E3982="","",A3982="?",E3982="?"),"duplicate?",IF(COUNTIFS($A:A,A3982,E:E,E3982)&gt;1,"yes","no"))</f>
        <v>duplicate?</v>
      </c>
      <c r="K3982" s="97" t="str">
        <f ca="1">IF(J3982="","Date",IF(J3982&lt;&gt;"",IF(K3982="Date",NOW(),K3982),""))</f>
        <v>Date</v>
      </c>
    </row>
    <row r="3983" spans="2:11">
      <c r="B3983" s="97" t="str">
        <f ca="1">IF(A3983="","Date",IF(A3983&lt;&gt;"",IF(B3983="Date",NOW(),B3983),""))</f>
        <v>Date</v>
      </c>
      <c r="C3983" s="19" t="str">
        <f>IF(ISBLANK(A3983),"Name",IF(ISNA(VLOOKUP(A3983,'Master List'!A:C,2,FALSE)), "Not Found", VLOOKUP(A3983,'Master List'!A:C,2,FALSE)))</f>
        <v>Name</v>
      </c>
      <c r="D3983" s="19" t="str">
        <f>IF(ISBLANK(A3983), "Email",IF(ISNA(VLOOKUP(A3983,'Master List'!A:C,3,FALSE)), "Not Found", VLOOKUP(A3983,'Master List'!A:C,3,FALSE)))</f>
        <v>Email</v>
      </c>
      <c r="F3983" s="4" t="str">
        <f>IF(OR(A3983="",E3983="","",A3983="?",E3983="?"),"duplicate?",IF(COUNTIFS($A:A,A3983,E:E,E3983)&gt;1,"yes","no"))</f>
        <v>duplicate?</v>
      </c>
      <c r="K3983" s="97" t="str">
        <f ca="1">IF(J3983="","Date",IF(J3983&lt;&gt;"",IF(K3983="Date",NOW(),K3983),""))</f>
        <v>Date</v>
      </c>
    </row>
    <row r="3984" spans="2:11">
      <c r="B3984" s="97" t="str">
        <f ca="1">IF(A3984="","Date",IF(A3984&lt;&gt;"",IF(B3984="Date",NOW(),B3984),""))</f>
        <v>Date</v>
      </c>
      <c r="C3984" s="19" t="str">
        <f>IF(ISBLANK(A3984),"Name",IF(ISNA(VLOOKUP(A3984,'Master List'!A:C,2,FALSE)), "Not Found", VLOOKUP(A3984,'Master List'!A:C,2,FALSE)))</f>
        <v>Name</v>
      </c>
      <c r="D3984" s="19" t="str">
        <f>IF(ISBLANK(A3984), "Email",IF(ISNA(VLOOKUP(A3984,'Master List'!A:C,3,FALSE)), "Not Found", VLOOKUP(A3984,'Master List'!A:C,3,FALSE)))</f>
        <v>Email</v>
      </c>
      <c r="F3984" s="4" t="str">
        <f>IF(OR(A3984="",E3984="","",A3984="?",E3984="?"),"duplicate?",IF(COUNTIFS($A:A,A3984,E:E,E3984)&gt;1,"yes","no"))</f>
        <v>duplicate?</v>
      </c>
      <c r="K3984" s="97" t="str">
        <f ca="1">IF(J3984="","Date",IF(J3984&lt;&gt;"",IF(K3984="Date",NOW(),K3984),""))</f>
        <v>Date</v>
      </c>
    </row>
    <row r="3985" spans="2:11">
      <c r="B3985" s="97" t="str">
        <f ca="1">IF(A3985="","Date",IF(A3985&lt;&gt;"",IF(B3985="Date",NOW(),B3985),""))</f>
        <v>Date</v>
      </c>
      <c r="C3985" s="19" t="str">
        <f>IF(ISBLANK(A3985),"Name",IF(ISNA(VLOOKUP(A3985,'Master List'!A:C,2,FALSE)), "Not Found", VLOOKUP(A3985,'Master List'!A:C,2,FALSE)))</f>
        <v>Name</v>
      </c>
      <c r="D3985" s="19" t="str">
        <f>IF(ISBLANK(A3985), "Email",IF(ISNA(VLOOKUP(A3985,'Master List'!A:C,3,FALSE)), "Not Found", VLOOKUP(A3985,'Master List'!A:C,3,FALSE)))</f>
        <v>Email</v>
      </c>
      <c r="F3985" s="4" t="str">
        <f>IF(OR(A3985="",E3985="","",A3985="?",E3985="?"),"duplicate?",IF(COUNTIFS($A:A,A3985,E:E,E3985)&gt;1,"yes","no"))</f>
        <v>duplicate?</v>
      </c>
      <c r="K3985" s="97" t="str">
        <f ca="1">IF(J3985="","Date",IF(J3985&lt;&gt;"",IF(K3985="Date",NOW(),K3985),""))</f>
        <v>Date</v>
      </c>
    </row>
    <row r="3986" spans="2:11">
      <c r="B3986" s="97" t="str">
        <f ca="1">IF(A3986="","Date",IF(A3986&lt;&gt;"",IF(B3986="Date",NOW(),B3986),""))</f>
        <v>Date</v>
      </c>
      <c r="C3986" s="19" t="str">
        <f>IF(ISBLANK(A3986),"Name",IF(ISNA(VLOOKUP(A3986,'Master List'!A:C,2,FALSE)), "Not Found", VLOOKUP(A3986,'Master List'!A:C,2,FALSE)))</f>
        <v>Name</v>
      </c>
      <c r="D3986" s="19" t="str">
        <f>IF(ISBLANK(A3986), "Email",IF(ISNA(VLOOKUP(A3986,'Master List'!A:C,3,FALSE)), "Not Found", VLOOKUP(A3986,'Master List'!A:C,3,FALSE)))</f>
        <v>Email</v>
      </c>
      <c r="F3986" s="4" t="str">
        <f>IF(OR(A3986="",E3986="","",A3986="?",E3986="?"),"duplicate?",IF(COUNTIFS($A:A,A3986,E:E,E3986)&gt;1,"yes","no"))</f>
        <v>duplicate?</v>
      </c>
      <c r="K3986" s="97" t="str">
        <f ca="1">IF(J3986="","Date",IF(J3986&lt;&gt;"",IF(K3986="Date",NOW(),K3986),""))</f>
        <v>Date</v>
      </c>
    </row>
    <row r="3987" spans="2:11">
      <c r="B3987" s="97" t="str">
        <f ca="1">IF(A3987="","Date",IF(A3987&lt;&gt;"",IF(B3987="Date",NOW(),B3987),""))</f>
        <v>Date</v>
      </c>
      <c r="C3987" s="19" t="str">
        <f>IF(ISBLANK(A3987),"Name",IF(ISNA(VLOOKUP(A3987,'Master List'!A:C,2,FALSE)), "Not Found", VLOOKUP(A3987,'Master List'!A:C,2,FALSE)))</f>
        <v>Name</v>
      </c>
      <c r="D3987" s="19" t="str">
        <f>IF(ISBLANK(A3987), "Email",IF(ISNA(VLOOKUP(A3987,'Master List'!A:C,3,FALSE)), "Not Found", VLOOKUP(A3987,'Master List'!A:C,3,FALSE)))</f>
        <v>Email</v>
      </c>
      <c r="F3987" s="4" t="str">
        <f>IF(OR(A3987="",E3987="","",A3987="?",E3987="?"),"duplicate?",IF(COUNTIFS($A:A,A3987,E:E,E3987)&gt;1,"yes","no"))</f>
        <v>duplicate?</v>
      </c>
      <c r="K3987" s="97" t="str">
        <f ca="1">IF(J3987="","Date",IF(J3987&lt;&gt;"",IF(K3987="Date",NOW(),K3987),""))</f>
        <v>Date</v>
      </c>
    </row>
    <row r="3988" spans="2:11">
      <c r="B3988" s="97" t="str">
        <f ca="1">IF(A3988="","Date",IF(A3988&lt;&gt;"",IF(B3988="Date",NOW(),B3988),""))</f>
        <v>Date</v>
      </c>
      <c r="C3988" s="19" t="str">
        <f>IF(ISBLANK(A3988),"Name",IF(ISNA(VLOOKUP(A3988,'Master List'!A:C,2,FALSE)), "Not Found", VLOOKUP(A3988,'Master List'!A:C,2,FALSE)))</f>
        <v>Name</v>
      </c>
      <c r="D3988" s="19" t="str">
        <f>IF(ISBLANK(A3988), "Email",IF(ISNA(VLOOKUP(A3988,'Master List'!A:C,3,FALSE)), "Not Found", VLOOKUP(A3988,'Master List'!A:C,3,FALSE)))</f>
        <v>Email</v>
      </c>
      <c r="F3988" s="4" t="str">
        <f>IF(OR(A3988="",E3988="","",A3988="?",E3988="?"),"duplicate?",IF(COUNTIFS($A:A,A3988,E:E,E3988)&gt;1,"yes","no"))</f>
        <v>duplicate?</v>
      </c>
      <c r="K3988" s="97" t="str">
        <f ca="1">IF(J3988="","Date",IF(J3988&lt;&gt;"",IF(K3988="Date",NOW(),K3988),""))</f>
        <v>Date</v>
      </c>
    </row>
    <row r="3989" spans="2:11">
      <c r="B3989" s="97" t="str">
        <f ca="1">IF(A3989="","Date",IF(A3989&lt;&gt;"",IF(B3989="Date",NOW(),B3989),""))</f>
        <v>Date</v>
      </c>
      <c r="C3989" s="19" t="str">
        <f>IF(ISBLANK(A3989),"Name",IF(ISNA(VLOOKUP(A3989,'Master List'!A:C,2,FALSE)), "Not Found", VLOOKUP(A3989,'Master List'!A:C,2,FALSE)))</f>
        <v>Name</v>
      </c>
      <c r="D3989" s="19" t="str">
        <f>IF(ISBLANK(A3989), "Email",IF(ISNA(VLOOKUP(A3989,'Master List'!A:C,3,FALSE)), "Not Found", VLOOKUP(A3989,'Master List'!A:C,3,FALSE)))</f>
        <v>Email</v>
      </c>
      <c r="F3989" s="4" t="str">
        <f>IF(OR(A3989="",E3989="","",A3989="?",E3989="?"),"duplicate?",IF(COUNTIFS($A:A,A3989,E:E,E3989)&gt;1,"yes","no"))</f>
        <v>duplicate?</v>
      </c>
      <c r="K3989" s="97" t="str">
        <f ca="1">IF(J3989="","Date",IF(J3989&lt;&gt;"",IF(K3989="Date",NOW(),K3989),""))</f>
        <v>Date</v>
      </c>
    </row>
    <row r="3990" spans="2:11">
      <c r="B3990" s="97" t="str">
        <f ca="1">IF(A3990="","Date",IF(A3990&lt;&gt;"",IF(B3990="Date",NOW(),B3990),""))</f>
        <v>Date</v>
      </c>
      <c r="C3990" s="19" t="str">
        <f>IF(ISBLANK(A3990),"Name",IF(ISNA(VLOOKUP(A3990,'Master List'!A:C,2,FALSE)), "Not Found", VLOOKUP(A3990,'Master List'!A:C,2,FALSE)))</f>
        <v>Name</v>
      </c>
      <c r="D3990" s="19" t="str">
        <f>IF(ISBLANK(A3990), "Email",IF(ISNA(VLOOKUP(A3990,'Master List'!A:C,3,FALSE)), "Not Found", VLOOKUP(A3990,'Master List'!A:C,3,FALSE)))</f>
        <v>Email</v>
      </c>
      <c r="F3990" s="4" t="str">
        <f>IF(OR(A3990="",E3990="","",A3990="?",E3990="?"),"duplicate?",IF(COUNTIFS($A:A,A3990,E:E,E3990)&gt;1,"yes","no"))</f>
        <v>duplicate?</v>
      </c>
      <c r="K3990" s="97" t="str">
        <f ca="1">IF(J3990="","Date",IF(J3990&lt;&gt;"",IF(K3990="Date",NOW(),K3990),""))</f>
        <v>Date</v>
      </c>
    </row>
    <row r="3991" spans="2:11">
      <c r="B3991" s="97" t="str">
        <f ca="1">IF(A3991="","Date",IF(A3991&lt;&gt;"",IF(B3991="Date",NOW(),B3991),""))</f>
        <v>Date</v>
      </c>
      <c r="C3991" s="19" t="str">
        <f>IF(ISBLANK(A3991),"Name",IF(ISNA(VLOOKUP(A3991,'Master List'!A:C,2,FALSE)), "Not Found", VLOOKUP(A3991,'Master List'!A:C,2,FALSE)))</f>
        <v>Name</v>
      </c>
      <c r="D3991" s="19" t="str">
        <f>IF(ISBLANK(A3991), "Email",IF(ISNA(VLOOKUP(A3991,'Master List'!A:C,3,FALSE)), "Not Found", VLOOKUP(A3991,'Master List'!A:C,3,FALSE)))</f>
        <v>Email</v>
      </c>
      <c r="F3991" s="4" t="str">
        <f>IF(OR(A3991="",E3991="","",A3991="?",E3991="?"),"duplicate?",IF(COUNTIFS($A:A,A3991,E:E,E3991)&gt;1,"yes","no"))</f>
        <v>duplicate?</v>
      </c>
      <c r="K3991" s="97" t="str">
        <f ca="1">IF(J3991="","Date",IF(J3991&lt;&gt;"",IF(K3991="Date",NOW(),K3991),""))</f>
        <v>Date</v>
      </c>
    </row>
    <row r="3992" spans="2:11">
      <c r="B3992" s="97" t="str">
        <f ca="1">IF(A3992="","Date",IF(A3992&lt;&gt;"",IF(B3992="Date",NOW(),B3992),""))</f>
        <v>Date</v>
      </c>
      <c r="C3992" s="19" t="str">
        <f>IF(ISBLANK(A3992),"Name",IF(ISNA(VLOOKUP(A3992,'Master List'!A:C,2,FALSE)), "Not Found", VLOOKUP(A3992,'Master List'!A:C,2,FALSE)))</f>
        <v>Name</v>
      </c>
      <c r="D3992" s="19" t="str">
        <f>IF(ISBLANK(A3992), "Email",IF(ISNA(VLOOKUP(A3992,'Master List'!A:C,3,FALSE)), "Not Found", VLOOKUP(A3992,'Master List'!A:C,3,FALSE)))</f>
        <v>Email</v>
      </c>
      <c r="F3992" s="4" t="str">
        <f>IF(OR(A3992="",E3992="","",A3992="?",E3992="?"),"duplicate?",IF(COUNTIFS($A:A,A3992,E:E,E3992)&gt;1,"yes","no"))</f>
        <v>duplicate?</v>
      </c>
      <c r="K3992" s="97" t="str">
        <f ca="1">IF(J3992="","Date",IF(J3992&lt;&gt;"",IF(K3992="Date",NOW(),K3992),""))</f>
        <v>Date</v>
      </c>
    </row>
    <row r="3993" spans="2:11">
      <c r="B3993" s="97" t="str">
        <f ca="1">IF(A3993="","Date",IF(A3993&lt;&gt;"",IF(B3993="Date",NOW(),B3993),""))</f>
        <v>Date</v>
      </c>
      <c r="C3993" s="19" t="str">
        <f>IF(ISBLANK(A3993),"Name",IF(ISNA(VLOOKUP(A3993,'Master List'!A:C,2,FALSE)), "Not Found", VLOOKUP(A3993,'Master List'!A:C,2,FALSE)))</f>
        <v>Name</v>
      </c>
      <c r="D3993" s="19" t="str">
        <f>IF(ISBLANK(A3993), "Email",IF(ISNA(VLOOKUP(A3993,'Master List'!A:C,3,FALSE)), "Not Found", VLOOKUP(A3993,'Master List'!A:C,3,FALSE)))</f>
        <v>Email</v>
      </c>
      <c r="F3993" s="4" t="str">
        <f>IF(OR(A3993="",E3993="","",A3993="?",E3993="?"),"duplicate?",IF(COUNTIFS($A:A,A3993,E:E,E3993)&gt;1,"yes","no"))</f>
        <v>duplicate?</v>
      </c>
      <c r="K3993" s="97" t="str">
        <f ca="1">IF(J3993="","Date",IF(J3993&lt;&gt;"",IF(K3993="Date",NOW(),K3993),""))</f>
        <v>Date</v>
      </c>
    </row>
    <row r="3994" spans="2:11">
      <c r="B3994" s="97" t="str">
        <f ca="1">IF(A3994="","Date",IF(A3994&lt;&gt;"",IF(B3994="Date",NOW(),B3994),""))</f>
        <v>Date</v>
      </c>
      <c r="C3994" s="19" t="str">
        <f>IF(ISBLANK(A3994),"Name",IF(ISNA(VLOOKUP(A3994,'Master List'!A:C,2,FALSE)), "Not Found", VLOOKUP(A3994,'Master List'!A:C,2,FALSE)))</f>
        <v>Name</v>
      </c>
      <c r="D3994" s="19" t="str">
        <f>IF(ISBLANK(A3994), "Email",IF(ISNA(VLOOKUP(A3994,'Master List'!A:C,3,FALSE)), "Not Found", VLOOKUP(A3994,'Master List'!A:C,3,FALSE)))</f>
        <v>Email</v>
      </c>
      <c r="F3994" s="4" t="str">
        <f>IF(OR(A3994="",E3994="","",A3994="?",E3994="?"),"duplicate?",IF(COUNTIFS($A:A,A3994,E:E,E3994)&gt;1,"yes","no"))</f>
        <v>duplicate?</v>
      </c>
      <c r="K3994" s="97" t="str">
        <f ca="1">IF(J3994="","Date",IF(J3994&lt;&gt;"",IF(K3994="Date",NOW(),K3994),""))</f>
        <v>Date</v>
      </c>
    </row>
    <row r="3995" spans="2:11">
      <c r="B3995" s="97" t="str">
        <f ca="1">IF(A3995="","Date",IF(A3995&lt;&gt;"",IF(B3995="Date",NOW(),B3995),""))</f>
        <v>Date</v>
      </c>
      <c r="C3995" s="19" t="str">
        <f>IF(ISBLANK(A3995),"Name",IF(ISNA(VLOOKUP(A3995,'Master List'!A:C,2,FALSE)), "Not Found", VLOOKUP(A3995,'Master List'!A:C,2,FALSE)))</f>
        <v>Name</v>
      </c>
      <c r="D3995" s="19" t="str">
        <f>IF(ISBLANK(A3995), "Email",IF(ISNA(VLOOKUP(A3995,'Master List'!A:C,3,FALSE)), "Not Found", VLOOKUP(A3995,'Master List'!A:C,3,FALSE)))</f>
        <v>Email</v>
      </c>
      <c r="F3995" s="4" t="str">
        <f>IF(OR(A3995="",E3995="","",A3995="?",E3995="?"),"duplicate?",IF(COUNTIFS($A:A,A3995,E:E,E3995)&gt;1,"yes","no"))</f>
        <v>duplicate?</v>
      </c>
      <c r="K3995" s="97" t="str">
        <f ca="1">IF(J3995="","Date",IF(J3995&lt;&gt;"",IF(K3995="Date",NOW(),K3995),""))</f>
        <v>Date</v>
      </c>
    </row>
    <row r="3996" spans="2:11">
      <c r="B3996" s="97" t="str">
        <f ca="1">IF(A3996="","Date",IF(A3996&lt;&gt;"",IF(B3996="Date",NOW(),B3996),""))</f>
        <v>Date</v>
      </c>
      <c r="C3996" s="19" t="str">
        <f>IF(ISBLANK(A3996),"Name",IF(ISNA(VLOOKUP(A3996,'Master List'!A:C,2,FALSE)), "Not Found", VLOOKUP(A3996,'Master List'!A:C,2,FALSE)))</f>
        <v>Name</v>
      </c>
      <c r="D3996" s="19" t="str">
        <f>IF(ISBLANK(A3996), "Email",IF(ISNA(VLOOKUP(A3996,'Master List'!A:C,3,FALSE)), "Not Found", VLOOKUP(A3996,'Master List'!A:C,3,FALSE)))</f>
        <v>Email</v>
      </c>
      <c r="F3996" s="4" t="str">
        <f>IF(OR(A3996="",E3996="","",A3996="?",E3996="?"),"duplicate?",IF(COUNTIFS($A:A,A3996,E:E,E3996)&gt;1,"yes","no"))</f>
        <v>duplicate?</v>
      </c>
      <c r="K3996" s="97" t="str">
        <f ca="1">IF(J3996="","Date",IF(J3996&lt;&gt;"",IF(K3996="Date",NOW(),K3996),""))</f>
        <v>Date</v>
      </c>
    </row>
    <row r="3997" spans="2:11">
      <c r="B3997" s="97" t="str">
        <f ca="1">IF(A3997="","Date",IF(A3997&lt;&gt;"",IF(B3997="Date",NOW(),B3997),""))</f>
        <v>Date</v>
      </c>
      <c r="C3997" s="19" t="str">
        <f>IF(ISBLANK(A3997),"Name",IF(ISNA(VLOOKUP(A3997,'Master List'!A:C,2,FALSE)), "Not Found", VLOOKUP(A3997,'Master List'!A:C,2,FALSE)))</f>
        <v>Name</v>
      </c>
      <c r="D3997" s="19" t="str">
        <f>IF(ISBLANK(A3997), "Email",IF(ISNA(VLOOKUP(A3997,'Master List'!A:C,3,FALSE)), "Not Found", VLOOKUP(A3997,'Master List'!A:C,3,FALSE)))</f>
        <v>Email</v>
      </c>
      <c r="F3997" s="4" t="str">
        <f>IF(OR(A3997="",E3997="","",A3997="?",E3997="?"),"duplicate?",IF(COUNTIFS($A:A,A3997,E:E,E3997)&gt;1,"yes","no"))</f>
        <v>duplicate?</v>
      </c>
      <c r="K3997" s="97" t="str">
        <f ca="1">IF(J3997="","Date",IF(J3997&lt;&gt;"",IF(K3997="Date",NOW(),K3997),""))</f>
        <v>Date</v>
      </c>
    </row>
    <row r="3998" spans="2:11">
      <c r="B3998" s="97" t="str">
        <f ca="1">IF(A3998="","Date",IF(A3998&lt;&gt;"",IF(B3998="Date",NOW(),B3998),""))</f>
        <v>Date</v>
      </c>
      <c r="C3998" s="19" t="str">
        <f>IF(ISBLANK(A3998),"Name",IF(ISNA(VLOOKUP(A3998,'Master List'!A:C,2,FALSE)), "Not Found", VLOOKUP(A3998,'Master List'!A:C,2,FALSE)))</f>
        <v>Name</v>
      </c>
      <c r="D3998" s="19" t="str">
        <f>IF(ISBLANK(A3998), "Email",IF(ISNA(VLOOKUP(A3998,'Master List'!A:C,3,FALSE)), "Not Found", VLOOKUP(A3998,'Master List'!A:C,3,FALSE)))</f>
        <v>Email</v>
      </c>
      <c r="F3998" s="4" t="str">
        <f>IF(OR(A3998="",E3998="","",A3998="?",E3998="?"),"duplicate?",IF(COUNTIFS($A:A,A3998,E:E,E3998)&gt;1,"yes","no"))</f>
        <v>duplicate?</v>
      </c>
      <c r="K3998" s="97" t="str">
        <f ca="1">IF(J3998="","Date",IF(J3998&lt;&gt;"",IF(K3998="Date",NOW(),K3998),""))</f>
        <v>Date</v>
      </c>
    </row>
    <row r="3999" spans="2:11">
      <c r="B3999" s="97" t="str">
        <f ca="1">IF(A3999="","Date",IF(A3999&lt;&gt;"",IF(B3999="Date",NOW(),B3999),""))</f>
        <v>Date</v>
      </c>
      <c r="C3999" s="19" t="str">
        <f>IF(ISBLANK(A3999),"Name",IF(ISNA(VLOOKUP(A3999,'Master List'!A:C,2,FALSE)), "Not Found", VLOOKUP(A3999,'Master List'!A:C,2,FALSE)))</f>
        <v>Name</v>
      </c>
      <c r="D3999" s="19" t="str">
        <f>IF(ISBLANK(A3999), "Email",IF(ISNA(VLOOKUP(A3999,'Master List'!A:C,3,FALSE)), "Not Found", VLOOKUP(A3999,'Master List'!A:C,3,FALSE)))</f>
        <v>Email</v>
      </c>
      <c r="F3999" s="4" t="str">
        <f>IF(OR(A3999="",E3999="","",A3999="?",E3999="?"),"duplicate?",IF(COUNTIFS($A:A,A3999,E:E,E3999)&gt;1,"yes","no"))</f>
        <v>duplicate?</v>
      </c>
      <c r="K3999" s="97" t="str">
        <f ca="1">IF(J3999="","Date",IF(J3999&lt;&gt;"",IF(K3999="Date",NOW(),K3999),""))</f>
        <v>Date</v>
      </c>
    </row>
    <row r="4000" spans="2:11">
      <c r="B4000" s="97" t="str">
        <f ca="1">IF(A4000="","Date",IF(A4000&lt;&gt;"",IF(B4000="Date",NOW(),B4000),""))</f>
        <v>Date</v>
      </c>
      <c r="C4000" s="19" t="str">
        <f>IF(ISBLANK(A4000),"Name",IF(ISNA(VLOOKUP(A4000,'Master List'!A:C,2,FALSE)), "Not Found", VLOOKUP(A4000,'Master List'!A:C,2,FALSE)))</f>
        <v>Name</v>
      </c>
      <c r="D4000" s="19" t="str">
        <f>IF(ISBLANK(A4000), "Email",IF(ISNA(VLOOKUP(A4000,'Master List'!A:C,3,FALSE)), "Not Found", VLOOKUP(A4000,'Master List'!A:C,3,FALSE)))</f>
        <v>Email</v>
      </c>
      <c r="F4000" s="4" t="str">
        <f>IF(OR(A4000="",E4000="","",A4000="?",E4000="?"),"duplicate?",IF(COUNTIFS($A:A,A4000,E:E,E4000)&gt;1,"yes","no"))</f>
        <v>duplicate?</v>
      </c>
      <c r="K4000" s="97" t="str">
        <f ca="1">IF(J4000="","Date",IF(J4000&lt;&gt;"",IF(K4000="Date",NOW(),K4000),""))</f>
        <v>Date</v>
      </c>
    </row>
    <row r="4001" spans="2:11">
      <c r="B4001" s="97" t="str">
        <f ca="1">IF(A4001="","Date",IF(A4001&lt;&gt;"",IF(B4001="Date",NOW(),B4001),""))</f>
        <v>Date</v>
      </c>
      <c r="C4001" s="19" t="str">
        <f>IF(ISBLANK(A4001),"Name",IF(ISNA(VLOOKUP(A4001,'Master List'!A:C,2,FALSE)), "Not Found", VLOOKUP(A4001,'Master List'!A:C,2,FALSE)))</f>
        <v>Name</v>
      </c>
      <c r="D4001" s="19" t="str">
        <f>IF(ISBLANK(A4001), "Email",IF(ISNA(VLOOKUP(A4001,'Master List'!A:C,3,FALSE)), "Not Found", VLOOKUP(A4001,'Master List'!A:C,3,FALSE)))</f>
        <v>Email</v>
      </c>
      <c r="F4001" s="4" t="str">
        <f>IF(OR(A4001="",E4001="","",A4001="?",E4001="?"),"duplicate?",IF(COUNTIFS($A:A,A4001,E:E,E4001)&gt;1,"yes","no"))</f>
        <v>duplicate?</v>
      </c>
      <c r="K4001" s="97" t="str">
        <f ca="1">IF(J4001="","Date",IF(J4001&lt;&gt;"",IF(K4001="Date",NOW(),K4001),""))</f>
        <v>Date</v>
      </c>
    </row>
    <row r="4002" spans="2:11">
      <c r="B4002" s="97" t="str">
        <f ca="1">IF(A4002="","Date",IF(A4002&lt;&gt;"",IF(B4002="Date",NOW(),B4002),""))</f>
        <v>Date</v>
      </c>
      <c r="C4002" s="19" t="str">
        <f>IF(ISBLANK(A4002),"Name",IF(ISNA(VLOOKUP(A4002,'Master List'!A:C,2,FALSE)), "Not Found", VLOOKUP(A4002,'Master List'!A:C,2,FALSE)))</f>
        <v>Name</v>
      </c>
      <c r="D4002" s="19" t="str">
        <f>IF(ISBLANK(A4002), "Email",IF(ISNA(VLOOKUP(A4002,'Master List'!A:C,3,FALSE)), "Not Found", VLOOKUP(A4002,'Master List'!A:C,3,FALSE)))</f>
        <v>Email</v>
      </c>
      <c r="F4002" s="4" t="str">
        <f>IF(OR(A4002="",E4002="","",A4002="?",E4002="?"),"duplicate?",IF(COUNTIFS($A:A,A4002,E:E,E4002)&gt;1,"yes","no"))</f>
        <v>duplicate?</v>
      </c>
      <c r="K4002" s="97" t="str">
        <f ca="1">IF(J4002="","Date",IF(J4002&lt;&gt;"",IF(K4002="Date",NOW(),K4002),""))</f>
        <v>Date</v>
      </c>
    </row>
    <row r="4003" spans="2:11">
      <c r="B4003" s="97" t="str">
        <f ca="1">IF(A4003="","Date",IF(A4003&lt;&gt;"",IF(B4003="Date",NOW(),B4003),""))</f>
        <v>Date</v>
      </c>
      <c r="C4003" s="19" t="str">
        <f>IF(ISBLANK(A4003),"Name",IF(ISNA(VLOOKUP(A4003,'Master List'!A:C,2,FALSE)), "Not Found", VLOOKUP(A4003,'Master List'!A:C,2,FALSE)))</f>
        <v>Name</v>
      </c>
      <c r="D4003" s="19" t="str">
        <f>IF(ISBLANK(A4003), "Email",IF(ISNA(VLOOKUP(A4003,'Master List'!A:C,3,FALSE)), "Not Found", VLOOKUP(A4003,'Master List'!A:C,3,FALSE)))</f>
        <v>Email</v>
      </c>
      <c r="F4003" s="4" t="str">
        <f>IF(OR(A4003="",E4003="","",A4003="?",E4003="?"),"duplicate?",IF(COUNTIFS($A:A,A4003,E:E,E4003)&gt;1,"yes","no"))</f>
        <v>duplicate?</v>
      </c>
      <c r="K4003" s="97" t="str">
        <f ca="1">IF(J4003="","Date",IF(J4003&lt;&gt;"",IF(K4003="Date",NOW(),K4003),""))</f>
        <v>Date</v>
      </c>
    </row>
    <row r="4004" spans="2:11">
      <c r="B4004" s="97" t="str">
        <f ca="1">IF(A4004="","Date",IF(A4004&lt;&gt;"",IF(B4004="Date",NOW(),B4004),""))</f>
        <v>Date</v>
      </c>
      <c r="C4004" s="19" t="str">
        <f>IF(ISBLANK(A4004),"Name",IF(ISNA(VLOOKUP(A4004,'Master List'!A:C,2,FALSE)), "Not Found", VLOOKUP(A4004,'Master List'!A:C,2,FALSE)))</f>
        <v>Name</v>
      </c>
      <c r="D4004" s="19" t="str">
        <f>IF(ISBLANK(A4004), "Email",IF(ISNA(VLOOKUP(A4004,'Master List'!A:C,3,FALSE)), "Not Found", VLOOKUP(A4004,'Master List'!A:C,3,FALSE)))</f>
        <v>Email</v>
      </c>
      <c r="F4004" s="4" t="str">
        <f>IF(OR(A4004="",E4004="","",A4004="?",E4004="?"),"duplicate?",IF(COUNTIFS($A:A,A4004,E:E,E4004)&gt;1,"yes","no"))</f>
        <v>duplicate?</v>
      </c>
      <c r="K4004" s="97" t="str">
        <f ca="1">IF(J4004="","Date",IF(J4004&lt;&gt;"",IF(K4004="Date",NOW(),K4004),""))</f>
        <v>Date</v>
      </c>
    </row>
    <row r="4005" spans="2:11">
      <c r="B4005" s="97" t="str">
        <f ca="1">IF(A4005="","Date",IF(A4005&lt;&gt;"",IF(B4005="Date",NOW(),B4005),""))</f>
        <v>Date</v>
      </c>
      <c r="C4005" s="19" t="str">
        <f>IF(ISBLANK(A4005),"Name",IF(ISNA(VLOOKUP(A4005,'Master List'!A:C,2,FALSE)), "Not Found", VLOOKUP(A4005,'Master List'!A:C,2,FALSE)))</f>
        <v>Name</v>
      </c>
      <c r="D4005" s="19" t="str">
        <f>IF(ISBLANK(A4005), "Email",IF(ISNA(VLOOKUP(A4005,'Master List'!A:C,3,FALSE)), "Not Found", VLOOKUP(A4005,'Master List'!A:C,3,FALSE)))</f>
        <v>Email</v>
      </c>
      <c r="F4005" s="4" t="str">
        <f>IF(OR(A4005="",E4005="","",A4005="?",E4005="?"),"duplicate?",IF(COUNTIFS($A:A,A4005,E:E,E4005)&gt;1,"yes","no"))</f>
        <v>duplicate?</v>
      </c>
      <c r="K4005" s="97" t="str">
        <f ca="1">IF(J4005="","Date",IF(J4005&lt;&gt;"",IF(K4005="Date",NOW(),K4005),""))</f>
        <v>Date</v>
      </c>
    </row>
    <row r="4006" spans="2:11">
      <c r="B4006" s="97" t="str">
        <f ca="1">IF(A4006="","Date",IF(A4006&lt;&gt;"",IF(B4006="Date",NOW(),B4006),""))</f>
        <v>Date</v>
      </c>
      <c r="C4006" s="19" t="str">
        <f>IF(ISBLANK(A4006),"Name",IF(ISNA(VLOOKUP(A4006,'Master List'!A:C,2,FALSE)), "Not Found", VLOOKUP(A4006,'Master List'!A:C,2,FALSE)))</f>
        <v>Name</v>
      </c>
      <c r="D4006" s="19" t="str">
        <f>IF(ISBLANK(A4006), "Email",IF(ISNA(VLOOKUP(A4006,'Master List'!A:C,3,FALSE)), "Not Found", VLOOKUP(A4006,'Master List'!A:C,3,FALSE)))</f>
        <v>Email</v>
      </c>
      <c r="F4006" s="4" t="str">
        <f>IF(OR(A4006="",E4006="","",A4006="?",E4006="?"),"duplicate?",IF(COUNTIFS($A:A,A4006,E:E,E4006)&gt;1,"yes","no"))</f>
        <v>duplicate?</v>
      </c>
      <c r="K4006" s="97" t="str">
        <f ca="1">IF(J4006="","Date",IF(J4006&lt;&gt;"",IF(K4006="Date",NOW(),K4006),""))</f>
        <v>Date</v>
      </c>
    </row>
    <row r="4007" spans="2:11">
      <c r="B4007" s="97" t="str">
        <f ca="1">IF(A4007="","Date",IF(A4007&lt;&gt;"",IF(B4007="Date",NOW(),B4007),""))</f>
        <v>Date</v>
      </c>
      <c r="C4007" s="19" t="str">
        <f>IF(ISBLANK(A4007),"Name",IF(ISNA(VLOOKUP(A4007,'Master List'!A:C,2,FALSE)), "Not Found", VLOOKUP(A4007,'Master List'!A:C,2,FALSE)))</f>
        <v>Name</v>
      </c>
      <c r="D4007" s="19" t="str">
        <f>IF(ISBLANK(A4007), "Email",IF(ISNA(VLOOKUP(A4007,'Master List'!A:C,3,FALSE)), "Not Found", VLOOKUP(A4007,'Master List'!A:C,3,FALSE)))</f>
        <v>Email</v>
      </c>
      <c r="F4007" s="4" t="str">
        <f>IF(OR(A4007="",E4007="","",A4007="?",E4007="?"),"duplicate?",IF(COUNTIFS($A:A,A4007,E:E,E4007)&gt;1,"yes","no"))</f>
        <v>duplicate?</v>
      </c>
      <c r="K4007" s="97" t="str">
        <f ca="1">IF(J4007="","Date",IF(J4007&lt;&gt;"",IF(K4007="Date",NOW(),K4007),""))</f>
        <v>Date</v>
      </c>
    </row>
    <row r="4008" spans="2:11">
      <c r="B4008" s="97" t="str">
        <f ca="1">IF(A4008="","Date",IF(A4008&lt;&gt;"",IF(B4008="Date",NOW(),B4008),""))</f>
        <v>Date</v>
      </c>
      <c r="C4008" s="19" t="str">
        <f>IF(ISBLANK(A4008),"Name",IF(ISNA(VLOOKUP(A4008,'Master List'!A:C,2,FALSE)), "Not Found", VLOOKUP(A4008,'Master List'!A:C,2,FALSE)))</f>
        <v>Name</v>
      </c>
      <c r="D4008" s="19" t="str">
        <f>IF(ISBLANK(A4008), "Email",IF(ISNA(VLOOKUP(A4008,'Master List'!A:C,3,FALSE)), "Not Found", VLOOKUP(A4008,'Master List'!A:C,3,FALSE)))</f>
        <v>Email</v>
      </c>
      <c r="F4008" s="4" t="str">
        <f>IF(OR(A4008="",E4008="","",A4008="?",E4008="?"),"duplicate?",IF(COUNTIFS($A:A,A4008,E:E,E4008)&gt;1,"yes","no"))</f>
        <v>duplicate?</v>
      </c>
      <c r="K4008" s="97" t="str">
        <f ca="1">IF(J4008="","Date",IF(J4008&lt;&gt;"",IF(K4008="Date",NOW(),K4008),""))</f>
        <v>Date</v>
      </c>
    </row>
    <row r="4009" spans="2:11">
      <c r="B4009" s="97" t="str">
        <f ca="1">IF(A4009="","Date",IF(A4009&lt;&gt;"",IF(B4009="Date",NOW(),B4009),""))</f>
        <v>Date</v>
      </c>
      <c r="C4009" s="19" t="str">
        <f>IF(ISBLANK(A4009),"Name",IF(ISNA(VLOOKUP(A4009,'Master List'!A:C,2,FALSE)), "Not Found", VLOOKUP(A4009,'Master List'!A:C,2,FALSE)))</f>
        <v>Name</v>
      </c>
      <c r="D4009" s="19" t="str">
        <f>IF(ISBLANK(A4009), "Email",IF(ISNA(VLOOKUP(A4009,'Master List'!A:C,3,FALSE)), "Not Found", VLOOKUP(A4009,'Master List'!A:C,3,FALSE)))</f>
        <v>Email</v>
      </c>
      <c r="F4009" s="4" t="str">
        <f>IF(OR(A4009="",E4009="","",A4009="?",E4009="?"),"duplicate?",IF(COUNTIFS($A:A,A4009,E:E,E4009)&gt;1,"yes","no"))</f>
        <v>duplicate?</v>
      </c>
      <c r="K4009" s="97" t="str">
        <f ca="1">IF(J4009="","Date",IF(J4009&lt;&gt;"",IF(K4009="Date",NOW(),K4009),""))</f>
        <v>Date</v>
      </c>
    </row>
    <row r="4010" spans="2:11">
      <c r="B4010" s="97" t="str">
        <f ca="1">IF(A4010="","Date",IF(A4010&lt;&gt;"",IF(B4010="Date",NOW(),B4010),""))</f>
        <v>Date</v>
      </c>
      <c r="C4010" s="19" t="str">
        <f>IF(ISBLANK(A4010),"Name",IF(ISNA(VLOOKUP(A4010,'Master List'!A:C,2,FALSE)), "Not Found", VLOOKUP(A4010,'Master List'!A:C,2,FALSE)))</f>
        <v>Name</v>
      </c>
      <c r="D4010" s="19" t="str">
        <f>IF(ISBLANK(A4010), "Email",IF(ISNA(VLOOKUP(A4010,'Master List'!A:C,3,FALSE)), "Not Found", VLOOKUP(A4010,'Master List'!A:C,3,FALSE)))</f>
        <v>Email</v>
      </c>
      <c r="F4010" s="4" t="str">
        <f>IF(OR(A4010="",E4010="","",A4010="?",E4010="?"),"duplicate?",IF(COUNTIFS($A:A,A4010,E:E,E4010)&gt;1,"yes","no"))</f>
        <v>duplicate?</v>
      </c>
      <c r="K4010" s="97" t="str">
        <f ca="1">IF(J4010="","Date",IF(J4010&lt;&gt;"",IF(K4010="Date",NOW(),K4010),""))</f>
        <v>Date</v>
      </c>
    </row>
    <row r="4011" spans="2:11">
      <c r="B4011" s="97" t="str">
        <f ca="1">IF(A4011="","Date",IF(A4011&lt;&gt;"",IF(B4011="Date",NOW(),B4011),""))</f>
        <v>Date</v>
      </c>
      <c r="C4011" s="19" t="str">
        <f>IF(ISBLANK(A4011),"Name",IF(ISNA(VLOOKUP(A4011,'Master List'!A:C,2,FALSE)), "Not Found", VLOOKUP(A4011,'Master List'!A:C,2,FALSE)))</f>
        <v>Name</v>
      </c>
      <c r="D4011" s="19" t="str">
        <f>IF(ISBLANK(A4011), "Email",IF(ISNA(VLOOKUP(A4011,'Master List'!A:C,3,FALSE)), "Not Found", VLOOKUP(A4011,'Master List'!A:C,3,FALSE)))</f>
        <v>Email</v>
      </c>
      <c r="F4011" s="4" t="str">
        <f>IF(OR(A4011="",E4011="","",A4011="?",E4011="?"),"duplicate?",IF(COUNTIFS($A:A,A4011,E:E,E4011)&gt;1,"yes","no"))</f>
        <v>duplicate?</v>
      </c>
      <c r="K4011" s="97" t="str">
        <f ca="1">IF(J4011="","Date",IF(J4011&lt;&gt;"",IF(K4011="Date",NOW(),K4011),""))</f>
        <v>Date</v>
      </c>
    </row>
    <row r="4012" spans="2:11">
      <c r="B4012" s="97" t="str">
        <f ca="1">IF(A4012="","Date",IF(A4012&lt;&gt;"",IF(B4012="Date",NOW(),B4012),""))</f>
        <v>Date</v>
      </c>
      <c r="C4012" s="19" t="str">
        <f>IF(ISBLANK(A4012),"Name",IF(ISNA(VLOOKUP(A4012,'Master List'!A:C,2,FALSE)), "Not Found", VLOOKUP(A4012,'Master List'!A:C,2,FALSE)))</f>
        <v>Name</v>
      </c>
      <c r="D4012" s="19" t="str">
        <f>IF(ISBLANK(A4012), "Email",IF(ISNA(VLOOKUP(A4012,'Master List'!A:C,3,FALSE)), "Not Found", VLOOKUP(A4012,'Master List'!A:C,3,FALSE)))</f>
        <v>Email</v>
      </c>
      <c r="F4012" s="4" t="str">
        <f>IF(OR(A4012="",E4012="","",A4012="?",E4012="?"),"duplicate?",IF(COUNTIFS($A:A,A4012,E:E,E4012)&gt;1,"yes","no"))</f>
        <v>duplicate?</v>
      </c>
      <c r="K4012" s="97" t="str">
        <f ca="1">IF(J4012="","Date",IF(J4012&lt;&gt;"",IF(K4012="Date",NOW(),K4012),""))</f>
        <v>Date</v>
      </c>
    </row>
    <row r="4013" spans="2:11">
      <c r="B4013" s="97" t="str">
        <f ca="1">IF(A4013="","Date",IF(A4013&lt;&gt;"",IF(B4013="Date",NOW(),B4013),""))</f>
        <v>Date</v>
      </c>
      <c r="C4013" s="19" t="str">
        <f>IF(ISBLANK(A4013),"Name",IF(ISNA(VLOOKUP(A4013,'Master List'!A:C,2,FALSE)), "Not Found", VLOOKUP(A4013,'Master List'!A:C,2,FALSE)))</f>
        <v>Name</v>
      </c>
      <c r="D4013" s="19" t="str">
        <f>IF(ISBLANK(A4013), "Email",IF(ISNA(VLOOKUP(A4013,'Master List'!A:C,3,FALSE)), "Not Found", VLOOKUP(A4013,'Master List'!A:C,3,FALSE)))</f>
        <v>Email</v>
      </c>
      <c r="F4013" s="4" t="str">
        <f>IF(OR(A4013="",E4013="","",A4013="?",E4013="?"),"duplicate?",IF(COUNTIFS($A:A,A4013,E:E,E4013)&gt;1,"yes","no"))</f>
        <v>duplicate?</v>
      </c>
      <c r="K4013" s="97" t="str">
        <f ca="1">IF(J4013="","Date",IF(J4013&lt;&gt;"",IF(K4013="Date",NOW(),K4013),""))</f>
        <v>Date</v>
      </c>
    </row>
    <row r="4014" spans="2:11">
      <c r="B4014" s="97" t="str">
        <f ca="1">IF(A4014="","Date",IF(A4014&lt;&gt;"",IF(B4014="Date",NOW(),B4014),""))</f>
        <v>Date</v>
      </c>
      <c r="C4014" s="19" t="str">
        <f>IF(ISBLANK(A4014),"Name",IF(ISNA(VLOOKUP(A4014,'Master List'!A:C,2,FALSE)), "Not Found", VLOOKUP(A4014,'Master List'!A:C,2,FALSE)))</f>
        <v>Name</v>
      </c>
      <c r="D4014" s="19" t="str">
        <f>IF(ISBLANK(A4014), "Email",IF(ISNA(VLOOKUP(A4014,'Master List'!A:C,3,FALSE)), "Not Found", VLOOKUP(A4014,'Master List'!A:C,3,FALSE)))</f>
        <v>Email</v>
      </c>
      <c r="F4014" s="4" t="str">
        <f>IF(OR(A4014="",E4014="","",A4014="?",E4014="?"),"duplicate?",IF(COUNTIFS($A:A,A4014,E:E,E4014)&gt;1,"yes","no"))</f>
        <v>duplicate?</v>
      </c>
      <c r="K4014" s="97" t="str">
        <f ca="1">IF(J4014="","Date",IF(J4014&lt;&gt;"",IF(K4014="Date",NOW(),K4014),""))</f>
        <v>Date</v>
      </c>
    </row>
    <row r="4015" spans="2:11">
      <c r="B4015" s="97" t="str">
        <f ca="1">IF(A4015="","Date",IF(A4015&lt;&gt;"",IF(B4015="Date",NOW(),B4015),""))</f>
        <v>Date</v>
      </c>
      <c r="C4015" s="19" t="str">
        <f>IF(ISBLANK(A4015),"Name",IF(ISNA(VLOOKUP(A4015,'Master List'!A:C,2,FALSE)), "Not Found", VLOOKUP(A4015,'Master List'!A:C,2,FALSE)))</f>
        <v>Name</v>
      </c>
      <c r="D4015" s="19" t="str">
        <f>IF(ISBLANK(A4015), "Email",IF(ISNA(VLOOKUP(A4015,'Master List'!A:C,3,FALSE)), "Not Found", VLOOKUP(A4015,'Master List'!A:C,3,FALSE)))</f>
        <v>Email</v>
      </c>
      <c r="F4015" s="4" t="str">
        <f>IF(OR(A4015="",E4015="","",A4015="?",E4015="?"),"duplicate?",IF(COUNTIFS($A:A,A4015,E:E,E4015)&gt;1,"yes","no"))</f>
        <v>duplicate?</v>
      </c>
      <c r="K4015" s="97" t="str">
        <f ca="1">IF(J4015="","Date",IF(J4015&lt;&gt;"",IF(K4015="Date",NOW(),K4015),""))</f>
        <v>Date</v>
      </c>
    </row>
    <row r="4016" spans="2:11">
      <c r="B4016" s="97" t="str">
        <f ca="1">IF(A4016="","Date",IF(A4016&lt;&gt;"",IF(B4016="Date",NOW(),B4016),""))</f>
        <v>Date</v>
      </c>
      <c r="C4016" s="19" t="str">
        <f>IF(ISBLANK(A4016),"Name",IF(ISNA(VLOOKUP(A4016,'Master List'!A:C,2,FALSE)), "Not Found", VLOOKUP(A4016,'Master List'!A:C,2,FALSE)))</f>
        <v>Name</v>
      </c>
      <c r="D4016" s="19" t="str">
        <f>IF(ISBLANK(A4016), "Email",IF(ISNA(VLOOKUP(A4016,'Master List'!A:C,3,FALSE)), "Not Found", VLOOKUP(A4016,'Master List'!A:C,3,FALSE)))</f>
        <v>Email</v>
      </c>
      <c r="F4016" s="4" t="str">
        <f>IF(OR(A4016="",E4016="","",A4016="?",E4016="?"),"duplicate?",IF(COUNTIFS($A:A,A4016,E:E,E4016)&gt;1,"yes","no"))</f>
        <v>duplicate?</v>
      </c>
      <c r="K4016" s="97" t="str">
        <f ca="1">IF(J4016="","Date",IF(J4016&lt;&gt;"",IF(K4016="Date",NOW(),K4016),""))</f>
        <v>Date</v>
      </c>
    </row>
    <row r="4017" spans="2:11">
      <c r="B4017" s="97" t="str">
        <f ca="1">IF(A4017="","Date",IF(A4017&lt;&gt;"",IF(B4017="Date",NOW(),B4017),""))</f>
        <v>Date</v>
      </c>
      <c r="C4017" s="19" t="str">
        <f>IF(ISBLANK(A4017),"Name",IF(ISNA(VLOOKUP(A4017,'Master List'!A:C,2,FALSE)), "Not Found", VLOOKUP(A4017,'Master List'!A:C,2,FALSE)))</f>
        <v>Name</v>
      </c>
      <c r="D4017" s="19" t="str">
        <f>IF(ISBLANK(A4017), "Email",IF(ISNA(VLOOKUP(A4017,'Master List'!A:C,3,FALSE)), "Not Found", VLOOKUP(A4017,'Master List'!A:C,3,FALSE)))</f>
        <v>Email</v>
      </c>
      <c r="F4017" s="4" t="str">
        <f>IF(OR(A4017="",E4017="","",A4017="?",E4017="?"),"duplicate?",IF(COUNTIFS($A:A,A4017,E:E,E4017)&gt;1,"yes","no"))</f>
        <v>duplicate?</v>
      </c>
      <c r="K4017" s="97" t="str">
        <f ca="1">IF(J4017="","Date",IF(J4017&lt;&gt;"",IF(K4017="Date",NOW(),K4017),""))</f>
        <v>Date</v>
      </c>
    </row>
    <row r="4018" spans="2:11">
      <c r="B4018" s="97" t="str">
        <f ca="1">IF(A4018="","Date",IF(A4018&lt;&gt;"",IF(B4018="Date",NOW(),B4018),""))</f>
        <v>Date</v>
      </c>
      <c r="C4018" s="19" t="str">
        <f>IF(ISBLANK(A4018),"Name",IF(ISNA(VLOOKUP(A4018,'Master List'!A:C,2,FALSE)), "Not Found", VLOOKUP(A4018,'Master List'!A:C,2,FALSE)))</f>
        <v>Name</v>
      </c>
      <c r="D4018" s="19" t="str">
        <f>IF(ISBLANK(A4018), "Email",IF(ISNA(VLOOKUP(A4018,'Master List'!A:C,3,FALSE)), "Not Found", VLOOKUP(A4018,'Master List'!A:C,3,FALSE)))</f>
        <v>Email</v>
      </c>
      <c r="F4018" s="4" t="str">
        <f>IF(OR(A4018="",E4018="","",A4018="?",E4018="?"),"duplicate?",IF(COUNTIFS($A:A,A4018,E:E,E4018)&gt;1,"yes","no"))</f>
        <v>duplicate?</v>
      </c>
      <c r="K4018" s="97" t="str">
        <f ca="1">IF(J4018="","Date",IF(J4018&lt;&gt;"",IF(K4018="Date",NOW(),K4018),""))</f>
        <v>Date</v>
      </c>
    </row>
    <row r="4019" spans="2:11">
      <c r="B4019" s="97" t="str">
        <f ca="1">IF(A4019="","Date",IF(A4019&lt;&gt;"",IF(B4019="Date",NOW(),B4019),""))</f>
        <v>Date</v>
      </c>
      <c r="C4019" s="19" t="str">
        <f>IF(ISBLANK(A4019),"Name",IF(ISNA(VLOOKUP(A4019,'Master List'!A:C,2,FALSE)), "Not Found", VLOOKUP(A4019,'Master List'!A:C,2,FALSE)))</f>
        <v>Name</v>
      </c>
      <c r="D4019" s="19" t="str">
        <f>IF(ISBLANK(A4019), "Email",IF(ISNA(VLOOKUP(A4019,'Master List'!A:C,3,FALSE)), "Not Found", VLOOKUP(A4019,'Master List'!A:C,3,FALSE)))</f>
        <v>Email</v>
      </c>
      <c r="F4019" s="4" t="str">
        <f>IF(OR(A4019="",E4019="","",A4019="?",E4019="?"),"duplicate?",IF(COUNTIFS($A:A,A4019,E:E,E4019)&gt;1,"yes","no"))</f>
        <v>duplicate?</v>
      </c>
      <c r="K4019" s="97" t="str">
        <f ca="1">IF(J4019="","Date",IF(J4019&lt;&gt;"",IF(K4019="Date",NOW(),K4019),""))</f>
        <v>Date</v>
      </c>
    </row>
    <row r="4020" spans="2:11">
      <c r="B4020" s="97" t="str">
        <f ca="1">IF(A4020="","Date",IF(A4020&lt;&gt;"",IF(B4020="Date",NOW(),B4020),""))</f>
        <v>Date</v>
      </c>
      <c r="C4020" s="19" t="str">
        <f>IF(ISBLANK(A4020),"Name",IF(ISNA(VLOOKUP(A4020,'Master List'!A:C,2,FALSE)), "Not Found", VLOOKUP(A4020,'Master List'!A:C,2,FALSE)))</f>
        <v>Name</v>
      </c>
      <c r="D4020" s="19" t="str">
        <f>IF(ISBLANK(A4020), "Email",IF(ISNA(VLOOKUP(A4020,'Master List'!A:C,3,FALSE)), "Not Found", VLOOKUP(A4020,'Master List'!A:C,3,FALSE)))</f>
        <v>Email</v>
      </c>
      <c r="F4020" s="4" t="str">
        <f>IF(OR(A4020="",E4020="","",A4020="?",E4020="?"),"duplicate?",IF(COUNTIFS($A:A,A4020,E:E,E4020)&gt;1,"yes","no"))</f>
        <v>duplicate?</v>
      </c>
      <c r="K4020" s="97" t="str">
        <f ca="1">IF(J4020="","Date",IF(J4020&lt;&gt;"",IF(K4020="Date",NOW(),K4020),""))</f>
        <v>Date</v>
      </c>
    </row>
    <row r="4021" spans="2:11">
      <c r="B4021" s="97" t="str">
        <f ca="1">IF(A4021="","Date",IF(A4021&lt;&gt;"",IF(B4021="Date",NOW(),B4021),""))</f>
        <v>Date</v>
      </c>
      <c r="C4021" s="19" t="str">
        <f>IF(ISBLANK(A4021),"Name",IF(ISNA(VLOOKUP(A4021,'Master List'!A:C,2,FALSE)), "Not Found", VLOOKUP(A4021,'Master List'!A:C,2,FALSE)))</f>
        <v>Name</v>
      </c>
      <c r="D4021" s="19" t="str">
        <f>IF(ISBLANK(A4021), "Email",IF(ISNA(VLOOKUP(A4021,'Master List'!A:C,3,FALSE)), "Not Found", VLOOKUP(A4021,'Master List'!A:C,3,FALSE)))</f>
        <v>Email</v>
      </c>
      <c r="F4021" s="4" t="str">
        <f>IF(OR(A4021="",E4021="","",A4021="?",E4021="?"),"duplicate?",IF(COUNTIFS($A:A,A4021,E:E,E4021)&gt;1,"yes","no"))</f>
        <v>duplicate?</v>
      </c>
      <c r="K4021" s="97" t="str">
        <f ca="1">IF(J4021="","Date",IF(J4021&lt;&gt;"",IF(K4021="Date",NOW(),K4021),""))</f>
        <v>Date</v>
      </c>
    </row>
    <row r="4022" spans="2:11">
      <c r="B4022" s="97" t="str">
        <f ca="1">IF(A4022="","Date",IF(A4022&lt;&gt;"",IF(B4022="Date",NOW(),B4022),""))</f>
        <v>Date</v>
      </c>
      <c r="C4022" s="19" t="str">
        <f>IF(ISBLANK(A4022),"Name",IF(ISNA(VLOOKUP(A4022,'Master List'!A:C,2,FALSE)), "Not Found", VLOOKUP(A4022,'Master List'!A:C,2,FALSE)))</f>
        <v>Name</v>
      </c>
      <c r="D4022" s="19" t="str">
        <f>IF(ISBLANK(A4022), "Email",IF(ISNA(VLOOKUP(A4022,'Master List'!A:C,3,FALSE)), "Not Found", VLOOKUP(A4022,'Master List'!A:C,3,FALSE)))</f>
        <v>Email</v>
      </c>
      <c r="F4022" s="4" t="str">
        <f>IF(OR(A4022="",E4022="","",A4022="?",E4022="?"),"duplicate?",IF(COUNTIFS($A:A,A4022,E:E,E4022)&gt;1,"yes","no"))</f>
        <v>duplicate?</v>
      </c>
      <c r="K4022" s="97" t="str">
        <f ca="1">IF(J4022="","Date",IF(J4022&lt;&gt;"",IF(K4022="Date",NOW(),K4022),""))</f>
        <v>Date</v>
      </c>
    </row>
    <row r="4023" spans="2:11">
      <c r="B4023" s="97" t="str">
        <f ca="1">IF(A4023="","Date",IF(A4023&lt;&gt;"",IF(B4023="Date",NOW(),B4023),""))</f>
        <v>Date</v>
      </c>
      <c r="C4023" s="19" t="str">
        <f>IF(ISBLANK(A4023),"Name",IF(ISNA(VLOOKUP(A4023,'Master List'!A:C,2,FALSE)), "Not Found", VLOOKUP(A4023,'Master List'!A:C,2,FALSE)))</f>
        <v>Name</v>
      </c>
      <c r="D4023" s="19" t="str">
        <f>IF(ISBLANK(A4023), "Email",IF(ISNA(VLOOKUP(A4023,'Master List'!A:C,3,FALSE)), "Not Found", VLOOKUP(A4023,'Master List'!A:C,3,FALSE)))</f>
        <v>Email</v>
      </c>
      <c r="F4023" s="4" t="str">
        <f>IF(OR(A4023="",E4023="","",A4023="?",E4023="?"),"duplicate?",IF(COUNTIFS($A:A,A4023,E:E,E4023)&gt;1,"yes","no"))</f>
        <v>duplicate?</v>
      </c>
      <c r="K4023" s="97" t="str">
        <f ca="1">IF(J4023="","Date",IF(J4023&lt;&gt;"",IF(K4023="Date",NOW(),K4023),""))</f>
        <v>Date</v>
      </c>
    </row>
    <row r="4024" spans="2:11">
      <c r="B4024" s="97" t="str">
        <f ca="1">IF(A4024="","Date",IF(A4024&lt;&gt;"",IF(B4024="Date",NOW(),B4024),""))</f>
        <v>Date</v>
      </c>
      <c r="C4024" s="19" t="str">
        <f>IF(ISBLANK(A4024),"Name",IF(ISNA(VLOOKUP(A4024,'Master List'!A:C,2,FALSE)), "Not Found", VLOOKUP(A4024,'Master List'!A:C,2,FALSE)))</f>
        <v>Name</v>
      </c>
      <c r="D4024" s="19" t="str">
        <f>IF(ISBLANK(A4024), "Email",IF(ISNA(VLOOKUP(A4024,'Master List'!A:C,3,FALSE)), "Not Found", VLOOKUP(A4024,'Master List'!A:C,3,FALSE)))</f>
        <v>Email</v>
      </c>
      <c r="F4024" s="4" t="str">
        <f>IF(OR(A4024="",E4024="","",A4024="?",E4024="?"),"duplicate?",IF(COUNTIFS($A:A,A4024,E:E,E4024)&gt;1,"yes","no"))</f>
        <v>duplicate?</v>
      </c>
      <c r="K4024" s="97" t="str">
        <f ca="1">IF(J4024="","Date",IF(J4024&lt;&gt;"",IF(K4024="Date",NOW(),K4024),""))</f>
        <v>Date</v>
      </c>
    </row>
    <row r="4025" spans="2:11">
      <c r="B4025" s="97" t="str">
        <f ca="1">IF(A4025="","Date",IF(A4025&lt;&gt;"",IF(B4025="Date",NOW(),B4025),""))</f>
        <v>Date</v>
      </c>
      <c r="C4025" s="19" t="str">
        <f>IF(ISBLANK(A4025),"Name",IF(ISNA(VLOOKUP(A4025,'Master List'!A:C,2,FALSE)), "Not Found", VLOOKUP(A4025,'Master List'!A:C,2,FALSE)))</f>
        <v>Name</v>
      </c>
      <c r="D4025" s="19" t="str">
        <f>IF(ISBLANK(A4025), "Email",IF(ISNA(VLOOKUP(A4025,'Master List'!A:C,3,FALSE)), "Not Found", VLOOKUP(A4025,'Master List'!A:C,3,FALSE)))</f>
        <v>Email</v>
      </c>
      <c r="F4025" s="4" t="str">
        <f>IF(OR(A4025="",E4025="","",A4025="?",E4025="?"),"duplicate?",IF(COUNTIFS($A:A,A4025,E:E,E4025)&gt;1,"yes","no"))</f>
        <v>duplicate?</v>
      </c>
      <c r="K4025" s="97" t="str">
        <f ca="1">IF(J4025="","Date",IF(J4025&lt;&gt;"",IF(K4025="Date",NOW(),K4025),""))</f>
        <v>Date</v>
      </c>
    </row>
    <row r="4026" spans="2:11">
      <c r="B4026" s="97" t="str">
        <f ca="1">IF(A4026="","Date",IF(A4026&lt;&gt;"",IF(B4026="Date",NOW(),B4026),""))</f>
        <v>Date</v>
      </c>
      <c r="C4026" s="19" t="str">
        <f>IF(ISBLANK(A4026),"Name",IF(ISNA(VLOOKUP(A4026,'Master List'!A:C,2,FALSE)), "Not Found", VLOOKUP(A4026,'Master List'!A:C,2,FALSE)))</f>
        <v>Name</v>
      </c>
      <c r="D4026" s="19" t="str">
        <f>IF(ISBLANK(A4026), "Email",IF(ISNA(VLOOKUP(A4026,'Master List'!A:C,3,FALSE)), "Not Found", VLOOKUP(A4026,'Master List'!A:C,3,FALSE)))</f>
        <v>Email</v>
      </c>
      <c r="F4026" s="4" t="str">
        <f>IF(OR(A4026="",E4026="","",A4026="?",E4026="?"),"duplicate?",IF(COUNTIFS($A:A,A4026,E:E,E4026)&gt;1,"yes","no"))</f>
        <v>duplicate?</v>
      </c>
      <c r="K4026" s="97" t="str">
        <f ca="1">IF(J4026="","Date",IF(J4026&lt;&gt;"",IF(K4026="Date",NOW(),K4026),""))</f>
        <v>Date</v>
      </c>
    </row>
    <row r="4027" spans="2:11">
      <c r="B4027" s="97" t="str">
        <f ca="1">IF(A4027="","Date",IF(A4027&lt;&gt;"",IF(B4027="Date",NOW(),B4027),""))</f>
        <v>Date</v>
      </c>
      <c r="C4027" s="19" t="str">
        <f>IF(ISBLANK(A4027),"Name",IF(ISNA(VLOOKUP(A4027,'Master List'!A:C,2,FALSE)), "Not Found", VLOOKUP(A4027,'Master List'!A:C,2,FALSE)))</f>
        <v>Name</v>
      </c>
      <c r="D4027" s="19" t="str">
        <f>IF(ISBLANK(A4027), "Email",IF(ISNA(VLOOKUP(A4027,'Master List'!A:C,3,FALSE)), "Not Found", VLOOKUP(A4027,'Master List'!A:C,3,FALSE)))</f>
        <v>Email</v>
      </c>
      <c r="F4027" s="4" t="str">
        <f>IF(OR(A4027="",E4027="","",A4027="?",E4027="?"),"duplicate?",IF(COUNTIFS($A:A,A4027,E:E,E4027)&gt;1,"yes","no"))</f>
        <v>duplicate?</v>
      </c>
      <c r="K4027" s="97" t="str">
        <f ca="1">IF(J4027="","Date",IF(J4027&lt;&gt;"",IF(K4027="Date",NOW(),K4027),""))</f>
        <v>Date</v>
      </c>
    </row>
    <row r="4028" spans="2:11">
      <c r="B4028" s="97" t="str">
        <f ca="1">IF(A4028="","Date",IF(A4028&lt;&gt;"",IF(B4028="Date",NOW(),B4028),""))</f>
        <v>Date</v>
      </c>
      <c r="C4028" s="19" t="str">
        <f>IF(ISBLANK(A4028),"Name",IF(ISNA(VLOOKUP(A4028,'Master List'!A:C,2,FALSE)), "Not Found", VLOOKUP(A4028,'Master List'!A:C,2,FALSE)))</f>
        <v>Name</v>
      </c>
      <c r="D4028" s="19" t="str">
        <f>IF(ISBLANK(A4028), "Email",IF(ISNA(VLOOKUP(A4028,'Master List'!A:C,3,FALSE)), "Not Found", VLOOKUP(A4028,'Master List'!A:C,3,FALSE)))</f>
        <v>Email</v>
      </c>
      <c r="F4028" s="4" t="str">
        <f>IF(OR(A4028="",E4028="","",A4028="?",E4028="?"),"duplicate?",IF(COUNTIFS($A:A,A4028,E:E,E4028)&gt;1,"yes","no"))</f>
        <v>duplicate?</v>
      </c>
      <c r="K4028" s="97" t="str">
        <f ca="1">IF(J4028="","Date",IF(J4028&lt;&gt;"",IF(K4028="Date",NOW(),K4028),""))</f>
        <v>Date</v>
      </c>
    </row>
    <row r="4029" spans="2:11">
      <c r="B4029" s="97" t="str">
        <f ca="1">IF(A4029="","Date",IF(A4029&lt;&gt;"",IF(B4029="Date",NOW(),B4029),""))</f>
        <v>Date</v>
      </c>
      <c r="C4029" s="19" t="str">
        <f>IF(ISBLANK(A4029),"Name",IF(ISNA(VLOOKUP(A4029,'Master List'!A:C,2,FALSE)), "Not Found", VLOOKUP(A4029,'Master List'!A:C,2,FALSE)))</f>
        <v>Name</v>
      </c>
      <c r="D4029" s="19" t="str">
        <f>IF(ISBLANK(A4029), "Email",IF(ISNA(VLOOKUP(A4029,'Master List'!A:C,3,FALSE)), "Not Found", VLOOKUP(A4029,'Master List'!A:C,3,FALSE)))</f>
        <v>Email</v>
      </c>
      <c r="F4029" s="4" t="str">
        <f>IF(OR(A4029="",E4029="","",A4029="?",E4029="?"),"duplicate?",IF(COUNTIFS($A:A,A4029,E:E,E4029)&gt;1,"yes","no"))</f>
        <v>duplicate?</v>
      </c>
      <c r="K4029" s="97" t="str">
        <f ca="1">IF(J4029="","Date",IF(J4029&lt;&gt;"",IF(K4029="Date",NOW(),K4029),""))</f>
        <v>Date</v>
      </c>
    </row>
    <row r="4030" spans="2:11">
      <c r="B4030" s="97" t="str">
        <f ca="1">IF(A4030="","Date",IF(A4030&lt;&gt;"",IF(B4030="Date",NOW(),B4030),""))</f>
        <v>Date</v>
      </c>
      <c r="C4030" s="19" t="str">
        <f>IF(ISBLANK(A4030),"Name",IF(ISNA(VLOOKUP(A4030,'Master List'!A:C,2,FALSE)), "Not Found", VLOOKUP(A4030,'Master List'!A:C,2,FALSE)))</f>
        <v>Name</v>
      </c>
      <c r="D4030" s="19" t="str">
        <f>IF(ISBLANK(A4030), "Email",IF(ISNA(VLOOKUP(A4030,'Master List'!A:C,3,FALSE)), "Not Found", VLOOKUP(A4030,'Master List'!A:C,3,FALSE)))</f>
        <v>Email</v>
      </c>
      <c r="F4030" s="4" t="str">
        <f>IF(OR(A4030="",E4030="","",A4030="?",E4030="?"),"duplicate?",IF(COUNTIFS($A:A,A4030,E:E,E4030)&gt;1,"yes","no"))</f>
        <v>duplicate?</v>
      </c>
      <c r="K4030" s="97" t="str">
        <f ca="1">IF(J4030="","Date",IF(J4030&lt;&gt;"",IF(K4030="Date",NOW(),K4030),""))</f>
        <v>Date</v>
      </c>
    </row>
    <row r="4031" spans="2:11">
      <c r="B4031" s="97" t="str">
        <f ca="1">IF(A4031="","Date",IF(A4031&lt;&gt;"",IF(B4031="Date",NOW(),B4031),""))</f>
        <v>Date</v>
      </c>
      <c r="C4031" s="19" t="str">
        <f>IF(ISBLANK(A4031),"Name",IF(ISNA(VLOOKUP(A4031,'Master List'!A:C,2,FALSE)), "Not Found", VLOOKUP(A4031,'Master List'!A:C,2,FALSE)))</f>
        <v>Name</v>
      </c>
      <c r="D4031" s="19" t="str">
        <f>IF(ISBLANK(A4031), "Email",IF(ISNA(VLOOKUP(A4031,'Master List'!A:C,3,FALSE)), "Not Found", VLOOKUP(A4031,'Master List'!A:C,3,FALSE)))</f>
        <v>Email</v>
      </c>
      <c r="F4031" s="4" t="str">
        <f>IF(OR(A4031="",E4031="","",A4031="?",E4031="?"),"duplicate?",IF(COUNTIFS($A:A,A4031,E:E,E4031)&gt;1,"yes","no"))</f>
        <v>duplicate?</v>
      </c>
      <c r="K4031" s="97" t="str">
        <f ca="1">IF(J4031="","Date",IF(J4031&lt;&gt;"",IF(K4031="Date",NOW(),K4031),""))</f>
        <v>Date</v>
      </c>
    </row>
    <row r="4032" spans="2:11">
      <c r="B4032" s="97" t="str">
        <f ca="1">IF(A4032="","Date",IF(A4032&lt;&gt;"",IF(B4032="Date",NOW(),B4032),""))</f>
        <v>Date</v>
      </c>
      <c r="C4032" s="19" t="str">
        <f>IF(ISBLANK(A4032),"Name",IF(ISNA(VLOOKUP(A4032,'Master List'!A:C,2,FALSE)), "Not Found", VLOOKUP(A4032,'Master List'!A:C,2,FALSE)))</f>
        <v>Name</v>
      </c>
      <c r="D4032" s="19" t="str">
        <f>IF(ISBLANK(A4032), "Email",IF(ISNA(VLOOKUP(A4032,'Master List'!A:C,3,FALSE)), "Not Found", VLOOKUP(A4032,'Master List'!A:C,3,FALSE)))</f>
        <v>Email</v>
      </c>
      <c r="F4032" s="4" t="str">
        <f>IF(OR(A4032="",E4032="","",A4032="?",E4032="?"),"duplicate?",IF(COUNTIFS($A:A,A4032,E:E,E4032)&gt;1,"yes","no"))</f>
        <v>duplicate?</v>
      </c>
      <c r="K4032" s="97" t="str">
        <f ca="1">IF(J4032="","Date",IF(J4032&lt;&gt;"",IF(K4032="Date",NOW(),K4032),""))</f>
        <v>Date</v>
      </c>
    </row>
    <row r="4033" spans="2:11">
      <c r="B4033" s="97" t="str">
        <f ca="1">IF(A4033="","Date",IF(A4033&lt;&gt;"",IF(B4033="Date",NOW(),B4033),""))</f>
        <v>Date</v>
      </c>
      <c r="C4033" s="19" t="str">
        <f>IF(ISBLANK(A4033),"Name",IF(ISNA(VLOOKUP(A4033,'Master List'!A:C,2,FALSE)), "Not Found", VLOOKUP(A4033,'Master List'!A:C,2,FALSE)))</f>
        <v>Name</v>
      </c>
      <c r="D4033" s="19" t="str">
        <f>IF(ISBLANK(A4033), "Email",IF(ISNA(VLOOKUP(A4033,'Master List'!A:C,3,FALSE)), "Not Found", VLOOKUP(A4033,'Master List'!A:C,3,FALSE)))</f>
        <v>Email</v>
      </c>
      <c r="F4033" s="4" t="str">
        <f>IF(OR(A4033="",E4033="","",A4033="?",E4033="?"),"duplicate?",IF(COUNTIFS($A:A,A4033,E:E,E4033)&gt;1,"yes","no"))</f>
        <v>duplicate?</v>
      </c>
      <c r="K4033" s="97" t="str">
        <f ca="1">IF(J4033="","Date",IF(J4033&lt;&gt;"",IF(K4033="Date",NOW(),K4033),""))</f>
        <v>Date</v>
      </c>
    </row>
    <row r="4034" spans="2:11">
      <c r="B4034" s="97" t="str">
        <f ca="1">IF(A4034="","Date",IF(A4034&lt;&gt;"",IF(B4034="Date",NOW(),B4034),""))</f>
        <v>Date</v>
      </c>
      <c r="C4034" s="19" t="str">
        <f>IF(ISBLANK(A4034),"Name",IF(ISNA(VLOOKUP(A4034,'Master List'!A:C,2,FALSE)), "Not Found", VLOOKUP(A4034,'Master List'!A:C,2,FALSE)))</f>
        <v>Name</v>
      </c>
      <c r="D4034" s="19" t="str">
        <f>IF(ISBLANK(A4034), "Email",IF(ISNA(VLOOKUP(A4034,'Master List'!A:C,3,FALSE)), "Not Found", VLOOKUP(A4034,'Master List'!A:C,3,FALSE)))</f>
        <v>Email</v>
      </c>
      <c r="F4034" s="4" t="str">
        <f>IF(OR(A4034="",E4034="","",A4034="?",E4034="?"),"duplicate?",IF(COUNTIFS($A:A,A4034,E:E,E4034)&gt;1,"yes","no"))</f>
        <v>duplicate?</v>
      </c>
      <c r="K4034" s="97" t="str">
        <f ca="1">IF(J4034="","Date",IF(J4034&lt;&gt;"",IF(K4034="Date",NOW(),K4034),""))</f>
        <v>Date</v>
      </c>
    </row>
    <row r="4035" spans="2:11">
      <c r="B4035" s="97" t="str">
        <f ca="1">IF(A4035="","Date",IF(A4035&lt;&gt;"",IF(B4035="Date",NOW(),B4035),""))</f>
        <v>Date</v>
      </c>
      <c r="C4035" s="19" t="str">
        <f>IF(ISBLANK(A4035),"Name",IF(ISNA(VLOOKUP(A4035,'Master List'!A:C,2,FALSE)), "Not Found", VLOOKUP(A4035,'Master List'!A:C,2,FALSE)))</f>
        <v>Name</v>
      </c>
      <c r="D4035" s="19" t="str">
        <f>IF(ISBLANK(A4035), "Email",IF(ISNA(VLOOKUP(A4035,'Master List'!A:C,3,FALSE)), "Not Found", VLOOKUP(A4035,'Master List'!A:C,3,FALSE)))</f>
        <v>Email</v>
      </c>
      <c r="F4035" s="4" t="str">
        <f>IF(OR(A4035="",E4035="","",A4035="?",E4035="?"),"duplicate?",IF(COUNTIFS($A:A,A4035,E:E,E4035)&gt;1,"yes","no"))</f>
        <v>duplicate?</v>
      </c>
      <c r="K4035" s="97" t="str">
        <f ca="1">IF(J4035="","Date",IF(J4035&lt;&gt;"",IF(K4035="Date",NOW(),K4035),""))</f>
        <v>Date</v>
      </c>
    </row>
    <row r="4036" spans="2:11">
      <c r="B4036" s="97" t="str">
        <f ca="1">IF(A4036="","Date",IF(A4036&lt;&gt;"",IF(B4036="Date",NOW(),B4036),""))</f>
        <v>Date</v>
      </c>
      <c r="C4036" s="19" t="str">
        <f>IF(ISBLANK(A4036),"Name",IF(ISNA(VLOOKUP(A4036,'Master List'!A:C,2,FALSE)), "Not Found", VLOOKUP(A4036,'Master List'!A:C,2,FALSE)))</f>
        <v>Name</v>
      </c>
      <c r="D4036" s="19" t="str">
        <f>IF(ISBLANK(A4036), "Email",IF(ISNA(VLOOKUP(A4036,'Master List'!A:C,3,FALSE)), "Not Found", VLOOKUP(A4036,'Master List'!A:C,3,FALSE)))</f>
        <v>Email</v>
      </c>
      <c r="F4036" s="4" t="str">
        <f>IF(OR(A4036="",E4036="","",A4036="?",E4036="?"),"duplicate?",IF(COUNTIFS($A:A,A4036,E:E,E4036)&gt;1,"yes","no"))</f>
        <v>duplicate?</v>
      </c>
      <c r="K4036" s="97" t="str">
        <f ca="1">IF(J4036="","Date",IF(J4036&lt;&gt;"",IF(K4036="Date",NOW(),K4036),""))</f>
        <v>Date</v>
      </c>
    </row>
    <row r="4037" spans="2:11">
      <c r="B4037" s="97" t="str">
        <f ca="1">IF(A4037="","Date",IF(A4037&lt;&gt;"",IF(B4037="Date",NOW(),B4037),""))</f>
        <v>Date</v>
      </c>
      <c r="C4037" s="19" t="str">
        <f>IF(ISBLANK(A4037),"Name",IF(ISNA(VLOOKUP(A4037,'Master List'!A:C,2,FALSE)), "Not Found", VLOOKUP(A4037,'Master List'!A:C,2,FALSE)))</f>
        <v>Name</v>
      </c>
      <c r="D4037" s="19" t="str">
        <f>IF(ISBLANK(A4037), "Email",IF(ISNA(VLOOKUP(A4037,'Master List'!A:C,3,FALSE)), "Not Found", VLOOKUP(A4037,'Master List'!A:C,3,FALSE)))</f>
        <v>Email</v>
      </c>
      <c r="F4037" s="4" t="str">
        <f>IF(OR(A4037="",E4037="","",A4037="?",E4037="?"),"duplicate?",IF(COUNTIFS($A:A,A4037,E:E,E4037)&gt;1,"yes","no"))</f>
        <v>duplicate?</v>
      </c>
      <c r="K4037" s="97" t="str">
        <f ca="1">IF(J4037="","Date",IF(J4037&lt;&gt;"",IF(K4037="Date",NOW(),K4037),""))</f>
        <v>Date</v>
      </c>
    </row>
    <row r="4038" spans="2:11">
      <c r="B4038" s="97" t="str">
        <f ca="1">IF(A4038="","Date",IF(A4038&lt;&gt;"",IF(B4038="Date",NOW(),B4038),""))</f>
        <v>Date</v>
      </c>
      <c r="C4038" s="19" t="str">
        <f>IF(ISBLANK(A4038),"Name",IF(ISNA(VLOOKUP(A4038,'Master List'!A:C,2,FALSE)), "Not Found", VLOOKUP(A4038,'Master List'!A:C,2,FALSE)))</f>
        <v>Name</v>
      </c>
      <c r="D4038" s="19" t="str">
        <f>IF(ISBLANK(A4038), "Email",IF(ISNA(VLOOKUP(A4038,'Master List'!A:C,3,FALSE)), "Not Found", VLOOKUP(A4038,'Master List'!A:C,3,FALSE)))</f>
        <v>Email</v>
      </c>
      <c r="F4038" s="4" t="str">
        <f>IF(OR(A4038="",E4038="","",A4038="?",E4038="?"),"duplicate?",IF(COUNTIFS($A:A,A4038,E:E,E4038)&gt;1,"yes","no"))</f>
        <v>duplicate?</v>
      </c>
      <c r="K4038" s="97" t="str">
        <f ca="1">IF(J4038="","Date",IF(J4038&lt;&gt;"",IF(K4038="Date",NOW(),K4038),""))</f>
        <v>Date</v>
      </c>
    </row>
    <row r="4039" spans="2:11">
      <c r="B4039" s="97" t="str">
        <f ca="1">IF(A4039="","Date",IF(A4039&lt;&gt;"",IF(B4039="Date",NOW(),B4039),""))</f>
        <v>Date</v>
      </c>
      <c r="C4039" s="19" t="str">
        <f>IF(ISBLANK(A4039),"Name",IF(ISNA(VLOOKUP(A4039,'Master List'!A:C,2,FALSE)), "Not Found", VLOOKUP(A4039,'Master List'!A:C,2,FALSE)))</f>
        <v>Name</v>
      </c>
      <c r="D4039" s="19" t="str">
        <f>IF(ISBLANK(A4039), "Email",IF(ISNA(VLOOKUP(A4039,'Master List'!A:C,3,FALSE)), "Not Found", VLOOKUP(A4039,'Master List'!A:C,3,FALSE)))</f>
        <v>Email</v>
      </c>
      <c r="F4039" s="4" t="str">
        <f>IF(OR(A4039="",E4039="","",A4039="?",E4039="?"),"duplicate?",IF(COUNTIFS($A:A,A4039,E:E,E4039)&gt;1,"yes","no"))</f>
        <v>duplicate?</v>
      </c>
      <c r="K4039" s="97" t="str">
        <f ca="1">IF(J4039="","Date",IF(J4039&lt;&gt;"",IF(K4039="Date",NOW(),K4039),""))</f>
        <v>Date</v>
      </c>
    </row>
    <row r="4040" spans="2:11">
      <c r="B4040" s="97" t="str">
        <f ca="1">IF(A4040="","Date",IF(A4040&lt;&gt;"",IF(B4040="Date",NOW(),B4040),""))</f>
        <v>Date</v>
      </c>
      <c r="C4040" s="19" t="str">
        <f>IF(ISBLANK(A4040),"Name",IF(ISNA(VLOOKUP(A4040,'Master List'!A:C,2,FALSE)), "Not Found", VLOOKUP(A4040,'Master List'!A:C,2,FALSE)))</f>
        <v>Name</v>
      </c>
      <c r="D4040" s="19" t="str">
        <f>IF(ISBLANK(A4040), "Email",IF(ISNA(VLOOKUP(A4040,'Master List'!A:C,3,FALSE)), "Not Found", VLOOKUP(A4040,'Master List'!A:C,3,FALSE)))</f>
        <v>Email</v>
      </c>
      <c r="F4040" s="4" t="str">
        <f>IF(OR(A4040="",E4040="","",A4040="?",E4040="?"),"duplicate?",IF(COUNTIFS($A:A,A4040,E:E,E4040)&gt;1,"yes","no"))</f>
        <v>duplicate?</v>
      </c>
      <c r="K4040" s="97" t="str">
        <f ca="1">IF(J4040="","Date",IF(J4040&lt;&gt;"",IF(K4040="Date",NOW(),K4040),""))</f>
        <v>Date</v>
      </c>
    </row>
    <row r="4041" spans="2:11">
      <c r="B4041" s="97" t="str">
        <f ca="1">IF(A4041="","Date",IF(A4041&lt;&gt;"",IF(B4041="Date",NOW(),B4041),""))</f>
        <v>Date</v>
      </c>
      <c r="C4041" s="19" t="str">
        <f>IF(ISBLANK(A4041),"Name",IF(ISNA(VLOOKUP(A4041,'Master List'!A:C,2,FALSE)), "Not Found", VLOOKUP(A4041,'Master List'!A:C,2,FALSE)))</f>
        <v>Name</v>
      </c>
      <c r="D4041" s="19" t="str">
        <f>IF(ISBLANK(A4041), "Email",IF(ISNA(VLOOKUP(A4041,'Master List'!A:C,3,FALSE)), "Not Found", VLOOKUP(A4041,'Master List'!A:C,3,FALSE)))</f>
        <v>Email</v>
      </c>
      <c r="F4041" s="4" t="str">
        <f>IF(OR(A4041="",E4041="","",A4041="?",E4041="?"),"duplicate?",IF(COUNTIFS($A:A,A4041,E:E,E4041)&gt;1,"yes","no"))</f>
        <v>duplicate?</v>
      </c>
      <c r="K4041" s="97" t="str">
        <f ca="1">IF(J4041="","Date",IF(J4041&lt;&gt;"",IF(K4041="Date",NOW(),K4041),""))</f>
        <v>Date</v>
      </c>
    </row>
    <row r="4042" spans="2:11">
      <c r="B4042" s="97" t="str">
        <f ca="1">IF(A4042="","Date",IF(A4042&lt;&gt;"",IF(B4042="Date",NOW(),B4042),""))</f>
        <v>Date</v>
      </c>
      <c r="C4042" s="19" t="str">
        <f>IF(ISBLANK(A4042),"Name",IF(ISNA(VLOOKUP(A4042,'Master List'!A:C,2,FALSE)), "Not Found", VLOOKUP(A4042,'Master List'!A:C,2,FALSE)))</f>
        <v>Name</v>
      </c>
      <c r="D4042" s="19" t="str">
        <f>IF(ISBLANK(A4042), "Email",IF(ISNA(VLOOKUP(A4042,'Master List'!A:C,3,FALSE)), "Not Found", VLOOKUP(A4042,'Master List'!A:C,3,FALSE)))</f>
        <v>Email</v>
      </c>
      <c r="F4042" s="4" t="str">
        <f>IF(OR(A4042="",E4042="","",A4042="?",E4042="?"),"duplicate?",IF(COUNTIFS($A:A,A4042,E:E,E4042)&gt;1,"yes","no"))</f>
        <v>duplicate?</v>
      </c>
      <c r="K4042" s="97" t="str">
        <f ca="1">IF(J4042="","Date",IF(J4042&lt;&gt;"",IF(K4042="Date",NOW(),K4042),""))</f>
        <v>Date</v>
      </c>
    </row>
    <row r="4043" spans="2:11">
      <c r="B4043" s="97" t="str">
        <f ca="1">IF(A4043="","Date",IF(A4043&lt;&gt;"",IF(B4043="Date",NOW(),B4043),""))</f>
        <v>Date</v>
      </c>
      <c r="C4043" s="19" t="str">
        <f>IF(ISBLANK(A4043),"Name",IF(ISNA(VLOOKUP(A4043,'Master List'!A:C,2,FALSE)), "Not Found", VLOOKUP(A4043,'Master List'!A:C,2,FALSE)))</f>
        <v>Name</v>
      </c>
      <c r="D4043" s="19" t="str">
        <f>IF(ISBLANK(A4043), "Email",IF(ISNA(VLOOKUP(A4043,'Master List'!A:C,3,FALSE)), "Not Found", VLOOKUP(A4043,'Master List'!A:C,3,FALSE)))</f>
        <v>Email</v>
      </c>
      <c r="F4043" s="4" t="str">
        <f>IF(OR(A4043="",E4043="","",A4043="?",E4043="?"),"duplicate?",IF(COUNTIFS($A:A,A4043,E:E,E4043)&gt;1,"yes","no"))</f>
        <v>duplicate?</v>
      </c>
      <c r="K4043" s="97" t="str">
        <f ca="1">IF(J4043="","Date",IF(J4043&lt;&gt;"",IF(K4043="Date",NOW(),K4043),""))</f>
        <v>Date</v>
      </c>
    </row>
    <row r="4044" spans="2:11">
      <c r="B4044" s="97" t="str">
        <f ca="1">IF(A4044="","Date",IF(A4044&lt;&gt;"",IF(B4044="Date",NOW(),B4044),""))</f>
        <v>Date</v>
      </c>
      <c r="C4044" s="19" t="str">
        <f>IF(ISBLANK(A4044),"Name",IF(ISNA(VLOOKUP(A4044,'Master List'!A:C,2,FALSE)), "Not Found", VLOOKUP(A4044,'Master List'!A:C,2,FALSE)))</f>
        <v>Name</v>
      </c>
      <c r="D4044" s="19" t="str">
        <f>IF(ISBLANK(A4044), "Email",IF(ISNA(VLOOKUP(A4044,'Master List'!A:C,3,FALSE)), "Not Found", VLOOKUP(A4044,'Master List'!A:C,3,FALSE)))</f>
        <v>Email</v>
      </c>
      <c r="F4044" s="4" t="str">
        <f>IF(OR(A4044="",E4044="","",A4044="?",E4044="?"),"duplicate?",IF(COUNTIFS($A:A,A4044,E:E,E4044)&gt;1,"yes","no"))</f>
        <v>duplicate?</v>
      </c>
      <c r="K4044" s="97" t="str">
        <f ca="1">IF(J4044="","Date",IF(J4044&lt;&gt;"",IF(K4044="Date",NOW(),K4044),""))</f>
        <v>Date</v>
      </c>
    </row>
    <row r="4045" spans="2:11">
      <c r="B4045" s="97" t="str">
        <f ca="1">IF(A4045="","Date",IF(A4045&lt;&gt;"",IF(B4045="Date",NOW(),B4045),""))</f>
        <v>Date</v>
      </c>
      <c r="C4045" s="19" t="str">
        <f>IF(ISBLANK(A4045),"Name",IF(ISNA(VLOOKUP(A4045,'Master List'!A:C,2,FALSE)), "Not Found", VLOOKUP(A4045,'Master List'!A:C,2,FALSE)))</f>
        <v>Name</v>
      </c>
      <c r="D4045" s="19" t="str">
        <f>IF(ISBLANK(A4045), "Email",IF(ISNA(VLOOKUP(A4045,'Master List'!A:C,3,FALSE)), "Not Found", VLOOKUP(A4045,'Master List'!A:C,3,FALSE)))</f>
        <v>Email</v>
      </c>
      <c r="F4045" s="4" t="str">
        <f>IF(OR(A4045="",E4045="","",A4045="?",E4045="?"),"duplicate?",IF(COUNTIFS($A:A,A4045,E:E,E4045)&gt;1,"yes","no"))</f>
        <v>duplicate?</v>
      </c>
      <c r="K4045" s="97" t="str">
        <f ca="1">IF(J4045="","Date",IF(J4045&lt;&gt;"",IF(K4045="Date",NOW(),K4045),""))</f>
        <v>Date</v>
      </c>
    </row>
    <row r="4046" spans="2:11">
      <c r="B4046" s="97" t="str">
        <f ca="1">IF(A4046="","Date",IF(A4046&lt;&gt;"",IF(B4046="Date",NOW(),B4046),""))</f>
        <v>Date</v>
      </c>
      <c r="C4046" s="19" t="str">
        <f>IF(ISBLANK(A4046),"Name",IF(ISNA(VLOOKUP(A4046,'Master List'!A:C,2,FALSE)), "Not Found", VLOOKUP(A4046,'Master List'!A:C,2,FALSE)))</f>
        <v>Name</v>
      </c>
      <c r="D4046" s="19" t="str">
        <f>IF(ISBLANK(A4046), "Email",IF(ISNA(VLOOKUP(A4046,'Master List'!A:C,3,FALSE)), "Not Found", VLOOKUP(A4046,'Master List'!A:C,3,FALSE)))</f>
        <v>Email</v>
      </c>
      <c r="F4046" s="4" t="str">
        <f>IF(OR(A4046="",E4046="","",A4046="?",E4046="?"),"duplicate?",IF(COUNTIFS($A:A,A4046,E:E,E4046)&gt;1,"yes","no"))</f>
        <v>duplicate?</v>
      </c>
      <c r="K4046" s="97" t="str">
        <f ca="1">IF(J4046="","Date",IF(J4046&lt;&gt;"",IF(K4046="Date",NOW(),K4046),""))</f>
        <v>Date</v>
      </c>
    </row>
    <row r="4047" spans="2:11">
      <c r="B4047" s="97" t="str">
        <f ca="1">IF(A4047="","Date",IF(A4047&lt;&gt;"",IF(B4047="Date",NOW(),B4047),""))</f>
        <v>Date</v>
      </c>
      <c r="C4047" s="19" t="str">
        <f>IF(ISBLANK(A4047),"Name",IF(ISNA(VLOOKUP(A4047,'Master List'!A:C,2,FALSE)), "Not Found", VLOOKUP(A4047,'Master List'!A:C,2,FALSE)))</f>
        <v>Name</v>
      </c>
      <c r="D4047" s="19" t="str">
        <f>IF(ISBLANK(A4047), "Email",IF(ISNA(VLOOKUP(A4047,'Master List'!A:C,3,FALSE)), "Not Found", VLOOKUP(A4047,'Master List'!A:C,3,FALSE)))</f>
        <v>Email</v>
      </c>
      <c r="F4047" s="4" t="str">
        <f>IF(OR(A4047="",E4047="","",A4047="?",E4047="?"),"duplicate?",IF(COUNTIFS($A:A,A4047,E:E,E4047)&gt;1,"yes","no"))</f>
        <v>duplicate?</v>
      </c>
      <c r="K4047" s="97" t="str">
        <f ca="1">IF(J4047="","Date",IF(J4047&lt;&gt;"",IF(K4047="Date",NOW(),K4047),""))</f>
        <v>Date</v>
      </c>
    </row>
    <row r="4048" spans="2:11">
      <c r="B4048" s="97" t="str">
        <f ca="1">IF(A4048="","Date",IF(A4048&lt;&gt;"",IF(B4048="Date",NOW(),B4048),""))</f>
        <v>Date</v>
      </c>
      <c r="C4048" s="19" t="str">
        <f>IF(ISBLANK(A4048),"Name",IF(ISNA(VLOOKUP(A4048,'Master List'!A:C,2,FALSE)), "Not Found", VLOOKUP(A4048,'Master List'!A:C,2,FALSE)))</f>
        <v>Name</v>
      </c>
      <c r="D4048" s="19" t="str">
        <f>IF(ISBLANK(A4048), "Email",IF(ISNA(VLOOKUP(A4048,'Master List'!A:C,3,FALSE)), "Not Found", VLOOKUP(A4048,'Master List'!A:C,3,FALSE)))</f>
        <v>Email</v>
      </c>
      <c r="F4048" s="4" t="str">
        <f>IF(OR(A4048="",E4048="","",A4048="?",E4048="?"),"duplicate?",IF(COUNTIFS($A:A,A4048,E:E,E4048)&gt;1,"yes","no"))</f>
        <v>duplicate?</v>
      </c>
      <c r="K4048" s="97" t="str">
        <f ca="1">IF(J4048="","Date",IF(J4048&lt;&gt;"",IF(K4048="Date",NOW(),K4048),""))</f>
        <v>Date</v>
      </c>
    </row>
    <row r="4049" spans="2:11">
      <c r="B4049" s="97" t="str">
        <f ca="1">IF(A4049="","Date",IF(A4049&lt;&gt;"",IF(B4049="Date",NOW(),B4049),""))</f>
        <v>Date</v>
      </c>
      <c r="C4049" s="19" t="str">
        <f>IF(ISBLANK(A4049),"Name",IF(ISNA(VLOOKUP(A4049,'Master List'!A:C,2,FALSE)), "Not Found", VLOOKUP(A4049,'Master List'!A:C,2,FALSE)))</f>
        <v>Name</v>
      </c>
      <c r="D4049" s="19" t="str">
        <f>IF(ISBLANK(A4049), "Email",IF(ISNA(VLOOKUP(A4049,'Master List'!A:C,3,FALSE)), "Not Found", VLOOKUP(A4049,'Master List'!A:C,3,FALSE)))</f>
        <v>Email</v>
      </c>
      <c r="F4049" s="4" t="str">
        <f>IF(OR(A4049="",E4049="","",A4049="?",E4049="?"),"duplicate?",IF(COUNTIFS($A:A,A4049,E:E,E4049)&gt;1,"yes","no"))</f>
        <v>duplicate?</v>
      </c>
      <c r="K4049" s="97" t="str">
        <f ca="1">IF(J4049="","Date",IF(J4049&lt;&gt;"",IF(K4049="Date",NOW(),K4049),""))</f>
        <v>Date</v>
      </c>
    </row>
    <row r="4050" spans="2:11">
      <c r="B4050" s="97" t="str">
        <f ca="1">IF(A4050="","Date",IF(A4050&lt;&gt;"",IF(B4050="Date",NOW(),B4050),""))</f>
        <v>Date</v>
      </c>
      <c r="C4050" s="19" t="str">
        <f>IF(ISBLANK(A4050),"Name",IF(ISNA(VLOOKUP(A4050,'Master List'!A:C,2,FALSE)), "Not Found", VLOOKUP(A4050,'Master List'!A:C,2,FALSE)))</f>
        <v>Name</v>
      </c>
      <c r="D4050" s="19" t="str">
        <f>IF(ISBLANK(A4050), "Email",IF(ISNA(VLOOKUP(A4050,'Master List'!A:C,3,FALSE)), "Not Found", VLOOKUP(A4050,'Master List'!A:C,3,FALSE)))</f>
        <v>Email</v>
      </c>
      <c r="F4050" s="4" t="str">
        <f>IF(OR(A4050="",E4050="","",A4050="?",E4050="?"),"duplicate?",IF(COUNTIFS($A:A,A4050,E:E,E4050)&gt;1,"yes","no"))</f>
        <v>duplicate?</v>
      </c>
      <c r="K4050" s="97" t="str">
        <f ca="1">IF(J4050="","Date",IF(J4050&lt;&gt;"",IF(K4050="Date",NOW(),K4050),""))</f>
        <v>Date</v>
      </c>
    </row>
    <row r="4051" spans="2:11">
      <c r="B4051" s="97" t="str">
        <f ca="1">IF(A4051="","Date",IF(A4051&lt;&gt;"",IF(B4051="Date",NOW(),B4051),""))</f>
        <v>Date</v>
      </c>
      <c r="C4051" s="19" t="str">
        <f>IF(ISBLANK(A4051),"Name",IF(ISNA(VLOOKUP(A4051,'Master List'!A:C,2,FALSE)), "Not Found", VLOOKUP(A4051,'Master List'!A:C,2,FALSE)))</f>
        <v>Name</v>
      </c>
      <c r="D4051" s="19" t="str">
        <f>IF(ISBLANK(A4051), "Email",IF(ISNA(VLOOKUP(A4051,'Master List'!A:C,3,FALSE)), "Not Found", VLOOKUP(A4051,'Master List'!A:C,3,FALSE)))</f>
        <v>Email</v>
      </c>
      <c r="F4051" s="4" t="str">
        <f>IF(OR(A4051="",E4051="","",A4051="?",E4051="?"),"duplicate?",IF(COUNTIFS($A:A,A4051,E:E,E4051)&gt;1,"yes","no"))</f>
        <v>duplicate?</v>
      </c>
      <c r="K4051" s="97" t="str">
        <f ca="1">IF(J4051="","Date",IF(J4051&lt;&gt;"",IF(K4051="Date",NOW(),K4051),""))</f>
        <v>Date</v>
      </c>
    </row>
    <row r="4052" spans="2:11">
      <c r="B4052" s="97" t="str">
        <f ca="1">IF(A4052="","Date",IF(A4052&lt;&gt;"",IF(B4052="Date",NOW(),B4052),""))</f>
        <v>Date</v>
      </c>
      <c r="C4052" s="19" t="str">
        <f>IF(ISBLANK(A4052),"Name",IF(ISNA(VLOOKUP(A4052,'Master List'!A:C,2,FALSE)), "Not Found", VLOOKUP(A4052,'Master List'!A:C,2,FALSE)))</f>
        <v>Name</v>
      </c>
      <c r="D4052" s="19" t="str">
        <f>IF(ISBLANK(A4052), "Email",IF(ISNA(VLOOKUP(A4052,'Master List'!A:C,3,FALSE)), "Not Found", VLOOKUP(A4052,'Master List'!A:C,3,FALSE)))</f>
        <v>Email</v>
      </c>
      <c r="F4052" s="4" t="str">
        <f>IF(OR(A4052="",E4052="","",A4052="?",E4052="?"),"duplicate?",IF(COUNTIFS($A:A,A4052,E:E,E4052)&gt;1,"yes","no"))</f>
        <v>duplicate?</v>
      </c>
      <c r="K4052" s="97" t="str">
        <f ca="1">IF(J4052="","Date",IF(J4052&lt;&gt;"",IF(K4052="Date",NOW(),K4052),""))</f>
        <v>Date</v>
      </c>
    </row>
    <row r="4053" spans="2:11">
      <c r="B4053" s="97" t="str">
        <f ca="1">IF(A4053="","Date",IF(A4053&lt;&gt;"",IF(B4053="Date",NOW(),B4053),""))</f>
        <v>Date</v>
      </c>
      <c r="C4053" s="19" t="str">
        <f>IF(ISBLANK(A4053),"Name",IF(ISNA(VLOOKUP(A4053,'Master List'!A:C,2,FALSE)), "Not Found", VLOOKUP(A4053,'Master List'!A:C,2,FALSE)))</f>
        <v>Name</v>
      </c>
      <c r="D4053" s="19" t="str">
        <f>IF(ISBLANK(A4053), "Email",IF(ISNA(VLOOKUP(A4053,'Master List'!A:C,3,FALSE)), "Not Found", VLOOKUP(A4053,'Master List'!A:C,3,FALSE)))</f>
        <v>Email</v>
      </c>
      <c r="F4053" s="4" t="str">
        <f>IF(OR(A4053="",E4053="","",A4053="?",E4053="?"),"duplicate?",IF(COUNTIFS($A:A,A4053,E:E,E4053)&gt;1,"yes","no"))</f>
        <v>duplicate?</v>
      </c>
      <c r="K4053" s="97" t="str">
        <f ca="1">IF(J4053="","Date",IF(J4053&lt;&gt;"",IF(K4053="Date",NOW(),K4053),""))</f>
        <v>Date</v>
      </c>
    </row>
    <row r="4054" spans="2:11">
      <c r="B4054" s="97" t="str">
        <f ca="1">IF(A4054="","Date",IF(A4054&lt;&gt;"",IF(B4054="Date",NOW(),B4054),""))</f>
        <v>Date</v>
      </c>
      <c r="C4054" s="19" t="str">
        <f>IF(ISBLANK(A4054),"Name",IF(ISNA(VLOOKUP(A4054,'Master List'!A:C,2,FALSE)), "Not Found", VLOOKUP(A4054,'Master List'!A:C,2,FALSE)))</f>
        <v>Name</v>
      </c>
      <c r="D4054" s="19" t="str">
        <f>IF(ISBLANK(A4054), "Email",IF(ISNA(VLOOKUP(A4054,'Master List'!A:C,3,FALSE)), "Not Found", VLOOKUP(A4054,'Master List'!A:C,3,FALSE)))</f>
        <v>Email</v>
      </c>
      <c r="F4054" s="4" t="str">
        <f>IF(OR(A4054="",E4054="","",A4054="?",E4054="?"),"duplicate?",IF(COUNTIFS($A:A,A4054,E:E,E4054)&gt;1,"yes","no"))</f>
        <v>duplicate?</v>
      </c>
      <c r="K4054" s="97" t="str">
        <f ca="1">IF(J4054="","Date",IF(J4054&lt;&gt;"",IF(K4054="Date",NOW(),K4054),""))</f>
        <v>Date</v>
      </c>
    </row>
    <row r="4055" spans="2:11">
      <c r="B4055" s="97" t="str">
        <f ca="1">IF(A4055="","Date",IF(A4055&lt;&gt;"",IF(B4055="Date",NOW(),B4055),""))</f>
        <v>Date</v>
      </c>
      <c r="C4055" s="19" t="str">
        <f>IF(ISBLANK(A4055),"Name",IF(ISNA(VLOOKUP(A4055,'Master List'!A:C,2,FALSE)), "Not Found", VLOOKUP(A4055,'Master List'!A:C,2,FALSE)))</f>
        <v>Name</v>
      </c>
      <c r="D4055" s="19" t="str">
        <f>IF(ISBLANK(A4055), "Email",IF(ISNA(VLOOKUP(A4055,'Master List'!A:C,3,FALSE)), "Not Found", VLOOKUP(A4055,'Master List'!A:C,3,FALSE)))</f>
        <v>Email</v>
      </c>
      <c r="F4055" s="4" t="str">
        <f>IF(OR(A4055="",E4055="","",A4055="?",E4055="?"),"duplicate?",IF(COUNTIFS($A:A,A4055,E:E,E4055)&gt;1,"yes","no"))</f>
        <v>duplicate?</v>
      </c>
      <c r="K4055" s="97" t="str">
        <f ca="1">IF(J4055="","Date",IF(J4055&lt;&gt;"",IF(K4055="Date",NOW(),K4055),""))</f>
        <v>Date</v>
      </c>
    </row>
    <row r="4056" spans="2:11">
      <c r="B4056" s="97" t="str">
        <f ca="1">IF(A4056="","Date",IF(A4056&lt;&gt;"",IF(B4056="Date",NOW(),B4056),""))</f>
        <v>Date</v>
      </c>
      <c r="C4056" s="19" t="str">
        <f>IF(ISBLANK(A4056),"Name",IF(ISNA(VLOOKUP(A4056,'Master List'!A:C,2,FALSE)), "Not Found", VLOOKUP(A4056,'Master List'!A:C,2,FALSE)))</f>
        <v>Name</v>
      </c>
      <c r="D4056" s="19" t="str">
        <f>IF(ISBLANK(A4056), "Email",IF(ISNA(VLOOKUP(A4056,'Master List'!A:C,3,FALSE)), "Not Found", VLOOKUP(A4056,'Master List'!A:C,3,FALSE)))</f>
        <v>Email</v>
      </c>
      <c r="F4056" s="4" t="str">
        <f>IF(OR(A4056="",E4056="","",A4056="?",E4056="?"),"duplicate?",IF(COUNTIFS($A:A,A4056,E:E,E4056)&gt;1,"yes","no"))</f>
        <v>duplicate?</v>
      </c>
      <c r="K4056" s="97" t="str">
        <f ca="1">IF(J4056="","Date",IF(J4056&lt;&gt;"",IF(K4056="Date",NOW(),K4056),""))</f>
        <v>Date</v>
      </c>
    </row>
    <row r="4057" spans="2:11">
      <c r="B4057" s="97" t="str">
        <f ca="1">IF(A4057="","Date",IF(A4057&lt;&gt;"",IF(B4057="Date",NOW(),B4057),""))</f>
        <v>Date</v>
      </c>
      <c r="C4057" s="19" t="str">
        <f>IF(ISBLANK(A4057),"Name",IF(ISNA(VLOOKUP(A4057,'Master List'!A:C,2,FALSE)), "Not Found", VLOOKUP(A4057,'Master List'!A:C,2,FALSE)))</f>
        <v>Name</v>
      </c>
      <c r="D4057" s="19" t="str">
        <f>IF(ISBLANK(A4057), "Email",IF(ISNA(VLOOKUP(A4057,'Master List'!A:C,3,FALSE)), "Not Found", VLOOKUP(A4057,'Master List'!A:C,3,FALSE)))</f>
        <v>Email</v>
      </c>
      <c r="F4057" s="4" t="str">
        <f>IF(OR(A4057="",E4057="","",A4057="?",E4057="?"),"duplicate?",IF(COUNTIFS($A:A,A4057,E:E,E4057)&gt;1,"yes","no"))</f>
        <v>duplicate?</v>
      </c>
      <c r="K4057" s="97" t="str">
        <f ca="1">IF(J4057="","Date",IF(J4057&lt;&gt;"",IF(K4057="Date",NOW(),K4057),""))</f>
        <v>Date</v>
      </c>
    </row>
    <row r="4058" spans="2:11">
      <c r="B4058" s="97" t="str">
        <f ca="1">IF(A4058="","Date",IF(A4058&lt;&gt;"",IF(B4058="Date",NOW(),B4058),""))</f>
        <v>Date</v>
      </c>
      <c r="C4058" s="19" t="str">
        <f>IF(ISBLANK(A4058),"Name",IF(ISNA(VLOOKUP(A4058,'Master List'!A:C,2,FALSE)), "Not Found", VLOOKUP(A4058,'Master List'!A:C,2,FALSE)))</f>
        <v>Name</v>
      </c>
      <c r="D4058" s="19" t="str">
        <f>IF(ISBLANK(A4058), "Email",IF(ISNA(VLOOKUP(A4058,'Master List'!A:C,3,FALSE)), "Not Found", VLOOKUP(A4058,'Master List'!A:C,3,FALSE)))</f>
        <v>Email</v>
      </c>
      <c r="F4058" s="4" t="str">
        <f>IF(OR(A4058="",E4058="","",A4058="?",E4058="?"),"duplicate?",IF(COUNTIFS($A:A,A4058,E:E,E4058)&gt;1,"yes","no"))</f>
        <v>duplicate?</v>
      </c>
      <c r="K4058" s="97" t="str">
        <f ca="1">IF(J4058="","Date",IF(J4058&lt;&gt;"",IF(K4058="Date",NOW(),K4058),""))</f>
        <v>Date</v>
      </c>
    </row>
    <row r="4059" spans="2:11">
      <c r="B4059" s="97" t="str">
        <f ca="1">IF(A4059="","Date",IF(A4059&lt;&gt;"",IF(B4059="Date",NOW(),B4059),""))</f>
        <v>Date</v>
      </c>
      <c r="C4059" s="19" t="str">
        <f>IF(ISBLANK(A4059),"Name",IF(ISNA(VLOOKUP(A4059,'Master List'!A:C,2,FALSE)), "Not Found", VLOOKUP(A4059,'Master List'!A:C,2,FALSE)))</f>
        <v>Name</v>
      </c>
      <c r="D4059" s="19" t="str">
        <f>IF(ISBLANK(A4059), "Email",IF(ISNA(VLOOKUP(A4059,'Master List'!A:C,3,FALSE)), "Not Found", VLOOKUP(A4059,'Master List'!A:C,3,FALSE)))</f>
        <v>Email</v>
      </c>
      <c r="F4059" s="4" t="str">
        <f>IF(OR(A4059="",E4059="","",A4059="?",E4059="?"),"duplicate?",IF(COUNTIFS($A:A,A4059,E:E,E4059)&gt;1,"yes","no"))</f>
        <v>duplicate?</v>
      </c>
      <c r="K4059" s="97" t="str">
        <f ca="1">IF(J4059="","Date",IF(J4059&lt;&gt;"",IF(K4059="Date",NOW(),K4059),""))</f>
        <v>Date</v>
      </c>
    </row>
    <row r="4060" spans="2:11">
      <c r="B4060" s="97" t="str">
        <f ca="1">IF(A4060="","Date",IF(A4060&lt;&gt;"",IF(B4060="Date",NOW(),B4060),""))</f>
        <v>Date</v>
      </c>
      <c r="C4060" s="19" t="str">
        <f>IF(ISBLANK(A4060),"Name",IF(ISNA(VLOOKUP(A4060,'Master List'!A:C,2,FALSE)), "Not Found", VLOOKUP(A4060,'Master List'!A:C,2,FALSE)))</f>
        <v>Name</v>
      </c>
      <c r="D4060" s="19" t="str">
        <f>IF(ISBLANK(A4060), "Email",IF(ISNA(VLOOKUP(A4060,'Master List'!A:C,3,FALSE)), "Not Found", VLOOKUP(A4060,'Master List'!A:C,3,FALSE)))</f>
        <v>Email</v>
      </c>
      <c r="F4060" s="4" t="str">
        <f>IF(OR(A4060="",E4060="","",A4060="?",E4060="?"),"duplicate?",IF(COUNTIFS($A:A,A4060,E:E,E4060)&gt;1,"yes","no"))</f>
        <v>duplicate?</v>
      </c>
      <c r="K4060" s="97" t="str">
        <f ca="1">IF(J4060="","Date",IF(J4060&lt;&gt;"",IF(K4060="Date",NOW(),K4060),""))</f>
        <v>Date</v>
      </c>
    </row>
    <row r="4061" spans="2:11">
      <c r="B4061" s="97" t="str">
        <f ca="1">IF(A4061="","Date",IF(A4061&lt;&gt;"",IF(B4061="Date",NOW(),B4061),""))</f>
        <v>Date</v>
      </c>
      <c r="C4061" s="19" t="str">
        <f>IF(ISBLANK(A4061),"Name",IF(ISNA(VLOOKUP(A4061,'Master List'!A:C,2,FALSE)), "Not Found", VLOOKUP(A4061,'Master List'!A:C,2,FALSE)))</f>
        <v>Name</v>
      </c>
      <c r="D4061" s="19" t="str">
        <f>IF(ISBLANK(A4061), "Email",IF(ISNA(VLOOKUP(A4061,'Master List'!A:C,3,FALSE)), "Not Found", VLOOKUP(A4061,'Master List'!A:C,3,FALSE)))</f>
        <v>Email</v>
      </c>
      <c r="F4061" s="4" t="str">
        <f>IF(OR(A4061="",E4061="","",A4061="?",E4061="?"),"duplicate?",IF(COUNTIFS($A:A,A4061,E:E,E4061)&gt;1,"yes","no"))</f>
        <v>duplicate?</v>
      </c>
      <c r="K4061" s="97" t="str">
        <f ca="1">IF(J4061="","Date",IF(J4061&lt;&gt;"",IF(K4061="Date",NOW(),K4061),""))</f>
        <v>Date</v>
      </c>
    </row>
    <row r="4062" spans="2:11">
      <c r="B4062" s="97" t="str">
        <f ca="1">IF(A4062="","Date",IF(A4062&lt;&gt;"",IF(B4062="Date",NOW(),B4062),""))</f>
        <v>Date</v>
      </c>
      <c r="C4062" s="19" t="str">
        <f>IF(ISBLANK(A4062),"Name",IF(ISNA(VLOOKUP(A4062,'Master List'!A:C,2,FALSE)), "Not Found", VLOOKUP(A4062,'Master List'!A:C,2,FALSE)))</f>
        <v>Name</v>
      </c>
      <c r="D4062" s="19" t="str">
        <f>IF(ISBLANK(A4062), "Email",IF(ISNA(VLOOKUP(A4062,'Master List'!A:C,3,FALSE)), "Not Found", VLOOKUP(A4062,'Master List'!A:C,3,FALSE)))</f>
        <v>Email</v>
      </c>
      <c r="F4062" s="4" t="str">
        <f>IF(OR(A4062="",E4062="","",A4062="?",E4062="?"),"duplicate?",IF(COUNTIFS($A:A,A4062,E:E,E4062)&gt;1,"yes","no"))</f>
        <v>duplicate?</v>
      </c>
      <c r="K4062" s="97" t="str">
        <f ca="1">IF(J4062="","Date",IF(J4062&lt;&gt;"",IF(K4062="Date",NOW(),K4062),""))</f>
        <v>Date</v>
      </c>
    </row>
    <row r="4063" spans="2:11">
      <c r="B4063" s="97" t="str">
        <f ca="1">IF(A4063="","Date",IF(A4063&lt;&gt;"",IF(B4063="Date",NOW(),B4063),""))</f>
        <v>Date</v>
      </c>
      <c r="C4063" s="19" t="str">
        <f>IF(ISBLANK(A4063),"Name",IF(ISNA(VLOOKUP(A4063,'Master List'!A:C,2,FALSE)), "Not Found", VLOOKUP(A4063,'Master List'!A:C,2,FALSE)))</f>
        <v>Name</v>
      </c>
      <c r="D4063" s="19" t="str">
        <f>IF(ISBLANK(A4063), "Email",IF(ISNA(VLOOKUP(A4063,'Master List'!A:C,3,FALSE)), "Not Found", VLOOKUP(A4063,'Master List'!A:C,3,FALSE)))</f>
        <v>Email</v>
      </c>
      <c r="F4063" s="4" t="str">
        <f>IF(OR(A4063="",E4063="","",A4063="?",E4063="?"),"duplicate?",IF(COUNTIFS($A:A,A4063,E:E,E4063)&gt;1,"yes","no"))</f>
        <v>duplicate?</v>
      </c>
      <c r="K4063" s="97" t="str">
        <f ca="1">IF(J4063="","Date",IF(J4063&lt;&gt;"",IF(K4063="Date",NOW(),K4063),""))</f>
        <v>Date</v>
      </c>
    </row>
    <row r="4064" spans="2:11">
      <c r="B4064" s="97" t="str">
        <f ca="1">IF(A4064="","Date",IF(A4064&lt;&gt;"",IF(B4064="Date",NOW(),B4064),""))</f>
        <v>Date</v>
      </c>
      <c r="C4064" s="19" t="str">
        <f>IF(ISBLANK(A4064),"Name",IF(ISNA(VLOOKUP(A4064,'Master List'!A:C,2,FALSE)), "Not Found", VLOOKUP(A4064,'Master List'!A:C,2,FALSE)))</f>
        <v>Name</v>
      </c>
      <c r="D4064" s="19" t="str">
        <f>IF(ISBLANK(A4064), "Email",IF(ISNA(VLOOKUP(A4064,'Master List'!A:C,3,FALSE)), "Not Found", VLOOKUP(A4064,'Master List'!A:C,3,FALSE)))</f>
        <v>Email</v>
      </c>
      <c r="F4064" s="4" t="str">
        <f>IF(OR(A4064="",E4064="","",A4064="?",E4064="?"),"duplicate?",IF(COUNTIFS($A:A,A4064,E:E,E4064)&gt;1,"yes","no"))</f>
        <v>duplicate?</v>
      </c>
      <c r="K4064" s="97" t="str">
        <f ca="1">IF(J4064="","Date",IF(J4064&lt;&gt;"",IF(K4064="Date",NOW(),K4064),""))</f>
        <v>Date</v>
      </c>
    </row>
    <row r="4065" spans="2:11">
      <c r="B4065" s="97" t="str">
        <f ca="1">IF(A4065="","Date",IF(A4065&lt;&gt;"",IF(B4065="Date",NOW(),B4065),""))</f>
        <v>Date</v>
      </c>
      <c r="C4065" s="19" t="str">
        <f>IF(ISBLANK(A4065),"Name",IF(ISNA(VLOOKUP(A4065,'Master List'!A:C,2,FALSE)), "Not Found", VLOOKUP(A4065,'Master List'!A:C,2,FALSE)))</f>
        <v>Name</v>
      </c>
      <c r="D4065" s="19" t="str">
        <f>IF(ISBLANK(A4065), "Email",IF(ISNA(VLOOKUP(A4065,'Master List'!A:C,3,FALSE)), "Not Found", VLOOKUP(A4065,'Master List'!A:C,3,FALSE)))</f>
        <v>Email</v>
      </c>
      <c r="F4065" s="4" t="str">
        <f>IF(OR(A4065="",E4065="","",A4065="?",E4065="?"),"duplicate?",IF(COUNTIFS($A:A,A4065,E:E,E4065)&gt;1,"yes","no"))</f>
        <v>duplicate?</v>
      </c>
      <c r="K4065" s="97" t="str">
        <f ca="1">IF(J4065="","Date",IF(J4065&lt;&gt;"",IF(K4065="Date",NOW(),K4065),""))</f>
        <v>Date</v>
      </c>
    </row>
    <row r="4066" spans="2:11">
      <c r="B4066" s="97" t="str">
        <f ca="1">IF(A4066="","Date",IF(A4066&lt;&gt;"",IF(B4066="Date",NOW(),B4066),""))</f>
        <v>Date</v>
      </c>
      <c r="C4066" s="19" t="str">
        <f>IF(ISBLANK(A4066),"Name",IF(ISNA(VLOOKUP(A4066,'Master List'!A:C,2,FALSE)), "Not Found", VLOOKUP(A4066,'Master List'!A:C,2,FALSE)))</f>
        <v>Name</v>
      </c>
      <c r="D4066" s="19" t="str">
        <f>IF(ISBLANK(A4066), "Email",IF(ISNA(VLOOKUP(A4066,'Master List'!A:C,3,FALSE)), "Not Found", VLOOKUP(A4066,'Master List'!A:C,3,FALSE)))</f>
        <v>Email</v>
      </c>
      <c r="F4066" s="4" t="str">
        <f>IF(OR(A4066="",E4066="","",A4066="?",E4066="?"),"duplicate?",IF(COUNTIFS($A:A,A4066,E:E,E4066)&gt;1,"yes","no"))</f>
        <v>duplicate?</v>
      </c>
      <c r="K4066" s="97" t="str">
        <f ca="1">IF(J4066="","Date",IF(J4066&lt;&gt;"",IF(K4066="Date",NOW(),K4066),""))</f>
        <v>Date</v>
      </c>
    </row>
    <row r="4067" spans="2:11">
      <c r="B4067" s="97" t="str">
        <f ca="1">IF(A4067="","Date",IF(A4067&lt;&gt;"",IF(B4067="Date",NOW(),B4067),""))</f>
        <v>Date</v>
      </c>
      <c r="C4067" s="19" t="str">
        <f>IF(ISBLANK(A4067),"Name",IF(ISNA(VLOOKUP(A4067,'Master List'!A:C,2,FALSE)), "Not Found", VLOOKUP(A4067,'Master List'!A:C,2,FALSE)))</f>
        <v>Name</v>
      </c>
      <c r="D4067" s="19" t="str">
        <f>IF(ISBLANK(A4067), "Email",IF(ISNA(VLOOKUP(A4067,'Master List'!A:C,3,FALSE)), "Not Found", VLOOKUP(A4067,'Master List'!A:C,3,FALSE)))</f>
        <v>Email</v>
      </c>
      <c r="F4067" s="4" t="str">
        <f>IF(OR(A4067="",E4067="","",A4067="?",E4067="?"),"duplicate?",IF(COUNTIFS($A:A,A4067,E:E,E4067)&gt;1,"yes","no"))</f>
        <v>duplicate?</v>
      </c>
      <c r="K4067" s="97" t="str">
        <f ca="1">IF(J4067="","Date",IF(J4067&lt;&gt;"",IF(K4067="Date",NOW(),K4067),""))</f>
        <v>Date</v>
      </c>
    </row>
    <row r="4068" spans="2:11">
      <c r="B4068" s="97" t="str">
        <f ca="1">IF(A4068="","Date",IF(A4068&lt;&gt;"",IF(B4068="Date",NOW(),B4068),""))</f>
        <v>Date</v>
      </c>
      <c r="C4068" s="19" t="str">
        <f>IF(ISBLANK(A4068),"Name",IF(ISNA(VLOOKUP(A4068,'Master List'!A:C,2,FALSE)), "Not Found", VLOOKUP(A4068,'Master List'!A:C,2,FALSE)))</f>
        <v>Name</v>
      </c>
      <c r="D4068" s="19" t="str">
        <f>IF(ISBLANK(A4068), "Email",IF(ISNA(VLOOKUP(A4068,'Master List'!A:C,3,FALSE)), "Not Found", VLOOKUP(A4068,'Master List'!A:C,3,FALSE)))</f>
        <v>Email</v>
      </c>
      <c r="F4068" s="4" t="str">
        <f>IF(OR(A4068="",E4068="","",A4068="?",E4068="?"),"duplicate?",IF(COUNTIFS($A:A,A4068,E:E,E4068)&gt;1,"yes","no"))</f>
        <v>duplicate?</v>
      </c>
      <c r="K4068" s="97" t="str">
        <f ca="1">IF(J4068="","Date",IF(J4068&lt;&gt;"",IF(K4068="Date",NOW(),K4068),""))</f>
        <v>Date</v>
      </c>
    </row>
    <row r="4069" spans="2:11">
      <c r="B4069" s="97" t="str">
        <f ca="1">IF(A4069="","Date",IF(A4069&lt;&gt;"",IF(B4069="Date",NOW(),B4069),""))</f>
        <v>Date</v>
      </c>
      <c r="C4069" s="19" t="str">
        <f>IF(ISBLANK(A4069),"Name",IF(ISNA(VLOOKUP(A4069,'Master List'!A:C,2,FALSE)), "Not Found", VLOOKUP(A4069,'Master List'!A:C,2,FALSE)))</f>
        <v>Name</v>
      </c>
      <c r="D4069" s="19" t="str">
        <f>IF(ISBLANK(A4069), "Email",IF(ISNA(VLOOKUP(A4069,'Master List'!A:C,3,FALSE)), "Not Found", VLOOKUP(A4069,'Master List'!A:C,3,FALSE)))</f>
        <v>Email</v>
      </c>
      <c r="F4069" s="4" t="str">
        <f>IF(OR(A4069="",E4069="","",A4069="?",E4069="?"),"duplicate?",IF(COUNTIFS($A:A,A4069,E:E,E4069)&gt;1,"yes","no"))</f>
        <v>duplicate?</v>
      </c>
      <c r="K4069" s="97" t="str">
        <f ca="1">IF(J4069="","Date",IF(J4069&lt;&gt;"",IF(K4069="Date",NOW(),K4069),""))</f>
        <v>Date</v>
      </c>
    </row>
    <row r="4070" spans="2:11">
      <c r="B4070" s="97" t="str">
        <f ca="1">IF(A4070="","Date",IF(A4070&lt;&gt;"",IF(B4070="Date",NOW(),B4070),""))</f>
        <v>Date</v>
      </c>
      <c r="C4070" s="19" t="str">
        <f>IF(ISBLANK(A4070),"Name",IF(ISNA(VLOOKUP(A4070,'Master List'!A:C,2,FALSE)), "Not Found", VLOOKUP(A4070,'Master List'!A:C,2,FALSE)))</f>
        <v>Name</v>
      </c>
      <c r="D4070" s="19" t="str">
        <f>IF(ISBLANK(A4070), "Email",IF(ISNA(VLOOKUP(A4070,'Master List'!A:C,3,FALSE)), "Not Found", VLOOKUP(A4070,'Master List'!A:C,3,FALSE)))</f>
        <v>Email</v>
      </c>
      <c r="F4070" s="4" t="str">
        <f>IF(OR(A4070="",E4070="","",A4070="?",E4070="?"),"duplicate?",IF(COUNTIFS($A:A,A4070,E:E,E4070)&gt;1,"yes","no"))</f>
        <v>duplicate?</v>
      </c>
      <c r="K4070" s="97" t="str">
        <f ca="1">IF(J4070="","Date",IF(J4070&lt;&gt;"",IF(K4070="Date",NOW(),K4070),""))</f>
        <v>Date</v>
      </c>
    </row>
    <row r="4071" spans="2:11">
      <c r="B4071" s="97" t="str">
        <f ca="1">IF(A4071="","Date",IF(A4071&lt;&gt;"",IF(B4071="Date",NOW(),B4071),""))</f>
        <v>Date</v>
      </c>
      <c r="C4071" s="19" t="str">
        <f>IF(ISBLANK(A4071),"Name",IF(ISNA(VLOOKUP(A4071,'Master List'!A:C,2,FALSE)), "Not Found", VLOOKUP(A4071,'Master List'!A:C,2,FALSE)))</f>
        <v>Name</v>
      </c>
      <c r="D4071" s="19" t="str">
        <f>IF(ISBLANK(A4071), "Email",IF(ISNA(VLOOKUP(A4071,'Master List'!A:C,3,FALSE)), "Not Found", VLOOKUP(A4071,'Master List'!A:C,3,FALSE)))</f>
        <v>Email</v>
      </c>
      <c r="F4071" s="4" t="str">
        <f>IF(OR(A4071="",E4071="","",A4071="?",E4071="?"),"duplicate?",IF(COUNTIFS($A:A,A4071,E:E,E4071)&gt;1,"yes","no"))</f>
        <v>duplicate?</v>
      </c>
      <c r="K4071" s="97" t="str">
        <f ca="1">IF(J4071="","Date",IF(J4071&lt;&gt;"",IF(K4071="Date",NOW(),K4071),""))</f>
        <v>Date</v>
      </c>
    </row>
    <row r="4072" spans="2:11">
      <c r="B4072" s="97" t="str">
        <f ca="1">IF(A4072="","Date",IF(A4072&lt;&gt;"",IF(B4072="Date",NOW(),B4072),""))</f>
        <v>Date</v>
      </c>
      <c r="C4072" s="19" t="str">
        <f>IF(ISBLANK(A4072),"Name",IF(ISNA(VLOOKUP(A4072,'Master List'!A:C,2,FALSE)), "Not Found", VLOOKUP(A4072,'Master List'!A:C,2,FALSE)))</f>
        <v>Name</v>
      </c>
      <c r="D4072" s="19" t="str">
        <f>IF(ISBLANK(A4072), "Email",IF(ISNA(VLOOKUP(A4072,'Master List'!A:C,3,FALSE)), "Not Found", VLOOKUP(A4072,'Master List'!A:C,3,FALSE)))</f>
        <v>Email</v>
      </c>
      <c r="F4072" s="4" t="str">
        <f>IF(OR(A4072="",E4072="","",A4072="?",E4072="?"),"duplicate?",IF(COUNTIFS($A:A,A4072,E:E,E4072)&gt;1,"yes","no"))</f>
        <v>duplicate?</v>
      </c>
      <c r="K4072" s="97" t="str">
        <f ca="1">IF(J4072="","Date",IF(J4072&lt;&gt;"",IF(K4072="Date",NOW(),K4072),""))</f>
        <v>Date</v>
      </c>
    </row>
    <row r="4073" spans="2:11">
      <c r="B4073" s="97" t="str">
        <f ca="1">IF(A4073="","Date",IF(A4073&lt;&gt;"",IF(B4073="Date",NOW(),B4073),""))</f>
        <v>Date</v>
      </c>
      <c r="C4073" s="19" t="str">
        <f>IF(ISBLANK(A4073),"Name",IF(ISNA(VLOOKUP(A4073,'Master List'!A:C,2,FALSE)), "Not Found", VLOOKUP(A4073,'Master List'!A:C,2,FALSE)))</f>
        <v>Name</v>
      </c>
      <c r="D4073" s="19" t="str">
        <f>IF(ISBLANK(A4073), "Email",IF(ISNA(VLOOKUP(A4073,'Master List'!A:C,3,FALSE)), "Not Found", VLOOKUP(A4073,'Master List'!A:C,3,FALSE)))</f>
        <v>Email</v>
      </c>
      <c r="F4073" s="4" t="str">
        <f>IF(OR(A4073="",E4073="","",A4073="?",E4073="?"),"duplicate?",IF(COUNTIFS($A:A,A4073,E:E,E4073)&gt;1,"yes","no"))</f>
        <v>duplicate?</v>
      </c>
      <c r="K4073" s="97" t="str">
        <f ca="1">IF(J4073="","Date",IF(J4073&lt;&gt;"",IF(K4073="Date",NOW(),K4073),""))</f>
        <v>Date</v>
      </c>
    </row>
    <row r="4074" spans="2:11">
      <c r="B4074" s="97" t="str">
        <f ca="1">IF(A4074="","Date",IF(A4074&lt;&gt;"",IF(B4074="Date",NOW(),B4074),""))</f>
        <v>Date</v>
      </c>
      <c r="C4074" s="19" t="str">
        <f>IF(ISBLANK(A4074),"Name",IF(ISNA(VLOOKUP(A4074,'Master List'!A:C,2,FALSE)), "Not Found", VLOOKUP(A4074,'Master List'!A:C,2,FALSE)))</f>
        <v>Name</v>
      </c>
      <c r="D4074" s="19" t="str">
        <f>IF(ISBLANK(A4074), "Email",IF(ISNA(VLOOKUP(A4074,'Master List'!A:C,3,FALSE)), "Not Found", VLOOKUP(A4074,'Master List'!A:C,3,FALSE)))</f>
        <v>Email</v>
      </c>
      <c r="F4074" s="4" t="str">
        <f>IF(OR(A4074="",E4074="","",A4074="?",E4074="?"),"duplicate?",IF(COUNTIFS($A:A,A4074,E:E,E4074)&gt;1,"yes","no"))</f>
        <v>duplicate?</v>
      </c>
      <c r="K4074" s="97" t="str">
        <f ca="1">IF(J4074="","Date",IF(J4074&lt;&gt;"",IF(K4074="Date",NOW(),K4074),""))</f>
        <v>Date</v>
      </c>
    </row>
    <row r="4075" spans="2:11">
      <c r="B4075" s="97" t="str">
        <f ca="1">IF(A4075="","Date",IF(A4075&lt;&gt;"",IF(B4075="Date",NOW(),B4075),""))</f>
        <v>Date</v>
      </c>
      <c r="C4075" s="19" t="str">
        <f>IF(ISBLANK(A4075),"Name",IF(ISNA(VLOOKUP(A4075,'Master List'!A:C,2,FALSE)), "Not Found", VLOOKUP(A4075,'Master List'!A:C,2,FALSE)))</f>
        <v>Name</v>
      </c>
      <c r="D4075" s="19" t="str">
        <f>IF(ISBLANK(A4075), "Email",IF(ISNA(VLOOKUP(A4075,'Master List'!A:C,3,FALSE)), "Not Found", VLOOKUP(A4075,'Master List'!A:C,3,FALSE)))</f>
        <v>Email</v>
      </c>
      <c r="F4075" s="4" t="str">
        <f>IF(OR(A4075="",E4075="","",A4075="?",E4075="?"),"duplicate?",IF(COUNTIFS($A:A,A4075,E:E,E4075)&gt;1,"yes","no"))</f>
        <v>duplicate?</v>
      </c>
      <c r="K4075" s="97" t="str">
        <f ca="1">IF(J4075="","Date",IF(J4075&lt;&gt;"",IF(K4075="Date",NOW(),K4075),""))</f>
        <v>Date</v>
      </c>
    </row>
    <row r="4076" spans="2:11">
      <c r="B4076" s="97" t="str">
        <f ca="1">IF(A4076="","Date",IF(A4076&lt;&gt;"",IF(B4076="Date",NOW(),B4076),""))</f>
        <v>Date</v>
      </c>
      <c r="C4076" s="19" t="str">
        <f>IF(ISBLANK(A4076),"Name",IF(ISNA(VLOOKUP(A4076,'Master List'!A:C,2,FALSE)), "Not Found", VLOOKUP(A4076,'Master List'!A:C,2,FALSE)))</f>
        <v>Name</v>
      </c>
      <c r="D4076" s="19" t="str">
        <f>IF(ISBLANK(A4076), "Email",IF(ISNA(VLOOKUP(A4076,'Master List'!A:C,3,FALSE)), "Not Found", VLOOKUP(A4076,'Master List'!A:C,3,FALSE)))</f>
        <v>Email</v>
      </c>
      <c r="F4076" s="4" t="str">
        <f>IF(OR(A4076="",E4076="","",A4076="?",E4076="?"),"duplicate?",IF(COUNTIFS($A:A,A4076,E:E,E4076)&gt;1,"yes","no"))</f>
        <v>duplicate?</v>
      </c>
      <c r="K4076" s="97" t="str">
        <f ca="1">IF(J4076="","Date",IF(J4076&lt;&gt;"",IF(K4076="Date",NOW(),K4076),""))</f>
        <v>Date</v>
      </c>
    </row>
    <row r="4077" spans="2:11">
      <c r="B4077" s="97" t="str">
        <f ca="1">IF(A4077="","Date",IF(A4077&lt;&gt;"",IF(B4077="Date",NOW(),B4077),""))</f>
        <v>Date</v>
      </c>
      <c r="C4077" s="19" t="str">
        <f>IF(ISBLANK(A4077),"Name",IF(ISNA(VLOOKUP(A4077,'Master List'!A:C,2,FALSE)), "Not Found", VLOOKUP(A4077,'Master List'!A:C,2,FALSE)))</f>
        <v>Name</v>
      </c>
      <c r="D4077" s="19" t="str">
        <f>IF(ISBLANK(A4077), "Email",IF(ISNA(VLOOKUP(A4077,'Master List'!A:C,3,FALSE)), "Not Found", VLOOKUP(A4077,'Master List'!A:C,3,FALSE)))</f>
        <v>Email</v>
      </c>
      <c r="F4077" s="4" t="str">
        <f>IF(OR(A4077="",E4077="","",A4077="?",E4077="?"),"duplicate?",IF(COUNTIFS($A:A,A4077,E:E,E4077)&gt;1,"yes","no"))</f>
        <v>duplicate?</v>
      </c>
      <c r="K4077" s="97" t="str">
        <f ca="1">IF(J4077="","Date",IF(J4077&lt;&gt;"",IF(K4077="Date",NOW(),K4077),""))</f>
        <v>Date</v>
      </c>
    </row>
    <row r="4078" spans="2:11">
      <c r="B4078" s="97" t="str">
        <f ca="1">IF(A4078="","Date",IF(A4078&lt;&gt;"",IF(B4078="Date",NOW(),B4078),""))</f>
        <v>Date</v>
      </c>
      <c r="C4078" s="19" t="str">
        <f>IF(ISBLANK(A4078),"Name",IF(ISNA(VLOOKUP(A4078,'Master List'!A:C,2,FALSE)), "Not Found", VLOOKUP(A4078,'Master List'!A:C,2,FALSE)))</f>
        <v>Name</v>
      </c>
      <c r="D4078" s="19" t="str">
        <f>IF(ISBLANK(A4078), "Email",IF(ISNA(VLOOKUP(A4078,'Master List'!A:C,3,FALSE)), "Not Found", VLOOKUP(A4078,'Master List'!A:C,3,FALSE)))</f>
        <v>Email</v>
      </c>
      <c r="F4078" s="4" t="str">
        <f>IF(OR(A4078="",E4078="","",A4078="?",E4078="?"),"duplicate?",IF(COUNTIFS($A:A,A4078,E:E,E4078)&gt;1,"yes","no"))</f>
        <v>duplicate?</v>
      </c>
      <c r="K4078" s="97" t="str">
        <f ca="1">IF(J4078="","Date",IF(J4078&lt;&gt;"",IF(K4078="Date",NOW(),K4078),""))</f>
        <v>Date</v>
      </c>
    </row>
    <row r="4079" spans="2:11">
      <c r="B4079" s="97" t="str">
        <f ca="1">IF(A4079="","Date",IF(A4079&lt;&gt;"",IF(B4079="Date",NOW(),B4079),""))</f>
        <v>Date</v>
      </c>
      <c r="C4079" s="19" t="str">
        <f>IF(ISBLANK(A4079),"Name",IF(ISNA(VLOOKUP(A4079,'Master List'!A:C,2,FALSE)), "Not Found", VLOOKUP(A4079,'Master List'!A:C,2,FALSE)))</f>
        <v>Name</v>
      </c>
      <c r="D4079" s="19" t="str">
        <f>IF(ISBLANK(A4079), "Email",IF(ISNA(VLOOKUP(A4079,'Master List'!A:C,3,FALSE)), "Not Found", VLOOKUP(A4079,'Master List'!A:C,3,FALSE)))</f>
        <v>Email</v>
      </c>
      <c r="F4079" s="4" t="str">
        <f>IF(OR(A4079="",E4079="","",A4079="?",E4079="?"),"duplicate?",IF(COUNTIFS($A:A,A4079,E:E,E4079)&gt;1,"yes","no"))</f>
        <v>duplicate?</v>
      </c>
      <c r="K4079" s="97" t="str">
        <f ca="1">IF(J4079="","Date",IF(J4079&lt;&gt;"",IF(K4079="Date",NOW(),K4079),""))</f>
        <v>Date</v>
      </c>
    </row>
    <row r="4080" spans="2:11">
      <c r="B4080" s="97" t="str">
        <f ca="1">IF(A4080="","Date",IF(A4080&lt;&gt;"",IF(B4080="Date",NOW(),B4080),""))</f>
        <v>Date</v>
      </c>
      <c r="C4080" s="19" t="str">
        <f>IF(ISBLANK(A4080),"Name",IF(ISNA(VLOOKUP(A4080,'Master List'!A:C,2,FALSE)), "Not Found", VLOOKUP(A4080,'Master List'!A:C,2,FALSE)))</f>
        <v>Name</v>
      </c>
      <c r="D4080" s="19" t="str">
        <f>IF(ISBLANK(A4080), "Email",IF(ISNA(VLOOKUP(A4080,'Master List'!A:C,3,FALSE)), "Not Found", VLOOKUP(A4080,'Master List'!A:C,3,FALSE)))</f>
        <v>Email</v>
      </c>
      <c r="F4080" s="4" t="str">
        <f>IF(OR(A4080="",E4080="","",A4080="?",E4080="?"),"duplicate?",IF(COUNTIFS($A:A,A4080,E:E,E4080)&gt;1,"yes","no"))</f>
        <v>duplicate?</v>
      </c>
      <c r="K4080" s="97" t="str">
        <f ca="1">IF(J4080="","Date",IF(J4080&lt;&gt;"",IF(K4080="Date",NOW(),K4080),""))</f>
        <v>Date</v>
      </c>
    </row>
    <row r="4081" spans="2:11">
      <c r="B4081" s="97" t="str">
        <f ca="1">IF(A4081="","Date",IF(A4081&lt;&gt;"",IF(B4081="Date",NOW(),B4081),""))</f>
        <v>Date</v>
      </c>
      <c r="C4081" s="19" t="str">
        <f>IF(ISBLANK(A4081),"Name",IF(ISNA(VLOOKUP(A4081,'Master List'!A:C,2,FALSE)), "Not Found", VLOOKUP(A4081,'Master List'!A:C,2,FALSE)))</f>
        <v>Name</v>
      </c>
      <c r="D4081" s="19" t="str">
        <f>IF(ISBLANK(A4081), "Email",IF(ISNA(VLOOKUP(A4081,'Master List'!A:C,3,FALSE)), "Not Found", VLOOKUP(A4081,'Master List'!A:C,3,FALSE)))</f>
        <v>Email</v>
      </c>
      <c r="F4081" s="4" t="str">
        <f>IF(OR(A4081="",E4081="","",A4081="?",E4081="?"),"duplicate?",IF(COUNTIFS($A:A,A4081,E:E,E4081)&gt;1,"yes","no"))</f>
        <v>duplicate?</v>
      </c>
      <c r="K4081" s="97" t="str">
        <f ca="1">IF(J4081="","Date",IF(J4081&lt;&gt;"",IF(K4081="Date",NOW(),K4081),""))</f>
        <v>Date</v>
      </c>
    </row>
    <row r="4082" spans="2:11">
      <c r="B4082" s="97" t="str">
        <f ca="1">IF(A4082="","Date",IF(A4082&lt;&gt;"",IF(B4082="Date",NOW(),B4082),""))</f>
        <v>Date</v>
      </c>
      <c r="C4082" s="19" t="str">
        <f>IF(ISBLANK(A4082),"Name",IF(ISNA(VLOOKUP(A4082,'Master List'!A:C,2,FALSE)), "Not Found", VLOOKUP(A4082,'Master List'!A:C,2,FALSE)))</f>
        <v>Name</v>
      </c>
      <c r="D4082" s="19" t="str">
        <f>IF(ISBLANK(A4082), "Email",IF(ISNA(VLOOKUP(A4082,'Master List'!A:C,3,FALSE)), "Not Found", VLOOKUP(A4082,'Master List'!A:C,3,FALSE)))</f>
        <v>Email</v>
      </c>
      <c r="F4082" s="4" t="str">
        <f>IF(OR(A4082="",E4082="","",A4082="?",E4082="?"),"duplicate?",IF(COUNTIFS($A:A,A4082,E:E,E4082)&gt;1,"yes","no"))</f>
        <v>duplicate?</v>
      </c>
      <c r="K4082" s="97" t="str">
        <f ca="1">IF(J4082="","Date",IF(J4082&lt;&gt;"",IF(K4082="Date",NOW(),K4082),""))</f>
        <v>Date</v>
      </c>
    </row>
    <row r="4083" spans="2:11">
      <c r="B4083" s="97" t="str">
        <f ca="1">IF(A4083="","Date",IF(A4083&lt;&gt;"",IF(B4083="Date",NOW(),B4083),""))</f>
        <v>Date</v>
      </c>
      <c r="C4083" s="19" t="str">
        <f>IF(ISBLANK(A4083),"Name",IF(ISNA(VLOOKUP(A4083,'Master List'!A:C,2,FALSE)), "Not Found", VLOOKUP(A4083,'Master List'!A:C,2,FALSE)))</f>
        <v>Name</v>
      </c>
      <c r="D4083" s="19" t="str">
        <f>IF(ISBLANK(A4083), "Email",IF(ISNA(VLOOKUP(A4083,'Master List'!A:C,3,FALSE)), "Not Found", VLOOKUP(A4083,'Master List'!A:C,3,FALSE)))</f>
        <v>Email</v>
      </c>
      <c r="F4083" s="4" t="str">
        <f>IF(OR(A4083="",E4083="","",A4083="?",E4083="?"),"duplicate?",IF(COUNTIFS($A:A,A4083,E:E,E4083)&gt;1,"yes","no"))</f>
        <v>duplicate?</v>
      </c>
      <c r="K4083" s="97" t="str">
        <f ca="1">IF(J4083="","Date",IF(J4083&lt;&gt;"",IF(K4083="Date",NOW(),K4083),""))</f>
        <v>Date</v>
      </c>
    </row>
    <row r="4084" spans="2:11">
      <c r="B4084" s="97" t="str">
        <f ca="1">IF(A4084="","Date",IF(A4084&lt;&gt;"",IF(B4084="Date",NOW(),B4084),""))</f>
        <v>Date</v>
      </c>
      <c r="C4084" s="19" t="str">
        <f>IF(ISBLANK(A4084),"Name",IF(ISNA(VLOOKUP(A4084,'Master List'!A:C,2,FALSE)), "Not Found", VLOOKUP(A4084,'Master List'!A:C,2,FALSE)))</f>
        <v>Name</v>
      </c>
      <c r="D4084" s="19" t="str">
        <f>IF(ISBLANK(A4084), "Email",IF(ISNA(VLOOKUP(A4084,'Master List'!A:C,3,FALSE)), "Not Found", VLOOKUP(A4084,'Master List'!A:C,3,FALSE)))</f>
        <v>Email</v>
      </c>
      <c r="F4084" s="4" t="str">
        <f>IF(OR(A4084="",E4084="","",A4084="?",E4084="?"),"duplicate?",IF(COUNTIFS($A:A,A4084,E:E,E4084)&gt;1,"yes","no"))</f>
        <v>duplicate?</v>
      </c>
      <c r="K4084" s="97" t="str">
        <f ca="1">IF(J4084="","Date",IF(J4084&lt;&gt;"",IF(K4084="Date",NOW(),K4084),""))</f>
        <v>Date</v>
      </c>
    </row>
    <row r="4085" spans="2:11">
      <c r="B4085" s="97" t="str">
        <f ca="1">IF(A4085="","Date",IF(A4085&lt;&gt;"",IF(B4085="Date",NOW(),B4085),""))</f>
        <v>Date</v>
      </c>
      <c r="C4085" s="19" t="str">
        <f>IF(ISBLANK(A4085),"Name",IF(ISNA(VLOOKUP(A4085,'Master List'!A:C,2,FALSE)), "Not Found", VLOOKUP(A4085,'Master List'!A:C,2,FALSE)))</f>
        <v>Name</v>
      </c>
      <c r="D4085" s="19" t="str">
        <f>IF(ISBLANK(A4085), "Email",IF(ISNA(VLOOKUP(A4085,'Master List'!A:C,3,FALSE)), "Not Found", VLOOKUP(A4085,'Master List'!A:C,3,FALSE)))</f>
        <v>Email</v>
      </c>
      <c r="F4085" s="4" t="str">
        <f>IF(OR(A4085="",E4085="","",A4085="?",E4085="?"),"duplicate?",IF(COUNTIFS($A:A,A4085,E:E,E4085)&gt;1,"yes","no"))</f>
        <v>duplicate?</v>
      </c>
      <c r="K4085" s="97" t="str">
        <f ca="1">IF(J4085="","Date",IF(J4085&lt;&gt;"",IF(K4085="Date",NOW(),K4085),""))</f>
        <v>Date</v>
      </c>
    </row>
    <row r="4086" spans="2:11">
      <c r="B4086" s="97" t="str">
        <f ca="1">IF(A4086="","Date",IF(A4086&lt;&gt;"",IF(B4086="Date",NOW(),B4086),""))</f>
        <v>Date</v>
      </c>
      <c r="C4086" s="19" t="str">
        <f>IF(ISBLANK(A4086),"Name",IF(ISNA(VLOOKUP(A4086,'Master List'!A:C,2,FALSE)), "Not Found", VLOOKUP(A4086,'Master List'!A:C,2,FALSE)))</f>
        <v>Name</v>
      </c>
      <c r="D4086" s="19" t="str">
        <f>IF(ISBLANK(A4086), "Email",IF(ISNA(VLOOKUP(A4086,'Master List'!A:C,3,FALSE)), "Not Found", VLOOKUP(A4086,'Master List'!A:C,3,FALSE)))</f>
        <v>Email</v>
      </c>
      <c r="F4086" s="4" t="str">
        <f>IF(OR(A4086="",E4086="","",A4086="?",E4086="?"),"duplicate?",IF(COUNTIFS($A:A,A4086,E:E,E4086)&gt;1,"yes","no"))</f>
        <v>duplicate?</v>
      </c>
      <c r="K4086" s="97" t="str">
        <f ca="1">IF(J4086="","Date",IF(J4086&lt;&gt;"",IF(K4086="Date",NOW(),K4086),""))</f>
        <v>Date</v>
      </c>
    </row>
    <row r="4087" spans="2:11">
      <c r="B4087" s="97" t="str">
        <f ca="1">IF(A4087="","Date",IF(A4087&lt;&gt;"",IF(B4087="Date",NOW(),B4087),""))</f>
        <v>Date</v>
      </c>
      <c r="C4087" s="19" t="str">
        <f>IF(ISBLANK(A4087),"Name",IF(ISNA(VLOOKUP(A4087,'Master List'!A:C,2,FALSE)), "Not Found", VLOOKUP(A4087,'Master List'!A:C,2,FALSE)))</f>
        <v>Name</v>
      </c>
      <c r="D4087" s="19" t="str">
        <f>IF(ISBLANK(A4087), "Email",IF(ISNA(VLOOKUP(A4087,'Master List'!A:C,3,FALSE)), "Not Found", VLOOKUP(A4087,'Master List'!A:C,3,FALSE)))</f>
        <v>Email</v>
      </c>
      <c r="F4087" s="4" t="str">
        <f>IF(OR(A4087="",E4087="","",A4087="?",E4087="?"),"duplicate?",IF(COUNTIFS($A:A,A4087,E:E,E4087)&gt;1,"yes","no"))</f>
        <v>duplicate?</v>
      </c>
      <c r="K4087" s="97" t="str">
        <f ca="1">IF(J4087="","Date",IF(J4087&lt;&gt;"",IF(K4087="Date",NOW(),K4087),""))</f>
        <v>Date</v>
      </c>
    </row>
    <row r="4088" spans="2:11">
      <c r="B4088" s="97" t="str">
        <f ca="1">IF(A4088="","Date",IF(A4088&lt;&gt;"",IF(B4088="Date",NOW(),B4088),""))</f>
        <v>Date</v>
      </c>
      <c r="C4088" s="19" t="str">
        <f>IF(ISBLANK(A4088),"Name",IF(ISNA(VLOOKUP(A4088,'Master List'!A:C,2,FALSE)), "Not Found", VLOOKUP(A4088,'Master List'!A:C,2,FALSE)))</f>
        <v>Name</v>
      </c>
      <c r="D4088" s="19" t="str">
        <f>IF(ISBLANK(A4088), "Email",IF(ISNA(VLOOKUP(A4088,'Master List'!A:C,3,FALSE)), "Not Found", VLOOKUP(A4088,'Master List'!A:C,3,FALSE)))</f>
        <v>Email</v>
      </c>
      <c r="F4088" s="4" t="str">
        <f>IF(OR(A4088="",E4088="","",A4088="?",E4088="?"),"duplicate?",IF(COUNTIFS($A:A,A4088,E:E,E4088)&gt;1,"yes","no"))</f>
        <v>duplicate?</v>
      </c>
      <c r="K4088" s="97" t="str">
        <f ca="1">IF(J4088="","Date",IF(J4088&lt;&gt;"",IF(K4088="Date",NOW(),K4088),""))</f>
        <v>Date</v>
      </c>
    </row>
    <row r="4089" spans="2:11">
      <c r="B4089" s="97" t="str">
        <f ca="1">IF(A4089="","Date",IF(A4089&lt;&gt;"",IF(B4089="Date",NOW(),B4089),""))</f>
        <v>Date</v>
      </c>
      <c r="C4089" s="19" t="str">
        <f>IF(ISBLANK(A4089),"Name",IF(ISNA(VLOOKUP(A4089,'Master List'!A:C,2,FALSE)), "Not Found", VLOOKUP(A4089,'Master List'!A:C,2,FALSE)))</f>
        <v>Name</v>
      </c>
      <c r="D4089" s="19" t="str">
        <f>IF(ISBLANK(A4089), "Email",IF(ISNA(VLOOKUP(A4089,'Master List'!A:C,3,FALSE)), "Not Found", VLOOKUP(A4089,'Master List'!A:C,3,FALSE)))</f>
        <v>Email</v>
      </c>
      <c r="F4089" s="4" t="str">
        <f>IF(OR(A4089="",E4089="","",A4089="?",E4089="?"),"duplicate?",IF(COUNTIFS($A:A,A4089,E:E,E4089)&gt;1,"yes","no"))</f>
        <v>duplicate?</v>
      </c>
      <c r="K4089" s="97" t="str">
        <f ca="1">IF(J4089="","Date",IF(J4089&lt;&gt;"",IF(K4089="Date",NOW(),K4089),""))</f>
        <v>Date</v>
      </c>
    </row>
    <row r="4090" spans="2:11">
      <c r="B4090" s="97" t="str">
        <f ca="1">IF(A4090="","Date",IF(A4090&lt;&gt;"",IF(B4090="Date",NOW(),B4090),""))</f>
        <v>Date</v>
      </c>
      <c r="C4090" s="19" t="str">
        <f>IF(ISBLANK(A4090),"Name",IF(ISNA(VLOOKUP(A4090,'Master List'!A:C,2,FALSE)), "Not Found", VLOOKUP(A4090,'Master List'!A:C,2,FALSE)))</f>
        <v>Name</v>
      </c>
      <c r="D4090" s="19" t="str">
        <f>IF(ISBLANK(A4090), "Email",IF(ISNA(VLOOKUP(A4090,'Master List'!A:C,3,FALSE)), "Not Found", VLOOKUP(A4090,'Master List'!A:C,3,FALSE)))</f>
        <v>Email</v>
      </c>
      <c r="F4090" s="4" t="str">
        <f>IF(OR(A4090="",E4090="","",A4090="?",E4090="?"),"duplicate?",IF(COUNTIFS($A:A,A4090,E:E,E4090)&gt;1,"yes","no"))</f>
        <v>duplicate?</v>
      </c>
      <c r="K4090" s="97" t="str">
        <f ca="1">IF(J4090="","Date",IF(J4090&lt;&gt;"",IF(K4090="Date",NOW(),K4090),""))</f>
        <v>Date</v>
      </c>
    </row>
    <row r="4091" spans="2:11">
      <c r="B4091" s="97" t="str">
        <f ca="1">IF(A4091="","Date",IF(A4091&lt;&gt;"",IF(B4091="Date",NOW(),B4091),""))</f>
        <v>Date</v>
      </c>
      <c r="C4091" s="19" t="str">
        <f>IF(ISBLANK(A4091),"Name",IF(ISNA(VLOOKUP(A4091,'Master List'!A:C,2,FALSE)), "Not Found", VLOOKUP(A4091,'Master List'!A:C,2,FALSE)))</f>
        <v>Name</v>
      </c>
      <c r="D4091" s="19" t="str">
        <f>IF(ISBLANK(A4091), "Email",IF(ISNA(VLOOKUP(A4091,'Master List'!A:C,3,FALSE)), "Not Found", VLOOKUP(A4091,'Master List'!A:C,3,FALSE)))</f>
        <v>Email</v>
      </c>
      <c r="F4091" s="4" t="str">
        <f>IF(OR(A4091="",E4091="","",A4091="?",E4091="?"),"duplicate?",IF(COUNTIFS($A:A,A4091,E:E,E4091)&gt;1,"yes","no"))</f>
        <v>duplicate?</v>
      </c>
      <c r="K4091" s="97" t="str">
        <f ca="1">IF(J4091="","Date",IF(J4091&lt;&gt;"",IF(K4091="Date",NOW(),K4091),""))</f>
        <v>Date</v>
      </c>
    </row>
    <row r="4092" spans="2:11">
      <c r="B4092" s="97" t="str">
        <f ca="1">IF(A4092="","Date",IF(A4092&lt;&gt;"",IF(B4092="Date",NOW(),B4092),""))</f>
        <v>Date</v>
      </c>
      <c r="C4092" s="19" t="str">
        <f>IF(ISBLANK(A4092),"Name",IF(ISNA(VLOOKUP(A4092,'Master List'!A:C,2,FALSE)), "Not Found", VLOOKUP(A4092,'Master List'!A:C,2,FALSE)))</f>
        <v>Name</v>
      </c>
      <c r="D4092" s="19" t="str">
        <f>IF(ISBLANK(A4092), "Email",IF(ISNA(VLOOKUP(A4092,'Master List'!A:C,3,FALSE)), "Not Found", VLOOKUP(A4092,'Master List'!A:C,3,FALSE)))</f>
        <v>Email</v>
      </c>
      <c r="F4092" s="4" t="str">
        <f>IF(OR(A4092="",E4092="","",A4092="?",E4092="?"),"duplicate?",IF(COUNTIFS($A:A,A4092,E:E,E4092)&gt;1,"yes","no"))</f>
        <v>duplicate?</v>
      </c>
      <c r="K4092" s="97" t="str">
        <f ca="1">IF(J4092="","Date",IF(J4092&lt;&gt;"",IF(K4092="Date",NOW(),K4092),""))</f>
        <v>Date</v>
      </c>
    </row>
    <row r="4093" spans="2:11">
      <c r="B4093" s="97" t="str">
        <f ca="1">IF(A4093="","Date",IF(A4093&lt;&gt;"",IF(B4093="Date",NOW(),B4093),""))</f>
        <v>Date</v>
      </c>
      <c r="C4093" s="19" t="str">
        <f>IF(ISBLANK(A4093),"Name",IF(ISNA(VLOOKUP(A4093,'Master List'!A:C,2,FALSE)), "Not Found", VLOOKUP(A4093,'Master List'!A:C,2,FALSE)))</f>
        <v>Name</v>
      </c>
      <c r="D4093" s="19" t="str">
        <f>IF(ISBLANK(A4093), "Email",IF(ISNA(VLOOKUP(A4093,'Master List'!A:C,3,FALSE)), "Not Found", VLOOKUP(A4093,'Master List'!A:C,3,FALSE)))</f>
        <v>Email</v>
      </c>
      <c r="F4093" s="4" t="str">
        <f>IF(OR(A4093="",E4093="","",A4093="?",E4093="?"),"duplicate?",IF(COUNTIFS($A:A,A4093,E:E,E4093)&gt;1,"yes","no"))</f>
        <v>duplicate?</v>
      </c>
      <c r="K4093" s="97" t="str">
        <f ca="1">IF(J4093="","Date",IF(J4093&lt;&gt;"",IF(K4093="Date",NOW(),K4093),""))</f>
        <v>Date</v>
      </c>
    </row>
    <row r="4094" spans="2:11">
      <c r="B4094" s="97" t="str">
        <f ca="1">IF(A4094="","Date",IF(A4094&lt;&gt;"",IF(B4094="Date",NOW(),B4094),""))</f>
        <v>Date</v>
      </c>
      <c r="C4094" s="19" t="str">
        <f>IF(ISBLANK(A4094),"Name",IF(ISNA(VLOOKUP(A4094,'Master List'!A:C,2,FALSE)), "Not Found", VLOOKUP(A4094,'Master List'!A:C,2,FALSE)))</f>
        <v>Name</v>
      </c>
      <c r="D4094" s="19" t="str">
        <f>IF(ISBLANK(A4094), "Email",IF(ISNA(VLOOKUP(A4094,'Master List'!A:C,3,FALSE)), "Not Found", VLOOKUP(A4094,'Master List'!A:C,3,FALSE)))</f>
        <v>Email</v>
      </c>
      <c r="F4094" s="4" t="str">
        <f>IF(OR(A4094="",E4094="","",A4094="?",E4094="?"),"duplicate?",IF(COUNTIFS($A:A,A4094,E:E,E4094)&gt;1,"yes","no"))</f>
        <v>duplicate?</v>
      </c>
      <c r="K4094" s="97" t="str">
        <f ca="1">IF(J4094="","Date",IF(J4094&lt;&gt;"",IF(K4094="Date",NOW(),K4094),""))</f>
        <v>Date</v>
      </c>
    </row>
    <row r="4095" spans="2:11">
      <c r="B4095" s="97" t="str">
        <f ca="1">IF(A4095="","Date",IF(A4095&lt;&gt;"",IF(B4095="Date",NOW(),B4095),""))</f>
        <v>Date</v>
      </c>
      <c r="C4095" s="19" t="str">
        <f>IF(ISBLANK(A4095),"Name",IF(ISNA(VLOOKUP(A4095,'Master List'!A:C,2,FALSE)), "Not Found", VLOOKUP(A4095,'Master List'!A:C,2,FALSE)))</f>
        <v>Name</v>
      </c>
      <c r="D4095" s="19" t="str">
        <f>IF(ISBLANK(A4095), "Email",IF(ISNA(VLOOKUP(A4095,'Master List'!A:C,3,FALSE)), "Not Found", VLOOKUP(A4095,'Master List'!A:C,3,FALSE)))</f>
        <v>Email</v>
      </c>
      <c r="F4095" s="4" t="str">
        <f>IF(OR(A4095="",E4095="","",A4095="?",E4095="?"),"duplicate?",IF(COUNTIFS($A:A,A4095,E:E,E4095)&gt;1,"yes","no"))</f>
        <v>duplicate?</v>
      </c>
      <c r="K4095" s="97" t="str">
        <f ca="1">IF(J4095="","Date",IF(J4095&lt;&gt;"",IF(K4095="Date",NOW(),K4095),""))</f>
        <v>Date</v>
      </c>
    </row>
    <row r="4096" spans="2:11">
      <c r="B4096" s="97" t="str">
        <f ca="1">IF(A4096="","Date",IF(A4096&lt;&gt;"",IF(B4096="Date",NOW(),B4096),""))</f>
        <v>Date</v>
      </c>
      <c r="C4096" s="19" t="str">
        <f>IF(ISBLANK(A4096),"Name",IF(ISNA(VLOOKUP(A4096,'Master List'!A:C,2,FALSE)), "Not Found", VLOOKUP(A4096,'Master List'!A:C,2,FALSE)))</f>
        <v>Name</v>
      </c>
      <c r="D4096" s="19" t="str">
        <f>IF(ISBLANK(A4096), "Email",IF(ISNA(VLOOKUP(A4096,'Master List'!A:C,3,FALSE)), "Not Found", VLOOKUP(A4096,'Master List'!A:C,3,FALSE)))</f>
        <v>Email</v>
      </c>
      <c r="F4096" s="4" t="str">
        <f>IF(OR(A4096="",E4096="","",A4096="?",E4096="?"),"duplicate?",IF(COUNTIFS($A:A,A4096,E:E,E4096)&gt;1,"yes","no"))</f>
        <v>duplicate?</v>
      </c>
      <c r="K4096" s="97" t="str">
        <f ca="1">IF(J4096="","Date",IF(J4096&lt;&gt;"",IF(K4096="Date",NOW(),K4096),""))</f>
        <v>Date</v>
      </c>
    </row>
    <row r="4097" spans="2:11">
      <c r="B4097" s="97" t="str">
        <f ca="1">IF(A4097="","Date",IF(A4097&lt;&gt;"",IF(B4097="Date",NOW(),B4097),""))</f>
        <v>Date</v>
      </c>
      <c r="C4097" s="19" t="str">
        <f>IF(ISBLANK(A4097),"Name",IF(ISNA(VLOOKUP(A4097,'Master List'!A:C,2,FALSE)), "Not Found", VLOOKUP(A4097,'Master List'!A:C,2,FALSE)))</f>
        <v>Name</v>
      </c>
      <c r="D4097" s="19" t="str">
        <f>IF(ISBLANK(A4097), "Email",IF(ISNA(VLOOKUP(A4097,'Master List'!A:C,3,FALSE)), "Not Found", VLOOKUP(A4097,'Master List'!A:C,3,FALSE)))</f>
        <v>Email</v>
      </c>
      <c r="F4097" s="4" t="str">
        <f>IF(OR(A4097="",E4097="","",A4097="?",E4097="?"),"duplicate?",IF(COUNTIFS($A:A,A4097,E:E,E4097)&gt;1,"yes","no"))</f>
        <v>duplicate?</v>
      </c>
      <c r="K4097" s="97" t="str">
        <f ca="1">IF(J4097="","Date",IF(J4097&lt;&gt;"",IF(K4097="Date",NOW(),K4097),""))</f>
        <v>Date</v>
      </c>
    </row>
    <row r="4098" spans="2:11">
      <c r="B4098" s="97" t="str">
        <f ca="1">IF(A4098="","Date",IF(A4098&lt;&gt;"",IF(B4098="Date",NOW(),B4098),""))</f>
        <v>Date</v>
      </c>
      <c r="C4098" s="19" t="str">
        <f>IF(ISBLANK(A4098),"Name",IF(ISNA(VLOOKUP(A4098,'Master List'!A:C,2,FALSE)), "Not Found", VLOOKUP(A4098,'Master List'!A:C,2,FALSE)))</f>
        <v>Name</v>
      </c>
      <c r="D4098" s="19" t="str">
        <f>IF(ISBLANK(A4098), "Email",IF(ISNA(VLOOKUP(A4098,'Master List'!A:C,3,FALSE)), "Not Found", VLOOKUP(A4098,'Master List'!A:C,3,FALSE)))</f>
        <v>Email</v>
      </c>
      <c r="F4098" s="4" t="str">
        <f>IF(OR(A4098="",E4098="","",A4098="?",E4098="?"),"duplicate?",IF(COUNTIFS($A:A,A4098,E:E,E4098)&gt;1,"yes","no"))</f>
        <v>duplicate?</v>
      </c>
      <c r="K4098" s="97" t="str">
        <f ca="1">IF(J4098="","Date",IF(J4098&lt;&gt;"",IF(K4098="Date",NOW(),K4098),""))</f>
        <v>Date</v>
      </c>
    </row>
    <row r="4099" spans="2:11">
      <c r="B4099" s="97" t="str">
        <f ca="1">IF(A4099="","Date",IF(A4099&lt;&gt;"",IF(B4099="Date",NOW(),B4099),""))</f>
        <v>Date</v>
      </c>
      <c r="C4099" s="19" t="str">
        <f>IF(ISBLANK(A4099),"Name",IF(ISNA(VLOOKUP(A4099,'Master List'!A:C,2,FALSE)), "Not Found", VLOOKUP(A4099,'Master List'!A:C,2,FALSE)))</f>
        <v>Name</v>
      </c>
      <c r="D4099" s="19" t="str">
        <f>IF(ISBLANK(A4099), "Email",IF(ISNA(VLOOKUP(A4099,'Master List'!A:C,3,FALSE)), "Not Found", VLOOKUP(A4099,'Master List'!A:C,3,FALSE)))</f>
        <v>Email</v>
      </c>
      <c r="F4099" s="4" t="str">
        <f>IF(OR(A4099="",E4099="","",A4099="?",E4099="?"),"duplicate?",IF(COUNTIFS($A:A,A4099,E:E,E4099)&gt;1,"yes","no"))</f>
        <v>duplicate?</v>
      </c>
      <c r="K4099" s="97" t="str">
        <f ca="1">IF(J4099="","Date",IF(J4099&lt;&gt;"",IF(K4099="Date",NOW(),K4099),""))</f>
        <v>Date</v>
      </c>
    </row>
    <row r="4100" spans="2:11">
      <c r="B4100" s="97" t="str">
        <f ca="1">IF(A4100="","Date",IF(A4100&lt;&gt;"",IF(B4100="Date",NOW(),B4100),""))</f>
        <v>Date</v>
      </c>
      <c r="C4100" s="19" t="str">
        <f>IF(ISBLANK(A4100),"Name",IF(ISNA(VLOOKUP(A4100,'Master List'!A:C,2,FALSE)), "Not Found", VLOOKUP(A4100,'Master List'!A:C,2,FALSE)))</f>
        <v>Name</v>
      </c>
      <c r="D4100" s="19" t="str">
        <f>IF(ISBLANK(A4100), "Email",IF(ISNA(VLOOKUP(A4100,'Master List'!A:C,3,FALSE)), "Not Found", VLOOKUP(A4100,'Master List'!A:C,3,FALSE)))</f>
        <v>Email</v>
      </c>
      <c r="F4100" s="4" t="str">
        <f>IF(OR(A4100="",E4100="","",A4100="?",E4100="?"),"duplicate?",IF(COUNTIFS($A:A,A4100,E:E,E4100)&gt;1,"yes","no"))</f>
        <v>duplicate?</v>
      </c>
      <c r="K4100" s="97" t="str">
        <f ca="1">IF(J4100="","Date",IF(J4100&lt;&gt;"",IF(K4100="Date",NOW(),K4100),""))</f>
        <v>Date</v>
      </c>
    </row>
    <row r="4101" spans="2:11">
      <c r="B4101" s="97" t="str">
        <f ca="1">IF(A4101="","Date",IF(A4101&lt;&gt;"",IF(B4101="Date",NOW(),B4101),""))</f>
        <v>Date</v>
      </c>
      <c r="C4101" s="19" t="str">
        <f>IF(ISBLANK(A4101),"Name",IF(ISNA(VLOOKUP(A4101,'Master List'!A:C,2,FALSE)), "Not Found", VLOOKUP(A4101,'Master List'!A:C,2,FALSE)))</f>
        <v>Name</v>
      </c>
      <c r="D4101" s="19" t="str">
        <f>IF(ISBLANK(A4101), "Email",IF(ISNA(VLOOKUP(A4101,'Master List'!A:C,3,FALSE)), "Not Found", VLOOKUP(A4101,'Master List'!A:C,3,FALSE)))</f>
        <v>Email</v>
      </c>
      <c r="F4101" s="4" t="str">
        <f>IF(OR(A4101="",E4101="","",A4101="?",E4101="?"),"duplicate?",IF(COUNTIFS($A:A,A4101,E:E,E4101)&gt;1,"yes","no"))</f>
        <v>duplicate?</v>
      </c>
      <c r="K4101" s="97" t="str">
        <f ca="1">IF(J4101="","Date",IF(J4101&lt;&gt;"",IF(K4101="Date",NOW(),K4101),""))</f>
        <v>Date</v>
      </c>
    </row>
    <row r="4102" spans="2:11">
      <c r="B4102" s="97" t="str">
        <f ca="1">IF(A4102="","Date",IF(A4102&lt;&gt;"",IF(B4102="Date",NOW(),B4102),""))</f>
        <v>Date</v>
      </c>
      <c r="C4102" s="19" t="str">
        <f>IF(ISBLANK(A4102),"Name",IF(ISNA(VLOOKUP(A4102,'Master List'!A:C,2,FALSE)), "Not Found", VLOOKUP(A4102,'Master List'!A:C,2,FALSE)))</f>
        <v>Name</v>
      </c>
      <c r="D4102" s="19" t="str">
        <f>IF(ISBLANK(A4102), "Email",IF(ISNA(VLOOKUP(A4102,'Master List'!A:C,3,FALSE)), "Not Found", VLOOKUP(A4102,'Master List'!A:C,3,FALSE)))</f>
        <v>Email</v>
      </c>
      <c r="F4102" s="4" t="str">
        <f>IF(OR(A4102="",E4102="","",A4102="?",E4102="?"),"duplicate?",IF(COUNTIFS($A:A,A4102,E:E,E4102)&gt;1,"yes","no"))</f>
        <v>duplicate?</v>
      </c>
      <c r="K4102" s="97" t="str">
        <f ca="1">IF(J4102="","Date",IF(J4102&lt;&gt;"",IF(K4102="Date",NOW(),K4102),""))</f>
        <v>Date</v>
      </c>
    </row>
    <row r="4103" spans="2:11">
      <c r="B4103" s="97" t="str">
        <f ca="1">IF(A4103="","Date",IF(A4103&lt;&gt;"",IF(B4103="Date",NOW(),B4103),""))</f>
        <v>Date</v>
      </c>
      <c r="C4103" s="19" t="str">
        <f>IF(ISBLANK(A4103),"Name",IF(ISNA(VLOOKUP(A4103,'Master List'!A:C,2,FALSE)), "Not Found", VLOOKUP(A4103,'Master List'!A:C,2,FALSE)))</f>
        <v>Name</v>
      </c>
      <c r="D4103" s="19" t="str">
        <f>IF(ISBLANK(A4103), "Email",IF(ISNA(VLOOKUP(A4103,'Master List'!A:C,3,FALSE)), "Not Found", VLOOKUP(A4103,'Master List'!A:C,3,FALSE)))</f>
        <v>Email</v>
      </c>
      <c r="F4103" s="4" t="str">
        <f>IF(OR(A4103="",E4103="","",A4103="?",E4103="?"),"duplicate?",IF(COUNTIFS($A:A,A4103,E:E,E4103)&gt;1,"yes","no"))</f>
        <v>duplicate?</v>
      </c>
      <c r="K4103" s="97" t="str">
        <f ca="1">IF(J4103="","Date",IF(J4103&lt;&gt;"",IF(K4103="Date",NOW(),K4103),""))</f>
        <v>Date</v>
      </c>
    </row>
    <row r="4104" spans="2:11">
      <c r="B4104" s="97" t="str">
        <f ca="1">IF(A4104="","Date",IF(A4104&lt;&gt;"",IF(B4104="Date",NOW(),B4104),""))</f>
        <v>Date</v>
      </c>
      <c r="C4104" s="19" t="str">
        <f>IF(ISBLANK(A4104),"Name",IF(ISNA(VLOOKUP(A4104,'Master List'!A:C,2,FALSE)), "Not Found", VLOOKUP(A4104,'Master List'!A:C,2,FALSE)))</f>
        <v>Name</v>
      </c>
      <c r="D4104" s="19" t="str">
        <f>IF(ISBLANK(A4104), "Email",IF(ISNA(VLOOKUP(A4104,'Master List'!A:C,3,FALSE)), "Not Found", VLOOKUP(A4104,'Master List'!A:C,3,FALSE)))</f>
        <v>Email</v>
      </c>
      <c r="F4104" s="4" t="str">
        <f>IF(OR(A4104="",E4104="","",A4104="?",E4104="?"),"duplicate?",IF(COUNTIFS($A:A,A4104,E:E,E4104)&gt;1,"yes","no"))</f>
        <v>duplicate?</v>
      </c>
      <c r="K4104" s="97" t="str">
        <f ca="1">IF(J4104="","Date",IF(J4104&lt;&gt;"",IF(K4104="Date",NOW(),K4104),""))</f>
        <v>Date</v>
      </c>
    </row>
    <row r="4105" spans="2:11">
      <c r="B4105" s="97" t="str">
        <f ca="1">IF(A4105="","Date",IF(A4105&lt;&gt;"",IF(B4105="Date",NOW(),B4105),""))</f>
        <v>Date</v>
      </c>
      <c r="C4105" s="19" t="str">
        <f>IF(ISBLANK(A4105),"Name",IF(ISNA(VLOOKUP(A4105,'Master List'!A:C,2,FALSE)), "Not Found", VLOOKUP(A4105,'Master List'!A:C,2,FALSE)))</f>
        <v>Name</v>
      </c>
      <c r="D4105" s="19" t="str">
        <f>IF(ISBLANK(A4105), "Email",IF(ISNA(VLOOKUP(A4105,'Master List'!A:C,3,FALSE)), "Not Found", VLOOKUP(A4105,'Master List'!A:C,3,FALSE)))</f>
        <v>Email</v>
      </c>
      <c r="F4105" s="4" t="str">
        <f>IF(OR(A4105="",E4105="","",A4105="?",E4105="?"),"duplicate?",IF(COUNTIFS($A:A,A4105,E:E,E4105)&gt;1,"yes","no"))</f>
        <v>duplicate?</v>
      </c>
      <c r="K4105" s="97" t="str">
        <f ca="1">IF(J4105="","Date",IF(J4105&lt;&gt;"",IF(K4105="Date",NOW(),K4105),""))</f>
        <v>Date</v>
      </c>
    </row>
    <row r="4106" spans="2:11">
      <c r="B4106" s="97" t="str">
        <f ca="1">IF(A4106="","Date",IF(A4106&lt;&gt;"",IF(B4106="Date",NOW(),B4106),""))</f>
        <v>Date</v>
      </c>
      <c r="C4106" s="19" t="str">
        <f>IF(ISBLANK(A4106),"Name",IF(ISNA(VLOOKUP(A4106,'Master List'!A:C,2,FALSE)), "Not Found", VLOOKUP(A4106,'Master List'!A:C,2,FALSE)))</f>
        <v>Name</v>
      </c>
      <c r="D4106" s="19" t="str">
        <f>IF(ISBLANK(A4106), "Email",IF(ISNA(VLOOKUP(A4106,'Master List'!A:C,3,FALSE)), "Not Found", VLOOKUP(A4106,'Master List'!A:C,3,FALSE)))</f>
        <v>Email</v>
      </c>
      <c r="F4106" s="4" t="str">
        <f>IF(OR(A4106="",E4106="","",A4106="?",E4106="?"),"duplicate?",IF(COUNTIFS($A:A,A4106,E:E,E4106)&gt;1,"yes","no"))</f>
        <v>duplicate?</v>
      </c>
      <c r="K4106" s="97" t="str">
        <f ca="1">IF(J4106="","Date",IF(J4106&lt;&gt;"",IF(K4106="Date",NOW(),K4106),""))</f>
        <v>Date</v>
      </c>
    </row>
    <row r="4107" spans="2:11">
      <c r="B4107" s="97" t="str">
        <f ca="1">IF(A4107="","Date",IF(A4107&lt;&gt;"",IF(B4107="Date",NOW(),B4107),""))</f>
        <v>Date</v>
      </c>
      <c r="C4107" s="19" t="str">
        <f>IF(ISBLANK(A4107),"Name",IF(ISNA(VLOOKUP(A4107,'Master List'!A:C,2,FALSE)), "Not Found", VLOOKUP(A4107,'Master List'!A:C,2,FALSE)))</f>
        <v>Name</v>
      </c>
      <c r="D4107" s="19" t="str">
        <f>IF(ISBLANK(A4107), "Email",IF(ISNA(VLOOKUP(A4107,'Master List'!A:C,3,FALSE)), "Not Found", VLOOKUP(A4107,'Master List'!A:C,3,FALSE)))</f>
        <v>Email</v>
      </c>
      <c r="F4107" s="4" t="str">
        <f>IF(OR(A4107="",E4107="","",A4107="?",E4107="?"),"duplicate?",IF(COUNTIFS($A:A,A4107,E:E,E4107)&gt;1,"yes","no"))</f>
        <v>duplicate?</v>
      </c>
      <c r="K4107" s="97" t="str">
        <f ca="1">IF(J4107="","Date",IF(J4107&lt;&gt;"",IF(K4107="Date",NOW(),K4107),""))</f>
        <v>Date</v>
      </c>
    </row>
    <row r="4108" spans="2:11">
      <c r="B4108" s="97" t="str">
        <f ca="1">IF(A4108="","Date",IF(A4108&lt;&gt;"",IF(B4108="Date",NOW(),B4108),""))</f>
        <v>Date</v>
      </c>
      <c r="C4108" s="19" t="str">
        <f>IF(ISBLANK(A4108),"Name",IF(ISNA(VLOOKUP(A4108,'Master List'!A:C,2,FALSE)), "Not Found", VLOOKUP(A4108,'Master List'!A:C,2,FALSE)))</f>
        <v>Name</v>
      </c>
      <c r="D4108" s="19" t="str">
        <f>IF(ISBLANK(A4108), "Email",IF(ISNA(VLOOKUP(A4108,'Master List'!A:C,3,FALSE)), "Not Found", VLOOKUP(A4108,'Master List'!A:C,3,FALSE)))</f>
        <v>Email</v>
      </c>
      <c r="F4108" s="4" t="str">
        <f>IF(OR(A4108="",E4108="","",A4108="?",E4108="?"),"duplicate?",IF(COUNTIFS($A:A,A4108,E:E,E4108)&gt;1,"yes","no"))</f>
        <v>duplicate?</v>
      </c>
      <c r="K4108" s="97" t="str">
        <f ca="1">IF(J4108="","Date",IF(J4108&lt;&gt;"",IF(K4108="Date",NOW(),K4108),""))</f>
        <v>Date</v>
      </c>
    </row>
    <row r="4109" spans="2:11">
      <c r="B4109" s="97" t="str">
        <f ca="1">IF(A4109="","Date",IF(A4109&lt;&gt;"",IF(B4109="Date",NOW(),B4109),""))</f>
        <v>Date</v>
      </c>
      <c r="C4109" s="19" t="str">
        <f>IF(ISBLANK(A4109),"Name",IF(ISNA(VLOOKUP(A4109,'Master List'!A:C,2,FALSE)), "Not Found", VLOOKUP(A4109,'Master List'!A:C,2,FALSE)))</f>
        <v>Name</v>
      </c>
      <c r="D4109" s="19" t="str">
        <f>IF(ISBLANK(A4109), "Email",IF(ISNA(VLOOKUP(A4109,'Master List'!A:C,3,FALSE)), "Not Found", VLOOKUP(A4109,'Master List'!A:C,3,FALSE)))</f>
        <v>Email</v>
      </c>
      <c r="F4109" s="4" t="str">
        <f>IF(OR(A4109="",E4109="","",A4109="?",E4109="?"),"duplicate?",IF(COUNTIFS($A:A,A4109,E:E,E4109)&gt;1,"yes","no"))</f>
        <v>duplicate?</v>
      </c>
      <c r="K4109" s="97" t="str">
        <f ca="1">IF(J4109="","Date",IF(J4109&lt;&gt;"",IF(K4109="Date",NOW(),K4109),""))</f>
        <v>Date</v>
      </c>
    </row>
    <row r="4110" spans="2:11">
      <c r="B4110" s="97" t="str">
        <f ca="1">IF(A4110="","Date",IF(A4110&lt;&gt;"",IF(B4110="Date",NOW(),B4110),""))</f>
        <v>Date</v>
      </c>
      <c r="C4110" s="19" t="str">
        <f>IF(ISBLANK(A4110),"Name",IF(ISNA(VLOOKUP(A4110,'Master List'!A:C,2,FALSE)), "Not Found", VLOOKUP(A4110,'Master List'!A:C,2,FALSE)))</f>
        <v>Name</v>
      </c>
      <c r="D4110" s="19" t="str">
        <f>IF(ISBLANK(A4110), "Email",IF(ISNA(VLOOKUP(A4110,'Master List'!A:C,3,FALSE)), "Not Found", VLOOKUP(A4110,'Master List'!A:C,3,FALSE)))</f>
        <v>Email</v>
      </c>
      <c r="F4110" s="4" t="str">
        <f>IF(OR(A4110="",E4110="","",A4110="?",E4110="?"),"duplicate?",IF(COUNTIFS($A:A,A4110,E:E,E4110)&gt;1,"yes","no"))</f>
        <v>duplicate?</v>
      </c>
      <c r="K4110" s="97" t="str">
        <f ca="1">IF(J4110="","Date",IF(J4110&lt;&gt;"",IF(K4110="Date",NOW(),K4110),""))</f>
        <v>Date</v>
      </c>
    </row>
    <row r="4111" spans="2:11">
      <c r="B4111" s="97" t="str">
        <f ca="1">IF(A4111="","Date",IF(A4111&lt;&gt;"",IF(B4111="Date",NOW(),B4111),""))</f>
        <v>Date</v>
      </c>
      <c r="C4111" s="19" t="str">
        <f>IF(ISBLANK(A4111),"Name",IF(ISNA(VLOOKUP(A4111,'Master List'!A:C,2,FALSE)), "Not Found", VLOOKUP(A4111,'Master List'!A:C,2,FALSE)))</f>
        <v>Name</v>
      </c>
      <c r="D4111" s="19" t="str">
        <f>IF(ISBLANK(A4111), "Email",IF(ISNA(VLOOKUP(A4111,'Master List'!A:C,3,FALSE)), "Not Found", VLOOKUP(A4111,'Master List'!A:C,3,FALSE)))</f>
        <v>Email</v>
      </c>
      <c r="F4111" s="4" t="str">
        <f>IF(OR(A4111="",E4111="","",A4111="?",E4111="?"),"duplicate?",IF(COUNTIFS($A:A,A4111,E:E,E4111)&gt;1,"yes","no"))</f>
        <v>duplicate?</v>
      </c>
      <c r="K4111" s="97" t="str">
        <f ca="1">IF(J4111="","Date",IF(J4111&lt;&gt;"",IF(K4111="Date",NOW(),K4111),""))</f>
        <v>Date</v>
      </c>
    </row>
    <row r="4112" spans="2:11">
      <c r="B4112" s="97" t="str">
        <f ca="1">IF(A4112="","Date",IF(A4112&lt;&gt;"",IF(B4112="Date",NOW(),B4112),""))</f>
        <v>Date</v>
      </c>
      <c r="C4112" s="19" t="str">
        <f>IF(ISBLANK(A4112),"Name",IF(ISNA(VLOOKUP(A4112,'Master List'!A:C,2,FALSE)), "Not Found", VLOOKUP(A4112,'Master List'!A:C,2,FALSE)))</f>
        <v>Name</v>
      </c>
      <c r="D4112" s="19" t="str">
        <f>IF(ISBLANK(A4112), "Email",IF(ISNA(VLOOKUP(A4112,'Master List'!A:C,3,FALSE)), "Not Found", VLOOKUP(A4112,'Master List'!A:C,3,FALSE)))</f>
        <v>Email</v>
      </c>
      <c r="F4112" s="4" t="str">
        <f>IF(OR(A4112="",E4112="","",A4112="?",E4112="?"),"duplicate?",IF(COUNTIFS($A:A,A4112,E:E,E4112)&gt;1,"yes","no"))</f>
        <v>duplicate?</v>
      </c>
      <c r="K4112" s="97" t="str">
        <f ca="1">IF(J4112="","Date",IF(J4112&lt;&gt;"",IF(K4112="Date",NOW(),K4112),""))</f>
        <v>Date</v>
      </c>
    </row>
    <row r="4113" spans="2:11">
      <c r="B4113" s="97" t="str">
        <f ca="1">IF(A4113="","Date",IF(A4113&lt;&gt;"",IF(B4113="Date",NOW(),B4113),""))</f>
        <v>Date</v>
      </c>
      <c r="C4113" s="19" t="str">
        <f>IF(ISBLANK(A4113),"Name",IF(ISNA(VLOOKUP(A4113,'Master List'!A:C,2,FALSE)), "Not Found", VLOOKUP(A4113,'Master List'!A:C,2,FALSE)))</f>
        <v>Name</v>
      </c>
      <c r="D4113" s="19" t="str">
        <f>IF(ISBLANK(A4113), "Email",IF(ISNA(VLOOKUP(A4113,'Master List'!A:C,3,FALSE)), "Not Found", VLOOKUP(A4113,'Master List'!A:C,3,FALSE)))</f>
        <v>Email</v>
      </c>
      <c r="F4113" s="4" t="str">
        <f>IF(OR(A4113="",E4113="","",A4113="?",E4113="?"),"duplicate?",IF(COUNTIFS($A:A,A4113,E:E,E4113)&gt;1,"yes","no"))</f>
        <v>duplicate?</v>
      </c>
      <c r="K4113" s="97" t="str">
        <f ca="1">IF(J4113="","Date",IF(J4113&lt;&gt;"",IF(K4113="Date",NOW(),K4113),""))</f>
        <v>Date</v>
      </c>
    </row>
    <row r="4114" spans="2:11">
      <c r="B4114" s="97" t="str">
        <f ca="1">IF(A4114="","Date",IF(A4114&lt;&gt;"",IF(B4114="Date",NOW(),B4114),""))</f>
        <v>Date</v>
      </c>
      <c r="C4114" s="19" t="str">
        <f>IF(ISBLANK(A4114),"Name",IF(ISNA(VLOOKUP(A4114,'Master List'!A:C,2,FALSE)), "Not Found", VLOOKUP(A4114,'Master List'!A:C,2,FALSE)))</f>
        <v>Name</v>
      </c>
      <c r="D4114" s="19" t="str">
        <f>IF(ISBLANK(A4114), "Email",IF(ISNA(VLOOKUP(A4114,'Master List'!A:C,3,FALSE)), "Not Found", VLOOKUP(A4114,'Master List'!A:C,3,FALSE)))</f>
        <v>Email</v>
      </c>
      <c r="F4114" s="4" t="str">
        <f>IF(OR(A4114="",E4114="","",A4114="?",E4114="?"),"duplicate?",IF(COUNTIFS($A:A,A4114,E:E,E4114)&gt;1,"yes","no"))</f>
        <v>duplicate?</v>
      </c>
      <c r="K4114" s="97" t="str">
        <f ca="1">IF(J4114="","Date",IF(J4114&lt;&gt;"",IF(K4114="Date",NOW(),K4114),""))</f>
        <v>Date</v>
      </c>
    </row>
    <row r="4115" spans="2:11">
      <c r="B4115" s="97" t="str">
        <f ca="1">IF(A4115="","Date",IF(A4115&lt;&gt;"",IF(B4115="Date",NOW(),B4115),""))</f>
        <v>Date</v>
      </c>
      <c r="C4115" s="19" t="str">
        <f>IF(ISBLANK(A4115),"Name",IF(ISNA(VLOOKUP(A4115,'Master List'!A:C,2,FALSE)), "Not Found", VLOOKUP(A4115,'Master List'!A:C,2,FALSE)))</f>
        <v>Name</v>
      </c>
      <c r="D4115" s="19" t="str">
        <f>IF(ISBLANK(A4115), "Email",IF(ISNA(VLOOKUP(A4115,'Master List'!A:C,3,FALSE)), "Not Found", VLOOKUP(A4115,'Master List'!A:C,3,FALSE)))</f>
        <v>Email</v>
      </c>
      <c r="F4115" s="4" t="str">
        <f>IF(OR(A4115="",E4115="","",A4115="?",E4115="?"),"duplicate?",IF(COUNTIFS($A:A,A4115,E:E,E4115)&gt;1,"yes","no"))</f>
        <v>duplicate?</v>
      </c>
      <c r="K4115" s="97" t="str">
        <f ca="1">IF(J4115="","Date",IF(J4115&lt;&gt;"",IF(K4115="Date",NOW(),K4115),""))</f>
        <v>Date</v>
      </c>
    </row>
    <row r="4116" spans="2:11">
      <c r="B4116" s="97" t="str">
        <f ca="1">IF(A4116="","Date",IF(A4116&lt;&gt;"",IF(B4116="Date",NOW(),B4116),""))</f>
        <v>Date</v>
      </c>
      <c r="C4116" s="19" t="str">
        <f>IF(ISBLANK(A4116),"Name",IF(ISNA(VLOOKUP(A4116,'Master List'!A:C,2,FALSE)), "Not Found", VLOOKUP(A4116,'Master List'!A:C,2,FALSE)))</f>
        <v>Name</v>
      </c>
      <c r="D4116" s="19" t="str">
        <f>IF(ISBLANK(A4116), "Email",IF(ISNA(VLOOKUP(A4116,'Master List'!A:C,3,FALSE)), "Not Found", VLOOKUP(A4116,'Master List'!A:C,3,FALSE)))</f>
        <v>Email</v>
      </c>
      <c r="F4116" s="4" t="str">
        <f>IF(OR(A4116="",E4116="","",A4116="?",E4116="?"),"duplicate?",IF(COUNTIFS($A:A,A4116,E:E,E4116)&gt;1,"yes","no"))</f>
        <v>duplicate?</v>
      </c>
      <c r="K4116" s="97" t="str">
        <f ca="1">IF(J4116="","Date",IF(J4116&lt;&gt;"",IF(K4116="Date",NOW(),K4116),""))</f>
        <v>Date</v>
      </c>
    </row>
    <row r="4117" spans="2:11">
      <c r="B4117" s="97" t="str">
        <f ca="1">IF(A4117="","Date",IF(A4117&lt;&gt;"",IF(B4117="Date",NOW(),B4117),""))</f>
        <v>Date</v>
      </c>
      <c r="C4117" s="19" t="str">
        <f>IF(ISBLANK(A4117),"Name",IF(ISNA(VLOOKUP(A4117,'Master List'!A:C,2,FALSE)), "Not Found", VLOOKUP(A4117,'Master List'!A:C,2,FALSE)))</f>
        <v>Name</v>
      </c>
      <c r="D4117" s="19" t="str">
        <f>IF(ISBLANK(A4117), "Email",IF(ISNA(VLOOKUP(A4117,'Master List'!A:C,3,FALSE)), "Not Found", VLOOKUP(A4117,'Master List'!A:C,3,FALSE)))</f>
        <v>Email</v>
      </c>
      <c r="F4117" s="4" t="str">
        <f>IF(OR(A4117="",E4117="","",A4117="?",E4117="?"),"duplicate?",IF(COUNTIFS($A:A,A4117,E:E,E4117)&gt;1,"yes","no"))</f>
        <v>duplicate?</v>
      </c>
      <c r="K4117" s="97" t="str">
        <f ca="1">IF(J4117="","Date",IF(J4117&lt;&gt;"",IF(K4117="Date",NOW(),K4117),""))</f>
        <v>Date</v>
      </c>
    </row>
    <row r="4118" spans="2:11">
      <c r="B4118" s="97" t="str">
        <f ca="1">IF(A4118="","Date",IF(A4118&lt;&gt;"",IF(B4118="Date",NOW(),B4118),""))</f>
        <v>Date</v>
      </c>
      <c r="C4118" s="19" t="str">
        <f>IF(ISBLANK(A4118),"Name",IF(ISNA(VLOOKUP(A4118,'Master List'!A:C,2,FALSE)), "Not Found", VLOOKUP(A4118,'Master List'!A:C,2,FALSE)))</f>
        <v>Name</v>
      </c>
      <c r="D4118" s="19" t="str">
        <f>IF(ISBLANK(A4118), "Email",IF(ISNA(VLOOKUP(A4118,'Master List'!A:C,3,FALSE)), "Not Found", VLOOKUP(A4118,'Master List'!A:C,3,FALSE)))</f>
        <v>Email</v>
      </c>
      <c r="F4118" s="4" t="str">
        <f>IF(OR(A4118="",E4118="","",A4118="?",E4118="?"),"duplicate?",IF(COUNTIFS($A:A,A4118,E:E,E4118)&gt;1,"yes","no"))</f>
        <v>duplicate?</v>
      </c>
      <c r="K4118" s="97" t="str">
        <f ca="1">IF(J4118="","Date",IF(J4118&lt;&gt;"",IF(K4118="Date",NOW(),K4118),""))</f>
        <v>Date</v>
      </c>
    </row>
    <row r="4119" spans="2:11">
      <c r="B4119" s="97" t="str">
        <f ca="1">IF(A4119="","Date",IF(A4119&lt;&gt;"",IF(B4119="Date",NOW(),B4119),""))</f>
        <v>Date</v>
      </c>
      <c r="C4119" s="19" t="str">
        <f>IF(ISBLANK(A4119),"Name",IF(ISNA(VLOOKUP(A4119,'Master List'!A:C,2,FALSE)), "Not Found", VLOOKUP(A4119,'Master List'!A:C,2,FALSE)))</f>
        <v>Name</v>
      </c>
      <c r="D4119" s="19" t="str">
        <f>IF(ISBLANK(A4119), "Email",IF(ISNA(VLOOKUP(A4119,'Master List'!A:C,3,FALSE)), "Not Found", VLOOKUP(A4119,'Master List'!A:C,3,FALSE)))</f>
        <v>Email</v>
      </c>
      <c r="F4119" s="4" t="str">
        <f>IF(OR(A4119="",E4119="","",A4119="?",E4119="?"),"duplicate?",IF(COUNTIFS($A:A,A4119,E:E,E4119)&gt;1,"yes","no"))</f>
        <v>duplicate?</v>
      </c>
      <c r="K4119" s="97" t="str">
        <f ca="1">IF(J4119="","Date",IF(J4119&lt;&gt;"",IF(K4119="Date",NOW(),K4119),""))</f>
        <v>Date</v>
      </c>
    </row>
    <row r="4120" spans="2:11">
      <c r="B4120" s="97" t="str">
        <f ca="1">IF(A4120="","Date",IF(A4120&lt;&gt;"",IF(B4120="Date",NOW(),B4120),""))</f>
        <v>Date</v>
      </c>
      <c r="C4120" s="19" t="str">
        <f>IF(ISBLANK(A4120),"Name",IF(ISNA(VLOOKUP(A4120,'Master List'!A:C,2,FALSE)), "Not Found", VLOOKUP(A4120,'Master List'!A:C,2,FALSE)))</f>
        <v>Name</v>
      </c>
      <c r="D4120" s="19" t="str">
        <f>IF(ISBLANK(A4120), "Email",IF(ISNA(VLOOKUP(A4120,'Master List'!A:C,3,FALSE)), "Not Found", VLOOKUP(A4120,'Master List'!A:C,3,FALSE)))</f>
        <v>Email</v>
      </c>
      <c r="F4120" s="4" t="str">
        <f>IF(OR(A4120="",E4120="","",A4120="?",E4120="?"),"duplicate?",IF(COUNTIFS($A:A,A4120,E:E,E4120)&gt;1,"yes","no"))</f>
        <v>duplicate?</v>
      </c>
      <c r="K4120" s="97" t="str">
        <f ca="1">IF(J4120="","Date",IF(J4120&lt;&gt;"",IF(K4120="Date",NOW(),K4120),""))</f>
        <v>Date</v>
      </c>
    </row>
    <row r="4121" spans="2:11">
      <c r="B4121" s="97" t="str">
        <f ca="1">IF(A4121="","Date",IF(A4121&lt;&gt;"",IF(B4121="Date",NOW(),B4121),""))</f>
        <v>Date</v>
      </c>
      <c r="C4121" s="19" t="str">
        <f>IF(ISBLANK(A4121),"Name",IF(ISNA(VLOOKUP(A4121,'Master List'!A:C,2,FALSE)), "Not Found", VLOOKUP(A4121,'Master List'!A:C,2,FALSE)))</f>
        <v>Name</v>
      </c>
      <c r="D4121" s="19" t="str">
        <f>IF(ISBLANK(A4121), "Email",IF(ISNA(VLOOKUP(A4121,'Master List'!A:C,3,FALSE)), "Not Found", VLOOKUP(A4121,'Master List'!A:C,3,FALSE)))</f>
        <v>Email</v>
      </c>
      <c r="F4121" s="4" t="str">
        <f>IF(OR(A4121="",E4121="","",A4121="?",E4121="?"),"duplicate?",IF(COUNTIFS($A:A,A4121,E:E,E4121)&gt;1,"yes","no"))</f>
        <v>duplicate?</v>
      </c>
      <c r="K4121" s="97" t="str">
        <f ca="1">IF(J4121="","Date",IF(J4121&lt;&gt;"",IF(K4121="Date",NOW(),K4121),""))</f>
        <v>Date</v>
      </c>
    </row>
    <row r="4122" spans="2:11">
      <c r="B4122" s="97" t="str">
        <f ca="1">IF(A4122="","Date",IF(A4122&lt;&gt;"",IF(B4122="Date",NOW(),B4122),""))</f>
        <v>Date</v>
      </c>
      <c r="C4122" s="19" t="str">
        <f>IF(ISBLANK(A4122),"Name",IF(ISNA(VLOOKUP(A4122,'Master List'!A:C,2,FALSE)), "Not Found", VLOOKUP(A4122,'Master List'!A:C,2,FALSE)))</f>
        <v>Name</v>
      </c>
      <c r="D4122" s="19" t="str">
        <f>IF(ISBLANK(A4122), "Email",IF(ISNA(VLOOKUP(A4122,'Master List'!A:C,3,FALSE)), "Not Found", VLOOKUP(A4122,'Master List'!A:C,3,FALSE)))</f>
        <v>Email</v>
      </c>
      <c r="F4122" s="4" t="str">
        <f>IF(OR(A4122="",E4122="","",A4122="?",E4122="?"),"duplicate?",IF(COUNTIFS($A:A,A4122,E:E,E4122)&gt;1,"yes","no"))</f>
        <v>duplicate?</v>
      </c>
      <c r="K4122" s="97" t="str">
        <f ca="1">IF(J4122="","Date",IF(J4122&lt;&gt;"",IF(K4122="Date",NOW(),K4122),""))</f>
        <v>Date</v>
      </c>
    </row>
    <row r="4123" spans="2:11">
      <c r="B4123" s="97" t="str">
        <f ca="1">IF(A4123="","Date",IF(A4123&lt;&gt;"",IF(B4123="Date",NOW(),B4123),""))</f>
        <v>Date</v>
      </c>
      <c r="C4123" s="19" t="str">
        <f>IF(ISBLANK(A4123),"Name",IF(ISNA(VLOOKUP(A4123,'Master List'!A:C,2,FALSE)), "Not Found", VLOOKUP(A4123,'Master List'!A:C,2,FALSE)))</f>
        <v>Name</v>
      </c>
      <c r="D4123" s="19" t="str">
        <f>IF(ISBLANK(A4123), "Email",IF(ISNA(VLOOKUP(A4123,'Master List'!A:C,3,FALSE)), "Not Found", VLOOKUP(A4123,'Master List'!A:C,3,FALSE)))</f>
        <v>Email</v>
      </c>
      <c r="F4123" s="4" t="str">
        <f>IF(OR(A4123="",E4123="","",A4123="?",E4123="?"),"duplicate?",IF(COUNTIFS($A:A,A4123,E:E,E4123)&gt;1,"yes","no"))</f>
        <v>duplicate?</v>
      </c>
      <c r="K4123" s="97" t="str">
        <f ca="1">IF(J4123="","Date",IF(J4123&lt;&gt;"",IF(K4123="Date",NOW(),K4123),""))</f>
        <v>Date</v>
      </c>
    </row>
    <row r="4124" spans="2:11">
      <c r="B4124" s="97" t="str">
        <f ca="1">IF(A4124="","Date",IF(A4124&lt;&gt;"",IF(B4124="Date",NOW(),B4124),""))</f>
        <v>Date</v>
      </c>
      <c r="C4124" s="19" t="str">
        <f>IF(ISBLANK(A4124),"Name",IF(ISNA(VLOOKUP(A4124,'Master List'!A:C,2,FALSE)), "Not Found", VLOOKUP(A4124,'Master List'!A:C,2,FALSE)))</f>
        <v>Name</v>
      </c>
      <c r="D4124" s="19" t="str">
        <f>IF(ISBLANK(A4124), "Email",IF(ISNA(VLOOKUP(A4124,'Master List'!A:C,3,FALSE)), "Not Found", VLOOKUP(A4124,'Master List'!A:C,3,FALSE)))</f>
        <v>Email</v>
      </c>
      <c r="F4124" s="4" t="str">
        <f>IF(OR(A4124="",E4124="","",A4124="?",E4124="?"),"duplicate?",IF(COUNTIFS($A:A,A4124,E:E,E4124)&gt;1,"yes","no"))</f>
        <v>duplicate?</v>
      </c>
      <c r="K4124" s="97" t="str">
        <f ca="1">IF(J4124="","Date",IF(J4124&lt;&gt;"",IF(K4124="Date",NOW(),K4124),""))</f>
        <v>Date</v>
      </c>
    </row>
    <row r="4125" spans="2:11">
      <c r="B4125" s="97" t="str">
        <f ca="1">IF(A4125="","Date",IF(A4125&lt;&gt;"",IF(B4125="Date",NOW(),B4125),""))</f>
        <v>Date</v>
      </c>
      <c r="C4125" s="19" t="str">
        <f>IF(ISBLANK(A4125),"Name",IF(ISNA(VLOOKUP(A4125,'Master List'!A:C,2,FALSE)), "Not Found", VLOOKUP(A4125,'Master List'!A:C,2,FALSE)))</f>
        <v>Name</v>
      </c>
      <c r="D4125" s="19" t="str">
        <f>IF(ISBLANK(A4125), "Email",IF(ISNA(VLOOKUP(A4125,'Master List'!A:C,3,FALSE)), "Not Found", VLOOKUP(A4125,'Master List'!A:C,3,FALSE)))</f>
        <v>Email</v>
      </c>
      <c r="F4125" s="4" t="str">
        <f>IF(OR(A4125="",E4125="","",A4125="?",E4125="?"),"duplicate?",IF(COUNTIFS($A:A,A4125,E:E,E4125)&gt;1,"yes","no"))</f>
        <v>duplicate?</v>
      </c>
      <c r="K4125" s="97" t="str">
        <f ca="1">IF(J4125="","Date",IF(J4125&lt;&gt;"",IF(K4125="Date",NOW(),K4125),""))</f>
        <v>Date</v>
      </c>
    </row>
    <row r="4126" spans="2:11">
      <c r="B4126" s="97" t="str">
        <f ca="1">IF(A4126="","Date",IF(A4126&lt;&gt;"",IF(B4126="Date",NOW(),B4126),""))</f>
        <v>Date</v>
      </c>
      <c r="C4126" s="19" t="str">
        <f>IF(ISBLANK(A4126),"Name",IF(ISNA(VLOOKUP(A4126,'Master List'!A:C,2,FALSE)), "Not Found", VLOOKUP(A4126,'Master List'!A:C,2,FALSE)))</f>
        <v>Name</v>
      </c>
      <c r="D4126" s="19" t="str">
        <f>IF(ISBLANK(A4126), "Email",IF(ISNA(VLOOKUP(A4126,'Master List'!A:C,3,FALSE)), "Not Found", VLOOKUP(A4126,'Master List'!A:C,3,FALSE)))</f>
        <v>Email</v>
      </c>
      <c r="F4126" s="4" t="str">
        <f>IF(OR(A4126="",E4126="","",A4126="?",E4126="?"),"duplicate?",IF(COUNTIFS($A:A,A4126,E:E,E4126)&gt;1,"yes","no"))</f>
        <v>duplicate?</v>
      </c>
      <c r="K4126" s="97" t="str">
        <f ca="1">IF(J4126="","Date",IF(J4126&lt;&gt;"",IF(K4126="Date",NOW(),K4126),""))</f>
        <v>Date</v>
      </c>
    </row>
    <row r="4127" spans="2:11">
      <c r="B4127" s="97" t="str">
        <f ca="1">IF(A4127="","Date",IF(A4127&lt;&gt;"",IF(B4127="Date",NOW(),B4127),""))</f>
        <v>Date</v>
      </c>
      <c r="C4127" s="19" t="str">
        <f>IF(ISBLANK(A4127),"Name",IF(ISNA(VLOOKUP(A4127,'Master List'!A:C,2,FALSE)), "Not Found", VLOOKUP(A4127,'Master List'!A:C,2,FALSE)))</f>
        <v>Name</v>
      </c>
      <c r="D4127" s="19" t="str">
        <f>IF(ISBLANK(A4127), "Email",IF(ISNA(VLOOKUP(A4127,'Master List'!A:C,3,FALSE)), "Not Found", VLOOKUP(A4127,'Master List'!A:C,3,FALSE)))</f>
        <v>Email</v>
      </c>
      <c r="F4127" s="4" t="str">
        <f>IF(OR(A4127="",E4127="","",A4127="?",E4127="?"),"duplicate?",IF(COUNTIFS($A:A,A4127,E:E,E4127)&gt;1,"yes","no"))</f>
        <v>duplicate?</v>
      </c>
      <c r="K4127" s="97" t="str">
        <f ca="1">IF(J4127="","Date",IF(J4127&lt;&gt;"",IF(K4127="Date",NOW(),K4127),""))</f>
        <v>Date</v>
      </c>
    </row>
    <row r="4128" spans="2:11">
      <c r="B4128" s="97" t="str">
        <f ca="1">IF(A4128="","Date",IF(A4128&lt;&gt;"",IF(B4128="Date",NOW(),B4128),""))</f>
        <v>Date</v>
      </c>
      <c r="C4128" s="19" t="str">
        <f>IF(ISBLANK(A4128),"Name",IF(ISNA(VLOOKUP(A4128,'Master List'!A:C,2,FALSE)), "Not Found", VLOOKUP(A4128,'Master List'!A:C,2,FALSE)))</f>
        <v>Name</v>
      </c>
      <c r="D4128" s="19" t="str">
        <f>IF(ISBLANK(A4128), "Email",IF(ISNA(VLOOKUP(A4128,'Master List'!A:C,3,FALSE)), "Not Found", VLOOKUP(A4128,'Master List'!A:C,3,FALSE)))</f>
        <v>Email</v>
      </c>
      <c r="F4128" s="4" t="str">
        <f>IF(OR(A4128="",E4128="","",A4128="?",E4128="?"),"duplicate?",IF(COUNTIFS($A:A,A4128,E:E,E4128)&gt;1,"yes","no"))</f>
        <v>duplicate?</v>
      </c>
      <c r="K4128" s="97" t="str">
        <f ca="1">IF(J4128="","Date",IF(J4128&lt;&gt;"",IF(K4128="Date",NOW(),K4128),""))</f>
        <v>Date</v>
      </c>
    </row>
    <row r="4129" spans="2:11">
      <c r="B4129" s="97" t="str">
        <f ca="1">IF(A4129="","Date",IF(A4129&lt;&gt;"",IF(B4129="Date",NOW(),B4129),""))</f>
        <v>Date</v>
      </c>
      <c r="C4129" s="19" t="str">
        <f>IF(ISBLANK(A4129),"Name",IF(ISNA(VLOOKUP(A4129,'Master List'!A:C,2,FALSE)), "Not Found", VLOOKUP(A4129,'Master List'!A:C,2,FALSE)))</f>
        <v>Name</v>
      </c>
      <c r="D4129" s="19" t="str">
        <f>IF(ISBLANK(A4129), "Email",IF(ISNA(VLOOKUP(A4129,'Master List'!A:C,3,FALSE)), "Not Found", VLOOKUP(A4129,'Master List'!A:C,3,FALSE)))</f>
        <v>Email</v>
      </c>
      <c r="F4129" s="4" t="str">
        <f>IF(OR(A4129="",E4129="","",A4129="?",E4129="?"),"duplicate?",IF(COUNTIFS($A:A,A4129,E:E,E4129)&gt;1,"yes","no"))</f>
        <v>duplicate?</v>
      </c>
      <c r="K4129" s="97" t="str">
        <f ca="1">IF(J4129="","Date",IF(J4129&lt;&gt;"",IF(K4129="Date",NOW(),K4129),""))</f>
        <v>Date</v>
      </c>
    </row>
    <row r="4130" spans="2:11">
      <c r="B4130" s="97" t="str">
        <f ca="1">IF(A4130="","Date",IF(A4130&lt;&gt;"",IF(B4130="Date",NOW(),B4130),""))</f>
        <v>Date</v>
      </c>
      <c r="C4130" s="19" t="str">
        <f>IF(ISBLANK(A4130),"Name",IF(ISNA(VLOOKUP(A4130,'Master List'!A:C,2,FALSE)), "Not Found", VLOOKUP(A4130,'Master List'!A:C,2,FALSE)))</f>
        <v>Name</v>
      </c>
      <c r="D4130" s="19" t="str">
        <f>IF(ISBLANK(A4130), "Email",IF(ISNA(VLOOKUP(A4130,'Master List'!A:C,3,FALSE)), "Not Found", VLOOKUP(A4130,'Master List'!A:C,3,FALSE)))</f>
        <v>Email</v>
      </c>
      <c r="F4130" s="4" t="str">
        <f>IF(OR(A4130="",E4130="","",A4130="?",E4130="?"),"duplicate?",IF(COUNTIFS($A:A,A4130,E:E,E4130)&gt;1,"yes","no"))</f>
        <v>duplicate?</v>
      </c>
      <c r="K4130" s="97" t="str">
        <f ca="1">IF(J4130="","Date",IF(J4130&lt;&gt;"",IF(K4130="Date",NOW(),K4130),""))</f>
        <v>Date</v>
      </c>
    </row>
    <row r="4131" spans="2:11">
      <c r="B4131" s="97" t="str">
        <f ca="1">IF(A4131="","Date",IF(A4131&lt;&gt;"",IF(B4131="Date",NOW(),B4131),""))</f>
        <v>Date</v>
      </c>
      <c r="C4131" s="19" t="str">
        <f>IF(ISBLANK(A4131),"Name",IF(ISNA(VLOOKUP(A4131,'Master List'!A:C,2,FALSE)), "Not Found", VLOOKUP(A4131,'Master List'!A:C,2,FALSE)))</f>
        <v>Name</v>
      </c>
      <c r="D4131" s="19" t="str">
        <f>IF(ISBLANK(A4131), "Email",IF(ISNA(VLOOKUP(A4131,'Master List'!A:C,3,FALSE)), "Not Found", VLOOKUP(A4131,'Master List'!A:C,3,FALSE)))</f>
        <v>Email</v>
      </c>
      <c r="F4131" s="4" t="str">
        <f>IF(OR(A4131="",E4131="","",A4131="?",E4131="?"),"duplicate?",IF(COUNTIFS($A:A,A4131,E:E,E4131)&gt;1,"yes","no"))</f>
        <v>duplicate?</v>
      </c>
      <c r="K4131" s="97" t="str">
        <f ca="1">IF(J4131="","Date",IF(J4131&lt;&gt;"",IF(K4131="Date",NOW(),K4131),""))</f>
        <v>Date</v>
      </c>
    </row>
    <row r="4132" spans="2:11">
      <c r="B4132" s="97" t="str">
        <f ca="1">IF(A4132="","Date",IF(A4132&lt;&gt;"",IF(B4132="Date",NOW(),B4132),""))</f>
        <v>Date</v>
      </c>
      <c r="C4132" s="19" t="str">
        <f>IF(ISBLANK(A4132),"Name",IF(ISNA(VLOOKUP(A4132,'Master List'!A:C,2,FALSE)), "Not Found", VLOOKUP(A4132,'Master List'!A:C,2,FALSE)))</f>
        <v>Name</v>
      </c>
      <c r="D4132" s="19" t="str">
        <f>IF(ISBLANK(A4132), "Email",IF(ISNA(VLOOKUP(A4132,'Master List'!A:C,3,FALSE)), "Not Found", VLOOKUP(A4132,'Master List'!A:C,3,FALSE)))</f>
        <v>Email</v>
      </c>
      <c r="F4132" s="4" t="str">
        <f>IF(OR(A4132="",E4132="","",A4132="?",E4132="?"),"duplicate?",IF(COUNTIFS($A:A,A4132,E:E,E4132)&gt;1,"yes","no"))</f>
        <v>duplicate?</v>
      </c>
      <c r="K4132" s="97" t="str">
        <f ca="1">IF(J4132="","Date",IF(J4132&lt;&gt;"",IF(K4132="Date",NOW(),K4132),""))</f>
        <v>Date</v>
      </c>
    </row>
    <row r="4133" spans="2:11">
      <c r="B4133" s="97" t="str">
        <f ca="1">IF(A4133="","Date",IF(A4133&lt;&gt;"",IF(B4133="Date",NOW(),B4133),""))</f>
        <v>Date</v>
      </c>
      <c r="C4133" s="19" t="str">
        <f>IF(ISBLANK(A4133),"Name",IF(ISNA(VLOOKUP(A4133,'Master List'!A:C,2,FALSE)), "Not Found", VLOOKUP(A4133,'Master List'!A:C,2,FALSE)))</f>
        <v>Name</v>
      </c>
      <c r="D4133" s="19" t="str">
        <f>IF(ISBLANK(A4133), "Email",IF(ISNA(VLOOKUP(A4133,'Master List'!A:C,3,FALSE)), "Not Found", VLOOKUP(A4133,'Master List'!A:C,3,FALSE)))</f>
        <v>Email</v>
      </c>
      <c r="F4133" s="4" t="str">
        <f>IF(OR(A4133="",E4133="","",A4133="?",E4133="?"),"duplicate?",IF(COUNTIFS($A:A,A4133,E:E,E4133)&gt;1,"yes","no"))</f>
        <v>duplicate?</v>
      </c>
      <c r="K4133" s="97" t="str">
        <f ca="1">IF(J4133="","Date",IF(J4133&lt;&gt;"",IF(K4133="Date",NOW(),K4133),""))</f>
        <v>Date</v>
      </c>
    </row>
    <row r="4134" spans="2:11">
      <c r="B4134" s="97" t="str">
        <f ca="1">IF(A4134="","Date",IF(A4134&lt;&gt;"",IF(B4134="Date",NOW(),B4134),""))</f>
        <v>Date</v>
      </c>
      <c r="C4134" s="19" t="str">
        <f>IF(ISBLANK(A4134),"Name",IF(ISNA(VLOOKUP(A4134,'Master List'!A:C,2,FALSE)), "Not Found", VLOOKUP(A4134,'Master List'!A:C,2,FALSE)))</f>
        <v>Name</v>
      </c>
      <c r="D4134" s="19" t="str">
        <f>IF(ISBLANK(A4134), "Email",IF(ISNA(VLOOKUP(A4134,'Master List'!A:C,3,FALSE)), "Not Found", VLOOKUP(A4134,'Master List'!A:C,3,FALSE)))</f>
        <v>Email</v>
      </c>
      <c r="F4134" s="4" t="str">
        <f>IF(OR(A4134="",E4134="","",A4134="?",E4134="?"),"duplicate?",IF(COUNTIFS($A:A,A4134,E:E,E4134)&gt;1,"yes","no"))</f>
        <v>duplicate?</v>
      </c>
      <c r="K4134" s="97" t="str">
        <f ca="1">IF(J4134="","Date",IF(J4134&lt;&gt;"",IF(K4134="Date",NOW(),K4134),""))</f>
        <v>Date</v>
      </c>
    </row>
    <row r="4135" spans="2:11">
      <c r="B4135" s="97" t="str">
        <f ca="1">IF(A4135="","Date",IF(A4135&lt;&gt;"",IF(B4135="Date",NOW(),B4135),""))</f>
        <v>Date</v>
      </c>
      <c r="C4135" s="19" t="str">
        <f>IF(ISBLANK(A4135),"Name",IF(ISNA(VLOOKUP(A4135,'Master List'!A:C,2,FALSE)), "Not Found", VLOOKUP(A4135,'Master List'!A:C,2,FALSE)))</f>
        <v>Name</v>
      </c>
      <c r="D4135" s="19" t="str">
        <f>IF(ISBLANK(A4135), "Email",IF(ISNA(VLOOKUP(A4135,'Master List'!A:C,3,FALSE)), "Not Found", VLOOKUP(A4135,'Master List'!A:C,3,FALSE)))</f>
        <v>Email</v>
      </c>
      <c r="F4135" s="4" t="str">
        <f>IF(OR(A4135="",E4135="","",A4135="?",E4135="?"),"duplicate?",IF(COUNTIFS($A:A,A4135,E:E,E4135)&gt;1,"yes","no"))</f>
        <v>duplicate?</v>
      </c>
      <c r="K4135" s="97" t="str">
        <f ca="1">IF(J4135="","Date",IF(J4135&lt;&gt;"",IF(K4135="Date",NOW(),K4135),""))</f>
        <v>Date</v>
      </c>
    </row>
    <row r="4136" spans="2:11">
      <c r="B4136" s="97" t="str">
        <f ca="1">IF(A4136="","Date",IF(A4136&lt;&gt;"",IF(B4136="Date",NOW(),B4136),""))</f>
        <v>Date</v>
      </c>
      <c r="C4136" s="19" t="str">
        <f>IF(ISBLANK(A4136),"Name",IF(ISNA(VLOOKUP(A4136,'Master List'!A:C,2,FALSE)), "Not Found", VLOOKUP(A4136,'Master List'!A:C,2,FALSE)))</f>
        <v>Name</v>
      </c>
      <c r="D4136" s="19" t="str">
        <f>IF(ISBLANK(A4136), "Email",IF(ISNA(VLOOKUP(A4136,'Master List'!A:C,3,FALSE)), "Not Found", VLOOKUP(A4136,'Master List'!A:C,3,FALSE)))</f>
        <v>Email</v>
      </c>
      <c r="F4136" s="4" t="str">
        <f>IF(OR(A4136="",E4136="","",A4136="?",E4136="?"),"duplicate?",IF(COUNTIFS($A:A,A4136,E:E,E4136)&gt;1,"yes","no"))</f>
        <v>duplicate?</v>
      </c>
      <c r="K4136" s="97" t="str">
        <f ca="1">IF(J4136="","Date",IF(J4136&lt;&gt;"",IF(K4136="Date",NOW(),K4136),""))</f>
        <v>Date</v>
      </c>
    </row>
    <row r="4137" spans="2:11">
      <c r="B4137" s="97" t="str">
        <f ca="1">IF(A4137="","Date",IF(A4137&lt;&gt;"",IF(B4137="Date",NOW(),B4137),""))</f>
        <v>Date</v>
      </c>
      <c r="C4137" s="19" t="str">
        <f>IF(ISBLANK(A4137),"Name",IF(ISNA(VLOOKUP(A4137,'Master List'!A:C,2,FALSE)), "Not Found", VLOOKUP(A4137,'Master List'!A:C,2,FALSE)))</f>
        <v>Name</v>
      </c>
      <c r="D4137" s="19" t="str">
        <f>IF(ISBLANK(A4137), "Email",IF(ISNA(VLOOKUP(A4137,'Master List'!A:C,3,FALSE)), "Not Found", VLOOKUP(A4137,'Master List'!A:C,3,FALSE)))</f>
        <v>Email</v>
      </c>
      <c r="F4137" s="4" t="str">
        <f>IF(OR(A4137="",E4137="","",A4137="?",E4137="?"),"duplicate?",IF(COUNTIFS($A:A,A4137,E:E,E4137)&gt;1,"yes","no"))</f>
        <v>duplicate?</v>
      </c>
      <c r="K4137" s="97" t="str">
        <f ca="1">IF(J4137="","Date",IF(J4137&lt;&gt;"",IF(K4137="Date",NOW(),K4137),""))</f>
        <v>Date</v>
      </c>
    </row>
    <row r="4138" spans="2:11">
      <c r="B4138" s="97" t="str">
        <f ca="1">IF(A4138="","Date",IF(A4138&lt;&gt;"",IF(B4138="Date",NOW(),B4138),""))</f>
        <v>Date</v>
      </c>
      <c r="C4138" s="19" t="str">
        <f>IF(ISBLANK(A4138),"Name",IF(ISNA(VLOOKUP(A4138,'Master List'!A:C,2,FALSE)), "Not Found", VLOOKUP(A4138,'Master List'!A:C,2,FALSE)))</f>
        <v>Name</v>
      </c>
      <c r="D4138" s="19" t="str">
        <f>IF(ISBLANK(A4138), "Email",IF(ISNA(VLOOKUP(A4138,'Master List'!A:C,3,FALSE)), "Not Found", VLOOKUP(A4138,'Master List'!A:C,3,FALSE)))</f>
        <v>Email</v>
      </c>
      <c r="F4138" s="4" t="str">
        <f>IF(OR(A4138="",E4138="","",A4138="?",E4138="?"),"duplicate?",IF(COUNTIFS($A:A,A4138,E:E,E4138)&gt;1,"yes","no"))</f>
        <v>duplicate?</v>
      </c>
      <c r="K4138" s="97" t="str">
        <f ca="1">IF(J4138="","Date",IF(J4138&lt;&gt;"",IF(K4138="Date",NOW(),K4138),""))</f>
        <v>Date</v>
      </c>
    </row>
    <row r="4139" spans="2:11">
      <c r="B4139" s="97" t="str">
        <f ca="1">IF(A4139="","Date",IF(A4139&lt;&gt;"",IF(B4139="Date",NOW(),B4139),""))</f>
        <v>Date</v>
      </c>
      <c r="C4139" s="19" t="str">
        <f>IF(ISBLANK(A4139),"Name",IF(ISNA(VLOOKUP(A4139,'Master List'!A:C,2,FALSE)), "Not Found", VLOOKUP(A4139,'Master List'!A:C,2,FALSE)))</f>
        <v>Name</v>
      </c>
      <c r="D4139" s="19" t="str">
        <f>IF(ISBLANK(A4139), "Email",IF(ISNA(VLOOKUP(A4139,'Master List'!A:C,3,FALSE)), "Not Found", VLOOKUP(A4139,'Master List'!A:C,3,FALSE)))</f>
        <v>Email</v>
      </c>
      <c r="F4139" s="4" t="str">
        <f>IF(OR(A4139="",E4139="","",A4139="?",E4139="?"),"duplicate?",IF(COUNTIFS($A:A,A4139,E:E,E4139)&gt;1,"yes","no"))</f>
        <v>duplicate?</v>
      </c>
      <c r="K4139" s="97" t="str">
        <f ca="1">IF(J4139="","Date",IF(J4139&lt;&gt;"",IF(K4139="Date",NOW(),K4139),""))</f>
        <v>Date</v>
      </c>
    </row>
    <row r="4140" spans="2:11">
      <c r="B4140" s="97" t="str">
        <f ca="1">IF(A4140="","Date",IF(A4140&lt;&gt;"",IF(B4140="Date",NOW(),B4140),""))</f>
        <v>Date</v>
      </c>
      <c r="C4140" s="19" t="str">
        <f>IF(ISBLANK(A4140),"Name",IF(ISNA(VLOOKUP(A4140,'Master List'!A:C,2,FALSE)), "Not Found", VLOOKUP(A4140,'Master List'!A:C,2,FALSE)))</f>
        <v>Name</v>
      </c>
      <c r="D4140" s="19" t="str">
        <f>IF(ISBLANK(A4140), "Email",IF(ISNA(VLOOKUP(A4140,'Master List'!A:C,3,FALSE)), "Not Found", VLOOKUP(A4140,'Master List'!A:C,3,FALSE)))</f>
        <v>Email</v>
      </c>
      <c r="F4140" s="4" t="str">
        <f>IF(OR(A4140="",E4140="","",A4140="?",E4140="?"),"duplicate?",IF(COUNTIFS($A:A,A4140,E:E,E4140)&gt;1,"yes","no"))</f>
        <v>duplicate?</v>
      </c>
      <c r="K4140" s="97" t="str">
        <f ca="1">IF(J4140="","Date",IF(J4140&lt;&gt;"",IF(K4140="Date",NOW(),K4140),""))</f>
        <v>Date</v>
      </c>
    </row>
    <row r="4141" spans="2:11">
      <c r="B4141" s="97" t="str">
        <f ca="1">IF(A4141="","Date",IF(A4141&lt;&gt;"",IF(B4141="Date",NOW(),B4141),""))</f>
        <v>Date</v>
      </c>
      <c r="C4141" s="19" t="str">
        <f>IF(ISBLANK(A4141),"Name",IF(ISNA(VLOOKUP(A4141,'Master List'!A:C,2,FALSE)), "Not Found", VLOOKUP(A4141,'Master List'!A:C,2,FALSE)))</f>
        <v>Name</v>
      </c>
      <c r="D4141" s="19" t="str">
        <f>IF(ISBLANK(A4141), "Email",IF(ISNA(VLOOKUP(A4141,'Master List'!A:C,3,FALSE)), "Not Found", VLOOKUP(A4141,'Master List'!A:C,3,FALSE)))</f>
        <v>Email</v>
      </c>
      <c r="F4141" s="4" t="str">
        <f>IF(OR(A4141="",E4141="","",A4141="?",E4141="?"),"duplicate?",IF(COUNTIFS($A:A,A4141,E:E,E4141)&gt;1,"yes","no"))</f>
        <v>duplicate?</v>
      </c>
      <c r="K4141" s="97" t="str">
        <f ca="1">IF(J4141="","Date",IF(J4141&lt;&gt;"",IF(K4141="Date",NOW(),K4141),""))</f>
        <v>Date</v>
      </c>
    </row>
    <row r="4142" spans="2:11">
      <c r="B4142" s="97" t="str">
        <f ca="1">IF(A4142="","Date",IF(A4142&lt;&gt;"",IF(B4142="Date",NOW(),B4142),""))</f>
        <v>Date</v>
      </c>
      <c r="C4142" s="19" t="str">
        <f>IF(ISBLANK(A4142),"Name",IF(ISNA(VLOOKUP(A4142,'Master List'!A:C,2,FALSE)), "Not Found", VLOOKUP(A4142,'Master List'!A:C,2,FALSE)))</f>
        <v>Name</v>
      </c>
      <c r="D4142" s="19" t="str">
        <f>IF(ISBLANK(A4142), "Email",IF(ISNA(VLOOKUP(A4142,'Master List'!A:C,3,FALSE)), "Not Found", VLOOKUP(A4142,'Master List'!A:C,3,FALSE)))</f>
        <v>Email</v>
      </c>
      <c r="F4142" s="4" t="str">
        <f>IF(OR(A4142="",E4142="","",A4142="?",E4142="?"),"duplicate?",IF(COUNTIFS($A:A,A4142,E:E,E4142)&gt;1,"yes","no"))</f>
        <v>duplicate?</v>
      </c>
      <c r="K4142" s="97" t="str">
        <f ca="1">IF(J4142="","Date",IF(J4142&lt;&gt;"",IF(K4142="Date",NOW(),K4142),""))</f>
        <v>Date</v>
      </c>
    </row>
    <row r="4143" spans="2:11">
      <c r="B4143" s="97" t="str">
        <f ca="1">IF(A4143="","Date",IF(A4143&lt;&gt;"",IF(B4143="Date",NOW(),B4143),""))</f>
        <v>Date</v>
      </c>
      <c r="C4143" s="19" t="str">
        <f>IF(ISBLANK(A4143),"Name",IF(ISNA(VLOOKUP(A4143,'Master List'!A:C,2,FALSE)), "Not Found", VLOOKUP(A4143,'Master List'!A:C,2,FALSE)))</f>
        <v>Name</v>
      </c>
      <c r="D4143" s="19" t="str">
        <f>IF(ISBLANK(A4143), "Email",IF(ISNA(VLOOKUP(A4143,'Master List'!A:C,3,FALSE)), "Not Found", VLOOKUP(A4143,'Master List'!A:C,3,FALSE)))</f>
        <v>Email</v>
      </c>
      <c r="F4143" s="4" t="str">
        <f>IF(OR(A4143="",E4143="","",A4143="?",E4143="?"),"duplicate?",IF(COUNTIFS($A:A,A4143,E:E,E4143)&gt;1,"yes","no"))</f>
        <v>duplicate?</v>
      </c>
      <c r="K4143" s="97" t="str">
        <f ca="1">IF(J4143="","Date",IF(J4143&lt;&gt;"",IF(K4143="Date",NOW(),K4143),""))</f>
        <v>Date</v>
      </c>
    </row>
    <row r="4144" spans="2:11">
      <c r="B4144" s="97" t="str">
        <f ca="1">IF(A4144="","Date",IF(A4144&lt;&gt;"",IF(B4144="Date",NOW(),B4144),""))</f>
        <v>Date</v>
      </c>
      <c r="C4144" s="19" t="str">
        <f>IF(ISBLANK(A4144),"Name",IF(ISNA(VLOOKUP(A4144,'Master List'!A:C,2,FALSE)), "Not Found", VLOOKUP(A4144,'Master List'!A:C,2,FALSE)))</f>
        <v>Name</v>
      </c>
      <c r="D4144" s="19" t="str">
        <f>IF(ISBLANK(A4144), "Email",IF(ISNA(VLOOKUP(A4144,'Master List'!A:C,3,FALSE)), "Not Found", VLOOKUP(A4144,'Master List'!A:C,3,FALSE)))</f>
        <v>Email</v>
      </c>
      <c r="F4144" s="4" t="str">
        <f>IF(OR(A4144="",E4144="","",A4144="?",E4144="?"),"duplicate?",IF(COUNTIFS($A:A,A4144,E:E,E4144)&gt;1,"yes","no"))</f>
        <v>duplicate?</v>
      </c>
      <c r="K4144" s="97" t="str">
        <f ca="1">IF(J4144="","Date",IF(J4144&lt;&gt;"",IF(K4144="Date",NOW(),K4144),""))</f>
        <v>Date</v>
      </c>
    </row>
    <row r="4145" spans="2:11">
      <c r="B4145" s="97" t="str">
        <f ca="1">IF(A4145="","Date",IF(A4145&lt;&gt;"",IF(B4145="Date",NOW(),B4145),""))</f>
        <v>Date</v>
      </c>
      <c r="C4145" s="19" t="str">
        <f>IF(ISBLANK(A4145),"Name",IF(ISNA(VLOOKUP(A4145,'Master List'!A:C,2,FALSE)), "Not Found", VLOOKUP(A4145,'Master List'!A:C,2,FALSE)))</f>
        <v>Name</v>
      </c>
      <c r="D4145" s="19" t="str">
        <f>IF(ISBLANK(A4145), "Email",IF(ISNA(VLOOKUP(A4145,'Master List'!A:C,3,FALSE)), "Not Found", VLOOKUP(A4145,'Master List'!A:C,3,FALSE)))</f>
        <v>Email</v>
      </c>
      <c r="F4145" s="4" t="str">
        <f>IF(OR(A4145="",E4145="","",A4145="?",E4145="?"),"duplicate?",IF(COUNTIFS($A:A,A4145,E:E,E4145)&gt;1,"yes","no"))</f>
        <v>duplicate?</v>
      </c>
      <c r="K4145" s="97" t="str">
        <f ca="1">IF(J4145="","Date",IF(J4145&lt;&gt;"",IF(K4145="Date",NOW(),K4145),""))</f>
        <v>Date</v>
      </c>
    </row>
    <row r="4146" spans="2:11">
      <c r="B4146" s="97" t="str">
        <f ca="1">IF(A4146="","Date",IF(A4146&lt;&gt;"",IF(B4146="Date",NOW(),B4146),""))</f>
        <v>Date</v>
      </c>
      <c r="C4146" s="19" t="str">
        <f>IF(ISBLANK(A4146),"Name",IF(ISNA(VLOOKUP(A4146,'Master List'!A:C,2,FALSE)), "Not Found", VLOOKUP(A4146,'Master List'!A:C,2,FALSE)))</f>
        <v>Name</v>
      </c>
      <c r="D4146" s="19" t="str">
        <f>IF(ISBLANK(A4146), "Email",IF(ISNA(VLOOKUP(A4146,'Master List'!A:C,3,FALSE)), "Not Found", VLOOKUP(A4146,'Master List'!A:C,3,FALSE)))</f>
        <v>Email</v>
      </c>
      <c r="F4146" s="4" t="str">
        <f>IF(OR(A4146="",E4146="","",A4146="?",E4146="?"),"duplicate?",IF(COUNTIFS($A:A,A4146,E:E,E4146)&gt;1,"yes","no"))</f>
        <v>duplicate?</v>
      </c>
      <c r="K4146" s="97" t="str">
        <f ca="1">IF(J4146="","Date",IF(J4146&lt;&gt;"",IF(K4146="Date",NOW(),K4146),""))</f>
        <v>Date</v>
      </c>
    </row>
    <row r="4147" spans="2:11">
      <c r="B4147" s="97" t="str">
        <f ca="1">IF(A4147="","Date",IF(A4147&lt;&gt;"",IF(B4147="Date",NOW(),B4147),""))</f>
        <v>Date</v>
      </c>
      <c r="C4147" s="19" t="str">
        <f>IF(ISBLANK(A4147),"Name",IF(ISNA(VLOOKUP(A4147,'Master List'!A:C,2,FALSE)), "Not Found", VLOOKUP(A4147,'Master List'!A:C,2,FALSE)))</f>
        <v>Name</v>
      </c>
      <c r="D4147" s="19" t="str">
        <f>IF(ISBLANK(A4147), "Email",IF(ISNA(VLOOKUP(A4147,'Master List'!A:C,3,FALSE)), "Not Found", VLOOKUP(A4147,'Master List'!A:C,3,FALSE)))</f>
        <v>Email</v>
      </c>
      <c r="F4147" s="4" t="str">
        <f>IF(OR(A4147="",E4147="","",A4147="?",E4147="?"),"duplicate?",IF(COUNTIFS($A:A,A4147,E:E,E4147)&gt;1,"yes","no"))</f>
        <v>duplicate?</v>
      </c>
      <c r="K4147" s="97" t="str">
        <f ca="1">IF(J4147="","Date",IF(J4147&lt;&gt;"",IF(K4147="Date",NOW(),K4147),""))</f>
        <v>Date</v>
      </c>
    </row>
    <row r="4148" spans="2:11">
      <c r="B4148" s="97" t="str">
        <f ca="1">IF(A4148="","Date",IF(A4148&lt;&gt;"",IF(B4148="Date",NOW(),B4148),""))</f>
        <v>Date</v>
      </c>
      <c r="C4148" s="19" t="str">
        <f>IF(ISBLANK(A4148),"Name",IF(ISNA(VLOOKUP(A4148,'Master List'!A:C,2,FALSE)), "Not Found", VLOOKUP(A4148,'Master List'!A:C,2,FALSE)))</f>
        <v>Name</v>
      </c>
      <c r="D4148" s="19" t="str">
        <f>IF(ISBLANK(A4148), "Email",IF(ISNA(VLOOKUP(A4148,'Master List'!A:C,3,FALSE)), "Not Found", VLOOKUP(A4148,'Master List'!A:C,3,FALSE)))</f>
        <v>Email</v>
      </c>
      <c r="F4148" s="4" t="str">
        <f>IF(OR(A4148="",E4148="","",A4148="?",E4148="?"),"duplicate?",IF(COUNTIFS($A:A,A4148,E:E,E4148)&gt;1,"yes","no"))</f>
        <v>duplicate?</v>
      </c>
      <c r="K4148" s="97" t="str">
        <f ca="1">IF(J4148="","Date",IF(J4148&lt;&gt;"",IF(K4148="Date",NOW(),K4148),""))</f>
        <v>Date</v>
      </c>
    </row>
    <row r="4149" spans="2:11">
      <c r="B4149" s="97" t="str">
        <f ca="1">IF(A4149="","Date",IF(A4149&lt;&gt;"",IF(B4149="Date",NOW(),B4149),""))</f>
        <v>Date</v>
      </c>
      <c r="C4149" s="19" t="str">
        <f>IF(ISBLANK(A4149),"Name",IF(ISNA(VLOOKUP(A4149,'Master List'!A:C,2,FALSE)), "Not Found", VLOOKUP(A4149,'Master List'!A:C,2,FALSE)))</f>
        <v>Name</v>
      </c>
      <c r="D4149" s="19" t="str">
        <f>IF(ISBLANK(A4149), "Email",IF(ISNA(VLOOKUP(A4149,'Master List'!A:C,3,FALSE)), "Not Found", VLOOKUP(A4149,'Master List'!A:C,3,FALSE)))</f>
        <v>Email</v>
      </c>
      <c r="F4149" s="4" t="str">
        <f>IF(OR(A4149="",E4149="","",A4149="?",E4149="?"),"duplicate?",IF(COUNTIFS($A:A,A4149,E:E,E4149)&gt;1,"yes","no"))</f>
        <v>duplicate?</v>
      </c>
      <c r="K4149" s="97" t="str">
        <f ca="1">IF(J4149="","Date",IF(J4149&lt;&gt;"",IF(K4149="Date",NOW(),K4149),""))</f>
        <v>Date</v>
      </c>
    </row>
    <row r="4150" spans="2:11">
      <c r="B4150" s="97" t="str">
        <f ca="1">IF(A4150="","Date",IF(A4150&lt;&gt;"",IF(B4150="Date",NOW(),B4150),""))</f>
        <v>Date</v>
      </c>
      <c r="C4150" s="19" t="str">
        <f>IF(ISBLANK(A4150),"Name",IF(ISNA(VLOOKUP(A4150,'Master List'!A:C,2,FALSE)), "Not Found", VLOOKUP(A4150,'Master List'!A:C,2,FALSE)))</f>
        <v>Name</v>
      </c>
      <c r="D4150" s="19" t="str">
        <f>IF(ISBLANK(A4150), "Email",IF(ISNA(VLOOKUP(A4150,'Master List'!A:C,3,FALSE)), "Not Found", VLOOKUP(A4150,'Master List'!A:C,3,FALSE)))</f>
        <v>Email</v>
      </c>
      <c r="F4150" s="4" t="str">
        <f>IF(OR(A4150="",E4150="","",A4150="?",E4150="?"),"duplicate?",IF(COUNTIFS($A:A,A4150,E:E,E4150)&gt;1,"yes","no"))</f>
        <v>duplicate?</v>
      </c>
      <c r="K4150" s="97" t="str">
        <f ca="1">IF(J4150="","Date",IF(J4150&lt;&gt;"",IF(K4150="Date",NOW(),K4150),""))</f>
        <v>Date</v>
      </c>
    </row>
    <row r="4151" spans="2:11">
      <c r="B4151" s="97" t="str">
        <f ca="1">IF(A4151="","Date",IF(A4151&lt;&gt;"",IF(B4151="Date",NOW(),B4151),""))</f>
        <v>Date</v>
      </c>
      <c r="C4151" s="19" t="str">
        <f>IF(ISBLANK(A4151),"Name",IF(ISNA(VLOOKUP(A4151,'Master List'!A:C,2,FALSE)), "Not Found", VLOOKUP(A4151,'Master List'!A:C,2,FALSE)))</f>
        <v>Name</v>
      </c>
      <c r="D4151" s="19" t="str">
        <f>IF(ISBLANK(A4151), "Email",IF(ISNA(VLOOKUP(A4151,'Master List'!A:C,3,FALSE)), "Not Found", VLOOKUP(A4151,'Master List'!A:C,3,FALSE)))</f>
        <v>Email</v>
      </c>
      <c r="F4151" s="4" t="str">
        <f>IF(OR(A4151="",E4151="","",A4151="?",E4151="?"),"duplicate?",IF(COUNTIFS($A:A,A4151,E:E,E4151)&gt;1,"yes","no"))</f>
        <v>duplicate?</v>
      </c>
      <c r="K4151" s="97" t="str">
        <f ca="1">IF(J4151="","Date",IF(J4151&lt;&gt;"",IF(K4151="Date",NOW(),K4151),""))</f>
        <v>Date</v>
      </c>
    </row>
    <row r="4152" spans="2:11">
      <c r="B4152" s="97" t="str">
        <f ca="1">IF(A4152="","Date",IF(A4152&lt;&gt;"",IF(B4152="Date",NOW(),B4152),""))</f>
        <v>Date</v>
      </c>
      <c r="C4152" s="19" t="str">
        <f>IF(ISBLANK(A4152),"Name",IF(ISNA(VLOOKUP(A4152,'Master List'!A:C,2,FALSE)), "Not Found", VLOOKUP(A4152,'Master List'!A:C,2,FALSE)))</f>
        <v>Name</v>
      </c>
      <c r="D4152" s="19" t="str">
        <f>IF(ISBLANK(A4152), "Email",IF(ISNA(VLOOKUP(A4152,'Master List'!A:C,3,FALSE)), "Not Found", VLOOKUP(A4152,'Master List'!A:C,3,FALSE)))</f>
        <v>Email</v>
      </c>
      <c r="F4152" s="4" t="str">
        <f>IF(OR(A4152="",E4152="","",A4152="?",E4152="?"),"duplicate?",IF(COUNTIFS($A:A,A4152,E:E,E4152)&gt;1,"yes","no"))</f>
        <v>duplicate?</v>
      </c>
      <c r="K4152" s="97" t="str">
        <f ca="1">IF(J4152="","Date",IF(J4152&lt;&gt;"",IF(K4152="Date",NOW(),K4152),""))</f>
        <v>Date</v>
      </c>
    </row>
    <row r="4153" spans="2:11">
      <c r="B4153" s="97" t="str">
        <f ca="1">IF(A4153="","Date",IF(A4153&lt;&gt;"",IF(B4153="Date",NOW(),B4153),""))</f>
        <v>Date</v>
      </c>
      <c r="C4153" s="19" t="str">
        <f>IF(ISBLANK(A4153),"Name",IF(ISNA(VLOOKUP(A4153,'Master List'!A:C,2,FALSE)), "Not Found", VLOOKUP(A4153,'Master List'!A:C,2,FALSE)))</f>
        <v>Name</v>
      </c>
      <c r="D4153" s="19" t="str">
        <f>IF(ISBLANK(A4153), "Email",IF(ISNA(VLOOKUP(A4153,'Master List'!A:C,3,FALSE)), "Not Found", VLOOKUP(A4153,'Master List'!A:C,3,FALSE)))</f>
        <v>Email</v>
      </c>
      <c r="F4153" s="4" t="str">
        <f>IF(OR(A4153="",E4153="","",A4153="?",E4153="?"),"duplicate?",IF(COUNTIFS($A:A,A4153,E:E,E4153)&gt;1,"yes","no"))</f>
        <v>duplicate?</v>
      </c>
      <c r="K4153" s="97" t="str">
        <f ca="1">IF(J4153="","Date",IF(J4153&lt;&gt;"",IF(K4153="Date",NOW(),K4153),""))</f>
        <v>Date</v>
      </c>
    </row>
    <row r="4154" spans="2:11">
      <c r="B4154" s="97" t="str">
        <f ca="1">IF(A4154="","Date",IF(A4154&lt;&gt;"",IF(B4154="Date",NOW(),B4154),""))</f>
        <v>Date</v>
      </c>
      <c r="C4154" s="19" t="str">
        <f>IF(ISBLANK(A4154),"Name",IF(ISNA(VLOOKUP(A4154,'Master List'!A:C,2,FALSE)), "Not Found", VLOOKUP(A4154,'Master List'!A:C,2,FALSE)))</f>
        <v>Name</v>
      </c>
      <c r="D4154" s="19" t="str">
        <f>IF(ISBLANK(A4154), "Email",IF(ISNA(VLOOKUP(A4154,'Master List'!A:C,3,FALSE)), "Not Found", VLOOKUP(A4154,'Master List'!A:C,3,FALSE)))</f>
        <v>Email</v>
      </c>
      <c r="F4154" s="4" t="str">
        <f>IF(OR(A4154="",E4154="","",A4154="?",E4154="?"),"duplicate?",IF(COUNTIFS($A:A,A4154,E:E,E4154)&gt;1,"yes","no"))</f>
        <v>duplicate?</v>
      </c>
      <c r="K4154" s="97" t="str">
        <f ca="1">IF(J4154="","Date",IF(J4154&lt;&gt;"",IF(K4154="Date",NOW(),K4154),""))</f>
        <v>Date</v>
      </c>
    </row>
    <row r="4155" spans="2:11">
      <c r="B4155" s="97" t="str">
        <f ca="1">IF(A4155="","Date",IF(A4155&lt;&gt;"",IF(B4155="Date",NOW(),B4155),""))</f>
        <v>Date</v>
      </c>
      <c r="C4155" s="19" t="str">
        <f>IF(ISBLANK(A4155),"Name",IF(ISNA(VLOOKUP(A4155,'Master List'!A:C,2,FALSE)), "Not Found", VLOOKUP(A4155,'Master List'!A:C,2,FALSE)))</f>
        <v>Name</v>
      </c>
      <c r="D4155" s="19" t="str">
        <f>IF(ISBLANK(A4155), "Email",IF(ISNA(VLOOKUP(A4155,'Master List'!A:C,3,FALSE)), "Not Found", VLOOKUP(A4155,'Master List'!A:C,3,FALSE)))</f>
        <v>Email</v>
      </c>
      <c r="F4155" s="4" t="str">
        <f>IF(OR(A4155="",E4155="","",A4155="?",E4155="?"),"duplicate?",IF(COUNTIFS($A:A,A4155,E:E,E4155)&gt;1,"yes","no"))</f>
        <v>duplicate?</v>
      </c>
      <c r="K4155" s="97" t="str">
        <f ca="1">IF(J4155="","Date",IF(J4155&lt;&gt;"",IF(K4155="Date",NOW(),K4155),""))</f>
        <v>Date</v>
      </c>
    </row>
    <row r="4156" spans="2:11">
      <c r="B4156" s="97" t="str">
        <f ca="1">IF(A4156="","Date",IF(A4156&lt;&gt;"",IF(B4156="Date",NOW(),B4156),""))</f>
        <v>Date</v>
      </c>
      <c r="C4156" s="19" t="str">
        <f>IF(ISBLANK(A4156),"Name",IF(ISNA(VLOOKUP(A4156,'Master List'!A:C,2,FALSE)), "Not Found", VLOOKUP(A4156,'Master List'!A:C,2,FALSE)))</f>
        <v>Name</v>
      </c>
      <c r="D4156" s="19" t="str">
        <f>IF(ISBLANK(A4156), "Email",IF(ISNA(VLOOKUP(A4156,'Master List'!A:C,3,FALSE)), "Not Found", VLOOKUP(A4156,'Master List'!A:C,3,FALSE)))</f>
        <v>Email</v>
      </c>
      <c r="F4156" s="4" t="str">
        <f>IF(OR(A4156="",E4156="","",A4156="?",E4156="?"),"duplicate?",IF(COUNTIFS($A:A,A4156,E:E,E4156)&gt;1,"yes","no"))</f>
        <v>duplicate?</v>
      </c>
      <c r="K4156" s="97" t="str">
        <f ca="1">IF(J4156="","Date",IF(J4156&lt;&gt;"",IF(K4156="Date",NOW(),K4156),""))</f>
        <v>Date</v>
      </c>
    </row>
    <row r="4157" spans="2:11">
      <c r="B4157" s="97" t="str">
        <f ca="1">IF(A4157="","Date",IF(A4157&lt;&gt;"",IF(B4157="Date",NOW(),B4157),""))</f>
        <v>Date</v>
      </c>
      <c r="C4157" s="19" t="str">
        <f>IF(ISBLANK(A4157),"Name",IF(ISNA(VLOOKUP(A4157,'Master List'!A:C,2,FALSE)), "Not Found", VLOOKUP(A4157,'Master List'!A:C,2,FALSE)))</f>
        <v>Name</v>
      </c>
      <c r="D4157" s="19" t="str">
        <f>IF(ISBLANK(A4157), "Email",IF(ISNA(VLOOKUP(A4157,'Master List'!A:C,3,FALSE)), "Not Found", VLOOKUP(A4157,'Master List'!A:C,3,FALSE)))</f>
        <v>Email</v>
      </c>
      <c r="F4157" s="4" t="str">
        <f>IF(OR(A4157="",E4157="","",A4157="?",E4157="?"),"duplicate?",IF(COUNTIFS($A:A,A4157,E:E,E4157)&gt;1,"yes","no"))</f>
        <v>duplicate?</v>
      </c>
      <c r="K4157" s="97" t="str">
        <f ca="1">IF(J4157="","Date",IF(J4157&lt;&gt;"",IF(K4157="Date",NOW(),K4157),""))</f>
        <v>Date</v>
      </c>
    </row>
    <row r="4158" spans="2:11">
      <c r="B4158" s="97" t="str">
        <f ca="1">IF(A4158="","Date",IF(A4158&lt;&gt;"",IF(B4158="Date",NOW(),B4158),""))</f>
        <v>Date</v>
      </c>
      <c r="C4158" s="19" t="str">
        <f>IF(ISBLANK(A4158),"Name",IF(ISNA(VLOOKUP(A4158,'Master List'!A:C,2,FALSE)), "Not Found", VLOOKUP(A4158,'Master List'!A:C,2,FALSE)))</f>
        <v>Name</v>
      </c>
      <c r="D4158" s="19" t="str">
        <f>IF(ISBLANK(A4158), "Email",IF(ISNA(VLOOKUP(A4158,'Master List'!A:C,3,FALSE)), "Not Found", VLOOKUP(A4158,'Master List'!A:C,3,FALSE)))</f>
        <v>Email</v>
      </c>
      <c r="F4158" s="4" t="str">
        <f>IF(OR(A4158="",E4158="","",A4158="?",E4158="?"),"duplicate?",IF(COUNTIFS($A:A,A4158,E:E,E4158)&gt;1,"yes","no"))</f>
        <v>duplicate?</v>
      </c>
      <c r="K4158" s="97" t="str">
        <f ca="1">IF(J4158="","Date",IF(J4158&lt;&gt;"",IF(K4158="Date",NOW(),K4158),""))</f>
        <v>Date</v>
      </c>
    </row>
    <row r="4159" spans="2:11">
      <c r="B4159" s="97" t="str">
        <f ca="1">IF(A4159="","Date",IF(A4159&lt;&gt;"",IF(B4159="Date",NOW(),B4159),""))</f>
        <v>Date</v>
      </c>
      <c r="C4159" s="19" t="str">
        <f>IF(ISBLANK(A4159),"Name",IF(ISNA(VLOOKUP(A4159,'Master List'!A:C,2,FALSE)), "Not Found", VLOOKUP(A4159,'Master List'!A:C,2,FALSE)))</f>
        <v>Name</v>
      </c>
      <c r="D4159" s="19" t="str">
        <f>IF(ISBLANK(A4159), "Email",IF(ISNA(VLOOKUP(A4159,'Master List'!A:C,3,FALSE)), "Not Found", VLOOKUP(A4159,'Master List'!A:C,3,FALSE)))</f>
        <v>Email</v>
      </c>
      <c r="F4159" s="4" t="str">
        <f>IF(OR(A4159="",E4159="","",A4159="?",E4159="?"),"duplicate?",IF(COUNTIFS($A:A,A4159,E:E,E4159)&gt;1,"yes","no"))</f>
        <v>duplicate?</v>
      </c>
      <c r="K4159" s="97" t="str">
        <f ca="1">IF(J4159="","Date",IF(J4159&lt;&gt;"",IF(K4159="Date",NOW(),K4159),""))</f>
        <v>Date</v>
      </c>
    </row>
    <row r="4160" spans="2:11">
      <c r="B4160" s="97" t="str">
        <f ca="1">IF(A4160="","Date",IF(A4160&lt;&gt;"",IF(B4160="Date",NOW(),B4160),""))</f>
        <v>Date</v>
      </c>
      <c r="C4160" s="19" t="str">
        <f>IF(ISBLANK(A4160),"Name",IF(ISNA(VLOOKUP(A4160,'Master List'!A:C,2,FALSE)), "Not Found", VLOOKUP(A4160,'Master List'!A:C,2,FALSE)))</f>
        <v>Name</v>
      </c>
      <c r="D4160" s="19" t="str">
        <f>IF(ISBLANK(A4160), "Email",IF(ISNA(VLOOKUP(A4160,'Master List'!A:C,3,FALSE)), "Not Found", VLOOKUP(A4160,'Master List'!A:C,3,FALSE)))</f>
        <v>Email</v>
      </c>
      <c r="F4160" s="4" t="str">
        <f>IF(OR(A4160="",E4160="","",A4160="?",E4160="?"),"duplicate?",IF(COUNTIFS($A:A,A4160,E:E,E4160)&gt;1,"yes","no"))</f>
        <v>duplicate?</v>
      </c>
      <c r="K4160" s="97" t="str">
        <f ca="1">IF(J4160="","Date",IF(J4160&lt;&gt;"",IF(K4160="Date",NOW(),K4160),""))</f>
        <v>Date</v>
      </c>
    </row>
    <row r="4161" spans="2:11">
      <c r="B4161" s="97" t="str">
        <f ca="1">IF(A4161="","Date",IF(A4161&lt;&gt;"",IF(B4161="Date",NOW(),B4161),""))</f>
        <v>Date</v>
      </c>
      <c r="C4161" s="19" t="str">
        <f>IF(ISBLANK(A4161),"Name",IF(ISNA(VLOOKUP(A4161,'Master List'!A:C,2,FALSE)), "Not Found", VLOOKUP(A4161,'Master List'!A:C,2,FALSE)))</f>
        <v>Name</v>
      </c>
      <c r="D4161" s="19" t="str">
        <f>IF(ISBLANK(A4161), "Email",IF(ISNA(VLOOKUP(A4161,'Master List'!A:C,3,FALSE)), "Not Found", VLOOKUP(A4161,'Master List'!A:C,3,FALSE)))</f>
        <v>Email</v>
      </c>
      <c r="F4161" s="4" t="str">
        <f>IF(OR(A4161="",E4161="","",A4161="?",E4161="?"),"duplicate?",IF(COUNTIFS($A:A,A4161,E:E,E4161)&gt;1,"yes","no"))</f>
        <v>duplicate?</v>
      </c>
      <c r="K4161" s="97" t="str">
        <f ca="1">IF(J4161="","Date",IF(J4161&lt;&gt;"",IF(K4161="Date",NOW(),K4161),""))</f>
        <v>Date</v>
      </c>
    </row>
    <row r="4162" spans="2:11">
      <c r="B4162" s="97" t="str">
        <f ca="1">IF(A4162="","Date",IF(A4162&lt;&gt;"",IF(B4162="Date",NOW(),B4162),""))</f>
        <v>Date</v>
      </c>
      <c r="C4162" s="19" t="str">
        <f>IF(ISBLANK(A4162),"Name",IF(ISNA(VLOOKUP(A4162,'Master List'!A:C,2,FALSE)), "Not Found", VLOOKUP(A4162,'Master List'!A:C,2,FALSE)))</f>
        <v>Name</v>
      </c>
      <c r="D4162" s="19" t="str">
        <f>IF(ISBLANK(A4162), "Email",IF(ISNA(VLOOKUP(A4162,'Master List'!A:C,3,FALSE)), "Not Found", VLOOKUP(A4162,'Master List'!A:C,3,FALSE)))</f>
        <v>Email</v>
      </c>
      <c r="F4162" s="4" t="str">
        <f>IF(OR(A4162="",E4162="","",A4162="?",E4162="?"),"duplicate?",IF(COUNTIFS($A:A,A4162,E:E,E4162)&gt;1,"yes","no"))</f>
        <v>duplicate?</v>
      </c>
      <c r="K4162" s="97" t="str">
        <f ca="1">IF(J4162="","Date",IF(J4162&lt;&gt;"",IF(K4162="Date",NOW(),K4162),""))</f>
        <v>Date</v>
      </c>
    </row>
    <row r="4163" spans="2:11">
      <c r="B4163" s="97" t="str">
        <f ca="1">IF(A4163="","Date",IF(A4163&lt;&gt;"",IF(B4163="Date",NOW(),B4163),""))</f>
        <v>Date</v>
      </c>
      <c r="C4163" s="19" t="str">
        <f>IF(ISBLANK(A4163),"Name",IF(ISNA(VLOOKUP(A4163,'Master List'!A:C,2,FALSE)), "Not Found", VLOOKUP(A4163,'Master List'!A:C,2,FALSE)))</f>
        <v>Name</v>
      </c>
      <c r="D4163" s="19" t="str">
        <f>IF(ISBLANK(A4163), "Email",IF(ISNA(VLOOKUP(A4163,'Master List'!A:C,3,FALSE)), "Not Found", VLOOKUP(A4163,'Master List'!A:C,3,FALSE)))</f>
        <v>Email</v>
      </c>
      <c r="F4163" s="4" t="str">
        <f>IF(OR(A4163="",E4163="","",A4163="?",E4163="?"),"duplicate?",IF(COUNTIFS($A:A,A4163,E:E,E4163)&gt;1,"yes","no"))</f>
        <v>duplicate?</v>
      </c>
      <c r="K4163" s="97" t="str">
        <f ca="1">IF(J4163="","Date",IF(J4163&lt;&gt;"",IF(K4163="Date",NOW(),K4163),""))</f>
        <v>Date</v>
      </c>
    </row>
    <row r="4164" spans="2:11">
      <c r="B4164" s="97" t="str">
        <f ca="1">IF(A4164="","Date",IF(A4164&lt;&gt;"",IF(B4164="Date",NOW(),B4164),""))</f>
        <v>Date</v>
      </c>
      <c r="C4164" s="19" t="str">
        <f>IF(ISBLANK(A4164),"Name",IF(ISNA(VLOOKUP(A4164,'Master List'!A:C,2,FALSE)), "Not Found", VLOOKUP(A4164,'Master List'!A:C,2,FALSE)))</f>
        <v>Name</v>
      </c>
      <c r="D4164" s="19" t="str">
        <f>IF(ISBLANK(A4164), "Email",IF(ISNA(VLOOKUP(A4164,'Master List'!A:C,3,FALSE)), "Not Found", VLOOKUP(A4164,'Master List'!A:C,3,FALSE)))</f>
        <v>Email</v>
      </c>
      <c r="F4164" s="4" t="str">
        <f>IF(OR(A4164="",E4164="","",A4164="?",E4164="?"),"duplicate?",IF(COUNTIFS($A:A,A4164,E:E,E4164)&gt;1,"yes","no"))</f>
        <v>duplicate?</v>
      </c>
      <c r="K4164" s="97" t="str">
        <f ca="1">IF(J4164="","Date",IF(J4164&lt;&gt;"",IF(K4164="Date",NOW(),K4164),""))</f>
        <v>Date</v>
      </c>
    </row>
    <row r="4165" spans="2:11">
      <c r="B4165" s="97" t="str">
        <f ca="1">IF(A4165="","Date",IF(A4165&lt;&gt;"",IF(B4165="Date",NOW(),B4165),""))</f>
        <v>Date</v>
      </c>
      <c r="C4165" s="19" t="str">
        <f>IF(ISBLANK(A4165),"Name",IF(ISNA(VLOOKUP(A4165,'Master List'!A:C,2,FALSE)), "Not Found", VLOOKUP(A4165,'Master List'!A:C,2,FALSE)))</f>
        <v>Name</v>
      </c>
      <c r="D4165" s="19" t="str">
        <f>IF(ISBLANK(A4165), "Email",IF(ISNA(VLOOKUP(A4165,'Master List'!A:C,3,FALSE)), "Not Found", VLOOKUP(A4165,'Master List'!A:C,3,FALSE)))</f>
        <v>Email</v>
      </c>
      <c r="F4165" s="4" t="str">
        <f>IF(OR(A4165="",E4165="","",A4165="?",E4165="?"),"duplicate?",IF(COUNTIFS($A:A,A4165,E:E,E4165)&gt;1,"yes","no"))</f>
        <v>duplicate?</v>
      </c>
      <c r="K4165" s="97" t="str">
        <f ca="1">IF(J4165="","Date",IF(J4165&lt;&gt;"",IF(K4165="Date",NOW(),K4165),""))</f>
        <v>Date</v>
      </c>
    </row>
    <row r="4166" spans="2:11">
      <c r="B4166" s="97" t="str">
        <f ca="1">IF(A4166="","Date",IF(A4166&lt;&gt;"",IF(B4166="Date",NOW(),B4166),""))</f>
        <v>Date</v>
      </c>
      <c r="C4166" s="19" t="str">
        <f>IF(ISBLANK(A4166),"Name",IF(ISNA(VLOOKUP(A4166,'Master List'!A:C,2,FALSE)), "Not Found", VLOOKUP(A4166,'Master List'!A:C,2,FALSE)))</f>
        <v>Name</v>
      </c>
      <c r="D4166" s="19" t="str">
        <f>IF(ISBLANK(A4166), "Email",IF(ISNA(VLOOKUP(A4166,'Master List'!A:C,3,FALSE)), "Not Found", VLOOKUP(A4166,'Master List'!A:C,3,FALSE)))</f>
        <v>Email</v>
      </c>
      <c r="F4166" s="4" t="str">
        <f>IF(OR(A4166="",E4166="","",A4166="?",E4166="?"),"duplicate?",IF(COUNTIFS($A:A,A4166,E:E,E4166)&gt;1,"yes","no"))</f>
        <v>duplicate?</v>
      </c>
      <c r="K4166" s="97" t="str">
        <f ca="1">IF(J4166="","Date",IF(J4166&lt;&gt;"",IF(K4166="Date",NOW(),K4166),""))</f>
        <v>Date</v>
      </c>
    </row>
    <row r="4167" spans="2:11">
      <c r="B4167" s="97" t="str">
        <f ca="1">IF(A4167="","Date",IF(A4167&lt;&gt;"",IF(B4167="Date",NOW(),B4167),""))</f>
        <v>Date</v>
      </c>
      <c r="C4167" s="19" t="str">
        <f>IF(ISBLANK(A4167),"Name",IF(ISNA(VLOOKUP(A4167,'Master List'!A:C,2,FALSE)), "Not Found", VLOOKUP(A4167,'Master List'!A:C,2,FALSE)))</f>
        <v>Name</v>
      </c>
      <c r="D4167" s="19" t="str">
        <f>IF(ISBLANK(A4167), "Email",IF(ISNA(VLOOKUP(A4167,'Master List'!A:C,3,FALSE)), "Not Found", VLOOKUP(A4167,'Master List'!A:C,3,FALSE)))</f>
        <v>Email</v>
      </c>
      <c r="F4167" s="4" t="str">
        <f>IF(OR(A4167="",E4167="","",A4167="?",E4167="?"),"duplicate?",IF(COUNTIFS($A:A,A4167,E:E,E4167)&gt;1,"yes","no"))</f>
        <v>duplicate?</v>
      </c>
      <c r="K4167" s="97" t="str">
        <f ca="1">IF(J4167="","Date",IF(J4167&lt;&gt;"",IF(K4167="Date",NOW(),K4167),""))</f>
        <v>Date</v>
      </c>
    </row>
    <row r="4168" spans="2:11">
      <c r="B4168" s="97" t="str">
        <f ca="1">IF(A4168="","Date",IF(A4168&lt;&gt;"",IF(B4168="Date",NOW(),B4168),""))</f>
        <v>Date</v>
      </c>
      <c r="C4168" s="19" t="str">
        <f>IF(ISBLANK(A4168),"Name",IF(ISNA(VLOOKUP(A4168,'Master List'!A:C,2,FALSE)), "Not Found", VLOOKUP(A4168,'Master List'!A:C,2,FALSE)))</f>
        <v>Name</v>
      </c>
      <c r="D4168" s="19" t="str">
        <f>IF(ISBLANK(A4168), "Email",IF(ISNA(VLOOKUP(A4168,'Master List'!A:C,3,FALSE)), "Not Found", VLOOKUP(A4168,'Master List'!A:C,3,FALSE)))</f>
        <v>Email</v>
      </c>
      <c r="F4168" s="4" t="str">
        <f>IF(OR(A4168="",E4168="","",A4168="?",E4168="?"),"duplicate?",IF(COUNTIFS($A:A,A4168,E:E,E4168)&gt;1,"yes","no"))</f>
        <v>duplicate?</v>
      </c>
      <c r="K4168" s="97" t="str">
        <f ca="1">IF(J4168="","Date",IF(J4168&lt;&gt;"",IF(K4168="Date",NOW(),K4168),""))</f>
        <v>Date</v>
      </c>
    </row>
    <row r="4169" spans="2:11">
      <c r="B4169" s="97" t="str">
        <f ca="1">IF(A4169="","Date",IF(A4169&lt;&gt;"",IF(B4169="Date",NOW(),B4169),""))</f>
        <v>Date</v>
      </c>
      <c r="C4169" s="19" t="str">
        <f>IF(ISBLANK(A4169),"Name",IF(ISNA(VLOOKUP(A4169,'Master List'!A:C,2,FALSE)), "Not Found", VLOOKUP(A4169,'Master List'!A:C,2,FALSE)))</f>
        <v>Name</v>
      </c>
      <c r="D4169" s="19" t="str">
        <f>IF(ISBLANK(A4169), "Email",IF(ISNA(VLOOKUP(A4169,'Master List'!A:C,3,FALSE)), "Not Found", VLOOKUP(A4169,'Master List'!A:C,3,FALSE)))</f>
        <v>Email</v>
      </c>
      <c r="F4169" s="4" t="str">
        <f>IF(OR(A4169="",E4169="","",A4169="?",E4169="?"),"duplicate?",IF(COUNTIFS($A:A,A4169,E:E,E4169)&gt;1,"yes","no"))</f>
        <v>duplicate?</v>
      </c>
      <c r="K4169" s="97" t="str">
        <f ca="1">IF(J4169="","Date",IF(J4169&lt;&gt;"",IF(K4169="Date",NOW(),K4169),""))</f>
        <v>Date</v>
      </c>
    </row>
    <row r="4170" spans="2:11">
      <c r="B4170" s="97" t="str">
        <f ca="1">IF(A4170="","Date",IF(A4170&lt;&gt;"",IF(B4170="Date",NOW(),B4170),""))</f>
        <v>Date</v>
      </c>
      <c r="C4170" s="19" t="str">
        <f>IF(ISBLANK(A4170),"Name",IF(ISNA(VLOOKUP(A4170,'Master List'!A:C,2,FALSE)), "Not Found", VLOOKUP(A4170,'Master List'!A:C,2,FALSE)))</f>
        <v>Name</v>
      </c>
      <c r="D4170" s="19" t="str">
        <f>IF(ISBLANK(A4170), "Email",IF(ISNA(VLOOKUP(A4170,'Master List'!A:C,3,FALSE)), "Not Found", VLOOKUP(A4170,'Master List'!A:C,3,FALSE)))</f>
        <v>Email</v>
      </c>
      <c r="F4170" s="4" t="str">
        <f>IF(OR(A4170="",E4170="","",A4170="?",E4170="?"),"duplicate?",IF(COUNTIFS($A:A,A4170,E:E,E4170)&gt;1,"yes","no"))</f>
        <v>duplicate?</v>
      </c>
      <c r="K4170" s="97" t="str">
        <f ca="1">IF(J4170="","Date",IF(J4170&lt;&gt;"",IF(K4170="Date",NOW(),K4170),""))</f>
        <v>Date</v>
      </c>
    </row>
    <row r="4171" spans="2:11">
      <c r="B4171" s="97" t="str">
        <f ca="1">IF(A4171="","Date",IF(A4171&lt;&gt;"",IF(B4171="Date",NOW(),B4171),""))</f>
        <v>Date</v>
      </c>
      <c r="C4171" s="19" t="str">
        <f>IF(ISBLANK(A4171),"Name",IF(ISNA(VLOOKUP(A4171,'Master List'!A:C,2,FALSE)), "Not Found", VLOOKUP(A4171,'Master List'!A:C,2,FALSE)))</f>
        <v>Name</v>
      </c>
      <c r="D4171" s="19" t="str">
        <f>IF(ISBLANK(A4171), "Email",IF(ISNA(VLOOKUP(A4171,'Master List'!A:C,3,FALSE)), "Not Found", VLOOKUP(A4171,'Master List'!A:C,3,FALSE)))</f>
        <v>Email</v>
      </c>
      <c r="F4171" s="4" t="str">
        <f>IF(OR(A4171="",E4171="","",A4171="?",E4171="?"),"duplicate?",IF(COUNTIFS($A:A,A4171,E:E,E4171)&gt;1,"yes","no"))</f>
        <v>duplicate?</v>
      </c>
      <c r="K4171" s="97" t="str">
        <f ca="1">IF(J4171="","Date",IF(J4171&lt;&gt;"",IF(K4171="Date",NOW(),K4171),""))</f>
        <v>Date</v>
      </c>
    </row>
    <row r="4172" spans="2:11">
      <c r="B4172" s="97" t="str">
        <f ca="1">IF(A4172="","Date",IF(A4172&lt;&gt;"",IF(B4172="Date",NOW(),B4172),""))</f>
        <v>Date</v>
      </c>
      <c r="C4172" s="19" t="str">
        <f>IF(ISBLANK(A4172),"Name",IF(ISNA(VLOOKUP(A4172,'Master List'!A:C,2,FALSE)), "Not Found", VLOOKUP(A4172,'Master List'!A:C,2,FALSE)))</f>
        <v>Name</v>
      </c>
      <c r="D4172" s="19" t="str">
        <f>IF(ISBLANK(A4172), "Email",IF(ISNA(VLOOKUP(A4172,'Master List'!A:C,3,FALSE)), "Not Found", VLOOKUP(A4172,'Master List'!A:C,3,FALSE)))</f>
        <v>Email</v>
      </c>
      <c r="F4172" s="4" t="str">
        <f>IF(OR(A4172="",E4172="","",A4172="?",E4172="?"),"duplicate?",IF(COUNTIFS($A:A,A4172,E:E,E4172)&gt;1,"yes","no"))</f>
        <v>duplicate?</v>
      </c>
      <c r="K4172" s="97" t="str">
        <f ca="1">IF(J4172="","Date",IF(J4172&lt;&gt;"",IF(K4172="Date",NOW(),K4172),""))</f>
        <v>Date</v>
      </c>
    </row>
    <row r="4173" spans="2:11">
      <c r="B4173" s="97" t="str">
        <f ca="1">IF(A4173="","Date",IF(A4173&lt;&gt;"",IF(B4173="Date",NOW(),B4173),""))</f>
        <v>Date</v>
      </c>
      <c r="C4173" s="19" t="str">
        <f>IF(ISBLANK(A4173),"Name",IF(ISNA(VLOOKUP(A4173,'Master List'!A:C,2,FALSE)), "Not Found", VLOOKUP(A4173,'Master List'!A:C,2,FALSE)))</f>
        <v>Name</v>
      </c>
      <c r="D4173" s="19" t="str">
        <f>IF(ISBLANK(A4173), "Email",IF(ISNA(VLOOKUP(A4173,'Master List'!A:C,3,FALSE)), "Not Found", VLOOKUP(A4173,'Master List'!A:C,3,FALSE)))</f>
        <v>Email</v>
      </c>
      <c r="F4173" s="4" t="str">
        <f>IF(OR(A4173="",E4173="","",A4173="?",E4173="?"),"duplicate?",IF(COUNTIFS($A:A,A4173,E:E,E4173)&gt;1,"yes","no"))</f>
        <v>duplicate?</v>
      </c>
      <c r="K4173" s="97" t="str">
        <f ca="1">IF(J4173="","Date",IF(J4173&lt;&gt;"",IF(K4173="Date",NOW(),K4173),""))</f>
        <v>Date</v>
      </c>
    </row>
    <row r="4174" spans="2:11">
      <c r="B4174" s="97" t="str">
        <f ca="1">IF(A4174="","Date",IF(A4174&lt;&gt;"",IF(B4174="Date",NOW(),B4174),""))</f>
        <v>Date</v>
      </c>
      <c r="C4174" s="19" t="str">
        <f>IF(ISBLANK(A4174),"Name",IF(ISNA(VLOOKUP(A4174,'Master List'!A:C,2,FALSE)), "Not Found", VLOOKUP(A4174,'Master List'!A:C,2,FALSE)))</f>
        <v>Name</v>
      </c>
      <c r="D4174" s="19" t="str">
        <f>IF(ISBLANK(A4174), "Email",IF(ISNA(VLOOKUP(A4174,'Master List'!A:C,3,FALSE)), "Not Found", VLOOKUP(A4174,'Master List'!A:C,3,FALSE)))</f>
        <v>Email</v>
      </c>
      <c r="F4174" s="4" t="str">
        <f>IF(OR(A4174="",E4174="","",A4174="?",E4174="?"),"duplicate?",IF(COUNTIFS($A:A,A4174,E:E,E4174)&gt;1,"yes","no"))</f>
        <v>duplicate?</v>
      </c>
      <c r="K4174" s="97" t="str">
        <f ca="1">IF(J4174="","Date",IF(J4174&lt;&gt;"",IF(K4174="Date",NOW(),K4174),""))</f>
        <v>Date</v>
      </c>
    </row>
    <row r="4175" spans="2:11">
      <c r="B4175" s="97" t="str">
        <f ca="1">IF(A4175="","Date",IF(A4175&lt;&gt;"",IF(B4175="Date",NOW(),B4175),""))</f>
        <v>Date</v>
      </c>
      <c r="C4175" s="19" t="str">
        <f>IF(ISBLANK(A4175),"Name",IF(ISNA(VLOOKUP(A4175,'Master List'!A:C,2,FALSE)), "Not Found", VLOOKUP(A4175,'Master List'!A:C,2,FALSE)))</f>
        <v>Name</v>
      </c>
      <c r="D4175" s="19" t="str">
        <f>IF(ISBLANK(A4175), "Email",IF(ISNA(VLOOKUP(A4175,'Master List'!A:C,3,FALSE)), "Not Found", VLOOKUP(A4175,'Master List'!A:C,3,FALSE)))</f>
        <v>Email</v>
      </c>
      <c r="F4175" s="4" t="str">
        <f>IF(OR(A4175="",E4175="","",A4175="?",E4175="?"),"duplicate?",IF(COUNTIFS($A:A,A4175,E:E,E4175)&gt;1,"yes","no"))</f>
        <v>duplicate?</v>
      </c>
      <c r="K4175" s="97" t="str">
        <f ca="1">IF(J4175="","Date",IF(J4175&lt;&gt;"",IF(K4175="Date",NOW(),K4175),""))</f>
        <v>Date</v>
      </c>
    </row>
    <row r="4176" spans="2:11">
      <c r="B4176" s="97" t="str">
        <f ca="1">IF(A4176="","Date",IF(A4176&lt;&gt;"",IF(B4176="Date",NOW(),B4176),""))</f>
        <v>Date</v>
      </c>
      <c r="C4176" s="19" t="str">
        <f>IF(ISBLANK(A4176),"Name",IF(ISNA(VLOOKUP(A4176,'Master List'!A:C,2,FALSE)), "Not Found", VLOOKUP(A4176,'Master List'!A:C,2,FALSE)))</f>
        <v>Name</v>
      </c>
      <c r="D4176" s="19" t="str">
        <f>IF(ISBLANK(A4176), "Email",IF(ISNA(VLOOKUP(A4176,'Master List'!A:C,3,FALSE)), "Not Found", VLOOKUP(A4176,'Master List'!A:C,3,FALSE)))</f>
        <v>Email</v>
      </c>
      <c r="F4176" s="4" t="str">
        <f>IF(OR(A4176="",E4176="","",A4176="?",E4176="?"),"duplicate?",IF(COUNTIFS($A:A,A4176,E:E,E4176)&gt;1,"yes","no"))</f>
        <v>duplicate?</v>
      </c>
      <c r="K4176" s="97" t="str">
        <f ca="1">IF(J4176="","Date",IF(J4176&lt;&gt;"",IF(K4176="Date",NOW(),K4176),""))</f>
        <v>Date</v>
      </c>
    </row>
    <row r="4177" spans="2:11">
      <c r="B4177" s="97" t="str">
        <f ca="1">IF(A4177="","Date",IF(A4177&lt;&gt;"",IF(B4177="Date",NOW(),B4177),""))</f>
        <v>Date</v>
      </c>
      <c r="C4177" s="19" t="str">
        <f>IF(ISBLANK(A4177),"Name",IF(ISNA(VLOOKUP(A4177,'Master List'!A:C,2,FALSE)), "Not Found", VLOOKUP(A4177,'Master List'!A:C,2,FALSE)))</f>
        <v>Name</v>
      </c>
      <c r="D4177" s="19" t="str">
        <f>IF(ISBLANK(A4177), "Email",IF(ISNA(VLOOKUP(A4177,'Master List'!A:C,3,FALSE)), "Not Found", VLOOKUP(A4177,'Master List'!A:C,3,FALSE)))</f>
        <v>Email</v>
      </c>
      <c r="F4177" s="4" t="str">
        <f>IF(OR(A4177="",E4177="","",A4177="?",E4177="?"),"duplicate?",IF(COUNTIFS($A:A,A4177,E:E,E4177)&gt;1,"yes","no"))</f>
        <v>duplicate?</v>
      </c>
      <c r="K4177" s="97" t="str">
        <f ca="1">IF(J4177="","Date",IF(J4177&lt;&gt;"",IF(K4177="Date",NOW(),K4177),""))</f>
        <v>Date</v>
      </c>
    </row>
    <row r="4178" spans="2:11">
      <c r="B4178" s="97" t="str">
        <f ca="1">IF(A4178="","Date",IF(A4178&lt;&gt;"",IF(B4178="Date",NOW(),B4178),""))</f>
        <v>Date</v>
      </c>
      <c r="C4178" s="19" t="str">
        <f>IF(ISBLANK(A4178),"Name",IF(ISNA(VLOOKUP(A4178,'Master List'!A:C,2,FALSE)), "Not Found", VLOOKUP(A4178,'Master List'!A:C,2,FALSE)))</f>
        <v>Name</v>
      </c>
      <c r="D4178" s="19" t="str">
        <f>IF(ISBLANK(A4178), "Email",IF(ISNA(VLOOKUP(A4178,'Master List'!A:C,3,FALSE)), "Not Found", VLOOKUP(A4178,'Master List'!A:C,3,FALSE)))</f>
        <v>Email</v>
      </c>
      <c r="F4178" s="4" t="str">
        <f>IF(OR(A4178="",E4178="","",A4178="?",E4178="?"),"duplicate?",IF(COUNTIFS($A:A,A4178,E:E,E4178)&gt;1,"yes","no"))</f>
        <v>duplicate?</v>
      </c>
      <c r="K4178" s="97" t="str">
        <f ca="1">IF(J4178="","Date",IF(J4178&lt;&gt;"",IF(K4178="Date",NOW(),K4178),""))</f>
        <v>Date</v>
      </c>
    </row>
    <row r="4179" spans="2:11">
      <c r="B4179" s="97" t="str">
        <f ca="1">IF(A4179="","Date",IF(A4179&lt;&gt;"",IF(B4179="Date",NOW(),B4179),""))</f>
        <v>Date</v>
      </c>
      <c r="C4179" s="19" t="str">
        <f>IF(ISBLANK(A4179),"Name",IF(ISNA(VLOOKUP(A4179,'Master List'!A:C,2,FALSE)), "Not Found", VLOOKUP(A4179,'Master List'!A:C,2,FALSE)))</f>
        <v>Name</v>
      </c>
      <c r="D4179" s="19" t="str">
        <f>IF(ISBLANK(A4179), "Email",IF(ISNA(VLOOKUP(A4179,'Master List'!A:C,3,FALSE)), "Not Found", VLOOKUP(A4179,'Master List'!A:C,3,FALSE)))</f>
        <v>Email</v>
      </c>
      <c r="F4179" s="4" t="str">
        <f>IF(OR(A4179="",E4179="","",A4179="?",E4179="?"),"duplicate?",IF(COUNTIFS($A:A,A4179,E:E,E4179)&gt;1,"yes","no"))</f>
        <v>duplicate?</v>
      </c>
      <c r="K4179" s="97" t="str">
        <f ca="1">IF(J4179="","Date",IF(J4179&lt;&gt;"",IF(K4179="Date",NOW(),K4179),""))</f>
        <v>Date</v>
      </c>
    </row>
    <row r="4180" spans="2:11">
      <c r="B4180" s="97" t="str">
        <f ca="1">IF(A4180="","Date",IF(A4180&lt;&gt;"",IF(B4180="Date",NOW(),B4180),""))</f>
        <v>Date</v>
      </c>
      <c r="C4180" s="19" t="str">
        <f>IF(ISBLANK(A4180),"Name",IF(ISNA(VLOOKUP(A4180,'Master List'!A:C,2,FALSE)), "Not Found", VLOOKUP(A4180,'Master List'!A:C,2,FALSE)))</f>
        <v>Name</v>
      </c>
      <c r="D4180" s="19" t="str">
        <f>IF(ISBLANK(A4180), "Email",IF(ISNA(VLOOKUP(A4180,'Master List'!A:C,3,FALSE)), "Not Found", VLOOKUP(A4180,'Master List'!A:C,3,FALSE)))</f>
        <v>Email</v>
      </c>
      <c r="F4180" s="4" t="str">
        <f>IF(OR(A4180="",E4180="","",A4180="?",E4180="?"),"duplicate?",IF(COUNTIFS($A:A,A4180,E:E,E4180)&gt;1,"yes","no"))</f>
        <v>duplicate?</v>
      </c>
      <c r="K4180" s="97" t="str">
        <f ca="1">IF(J4180="","Date",IF(J4180&lt;&gt;"",IF(K4180="Date",NOW(),K4180),""))</f>
        <v>Date</v>
      </c>
    </row>
    <row r="4181" spans="2:11">
      <c r="B4181" s="97" t="str">
        <f ca="1">IF(A4181="","Date",IF(A4181&lt;&gt;"",IF(B4181="Date",NOW(),B4181),""))</f>
        <v>Date</v>
      </c>
      <c r="C4181" s="19" t="str">
        <f>IF(ISBLANK(A4181),"Name",IF(ISNA(VLOOKUP(A4181,'Master List'!A:C,2,FALSE)), "Not Found", VLOOKUP(A4181,'Master List'!A:C,2,FALSE)))</f>
        <v>Name</v>
      </c>
      <c r="D4181" s="19" t="str">
        <f>IF(ISBLANK(A4181), "Email",IF(ISNA(VLOOKUP(A4181,'Master List'!A:C,3,FALSE)), "Not Found", VLOOKUP(A4181,'Master List'!A:C,3,FALSE)))</f>
        <v>Email</v>
      </c>
      <c r="F4181" s="4" t="str">
        <f>IF(OR(A4181="",E4181="","",A4181="?",E4181="?"),"duplicate?",IF(COUNTIFS($A:A,A4181,E:E,E4181)&gt;1,"yes","no"))</f>
        <v>duplicate?</v>
      </c>
      <c r="K4181" s="97" t="str">
        <f ca="1">IF(J4181="","Date",IF(J4181&lt;&gt;"",IF(K4181="Date",NOW(),K4181),""))</f>
        <v>Date</v>
      </c>
    </row>
    <row r="4182" spans="2:11">
      <c r="B4182" s="97" t="str">
        <f ca="1">IF(A4182="","Date",IF(A4182&lt;&gt;"",IF(B4182="Date",NOW(),B4182),""))</f>
        <v>Date</v>
      </c>
      <c r="C4182" s="19" t="str">
        <f>IF(ISBLANK(A4182),"Name",IF(ISNA(VLOOKUP(A4182,'Master List'!A:C,2,FALSE)), "Not Found", VLOOKUP(A4182,'Master List'!A:C,2,FALSE)))</f>
        <v>Name</v>
      </c>
      <c r="D4182" s="19" t="str">
        <f>IF(ISBLANK(A4182), "Email",IF(ISNA(VLOOKUP(A4182,'Master List'!A:C,3,FALSE)), "Not Found", VLOOKUP(A4182,'Master List'!A:C,3,FALSE)))</f>
        <v>Email</v>
      </c>
      <c r="F4182" s="4" t="str">
        <f>IF(OR(A4182="",E4182="","",A4182="?",E4182="?"),"duplicate?",IF(COUNTIFS($A:A,A4182,E:E,E4182)&gt;1,"yes","no"))</f>
        <v>duplicate?</v>
      </c>
      <c r="K4182" s="97" t="str">
        <f ca="1">IF(J4182="","Date",IF(J4182&lt;&gt;"",IF(K4182="Date",NOW(),K4182),""))</f>
        <v>Date</v>
      </c>
    </row>
    <row r="4183" spans="2:11">
      <c r="B4183" s="97" t="str">
        <f ca="1">IF(A4183="","Date",IF(A4183&lt;&gt;"",IF(B4183="Date",NOW(),B4183),""))</f>
        <v>Date</v>
      </c>
      <c r="C4183" s="19" t="str">
        <f>IF(ISBLANK(A4183),"Name",IF(ISNA(VLOOKUP(A4183,'Master List'!A:C,2,FALSE)), "Not Found", VLOOKUP(A4183,'Master List'!A:C,2,FALSE)))</f>
        <v>Name</v>
      </c>
      <c r="D4183" s="19" t="str">
        <f>IF(ISBLANK(A4183), "Email",IF(ISNA(VLOOKUP(A4183,'Master List'!A:C,3,FALSE)), "Not Found", VLOOKUP(A4183,'Master List'!A:C,3,FALSE)))</f>
        <v>Email</v>
      </c>
      <c r="F4183" s="4" t="str">
        <f>IF(OR(A4183="",E4183="","",A4183="?",E4183="?"),"duplicate?",IF(COUNTIFS($A:A,A4183,E:E,E4183)&gt;1,"yes","no"))</f>
        <v>duplicate?</v>
      </c>
      <c r="K4183" s="97" t="str">
        <f ca="1">IF(J4183="","Date",IF(J4183&lt;&gt;"",IF(K4183="Date",NOW(),K4183),""))</f>
        <v>Date</v>
      </c>
    </row>
    <row r="4184" spans="2:11">
      <c r="B4184" s="97" t="str">
        <f ca="1">IF(A4184="","Date",IF(A4184&lt;&gt;"",IF(B4184="Date",NOW(),B4184),""))</f>
        <v>Date</v>
      </c>
      <c r="C4184" s="19" t="str">
        <f>IF(ISBLANK(A4184),"Name",IF(ISNA(VLOOKUP(A4184,'Master List'!A:C,2,FALSE)), "Not Found", VLOOKUP(A4184,'Master List'!A:C,2,FALSE)))</f>
        <v>Name</v>
      </c>
      <c r="D4184" s="19" t="str">
        <f>IF(ISBLANK(A4184), "Email",IF(ISNA(VLOOKUP(A4184,'Master List'!A:C,3,FALSE)), "Not Found", VLOOKUP(A4184,'Master List'!A:C,3,FALSE)))</f>
        <v>Email</v>
      </c>
      <c r="F4184" s="4" t="str">
        <f>IF(OR(A4184="",E4184="","",A4184="?",E4184="?"),"duplicate?",IF(COUNTIFS($A:A,A4184,E:E,E4184)&gt;1,"yes","no"))</f>
        <v>duplicate?</v>
      </c>
      <c r="K4184" s="97" t="str">
        <f ca="1">IF(J4184="","Date",IF(J4184&lt;&gt;"",IF(K4184="Date",NOW(),K4184),""))</f>
        <v>Date</v>
      </c>
    </row>
    <row r="4185" spans="2:11">
      <c r="B4185" s="97" t="str">
        <f ca="1">IF(A4185="","Date",IF(A4185&lt;&gt;"",IF(B4185="Date",NOW(),B4185),""))</f>
        <v>Date</v>
      </c>
      <c r="C4185" s="19" t="str">
        <f>IF(ISBLANK(A4185),"Name",IF(ISNA(VLOOKUP(A4185,'Master List'!A:C,2,FALSE)), "Not Found", VLOOKUP(A4185,'Master List'!A:C,2,FALSE)))</f>
        <v>Name</v>
      </c>
      <c r="D4185" s="19" t="str">
        <f>IF(ISBLANK(A4185), "Email",IF(ISNA(VLOOKUP(A4185,'Master List'!A:C,3,FALSE)), "Not Found", VLOOKUP(A4185,'Master List'!A:C,3,FALSE)))</f>
        <v>Email</v>
      </c>
      <c r="F4185" s="4" t="str">
        <f>IF(OR(A4185="",E4185="","",A4185="?",E4185="?"),"duplicate?",IF(COUNTIFS($A:A,A4185,E:E,E4185)&gt;1,"yes","no"))</f>
        <v>duplicate?</v>
      </c>
      <c r="K4185" s="97" t="str">
        <f ca="1">IF(J4185="","Date",IF(J4185&lt;&gt;"",IF(K4185="Date",NOW(),K4185),""))</f>
        <v>Date</v>
      </c>
    </row>
    <row r="4186" spans="2:11">
      <c r="B4186" s="97" t="str">
        <f ca="1">IF(A4186="","Date",IF(A4186&lt;&gt;"",IF(B4186="Date",NOW(),B4186),""))</f>
        <v>Date</v>
      </c>
      <c r="C4186" s="19" t="str">
        <f>IF(ISBLANK(A4186),"Name",IF(ISNA(VLOOKUP(A4186,'Master List'!A:C,2,FALSE)), "Not Found", VLOOKUP(A4186,'Master List'!A:C,2,FALSE)))</f>
        <v>Name</v>
      </c>
      <c r="D4186" s="19" t="str">
        <f>IF(ISBLANK(A4186), "Email",IF(ISNA(VLOOKUP(A4186,'Master List'!A:C,3,FALSE)), "Not Found", VLOOKUP(A4186,'Master List'!A:C,3,FALSE)))</f>
        <v>Email</v>
      </c>
      <c r="F4186" s="4" t="str">
        <f>IF(OR(A4186="",E4186="","",A4186="?",E4186="?"),"duplicate?",IF(COUNTIFS($A:A,A4186,E:E,E4186)&gt;1,"yes","no"))</f>
        <v>duplicate?</v>
      </c>
      <c r="K4186" s="97" t="str">
        <f ca="1">IF(J4186="","Date",IF(J4186&lt;&gt;"",IF(K4186="Date",NOW(),K4186),""))</f>
        <v>Date</v>
      </c>
    </row>
    <row r="4187" spans="2:11">
      <c r="B4187" s="97" t="str">
        <f ca="1">IF(A4187="","Date",IF(A4187&lt;&gt;"",IF(B4187="Date",NOW(),B4187),""))</f>
        <v>Date</v>
      </c>
      <c r="C4187" s="19" t="str">
        <f>IF(ISBLANK(A4187),"Name",IF(ISNA(VLOOKUP(A4187,'Master List'!A:C,2,FALSE)), "Not Found", VLOOKUP(A4187,'Master List'!A:C,2,FALSE)))</f>
        <v>Name</v>
      </c>
      <c r="D4187" s="19" t="str">
        <f>IF(ISBLANK(A4187), "Email",IF(ISNA(VLOOKUP(A4187,'Master List'!A:C,3,FALSE)), "Not Found", VLOOKUP(A4187,'Master List'!A:C,3,FALSE)))</f>
        <v>Email</v>
      </c>
      <c r="F4187" s="4" t="str">
        <f>IF(OR(A4187="",E4187="","",A4187="?",E4187="?"),"duplicate?",IF(COUNTIFS($A:A,A4187,E:E,E4187)&gt;1,"yes","no"))</f>
        <v>duplicate?</v>
      </c>
      <c r="K4187" s="97" t="str">
        <f ca="1">IF(J4187="","Date",IF(J4187&lt;&gt;"",IF(K4187="Date",NOW(),K4187),""))</f>
        <v>Date</v>
      </c>
    </row>
    <row r="4188" spans="2:11">
      <c r="B4188" s="97" t="str">
        <f ca="1">IF(A4188="","Date",IF(A4188&lt;&gt;"",IF(B4188="Date",NOW(),B4188),""))</f>
        <v>Date</v>
      </c>
      <c r="C4188" s="19" t="str">
        <f>IF(ISBLANK(A4188),"Name",IF(ISNA(VLOOKUP(A4188,'Master List'!A:C,2,FALSE)), "Not Found", VLOOKUP(A4188,'Master List'!A:C,2,FALSE)))</f>
        <v>Name</v>
      </c>
      <c r="D4188" s="19" t="str">
        <f>IF(ISBLANK(A4188), "Email",IF(ISNA(VLOOKUP(A4188,'Master List'!A:C,3,FALSE)), "Not Found", VLOOKUP(A4188,'Master List'!A:C,3,FALSE)))</f>
        <v>Email</v>
      </c>
      <c r="F4188" s="4" t="str">
        <f>IF(OR(A4188="",E4188="","",A4188="?",E4188="?"),"duplicate?",IF(COUNTIFS($A:A,A4188,E:E,E4188)&gt;1,"yes","no"))</f>
        <v>duplicate?</v>
      </c>
      <c r="K4188" s="97" t="str">
        <f ca="1">IF(J4188="","Date",IF(J4188&lt;&gt;"",IF(K4188="Date",NOW(),K4188),""))</f>
        <v>Date</v>
      </c>
    </row>
    <row r="4189" spans="2:11">
      <c r="B4189" s="97" t="str">
        <f ca="1">IF(A4189="","Date",IF(A4189&lt;&gt;"",IF(B4189="Date",NOW(),B4189),""))</f>
        <v>Date</v>
      </c>
      <c r="C4189" s="19" t="str">
        <f>IF(ISBLANK(A4189),"Name",IF(ISNA(VLOOKUP(A4189,'Master List'!A:C,2,FALSE)), "Not Found", VLOOKUP(A4189,'Master List'!A:C,2,FALSE)))</f>
        <v>Name</v>
      </c>
      <c r="D4189" s="19" t="str">
        <f>IF(ISBLANK(A4189), "Email",IF(ISNA(VLOOKUP(A4189,'Master List'!A:C,3,FALSE)), "Not Found", VLOOKUP(A4189,'Master List'!A:C,3,FALSE)))</f>
        <v>Email</v>
      </c>
      <c r="F4189" s="4" t="str">
        <f>IF(OR(A4189="",E4189="","",A4189="?",E4189="?"),"duplicate?",IF(COUNTIFS($A:A,A4189,E:E,E4189)&gt;1,"yes","no"))</f>
        <v>duplicate?</v>
      </c>
      <c r="K4189" s="97" t="str">
        <f ca="1">IF(J4189="","Date",IF(J4189&lt;&gt;"",IF(K4189="Date",NOW(),K4189),""))</f>
        <v>Date</v>
      </c>
    </row>
    <row r="4190" spans="2:11">
      <c r="B4190" s="97" t="str">
        <f ca="1">IF(A4190="","Date",IF(A4190&lt;&gt;"",IF(B4190="Date",NOW(),B4190),""))</f>
        <v>Date</v>
      </c>
      <c r="C4190" s="19" t="str">
        <f>IF(ISBLANK(A4190),"Name",IF(ISNA(VLOOKUP(A4190,'Master List'!A:C,2,FALSE)), "Not Found", VLOOKUP(A4190,'Master List'!A:C,2,FALSE)))</f>
        <v>Name</v>
      </c>
      <c r="D4190" s="19" t="str">
        <f>IF(ISBLANK(A4190), "Email",IF(ISNA(VLOOKUP(A4190,'Master List'!A:C,3,FALSE)), "Not Found", VLOOKUP(A4190,'Master List'!A:C,3,FALSE)))</f>
        <v>Email</v>
      </c>
      <c r="F4190" s="4" t="str">
        <f>IF(OR(A4190="",E4190="","",A4190="?",E4190="?"),"duplicate?",IF(COUNTIFS($A:A,A4190,E:E,E4190)&gt;1,"yes","no"))</f>
        <v>duplicate?</v>
      </c>
      <c r="K4190" s="97" t="str">
        <f ca="1">IF(J4190="","Date",IF(J4190&lt;&gt;"",IF(K4190="Date",NOW(),K4190),""))</f>
        <v>Date</v>
      </c>
    </row>
    <row r="4191" spans="2:11">
      <c r="B4191" s="97" t="str">
        <f ca="1">IF(A4191="","Date",IF(A4191&lt;&gt;"",IF(B4191="Date",NOW(),B4191),""))</f>
        <v>Date</v>
      </c>
      <c r="C4191" s="19" t="str">
        <f>IF(ISBLANK(A4191),"Name",IF(ISNA(VLOOKUP(A4191,'Master List'!A:C,2,FALSE)), "Not Found", VLOOKUP(A4191,'Master List'!A:C,2,FALSE)))</f>
        <v>Name</v>
      </c>
      <c r="D4191" s="19" t="str">
        <f>IF(ISBLANK(A4191), "Email",IF(ISNA(VLOOKUP(A4191,'Master List'!A:C,3,FALSE)), "Not Found", VLOOKUP(A4191,'Master List'!A:C,3,FALSE)))</f>
        <v>Email</v>
      </c>
      <c r="F4191" s="4" t="str">
        <f>IF(OR(A4191="",E4191="","",A4191="?",E4191="?"),"duplicate?",IF(COUNTIFS($A:A,A4191,E:E,E4191)&gt;1,"yes","no"))</f>
        <v>duplicate?</v>
      </c>
      <c r="K4191" s="97" t="str">
        <f ca="1">IF(J4191="","Date",IF(J4191&lt;&gt;"",IF(K4191="Date",NOW(),K4191),""))</f>
        <v>Date</v>
      </c>
    </row>
    <row r="4192" spans="2:11">
      <c r="B4192" s="97" t="str">
        <f ca="1">IF(A4192="","Date",IF(A4192&lt;&gt;"",IF(B4192="Date",NOW(),B4192),""))</f>
        <v>Date</v>
      </c>
      <c r="C4192" s="19" t="str">
        <f>IF(ISBLANK(A4192),"Name",IF(ISNA(VLOOKUP(A4192,'Master List'!A:C,2,FALSE)), "Not Found", VLOOKUP(A4192,'Master List'!A:C,2,FALSE)))</f>
        <v>Name</v>
      </c>
      <c r="D4192" s="19" t="str">
        <f>IF(ISBLANK(A4192), "Email",IF(ISNA(VLOOKUP(A4192,'Master List'!A:C,3,FALSE)), "Not Found", VLOOKUP(A4192,'Master List'!A:C,3,FALSE)))</f>
        <v>Email</v>
      </c>
      <c r="F4192" s="4" t="str">
        <f>IF(OR(A4192="",E4192="","",A4192="?",E4192="?"),"duplicate?",IF(COUNTIFS($A:A,A4192,E:E,E4192)&gt;1,"yes","no"))</f>
        <v>duplicate?</v>
      </c>
      <c r="K4192" s="97" t="str">
        <f ca="1">IF(J4192="","Date",IF(J4192&lt;&gt;"",IF(K4192="Date",NOW(),K4192),""))</f>
        <v>Date</v>
      </c>
    </row>
    <row r="4193" spans="2:11">
      <c r="B4193" s="97" t="str">
        <f ca="1">IF(A4193="","Date",IF(A4193&lt;&gt;"",IF(B4193="Date",NOW(),B4193),""))</f>
        <v>Date</v>
      </c>
      <c r="C4193" s="19" t="str">
        <f>IF(ISBLANK(A4193),"Name",IF(ISNA(VLOOKUP(A4193,'Master List'!A:C,2,FALSE)), "Not Found", VLOOKUP(A4193,'Master List'!A:C,2,FALSE)))</f>
        <v>Name</v>
      </c>
      <c r="D4193" s="19" t="str">
        <f>IF(ISBLANK(A4193), "Email",IF(ISNA(VLOOKUP(A4193,'Master List'!A:C,3,FALSE)), "Not Found", VLOOKUP(A4193,'Master List'!A:C,3,FALSE)))</f>
        <v>Email</v>
      </c>
      <c r="F4193" s="4" t="str">
        <f>IF(OR(A4193="",E4193="","",A4193="?",E4193="?"),"duplicate?",IF(COUNTIFS($A:A,A4193,E:E,E4193)&gt;1,"yes","no"))</f>
        <v>duplicate?</v>
      </c>
      <c r="K4193" s="97" t="str">
        <f ca="1">IF(J4193="","Date",IF(J4193&lt;&gt;"",IF(K4193="Date",NOW(),K4193),""))</f>
        <v>Date</v>
      </c>
    </row>
    <row r="4194" spans="2:11">
      <c r="B4194" s="97" t="str">
        <f ca="1">IF(A4194="","Date",IF(A4194&lt;&gt;"",IF(B4194="Date",NOW(),B4194),""))</f>
        <v>Date</v>
      </c>
      <c r="C4194" s="19" t="str">
        <f>IF(ISBLANK(A4194),"Name",IF(ISNA(VLOOKUP(A4194,'Master List'!A:C,2,FALSE)), "Not Found", VLOOKUP(A4194,'Master List'!A:C,2,FALSE)))</f>
        <v>Name</v>
      </c>
      <c r="D4194" s="19" t="str">
        <f>IF(ISBLANK(A4194), "Email",IF(ISNA(VLOOKUP(A4194,'Master List'!A:C,3,FALSE)), "Not Found", VLOOKUP(A4194,'Master List'!A:C,3,FALSE)))</f>
        <v>Email</v>
      </c>
      <c r="F4194" s="4" t="str">
        <f>IF(OR(A4194="",E4194="","",A4194="?",E4194="?"),"duplicate?",IF(COUNTIFS($A:A,A4194,E:E,E4194)&gt;1,"yes","no"))</f>
        <v>duplicate?</v>
      </c>
      <c r="K4194" s="97" t="str">
        <f ca="1">IF(J4194="","Date",IF(J4194&lt;&gt;"",IF(K4194="Date",NOW(),K4194),""))</f>
        <v>Date</v>
      </c>
    </row>
    <row r="4195" spans="2:11">
      <c r="B4195" s="97" t="str">
        <f ca="1">IF(A4195="","Date",IF(A4195&lt;&gt;"",IF(B4195="Date",NOW(),B4195),""))</f>
        <v>Date</v>
      </c>
      <c r="C4195" s="19" t="str">
        <f>IF(ISBLANK(A4195),"Name",IF(ISNA(VLOOKUP(A4195,'Master List'!A:C,2,FALSE)), "Not Found", VLOOKUP(A4195,'Master List'!A:C,2,FALSE)))</f>
        <v>Name</v>
      </c>
      <c r="D4195" s="19" t="str">
        <f>IF(ISBLANK(A4195), "Email",IF(ISNA(VLOOKUP(A4195,'Master List'!A:C,3,FALSE)), "Not Found", VLOOKUP(A4195,'Master List'!A:C,3,FALSE)))</f>
        <v>Email</v>
      </c>
      <c r="F4195" s="4" t="str">
        <f>IF(OR(A4195="",E4195="","",A4195="?",E4195="?"),"duplicate?",IF(COUNTIFS($A:A,A4195,E:E,E4195)&gt;1,"yes","no"))</f>
        <v>duplicate?</v>
      </c>
      <c r="K4195" s="97" t="str">
        <f ca="1">IF(J4195="","Date",IF(J4195&lt;&gt;"",IF(K4195="Date",NOW(),K4195),""))</f>
        <v>Date</v>
      </c>
    </row>
    <row r="4196" spans="2:11">
      <c r="B4196" s="97" t="str">
        <f ca="1">IF(A4196="","Date",IF(A4196&lt;&gt;"",IF(B4196="Date",NOW(),B4196),""))</f>
        <v>Date</v>
      </c>
      <c r="C4196" s="19" t="str">
        <f>IF(ISBLANK(A4196),"Name",IF(ISNA(VLOOKUP(A4196,'Master List'!A:C,2,FALSE)), "Not Found", VLOOKUP(A4196,'Master List'!A:C,2,FALSE)))</f>
        <v>Name</v>
      </c>
      <c r="D4196" s="19" t="str">
        <f>IF(ISBLANK(A4196), "Email",IF(ISNA(VLOOKUP(A4196,'Master List'!A:C,3,FALSE)), "Not Found", VLOOKUP(A4196,'Master List'!A:C,3,FALSE)))</f>
        <v>Email</v>
      </c>
      <c r="F4196" s="4" t="str">
        <f>IF(OR(A4196="",E4196="","",A4196="?",E4196="?"),"duplicate?",IF(COUNTIFS($A:A,A4196,E:E,E4196)&gt;1,"yes","no"))</f>
        <v>duplicate?</v>
      </c>
      <c r="K4196" s="97" t="str">
        <f ca="1">IF(J4196="","Date",IF(J4196&lt;&gt;"",IF(K4196="Date",NOW(),K4196),""))</f>
        <v>Date</v>
      </c>
    </row>
    <row r="4197" spans="2:11">
      <c r="B4197" s="97" t="str">
        <f ca="1">IF(A4197="","Date",IF(A4197&lt;&gt;"",IF(B4197="Date",NOW(),B4197),""))</f>
        <v>Date</v>
      </c>
      <c r="C4197" s="19" t="str">
        <f>IF(ISBLANK(A4197),"Name",IF(ISNA(VLOOKUP(A4197,'Master List'!A:C,2,FALSE)), "Not Found", VLOOKUP(A4197,'Master List'!A:C,2,FALSE)))</f>
        <v>Name</v>
      </c>
      <c r="D4197" s="19" t="str">
        <f>IF(ISBLANK(A4197), "Email",IF(ISNA(VLOOKUP(A4197,'Master List'!A:C,3,FALSE)), "Not Found", VLOOKUP(A4197,'Master List'!A:C,3,FALSE)))</f>
        <v>Email</v>
      </c>
      <c r="F4197" s="4" t="str">
        <f>IF(OR(A4197="",E4197="","",A4197="?",E4197="?"),"duplicate?",IF(COUNTIFS($A:A,A4197,E:E,E4197)&gt;1,"yes","no"))</f>
        <v>duplicate?</v>
      </c>
      <c r="K4197" s="97" t="str">
        <f ca="1">IF(J4197="","Date",IF(J4197&lt;&gt;"",IF(K4197="Date",NOW(),K4197),""))</f>
        <v>Date</v>
      </c>
    </row>
    <row r="4198" spans="2:11">
      <c r="B4198" s="97" t="str">
        <f ca="1">IF(A4198="","Date",IF(A4198&lt;&gt;"",IF(B4198="Date",NOW(),B4198),""))</f>
        <v>Date</v>
      </c>
      <c r="C4198" s="19" t="str">
        <f>IF(ISBLANK(A4198),"Name",IF(ISNA(VLOOKUP(A4198,'Master List'!A:C,2,FALSE)), "Not Found", VLOOKUP(A4198,'Master List'!A:C,2,FALSE)))</f>
        <v>Name</v>
      </c>
      <c r="D4198" s="19" t="str">
        <f>IF(ISBLANK(A4198), "Email",IF(ISNA(VLOOKUP(A4198,'Master List'!A:C,3,FALSE)), "Not Found", VLOOKUP(A4198,'Master List'!A:C,3,FALSE)))</f>
        <v>Email</v>
      </c>
      <c r="F4198" s="4" t="str">
        <f>IF(OR(A4198="",E4198="","",A4198="?",E4198="?"),"duplicate?",IF(COUNTIFS($A:A,A4198,E:E,E4198)&gt;1,"yes","no"))</f>
        <v>duplicate?</v>
      </c>
      <c r="K4198" s="97" t="str">
        <f ca="1">IF(J4198="","Date",IF(J4198&lt;&gt;"",IF(K4198="Date",NOW(),K4198),""))</f>
        <v>Date</v>
      </c>
    </row>
    <row r="4199" spans="2:11">
      <c r="B4199" s="97" t="str">
        <f ca="1">IF(A4199="","Date",IF(A4199&lt;&gt;"",IF(B4199="Date",NOW(),B4199),""))</f>
        <v>Date</v>
      </c>
      <c r="C4199" s="19" t="str">
        <f>IF(ISBLANK(A4199),"Name",IF(ISNA(VLOOKUP(A4199,'Master List'!A:C,2,FALSE)), "Not Found", VLOOKUP(A4199,'Master List'!A:C,2,FALSE)))</f>
        <v>Name</v>
      </c>
      <c r="D4199" s="19" t="str">
        <f>IF(ISBLANK(A4199), "Email",IF(ISNA(VLOOKUP(A4199,'Master List'!A:C,3,FALSE)), "Not Found", VLOOKUP(A4199,'Master List'!A:C,3,FALSE)))</f>
        <v>Email</v>
      </c>
      <c r="F4199" s="4" t="str">
        <f>IF(OR(A4199="",E4199="","",A4199="?",E4199="?"),"duplicate?",IF(COUNTIFS($A:A,A4199,E:E,E4199)&gt;1,"yes","no"))</f>
        <v>duplicate?</v>
      </c>
      <c r="K4199" s="97" t="str">
        <f ca="1">IF(J4199="","Date",IF(J4199&lt;&gt;"",IF(K4199="Date",NOW(),K4199),""))</f>
        <v>Date</v>
      </c>
    </row>
    <row r="4200" spans="2:11">
      <c r="B4200" s="97" t="str">
        <f ca="1">IF(A4200="","Date",IF(A4200&lt;&gt;"",IF(B4200="Date",NOW(),B4200),""))</f>
        <v>Date</v>
      </c>
      <c r="C4200" s="19" t="str">
        <f>IF(ISBLANK(A4200),"Name",IF(ISNA(VLOOKUP(A4200,'Master List'!A:C,2,FALSE)), "Not Found", VLOOKUP(A4200,'Master List'!A:C,2,FALSE)))</f>
        <v>Name</v>
      </c>
      <c r="D4200" s="19" t="str">
        <f>IF(ISBLANK(A4200), "Email",IF(ISNA(VLOOKUP(A4200,'Master List'!A:C,3,FALSE)), "Not Found", VLOOKUP(A4200,'Master List'!A:C,3,FALSE)))</f>
        <v>Email</v>
      </c>
      <c r="F4200" s="4" t="str">
        <f>IF(OR(A4200="",E4200="","",A4200="?",E4200="?"),"duplicate?",IF(COUNTIFS($A:A,A4200,E:E,E4200)&gt;1,"yes","no"))</f>
        <v>duplicate?</v>
      </c>
      <c r="K4200" s="97" t="str">
        <f ca="1">IF(J4200="","Date",IF(J4200&lt;&gt;"",IF(K4200="Date",NOW(),K4200),""))</f>
        <v>Date</v>
      </c>
    </row>
    <row r="4201" spans="2:11">
      <c r="B4201" s="97" t="str">
        <f ca="1">IF(A4201="","Date",IF(A4201&lt;&gt;"",IF(B4201="Date",NOW(),B4201),""))</f>
        <v>Date</v>
      </c>
      <c r="C4201" s="19" t="str">
        <f>IF(ISBLANK(A4201),"Name",IF(ISNA(VLOOKUP(A4201,'Master List'!A:C,2,FALSE)), "Not Found", VLOOKUP(A4201,'Master List'!A:C,2,FALSE)))</f>
        <v>Name</v>
      </c>
      <c r="D4201" s="19" t="str">
        <f>IF(ISBLANK(A4201), "Email",IF(ISNA(VLOOKUP(A4201,'Master List'!A:C,3,FALSE)), "Not Found", VLOOKUP(A4201,'Master List'!A:C,3,FALSE)))</f>
        <v>Email</v>
      </c>
      <c r="F4201" s="4" t="str">
        <f>IF(OR(A4201="",E4201="","",A4201="?",E4201="?"),"duplicate?",IF(COUNTIFS($A:A,A4201,E:E,E4201)&gt;1,"yes","no"))</f>
        <v>duplicate?</v>
      </c>
      <c r="K4201" s="97" t="str">
        <f ca="1">IF(J4201="","Date",IF(J4201&lt;&gt;"",IF(K4201="Date",NOW(),K4201),""))</f>
        <v>Date</v>
      </c>
    </row>
    <row r="4202" spans="2:11">
      <c r="B4202" s="97" t="str">
        <f ca="1">IF(A4202="","Date",IF(A4202&lt;&gt;"",IF(B4202="Date",NOW(),B4202),""))</f>
        <v>Date</v>
      </c>
      <c r="C4202" s="19" t="str">
        <f>IF(ISBLANK(A4202),"Name",IF(ISNA(VLOOKUP(A4202,'Master List'!A:C,2,FALSE)), "Not Found", VLOOKUP(A4202,'Master List'!A:C,2,FALSE)))</f>
        <v>Name</v>
      </c>
      <c r="D4202" s="19" t="str">
        <f>IF(ISBLANK(A4202), "Email",IF(ISNA(VLOOKUP(A4202,'Master List'!A:C,3,FALSE)), "Not Found", VLOOKUP(A4202,'Master List'!A:C,3,FALSE)))</f>
        <v>Email</v>
      </c>
      <c r="F4202" s="4" t="str">
        <f>IF(OR(A4202="",E4202="","",A4202="?",E4202="?"),"duplicate?",IF(COUNTIFS($A:A,A4202,E:E,E4202)&gt;1,"yes","no"))</f>
        <v>duplicate?</v>
      </c>
      <c r="K4202" s="97" t="str">
        <f ca="1">IF(J4202="","Date",IF(J4202&lt;&gt;"",IF(K4202="Date",NOW(),K4202),""))</f>
        <v>Date</v>
      </c>
    </row>
    <row r="4203" spans="2:11">
      <c r="B4203" s="97" t="str">
        <f ca="1">IF(A4203="","Date",IF(A4203&lt;&gt;"",IF(B4203="Date",NOW(),B4203),""))</f>
        <v>Date</v>
      </c>
      <c r="C4203" s="19" t="str">
        <f>IF(ISBLANK(A4203),"Name",IF(ISNA(VLOOKUP(A4203,'Master List'!A:C,2,FALSE)), "Not Found", VLOOKUP(A4203,'Master List'!A:C,2,FALSE)))</f>
        <v>Name</v>
      </c>
      <c r="D4203" s="19" t="str">
        <f>IF(ISBLANK(A4203), "Email",IF(ISNA(VLOOKUP(A4203,'Master List'!A:C,3,FALSE)), "Not Found", VLOOKUP(A4203,'Master List'!A:C,3,FALSE)))</f>
        <v>Email</v>
      </c>
      <c r="F4203" s="4" t="str">
        <f>IF(OR(A4203="",E4203="","",A4203="?",E4203="?"),"duplicate?",IF(COUNTIFS($A:A,A4203,E:E,E4203)&gt;1,"yes","no"))</f>
        <v>duplicate?</v>
      </c>
      <c r="K4203" s="97" t="str">
        <f ca="1">IF(J4203="","Date",IF(J4203&lt;&gt;"",IF(K4203="Date",NOW(),K4203),""))</f>
        <v>Date</v>
      </c>
    </row>
    <row r="4204" spans="2:11">
      <c r="B4204" s="97" t="str">
        <f ca="1">IF(A4204="","Date",IF(A4204&lt;&gt;"",IF(B4204="Date",NOW(),B4204),""))</f>
        <v>Date</v>
      </c>
      <c r="C4204" s="19" t="str">
        <f>IF(ISBLANK(A4204),"Name",IF(ISNA(VLOOKUP(A4204,'Master List'!A:C,2,FALSE)), "Not Found", VLOOKUP(A4204,'Master List'!A:C,2,FALSE)))</f>
        <v>Name</v>
      </c>
      <c r="D4204" s="19" t="str">
        <f>IF(ISBLANK(A4204), "Email",IF(ISNA(VLOOKUP(A4204,'Master List'!A:C,3,FALSE)), "Not Found", VLOOKUP(A4204,'Master List'!A:C,3,FALSE)))</f>
        <v>Email</v>
      </c>
      <c r="F4204" s="4" t="str">
        <f>IF(OR(A4204="",E4204="","",A4204="?",E4204="?"),"duplicate?",IF(COUNTIFS($A:A,A4204,E:E,E4204)&gt;1,"yes","no"))</f>
        <v>duplicate?</v>
      </c>
      <c r="K4204" s="97" t="str">
        <f ca="1">IF(J4204="","Date",IF(J4204&lt;&gt;"",IF(K4204="Date",NOW(),K4204),""))</f>
        <v>Date</v>
      </c>
    </row>
    <row r="4205" spans="2:11">
      <c r="B4205" s="97" t="str">
        <f ca="1">IF(A4205="","Date",IF(A4205&lt;&gt;"",IF(B4205="Date",NOW(),B4205),""))</f>
        <v>Date</v>
      </c>
      <c r="C4205" s="19" t="str">
        <f>IF(ISBLANK(A4205),"Name",IF(ISNA(VLOOKUP(A4205,'Master List'!A:C,2,FALSE)), "Not Found", VLOOKUP(A4205,'Master List'!A:C,2,FALSE)))</f>
        <v>Name</v>
      </c>
      <c r="D4205" s="19" t="str">
        <f>IF(ISBLANK(A4205), "Email",IF(ISNA(VLOOKUP(A4205,'Master List'!A:C,3,FALSE)), "Not Found", VLOOKUP(A4205,'Master List'!A:C,3,FALSE)))</f>
        <v>Email</v>
      </c>
      <c r="F4205" s="4" t="str">
        <f>IF(OR(A4205="",E4205="","",A4205="?",E4205="?"),"duplicate?",IF(COUNTIFS($A:A,A4205,E:E,E4205)&gt;1,"yes","no"))</f>
        <v>duplicate?</v>
      </c>
      <c r="K4205" s="97" t="str">
        <f ca="1">IF(J4205="","Date",IF(J4205&lt;&gt;"",IF(K4205="Date",NOW(),K4205),""))</f>
        <v>Date</v>
      </c>
    </row>
    <row r="4206" spans="2:11">
      <c r="B4206" s="97" t="str">
        <f ca="1">IF(A4206="","Date",IF(A4206&lt;&gt;"",IF(B4206="Date",NOW(),B4206),""))</f>
        <v>Date</v>
      </c>
      <c r="C4206" s="19" t="str">
        <f>IF(ISBLANK(A4206),"Name",IF(ISNA(VLOOKUP(A4206,'Master List'!A:C,2,FALSE)), "Not Found", VLOOKUP(A4206,'Master List'!A:C,2,FALSE)))</f>
        <v>Name</v>
      </c>
      <c r="D4206" s="19" t="str">
        <f>IF(ISBLANK(A4206), "Email",IF(ISNA(VLOOKUP(A4206,'Master List'!A:C,3,FALSE)), "Not Found", VLOOKUP(A4206,'Master List'!A:C,3,FALSE)))</f>
        <v>Email</v>
      </c>
      <c r="F4206" s="4" t="str">
        <f>IF(OR(A4206="",E4206="","",A4206="?",E4206="?"),"duplicate?",IF(COUNTIFS($A:A,A4206,E:E,E4206)&gt;1,"yes","no"))</f>
        <v>duplicate?</v>
      </c>
      <c r="K4206" s="97" t="str">
        <f ca="1">IF(J4206="","Date",IF(J4206&lt;&gt;"",IF(K4206="Date",NOW(),K4206),""))</f>
        <v>Date</v>
      </c>
    </row>
    <row r="4207" spans="2:11">
      <c r="B4207" s="97" t="str">
        <f ca="1">IF(A4207="","Date",IF(A4207&lt;&gt;"",IF(B4207="Date",NOW(),B4207),""))</f>
        <v>Date</v>
      </c>
      <c r="C4207" s="19" t="str">
        <f>IF(ISBLANK(A4207),"Name",IF(ISNA(VLOOKUP(A4207,'Master List'!A:C,2,FALSE)), "Not Found", VLOOKUP(A4207,'Master List'!A:C,2,FALSE)))</f>
        <v>Name</v>
      </c>
      <c r="D4207" s="19" t="str">
        <f>IF(ISBLANK(A4207), "Email",IF(ISNA(VLOOKUP(A4207,'Master List'!A:C,3,FALSE)), "Not Found", VLOOKUP(A4207,'Master List'!A:C,3,FALSE)))</f>
        <v>Email</v>
      </c>
      <c r="F4207" s="4" t="str">
        <f>IF(OR(A4207="",E4207="","",A4207="?",E4207="?"),"duplicate?",IF(COUNTIFS($A:A,A4207,E:E,E4207)&gt;1,"yes","no"))</f>
        <v>duplicate?</v>
      </c>
      <c r="K4207" s="97" t="str">
        <f ca="1">IF(J4207="","Date",IF(J4207&lt;&gt;"",IF(K4207="Date",NOW(),K4207),""))</f>
        <v>Date</v>
      </c>
    </row>
    <row r="4208" spans="2:11">
      <c r="B4208" s="97" t="str">
        <f ca="1">IF(A4208="","Date",IF(A4208&lt;&gt;"",IF(B4208="Date",NOW(),B4208),""))</f>
        <v>Date</v>
      </c>
      <c r="C4208" s="19" t="str">
        <f>IF(ISBLANK(A4208),"Name",IF(ISNA(VLOOKUP(A4208,'Master List'!A:C,2,FALSE)), "Not Found", VLOOKUP(A4208,'Master List'!A:C,2,FALSE)))</f>
        <v>Name</v>
      </c>
      <c r="D4208" s="19" t="str">
        <f>IF(ISBLANK(A4208), "Email",IF(ISNA(VLOOKUP(A4208,'Master List'!A:C,3,FALSE)), "Not Found", VLOOKUP(A4208,'Master List'!A:C,3,FALSE)))</f>
        <v>Email</v>
      </c>
      <c r="F4208" s="4" t="str">
        <f>IF(OR(A4208="",E4208="","",A4208="?",E4208="?"),"duplicate?",IF(COUNTIFS($A:A,A4208,E:E,E4208)&gt;1,"yes","no"))</f>
        <v>duplicate?</v>
      </c>
      <c r="K4208" s="97" t="str">
        <f ca="1">IF(J4208="","Date",IF(J4208&lt;&gt;"",IF(K4208="Date",NOW(),K4208),""))</f>
        <v>Date</v>
      </c>
    </row>
    <row r="4209" spans="2:11">
      <c r="B4209" s="97" t="str">
        <f ca="1">IF(A4209="","Date",IF(A4209&lt;&gt;"",IF(B4209="Date",NOW(),B4209),""))</f>
        <v>Date</v>
      </c>
      <c r="C4209" s="19" t="str">
        <f>IF(ISBLANK(A4209),"Name",IF(ISNA(VLOOKUP(A4209,'Master List'!A:C,2,FALSE)), "Not Found", VLOOKUP(A4209,'Master List'!A:C,2,FALSE)))</f>
        <v>Name</v>
      </c>
      <c r="D4209" s="19" t="str">
        <f>IF(ISBLANK(A4209), "Email",IF(ISNA(VLOOKUP(A4209,'Master List'!A:C,3,FALSE)), "Not Found", VLOOKUP(A4209,'Master List'!A:C,3,FALSE)))</f>
        <v>Email</v>
      </c>
      <c r="F4209" s="4" t="str">
        <f>IF(OR(A4209="",E4209="","",A4209="?",E4209="?"),"duplicate?",IF(COUNTIFS($A:A,A4209,E:E,E4209)&gt;1,"yes","no"))</f>
        <v>duplicate?</v>
      </c>
      <c r="K4209" s="97" t="str">
        <f ca="1">IF(J4209="","Date",IF(J4209&lt;&gt;"",IF(K4209="Date",NOW(),K4209),""))</f>
        <v>Date</v>
      </c>
    </row>
    <row r="4210" spans="2:11">
      <c r="B4210" s="97" t="str">
        <f ca="1">IF(A4210="","Date",IF(A4210&lt;&gt;"",IF(B4210="Date",NOW(),B4210),""))</f>
        <v>Date</v>
      </c>
      <c r="C4210" s="19" t="str">
        <f>IF(ISBLANK(A4210),"Name",IF(ISNA(VLOOKUP(A4210,'Master List'!A:C,2,FALSE)), "Not Found", VLOOKUP(A4210,'Master List'!A:C,2,FALSE)))</f>
        <v>Name</v>
      </c>
      <c r="D4210" s="19" t="str">
        <f>IF(ISBLANK(A4210), "Email",IF(ISNA(VLOOKUP(A4210,'Master List'!A:C,3,FALSE)), "Not Found", VLOOKUP(A4210,'Master List'!A:C,3,FALSE)))</f>
        <v>Email</v>
      </c>
      <c r="F4210" s="4" t="str">
        <f>IF(OR(A4210="",E4210="","",A4210="?",E4210="?"),"duplicate?",IF(COUNTIFS($A:A,A4210,E:E,E4210)&gt;1,"yes","no"))</f>
        <v>duplicate?</v>
      </c>
      <c r="K4210" s="97" t="str">
        <f ca="1">IF(J4210="","Date",IF(J4210&lt;&gt;"",IF(K4210="Date",NOW(),K4210),""))</f>
        <v>Date</v>
      </c>
    </row>
    <row r="4211" spans="2:11">
      <c r="B4211" s="97" t="str">
        <f ca="1">IF(A4211="","Date",IF(A4211&lt;&gt;"",IF(B4211="Date",NOW(),B4211),""))</f>
        <v>Date</v>
      </c>
      <c r="C4211" s="19" t="str">
        <f>IF(ISBLANK(A4211),"Name",IF(ISNA(VLOOKUP(A4211,'Master List'!A:C,2,FALSE)), "Not Found", VLOOKUP(A4211,'Master List'!A:C,2,FALSE)))</f>
        <v>Name</v>
      </c>
      <c r="D4211" s="19" t="str">
        <f>IF(ISBLANK(A4211), "Email",IF(ISNA(VLOOKUP(A4211,'Master List'!A:C,3,FALSE)), "Not Found", VLOOKUP(A4211,'Master List'!A:C,3,FALSE)))</f>
        <v>Email</v>
      </c>
      <c r="F4211" s="4" t="str">
        <f>IF(OR(A4211="",E4211="","",A4211="?",E4211="?"),"duplicate?",IF(COUNTIFS($A:A,A4211,E:E,E4211)&gt;1,"yes","no"))</f>
        <v>duplicate?</v>
      </c>
      <c r="K4211" s="97" t="str">
        <f ca="1">IF(J4211="","Date",IF(J4211&lt;&gt;"",IF(K4211="Date",NOW(),K4211),""))</f>
        <v>Date</v>
      </c>
    </row>
    <row r="4212" spans="2:11">
      <c r="B4212" s="97" t="str">
        <f ca="1">IF(A4212="","Date",IF(A4212&lt;&gt;"",IF(B4212="Date",NOW(),B4212),""))</f>
        <v>Date</v>
      </c>
      <c r="C4212" s="19" t="str">
        <f>IF(ISBLANK(A4212),"Name",IF(ISNA(VLOOKUP(A4212,'Master List'!A:C,2,FALSE)), "Not Found", VLOOKUP(A4212,'Master List'!A:C,2,FALSE)))</f>
        <v>Name</v>
      </c>
      <c r="D4212" s="19" t="str">
        <f>IF(ISBLANK(A4212), "Email",IF(ISNA(VLOOKUP(A4212,'Master List'!A:C,3,FALSE)), "Not Found", VLOOKUP(A4212,'Master List'!A:C,3,FALSE)))</f>
        <v>Email</v>
      </c>
      <c r="F4212" s="4" t="str">
        <f>IF(OR(A4212="",E4212="","",A4212="?",E4212="?"),"duplicate?",IF(COUNTIFS($A:A,A4212,E:E,E4212)&gt;1,"yes","no"))</f>
        <v>duplicate?</v>
      </c>
      <c r="K4212" s="97" t="str">
        <f ca="1">IF(J4212="","Date",IF(J4212&lt;&gt;"",IF(K4212="Date",NOW(),K4212),""))</f>
        <v>Date</v>
      </c>
    </row>
    <row r="4213" spans="2:11">
      <c r="B4213" s="97" t="str">
        <f ca="1">IF(A4213="","Date",IF(A4213&lt;&gt;"",IF(B4213="Date",NOW(),B4213),""))</f>
        <v>Date</v>
      </c>
      <c r="C4213" s="19" t="str">
        <f>IF(ISBLANK(A4213),"Name",IF(ISNA(VLOOKUP(A4213,'Master List'!A:C,2,FALSE)), "Not Found", VLOOKUP(A4213,'Master List'!A:C,2,FALSE)))</f>
        <v>Name</v>
      </c>
      <c r="D4213" s="19" t="str">
        <f>IF(ISBLANK(A4213), "Email",IF(ISNA(VLOOKUP(A4213,'Master List'!A:C,3,FALSE)), "Not Found", VLOOKUP(A4213,'Master List'!A:C,3,FALSE)))</f>
        <v>Email</v>
      </c>
      <c r="F4213" s="4" t="str">
        <f>IF(OR(A4213="",E4213="","",A4213="?",E4213="?"),"duplicate?",IF(COUNTIFS($A:A,A4213,E:E,E4213)&gt;1,"yes","no"))</f>
        <v>duplicate?</v>
      </c>
      <c r="K4213" s="97" t="str">
        <f ca="1">IF(J4213="","Date",IF(J4213&lt;&gt;"",IF(K4213="Date",NOW(),K4213),""))</f>
        <v>Date</v>
      </c>
    </row>
    <row r="4214" spans="2:11">
      <c r="B4214" s="97" t="str">
        <f ca="1">IF(A4214="","Date",IF(A4214&lt;&gt;"",IF(B4214="Date",NOW(),B4214),""))</f>
        <v>Date</v>
      </c>
      <c r="C4214" s="19" t="str">
        <f>IF(ISBLANK(A4214),"Name",IF(ISNA(VLOOKUP(A4214,'Master List'!A:C,2,FALSE)), "Not Found", VLOOKUP(A4214,'Master List'!A:C,2,FALSE)))</f>
        <v>Name</v>
      </c>
      <c r="D4214" s="19" t="str">
        <f>IF(ISBLANK(A4214), "Email",IF(ISNA(VLOOKUP(A4214,'Master List'!A:C,3,FALSE)), "Not Found", VLOOKUP(A4214,'Master List'!A:C,3,FALSE)))</f>
        <v>Email</v>
      </c>
      <c r="F4214" s="4" t="str">
        <f>IF(OR(A4214="",E4214="","",A4214="?",E4214="?"),"duplicate?",IF(COUNTIFS($A:A,A4214,E:E,E4214)&gt;1,"yes","no"))</f>
        <v>duplicate?</v>
      </c>
      <c r="K4214" s="97" t="str">
        <f ca="1">IF(J4214="","Date",IF(J4214&lt;&gt;"",IF(K4214="Date",NOW(),K4214),""))</f>
        <v>Date</v>
      </c>
    </row>
    <row r="4215" spans="2:11">
      <c r="B4215" s="97" t="str">
        <f ca="1">IF(A4215="","Date",IF(A4215&lt;&gt;"",IF(B4215="Date",NOW(),B4215),""))</f>
        <v>Date</v>
      </c>
      <c r="C4215" s="19" t="str">
        <f>IF(ISBLANK(A4215),"Name",IF(ISNA(VLOOKUP(A4215,'Master List'!A:C,2,FALSE)), "Not Found", VLOOKUP(A4215,'Master List'!A:C,2,FALSE)))</f>
        <v>Name</v>
      </c>
      <c r="D4215" s="19" t="str">
        <f>IF(ISBLANK(A4215), "Email",IF(ISNA(VLOOKUP(A4215,'Master List'!A:C,3,FALSE)), "Not Found", VLOOKUP(A4215,'Master List'!A:C,3,FALSE)))</f>
        <v>Email</v>
      </c>
      <c r="F4215" s="4" t="str">
        <f>IF(OR(A4215="",E4215="","",A4215="?",E4215="?"),"duplicate?",IF(COUNTIFS($A:A,A4215,E:E,E4215)&gt;1,"yes","no"))</f>
        <v>duplicate?</v>
      </c>
      <c r="K4215" s="97" t="str">
        <f ca="1">IF(J4215="","Date",IF(J4215&lt;&gt;"",IF(K4215="Date",NOW(),K4215),""))</f>
        <v>Date</v>
      </c>
    </row>
    <row r="4216" spans="2:11">
      <c r="B4216" s="97" t="str">
        <f ca="1">IF(A4216="","Date",IF(A4216&lt;&gt;"",IF(B4216="Date",NOW(),B4216),""))</f>
        <v>Date</v>
      </c>
      <c r="C4216" s="19" t="str">
        <f>IF(ISBLANK(A4216),"Name",IF(ISNA(VLOOKUP(A4216,'Master List'!A:C,2,FALSE)), "Not Found", VLOOKUP(A4216,'Master List'!A:C,2,FALSE)))</f>
        <v>Name</v>
      </c>
      <c r="D4216" s="19" t="str">
        <f>IF(ISBLANK(A4216), "Email",IF(ISNA(VLOOKUP(A4216,'Master List'!A:C,3,FALSE)), "Not Found", VLOOKUP(A4216,'Master List'!A:C,3,FALSE)))</f>
        <v>Email</v>
      </c>
      <c r="F4216" s="4" t="str">
        <f>IF(OR(A4216="",E4216="","",A4216="?",E4216="?"),"duplicate?",IF(COUNTIFS($A:A,A4216,E:E,E4216)&gt;1,"yes","no"))</f>
        <v>duplicate?</v>
      </c>
      <c r="K4216" s="97" t="str">
        <f ca="1">IF(J4216="","Date",IF(J4216&lt;&gt;"",IF(K4216="Date",NOW(),K4216),""))</f>
        <v>Date</v>
      </c>
    </row>
    <row r="4217" spans="2:11">
      <c r="B4217" s="97" t="str">
        <f ca="1">IF(A4217="","Date",IF(A4217&lt;&gt;"",IF(B4217="Date",NOW(),B4217),""))</f>
        <v>Date</v>
      </c>
      <c r="C4217" s="19" t="str">
        <f>IF(ISBLANK(A4217),"Name",IF(ISNA(VLOOKUP(A4217,'Master List'!A:C,2,FALSE)), "Not Found", VLOOKUP(A4217,'Master List'!A:C,2,FALSE)))</f>
        <v>Name</v>
      </c>
      <c r="D4217" s="19" t="str">
        <f>IF(ISBLANK(A4217), "Email",IF(ISNA(VLOOKUP(A4217,'Master List'!A:C,3,FALSE)), "Not Found", VLOOKUP(A4217,'Master List'!A:C,3,FALSE)))</f>
        <v>Email</v>
      </c>
      <c r="F4217" s="4" t="str">
        <f>IF(OR(A4217="",E4217="","",A4217="?",E4217="?"),"duplicate?",IF(COUNTIFS($A:A,A4217,E:E,E4217)&gt;1,"yes","no"))</f>
        <v>duplicate?</v>
      </c>
      <c r="K4217" s="97" t="str">
        <f ca="1">IF(J4217="","Date",IF(J4217&lt;&gt;"",IF(K4217="Date",NOW(),K4217),""))</f>
        <v>Date</v>
      </c>
    </row>
    <row r="4218" spans="2:11">
      <c r="B4218" s="97" t="str">
        <f ca="1">IF(A4218="","Date",IF(A4218&lt;&gt;"",IF(B4218="Date",NOW(),B4218),""))</f>
        <v>Date</v>
      </c>
      <c r="C4218" s="19" t="str">
        <f>IF(ISBLANK(A4218),"Name",IF(ISNA(VLOOKUP(A4218,'Master List'!A:C,2,FALSE)), "Not Found", VLOOKUP(A4218,'Master List'!A:C,2,FALSE)))</f>
        <v>Name</v>
      </c>
      <c r="D4218" s="19" t="str">
        <f>IF(ISBLANK(A4218), "Email",IF(ISNA(VLOOKUP(A4218,'Master List'!A:C,3,FALSE)), "Not Found", VLOOKUP(A4218,'Master List'!A:C,3,FALSE)))</f>
        <v>Email</v>
      </c>
      <c r="F4218" s="4" t="str">
        <f>IF(OR(A4218="",E4218="","",A4218="?",E4218="?"),"duplicate?",IF(COUNTIFS($A:A,A4218,E:E,E4218)&gt;1,"yes","no"))</f>
        <v>duplicate?</v>
      </c>
      <c r="K4218" s="97" t="str">
        <f ca="1">IF(J4218="","Date",IF(J4218&lt;&gt;"",IF(K4218="Date",NOW(),K4218),""))</f>
        <v>Date</v>
      </c>
    </row>
    <row r="4219" spans="2:11">
      <c r="B4219" s="97" t="str">
        <f ca="1">IF(A4219="","Date",IF(A4219&lt;&gt;"",IF(B4219="Date",NOW(),B4219),""))</f>
        <v>Date</v>
      </c>
      <c r="C4219" s="19" t="str">
        <f>IF(ISBLANK(A4219),"Name",IF(ISNA(VLOOKUP(A4219,'Master List'!A:C,2,FALSE)), "Not Found", VLOOKUP(A4219,'Master List'!A:C,2,FALSE)))</f>
        <v>Name</v>
      </c>
      <c r="D4219" s="19" t="str">
        <f>IF(ISBLANK(A4219), "Email",IF(ISNA(VLOOKUP(A4219,'Master List'!A:C,3,FALSE)), "Not Found", VLOOKUP(A4219,'Master List'!A:C,3,FALSE)))</f>
        <v>Email</v>
      </c>
      <c r="F4219" s="4" t="str">
        <f>IF(OR(A4219="",E4219="","",A4219="?",E4219="?"),"duplicate?",IF(COUNTIFS($A:A,A4219,E:E,E4219)&gt;1,"yes","no"))</f>
        <v>duplicate?</v>
      </c>
      <c r="K4219" s="97" t="str">
        <f ca="1">IF(J4219="","Date",IF(J4219&lt;&gt;"",IF(K4219="Date",NOW(),K4219),""))</f>
        <v>Date</v>
      </c>
    </row>
    <row r="4220" spans="2:11">
      <c r="B4220" s="97" t="str">
        <f ca="1">IF(A4220="","Date",IF(A4220&lt;&gt;"",IF(B4220="Date",NOW(),B4220),""))</f>
        <v>Date</v>
      </c>
      <c r="C4220" s="19" t="str">
        <f>IF(ISBLANK(A4220),"Name",IF(ISNA(VLOOKUP(A4220,'Master List'!A:C,2,FALSE)), "Not Found", VLOOKUP(A4220,'Master List'!A:C,2,FALSE)))</f>
        <v>Name</v>
      </c>
      <c r="D4220" s="19" t="str">
        <f>IF(ISBLANK(A4220), "Email",IF(ISNA(VLOOKUP(A4220,'Master List'!A:C,3,FALSE)), "Not Found", VLOOKUP(A4220,'Master List'!A:C,3,FALSE)))</f>
        <v>Email</v>
      </c>
      <c r="F4220" s="4" t="str">
        <f>IF(OR(A4220="",E4220="","",A4220="?",E4220="?"),"duplicate?",IF(COUNTIFS($A:A,A4220,E:E,E4220)&gt;1,"yes","no"))</f>
        <v>duplicate?</v>
      </c>
      <c r="K4220" s="97" t="str">
        <f ca="1">IF(J4220="","Date",IF(J4220&lt;&gt;"",IF(K4220="Date",NOW(),K4220),""))</f>
        <v>Date</v>
      </c>
    </row>
    <row r="4221" spans="2:11">
      <c r="B4221" s="97" t="str">
        <f ca="1">IF(A4221="","Date",IF(A4221&lt;&gt;"",IF(B4221="Date",NOW(),B4221),""))</f>
        <v>Date</v>
      </c>
      <c r="C4221" s="19" t="str">
        <f>IF(ISBLANK(A4221),"Name",IF(ISNA(VLOOKUP(A4221,'Master List'!A:C,2,FALSE)), "Not Found", VLOOKUP(A4221,'Master List'!A:C,2,FALSE)))</f>
        <v>Name</v>
      </c>
      <c r="D4221" s="19" t="str">
        <f>IF(ISBLANK(A4221), "Email",IF(ISNA(VLOOKUP(A4221,'Master List'!A:C,3,FALSE)), "Not Found", VLOOKUP(A4221,'Master List'!A:C,3,FALSE)))</f>
        <v>Email</v>
      </c>
      <c r="F4221" s="4" t="str">
        <f>IF(OR(A4221="",E4221="","",A4221="?",E4221="?"),"duplicate?",IF(COUNTIFS($A:A,A4221,E:E,E4221)&gt;1,"yes","no"))</f>
        <v>duplicate?</v>
      </c>
      <c r="K4221" s="97" t="str">
        <f ca="1">IF(J4221="","Date",IF(J4221&lt;&gt;"",IF(K4221="Date",NOW(),K4221),""))</f>
        <v>Date</v>
      </c>
    </row>
    <row r="4222" spans="2:11">
      <c r="B4222" s="97" t="str">
        <f ca="1">IF(A4222="","Date",IF(A4222&lt;&gt;"",IF(B4222="Date",NOW(),B4222),""))</f>
        <v>Date</v>
      </c>
      <c r="C4222" s="19" t="str">
        <f>IF(ISBLANK(A4222),"Name",IF(ISNA(VLOOKUP(A4222,'Master List'!A:C,2,FALSE)), "Not Found", VLOOKUP(A4222,'Master List'!A:C,2,FALSE)))</f>
        <v>Name</v>
      </c>
      <c r="D4222" s="19" t="str">
        <f>IF(ISBLANK(A4222), "Email",IF(ISNA(VLOOKUP(A4222,'Master List'!A:C,3,FALSE)), "Not Found", VLOOKUP(A4222,'Master List'!A:C,3,FALSE)))</f>
        <v>Email</v>
      </c>
      <c r="F4222" s="4" t="str">
        <f>IF(OR(A4222="",E4222="","",A4222="?",E4222="?"),"duplicate?",IF(COUNTIFS($A:A,A4222,E:E,E4222)&gt;1,"yes","no"))</f>
        <v>duplicate?</v>
      </c>
      <c r="K4222" s="97" t="str">
        <f ca="1">IF(J4222="","Date",IF(J4222&lt;&gt;"",IF(K4222="Date",NOW(),K4222),""))</f>
        <v>Date</v>
      </c>
    </row>
    <row r="4223" spans="2:11">
      <c r="B4223" s="97" t="str">
        <f ca="1">IF(A4223="","Date",IF(A4223&lt;&gt;"",IF(B4223="Date",NOW(),B4223),""))</f>
        <v>Date</v>
      </c>
      <c r="C4223" s="19" t="str">
        <f>IF(ISBLANK(A4223),"Name",IF(ISNA(VLOOKUP(A4223,'Master List'!A:C,2,FALSE)), "Not Found", VLOOKUP(A4223,'Master List'!A:C,2,FALSE)))</f>
        <v>Name</v>
      </c>
      <c r="D4223" s="19" t="str">
        <f>IF(ISBLANK(A4223), "Email",IF(ISNA(VLOOKUP(A4223,'Master List'!A:C,3,FALSE)), "Not Found", VLOOKUP(A4223,'Master List'!A:C,3,FALSE)))</f>
        <v>Email</v>
      </c>
      <c r="F4223" s="4" t="str">
        <f>IF(OR(A4223="",E4223="","",A4223="?",E4223="?"),"duplicate?",IF(COUNTIFS($A:A,A4223,E:E,E4223)&gt;1,"yes","no"))</f>
        <v>duplicate?</v>
      </c>
      <c r="K4223" s="97" t="str">
        <f ca="1">IF(J4223="","Date",IF(J4223&lt;&gt;"",IF(K4223="Date",NOW(),K4223),""))</f>
        <v>Date</v>
      </c>
    </row>
    <row r="4224" spans="2:11">
      <c r="B4224" s="97" t="str">
        <f ca="1">IF(A4224="","Date",IF(A4224&lt;&gt;"",IF(B4224="Date",NOW(),B4224),""))</f>
        <v>Date</v>
      </c>
      <c r="C4224" s="19" t="str">
        <f>IF(ISBLANK(A4224),"Name",IF(ISNA(VLOOKUP(A4224,'Master List'!A:C,2,FALSE)), "Not Found", VLOOKUP(A4224,'Master List'!A:C,2,FALSE)))</f>
        <v>Name</v>
      </c>
      <c r="D4224" s="19" t="str">
        <f>IF(ISBLANK(A4224), "Email",IF(ISNA(VLOOKUP(A4224,'Master List'!A:C,3,FALSE)), "Not Found", VLOOKUP(A4224,'Master List'!A:C,3,FALSE)))</f>
        <v>Email</v>
      </c>
      <c r="F4224" s="4" t="str">
        <f>IF(OR(A4224="",E4224="","",A4224="?",E4224="?"),"duplicate?",IF(COUNTIFS($A:A,A4224,E:E,E4224)&gt;1,"yes","no"))</f>
        <v>duplicate?</v>
      </c>
      <c r="K4224" s="97" t="str">
        <f ca="1">IF(J4224="","Date",IF(J4224&lt;&gt;"",IF(K4224="Date",NOW(),K4224),""))</f>
        <v>Date</v>
      </c>
    </row>
    <row r="4225" spans="2:11">
      <c r="B4225" s="97" t="str">
        <f ca="1">IF(A4225="","Date",IF(A4225&lt;&gt;"",IF(B4225="Date",NOW(),B4225),""))</f>
        <v>Date</v>
      </c>
      <c r="C4225" s="19" t="str">
        <f>IF(ISBLANK(A4225),"Name",IF(ISNA(VLOOKUP(A4225,'Master List'!A:C,2,FALSE)), "Not Found", VLOOKUP(A4225,'Master List'!A:C,2,FALSE)))</f>
        <v>Name</v>
      </c>
      <c r="D4225" s="19" t="str">
        <f>IF(ISBLANK(A4225), "Email",IF(ISNA(VLOOKUP(A4225,'Master List'!A:C,3,FALSE)), "Not Found", VLOOKUP(A4225,'Master List'!A:C,3,FALSE)))</f>
        <v>Email</v>
      </c>
      <c r="F4225" s="4" t="str">
        <f>IF(OR(A4225="",E4225="","",A4225="?",E4225="?"),"duplicate?",IF(COUNTIFS($A:A,A4225,E:E,E4225)&gt;1,"yes","no"))</f>
        <v>duplicate?</v>
      </c>
      <c r="K4225" s="97" t="str">
        <f ca="1">IF(J4225="","Date",IF(J4225&lt;&gt;"",IF(K4225="Date",NOW(),K4225),""))</f>
        <v>Date</v>
      </c>
    </row>
    <row r="4226" spans="2:11">
      <c r="B4226" s="97" t="str">
        <f ca="1">IF(A4226="","Date",IF(A4226&lt;&gt;"",IF(B4226="Date",NOW(),B4226),""))</f>
        <v>Date</v>
      </c>
      <c r="C4226" s="19" t="str">
        <f>IF(ISBLANK(A4226),"Name",IF(ISNA(VLOOKUP(A4226,'Master List'!A:C,2,FALSE)), "Not Found", VLOOKUP(A4226,'Master List'!A:C,2,FALSE)))</f>
        <v>Name</v>
      </c>
      <c r="D4226" s="19" t="str">
        <f>IF(ISBLANK(A4226), "Email",IF(ISNA(VLOOKUP(A4226,'Master List'!A:C,3,FALSE)), "Not Found", VLOOKUP(A4226,'Master List'!A:C,3,FALSE)))</f>
        <v>Email</v>
      </c>
      <c r="F4226" s="4" t="str">
        <f>IF(OR(A4226="",E4226="","",A4226="?",E4226="?"),"duplicate?",IF(COUNTIFS($A:A,A4226,E:E,E4226)&gt;1,"yes","no"))</f>
        <v>duplicate?</v>
      </c>
      <c r="K4226" s="97" t="str">
        <f ca="1">IF(J4226="","Date",IF(J4226&lt;&gt;"",IF(K4226="Date",NOW(),K4226),""))</f>
        <v>Date</v>
      </c>
    </row>
    <row r="4227" spans="2:11">
      <c r="B4227" s="97" t="str">
        <f ca="1">IF(A4227="","Date",IF(A4227&lt;&gt;"",IF(B4227="Date",NOW(),B4227),""))</f>
        <v>Date</v>
      </c>
      <c r="C4227" s="19" t="str">
        <f>IF(ISBLANK(A4227),"Name",IF(ISNA(VLOOKUP(A4227,'Master List'!A:C,2,FALSE)), "Not Found", VLOOKUP(A4227,'Master List'!A:C,2,FALSE)))</f>
        <v>Name</v>
      </c>
      <c r="D4227" s="19" t="str">
        <f>IF(ISBLANK(A4227), "Email",IF(ISNA(VLOOKUP(A4227,'Master List'!A:C,3,FALSE)), "Not Found", VLOOKUP(A4227,'Master List'!A:C,3,FALSE)))</f>
        <v>Email</v>
      </c>
      <c r="F4227" s="4" t="str">
        <f>IF(OR(A4227="",E4227="","",A4227="?",E4227="?"),"duplicate?",IF(COUNTIFS($A:A,A4227,E:E,E4227)&gt;1,"yes","no"))</f>
        <v>duplicate?</v>
      </c>
      <c r="K4227" s="97" t="str">
        <f ca="1">IF(J4227="","Date",IF(J4227&lt;&gt;"",IF(K4227="Date",NOW(),K4227),""))</f>
        <v>Date</v>
      </c>
    </row>
    <row r="4228" spans="2:11">
      <c r="B4228" s="97" t="str">
        <f ca="1">IF(A4228="","Date",IF(A4228&lt;&gt;"",IF(B4228="Date",NOW(),B4228),""))</f>
        <v>Date</v>
      </c>
      <c r="C4228" s="19" t="str">
        <f>IF(ISBLANK(A4228),"Name",IF(ISNA(VLOOKUP(A4228,'Master List'!A:C,2,FALSE)), "Not Found", VLOOKUP(A4228,'Master List'!A:C,2,FALSE)))</f>
        <v>Name</v>
      </c>
      <c r="D4228" s="19" t="str">
        <f>IF(ISBLANK(A4228), "Email",IF(ISNA(VLOOKUP(A4228,'Master List'!A:C,3,FALSE)), "Not Found", VLOOKUP(A4228,'Master List'!A:C,3,FALSE)))</f>
        <v>Email</v>
      </c>
      <c r="F4228" s="4" t="str">
        <f>IF(OR(A4228="",E4228="","",A4228="?",E4228="?"),"duplicate?",IF(COUNTIFS($A:A,A4228,E:E,E4228)&gt;1,"yes","no"))</f>
        <v>duplicate?</v>
      </c>
      <c r="K4228" s="97" t="str">
        <f ca="1">IF(J4228="","Date",IF(J4228&lt;&gt;"",IF(K4228="Date",NOW(),K4228),""))</f>
        <v>Date</v>
      </c>
    </row>
    <row r="4229" spans="2:11">
      <c r="B4229" s="97" t="str">
        <f ca="1">IF(A4229="","Date",IF(A4229&lt;&gt;"",IF(B4229="Date",NOW(),B4229),""))</f>
        <v>Date</v>
      </c>
      <c r="C4229" s="19" t="str">
        <f>IF(ISBLANK(A4229),"Name",IF(ISNA(VLOOKUP(A4229,'Master List'!A:C,2,FALSE)), "Not Found", VLOOKUP(A4229,'Master List'!A:C,2,FALSE)))</f>
        <v>Name</v>
      </c>
      <c r="D4229" s="19" t="str">
        <f>IF(ISBLANK(A4229), "Email",IF(ISNA(VLOOKUP(A4229,'Master List'!A:C,3,FALSE)), "Not Found", VLOOKUP(A4229,'Master List'!A:C,3,FALSE)))</f>
        <v>Email</v>
      </c>
      <c r="F4229" s="4" t="str">
        <f>IF(OR(A4229="",E4229="","",A4229="?",E4229="?"),"duplicate?",IF(COUNTIFS($A:A,A4229,E:E,E4229)&gt;1,"yes","no"))</f>
        <v>duplicate?</v>
      </c>
      <c r="K4229" s="97" t="str">
        <f ca="1">IF(J4229="","Date",IF(J4229&lt;&gt;"",IF(K4229="Date",NOW(),K4229),""))</f>
        <v>Date</v>
      </c>
    </row>
    <row r="4230" spans="2:11">
      <c r="B4230" s="97" t="str">
        <f ca="1">IF(A4230="","Date",IF(A4230&lt;&gt;"",IF(B4230="Date",NOW(),B4230),""))</f>
        <v>Date</v>
      </c>
      <c r="C4230" s="19" t="str">
        <f>IF(ISBLANK(A4230),"Name",IF(ISNA(VLOOKUP(A4230,'Master List'!A:C,2,FALSE)), "Not Found", VLOOKUP(A4230,'Master List'!A:C,2,FALSE)))</f>
        <v>Name</v>
      </c>
      <c r="D4230" s="19" t="str">
        <f>IF(ISBLANK(A4230), "Email",IF(ISNA(VLOOKUP(A4230,'Master List'!A:C,3,FALSE)), "Not Found", VLOOKUP(A4230,'Master List'!A:C,3,FALSE)))</f>
        <v>Email</v>
      </c>
      <c r="F4230" s="4" t="str">
        <f>IF(OR(A4230="",E4230="","",A4230="?",E4230="?"),"duplicate?",IF(COUNTIFS($A:A,A4230,E:E,E4230)&gt;1,"yes","no"))</f>
        <v>duplicate?</v>
      </c>
      <c r="K4230" s="97" t="str">
        <f ca="1">IF(J4230="","Date",IF(J4230&lt;&gt;"",IF(K4230="Date",NOW(),K4230),""))</f>
        <v>Date</v>
      </c>
    </row>
    <row r="4231" spans="2:11">
      <c r="B4231" s="97" t="str">
        <f ca="1">IF(A4231="","Date",IF(A4231&lt;&gt;"",IF(B4231="Date",NOW(),B4231),""))</f>
        <v>Date</v>
      </c>
      <c r="C4231" s="19" t="str">
        <f>IF(ISBLANK(A4231),"Name",IF(ISNA(VLOOKUP(A4231,'Master List'!A:C,2,FALSE)), "Not Found", VLOOKUP(A4231,'Master List'!A:C,2,FALSE)))</f>
        <v>Name</v>
      </c>
      <c r="D4231" s="19" t="str">
        <f>IF(ISBLANK(A4231), "Email",IF(ISNA(VLOOKUP(A4231,'Master List'!A:C,3,FALSE)), "Not Found", VLOOKUP(A4231,'Master List'!A:C,3,FALSE)))</f>
        <v>Email</v>
      </c>
      <c r="F4231" s="4" t="str">
        <f>IF(OR(A4231="",E4231="","",A4231="?",E4231="?"),"duplicate?",IF(COUNTIFS($A:A,A4231,E:E,E4231)&gt;1,"yes","no"))</f>
        <v>duplicate?</v>
      </c>
      <c r="K4231" s="97" t="str">
        <f ca="1">IF(J4231="","Date",IF(J4231&lt;&gt;"",IF(K4231="Date",NOW(),K4231),""))</f>
        <v>Date</v>
      </c>
    </row>
    <row r="4232" spans="2:11">
      <c r="B4232" s="97" t="str">
        <f ca="1">IF(A4232="","Date",IF(A4232&lt;&gt;"",IF(B4232="Date",NOW(),B4232),""))</f>
        <v>Date</v>
      </c>
      <c r="C4232" s="19" t="str">
        <f>IF(ISBLANK(A4232),"Name",IF(ISNA(VLOOKUP(A4232,'Master List'!A:C,2,FALSE)), "Not Found", VLOOKUP(A4232,'Master List'!A:C,2,FALSE)))</f>
        <v>Name</v>
      </c>
      <c r="D4232" s="19" t="str">
        <f>IF(ISBLANK(A4232), "Email",IF(ISNA(VLOOKUP(A4232,'Master List'!A:C,3,FALSE)), "Not Found", VLOOKUP(A4232,'Master List'!A:C,3,FALSE)))</f>
        <v>Email</v>
      </c>
      <c r="F4232" s="4" t="str">
        <f>IF(OR(A4232="",E4232="","",A4232="?",E4232="?"),"duplicate?",IF(COUNTIFS($A:A,A4232,E:E,E4232)&gt;1,"yes","no"))</f>
        <v>duplicate?</v>
      </c>
      <c r="K4232" s="97" t="str">
        <f ca="1">IF(J4232="","Date",IF(J4232&lt;&gt;"",IF(K4232="Date",NOW(),K4232),""))</f>
        <v>Date</v>
      </c>
    </row>
    <row r="4233" spans="2:11">
      <c r="B4233" s="97" t="str">
        <f ca="1">IF(A4233="","Date",IF(A4233&lt;&gt;"",IF(B4233="Date",NOW(),B4233),""))</f>
        <v>Date</v>
      </c>
      <c r="C4233" s="19" t="str">
        <f>IF(ISBLANK(A4233),"Name",IF(ISNA(VLOOKUP(A4233,'Master List'!A:C,2,FALSE)), "Not Found", VLOOKUP(A4233,'Master List'!A:C,2,FALSE)))</f>
        <v>Name</v>
      </c>
      <c r="D4233" s="19" t="str">
        <f>IF(ISBLANK(A4233), "Email",IF(ISNA(VLOOKUP(A4233,'Master List'!A:C,3,FALSE)), "Not Found", VLOOKUP(A4233,'Master List'!A:C,3,FALSE)))</f>
        <v>Email</v>
      </c>
      <c r="F4233" s="4" t="str">
        <f>IF(OR(A4233="",E4233="","",A4233="?",E4233="?"),"duplicate?",IF(COUNTIFS($A:A,A4233,E:E,E4233)&gt;1,"yes","no"))</f>
        <v>duplicate?</v>
      </c>
      <c r="K4233" s="97" t="str">
        <f ca="1">IF(J4233="","Date",IF(J4233&lt;&gt;"",IF(K4233="Date",NOW(),K4233),""))</f>
        <v>Date</v>
      </c>
    </row>
    <row r="4234" spans="2:11">
      <c r="B4234" s="97" t="str">
        <f ca="1">IF(A4234="","Date",IF(A4234&lt;&gt;"",IF(B4234="Date",NOW(),B4234),""))</f>
        <v>Date</v>
      </c>
      <c r="C4234" s="19" t="str">
        <f>IF(ISBLANK(A4234),"Name",IF(ISNA(VLOOKUP(A4234,'Master List'!A:C,2,FALSE)), "Not Found", VLOOKUP(A4234,'Master List'!A:C,2,FALSE)))</f>
        <v>Name</v>
      </c>
      <c r="D4234" s="19" t="str">
        <f>IF(ISBLANK(A4234), "Email",IF(ISNA(VLOOKUP(A4234,'Master List'!A:C,3,FALSE)), "Not Found", VLOOKUP(A4234,'Master List'!A:C,3,FALSE)))</f>
        <v>Email</v>
      </c>
      <c r="F4234" s="4" t="str">
        <f>IF(OR(A4234="",E4234="","",A4234="?",E4234="?"),"duplicate?",IF(COUNTIFS($A:A,A4234,E:E,E4234)&gt;1,"yes","no"))</f>
        <v>duplicate?</v>
      </c>
      <c r="K4234" s="97" t="str">
        <f ca="1">IF(J4234="","Date",IF(J4234&lt;&gt;"",IF(K4234="Date",NOW(),K4234),""))</f>
        <v>Date</v>
      </c>
    </row>
    <row r="4235" spans="2:11">
      <c r="B4235" s="97" t="str">
        <f ca="1">IF(A4235="","Date",IF(A4235&lt;&gt;"",IF(B4235="Date",NOW(),B4235),""))</f>
        <v>Date</v>
      </c>
      <c r="C4235" s="19" t="str">
        <f>IF(ISBLANK(A4235),"Name",IF(ISNA(VLOOKUP(A4235,'Master List'!A:C,2,FALSE)), "Not Found", VLOOKUP(A4235,'Master List'!A:C,2,FALSE)))</f>
        <v>Name</v>
      </c>
      <c r="D4235" s="19" t="str">
        <f>IF(ISBLANK(A4235), "Email",IF(ISNA(VLOOKUP(A4235,'Master List'!A:C,3,FALSE)), "Not Found", VLOOKUP(A4235,'Master List'!A:C,3,FALSE)))</f>
        <v>Email</v>
      </c>
      <c r="F4235" s="4" t="str">
        <f>IF(OR(A4235="",E4235="","",A4235="?",E4235="?"),"duplicate?",IF(COUNTIFS($A:A,A4235,E:E,E4235)&gt;1,"yes","no"))</f>
        <v>duplicate?</v>
      </c>
      <c r="K4235" s="97" t="str">
        <f ca="1">IF(J4235="","Date",IF(J4235&lt;&gt;"",IF(K4235="Date",NOW(),K4235),""))</f>
        <v>Date</v>
      </c>
    </row>
    <row r="4236" spans="2:11">
      <c r="B4236" s="97" t="str">
        <f ca="1">IF(A4236="","Date",IF(A4236&lt;&gt;"",IF(B4236="Date",NOW(),B4236),""))</f>
        <v>Date</v>
      </c>
      <c r="C4236" s="19" t="str">
        <f>IF(ISBLANK(A4236),"Name",IF(ISNA(VLOOKUP(A4236,'Master List'!A:C,2,FALSE)), "Not Found", VLOOKUP(A4236,'Master List'!A:C,2,FALSE)))</f>
        <v>Name</v>
      </c>
      <c r="D4236" s="19" t="str">
        <f>IF(ISBLANK(A4236), "Email",IF(ISNA(VLOOKUP(A4236,'Master List'!A:C,3,FALSE)), "Not Found", VLOOKUP(A4236,'Master List'!A:C,3,FALSE)))</f>
        <v>Email</v>
      </c>
      <c r="F4236" s="4" t="str">
        <f>IF(OR(A4236="",E4236="","",A4236="?",E4236="?"),"duplicate?",IF(COUNTIFS($A:A,A4236,E:E,E4236)&gt;1,"yes","no"))</f>
        <v>duplicate?</v>
      </c>
      <c r="K4236" s="97" t="str">
        <f ca="1">IF(J4236="","Date",IF(J4236&lt;&gt;"",IF(K4236="Date",NOW(),K4236),""))</f>
        <v>Date</v>
      </c>
    </row>
    <row r="4237" spans="2:11">
      <c r="B4237" s="97" t="str">
        <f ca="1">IF(A4237="","Date",IF(A4237&lt;&gt;"",IF(B4237="Date",NOW(),B4237),""))</f>
        <v>Date</v>
      </c>
      <c r="C4237" s="19" t="str">
        <f>IF(ISBLANK(A4237),"Name",IF(ISNA(VLOOKUP(A4237,'Master List'!A:C,2,FALSE)), "Not Found", VLOOKUP(A4237,'Master List'!A:C,2,FALSE)))</f>
        <v>Name</v>
      </c>
      <c r="D4237" s="19" t="str">
        <f>IF(ISBLANK(A4237), "Email",IF(ISNA(VLOOKUP(A4237,'Master List'!A:C,3,FALSE)), "Not Found", VLOOKUP(A4237,'Master List'!A:C,3,FALSE)))</f>
        <v>Email</v>
      </c>
      <c r="F4237" s="4" t="str">
        <f>IF(OR(A4237="",E4237="","",A4237="?",E4237="?"),"duplicate?",IF(COUNTIFS($A:A,A4237,E:E,E4237)&gt;1,"yes","no"))</f>
        <v>duplicate?</v>
      </c>
      <c r="K4237" s="97" t="str">
        <f ca="1">IF(J4237="","Date",IF(J4237&lt;&gt;"",IF(K4237="Date",NOW(),K4237),""))</f>
        <v>Date</v>
      </c>
    </row>
    <row r="4238" spans="2:11">
      <c r="B4238" s="97" t="str">
        <f ca="1">IF(A4238="","Date",IF(A4238&lt;&gt;"",IF(B4238="Date",NOW(),B4238),""))</f>
        <v>Date</v>
      </c>
      <c r="C4238" s="19" t="str">
        <f>IF(ISBLANK(A4238),"Name",IF(ISNA(VLOOKUP(A4238,'Master List'!A:C,2,FALSE)), "Not Found", VLOOKUP(A4238,'Master List'!A:C,2,FALSE)))</f>
        <v>Name</v>
      </c>
      <c r="D4238" s="19" t="str">
        <f>IF(ISBLANK(A4238), "Email",IF(ISNA(VLOOKUP(A4238,'Master List'!A:C,3,FALSE)), "Not Found", VLOOKUP(A4238,'Master List'!A:C,3,FALSE)))</f>
        <v>Email</v>
      </c>
      <c r="F4238" s="4" t="str">
        <f>IF(OR(A4238="",E4238="","",A4238="?",E4238="?"),"duplicate?",IF(COUNTIFS($A:A,A4238,E:E,E4238)&gt;1,"yes","no"))</f>
        <v>duplicate?</v>
      </c>
      <c r="K4238" s="97" t="str">
        <f ca="1">IF(J4238="","Date",IF(J4238&lt;&gt;"",IF(K4238="Date",NOW(),K4238),""))</f>
        <v>Date</v>
      </c>
    </row>
    <row r="4239" spans="2:11">
      <c r="B4239" s="97" t="str">
        <f ca="1">IF(A4239="","Date",IF(A4239&lt;&gt;"",IF(B4239="Date",NOW(),B4239),""))</f>
        <v>Date</v>
      </c>
      <c r="C4239" s="19" t="str">
        <f>IF(ISBLANK(A4239),"Name",IF(ISNA(VLOOKUP(A4239,'Master List'!A:C,2,FALSE)), "Not Found", VLOOKUP(A4239,'Master List'!A:C,2,FALSE)))</f>
        <v>Name</v>
      </c>
      <c r="D4239" s="19" t="str">
        <f>IF(ISBLANK(A4239), "Email",IF(ISNA(VLOOKUP(A4239,'Master List'!A:C,3,FALSE)), "Not Found", VLOOKUP(A4239,'Master List'!A:C,3,FALSE)))</f>
        <v>Email</v>
      </c>
      <c r="F4239" s="4" t="str">
        <f>IF(OR(A4239="",E4239="","",A4239="?",E4239="?"),"duplicate?",IF(COUNTIFS($A:A,A4239,E:E,E4239)&gt;1,"yes","no"))</f>
        <v>duplicate?</v>
      </c>
      <c r="K4239" s="97" t="str">
        <f ca="1">IF(J4239="","Date",IF(J4239&lt;&gt;"",IF(K4239="Date",NOW(),K4239),""))</f>
        <v>Date</v>
      </c>
    </row>
    <row r="4240" spans="2:11">
      <c r="B4240" s="97" t="str">
        <f ca="1">IF(A4240="","Date",IF(A4240&lt;&gt;"",IF(B4240="Date",NOW(),B4240),""))</f>
        <v>Date</v>
      </c>
      <c r="C4240" s="19" t="str">
        <f>IF(ISBLANK(A4240),"Name",IF(ISNA(VLOOKUP(A4240,'Master List'!A:C,2,FALSE)), "Not Found", VLOOKUP(A4240,'Master List'!A:C,2,FALSE)))</f>
        <v>Name</v>
      </c>
      <c r="D4240" s="19" t="str">
        <f>IF(ISBLANK(A4240), "Email",IF(ISNA(VLOOKUP(A4240,'Master List'!A:C,3,FALSE)), "Not Found", VLOOKUP(A4240,'Master List'!A:C,3,FALSE)))</f>
        <v>Email</v>
      </c>
      <c r="F4240" s="4" t="str">
        <f>IF(OR(A4240="",E4240="","",A4240="?",E4240="?"),"duplicate?",IF(COUNTIFS($A:A,A4240,E:E,E4240)&gt;1,"yes","no"))</f>
        <v>duplicate?</v>
      </c>
      <c r="K4240" s="97" t="str">
        <f ca="1">IF(J4240="","Date",IF(J4240&lt;&gt;"",IF(K4240="Date",NOW(),K4240),""))</f>
        <v>Date</v>
      </c>
    </row>
    <row r="4241" spans="2:11">
      <c r="B4241" s="97" t="str">
        <f ca="1">IF(A4241="","Date",IF(A4241&lt;&gt;"",IF(B4241="Date",NOW(),B4241),""))</f>
        <v>Date</v>
      </c>
      <c r="C4241" s="19" t="str">
        <f>IF(ISBLANK(A4241),"Name",IF(ISNA(VLOOKUP(A4241,'Master List'!A:C,2,FALSE)), "Not Found", VLOOKUP(A4241,'Master List'!A:C,2,FALSE)))</f>
        <v>Name</v>
      </c>
      <c r="D4241" s="19" t="str">
        <f>IF(ISBLANK(A4241), "Email",IF(ISNA(VLOOKUP(A4241,'Master List'!A:C,3,FALSE)), "Not Found", VLOOKUP(A4241,'Master List'!A:C,3,FALSE)))</f>
        <v>Email</v>
      </c>
      <c r="F4241" s="4" t="str">
        <f>IF(OR(A4241="",E4241="","",A4241="?",E4241="?"),"duplicate?",IF(COUNTIFS($A:A,A4241,E:E,E4241)&gt;1,"yes","no"))</f>
        <v>duplicate?</v>
      </c>
      <c r="K4241" s="97" t="str">
        <f ca="1">IF(J4241="","Date",IF(J4241&lt;&gt;"",IF(K4241="Date",NOW(),K4241),""))</f>
        <v>Date</v>
      </c>
    </row>
    <row r="4242" spans="2:11">
      <c r="B4242" s="97" t="str">
        <f ca="1">IF(A4242="","Date",IF(A4242&lt;&gt;"",IF(B4242="Date",NOW(),B4242),""))</f>
        <v>Date</v>
      </c>
      <c r="C4242" s="19" t="str">
        <f>IF(ISBLANK(A4242),"Name",IF(ISNA(VLOOKUP(A4242,'Master List'!A:C,2,FALSE)), "Not Found", VLOOKUP(A4242,'Master List'!A:C,2,FALSE)))</f>
        <v>Name</v>
      </c>
      <c r="D4242" s="19" t="str">
        <f>IF(ISBLANK(A4242), "Email",IF(ISNA(VLOOKUP(A4242,'Master List'!A:C,3,FALSE)), "Not Found", VLOOKUP(A4242,'Master List'!A:C,3,FALSE)))</f>
        <v>Email</v>
      </c>
      <c r="F4242" s="4" t="str">
        <f>IF(OR(A4242="",E4242="","",A4242="?",E4242="?"),"duplicate?",IF(COUNTIFS($A:A,A4242,E:E,E4242)&gt;1,"yes","no"))</f>
        <v>duplicate?</v>
      </c>
      <c r="K4242" s="97" t="str">
        <f ca="1">IF(J4242="","Date",IF(J4242&lt;&gt;"",IF(K4242="Date",NOW(),K4242),""))</f>
        <v>Date</v>
      </c>
    </row>
    <row r="4243" spans="2:11">
      <c r="B4243" s="97" t="str">
        <f ca="1">IF(A4243="","Date",IF(A4243&lt;&gt;"",IF(B4243="Date",NOW(),B4243),""))</f>
        <v>Date</v>
      </c>
      <c r="C4243" s="19" t="str">
        <f>IF(ISBLANK(A4243),"Name",IF(ISNA(VLOOKUP(A4243,'Master List'!A:C,2,FALSE)), "Not Found", VLOOKUP(A4243,'Master List'!A:C,2,FALSE)))</f>
        <v>Name</v>
      </c>
      <c r="D4243" s="19" t="str">
        <f>IF(ISBLANK(A4243), "Email",IF(ISNA(VLOOKUP(A4243,'Master List'!A:C,3,FALSE)), "Not Found", VLOOKUP(A4243,'Master List'!A:C,3,FALSE)))</f>
        <v>Email</v>
      </c>
      <c r="F4243" s="4" t="str">
        <f>IF(OR(A4243="",E4243="","",A4243="?",E4243="?"),"duplicate?",IF(COUNTIFS($A:A,A4243,E:E,E4243)&gt;1,"yes","no"))</f>
        <v>duplicate?</v>
      </c>
      <c r="K4243" s="97" t="str">
        <f ca="1">IF(J4243="","Date",IF(J4243&lt;&gt;"",IF(K4243="Date",NOW(),K4243),""))</f>
        <v>Date</v>
      </c>
    </row>
    <row r="4244" spans="2:11">
      <c r="B4244" s="97" t="str">
        <f ca="1">IF(A4244="","Date",IF(A4244&lt;&gt;"",IF(B4244="Date",NOW(),B4244),""))</f>
        <v>Date</v>
      </c>
      <c r="C4244" s="19" t="str">
        <f>IF(ISBLANK(A4244),"Name",IF(ISNA(VLOOKUP(A4244,'Master List'!A:C,2,FALSE)), "Not Found", VLOOKUP(A4244,'Master List'!A:C,2,FALSE)))</f>
        <v>Name</v>
      </c>
      <c r="D4244" s="19" t="str">
        <f>IF(ISBLANK(A4244), "Email",IF(ISNA(VLOOKUP(A4244,'Master List'!A:C,3,FALSE)), "Not Found", VLOOKUP(A4244,'Master List'!A:C,3,FALSE)))</f>
        <v>Email</v>
      </c>
      <c r="F4244" s="4" t="str">
        <f>IF(OR(A4244="",E4244="","",A4244="?",E4244="?"),"duplicate?",IF(COUNTIFS($A:A,A4244,E:E,E4244)&gt;1,"yes","no"))</f>
        <v>duplicate?</v>
      </c>
      <c r="K4244" s="97" t="str">
        <f ca="1">IF(J4244="","Date",IF(J4244&lt;&gt;"",IF(K4244="Date",NOW(),K4244),""))</f>
        <v>Date</v>
      </c>
    </row>
    <row r="4245" spans="2:11">
      <c r="B4245" s="97" t="str">
        <f ca="1">IF(A4245="","Date",IF(A4245&lt;&gt;"",IF(B4245="Date",NOW(),B4245),""))</f>
        <v>Date</v>
      </c>
      <c r="C4245" s="19" t="str">
        <f>IF(ISBLANK(A4245),"Name",IF(ISNA(VLOOKUP(A4245,'Master List'!A:C,2,FALSE)), "Not Found", VLOOKUP(A4245,'Master List'!A:C,2,FALSE)))</f>
        <v>Name</v>
      </c>
      <c r="D4245" s="19" t="str">
        <f>IF(ISBLANK(A4245), "Email",IF(ISNA(VLOOKUP(A4245,'Master List'!A:C,3,FALSE)), "Not Found", VLOOKUP(A4245,'Master List'!A:C,3,FALSE)))</f>
        <v>Email</v>
      </c>
      <c r="F4245" s="4" t="str">
        <f>IF(OR(A4245="",E4245="","",A4245="?",E4245="?"),"duplicate?",IF(COUNTIFS($A:A,A4245,E:E,E4245)&gt;1,"yes","no"))</f>
        <v>duplicate?</v>
      </c>
      <c r="K4245" s="97" t="str">
        <f ca="1">IF(J4245="","Date",IF(J4245&lt;&gt;"",IF(K4245="Date",NOW(),K4245),""))</f>
        <v>Date</v>
      </c>
    </row>
    <row r="4246" spans="2:11">
      <c r="B4246" s="97" t="str">
        <f ca="1">IF(A4246="","Date",IF(A4246&lt;&gt;"",IF(B4246="Date",NOW(),B4246),""))</f>
        <v>Date</v>
      </c>
      <c r="C4246" s="19" t="str">
        <f>IF(ISBLANK(A4246),"Name",IF(ISNA(VLOOKUP(A4246,'Master List'!A:C,2,FALSE)), "Not Found", VLOOKUP(A4246,'Master List'!A:C,2,FALSE)))</f>
        <v>Name</v>
      </c>
      <c r="D4246" s="19" t="str">
        <f>IF(ISBLANK(A4246), "Email",IF(ISNA(VLOOKUP(A4246,'Master List'!A:C,3,FALSE)), "Not Found", VLOOKUP(A4246,'Master List'!A:C,3,FALSE)))</f>
        <v>Email</v>
      </c>
      <c r="F4246" s="4" t="str">
        <f>IF(OR(A4246="",E4246="","",A4246="?",E4246="?"),"duplicate?",IF(COUNTIFS($A:A,A4246,E:E,E4246)&gt;1,"yes","no"))</f>
        <v>duplicate?</v>
      </c>
      <c r="K4246" s="97" t="str">
        <f ca="1">IF(J4246="","Date",IF(J4246&lt;&gt;"",IF(K4246="Date",NOW(),K4246),""))</f>
        <v>Date</v>
      </c>
    </row>
    <row r="4247" spans="2:11">
      <c r="B4247" s="97" t="str">
        <f ca="1">IF(A4247="","Date",IF(A4247&lt;&gt;"",IF(B4247="Date",NOW(),B4247),""))</f>
        <v>Date</v>
      </c>
      <c r="C4247" s="19" t="str">
        <f>IF(ISBLANK(A4247),"Name",IF(ISNA(VLOOKUP(A4247,'Master List'!A:C,2,FALSE)), "Not Found", VLOOKUP(A4247,'Master List'!A:C,2,FALSE)))</f>
        <v>Name</v>
      </c>
      <c r="D4247" s="19" t="str">
        <f>IF(ISBLANK(A4247), "Email",IF(ISNA(VLOOKUP(A4247,'Master List'!A:C,3,FALSE)), "Not Found", VLOOKUP(A4247,'Master List'!A:C,3,FALSE)))</f>
        <v>Email</v>
      </c>
      <c r="F4247" s="4" t="str">
        <f>IF(OR(A4247="",E4247="","",A4247="?",E4247="?"),"duplicate?",IF(COUNTIFS($A:A,A4247,E:E,E4247)&gt;1,"yes","no"))</f>
        <v>duplicate?</v>
      </c>
      <c r="K4247" s="97" t="str">
        <f ca="1">IF(J4247="","Date",IF(J4247&lt;&gt;"",IF(K4247="Date",NOW(),K4247),""))</f>
        <v>Date</v>
      </c>
    </row>
    <row r="4248" spans="2:11">
      <c r="B4248" s="97" t="str">
        <f ca="1">IF(A4248="","Date",IF(A4248&lt;&gt;"",IF(B4248="Date",NOW(),B4248),""))</f>
        <v>Date</v>
      </c>
      <c r="C4248" s="19" t="str">
        <f>IF(ISBLANK(A4248),"Name",IF(ISNA(VLOOKUP(A4248,'Master List'!A:C,2,FALSE)), "Not Found", VLOOKUP(A4248,'Master List'!A:C,2,FALSE)))</f>
        <v>Name</v>
      </c>
      <c r="D4248" s="19" t="str">
        <f>IF(ISBLANK(A4248), "Email",IF(ISNA(VLOOKUP(A4248,'Master List'!A:C,3,FALSE)), "Not Found", VLOOKUP(A4248,'Master List'!A:C,3,FALSE)))</f>
        <v>Email</v>
      </c>
      <c r="F4248" s="4" t="str">
        <f>IF(OR(A4248="",E4248="","",A4248="?",E4248="?"),"duplicate?",IF(COUNTIFS($A:A,A4248,E:E,E4248)&gt;1,"yes","no"))</f>
        <v>duplicate?</v>
      </c>
      <c r="K4248" s="97" t="str">
        <f ca="1">IF(J4248="","Date",IF(J4248&lt;&gt;"",IF(K4248="Date",NOW(),K4248),""))</f>
        <v>Date</v>
      </c>
    </row>
    <row r="4249" spans="2:11">
      <c r="B4249" s="97" t="str">
        <f ca="1">IF(A4249="","Date",IF(A4249&lt;&gt;"",IF(B4249="Date",NOW(),B4249),""))</f>
        <v>Date</v>
      </c>
      <c r="C4249" s="19" t="str">
        <f>IF(ISBLANK(A4249),"Name",IF(ISNA(VLOOKUP(A4249,'Master List'!A:C,2,FALSE)), "Not Found", VLOOKUP(A4249,'Master List'!A:C,2,FALSE)))</f>
        <v>Name</v>
      </c>
      <c r="D4249" s="19" t="str">
        <f>IF(ISBLANK(A4249), "Email",IF(ISNA(VLOOKUP(A4249,'Master List'!A:C,3,FALSE)), "Not Found", VLOOKUP(A4249,'Master List'!A:C,3,FALSE)))</f>
        <v>Email</v>
      </c>
      <c r="F4249" s="4" t="str">
        <f>IF(OR(A4249="",E4249="","",A4249="?",E4249="?"),"duplicate?",IF(COUNTIFS($A:A,A4249,E:E,E4249)&gt;1,"yes","no"))</f>
        <v>duplicate?</v>
      </c>
      <c r="K4249" s="97" t="str">
        <f ca="1">IF(J4249="","Date",IF(J4249&lt;&gt;"",IF(K4249="Date",NOW(),K4249),""))</f>
        <v>Date</v>
      </c>
    </row>
    <row r="4250" spans="2:11">
      <c r="B4250" s="97" t="str">
        <f ca="1">IF(A4250="","Date",IF(A4250&lt;&gt;"",IF(B4250="Date",NOW(),B4250),""))</f>
        <v>Date</v>
      </c>
      <c r="C4250" s="19" t="str">
        <f>IF(ISBLANK(A4250),"Name",IF(ISNA(VLOOKUP(A4250,'Master List'!A:C,2,FALSE)), "Not Found", VLOOKUP(A4250,'Master List'!A:C,2,FALSE)))</f>
        <v>Name</v>
      </c>
      <c r="D4250" s="19" t="str">
        <f>IF(ISBLANK(A4250), "Email",IF(ISNA(VLOOKUP(A4250,'Master List'!A:C,3,FALSE)), "Not Found", VLOOKUP(A4250,'Master List'!A:C,3,FALSE)))</f>
        <v>Email</v>
      </c>
      <c r="F4250" s="4" t="str">
        <f>IF(OR(A4250="",E4250="","",A4250="?",E4250="?"),"duplicate?",IF(COUNTIFS($A:A,A4250,E:E,E4250)&gt;1,"yes","no"))</f>
        <v>duplicate?</v>
      </c>
      <c r="K4250" s="97" t="str">
        <f ca="1">IF(J4250="","Date",IF(J4250&lt;&gt;"",IF(K4250="Date",NOW(),K4250),""))</f>
        <v>Date</v>
      </c>
    </row>
    <row r="4251" spans="2:11">
      <c r="B4251" s="97" t="str">
        <f ca="1">IF(A4251="","Date",IF(A4251&lt;&gt;"",IF(B4251="Date",NOW(),B4251),""))</f>
        <v>Date</v>
      </c>
      <c r="C4251" s="19" t="str">
        <f>IF(ISBLANK(A4251),"Name",IF(ISNA(VLOOKUP(A4251,'Master List'!A:C,2,FALSE)), "Not Found", VLOOKUP(A4251,'Master List'!A:C,2,FALSE)))</f>
        <v>Name</v>
      </c>
      <c r="D4251" s="19" t="str">
        <f>IF(ISBLANK(A4251), "Email",IF(ISNA(VLOOKUP(A4251,'Master List'!A:C,3,FALSE)), "Not Found", VLOOKUP(A4251,'Master List'!A:C,3,FALSE)))</f>
        <v>Email</v>
      </c>
      <c r="F4251" s="4" t="str">
        <f>IF(OR(A4251="",E4251="","",A4251="?",E4251="?"),"duplicate?",IF(COUNTIFS($A:A,A4251,E:E,E4251)&gt;1,"yes","no"))</f>
        <v>duplicate?</v>
      </c>
      <c r="K4251" s="97" t="str">
        <f ca="1">IF(J4251="","Date",IF(J4251&lt;&gt;"",IF(K4251="Date",NOW(),K4251),""))</f>
        <v>Date</v>
      </c>
    </row>
    <row r="4252" spans="2:11">
      <c r="B4252" s="97" t="str">
        <f ca="1">IF(A4252="","Date",IF(A4252&lt;&gt;"",IF(B4252="Date",NOW(),B4252),""))</f>
        <v>Date</v>
      </c>
      <c r="C4252" s="19" t="str">
        <f>IF(ISBLANK(A4252),"Name",IF(ISNA(VLOOKUP(A4252,'Master List'!A:C,2,FALSE)), "Not Found", VLOOKUP(A4252,'Master List'!A:C,2,FALSE)))</f>
        <v>Name</v>
      </c>
      <c r="D4252" s="19" t="str">
        <f>IF(ISBLANK(A4252), "Email",IF(ISNA(VLOOKUP(A4252,'Master List'!A:C,3,FALSE)), "Not Found", VLOOKUP(A4252,'Master List'!A:C,3,FALSE)))</f>
        <v>Email</v>
      </c>
      <c r="F4252" s="4" t="str">
        <f>IF(OR(A4252="",E4252="","",A4252="?",E4252="?"),"duplicate?",IF(COUNTIFS($A:A,A4252,E:E,E4252)&gt;1,"yes","no"))</f>
        <v>duplicate?</v>
      </c>
      <c r="K4252" s="97" t="str">
        <f ca="1">IF(J4252="","Date",IF(J4252&lt;&gt;"",IF(K4252="Date",NOW(),K4252),""))</f>
        <v>Date</v>
      </c>
    </row>
    <row r="4253" spans="2:11">
      <c r="B4253" s="97" t="str">
        <f ca="1">IF(A4253="","Date",IF(A4253&lt;&gt;"",IF(B4253="Date",NOW(),B4253),""))</f>
        <v>Date</v>
      </c>
      <c r="C4253" s="19" t="str">
        <f>IF(ISBLANK(A4253),"Name",IF(ISNA(VLOOKUP(A4253,'Master List'!A:C,2,FALSE)), "Not Found", VLOOKUP(A4253,'Master List'!A:C,2,FALSE)))</f>
        <v>Name</v>
      </c>
      <c r="D4253" s="19" t="str">
        <f>IF(ISBLANK(A4253), "Email",IF(ISNA(VLOOKUP(A4253,'Master List'!A:C,3,FALSE)), "Not Found", VLOOKUP(A4253,'Master List'!A:C,3,FALSE)))</f>
        <v>Email</v>
      </c>
      <c r="F4253" s="4" t="str">
        <f>IF(OR(A4253="",E4253="","",A4253="?",E4253="?"),"duplicate?",IF(COUNTIFS($A:A,A4253,E:E,E4253)&gt;1,"yes","no"))</f>
        <v>duplicate?</v>
      </c>
      <c r="K4253" s="97" t="str">
        <f ca="1">IF(J4253="","Date",IF(J4253&lt;&gt;"",IF(K4253="Date",NOW(),K4253),""))</f>
        <v>Date</v>
      </c>
    </row>
    <row r="4254" spans="2:11">
      <c r="B4254" s="97" t="str">
        <f ca="1">IF(A4254="","Date",IF(A4254&lt;&gt;"",IF(B4254="Date",NOW(),B4254),""))</f>
        <v>Date</v>
      </c>
      <c r="C4254" s="19" t="str">
        <f>IF(ISBLANK(A4254),"Name",IF(ISNA(VLOOKUP(A4254,'Master List'!A:C,2,FALSE)), "Not Found", VLOOKUP(A4254,'Master List'!A:C,2,FALSE)))</f>
        <v>Name</v>
      </c>
      <c r="D4254" s="19" t="str">
        <f>IF(ISBLANK(A4254), "Email",IF(ISNA(VLOOKUP(A4254,'Master List'!A:C,3,FALSE)), "Not Found", VLOOKUP(A4254,'Master List'!A:C,3,FALSE)))</f>
        <v>Email</v>
      </c>
      <c r="F4254" s="4" t="str">
        <f>IF(OR(A4254="",E4254="","",A4254="?",E4254="?"),"duplicate?",IF(COUNTIFS($A:A,A4254,E:E,E4254)&gt;1,"yes","no"))</f>
        <v>duplicate?</v>
      </c>
      <c r="K4254" s="97" t="str">
        <f ca="1">IF(J4254="","Date",IF(J4254&lt;&gt;"",IF(K4254="Date",NOW(),K4254),""))</f>
        <v>Date</v>
      </c>
    </row>
    <row r="4255" spans="2:11">
      <c r="B4255" s="97" t="str">
        <f ca="1">IF(A4255="","Date",IF(A4255&lt;&gt;"",IF(B4255="Date",NOW(),B4255),""))</f>
        <v>Date</v>
      </c>
      <c r="C4255" s="19" t="str">
        <f>IF(ISBLANK(A4255),"Name",IF(ISNA(VLOOKUP(A4255,'Master List'!A:C,2,FALSE)), "Not Found", VLOOKUP(A4255,'Master List'!A:C,2,FALSE)))</f>
        <v>Name</v>
      </c>
      <c r="D4255" s="19" t="str">
        <f>IF(ISBLANK(A4255), "Email",IF(ISNA(VLOOKUP(A4255,'Master List'!A:C,3,FALSE)), "Not Found", VLOOKUP(A4255,'Master List'!A:C,3,FALSE)))</f>
        <v>Email</v>
      </c>
      <c r="F4255" s="4" t="str">
        <f>IF(OR(A4255="",E4255="","",A4255="?",E4255="?"),"duplicate?",IF(COUNTIFS($A:A,A4255,E:E,E4255)&gt;1,"yes","no"))</f>
        <v>duplicate?</v>
      </c>
      <c r="K4255" s="97" t="str">
        <f ca="1">IF(J4255="","Date",IF(J4255&lt;&gt;"",IF(K4255="Date",NOW(),K4255),""))</f>
        <v>Date</v>
      </c>
    </row>
    <row r="4256" spans="2:11">
      <c r="B4256" s="97" t="str">
        <f ca="1">IF(A4256="","Date",IF(A4256&lt;&gt;"",IF(B4256="Date",NOW(),B4256),""))</f>
        <v>Date</v>
      </c>
      <c r="C4256" s="19" t="str">
        <f>IF(ISBLANK(A4256),"Name",IF(ISNA(VLOOKUP(A4256,'Master List'!A:C,2,FALSE)), "Not Found", VLOOKUP(A4256,'Master List'!A:C,2,FALSE)))</f>
        <v>Name</v>
      </c>
      <c r="D4256" s="19" t="str">
        <f>IF(ISBLANK(A4256), "Email",IF(ISNA(VLOOKUP(A4256,'Master List'!A:C,3,FALSE)), "Not Found", VLOOKUP(A4256,'Master List'!A:C,3,FALSE)))</f>
        <v>Email</v>
      </c>
      <c r="F4256" s="4" t="str">
        <f>IF(OR(A4256="",E4256="","",A4256="?",E4256="?"),"duplicate?",IF(COUNTIFS($A:A,A4256,E:E,E4256)&gt;1,"yes","no"))</f>
        <v>duplicate?</v>
      </c>
      <c r="K4256" s="97" t="str">
        <f ca="1">IF(J4256="","Date",IF(J4256&lt;&gt;"",IF(K4256="Date",NOW(),K4256),""))</f>
        <v>Date</v>
      </c>
    </row>
    <row r="4257" spans="2:11">
      <c r="B4257" s="97" t="str">
        <f ca="1">IF(A4257="","Date",IF(A4257&lt;&gt;"",IF(B4257="Date",NOW(),B4257),""))</f>
        <v>Date</v>
      </c>
      <c r="C4257" s="19" t="str">
        <f>IF(ISBLANK(A4257),"Name",IF(ISNA(VLOOKUP(A4257,'Master List'!A:C,2,FALSE)), "Not Found", VLOOKUP(A4257,'Master List'!A:C,2,FALSE)))</f>
        <v>Name</v>
      </c>
      <c r="D4257" s="19" t="str">
        <f>IF(ISBLANK(A4257), "Email",IF(ISNA(VLOOKUP(A4257,'Master List'!A:C,3,FALSE)), "Not Found", VLOOKUP(A4257,'Master List'!A:C,3,FALSE)))</f>
        <v>Email</v>
      </c>
      <c r="F4257" s="4" t="str">
        <f>IF(OR(A4257="",E4257="","",A4257="?",E4257="?"),"duplicate?",IF(COUNTIFS($A:A,A4257,E:E,E4257)&gt;1,"yes","no"))</f>
        <v>duplicate?</v>
      </c>
      <c r="K4257" s="97" t="str">
        <f ca="1">IF(J4257="","Date",IF(J4257&lt;&gt;"",IF(K4257="Date",NOW(),K4257),""))</f>
        <v>Date</v>
      </c>
    </row>
    <row r="4258" spans="2:11">
      <c r="B4258" s="97" t="str">
        <f ca="1">IF(A4258="","Date",IF(A4258&lt;&gt;"",IF(B4258="Date",NOW(),B4258),""))</f>
        <v>Date</v>
      </c>
      <c r="C4258" s="19" t="str">
        <f>IF(ISBLANK(A4258),"Name",IF(ISNA(VLOOKUP(A4258,'Master List'!A:C,2,FALSE)), "Not Found", VLOOKUP(A4258,'Master List'!A:C,2,FALSE)))</f>
        <v>Name</v>
      </c>
      <c r="D4258" s="19" t="str">
        <f>IF(ISBLANK(A4258), "Email",IF(ISNA(VLOOKUP(A4258,'Master List'!A:C,3,FALSE)), "Not Found", VLOOKUP(A4258,'Master List'!A:C,3,FALSE)))</f>
        <v>Email</v>
      </c>
      <c r="F4258" s="4" t="str">
        <f>IF(OR(A4258="",E4258="","",A4258="?",E4258="?"),"duplicate?",IF(COUNTIFS($A:A,A4258,E:E,E4258)&gt;1,"yes","no"))</f>
        <v>duplicate?</v>
      </c>
      <c r="K4258" s="97" t="str">
        <f ca="1">IF(J4258="","Date",IF(J4258&lt;&gt;"",IF(K4258="Date",NOW(),K4258),""))</f>
        <v>Date</v>
      </c>
    </row>
    <row r="4259" spans="2:11">
      <c r="B4259" s="97" t="str">
        <f ca="1">IF(A4259="","Date",IF(A4259&lt;&gt;"",IF(B4259="Date",NOW(),B4259),""))</f>
        <v>Date</v>
      </c>
      <c r="C4259" s="19" t="str">
        <f>IF(ISBLANK(A4259),"Name",IF(ISNA(VLOOKUP(A4259,'Master List'!A:C,2,FALSE)), "Not Found", VLOOKUP(A4259,'Master List'!A:C,2,FALSE)))</f>
        <v>Name</v>
      </c>
      <c r="D4259" s="19" t="str">
        <f>IF(ISBLANK(A4259), "Email",IF(ISNA(VLOOKUP(A4259,'Master List'!A:C,3,FALSE)), "Not Found", VLOOKUP(A4259,'Master List'!A:C,3,FALSE)))</f>
        <v>Email</v>
      </c>
      <c r="F4259" s="4" t="str">
        <f>IF(OR(A4259="",E4259="","",A4259="?",E4259="?"),"duplicate?",IF(COUNTIFS($A:A,A4259,E:E,E4259)&gt;1,"yes","no"))</f>
        <v>duplicate?</v>
      </c>
      <c r="K4259" s="97" t="str">
        <f ca="1">IF(J4259="","Date",IF(J4259&lt;&gt;"",IF(K4259="Date",NOW(),K4259),""))</f>
        <v>Date</v>
      </c>
    </row>
    <row r="4260" spans="2:11">
      <c r="B4260" s="97" t="str">
        <f ca="1">IF(A4260="","Date",IF(A4260&lt;&gt;"",IF(B4260="Date",NOW(),B4260),""))</f>
        <v>Date</v>
      </c>
      <c r="C4260" s="19" t="str">
        <f>IF(ISBLANK(A4260),"Name",IF(ISNA(VLOOKUP(A4260,'Master List'!A:C,2,FALSE)), "Not Found", VLOOKUP(A4260,'Master List'!A:C,2,FALSE)))</f>
        <v>Name</v>
      </c>
      <c r="D4260" s="19" t="str">
        <f>IF(ISBLANK(A4260), "Email",IF(ISNA(VLOOKUP(A4260,'Master List'!A:C,3,FALSE)), "Not Found", VLOOKUP(A4260,'Master List'!A:C,3,FALSE)))</f>
        <v>Email</v>
      </c>
      <c r="F4260" s="4" t="str">
        <f>IF(OR(A4260="",E4260="","",A4260="?",E4260="?"),"duplicate?",IF(COUNTIFS($A:A,A4260,E:E,E4260)&gt;1,"yes","no"))</f>
        <v>duplicate?</v>
      </c>
      <c r="K4260" s="97" t="str">
        <f ca="1">IF(J4260="","Date",IF(J4260&lt;&gt;"",IF(K4260="Date",NOW(),K4260),""))</f>
        <v>Date</v>
      </c>
    </row>
    <row r="4261" spans="2:11">
      <c r="B4261" s="97" t="str">
        <f ca="1">IF(A4261="","Date",IF(A4261&lt;&gt;"",IF(B4261="Date",NOW(),B4261),""))</f>
        <v>Date</v>
      </c>
      <c r="C4261" s="19" t="str">
        <f>IF(ISBLANK(A4261),"Name",IF(ISNA(VLOOKUP(A4261,'Master List'!A:C,2,FALSE)), "Not Found", VLOOKUP(A4261,'Master List'!A:C,2,FALSE)))</f>
        <v>Name</v>
      </c>
      <c r="D4261" s="19" t="str">
        <f>IF(ISBLANK(A4261), "Email",IF(ISNA(VLOOKUP(A4261,'Master List'!A:C,3,FALSE)), "Not Found", VLOOKUP(A4261,'Master List'!A:C,3,FALSE)))</f>
        <v>Email</v>
      </c>
      <c r="F4261" s="4" t="str">
        <f>IF(OR(A4261="",E4261="","",A4261="?",E4261="?"),"duplicate?",IF(COUNTIFS($A:A,A4261,E:E,E4261)&gt;1,"yes","no"))</f>
        <v>duplicate?</v>
      </c>
      <c r="K4261" s="97" t="str">
        <f ca="1">IF(J4261="","Date",IF(J4261&lt;&gt;"",IF(K4261="Date",NOW(),K4261),""))</f>
        <v>Date</v>
      </c>
    </row>
    <row r="4262" spans="2:11">
      <c r="B4262" s="97" t="str">
        <f ca="1">IF(A4262="","Date",IF(A4262&lt;&gt;"",IF(B4262="Date",NOW(),B4262),""))</f>
        <v>Date</v>
      </c>
      <c r="C4262" s="19" t="str">
        <f>IF(ISBLANK(A4262),"Name",IF(ISNA(VLOOKUP(A4262,'Master List'!A:C,2,FALSE)), "Not Found", VLOOKUP(A4262,'Master List'!A:C,2,FALSE)))</f>
        <v>Name</v>
      </c>
      <c r="D4262" s="19" t="str">
        <f>IF(ISBLANK(A4262), "Email",IF(ISNA(VLOOKUP(A4262,'Master List'!A:C,3,FALSE)), "Not Found", VLOOKUP(A4262,'Master List'!A:C,3,FALSE)))</f>
        <v>Email</v>
      </c>
      <c r="F4262" s="4" t="str">
        <f>IF(OR(A4262="",E4262="","",A4262="?",E4262="?"),"duplicate?",IF(COUNTIFS($A:A,A4262,E:E,E4262)&gt;1,"yes","no"))</f>
        <v>duplicate?</v>
      </c>
      <c r="K4262" s="97" t="str">
        <f ca="1">IF(J4262="","Date",IF(J4262&lt;&gt;"",IF(K4262="Date",NOW(),K4262),""))</f>
        <v>Date</v>
      </c>
    </row>
    <row r="4263" spans="2:11">
      <c r="B4263" s="97" t="str">
        <f ca="1">IF(A4263="","Date",IF(A4263&lt;&gt;"",IF(B4263="Date",NOW(),B4263),""))</f>
        <v>Date</v>
      </c>
      <c r="C4263" s="19" t="str">
        <f>IF(ISBLANK(A4263),"Name",IF(ISNA(VLOOKUP(A4263,'Master List'!A:C,2,FALSE)), "Not Found", VLOOKUP(A4263,'Master List'!A:C,2,FALSE)))</f>
        <v>Name</v>
      </c>
      <c r="D4263" s="19" t="str">
        <f>IF(ISBLANK(A4263), "Email",IF(ISNA(VLOOKUP(A4263,'Master List'!A:C,3,FALSE)), "Not Found", VLOOKUP(A4263,'Master List'!A:C,3,FALSE)))</f>
        <v>Email</v>
      </c>
      <c r="F4263" s="4" t="str">
        <f>IF(OR(A4263="",E4263="","",A4263="?",E4263="?"),"duplicate?",IF(COUNTIFS($A:A,A4263,E:E,E4263)&gt;1,"yes","no"))</f>
        <v>duplicate?</v>
      </c>
      <c r="K4263" s="97" t="str">
        <f ca="1">IF(J4263="","Date",IF(J4263&lt;&gt;"",IF(K4263="Date",NOW(),K4263),""))</f>
        <v>Date</v>
      </c>
    </row>
    <row r="4264" spans="2:11">
      <c r="B4264" s="97" t="str">
        <f ca="1">IF(A4264="","Date",IF(A4264&lt;&gt;"",IF(B4264="Date",NOW(),B4264),""))</f>
        <v>Date</v>
      </c>
      <c r="C4264" s="19" t="str">
        <f>IF(ISBLANK(A4264),"Name",IF(ISNA(VLOOKUP(A4264,'Master List'!A:C,2,FALSE)), "Not Found", VLOOKUP(A4264,'Master List'!A:C,2,FALSE)))</f>
        <v>Name</v>
      </c>
      <c r="D4264" s="19" t="str">
        <f>IF(ISBLANK(A4264), "Email",IF(ISNA(VLOOKUP(A4264,'Master List'!A:C,3,FALSE)), "Not Found", VLOOKUP(A4264,'Master List'!A:C,3,FALSE)))</f>
        <v>Email</v>
      </c>
      <c r="F4264" s="4" t="str">
        <f>IF(OR(A4264="",E4264="","",A4264="?",E4264="?"),"duplicate?",IF(COUNTIFS($A:A,A4264,E:E,E4264)&gt;1,"yes","no"))</f>
        <v>duplicate?</v>
      </c>
      <c r="K4264" s="97" t="str">
        <f ca="1">IF(J4264="","Date",IF(J4264&lt;&gt;"",IF(K4264="Date",NOW(),K4264),""))</f>
        <v>Date</v>
      </c>
    </row>
    <row r="4265" spans="2:11">
      <c r="B4265" s="97" t="str">
        <f ca="1">IF(A4265="","Date",IF(A4265&lt;&gt;"",IF(B4265="Date",NOW(),B4265),""))</f>
        <v>Date</v>
      </c>
      <c r="C4265" s="19" t="str">
        <f>IF(ISBLANK(A4265),"Name",IF(ISNA(VLOOKUP(A4265,'Master List'!A:C,2,FALSE)), "Not Found", VLOOKUP(A4265,'Master List'!A:C,2,FALSE)))</f>
        <v>Name</v>
      </c>
      <c r="D4265" s="19" t="str">
        <f>IF(ISBLANK(A4265), "Email",IF(ISNA(VLOOKUP(A4265,'Master List'!A:C,3,FALSE)), "Not Found", VLOOKUP(A4265,'Master List'!A:C,3,FALSE)))</f>
        <v>Email</v>
      </c>
      <c r="F4265" s="4" t="str">
        <f>IF(OR(A4265="",E4265="","",A4265="?",E4265="?"),"duplicate?",IF(COUNTIFS($A:A,A4265,E:E,E4265)&gt;1,"yes","no"))</f>
        <v>duplicate?</v>
      </c>
      <c r="K4265" s="97" t="str">
        <f ca="1">IF(J4265="","Date",IF(J4265&lt;&gt;"",IF(K4265="Date",NOW(),K4265),""))</f>
        <v>Date</v>
      </c>
    </row>
    <row r="4266" spans="2:11">
      <c r="B4266" s="97" t="str">
        <f ca="1">IF(A4266="","Date",IF(A4266&lt;&gt;"",IF(B4266="Date",NOW(),B4266),""))</f>
        <v>Date</v>
      </c>
      <c r="C4266" s="19" t="str">
        <f>IF(ISBLANK(A4266),"Name",IF(ISNA(VLOOKUP(A4266,'Master List'!A:C,2,FALSE)), "Not Found", VLOOKUP(A4266,'Master List'!A:C,2,FALSE)))</f>
        <v>Name</v>
      </c>
      <c r="D4266" s="19" t="str">
        <f>IF(ISBLANK(A4266), "Email",IF(ISNA(VLOOKUP(A4266,'Master List'!A:C,3,FALSE)), "Not Found", VLOOKUP(A4266,'Master List'!A:C,3,FALSE)))</f>
        <v>Email</v>
      </c>
      <c r="F4266" s="4" t="str">
        <f>IF(OR(A4266="",E4266="","",A4266="?",E4266="?"),"duplicate?",IF(COUNTIFS($A:A,A4266,E:E,E4266)&gt;1,"yes","no"))</f>
        <v>duplicate?</v>
      </c>
      <c r="K4266" s="97" t="str">
        <f ca="1">IF(J4266="","Date",IF(J4266&lt;&gt;"",IF(K4266="Date",NOW(),K4266),""))</f>
        <v>Date</v>
      </c>
    </row>
    <row r="4267" spans="2:11">
      <c r="B4267" s="97" t="str">
        <f ca="1">IF(A4267="","Date",IF(A4267&lt;&gt;"",IF(B4267="Date",NOW(),B4267),""))</f>
        <v>Date</v>
      </c>
      <c r="C4267" s="19" t="str">
        <f>IF(ISBLANK(A4267),"Name",IF(ISNA(VLOOKUP(A4267,'Master List'!A:C,2,FALSE)), "Not Found", VLOOKUP(A4267,'Master List'!A:C,2,FALSE)))</f>
        <v>Name</v>
      </c>
      <c r="D4267" s="19" t="str">
        <f>IF(ISBLANK(A4267), "Email",IF(ISNA(VLOOKUP(A4267,'Master List'!A:C,3,FALSE)), "Not Found", VLOOKUP(A4267,'Master List'!A:C,3,FALSE)))</f>
        <v>Email</v>
      </c>
      <c r="F4267" s="4" t="str">
        <f>IF(OR(A4267="",E4267="","",A4267="?",E4267="?"),"duplicate?",IF(COUNTIFS($A:A,A4267,E:E,E4267)&gt;1,"yes","no"))</f>
        <v>duplicate?</v>
      </c>
      <c r="K4267" s="97" t="str">
        <f ca="1">IF(J4267="","Date",IF(J4267&lt;&gt;"",IF(K4267="Date",NOW(),K4267),""))</f>
        <v>Date</v>
      </c>
    </row>
    <row r="4268" spans="2:11">
      <c r="B4268" s="97" t="str">
        <f ca="1">IF(A4268="","Date",IF(A4268&lt;&gt;"",IF(B4268="Date",NOW(),B4268),""))</f>
        <v>Date</v>
      </c>
      <c r="C4268" s="19" t="str">
        <f>IF(ISBLANK(A4268),"Name",IF(ISNA(VLOOKUP(A4268,'Master List'!A:C,2,FALSE)), "Not Found", VLOOKUP(A4268,'Master List'!A:C,2,FALSE)))</f>
        <v>Name</v>
      </c>
      <c r="D4268" s="19" t="str">
        <f>IF(ISBLANK(A4268), "Email",IF(ISNA(VLOOKUP(A4268,'Master List'!A:C,3,FALSE)), "Not Found", VLOOKUP(A4268,'Master List'!A:C,3,FALSE)))</f>
        <v>Email</v>
      </c>
      <c r="F4268" s="4" t="str">
        <f>IF(OR(A4268="",E4268="","",A4268="?",E4268="?"),"duplicate?",IF(COUNTIFS($A:A,A4268,E:E,E4268)&gt;1,"yes","no"))</f>
        <v>duplicate?</v>
      </c>
      <c r="K4268" s="97" t="str">
        <f ca="1">IF(J4268="","Date",IF(J4268&lt;&gt;"",IF(K4268="Date",NOW(),K4268),""))</f>
        <v>Date</v>
      </c>
    </row>
    <row r="4269" spans="2:11">
      <c r="B4269" s="97" t="str">
        <f ca="1">IF(A4269="","Date",IF(A4269&lt;&gt;"",IF(B4269="Date",NOW(),B4269),""))</f>
        <v>Date</v>
      </c>
      <c r="C4269" s="19" t="str">
        <f>IF(ISBLANK(A4269),"Name",IF(ISNA(VLOOKUP(A4269,'Master List'!A:C,2,FALSE)), "Not Found", VLOOKUP(A4269,'Master List'!A:C,2,FALSE)))</f>
        <v>Name</v>
      </c>
      <c r="D4269" s="19" t="str">
        <f>IF(ISBLANK(A4269), "Email",IF(ISNA(VLOOKUP(A4269,'Master List'!A:C,3,FALSE)), "Not Found", VLOOKUP(A4269,'Master List'!A:C,3,FALSE)))</f>
        <v>Email</v>
      </c>
      <c r="F4269" s="4" t="str">
        <f>IF(OR(A4269="",E4269="","",A4269="?",E4269="?"),"duplicate?",IF(COUNTIFS($A:A,A4269,E:E,E4269)&gt;1,"yes","no"))</f>
        <v>duplicate?</v>
      </c>
      <c r="K4269" s="97" t="str">
        <f ca="1">IF(J4269="","Date",IF(J4269&lt;&gt;"",IF(K4269="Date",NOW(),K4269),""))</f>
        <v>Date</v>
      </c>
    </row>
    <row r="4270" spans="2:11">
      <c r="B4270" s="97" t="str">
        <f ca="1">IF(A4270="","Date",IF(A4270&lt;&gt;"",IF(B4270="Date",NOW(),B4270),""))</f>
        <v>Date</v>
      </c>
      <c r="C4270" s="19" t="str">
        <f>IF(ISBLANK(A4270),"Name",IF(ISNA(VLOOKUP(A4270,'Master List'!A:C,2,FALSE)), "Not Found", VLOOKUP(A4270,'Master List'!A:C,2,FALSE)))</f>
        <v>Name</v>
      </c>
      <c r="D4270" s="19" t="str">
        <f>IF(ISBLANK(A4270), "Email",IF(ISNA(VLOOKUP(A4270,'Master List'!A:C,3,FALSE)), "Not Found", VLOOKUP(A4270,'Master List'!A:C,3,FALSE)))</f>
        <v>Email</v>
      </c>
      <c r="F4270" s="4" t="str">
        <f>IF(OR(A4270="",E4270="","",A4270="?",E4270="?"),"duplicate?",IF(COUNTIFS($A:A,A4270,E:E,E4270)&gt;1,"yes","no"))</f>
        <v>duplicate?</v>
      </c>
      <c r="K4270" s="97" t="str">
        <f ca="1">IF(J4270="","Date",IF(J4270&lt;&gt;"",IF(K4270="Date",NOW(),K4270),""))</f>
        <v>Date</v>
      </c>
    </row>
    <row r="4271" spans="2:11">
      <c r="B4271" s="97" t="str">
        <f ca="1">IF(A4271="","Date",IF(A4271&lt;&gt;"",IF(B4271="Date",NOW(),B4271),""))</f>
        <v>Date</v>
      </c>
      <c r="C4271" s="19" t="str">
        <f>IF(ISBLANK(A4271),"Name",IF(ISNA(VLOOKUP(A4271,'Master List'!A:C,2,FALSE)), "Not Found", VLOOKUP(A4271,'Master List'!A:C,2,FALSE)))</f>
        <v>Name</v>
      </c>
      <c r="D4271" s="19" t="str">
        <f>IF(ISBLANK(A4271), "Email",IF(ISNA(VLOOKUP(A4271,'Master List'!A:C,3,FALSE)), "Not Found", VLOOKUP(A4271,'Master List'!A:C,3,FALSE)))</f>
        <v>Email</v>
      </c>
      <c r="F4271" s="4" t="str">
        <f>IF(OR(A4271="",E4271="","",A4271="?",E4271="?"),"duplicate?",IF(COUNTIFS($A:A,A4271,E:E,E4271)&gt;1,"yes","no"))</f>
        <v>duplicate?</v>
      </c>
      <c r="K4271" s="97" t="str">
        <f ca="1">IF(J4271="","Date",IF(J4271&lt;&gt;"",IF(K4271="Date",NOW(),K4271),""))</f>
        <v>Date</v>
      </c>
    </row>
    <row r="4272" spans="2:11">
      <c r="B4272" s="97" t="str">
        <f ca="1">IF(A4272="","Date",IF(A4272&lt;&gt;"",IF(B4272="Date",NOW(),B4272),""))</f>
        <v>Date</v>
      </c>
      <c r="C4272" s="19" t="str">
        <f>IF(ISBLANK(A4272),"Name",IF(ISNA(VLOOKUP(A4272,'Master List'!A:C,2,FALSE)), "Not Found", VLOOKUP(A4272,'Master List'!A:C,2,FALSE)))</f>
        <v>Name</v>
      </c>
      <c r="D4272" s="19" t="str">
        <f>IF(ISBLANK(A4272), "Email",IF(ISNA(VLOOKUP(A4272,'Master List'!A:C,3,FALSE)), "Not Found", VLOOKUP(A4272,'Master List'!A:C,3,FALSE)))</f>
        <v>Email</v>
      </c>
      <c r="F4272" s="4" t="str">
        <f>IF(OR(A4272="",E4272="","",A4272="?",E4272="?"),"duplicate?",IF(COUNTIFS($A:A,A4272,E:E,E4272)&gt;1,"yes","no"))</f>
        <v>duplicate?</v>
      </c>
      <c r="K4272" s="97" t="str">
        <f ca="1">IF(J4272="","Date",IF(J4272&lt;&gt;"",IF(K4272="Date",NOW(),K4272),""))</f>
        <v>Date</v>
      </c>
    </row>
    <row r="4273" spans="2:11">
      <c r="B4273" s="97" t="str">
        <f ca="1">IF(A4273="","Date",IF(A4273&lt;&gt;"",IF(B4273="Date",NOW(),B4273),""))</f>
        <v>Date</v>
      </c>
      <c r="C4273" s="19" t="str">
        <f>IF(ISBLANK(A4273),"Name",IF(ISNA(VLOOKUP(A4273,'Master List'!A:C,2,FALSE)), "Not Found", VLOOKUP(A4273,'Master List'!A:C,2,FALSE)))</f>
        <v>Name</v>
      </c>
      <c r="D4273" s="19" t="str">
        <f>IF(ISBLANK(A4273), "Email",IF(ISNA(VLOOKUP(A4273,'Master List'!A:C,3,FALSE)), "Not Found", VLOOKUP(A4273,'Master List'!A:C,3,FALSE)))</f>
        <v>Email</v>
      </c>
      <c r="F4273" s="4" t="str">
        <f>IF(OR(A4273="",E4273="","",A4273="?",E4273="?"),"duplicate?",IF(COUNTIFS($A:A,A4273,E:E,E4273)&gt;1,"yes","no"))</f>
        <v>duplicate?</v>
      </c>
      <c r="K4273" s="97" t="str">
        <f ca="1">IF(J4273="","Date",IF(J4273&lt;&gt;"",IF(K4273="Date",NOW(),K4273),""))</f>
        <v>Date</v>
      </c>
    </row>
    <row r="4274" spans="2:11">
      <c r="B4274" s="97" t="str">
        <f ca="1">IF(A4274="","Date",IF(A4274&lt;&gt;"",IF(B4274="Date",NOW(),B4274),""))</f>
        <v>Date</v>
      </c>
      <c r="C4274" s="19" t="str">
        <f>IF(ISBLANK(A4274),"Name",IF(ISNA(VLOOKUP(A4274,'Master List'!A:C,2,FALSE)), "Not Found", VLOOKUP(A4274,'Master List'!A:C,2,FALSE)))</f>
        <v>Name</v>
      </c>
      <c r="D4274" s="19" t="str">
        <f>IF(ISBLANK(A4274), "Email",IF(ISNA(VLOOKUP(A4274,'Master List'!A:C,3,FALSE)), "Not Found", VLOOKUP(A4274,'Master List'!A:C,3,FALSE)))</f>
        <v>Email</v>
      </c>
      <c r="F4274" s="4" t="str">
        <f>IF(OR(A4274="",E4274="","",A4274="?",E4274="?"),"duplicate?",IF(COUNTIFS($A:A,A4274,E:E,E4274)&gt;1,"yes","no"))</f>
        <v>duplicate?</v>
      </c>
      <c r="K4274" s="97" t="str">
        <f ca="1">IF(J4274="","Date",IF(J4274&lt;&gt;"",IF(K4274="Date",NOW(),K4274),""))</f>
        <v>Date</v>
      </c>
    </row>
    <row r="4275" spans="2:11">
      <c r="B4275" s="97" t="str">
        <f ca="1">IF(A4275="","Date",IF(A4275&lt;&gt;"",IF(B4275="Date",NOW(),B4275),""))</f>
        <v>Date</v>
      </c>
      <c r="C4275" s="19" t="str">
        <f>IF(ISBLANK(A4275),"Name",IF(ISNA(VLOOKUP(A4275,'Master List'!A:C,2,FALSE)), "Not Found", VLOOKUP(A4275,'Master List'!A:C,2,FALSE)))</f>
        <v>Name</v>
      </c>
      <c r="D4275" s="19" t="str">
        <f>IF(ISBLANK(A4275), "Email",IF(ISNA(VLOOKUP(A4275,'Master List'!A:C,3,FALSE)), "Not Found", VLOOKUP(A4275,'Master List'!A:C,3,FALSE)))</f>
        <v>Email</v>
      </c>
      <c r="F4275" s="4" t="str">
        <f>IF(OR(A4275="",E4275="","",A4275="?",E4275="?"),"duplicate?",IF(COUNTIFS($A:A,A4275,E:E,E4275)&gt;1,"yes","no"))</f>
        <v>duplicate?</v>
      </c>
      <c r="K4275" s="97" t="str">
        <f ca="1">IF(J4275="","Date",IF(J4275&lt;&gt;"",IF(K4275="Date",NOW(),K4275),""))</f>
        <v>Date</v>
      </c>
    </row>
    <row r="4276" spans="2:11">
      <c r="B4276" s="97" t="str">
        <f ca="1">IF(A4276="","Date",IF(A4276&lt;&gt;"",IF(B4276="Date",NOW(),B4276),""))</f>
        <v>Date</v>
      </c>
      <c r="C4276" s="19" t="str">
        <f>IF(ISBLANK(A4276),"Name",IF(ISNA(VLOOKUP(A4276,'Master List'!A:C,2,FALSE)), "Not Found", VLOOKUP(A4276,'Master List'!A:C,2,FALSE)))</f>
        <v>Name</v>
      </c>
      <c r="D4276" s="19" t="str">
        <f>IF(ISBLANK(A4276), "Email",IF(ISNA(VLOOKUP(A4276,'Master List'!A:C,3,FALSE)), "Not Found", VLOOKUP(A4276,'Master List'!A:C,3,FALSE)))</f>
        <v>Email</v>
      </c>
      <c r="F4276" s="4" t="str">
        <f>IF(OR(A4276="",E4276="","",A4276="?",E4276="?"),"duplicate?",IF(COUNTIFS($A:A,A4276,E:E,E4276)&gt;1,"yes","no"))</f>
        <v>duplicate?</v>
      </c>
      <c r="K4276" s="97" t="str">
        <f ca="1">IF(J4276="","Date",IF(J4276&lt;&gt;"",IF(K4276="Date",NOW(),K4276),""))</f>
        <v>Date</v>
      </c>
    </row>
    <row r="4277" spans="2:11">
      <c r="B4277" s="97" t="str">
        <f ca="1">IF(A4277="","Date",IF(A4277&lt;&gt;"",IF(B4277="Date",NOW(),B4277),""))</f>
        <v>Date</v>
      </c>
      <c r="C4277" s="19" t="str">
        <f>IF(ISBLANK(A4277),"Name",IF(ISNA(VLOOKUP(A4277,'Master List'!A:C,2,FALSE)), "Not Found", VLOOKUP(A4277,'Master List'!A:C,2,FALSE)))</f>
        <v>Name</v>
      </c>
      <c r="D4277" s="19" t="str">
        <f>IF(ISBLANK(A4277), "Email",IF(ISNA(VLOOKUP(A4277,'Master List'!A:C,3,FALSE)), "Not Found", VLOOKUP(A4277,'Master List'!A:C,3,FALSE)))</f>
        <v>Email</v>
      </c>
      <c r="F4277" s="4" t="str">
        <f>IF(OR(A4277="",E4277="","",A4277="?",E4277="?"),"duplicate?",IF(COUNTIFS($A:A,A4277,E:E,E4277)&gt;1,"yes","no"))</f>
        <v>duplicate?</v>
      </c>
      <c r="K4277" s="97" t="str">
        <f ca="1">IF(J4277="","Date",IF(J4277&lt;&gt;"",IF(K4277="Date",NOW(),K4277),""))</f>
        <v>Date</v>
      </c>
    </row>
    <row r="4278" spans="2:11">
      <c r="B4278" s="97" t="str">
        <f ca="1">IF(A4278="","Date",IF(A4278&lt;&gt;"",IF(B4278="Date",NOW(),B4278),""))</f>
        <v>Date</v>
      </c>
      <c r="C4278" s="19" t="str">
        <f>IF(ISBLANK(A4278),"Name",IF(ISNA(VLOOKUP(A4278,'Master List'!A:C,2,FALSE)), "Not Found", VLOOKUP(A4278,'Master List'!A:C,2,FALSE)))</f>
        <v>Name</v>
      </c>
      <c r="D4278" s="19" t="str">
        <f>IF(ISBLANK(A4278), "Email",IF(ISNA(VLOOKUP(A4278,'Master List'!A:C,3,FALSE)), "Not Found", VLOOKUP(A4278,'Master List'!A:C,3,FALSE)))</f>
        <v>Email</v>
      </c>
      <c r="F4278" s="4" t="str">
        <f>IF(OR(A4278="",E4278="","",A4278="?",E4278="?"),"duplicate?",IF(COUNTIFS($A:A,A4278,E:E,E4278)&gt;1,"yes","no"))</f>
        <v>duplicate?</v>
      </c>
      <c r="K4278" s="97" t="str">
        <f ca="1">IF(J4278="","Date",IF(J4278&lt;&gt;"",IF(K4278="Date",NOW(),K4278),""))</f>
        <v>Date</v>
      </c>
    </row>
    <row r="4279" spans="2:11">
      <c r="B4279" s="97" t="str">
        <f ca="1">IF(A4279="","Date",IF(A4279&lt;&gt;"",IF(B4279="Date",NOW(),B4279),""))</f>
        <v>Date</v>
      </c>
      <c r="C4279" s="19" t="str">
        <f>IF(ISBLANK(A4279),"Name",IF(ISNA(VLOOKUP(A4279,'Master List'!A:C,2,FALSE)), "Not Found", VLOOKUP(A4279,'Master List'!A:C,2,FALSE)))</f>
        <v>Name</v>
      </c>
      <c r="D4279" s="19" t="str">
        <f>IF(ISBLANK(A4279), "Email",IF(ISNA(VLOOKUP(A4279,'Master List'!A:C,3,FALSE)), "Not Found", VLOOKUP(A4279,'Master List'!A:C,3,FALSE)))</f>
        <v>Email</v>
      </c>
      <c r="F4279" s="4" t="str">
        <f>IF(OR(A4279="",E4279="","",A4279="?",E4279="?"),"duplicate?",IF(COUNTIFS($A:A,A4279,E:E,E4279)&gt;1,"yes","no"))</f>
        <v>duplicate?</v>
      </c>
      <c r="K4279" s="97" t="str">
        <f ca="1">IF(J4279="","Date",IF(J4279&lt;&gt;"",IF(K4279="Date",NOW(),K4279),""))</f>
        <v>Date</v>
      </c>
    </row>
    <row r="4280" spans="2:11">
      <c r="B4280" s="97" t="str">
        <f ca="1">IF(A4280="","Date",IF(A4280&lt;&gt;"",IF(B4280="Date",NOW(),B4280),""))</f>
        <v>Date</v>
      </c>
      <c r="C4280" s="19" t="str">
        <f>IF(ISBLANK(A4280),"Name",IF(ISNA(VLOOKUP(A4280,'Master List'!A:C,2,FALSE)), "Not Found", VLOOKUP(A4280,'Master List'!A:C,2,FALSE)))</f>
        <v>Name</v>
      </c>
      <c r="D4280" s="19" t="str">
        <f>IF(ISBLANK(A4280), "Email",IF(ISNA(VLOOKUP(A4280,'Master List'!A:C,3,FALSE)), "Not Found", VLOOKUP(A4280,'Master List'!A:C,3,FALSE)))</f>
        <v>Email</v>
      </c>
      <c r="F4280" s="4" t="str">
        <f>IF(OR(A4280="",E4280="","",A4280="?",E4280="?"),"duplicate?",IF(COUNTIFS($A:A,A4280,E:E,E4280)&gt;1,"yes","no"))</f>
        <v>duplicate?</v>
      </c>
      <c r="K4280" s="97" t="str">
        <f ca="1">IF(J4280="","Date",IF(J4280&lt;&gt;"",IF(K4280="Date",NOW(),K4280),""))</f>
        <v>Date</v>
      </c>
    </row>
    <row r="4281" spans="2:11">
      <c r="B4281" s="97" t="str">
        <f ca="1">IF(A4281="","Date",IF(A4281&lt;&gt;"",IF(B4281="Date",NOW(),B4281),""))</f>
        <v>Date</v>
      </c>
      <c r="C4281" s="19" t="str">
        <f>IF(ISBLANK(A4281),"Name",IF(ISNA(VLOOKUP(A4281,'Master List'!A:C,2,FALSE)), "Not Found", VLOOKUP(A4281,'Master List'!A:C,2,FALSE)))</f>
        <v>Name</v>
      </c>
      <c r="D4281" s="19" t="str">
        <f>IF(ISBLANK(A4281), "Email",IF(ISNA(VLOOKUP(A4281,'Master List'!A:C,3,FALSE)), "Not Found", VLOOKUP(A4281,'Master List'!A:C,3,FALSE)))</f>
        <v>Email</v>
      </c>
      <c r="F4281" s="4" t="str">
        <f>IF(OR(A4281="",E4281="","",A4281="?",E4281="?"),"duplicate?",IF(COUNTIFS($A:A,A4281,E:E,E4281)&gt;1,"yes","no"))</f>
        <v>duplicate?</v>
      </c>
      <c r="K4281" s="97" t="str">
        <f ca="1">IF(J4281="","Date",IF(J4281&lt;&gt;"",IF(K4281="Date",NOW(),K4281),""))</f>
        <v>Date</v>
      </c>
    </row>
    <row r="4282" spans="2:11">
      <c r="B4282" s="97" t="str">
        <f ca="1">IF(A4282="","Date",IF(A4282&lt;&gt;"",IF(B4282="Date",NOW(),B4282),""))</f>
        <v>Date</v>
      </c>
      <c r="C4282" s="19" t="str">
        <f>IF(ISBLANK(A4282),"Name",IF(ISNA(VLOOKUP(A4282,'Master List'!A:C,2,FALSE)), "Not Found", VLOOKUP(A4282,'Master List'!A:C,2,FALSE)))</f>
        <v>Name</v>
      </c>
      <c r="D4282" s="19" t="str">
        <f>IF(ISBLANK(A4282), "Email",IF(ISNA(VLOOKUP(A4282,'Master List'!A:C,3,FALSE)), "Not Found", VLOOKUP(A4282,'Master List'!A:C,3,FALSE)))</f>
        <v>Email</v>
      </c>
      <c r="F4282" s="4" t="str">
        <f>IF(OR(A4282="",E4282="","",A4282="?",E4282="?"),"duplicate?",IF(COUNTIFS($A:A,A4282,E:E,E4282)&gt;1,"yes","no"))</f>
        <v>duplicate?</v>
      </c>
      <c r="K4282" s="97" t="str">
        <f ca="1">IF(J4282="","Date",IF(J4282&lt;&gt;"",IF(K4282="Date",NOW(),K4282),""))</f>
        <v>Date</v>
      </c>
    </row>
    <row r="4283" spans="2:11">
      <c r="B4283" s="97" t="str">
        <f ca="1">IF(A4283="","Date",IF(A4283&lt;&gt;"",IF(B4283="Date",NOW(),B4283),""))</f>
        <v>Date</v>
      </c>
      <c r="C4283" s="19" t="str">
        <f>IF(ISBLANK(A4283),"Name",IF(ISNA(VLOOKUP(A4283,'Master List'!A:C,2,FALSE)), "Not Found", VLOOKUP(A4283,'Master List'!A:C,2,FALSE)))</f>
        <v>Name</v>
      </c>
      <c r="D4283" s="19" t="str">
        <f>IF(ISBLANK(A4283), "Email",IF(ISNA(VLOOKUP(A4283,'Master List'!A:C,3,FALSE)), "Not Found", VLOOKUP(A4283,'Master List'!A:C,3,FALSE)))</f>
        <v>Email</v>
      </c>
      <c r="F4283" s="4" t="str">
        <f>IF(OR(A4283="",E4283="","",A4283="?",E4283="?"),"duplicate?",IF(COUNTIFS($A:A,A4283,E:E,E4283)&gt;1,"yes","no"))</f>
        <v>duplicate?</v>
      </c>
      <c r="K4283" s="97" t="str">
        <f ca="1">IF(J4283="","Date",IF(J4283&lt;&gt;"",IF(K4283="Date",NOW(),K4283),""))</f>
        <v>Date</v>
      </c>
    </row>
    <row r="4284" spans="2:11">
      <c r="B4284" s="97" t="str">
        <f ca="1">IF(A4284="","Date",IF(A4284&lt;&gt;"",IF(B4284="Date",NOW(),B4284),""))</f>
        <v>Date</v>
      </c>
      <c r="C4284" s="19" t="str">
        <f>IF(ISBLANK(A4284),"Name",IF(ISNA(VLOOKUP(A4284,'Master List'!A:C,2,FALSE)), "Not Found", VLOOKUP(A4284,'Master List'!A:C,2,FALSE)))</f>
        <v>Name</v>
      </c>
      <c r="D4284" s="19" t="str">
        <f>IF(ISBLANK(A4284), "Email",IF(ISNA(VLOOKUP(A4284,'Master List'!A:C,3,FALSE)), "Not Found", VLOOKUP(A4284,'Master List'!A:C,3,FALSE)))</f>
        <v>Email</v>
      </c>
      <c r="F4284" s="4" t="str">
        <f>IF(OR(A4284="",E4284="","",A4284="?",E4284="?"),"duplicate?",IF(COUNTIFS($A:A,A4284,E:E,E4284)&gt;1,"yes","no"))</f>
        <v>duplicate?</v>
      </c>
      <c r="K4284" s="97" t="str">
        <f ca="1">IF(J4284="","Date",IF(J4284&lt;&gt;"",IF(K4284="Date",NOW(),K4284),""))</f>
        <v>Date</v>
      </c>
    </row>
    <row r="4285" spans="2:11">
      <c r="B4285" s="97" t="str">
        <f ca="1">IF(A4285="","Date",IF(A4285&lt;&gt;"",IF(B4285="Date",NOW(),B4285),""))</f>
        <v>Date</v>
      </c>
      <c r="C4285" s="19" t="str">
        <f>IF(ISBLANK(A4285),"Name",IF(ISNA(VLOOKUP(A4285,'Master List'!A:C,2,FALSE)), "Not Found", VLOOKUP(A4285,'Master List'!A:C,2,FALSE)))</f>
        <v>Name</v>
      </c>
      <c r="D4285" s="19" t="str">
        <f>IF(ISBLANK(A4285), "Email",IF(ISNA(VLOOKUP(A4285,'Master List'!A:C,3,FALSE)), "Not Found", VLOOKUP(A4285,'Master List'!A:C,3,FALSE)))</f>
        <v>Email</v>
      </c>
      <c r="F4285" s="4" t="str">
        <f>IF(OR(A4285="",E4285="","",A4285="?",E4285="?"),"duplicate?",IF(COUNTIFS($A:A,A4285,E:E,E4285)&gt;1,"yes","no"))</f>
        <v>duplicate?</v>
      </c>
      <c r="K4285" s="97" t="str">
        <f ca="1">IF(J4285="","Date",IF(J4285&lt;&gt;"",IF(K4285="Date",NOW(),K4285),""))</f>
        <v>Date</v>
      </c>
    </row>
    <row r="4286" spans="2:11">
      <c r="B4286" s="97" t="str">
        <f ca="1">IF(A4286="","Date",IF(A4286&lt;&gt;"",IF(B4286="Date",NOW(),B4286),""))</f>
        <v>Date</v>
      </c>
      <c r="C4286" s="19" t="str">
        <f>IF(ISBLANK(A4286),"Name",IF(ISNA(VLOOKUP(A4286,'Master List'!A:C,2,FALSE)), "Not Found", VLOOKUP(A4286,'Master List'!A:C,2,FALSE)))</f>
        <v>Name</v>
      </c>
      <c r="D4286" s="19" t="str">
        <f>IF(ISBLANK(A4286), "Email",IF(ISNA(VLOOKUP(A4286,'Master List'!A:C,3,FALSE)), "Not Found", VLOOKUP(A4286,'Master List'!A:C,3,FALSE)))</f>
        <v>Email</v>
      </c>
      <c r="F4286" s="4" t="str">
        <f>IF(OR(A4286="",E4286="","",A4286="?",E4286="?"),"duplicate?",IF(COUNTIFS($A:A,A4286,E:E,E4286)&gt;1,"yes","no"))</f>
        <v>duplicate?</v>
      </c>
      <c r="K4286" s="97" t="str">
        <f ca="1">IF(J4286="","Date",IF(J4286&lt;&gt;"",IF(K4286="Date",NOW(),K4286),""))</f>
        <v>Date</v>
      </c>
    </row>
    <row r="4287" spans="2:11">
      <c r="B4287" s="97" t="str">
        <f ca="1">IF(A4287="","Date",IF(A4287&lt;&gt;"",IF(B4287="Date",NOW(),B4287),""))</f>
        <v>Date</v>
      </c>
      <c r="C4287" s="19" t="str">
        <f>IF(ISBLANK(A4287),"Name",IF(ISNA(VLOOKUP(A4287,'Master List'!A:C,2,FALSE)), "Not Found", VLOOKUP(A4287,'Master List'!A:C,2,FALSE)))</f>
        <v>Name</v>
      </c>
      <c r="D4287" s="19" t="str">
        <f>IF(ISBLANK(A4287), "Email",IF(ISNA(VLOOKUP(A4287,'Master List'!A:C,3,FALSE)), "Not Found", VLOOKUP(A4287,'Master List'!A:C,3,FALSE)))</f>
        <v>Email</v>
      </c>
      <c r="F4287" s="4" t="str">
        <f>IF(OR(A4287="",E4287="","",A4287="?",E4287="?"),"duplicate?",IF(COUNTIFS($A:A,A4287,E:E,E4287)&gt;1,"yes","no"))</f>
        <v>duplicate?</v>
      </c>
      <c r="K4287" s="97" t="str">
        <f ca="1">IF(J4287="","Date",IF(J4287&lt;&gt;"",IF(K4287="Date",NOW(),K4287),""))</f>
        <v>Date</v>
      </c>
    </row>
    <row r="4288" spans="2:11">
      <c r="B4288" s="97" t="str">
        <f ca="1">IF(A4288="","Date",IF(A4288&lt;&gt;"",IF(B4288="Date",NOW(),B4288),""))</f>
        <v>Date</v>
      </c>
      <c r="C4288" s="19" t="str">
        <f>IF(ISBLANK(A4288),"Name",IF(ISNA(VLOOKUP(A4288,'Master List'!A:C,2,FALSE)), "Not Found", VLOOKUP(A4288,'Master List'!A:C,2,FALSE)))</f>
        <v>Name</v>
      </c>
      <c r="D4288" s="19" t="str">
        <f>IF(ISBLANK(A4288), "Email",IF(ISNA(VLOOKUP(A4288,'Master List'!A:C,3,FALSE)), "Not Found", VLOOKUP(A4288,'Master List'!A:C,3,FALSE)))</f>
        <v>Email</v>
      </c>
      <c r="F4288" s="4" t="str">
        <f>IF(OR(A4288="",E4288="","",A4288="?",E4288="?"),"duplicate?",IF(COUNTIFS($A:A,A4288,E:E,E4288)&gt;1,"yes","no"))</f>
        <v>duplicate?</v>
      </c>
      <c r="K4288" s="97" t="str">
        <f ca="1">IF(J4288="","Date",IF(J4288&lt;&gt;"",IF(K4288="Date",NOW(),K4288),""))</f>
        <v>Date</v>
      </c>
    </row>
    <row r="4289" spans="2:11">
      <c r="B4289" s="97" t="str">
        <f ca="1">IF(A4289="","Date",IF(A4289&lt;&gt;"",IF(B4289="Date",NOW(),B4289),""))</f>
        <v>Date</v>
      </c>
      <c r="C4289" s="19" t="str">
        <f>IF(ISBLANK(A4289),"Name",IF(ISNA(VLOOKUP(A4289,'Master List'!A:C,2,FALSE)), "Not Found", VLOOKUP(A4289,'Master List'!A:C,2,FALSE)))</f>
        <v>Name</v>
      </c>
      <c r="D4289" s="19" t="str">
        <f>IF(ISBLANK(A4289), "Email",IF(ISNA(VLOOKUP(A4289,'Master List'!A:C,3,FALSE)), "Not Found", VLOOKUP(A4289,'Master List'!A:C,3,FALSE)))</f>
        <v>Email</v>
      </c>
      <c r="F4289" s="4" t="str">
        <f>IF(OR(A4289="",E4289="","",A4289="?",E4289="?"),"duplicate?",IF(COUNTIFS($A:A,A4289,E:E,E4289)&gt;1,"yes","no"))</f>
        <v>duplicate?</v>
      </c>
      <c r="K4289" s="97" t="str">
        <f ca="1">IF(J4289="","Date",IF(J4289&lt;&gt;"",IF(K4289="Date",NOW(),K4289),""))</f>
        <v>Date</v>
      </c>
    </row>
    <row r="4290" spans="2:11">
      <c r="B4290" s="97" t="str">
        <f ca="1">IF(A4290="","Date",IF(A4290&lt;&gt;"",IF(B4290="Date",NOW(),B4290),""))</f>
        <v>Date</v>
      </c>
      <c r="C4290" s="19" t="str">
        <f>IF(ISBLANK(A4290),"Name",IF(ISNA(VLOOKUP(A4290,'Master List'!A:C,2,FALSE)), "Not Found", VLOOKUP(A4290,'Master List'!A:C,2,FALSE)))</f>
        <v>Name</v>
      </c>
      <c r="D4290" s="19" t="str">
        <f>IF(ISBLANK(A4290), "Email",IF(ISNA(VLOOKUP(A4290,'Master List'!A:C,3,FALSE)), "Not Found", VLOOKUP(A4290,'Master List'!A:C,3,FALSE)))</f>
        <v>Email</v>
      </c>
      <c r="F4290" s="4" t="str">
        <f>IF(OR(A4290="",E4290="","",A4290="?",E4290="?"),"duplicate?",IF(COUNTIFS($A:A,A4290,E:E,E4290)&gt;1,"yes","no"))</f>
        <v>duplicate?</v>
      </c>
      <c r="K4290" s="97" t="str">
        <f ca="1">IF(J4290="","Date",IF(J4290&lt;&gt;"",IF(K4290="Date",NOW(),K4290),""))</f>
        <v>Date</v>
      </c>
    </row>
    <row r="4291" spans="2:11">
      <c r="B4291" s="97" t="str">
        <f ca="1">IF(A4291="","Date",IF(A4291&lt;&gt;"",IF(B4291="Date",NOW(),B4291),""))</f>
        <v>Date</v>
      </c>
      <c r="C4291" s="19" t="str">
        <f>IF(ISBLANK(A4291),"Name",IF(ISNA(VLOOKUP(A4291,'Master List'!A:C,2,FALSE)), "Not Found", VLOOKUP(A4291,'Master List'!A:C,2,FALSE)))</f>
        <v>Name</v>
      </c>
      <c r="D4291" s="19" t="str">
        <f>IF(ISBLANK(A4291), "Email",IF(ISNA(VLOOKUP(A4291,'Master List'!A:C,3,FALSE)), "Not Found", VLOOKUP(A4291,'Master List'!A:C,3,FALSE)))</f>
        <v>Email</v>
      </c>
      <c r="F4291" s="4" t="str">
        <f>IF(OR(A4291="",E4291="","",A4291="?",E4291="?"),"duplicate?",IF(COUNTIFS($A:A,A4291,E:E,E4291)&gt;1,"yes","no"))</f>
        <v>duplicate?</v>
      </c>
      <c r="K4291" s="97" t="str">
        <f ca="1">IF(J4291="","Date",IF(J4291&lt;&gt;"",IF(K4291="Date",NOW(),K4291),""))</f>
        <v>Date</v>
      </c>
    </row>
    <row r="4292" spans="2:11">
      <c r="B4292" s="97" t="str">
        <f ca="1">IF(A4292="","Date",IF(A4292&lt;&gt;"",IF(B4292="Date",NOW(),B4292),""))</f>
        <v>Date</v>
      </c>
      <c r="C4292" s="19" t="str">
        <f>IF(ISBLANK(A4292),"Name",IF(ISNA(VLOOKUP(A4292,'Master List'!A:C,2,FALSE)), "Not Found", VLOOKUP(A4292,'Master List'!A:C,2,FALSE)))</f>
        <v>Name</v>
      </c>
      <c r="D4292" s="19" t="str">
        <f>IF(ISBLANK(A4292), "Email",IF(ISNA(VLOOKUP(A4292,'Master List'!A:C,3,FALSE)), "Not Found", VLOOKUP(A4292,'Master List'!A:C,3,FALSE)))</f>
        <v>Email</v>
      </c>
      <c r="F4292" s="4" t="str">
        <f>IF(OR(A4292="",E4292="","",A4292="?",E4292="?"),"duplicate?",IF(COUNTIFS($A:A,A4292,E:E,E4292)&gt;1,"yes","no"))</f>
        <v>duplicate?</v>
      </c>
      <c r="K4292" s="97" t="str">
        <f ca="1">IF(J4292="","Date",IF(J4292&lt;&gt;"",IF(K4292="Date",NOW(),K4292),""))</f>
        <v>Date</v>
      </c>
    </row>
    <row r="4293" spans="2:11">
      <c r="B4293" s="97" t="str">
        <f ca="1">IF(A4293="","Date",IF(A4293&lt;&gt;"",IF(B4293="Date",NOW(),B4293),""))</f>
        <v>Date</v>
      </c>
      <c r="C4293" s="19" t="str">
        <f>IF(ISBLANK(A4293),"Name",IF(ISNA(VLOOKUP(A4293,'Master List'!A:C,2,FALSE)), "Not Found", VLOOKUP(A4293,'Master List'!A:C,2,FALSE)))</f>
        <v>Name</v>
      </c>
      <c r="D4293" s="19" t="str">
        <f>IF(ISBLANK(A4293), "Email",IF(ISNA(VLOOKUP(A4293,'Master List'!A:C,3,FALSE)), "Not Found", VLOOKUP(A4293,'Master List'!A:C,3,FALSE)))</f>
        <v>Email</v>
      </c>
      <c r="F4293" s="4" t="str">
        <f>IF(OR(A4293="",E4293="","",A4293="?",E4293="?"),"duplicate?",IF(COUNTIFS($A:A,A4293,E:E,E4293)&gt;1,"yes","no"))</f>
        <v>duplicate?</v>
      </c>
      <c r="K4293" s="97" t="str">
        <f ca="1">IF(J4293="","Date",IF(J4293&lt;&gt;"",IF(K4293="Date",NOW(),K4293),""))</f>
        <v>Date</v>
      </c>
    </row>
    <row r="4294" spans="2:11">
      <c r="B4294" s="97" t="str">
        <f ca="1">IF(A4294="","Date",IF(A4294&lt;&gt;"",IF(B4294="Date",NOW(),B4294),""))</f>
        <v>Date</v>
      </c>
      <c r="C4294" s="19" t="str">
        <f>IF(ISBLANK(A4294),"Name",IF(ISNA(VLOOKUP(A4294,'Master List'!A:C,2,FALSE)), "Not Found", VLOOKUP(A4294,'Master List'!A:C,2,FALSE)))</f>
        <v>Name</v>
      </c>
      <c r="D4294" s="19" t="str">
        <f>IF(ISBLANK(A4294), "Email",IF(ISNA(VLOOKUP(A4294,'Master List'!A:C,3,FALSE)), "Not Found", VLOOKUP(A4294,'Master List'!A:C,3,FALSE)))</f>
        <v>Email</v>
      </c>
      <c r="F4294" s="4" t="str">
        <f>IF(OR(A4294="",E4294="","",A4294="?",E4294="?"),"duplicate?",IF(COUNTIFS($A:A,A4294,E:E,E4294)&gt;1,"yes","no"))</f>
        <v>duplicate?</v>
      </c>
      <c r="K4294" s="97" t="str">
        <f ca="1">IF(J4294="","Date",IF(J4294&lt;&gt;"",IF(K4294="Date",NOW(),K4294),""))</f>
        <v>Date</v>
      </c>
    </row>
    <row r="4295" spans="2:11">
      <c r="B4295" s="97" t="str">
        <f ca="1">IF(A4295="","Date",IF(A4295&lt;&gt;"",IF(B4295="Date",NOW(),B4295),""))</f>
        <v>Date</v>
      </c>
      <c r="C4295" s="19" t="str">
        <f>IF(ISBLANK(A4295),"Name",IF(ISNA(VLOOKUP(A4295,'Master List'!A:C,2,FALSE)), "Not Found", VLOOKUP(A4295,'Master List'!A:C,2,FALSE)))</f>
        <v>Name</v>
      </c>
      <c r="D4295" s="19" t="str">
        <f>IF(ISBLANK(A4295), "Email",IF(ISNA(VLOOKUP(A4295,'Master List'!A:C,3,FALSE)), "Not Found", VLOOKUP(A4295,'Master List'!A:C,3,FALSE)))</f>
        <v>Email</v>
      </c>
      <c r="F4295" s="4" t="str">
        <f>IF(OR(A4295="",E4295="","",A4295="?",E4295="?"),"duplicate?",IF(COUNTIFS($A:A,A4295,E:E,E4295)&gt;1,"yes","no"))</f>
        <v>duplicate?</v>
      </c>
      <c r="K4295" s="97" t="str">
        <f ca="1">IF(J4295="","Date",IF(J4295&lt;&gt;"",IF(K4295="Date",NOW(),K4295),""))</f>
        <v>Date</v>
      </c>
    </row>
    <row r="4296" spans="2:11">
      <c r="B4296" s="97" t="str">
        <f ca="1">IF(A4296="","Date",IF(A4296&lt;&gt;"",IF(B4296="Date",NOW(),B4296),""))</f>
        <v>Date</v>
      </c>
      <c r="C4296" s="19" t="str">
        <f>IF(ISBLANK(A4296),"Name",IF(ISNA(VLOOKUP(A4296,'Master List'!A:C,2,FALSE)), "Not Found", VLOOKUP(A4296,'Master List'!A:C,2,FALSE)))</f>
        <v>Name</v>
      </c>
      <c r="D4296" s="19" t="str">
        <f>IF(ISBLANK(A4296), "Email",IF(ISNA(VLOOKUP(A4296,'Master List'!A:C,3,FALSE)), "Not Found", VLOOKUP(A4296,'Master List'!A:C,3,FALSE)))</f>
        <v>Email</v>
      </c>
      <c r="F4296" s="4" t="str">
        <f>IF(OR(A4296="",E4296="","",A4296="?",E4296="?"),"duplicate?",IF(COUNTIFS($A:A,A4296,E:E,E4296)&gt;1,"yes","no"))</f>
        <v>duplicate?</v>
      </c>
      <c r="K4296" s="97" t="str">
        <f ca="1">IF(J4296="","Date",IF(J4296&lt;&gt;"",IF(K4296="Date",NOW(),K4296),""))</f>
        <v>Date</v>
      </c>
    </row>
    <row r="4297" spans="2:11">
      <c r="B4297" s="97" t="str">
        <f ca="1">IF(A4297="","Date",IF(A4297&lt;&gt;"",IF(B4297="Date",NOW(),B4297),""))</f>
        <v>Date</v>
      </c>
      <c r="C4297" s="19" t="str">
        <f>IF(ISBLANK(A4297),"Name",IF(ISNA(VLOOKUP(A4297,'Master List'!A:C,2,FALSE)), "Not Found", VLOOKUP(A4297,'Master List'!A:C,2,FALSE)))</f>
        <v>Name</v>
      </c>
      <c r="D4297" s="19" t="str">
        <f>IF(ISBLANK(A4297), "Email",IF(ISNA(VLOOKUP(A4297,'Master List'!A:C,3,FALSE)), "Not Found", VLOOKUP(A4297,'Master List'!A:C,3,FALSE)))</f>
        <v>Email</v>
      </c>
      <c r="F4297" s="4" t="str">
        <f>IF(OR(A4297="",E4297="","",A4297="?",E4297="?"),"duplicate?",IF(COUNTIFS($A:A,A4297,E:E,E4297)&gt;1,"yes","no"))</f>
        <v>duplicate?</v>
      </c>
      <c r="K4297" s="97" t="str">
        <f ca="1">IF(J4297="","Date",IF(J4297&lt;&gt;"",IF(K4297="Date",NOW(),K4297),""))</f>
        <v>Date</v>
      </c>
    </row>
    <row r="4298" spans="2:11">
      <c r="B4298" s="97" t="str">
        <f ca="1">IF(A4298="","Date",IF(A4298&lt;&gt;"",IF(B4298="Date",NOW(),B4298),""))</f>
        <v>Date</v>
      </c>
      <c r="C4298" s="19" t="str">
        <f>IF(ISBLANK(A4298),"Name",IF(ISNA(VLOOKUP(A4298,'Master List'!A:C,2,FALSE)), "Not Found", VLOOKUP(A4298,'Master List'!A:C,2,FALSE)))</f>
        <v>Name</v>
      </c>
      <c r="D4298" s="19" t="str">
        <f>IF(ISBLANK(A4298), "Email",IF(ISNA(VLOOKUP(A4298,'Master List'!A:C,3,FALSE)), "Not Found", VLOOKUP(A4298,'Master List'!A:C,3,FALSE)))</f>
        <v>Email</v>
      </c>
      <c r="F4298" s="4" t="str">
        <f>IF(OR(A4298="",E4298="","",A4298="?",E4298="?"),"duplicate?",IF(COUNTIFS($A:A,A4298,E:E,E4298)&gt;1,"yes","no"))</f>
        <v>duplicate?</v>
      </c>
      <c r="K4298" s="97" t="str">
        <f ca="1">IF(J4298="","Date",IF(J4298&lt;&gt;"",IF(K4298="Date",NOW(),K4298),""))</f>
        <v>Date</v>
      </c>
    </row>
    <row r="4299" spans="2:11">
      <c r="B4299" s="97" t="str">
        <f ca="1">IF(A4299="","Date",IF(A4299&lt;&gt;"",IF(B4299="Date",NOW(),B4299),""))</f>
        <v>Date</v>
      </c>
      <c r="C4299" s="19" t="str">
        <f>IF(ISBLANK(A4299),"Name",IF(ISNA(VLOOKUP(A4299,'Master List'!A:C,2,FALSE)), "Not Found", VLOOKUP(A4299,'Master List'!A:C,2,FALSE)))</f>
        <v>Name</v>
      </c>
      <c r="D4299" s="19" t="str">
        <f>IF(ISBLANK(A4299), "Email",IF(ISNA(VLOOKUP(A4299,'Master List'!A:C,3,FALSE)), "Not Found", VLOOKUP(A4299,'Master List'!A:C,3,FALSE)))</f>
        <v>Email</v>
      </c>
      <c r="F4299" s="4" t="str">
        <f>IF(OR(A4299="",E4299="","",A4299="?",E4299="?"),"duplicate?",IF(COUNTIFS($A:A,A4299,E:E,E4299)&gt;1,"yes","no"))</f>
        <v>duplicate?</v>
      </c>
      <c r="K4299" s="97" t="str">
        <f ca="1">IF(J4299="","Date",IF(J4299&lt;&gt;"",IF(K4299="Date",NOW(),K4299),""))</f>
        <v>Date</v>
      </c>
    </row>
    <row r="4300" spans="2:11">
      <c r="B4300" s="97" t="str">
        <f ca="1">IF(A4300="","Date",IF(A4300&lt;&gt;"",IF(B4300="Date",NOW(),B4300),""))</f>
        <v>Date</v>
      </c>
      <c r="C4300" s="19" t="str">
        <f>IF(ISBLANK(A4300),"Name",IF(ISNA(VLOOKUP(A4300,'Master List'!A:C,2,FALSE)), "Not Found", VLOOKUP(A4300,'Master List'!A:C,2,FALSE)))</f>
        <v>Name</v>
      </c>
      <c r="D4300" s="19" t="str">
        <f>IF(ISBLANK(A4300), "Email",IF(ISNA(VLOOKUP(A4300,'Master List'!A:C,3,FALSE)), "Not Found", VLOOKUP(A4300,'Master List'!A:C,3,FALSE)))</f>
        <v>Email</v>
      </c>
      <c r="F4300" s="4" t="str">
        <f>IF(OR(A4300="",E4300="","",A4300="?",E4300="?"),"duplicate?",IF(COUNTIFS($A:A,A4300,E:E,E4300)&gt;1,"yes","no"))</f>
        <v>duplicate?</v>
      </c>
      <c r="K4300" s="97" t="str">
        <f ca="1">IF(J4300="","Date",IF(J4300&lt;&gt;"",IF(K4300="Date",NOW(),K4300),""))</f>
        <v>Date</v>
      </c>
    </row>
    <row r="4301" spans="2:11">
      <c r="B4301" s="97" t="str">
        <f ca="1">IF(A4301="","Date",IF(A4301&lt;&gt;"",IF(B4301="Date",NOW(),B4301),""))</f>
        <v>Date</v>
      </c>
      <c r="C4301" s="19" t="str">
        <f>IF(ISBLANK(A4301),"Name",IF(ISNA(VLOOKUP(A4301,'Master List'!A:C,2,FALSE)), "Not Found", VLOOKUP(A4301,'Master List'!A:C,2,FALSE)))</f>
        <v>Name</v>
      </c>
      <c r="D4301" s="19" t="str">
        <f>IF(ISBLANK(A4301), "Email",IF(ISNA(VLOOKUP(A4301,'Master List'!A:C,3,FALSE)), "Not Found", VLOOKUP(A4301,'Master List'!A:C,3,FALSE)))</f>
        <v>Email</v>
      </c>
      <c r="F4301" s="4" t="str">
        <f>IF(OR(A4301="",E4301="","",A4301="?",E4301="?"),"duplicate?",IF(COUNTIFS($A:A,A4301,E:E,E4301)&gt;1,"yes","no"))</f>
        <v>duplicate?</v>
      </c>
      <c r="K4301" s="97" t="str">
        <f ca="1">IF(J4301="","Date",IF(J4301&lt;&gt;"",IF(K4301="Date",NOW(),K4301),""))</f>
        <v>Date</v>
      </c>
    </row>
    <row r="4302" spans="2:11">
      <c r="B4302" s="97" t="str">
        <f ca="1">IF(A4302="","Date",IF(A4302&lt;&gt;"",IF(B4302="Date",NOW(),B4302),""))</f>
        <v>Date</v>
      </c>
      <c r="C4302" s="19" t="str">
        <f>IF(ISBLANK(A4302),"Name",IF(ISNA(VLOOKUP(A4302,'Master List'!A:C,2,FALSE)), "Not Found", VLOOKUP(A4302,'Master List'!A:C,2,FALSE)))</f>
        <v>Name</v>
      </c>
      <c r="D4302" s="19" t="str">
        <f>IF(ISBLANK(A4302), "Email",IF(ISNA(VLOOKUP(A4302,'Master List'!A:C,3,FALSE)), "Not Found", VLOOKUP(A4302,'Master List'!A:C,3,FALSE)))</f>
        <v>Email</v>
      </c>
      <c r="F4302" s="4" t="str">
        <f>IF(OR(A4302="",E4302="","",A4302="?",E4302="?"),"duplicate?",IF(COUNTIFS($A:A,A4302,E:E,E4302)&gt;1,"yes","no"))</f>
        <v>duplicate?</v>
      </c>
      <c r="K4302" s="97" t="str">
        <f ca="1">IF(J4302="","Date",IF(J4302&lt;&gt;"",IF(K4302="Date",NOW(),K4302),""))</f>
        <v>Date</v>
      </c>
    </row>
    <row r="4303" spans="2:11">
      <c r="B4303" s="97" t="str">
        <f ca="1">IF(A4303="","Date",IF(A4303&lt;&gt;"",IF(B4303="Date",NOW(),B4303),""))</f>
        <v>Date</v>
      </c>
      <c r="C4303" s="19" t="str">
        <f>IF(ISBLANK(A4303),"Name",IF(ISNA(VLOOKUP(A4303,'Master List'!A:C,2,FALSE)), "Not Found", VLOOKUP(A4303,'Master List'!A:C,2,FALSE)))</f>
        <v>Name</v>
      </c>
      <c r="D4303" s="19" t="str">
        <f>IF(ISBLANK(A4303), "Email",IF(ISNA(VLOOKUP(A4303,'Master List'!A:C,3,FALSE)), "Not Found", VLOOKUP(A4303,'Master List'!A:C,3,FALSE)))</f>
        <v>Email</v>
      </c>
      <c r="F4303" s="4" t="str">
        <f>IF(OR(A4303="",E4303="","",A4303="?",E4303="?"),"duplicate?",IF(COUNTIFS($A:A,A4303,E:E,E4303)&gt;1,"yes","no"))</f>
        <v>duplicate?</v>
      </c>
      <c r="K4303" s="97" t="str">
        <f ca="1">IF(J4303="","Date",IF(J4303&lt;&gt;"",IF(K4303="Date",NOW(),K4303),""))</f>
        <v>Date</v>
      </c>
    </row>
    <row r="4304" spans="2:11">
      <c r="B4304" s="97" t="str">
        <f ca="1">IF(A4304="","Date",IF(A4304&lt;&gt;"",IF(B4304="Date",NOW(),B4304),""))</f>
        <v>Date</v>
      </c>
      <c r="C4304" s="19" t="str">
        <f>IF(ISBLANK(A4304),"Name",IF(ISNA(VLOOKUP(A4304,'Master List'!A:C,2,FALSE)), "Not Found", VLOOKUP(A4304,'Master List'!A:C,2,FALSE)))</f>
        <v>Name</v>
      </c>
      <c r="D4304" s="19" t="str">
        <f>IF(ISBLANK(A4304), "Email",IF(ISNA(VLOOKUP(A4304,'Master List'!A:C,3,FALSE)), "Not Found", VLOOKUP(A4304,'Master List'!A:C,3,FALSE)))</f>
        <v>Email</v>
      </c>
      <c r="F4304" s="4" t="str">
        <f>IF(OR(A4304="",E4304="","",A4304="?",E4304="?"),"duplicate?",IF(COUNTIFS($A:A,A4304,E:E,E4304)&gt;1,"yes","no"))</f>
        <v>duplicate?</v>
      </c>
      <c r="K4304" s="97" t="str">
        <f ca="1">IF(J4304="","Date",IF(J4304&lt;&gt;"",IF(K4304="Date",NOW(),K4304),""))</f>
        <v>Date</v>
      </c>
    </row>
    <row r="4305" spans="2:11">
      <c r="B4305" s="97" t="str">
        <f ca="1">IF(A4305="","Date",IF(A4305&lt;&gt;"",IF(B4305="Date",NOW(),B4305),""))</f>
        <v>Date</v>
      </c>
      <c r="C4305" s="19" t="str">
        <f>IF(ISBLANK(A4305),"Name",IF(ISNA(VLOOKUP(A4305,'Master List'!A:C,2,FALSE)), "Not Found", VLOOKUP(A4305,'Master List'!A:C,2,FALSE)))</f>
        <v>Name</v>
      </c>
      <c r="D4305" s="19" t="str">
        <f>IF(ISBLANK(A4305), "Email",IF(ISNA(VLOOKUP(A4305,'Master List'!A:C,3,FALSE)), "Not Found", VLOOKUP(A4305,'Master List'!A:C,3,FALSE)))</f>
        <v>Email</v>
      </c>
      <c r="F4305" s="4" t="str">
        <f>IF(OR(A4305="",E4305="","",A4305="?",E4305="?"),"duplicate?",IF(COUNTIFS($A:A,A4305,E:E,E4305)&gt;1,"yes","no"))</f>
        <v>duplicate?</v>
      </c>
      <c r="K4305" s="97" t="str">
        <f ca="1">IF(J4305="","Date",IF(J4305&lt;&gt;"",IF(K4305="Date",NOW(),K4305),""))</f>
        <v>Date</v>
      </c>
    </row>
    <row r="4306" spans="2:11">
      <c r="B4306" s="97" t="str">
        <f ca="1">IF(A4306="","Date",IF(A4306&lt;&gt;"",IF(B4306="Date",NOW(),B4306),""))</f>
        <v>Date</v>
      </c>
      <c r="C4306" s="19" t="str">
        <f>IF(ISBLANK(A4306),"Name",IF(ISNA(VLOOKUP(A4306,'Master List'!A:C,2,FALSE)), "Not Found", VLOOKUP(A4306,'Master List'!A:C,2,FALSE)))</f>
        <v>Name</v>
      </c>
      <c r="D4306" s="19" t="str">
        <f>IF(ISBLANK(A4306), "Email",IF(ISNA(VLOOKUP(A4306,'Master List'!A:C,3,FALSE)), "Not Found", VLOOKUP(A4306,'Master List'!A:C,3,FALSE)))</f>
        <v>Email</v>
      </c>
      <c r="F4306" s="4" t="str">
        <f>IF(OR(A4306="",E4306="","",A4306="?",E4306="?"),"duplicate?",IF(COUNTIFS($A:A,A4306,E:E,E4306)&gt;1,"yes","no"))</f>
        <v>duplicate?</v>
      </c>
      <c r="K4306" s="97" t="str">
        <f ca="1">IF(J4306="","Date",IF(J4306&lt;&gt;"",IF(K4306="Date",NOW(),K4306),""))</f>
        <v>Date</v>
      </c>
    </row>
    <row r="4307" spans="2:11">
      <c r="B4307" s="97" t="str">
        <f ca="1">IF(A4307="","Date",IF(A4307&lt;&gt;"",IF(B4307="Date",NOW(),B4307),""))</f>
        <v>Date</v>
      </c>
      <c r="C4307" s="19" t="str">
        <f>IF(ISBLANK(A4307),"Name",IF(ISNA(VLOOKUP(A4307,'Master List'!A:C,2,FALSE)), "Not Found", VLOOKUP(A4307,'Master List'!A:C,2,FALSE)))</f>
        <v>Name</v>
      </c>
      <c r="D4307" s="19" t="str">
        <f>IF(ISBLANK(A4307), "Email",IF(ISNA(VLOOKUP(A4307,'Master List'!A:C,3,FALSE)), "Not Found", VLOOKUP(A4307,'Master List'!A:C,3,FALSE)))</f>
        <v>Email</v>
      </c>
      <c r="F4307" s="4" t="str">
        <f>IF(OR(A4307="",E4307="","",A4307="?",E4307="?"),"duplicate?",IF(COUNTIFS($A:A,A4307,E:E,E4307)&gt;1,"yes","no"))</f>
        <v>duplicate?</v>
      </c>
      <c r="K4307" s="97" t="str">
        <f ca="1">IF(J4307="","Date",IF(J4307&lt;&gt;"",IF(K4307="Date",NOW(),K4307),""))</f>
        <v>Date</v>
      </c>
    </row>
    <row r="4308" spans="2:11">
      <c r="B4308" s="97" t="str">
        <f ca="1">IF(A4308="","Date",IF(A4308&lt;&gt;"",IF(B4308="Date",NOW(),B4308),""))</f>
        <v>Date</v>
      </c>
      <c r="C4308" s="19" t="str">
        <f>IF(ISBLANK(A4308),"Name",IF(ISNA(VLOOKUP(A4308,'Master List'!A:C,2,FALSE)), "Not Found", VLOOKUP(A4308,'Master List'!A:C,2,FALSE)))</f>
        <v>Name</v>
      </c>
      <c r="D4308" s="19" t="str">
        <f>IF(ISBLANK(A4308), "Email",IF(ISNA(VLOOKUP(A4308,'Master List'!A:C,3,FALSE)), "Not Found", VLOOKUP(A4308,'Master List'!A:C,3,FALSE)))</f>
        <v>Email</v>
      </c>
      <c r="F4308" s="4" t="str">
        <f>IF(OR(A4308="",E4308="","",A4308="?",E4308="?"),"duplicate?",IF(COUNTIFS($A:A,A4308,E:E,E4308)&gt;1,"yes","no"))</f>
        <v>duplicate?</v>
      </c>
      <c r="K4308" s="97" t="str">
        <f ca="1">IF(J4308="","Date",IF(J4308&lt;&gt;"",IF(K4308="Date",NOW(),K4308),""))</f>
        <v>Date</v>
      </c>
    </row>
    <row r="4309" spans="2:11">
      <c r="B4309" s="97" t="str">
        <f ca="1">IF(A4309="","Date",IF(A4309&lt;&gt;"",IF(B4309="Date",NOW(),B4309),""))</f>
        <v>Date</v>
      </c>
      <c r="C4309" s="19" t="str">
        <f>IF(ISBLANK(A4309),"Name",IF(ISNA(VLOOKUP(A4309,'Master List'!A:C,2,FALSE)), "Not Found", VLOOKUP(A4309,'Master List'!A:C,2,FALSE)))</f>
        <v>Name</v>
      </c>
      <c r="D4309" s="19" t="str">
        <f>IF(ISBLANK(A4309), "Email",IF(ISNA(VLOOKUP(A4309,'Master List'!A:C,3,FALSE)), "Not Found", VLOOKUP(A4309,'Master List'!A:C,3,FALSE)))</f>
        <v>Email</v>
      </c>
      <c r="F4309" s="4" t="str">
        <f>IF(OR(A4309="",E4309="","",A4309="?",E4309="?"),"duplicate?",IF(COUNTIFS($A:A,A4309,E:E,E4309)&gt;1,"yes","no"))</f>
        <v>duplicate?</v>
      </c>
      <c r="K4309" s="97" t="str">
        <f ca="1">IF(J4309="","Date",IF(J4309&lt;&gt;"",IF(K4309="Date",NOW(),K4309),""))</f>
        <v>Date</v>
      </c>
    </row>
    <row r="4310" spans="2:11">
      <c r="B4310" s="97" t="str">
        <f ca="1">IF(A4310="","Date",IF(A4310&lt;&gt;"",IF(B4310="Date",NOW(),B4310),""))</f>
        <v>Date</v>
      </c>
      <c r="C4310" s="19" t="str">
        <f>IF(ISBLANK(A4310),"Name",IF(ISNA(VLOOKUP(A4310,'Master List'!A:C,2,FALSE)), "Not Found", VLOOKUP(A4310,'Master List'!A:C,2,FALSE)))</f>
        <v>Name</v>
      </c>
      <c r="D4310" s="19" t="str">
        <f>IF(ISBLANK(A4310), "Email",IF(ISNA(VLOOKUP(A4310,'Master List'!A:C,3,FALSE)), "Not Found", VLOOKUP(A4310,'Master List'!A:C,3,FALSE)))</f>
        <v>Email</v>
      </c>
      <c r="F4310" s="4" t="str">
        <f>IF(OR(A4310="",E4310="","",A4310="?",E4310="?"),"duplicate?",IF(COUNTIFS($A:A,A4310,E:E,E4310)&gt;1,"yes","no"))</f>
        <v>duplicate?</v>
      </c>
      <c r="K4310" s="97" t="str">
        <f ca="1">IF(J4310="","Date",IF(J4310&lt;&gt;"",IF(K4310="Date",NOW(),K4310),""))</f>
        <v>Date</v>
      </c>
    </row>
    <row r="4311" spans="2:11">
      <c r="B4311" s="97" t="str">
        <f ca="1">IF(A4311="","Date",IF(A4311&lt;&gt;"",IF(B4311="Date",NOW(),B4311),""))</f>
        <v>Date</v>
      </c>
      <c r="C4311" s="19" t="str">
        <f>IF(ISBLANK(A4311),"Name",IF(ISNA(VLOOKUP(A4311,'Master List'!A:C,2,FALSE)), "Not Found", VLOOKUP(A4311,'Master List'!A:C,2,FALSE)))</f>
        <v>Name</v>
      </c>
      <c r="D4311" s="19" t="str">
        <f>IF(ISBLANK(A4311), "Email",IF(ISNA(VLOOKUP(A4311,'Master List'!A:C,3,FALSE)), "Not Found", VLOOKUP(A4311,'Master List'!A:C,3,FALSE)))</f>
        <v>Email</v>
      </c>
      <c r="F4311" s="4" t="str">
        <f>IF(OR(A4311="",E4311="","",A4311="?",E4311="?"),"duplicate?",IF(COUNTIFS($A:A,A4311,E:E,E4311)&gt;1,"yes","no"))</f>
        <v>duplicate?</v>
      </c>
      <c r="K4311" s="97" t="str">
        <f ca="1">IF(J4311="","Date",IF(J4311&lt;&gt;"",IF(K4311="Date",NOW(),K4311),""))</f>
        <v>Date</v>
      </c>
    </row>
    <row r="4312" spans="2:11">
      <c r="B4312" s="97" t="str">
        <f ca="1">IF(A4312="","Date",IF(A4312&lt;&gt;"",IF(B4312="Date",NOW(),B4312),""))</f>
        <v>Date</v>
      </c>
      <c r="C4312" s="19" t="str">
        <f>IF(ISBLANK(A4312),"Name",IF(ISNA(VLOOKUP(A4312,'Master List'!A:C,2,FALSE)), "Not Found", VLOOKUP(A4312,'Master List'!A:C,2,FALSE)))</f>
        <v>Name</v>
      </c>
      <c r="D4312" s="19" t="str">
        <f>IF(ISBLANK(A4312), "Email",IF(ISNA(VLOOKUP(A4312,'Master List'!A:C,3,FALSE)), "Not Found", VLOOKUP(A4312,'Master List'!A:C,3,FALSE)))</f>
        <v>Email</v>
      </c>
      <c r="F4312" s="4" t="str">
        <f>IF(OR(A4312="",E4312="","",A4312="?",E4312="?"),"duplicate?",IF(COUNTIFS($A:A,A4312,E:E,E4312)&gt;1,"yes","no"))</f>
        <v>duplicate?</v>
      </c>
      <c r="K4312" s="97" t="str">
        <f ca="1">IF(J4312="","Date",IF(J4312&lt;&gt;"",IF(K4312="Date",NOW(),K4312),""))</f>
        <v>Date</v>
      </c>
    </row>
    <row r="4313" spans="2:11">
      <c r="B4313" s="97" t="str">
        <f ca="1">IF(A4313="","Date",IF(A4313&lt;&gt;"",IF(B4313="Date",NOW(),B4313),""))</f>
        <v>Date</v>
      </c>
      <c r="C4313" s="19" t="str">
        <f>IF(ISBLANK(A4313),"Name",IF(ISNA(VLOOKUP(A4313,'Master List'!A:C,2,FALSE)), "Not Found", VLOOKUP(A4313,'Master List'!A:C,2,FALSE)))</f>
        <v>Name</v>
      </c>
      <c r="D4313" s="19" t="str">
        <f>IF(ISBLANK(A4313), "Email",IF(ISNA(VLOOKUP(A4313,'Master List'!A:C,3,FALSE)), "Not Found", VLOOKUP(A4313,'Master List'!A:C,3,FALSE)))</f>
        <v>Email</v>
      </c>
      <c r="F4313" s="4" t="str">
        <f>IF(OR(A4313="",E4313="","",A4313="?",E4313="?"),"duplicate?",IF(COUNTIFS($A:A,A4313,E:E,E4313)&gt;1,"yes","no"))</f>
        <v>duplicate?</v>
      </c>
      <c r="K4313" s="97" t="str">
        <f ca="1">IF(J4313="","Date",IF(J4313&lt;&gt;"",IF(K4313="Date",NOW(),K4313),""))</f>
        <v>Date</v>
      </c>
    </row>
    <row r="4314" spans="2:11">
      <c r="B4314" s="97" t="str">
        <f ca="1">IF(A4314="","Date",IF(A4314&lt;&gt;"",IF(B4314="Date",NOW(),B4314),""))</f>
        <v>Date</v>
      </c>
      <c r="C4314" s="19" t="str">
        <f>IF(ISBLANK(A4314),"Name",IF(ISNA(VLOOKUP(A4314,'Master List'!A:C,2,FALSE)), "Not Found", VLOOKUP(A4314,'Master List'!A:C,2,FALSE)))</f>
        <v>Name</v>
      </c>
      <c r="D4314" s="19" t="str">
        <f>IF(ISBLANK(A4314), "Email",IF(ISNA(VLOOKUP(A4314,'Master List'!A:C,3,FALSE)), "Not Found", VLOOKUP(A4314,'Master List'!A:C,3,FALSE)))</f>
        <v>Email</v>
      </c>
      <c r="F4314" s="4" t="str">
        <f>IF(OR(A4314="",E4314="","",A4314="?",E4314="?"),"duplicate?",IF(COUNTIFS($A:A,A4314,E:E,E4314)&gt;1,"yes","no"))</f>
        <v>duplicate?</v>
      </c>
      <c r="K4314" s="97" t="str">
        <f ca="1">IF(J4314="","Date",IF(J4314&lt;&gt;"",IF(K4314="Date",NOW(),K4314),""))</f>
        <v>Date</v>
      </c>
    </row>
    <row r="4315" spans="2:11">
      <c r="B4315" s="97" t="str">
        <f ca="1">IF(A4315="","Date",IF(A4315&lt;&gt;"",IF(B4315="Date",NOW(),B4315),""))</f>
        <v>Date</v>
      </c>
      <c r="C4315" s="19" t="str">
        <f>IF(ISBLANK(A4315),"Name",IF(ISNA(VLOOKUP(A4315,'Master List'!A:C,2,FALSE)), "Not Found", VLOOKUP(A4315,'Master List'!A:C,2,FALSE)))</f>
        <v>Name</v>
      </c>
      <c r="D4315" s="19" t="str">
        <f>IF(ISBLANK(A4315), "Email",IF(ISNA(VLOOKUP(A4315,'Master List'!A:C,3,FALSE)), "Not Found", VLOOKUP(A4315,'Master List'!A:C,3,FALSE)))</f>
        <v>Email</v>
      </c>
      <c r="F4315" s="4" t="str">
        <f>IF(OR(A4315="",E4315="","",A4315="?",E4315="?"),"duplicate?",IF(COUNTIFS($A:A,A4315,E:E,E4315)&gt;1,"yes","no"))</f>
        <v>duplicate?</v>
      </c>
      <c r="K4315" s="97" t="str">
        <f ca="1">IF(J4315="","Date",IF(J4315&lt;&gt;"",IF(K4315="Date",NOW(),K4315),""))</f>
        <v>Date</v>
      </c>
    </row>
    <row r="4316" spans="2:11">
      <c r="B4316" s="97" t="str">
        <f ca="1">IF(A4316="","Date",IF(A4316&lt;&gt;"",IF(B4316="Date",NOW(),B4316),""))</f>
        <v>Date</v>
      </c>
      <c r="C4316" s="19" t="str">
        <f>IF(ISBLANK(A4316),"Name",IF(ISNA(VLOOKUP(A4316,'Master List'!A:C,2,FALSE)), "Not Found", VLOOKUP(A4316,'Master List'!A:C,2,FALSE)))</f>
        <v>Name</v>
      </c>
      <c r="D4316" s="19" t="str">
        <f>IF(ISBLANK(A4316), "Email",IF(ISNA(VLOOKUP(A4316,'Master List'!A:C,3,FALSE)), "Not Found", VLOOKUP(A4316,'Master List'!A:C,3,FALSE)))</f>
        <v>Email</v>
      </c>
      <c r="F4316" s="4" t="str">
        <f>IF(OR(A4316="",E4316="","",A4316="?",E4316="?"),"duplicate?",IF(COUNTIFS($A:A,A4316,E:E,E4316)&gt;1,"yes","no"))</f>
        <v>duplicate?</v>
      </c>
      <c r="K4316" s="97" t="str">
        <f ca="1">IF(J4316="","Date",IF(J4316&lt;&gt;"",IF(K4316="Date",NOW(),K4316),""))</f>
        <v>Date</v>
      </c>
    </row>
    <row r="4317" spans="2:11">
      <c r="B4317" s="97" t="str">
        <f ca="1">IF(A4317="","Date",IF(A4317&lt;&gt;"",IF(B4317="Date",NOW(),B4317),""))</f>
        <v>Date</v>
      </c>
      <c r="C4317" s="19" t="str">
        <f>IF(ISBLANK(A4317),"Name",IF(ISNA(VLOOKUP(A4317,'Master List'!A:C,2,FALSE)), "Not Found", VLOOKUP(A4317,'Master List'!A:C,2,FALSE)))</f>
        <v>Name</v>
      </c>
      <c r="D4317" s="19" t="str">
        <f>IF(ISBLANK(A4317), "Email",IF(ISNA(VLOOKUP(A4317,'Master List'!A:C,3,FALSE)), "Not Found", VLOOKUP(A4317,'Master List'!A:C,3,FALSE)))</f>
        <v>Email</v>
      </c>
      <c r="F4317" s="4" t="str">
        <f>IF(OR(A4317="",E4317="","",A4317="?",E4317="?"),"duplicate?",IF(COUNTIFS($A:A,A4317,E:E,E4317)&gt;1,"yes","no"))</f>
        <v>duplicate?</v>
      </c>
      <c r="K4317" s="97" t="str">
        <f ca="1">IF(J4317="","Date",IF(J4317&lt;&gt;"",IF(K4317="Date",NOW(),K4317),""))</f>
        <v>Date</v>
      </c>
    </row>
    <row r="4318" spans="2:11">
      <c r="B4318" s="97" t="str">
        <f ca="1">IF(A4318="","Date",IF(A4318&lt;&gt;"",IF(B4318="Date",NOW(),B4318),""))</f>
        <v>Date</v>
      </c>
      <c r="C4318" s="19" t="str">
        <f>IF(ISBLANK(A4318),"Name",IF(ISNA(VLOOKUP(A4318,'Master List'!A:C,2,FALSE)), "Not Found", VLOOKUP(A4318,'Master List'!A:C,2,FALSE)))</f>
        <v>Name</v>
      </c>
      <c r="D4318" s="19" t="str">
        <f>IF(ISBLANK(A4318), "Email",IF(ISNA(VLOOKUP(A4318,'Master List'!A:C,3,FALSE)), "Not Found", VLOOKUP(A4318,'Master List'!A:C,3,FALSE)))</f>
        <v>Email</v>
      </c>
      <c r="F4318" s="4" t="str">
        <f>IF(OR(A4318="",E4318="","",A4318="?",E4318="?"),"duplicate?",IF(COUNTIFS($A:A,A4318,E:E,E4318)&gt;1,"yes","no"))</f>
        <v>duplicate?</v>
      </c>
      <c r="K4318" s="97" t="str">
        <f ca="1">IF(J4318="","Date",IF(J4318&lt;&gt;"",IF(K4318="Date",NOW(),K4318),""))</f>
        <v>Date</v>
      </c>
    </row>
    <row r="4319" spans="2:11">
      <c r="B4319" s="97" t="str">
        <f ca="1">IF(A4319="","Date",IF(A4319&lt;&gt;"",IF(B4319="Date",NOW(),B4319),""))</f>
        <v>Date</v>
      </c>
      <c r="C4319" s="19" t="str">
        <f>IF(ISBLANK(A4319),"Name",IF(ISNA(VLOOKUP(A4319,'Master List'!A:C,2,FALSE)), "Not Found", VLOOKUP(A4319,'Master List'!A:C,2,FALSE)))</f>
        <v>Name</v>
      </c>
      <c r="D4319" s="19" t="str">
        <f>IF(ISBLANK(A4319), "Email",IF(ISNA(VLOOKUP(A4319,'Master List'!A:C,3,FALSE)), "Not Found", VLOOKUP(A4319,'Master List'!A:C,3,FALSE)))</f>
        <v>Email</v>
      </c>
      <c r="F4319" s="4" t="str">
        <f>IF(OR(A4319="",E4319="","",A4319="?",E4319="?"),"duplicate?",IF(COUNTIFS($A:A,A4319,E:E,E4319)&gt;1,"yes","no"))</f>
        <v>duplicate?</v>
      </c>
      <c r="K4319" s="97" t="str">
        <f ca="1">IF(J4319="","Date",IF(J4319&lt;&gt;"",IF(K4319="Date",NOW(),K4319),""))</f>
        <v>Date</v>
      </c>
    </row>
    <row r="4320" spans="2:11">
      <c r="B4320" s="97" t="str">
        <f ca="1">IF(A4320="","Date",IF(A4320&lt;&gt;"",IF(B4320="Date",NOW(),B4320),""))</f>
        <v>Date</v>
      </c>
      <c r="C4320" s="19" t="str">
        <f>IF(ISBLANK(A4320),"Name",IF(ISNA(VLOOKUP(A4320,'Master List'!A:C,2,FALSE)), "Not Found", VLOOKUP(A4320,'Master List'!A:C,2,FALSE)))</f>
        <v>Name</v>
      </c>
      <c r="D4320" s="19" t="str">
        <f>IF(ISBLANK(A4320), "Email",IF(ISNA(VLOOKUP(A4320,'Master List'!A:C,3,FALSE)), "Not Found", VLOOKUP(A4320,'Master List'!A:C,3,FALSE)))</f>
        <v>Email</v>
      </c>
      <c r="F4320" s="4" t="str">
        <f>IF(OR(A4320="",E4320="","",A4320="?",E4320="?"),"duplicate?",IF(COUNTIFS($A:A,A4320,E:E,E4320)&gt;1,"yes","no"))</f>
        <v>duplicate?</v>
      </c>
      <c r="K4320" s="97" t="str">
        <f ca="1">IF(J4320="","Date",IF(J4320&lt;&gt;"",IF(K4320="Date",NOW(),K4320),""))</f>
        <v>Date</v>
      </c>
    </row>
    <row r="4321" spans="2:11">
      <c r="B4321" s="97" t="str">
        <f ca="1">IF(A4321="","Date",IF(A4321&lt;&gt;"",IF(B4321="Date",NOW(),B4321),""))</f>
        <v>Date</v>
      </c>
      <c r="C4321" s="19" t="str">
        <f>IF(ISBLANK(A4321),"Name",IF(ISNA(VLOOKUP(A4321,'Master List'!A:C,2,FALSE)), "Not Found", VLOOKUP(A4321,'Master List'!A:C,2,FALSE)))</f>
        <v>Name</v>
      </c>
      <c r="D4321" s="19" t="str">
        <f>IF(ISBLANK(A4321), "Email",IF(ISNA(VLOOKUP(A4321,'Master List'!A:C,3,FALSE)), "Not Found", VLOOKUP(A4321,'Master List'!A:C,3,FALSE)))</f>
        <v>Email</v>
      </c>
      <c r="F4321" s="4" t="str">
        <f>IF(OR(A4321="",E4321="","",A4321="?",E4321="?"),"duplicate?",IF(COUNTIFS($A:A,A4321,E:E,E4321)&gt;1,"yes","no"))</f>
        <v>duplicate?</v>
      </c>
      <c r="K4321" s="97" t="str">
        <f ca="1">IF(J4321="","Date",IF(J4321&lt;&gt;"",IF(K4321="Date",NOW(),K4321),""))</f>
        <v>Date</v>
      </c>
    </row>
    <row r="4322" spans="2:11">
      <c r="B4322" s="97" t="str">
        <f ca="1">IF(A4322="","Date",IF(A4322&lt;&gt;"",IF(B4322="Date",NOW(),B4322),""))</f>
        <v>Date</v>
      </c>
      <c r="C4322" s="19" t="str">
        <f>IF(ISBLANK(A4322),"Name",IF(ISNA(VLOOKUP(A4322,'Master List'!A:C,2,FALSE)), "Not Found", VLOOKUP(A4322,'Master List'!A:C,2,FALSE)))</f>
        <v>Name</v>
      </c>
      <c r="D4322" s="19" t="str">
        <f>IF(ISBLANK(A4322), "Email",IF(ISNA(VLOOKUP(A4322,'Master List'!A:C,3,FALSE)), "Not Found", VLOOKUP(A4322,'Master List'!A:C,3,FALSE)))</f>
        <v>Email</v>
      </c>
      <c r="F4322" s="4" t="str">
        <f>IF(OR(A4322="",E4322="","",A4322="?",E4322="?"),"duplicate?",IF(COUNTIFS($A:A,A4322,E:E,E4322)&gt;1,"yes","no"))</f>
        <v>duplicate?</v>
      </c>
      <c r="K4322" s="97" t="str">
        <f ca="1">IF(J4322="","Date",IF(J4322&lt;&gt;"",IF(K4322="Date",NOW(),K4322),""))</f>
        <v>Date</v>
      </c>
    </row>
    <row r="4323" spans="2:11">
      <c r="B4323" s="97" t="str">
        <f ca="1">IF(A4323="","Date",IF(A4323&lt;&gt;"",IF(B4323="Date",NOW(),B4323),""))</f>
        <v>Date</v>
      </c>
      <c r="C4323" s="19" t="str">
        <f>IF(ISBLANK(A4323),"Name",IF(ISNA(VLOOKUP(A4323,'Master List'!A:C,2,FALSE)), "Not Found", VLOOKUP(A4323,'Master List'!A:C,2,FALSE)))</f>
        <v>Name</v>
      </c>
      <c r="D4323" s="19" t="str">
        <f>IF(ISBLANK(A4323), "Email",IF(ISNA(VLOOKUP(A4323,'Master List'!A:C,3,FALSE)), "Not Found", VLOOKUP(A4323,'Master List'!A:C,3,FALSE)))</f>
        <v>Email</v>
      </c>
      <c r="F4323" s="4" t="str">
        <f>IF(OR(A4323="",E4323="","",A4323="?",E4323="?"),"duplicate?",IF(COUNTIFS($A:A,A4323,E:E,E4323)&gt;1,"yes","no"))</f>
        <v>duplicate?</v>
      </c>
      <c r="K4323" s="97" t="str">
        <f ca="1">IF(J4323="","Date",IF(J4323&lt;&gt;"",IF(K4323="Date",NOW(),K4323),""))</f>
        <v>Date</v>
      </c>
    </row>
    <row r="4324" spans="2:11">
      <c r="B4324" s="97" t="str">
        <f ca="1">IF(A4324="","Date",IF(A4324&lt;&gt;"",IF(B4324="Date",NOW(),B4324),""))</f>
        <v>Date</v>
      </c>
      <c r="C4324" s="19" t="str">
        <f>IF(ISBLANK(A4324),"Name",IF(ISNA(VLOOKUP(A4324,'Master List'!A:C,2,FALSE)), "Not Found", VLOOKUP(A4324,'Master List'!A:C,2,FALSE)))</f>
        <v>Name</v>
      </c>
      <c r="D4324" s="19" t="str">
        <f>IF(ISBLANK(A4324), "Email",IF(ISNA(VLOOKUP(A4324,'Master List'!A:C,3,FALSE)), "Not Found", VLOOKUP(A4324,'Master List'!A:C,3,FALSE)))</f>
        <v>Email</v>
      </c>
      <c r="F4324" s="4" t="str">
        <f>IF(OR(A4324="",E4324="","",A4324="?",E4324="?"),"duplicate?",IF(COUNTIFS($A:A,A4324,E:E,E4324)&gt;1,"yes","no"))</f>
        <v>duplicate?</v>
      </c>
      <c r="K4324" s="97" t="str">
        <f ca="1">IF(J4324="","Date",IF(J4324&lt;&gt;"",IF(K4324="Date",NOW(),K4324),""))</f>
        <v>Date</v>
      </c>
    </row>
    <row r="4325" spans="2:11">
      <c r="B4325" s="97" t="str">
        <f ca="1">IF(A4325="","Date",IF(A4325&lt;&gt;"",IF(B4325="Date",NOW(),B4325),""))</f>
        <v>Date</v>
      </c>
      <c r="C4325" s="19" t="str">
        <f>IF(ISBLANK(A4325),"Name",IF(ISNA(VLOOKUP(A4325,'Master List'!A:C,2,FALSE)), "Not Found", VLOOKUP(A4325,'Master List'!A:C,2,FALSE)))</f>
        <v>Name</v>
      </c>
      <c r="D4325" s="19" t="str">
        <f>IF(ISBLANK(A4325), "Email",IF(ISNA(VLOOKUP(A4325,'Master List'!A:C,3,FALSE)), "Not Found", VLOOKUP(A4325,'Master List'!A:C,3,FALSE)))</f>
        <v>Email</v>
      </c>
      <c r="F4325" s="4" t="str">
        <f>IF(OR(A4325="",E4325="","",A4325="?",E4325="?"),"duplicate?",IF(COUNTIFS($A:A,A4325,E:E,E4325)&gt;1,"yes","no"))</f>
        <v>duplicate?</v>
      </c>
      <c r="K4325" s="97" t="str">
        <f ca="1">IF(J4325="","Date",IF(J4325&lt;&gt;"",IF(K4325="Date",NOW(),K4325),""))</f>
        <v>Date</v>
      </c>
    </row>
    <row r="4326" spans="2:11">
      <c r="B4326" s="97" t="str">
        <f ca="1">IF(A4326="","Date",IF(A4326&lt;&gt;"",IF(B4326="Date",NOW(),B4326),""))</f>
        <v>Date</v>
      </c>
      <c r="C4326" s="19" t="str">
        <f>IF(ISBLANK(A4326),"Name",IF(ISNA(VLOOKUP(A4326,'Master List'!A:C,2,FALSE)), "Not Found", VLOOKUP(A4326,'Master List'!A:C,2,FALSE)))</f>
        <v>Name</v>
      </c>
      <c r="D4326" s="19" t="str">
        <f>IF(ISBLANK(A4326), "Email",IF(ISNA(VLOOKUP(A4326,'Master List'!A:C,3,FALSE)), "Not Found", VLOOKUP(A4326,'Master List'!A:C,3,FALSE)))</f>
        <v>Email</v>
      </c>
      <c r="F4326" s="4" t="str">
        <f>IF(OR(A4326="",E4326="","",A4326="?",E4326="?"),"duplicate?",IF(COUNTIFS($A:A,A4326,E:E,E4326)&gt;1,"yes","no"))</f>
        <v>duplicate?</v>
      </c>
      <c r="K4326" s="97" t="str">
        <f ca="1">IF(J4326="","Date",IF(J4326&lt;&gt;"",IF(K4326="Date",NOW(),K4326),""))</f>
        <v>Date</v>
      </c>
    </row>
    <row r="4327" spans="2:11">
      <c r="B4327" s="97" t="str">
        <f ca="1">IF(A4327="","Date",IF(A4327&lt;&gt;"",IF(B4327="Date",NOW(),B4327),""))</f>
        <v>Date</v>
      </c>
      <c r="C4327" s="19" t="str">
        <f>IF(ISBLANK(A4327),"Name",IF(ISNA(VLOOKUP(A4327,'Master List'!A:C,2,FALSE)), "Not Found", VLOOKUP(A4327,'Master List'!A:C,2,FALSE)))</f>
        <v>Name</v>
      </c>
      <c r="D4327" s="19" t="str">
        <f>IF(ISBLANK(A4327), "Email",IF(ISNA(VLOOKUP(A4327,'Master List'!A:C,3,FALSE)), "Not Found", VLOOKUP(A4327,'Master List'!A:C,3,FALSE)))</f>
        <v>Email</v>
      </c>
      <c r="F4327" s="4" t="str">
        <f>IF(OR(A4327="",E4327="","",A4327="?",E4327="?"),"duplicate?",IF(COUNTIFS($A:A,A4327,E:E,E4327)&gt;1,"yes","no"))</f>
        <v>duplicate?</v>
      </c>
      <c r="K4327" s="97" t="str">
        <f ca="1">IF(J4327="","Date",IF(J4327&lt;&gt;"",IF(K4327="Date",NOW(),K4327),""))</f>
        <v>Date</v>
      </c>
    </row>
    <row r="4328" spans="2:11">
      <c r="B4328" s="97" t="str">
        <f ca="1">IF(A4328="","Date",IF(A4328&lt;&gt;"",IF(B4328="Date",NOW(),B4328),""))</f>
        <v>Date</v>
      </c>
      <c r="C4328" s="19" t="str">
        <f>IF(ISBLANK(A4328),"Name",IF(ISNA(VLOOKUP(A4328,'Master List'!A:C,2,FALSE)), "Not Found", VLOOKUP(A4328,'Master List'!A:C,2,FALSE)))</f>
        <v>Name</v>
      </c>
      <c r="D4328" s="19" t="str">
        <f>IF(ISBLANK(A4328), "Email",IF(ISNA(VLOOKUP(A4328,'Master List'!A:C,3,FALSE)), "Not Found", VLOOKUP(A4328,'Master List'!A:C,3,FALSE)))</f>
        <v>Email</v>
      </c>
      <c r="F4328" s="4" t="str">
        <f>IF(OR(A4328="",E4328="","",A4328="?",E4328="?"),"duplicate?",IF(COUNTIFS($A:A,A4328,E:E,E4328)&gt;1,"yes","no"))</f>
        <v>duplicate?</v>
      </c>
      <c r="K4328" s="97" t="str">
        <f ca="1">IF(J4328="","Date",IF(J4328&lt;&gt;"",IF(K4328="Date",NOW(),K4328),""))</f>
        <v>Date</v>
      </c>
    </row>
    <row r="4329" spans="2:11">
      <c r="B4329" s="97" t="str">
        <f ca="1">IF(A4329="","Date",IF(A4329&lt;&gt;"",IF(B4329="Date",NOW(),B4329),""))</f>
        <v>Date</v>
      </c>
      <c r="C4329" s="19" t="str">
        <f>IF(ISBLANK(A4329),"Name",IF(ISNA(VLOOKUP(A4329,'Master List'!A:C,2,FALSE)), "Not Found", VLOOKUP(A4329,'Master List'!A:C,2,FALSE)))</f>
        <v>Name</v>
      </c>
      <c r="D4329" s="19" t="str">
        <f>IF(ISBLANK(A4329), "Email",IF(ISNA(VLOOKUP(A4329,'Master List'!A:C,3,FALSE)), "Not Found", VLOOKUP(A4329,'Master List'!A:C,3,FALSE)))</f>
        <v>Email</v>
      </c>
      <c r="F4329" s="4" t="str">
        <f>IF(OR(A4329="",E4329="","",A4329="?",E4329="?"),"duplicate?",IF(COUNTIFS($A:A,A4329,E:E,E4329)&gt;1,"yes","no"))</f>
        <v>duplicate?</v>
      </c>
      <c r="K4329" s="97" t="str">
        <f ca="1">IF(J4329="","Date",IF(J4329&lt;&gt;"",IF(K4329="Date",NOW(),K4329),""))</f>
        <v>Date</v>
      </c>
    </row>
    <row r="4330" spans="2:11">
      <c r="B4330" s="97" t="str">
        <f ca="1">IF(A4330="","Date",IF(A4330&lt;&gt;"",IF(B4330="Date",NOW(),B4330),""))</f>
        <v>Date</v>
      </c>
      <c r="C4330" s="19" t="str">
        <f>IF(ISBLANK(A4330),"Name",IF(ISNA(VLOOKUP(A4330,'Master List'!A:C,2,FALSE)), "Not Found", VLOOKUP(A4330,'Master List'!A:C,2,FALSE)))</f>
        <v>Name</v>
      </c>
      <c r="D4330" s="19" t="str">
        <f>IF(ISBLANK(A4330), "Email",IF(ISNA(VLOOKUP(A4330,'Master List'!A:C,3,FALSE)), "Not Found", VLOOKUP(A4330,'Master List'!A:C,3,FALSE)))</f>
        <v>Email</v>
      </c>
      <c r="F4330" s="4" t="str">
        <f>IF(OR(A4330="",E4330="","",A4330="?",E4330="?"),"duplicate?",IF(COUNTIFS($A:A,A4330,E:E,E4330)&gt;1,"yes","no"))</f>
        <v>duplicate?</v>
      </c>
      <c r="K4330" s="97" t="str">
        <f ca="1">IF(J4330="","Date",IF(J4330&lt;&gt;"",IF(K4330="Date",NOW(),K4330),""))</f>
        <v>Date</v>
      </c>
    </row>
    <row r="4331" spans="2:11">
      <c r="B4331" s="97" t="str">
        <f ca="1">IF(A4331="","Date",IF(A4331&lt;&gt;"",IF(B4331="Date",NOW(),B4331),""))</f>
        <v>Date</v>
      </c>
      <c r="C4331" s="19" t="str">
        <f>IF(ISBLANK(A4331),"Name",IF(ISNA(VLOOKUP(A4331,'Master List'!A:C,2,FALSE)), "Not Found", VLOOKUP(A4331,'Master List'!A:C,2,FALSE)))</f>
        <v>Name</v>
      </c>
      <c r="D4331" s="19" t="str">
        <f>IF(ISBLANK(A4331), "Email",IF(ISNA(VLOOKUP(A4331,'Master List'!A:C,3,FALSE)), "Not Found", VLOOKUP(A4331,'Master List'!A:C,3,FALSE)))</f>
        <v>Email</v>
      </c>
      <c r="F4331" s="4" t="str">
        <f>IF(OR(A4331="",E4331="","",A4331="?",E4331="?"),"duplicate?",IF(COUNTIFS($A:A,A4331,E:E,E4331)&gt;1,"yes","no"))</f>
        <v>duplicate?</v>
      </c>
      <c r="K4331" s="97" t="str">
        <f ca="1">IF(J4331="","Date",IF(J4331&lt;&gt;"",IF(K4331="Date",NOW(),K4331),""))</f>
        <v>Date</v>
      </c>
    </row>
    <row r="4332" spans="2:11">
      <c r="B4332" s="97" t="str">
        <f ca="1">IF(A4332="","Date",IF(A4332&lt;&gt;"",IF(B4332="Date",NOW(),B4332),""))</f>
        <v>Date</v>
      </c>
      <c r="C4332" s="19" t="str">
        <f>IF(ISBLANK(A4332),"Name",IF(ISNA(VLOOKUP(A4332,'Master List'!A:C,2,FALSE)), "Not Found", VLOOKUP(A4332,'Master List'!A:C,2,FALSE)))</f>
        <v>Name</v>
      </c>
      <c r="D4332" s="19" t="str">
        <f>IF(ISBLANK(A4332), "Email",IF(ISNA(VLOOKUP(A4332,'Master List'!A:C,3,FALSE)), "Not Found", VLOOKUP(A4332,'Master List'!A:C,3,FALSE)))</f>
        <v>Email</v>
      </c>
      <c r="F4332" s="4" t="str">
        <f>IF(OR(A4332="",E4332="","",A4332="?",E4332="?"),"duplicate?",IF(COUNTIFS($A:A,A4332,E:E,E4332)&gt;1,"yes","no"))</f>
        <v>duplicate?</v>
      </c>
      <c r="K4332" s="97" t="str">
        <f ca="1">IF(J4332="","Date",IF(J4332&lt;&gt;"",IF(K4332="Date",NOW(),K4332),""))</f>
        <v>Date</v>
      </c>
    </row>
    <row r="4333" spans="2:11">
      <c r="B4333" s="97" t="str">
        <f ca="1">IF(A4333="","Date",IF(A4333&lt;&gt;"",IF(B4333="Date",NOW(),B4333),""))</f>
        <v>Date</v>
      </c>
      <c r="C4333" s="19" t="str">
        <f>IF(ISBLANK(A4333),"Name",IF(ISNA(VLOOKUP(A4333,'Master List'!A:C,2,FALSE)), "Not Found", VLOOKUP(A4333,'Master List'!A:C,2,FALSE)))</f>
        <v>Name</v>
      </c>
      <c r="D4333" s="19" t="str">
        <f>IF(ISBLANK(A4333), "Email",IF(ISNA(VLOOKUP(A4333,'Master List'!A:C,3,FALSE)), "Not Found", VLOOKUP(A4333,'Master List'!A:C,3,FALSE)))</f>
        <v>Email</v>
      </c>
      <c r="F4333" s="4" t="str">
        <f>IF(OR(A4333="",E4333="","",A4333="?",E4333="?"),"duplicate?",IF(COUNTIFS($A:A,A4333,E:E,E4333)&gt;1,"yes","no"))</f>
        <v>duplicate?</v>
      </c>
      <c r="K4333" s="97" t="str">
        <f ca="1">IF(J4333="","Date",IF(J4333&lt;&gt;"",IF(K4333="Date",NOW(),K4333),""))</f>
        <v>Date</v>
      </c>
    </row>
    <row r="4334" spans="2:11">
      <c r="B4334" s="97" t="str">
        <f ca="1">IF(A4334="","Date",IF(A4334&lt;&gt;"",IF(B4334="Date",NOW(),B4334),""))</f>
        <v>Date</v>
      </c>
      <c r="C4334" s="19" t="str">
        <f>IF(ISBLANK(A4334),"Name",IF(ISNA(VLOOKUP(A4334,'Master List'!A:C,2,FALSE)), "Not Found", VLOOKUP(A4334,'Master List'!A:C,2,FALSE)))</f>
        <v>Name</v>
      </c>
      <c r="D4334" s="19" t="str">
        <f>IF(ISBLANK(A4334), "Email",IF(ISNA(VLOOKUP(A4334,'Master List'!A:C,3,FALSE)), "Not Found", VLOOKUP(A4334,'Master List'!A:C,3,FALSE)))</f>
        <v>Email</v>
      </c>
      <c r="F4334" s="4" t="str">
        <f>IF(OR(A4334="",E4334="","",A4334="?",E4334="?"),"duplicate?",IF(COUNTIFS($A:A,A4334,E:E,E4334)&gt;1,"yes","no"))</f>
        <v>duplicate?</v>
      </c>
      <c r="K4334" s="97" t="str">
        <f ca="1">IF(J4334="","Date",IF(J4334&lt;&gt;"",IF(K4334="Date",NOW(),K4334),""))</f>
        <v>Date</v>
      </c>
    </row>
    <row r="4335" spans="2:11">
      <c r="B4335" s="97" t="str">
        <f ca="1">IF(A4335="","Date",IF(A4335&lt;&gt;"",IF(B4335="Date",NOW(),B4335),""))</f>
        <v>Date</v>
      </c>
      <c r="C4335" s="19" t="str">
        <f>IF(ISBLANK(A4335),"Name",IF(ISNA(VLOOKUP(A4335,'Master List'!A:C,2,FALSE)), "Not Found", VLOOKUP(A4335,'Master List'!A:C,2,FALSE)))</f>
        <v>Name</v>
      </c>
      <c r="D4335" s="19" t="str">
        <f>IF(ISBLANK(A4335), "Email",IF(ISNA(VLOOKUP(A4335,'Master List'!A:C,3,FALSE)), "Not Found", VLOOKUP(A4335,'Master List'!A:C,3,FALSE)))</f>
        <v>Email</v>
      </c>
      <c r="F4335" s="4" t="str">
        <f>IF(OR(A4335="",E4335="","",A4335="?",E4335="?"),"duplicate?",IF(COUNTIFS($A:A,A4335,E:E,E4335)&gt;1,"yes","no"))</f>
        <v>duplicate?</v>
      </c>
      <c r="K4335" s="97" t="str">
        <f ca="1">IF(J4335="","Date",IF(J4335&lt;&gt;"",IF(K4335="Date",NOW(),K4335),""))</f>
        <v>Date</v>
      </c>
    </row>
    <row r="4336" spans="2:11">
      <c r="B4336" s="97" t="str">
        <f ca="1">IF(A4336="","Date",IF(A4336&lt;&gt;"",IF(B4336="Date",NOW(),B4336),""))</f>
        <v>Date</v>
      </c>
      <c r="C4336" s="19" t="str">
        <f>IF(ISBLANK(A4336),"Name",IF(ISNA(VLOOKUP(A4336,'Master List'!A:C,2,FALSE)), "Not Found", VLOOKUP(A4336,'Master List'!A:C,2,FALSE)))</f>
        <v>Name</v>
      </c>
      <c r="D4336" s="19" t="str">
        <f>IF(ISBLANK(A4336), "Email",IF(ISNA(VLOOKUP(A4336,'Master List'!A:C,3,FALSE)), "Not Found", VLOOKUP(A4336,'Master List'!A:C,3,FALSE)))</f>
        <v>Email</v>
      </c>
      <c r="F4336" s="4" t="str">
        <f>IF(OR(A4336="",E4336="","",A4336="?",E4336="?"),"duplicate?",IF(COUNTIFS($A:A,A4336,E:E,E4336)&gt;1,"yes","no"))</f>
        <v>duplicate?</v>
      </c>
      <c r="K4336" s="97" t="str">
        <f ca="1">IF(J4336="","Date",IF(J4336&lt;&gt;"",IF(K4336="Date",NOW(),K4336),""))</f>
        <v>Date</v>
      </c>
    </row>
    <row r="4337" spans="2:11">
      <c r="B4337" s="97" t="str">
        <f ca="1">IF(A4337="","Date",IF(A4337&lt;&gt;"",IF(B4337="Date",NOW(),B4337),""))</f>
        <v>Date</v>
      </c>
      <c r="C4337" s="19" t="str">
        <f>IF(ISBLANK(A4337),"Name",IF(ISNA(VLOOKUP(A4337,'Master List'!A:C,2,FALSE)), "Not Found", VLOOKUP(A4337,'Master List'!A:C,2,FALSE)))</f>
        <v>Name</v>
      </c>
      <c r="D4337" s="19" t="str">
        <f>IF(ISBLANK(A4337), "Email",IF(ISNA(VLOOKUP(A4337,'Master List'!A:C,3,FALSE)), "Not Found", VLOOKUP(A4337,'Master List'!A:C,3,FALSE)))</f>
        <v>Email</v>
      </c>
      <c r="F4337" s="4" t="str">
        <f>IF(OR(A4337="",E4337="","",A4337="?",E4337="?"),"duplicate?",IF(COUNTIFS($A:A,A4337,E:E,E4337)&gt;1,"yes","no"))</f>
        <v>duplicate?</v>
      </c>
      <c r="K4337" s="97" t="str">
        <f ca="1">IF(J4337="","Date",IF(J4337&lt;&gt;"",IF(K4337="Date",NOW(),K4337),""))</f>
        <v>Date</v>
      </c>
    </row>
    <row r="4338" spans="2:11">
      <c r="B4338" s="97" t="str">
        <f ca="1">IF(A4338="","Date",IF(A4338&lt;&gt;"",IF(B4338="Date",NOW(),B4338),""))</f>
        <v>Date</v>
      </c>
      <c r="C4338" s="19" t="str">
        <f>IF(ISBLANK(A4338),"Name",IF(ISNA(VLOOKUP(A4338,'Master List'!A:C,2,FALSE)), "Not Found", VLOOKUP(A4338,'Master List'!A:C,2,FALSE)))</f>
        <v>Name</v>
      </c>
      <c r="D4338" s="19" t="str">
        <f>IF(ISBLANK(A4338), "Email",IF(ISNA(VLOOKUP(A4338,'Master List'!A:C,3,FALSE)), "Not Found", VLOOKUP(A4338,'Master List'!A:C,3,FALSE)))</f>
        <v>Email</v>
      </c>
      <c r="F4338" s="4" t="str">
        <f>IF(OR(A4338="",E4338="","",A4338="?",E4338="?"),"duplicate?",IF(COUNTIFS($A:A,A4338,E:E,E4338)&gt;1,"yes","no"))</f>
        <v>duplicate?</v>
      </c>
      <c r="K4338" s="97" t="str">
        <f ca="1">IF(J4338="","Date",IF(J4338&lt;&gt;"",IF(K4338="Date",NOW(),K4338),""))</f>
        <v>Date</v>
      </c>
    </row>
    <row r="4339" spans="2:11">
      <c r="B4339" s="97" t="str">
        <f ca="1">IF(A4339="","Date",IF(A4339&lt;&gt;"",IF(B4339="Date",NOW(),B4339),""))</f>
        <v>Date</v>
      </c>
      <c r="C4339" s="19" t="str">
        <f>IF(ISBLANK(A4339),"Name",IF(ISNA(VLOOKUP(A4339,'Master List'!A:C,2,FALSE)), "Not Found", VLOOKUP(A4339,'Master List'!A:C,2,FALSE)))</f>
        <v>Name</v>
      </c>
      <c r="D4339" s="19" t="str">
        <f>IF(ISBLANK(A4339), "Email",IF(ISNA(VLOOKUP(A4339,'Master List'!A:C,3,FALSE)), "Not Found", VLOOKUP(A4339,'Master List'!A:C,3,FALSE)))</f>
        <v>Email</v>
      </c>
      <c r="F4339" s="4" t="str">
        <f>IF(OR(A4339="",E4339="","",A4339="?",E4339="?"),"duplicate?",IF(COUNTIFS($A:A,A4339,E:E,E4339)&gt;1,"yes","no"))</f>
        <v>duplicate?</v>
      </c>
      <c r="K4339" s="97" t="str">
        <f ca="1">IF(J4339="","Date",IF(J4339&lt;&gt;"",IF(K4339="Date",NOW(),K4339),""))</f>
        <v>Date</v>
      </c>
    </row>
    <row r="4340" spans="2:11">
      <c r="B4340" s="97" t="str">
        <f ca="1">IF(A4340="","Date",IF(A4340&lt;&gt;"",IF(B4340="Date",NOW(),B4340),""))</f>
        <v>Date</v>
      </c>
      <c r="C4340" s="19" t="str">
        <f>IF(ISBLANK(A4340),"Name",IF(ISNA(VLOOKUP(A4340,'Master List'!A:C,2,FALSE)), "Not Found", VLOOKUP(A4340,'Master List'!A:C,2,FALSE)))</f>
        <v>Name</v>
      </c>
      <c r="D4340" s="19" t="str">
        <f>IF(ISBLANK(A4340), "Email",IF(ISNA(VLOOKUP(A4340,'Master List'!A:C,3,FALSE)), "Not Found", VLOOKUP(A4340,'Master List'!A:C,3,FALSE)))</f>
        <v>Email</v>
      </c>
      <c r="F4340" s="4" t="str">
        <f>IF(OR(A4340="",E4340="","",A4340="?",E4340="?"),"duplicate?",IF(COUNTIFS($A:A,A4340,E:E,E4340)&gt;1,"yes","no"))</f>
        <v>duplicate?</v>
      </c>
      <c r="K4340" s="97" t="str">
        <f ca="1">IF(J4340="","Date",IF(J4340&lt;&gt;"",IF(K4340="Date",NOW(),K4340),""))</f>
        <v>Date</v>
      </c>
    </row>
    <row r="4341" spans="2:11">
      <c r="B4341" s="97" t="str">
        <f ca="1">IF(A4341="","Date",IF(A4341&lt;&gt;"",IF(B4341="Date",NOW(),B4341),""))</f>
        <v>Date</v>
      </c>
      <c r="C4341" s="19" t="str">
        <f>IF(ISBLANK(A4341),"Name",IF(ISNA(VLOOKUP(A4341,'Master List'!A:C,2,FALSE)), "Not Found", VLOOKUP(A4341,'Master List'!A:C,2,FALSE)))</f>
        <v>Name</v>
      </c>
      <c r="D4341" s="19" t="str">
        <f>IF(ISBLANK(A4341), "Email",IF(ISNA(VLOOKUP(A4341,'Master List'!A:C,3,FALSE)), "Not Found", VLOOKUP(A4341,'Master List'!A:C,3,FALSE)))</f>
        <v>Email</v>
      </c>
      <c r="F4341" s="4" t="str">
        <f>IF(OR(A4341="",E4341="","",A4341="?",E4341="?"),"duplicate?",IF(COUNTIFS($A:A,A4341,E:E,E4341)&gt;1,"yes","no"))</f>
        <v>duplicate?</v>
      </c>
      <c r="K4341" s="97" t="str">
        <f ca="1">IF(J4341="","Date",IF(J4341&lt;&gt;"",IF(K4341="Date",NOW(),K4341),""))</f>
        <v>Date</v>
      </c>
    </row>
    <row r="4342" spans="2:11">
      <c r="B4342" s="97" t="str">
        <f ca="1">IF(A4342="","Date",IF(A4342&lt;&gt;"",IF(B4342="Date",NOW(),B4342),""))</f>
        <v>Date</v>
      </c>
      <c r="C4342" s="19" t="str">
        <f>IF(ISBLANK(A4342),"Name",IF(ISNA(VLOOKUP(A4342,'Master List'!A:C,2,FALSE)), "Not Found", VLOOKUP(A4342,'Master List'!A:C,2,FALSE)))</f>
        <v>Name</v>
      </c>
      <c r="D4342" s="19" t="str">
        <f>IF(ISBLANK(A4342), "Email",IF(ISNA(VLOOKUP(A4342,'Master List'!A:C,3,FALSE)), "Not Found", VLOOKUP(A4342,'Master List'!A:C,3,FALSE)))</f>
        <v>Email</v>
      </c>
      <c r="F4342" s="4" t="str">
        <f>IF(OR(A4342="",E4342="","",A4342="?",E4342="?"),"duplicate?",IF(COUNTIFS($A:A,A4342,E:E,E4342)&gt;1,"yes","no"))</f>
        <v>duplicate?</v>
      </c>
      <c r="K4342" s="97" t="str">
        <f ca="1">IF(J4342="","Date",IF(J4342&lt;&gt;"",IF(K4342="Date",NOW(),K4342),""))</f>
        <v>Date</v>
      </c>
    </row>
    <row r="4343" spans="2:11">
      <c r="B4343" s="97" t="str">
        <f ca="1">IF(A4343="","Date",IF(A4343&lt;&gt;"",IF(B4343="Date",NOW(),B4343),""))</f>
        <v>Date</v>
      </c>
      <c r="C4343" s="19" t="str">
        <f>IF(ISBLANK(A4343),"Name",IF(ISNA(VLOOKUP(A4343,'Master List'!A:C,2,FALSE)), "Not Found", VLOOKUP(A4343,'Master List'!A:C,2,FALSE)))</f>
        <v>Name</v>
      </c>
      <c r="D4343" s="19" t="str">
        <f>IF(ISBLANK(A4343), "Email",IF(ISNA(VLOOKUP(A4343,'Master List'!A:C,3,FALSE)), "Not Found", VLOOKUP(A4343,'Master List'!A:C,3,FALSE)))</f>
        <v>Email</v>
      </c>
      <c r="F4343" s="4" t="str">
        <f>IF(OR(A4343="",E4343="","",A4343="?",E4343="?"),"duplicate?",IF(COUNTIFS($A:A,A4343,E:E,E4343)&gt;1,"yes","no"))</f>
        <v>duplicate?</v>
      </c>
      <c r="K4343" s="97" t="str">
        <f ca="1">IF(J4343="","Date",IF(J4343&lt;&gt;"",IF(K4343="Date",NOW(),K4343),""))</f>
        <v>Date</v>
      </c>
    </row>
    <row r="4344" spans="2:11">
      <c r="B4344" s="97" t="str">
        <f ca="1">IF(A4344="","Date",IF(A4344&lt;&gt;"",IF(B4344="Date",NOW(),B4344),""))</f>
        <v>Date</v>
      </c>
      <c r="C4344" s="19" t="str">
        <f>IF(ISBLANK(A4344),"Name",IF(ISNA(VLOOKUP(A4344,'Master List'!A:C,2,FALSE)), "Not Found", VLOOKUP(A4344,'Master List'!A:C,2,FALSE)))</f>
        <v>Name</v>
      </c>
      <c r="D4344" s="19" t="str">
        <f>IF(ISBLANK(A4344), "Email",IF(ISNA(VLOOKUP(A4344,'Master List'!A:C,3,FALSE)), "Not Found", VLOOKUP(A4344,'Master List'!A:C,3,FALSE)))</f>
        <v>Email</v>
      </c>
      <c r="F4344" s="4" t="str">
        <f>IF(OR(A4344="",E4344="","",A4344="?",E4344="?"),"duplicate?",IF(COUNTIFS($A:A,A4344,E:E,E4344)&gt;1,"yes","no"))</f>
        <v>duplicate?</v>
      </c>
      <c r="K4344" s="97" t="str">
        <f ca="1">IF(J4344="","Date",IF(J4344&lt;&gt;"",IF(K4344="Date",NOW(),K4344),""))</f>
        <v>Date</v>
      </c>
    </row>
    <row r="4345" spans="2:11">
      <c r="B4345" s="97" t="str">
        <f ca="1">IF(A4345="","Date",IF(A4345&lt;&gt;"",IF(B4345="Date",NOW(),B4345),""))</f>
        <v>Date</v>
      </c>
      <c r="C4345" s="19" t="str">
        <f>IF(ISBLANK(A4345),"Name",IF(ISNA(VLOOKUP(A4345,'Master List'!A:C,2,FALSE)), "Not Found", VLOOKUP(A4345,'Master List'!A:C,2,FALSE)))</f>
        <v>Name</v>
      </c>
      <c r="D4345" s="19" t="str">
        <f>IF(ISBLANK(A4345), "Email",IF(ISNA(VLOOKUP(A4345,'Master List'!A:C,3,FALSE)), "Not Found", VLOOKUP(A4345,'Master List'!A:C,3,FALSE)))</f>
        <v>Email</v>
      </c>
      <c r="F4345" s="4" t="str">
        <f>IF(OR(A4345="",E4345="","",A4345="?",E4345="?"),"duplicate?",IF(COUNTIFS($A:A,A4345,E:E,E4345)&gt;1,"yes","no"))</f>
        <v>duplicate?</v>
      </c>
      <c r="K4345" s="97" t="str">
        <f ca="1">IF(J4345="","Date",IF(J4345&lt;&gt;"",IF(K4345="Date",NOW(),K4345),""))</f>
        <v>Date</v>
      </c>
    </row>
    <row r="4346" spans="2:11">
      <c r="B4346" s="97" t="str">
        <f ca="1">IF(A4346="","Date",IF(A4346&lt;&gt;"",IF(B4346="Date",NOW(),B4346),""))</f>
        <v>Date</v>
      </c>
      <c r="C4346" s="19" t="str">
        <f>IF(ISBLANK(A4346),"Name",IF(ISNA(VLOOKUP(A4346,'Master List'!A:C,2,FALSE)), "Not Found", VLOOKUP(A4346,'Master List'!A:C,2,FALSE)))</f>
        <v>Name</v>
      </c>
      <c r="D4346" s="19" t="str">
        <f>IF(ISBLANK(A4346), "Email",IF(ISNA(VLOOKUP(A4346,'Master List'!A:C,3,FALSE)), "Not Found", VLOOKUP(A4346,'Master List'!A:C,3,FALSE)))</f>
        <v>Email</v>
      </c>
      <c r="F4346" s="4" t="str">
        <f>IF(OR(A4346="",E4346="","",A4346="?",E4346="?"),"duplicate?",IF(COUNTIFS($A:A,A4346,E:E,E4346)&gt;1,"yes","no"))</f>
        <v>duplicate?</v>
      </c>
      <c r="K4346" s="97" t="str">
        <f ca="1">IF(J4346="","Date",IF(J4346&lt;&gt;"",IF(K4346="Date",NOW(),K4346),""))</f>
        <v>Date</v>
      </c>
    </row>
    <row r="4347" spans="2:11">
      <c r="B4347" s="97" t="str">
        <f ca="1">IF(A4347="","Date",IF(A4347&lt;&gt;"",IF(B4347="Date",NOW(),B4347),""))</f>
        <v>Date</v>
      </c>
      <c r="C4347" s="19" t="str">
        <f>IF(ISBLANK(A4347),"Name",IF(ISNA(VLOOKUP(A4347,'Master List'!A:C,2,FALSE)), "Not Found", VLOOKUP(A4347,'Master List'!A:C,2,FALSE)))</f>
        <v>Name</v>
      </c>
      <c r="D4347" s="19" t="str">
        <f>IF(ISBLANK(A4347), "Email",IF(ISNA(VLOOKUP(A4347,'Master List'!A:C,3,FALSE)), "Not Found", VLOOKUP(A4347,'Master List'!A:C,3,FALSE)))</f>
        <v>Email</v>
      </c>
      <c r="F4347" s="4" t="str">
        <f>IF(OR(A4347="",E4347="","",A4347="?",E4347="?"),"duplicate?",IF(COUNTIFS($A:A,A4347,E:E,E4347)&gt;1,"yes","no"))</f>
        <v>duplicate?</v>
      </c>
      <c r="K4347" s="97" t="str">
        <f ca="1">IF(J4347="","Date",IF(J4347&lt;&gt;"",IF(K4347="Date",NOW(),K4347),""))</f>
        <v>Date</v>
      </c>
    </row>
    <row r="4348" spans="2:11">
      <c r="B4348" s="97" t="str">
        <f ca="1">IF(A4348="","Date",IF(A4348&lt;&gt;"",IF(B4348="Date",NOW(),B4348),""))</f>
        <v>Date</v>
      </c>
      <c r="C4348" s="19" t="str">
        <f>IF(ISBLANK(A4348),"Name",IF(ISNA(VLOOKUP(A4348,'Master List'!A:C,2,FALSE)), "Not Found", VLOOKUP(A4348,'Master List'!A:C,2,FALSE)))</f>
        <v>Name</v>
      </c>
      <c r="D4348" s="19" t="str">
        <f>IF(ISBLANK(A4348), "Email",IF(ISNA(VLOOKUP(A4348,'Master List'!A:C,3,FALSE)), "Not Found", VLOOKUP(A4348,'Master List'!A:C,3,FALSE)))</f>
        <v>Email</v>
      </c>
      <c r="F4348" s="4" t="str">
        <f>IF(OR(A4348="",E4348="","",A4348="?",E4348="?"),"duplicate?",IF(COUNTIFS($A:A,A4348,E:E,E4348)&gt;1,"yes","no"))</f>
        <v>duplicate?</v>
      </c>
      <c r="K4348" s="97" t="str">
        <f ca="1">IF(J4348="","Date",IF(J4348&lt;&gt;"",IF(K4348="Date",NOW(),K4348),""))</f>
        <v>Date</v>
      </c>
    </row>
    <row r="4349" spans="2:11">
      <c r="B4349" s="97" t="str">
        <f ca="1">IF(A4349="","Date",IF(A4349&lt;&gt;"",IF(B4349="Date",NOW(),B4349),""))</f>
        <v>Date</v>
      </c>
      <c r="C4349" s="19" t="str">
        <f>IF(ISBLANK(A4349),"Name",IF(ISNA(VLOOKUP(A4349,'Master List'!A:C,2,FALSE)), "Not Found", VLOOKUP(A4349,'Master List'!A:C,2,FALSE)))</f>
        <v>Name</v>
      </c>
      <c r="D4349" s="19" t="str">
        <f>IF(ISBLANK(A4349), "Email",IF(ISNA(VLOOKUP(A4349,'Master List'!A:C,3,FALSE)), "Not Found", VLOOKUP(A4349,'Master List'!A:C,3,FALSE)))</f>
        <v>Email</v>
      </c>
      <c r="F4349" s="4" t="str">
        <f>IF(OR(A4349="",E4349="","",A4349="?",E4349="?"),"duplicate?",IF(COUNTIFS($A:A,A4349,E:E,E4349)&gt;1,"yes","no"))</f>
        <v>duplicate?</v>
      </c>
      <c r="K4349" s="97" t="str">
        <f ca="1">IF(J4349="","Date",IF(J4349&lt;&gt;"",IF(K4349="Date",NOW(),K4349),""))</f>
        <v>Date</v>
      </c>
    </row>
    <row r="4350" spans="2:11">
      <c r="B4350" s="97" t="str">
        <f ca="1">IF(A4350="","Date",IF(A4350&lt;&gt;"",IF(B4350="Date",NOW(),B4350),""))</f>
        <v>Date</v>
      </c>
      <c r="C4350" s="19" t="str">
        <f>IF(ISBLANK(A4350),"Name",IF(ISNA(VLOOKUP(A4350,'Master List'!A:C,2,FALSE)), "Not Found", VLOOKUP(A4350,'Master List'!A:C,2,FALSE)))</f>
        <v>Name</v>
      </c>
      <c r="D4350" s="19" t="str">
        <f>IF(ISBLANK(A4350), "Email",IF(ISNA(VLOOKUP(A4350,'Master List'!A:C,3,FALSE)), "Not Found", VLOOKUP(A4350,'Master List'!A:C,3,FALSE)))</f>
        <v>Email</v>
      </c>
      <c r="F4350" s="4" t="str">
        <f>IF(OR(A4350="",E4350="","",A4350="?",E4350="?"),"duplicate?",IF(COUNTIFS($A:A,A4350,E:E,E4350)&gt;1,"yes","no"))</f>
        <v>duplicate?</v>
      </c>
      <c r="K4350" s="97" t="str">
        <f ca="1">IF(J4350="","Date",IF(J4350&lt;&gt;"",IF(K4350="Date",NOW(),K4350),""))</f>
        <v>Date</v>
      </c>
    </row>
    <row r="4351" spans="2:11">
      <c r="B4351" s="97" t="str">
        <f ca="1">IF(A4351="","Date",IF(A4351&lt;&gt;"",IF(B4351="Date",NOW(),B4351),""))</f>
        <v>Date</v>
      </c>
      <c r="C4351" s="19" t="str">
        <f>IF(ISBLANK(A4351),"Name",IF(ISNA(VLOOKUP(A4351,'Master List'!A:C,2,FALSE)), "Not Found", VLOOKUP(A4351,'Master List'!A:C,2,FALSE)))</f>
        <v>Name</v>
      </c>
      <c r="D4351" s="19" t="str">
        <f>IF(ISBLANK(A4351), "Email",IF(ISNA(VLOOKUP(A4351,'Master List'!A:C,3,FALSE)), "Not Found", VLOOKUP(A4351,'Master List'!A:C,3,FALSE)))</f>
        <v>Email</v>
      </c>
      <c r="F4351" s="4" t="str">
        <f>IF(OR(A4351="",E4351="","",A4351="?",E4351="?"),"duplicate?",IF(COUNTIFS($A:A,A4351,E:E,E4351)&gt;1,"yes","no"))</f>
        <v>duplicate?</v>
      </c>
      <c r="K4351" s="97" t="str">
        <f ca="1">IF(J4351="","Date",IF(J4351&lt;&gt;"",IF(K4351="Date",NOW(),K4351),""))</f>
        <v>Date</v>
      </c>
    </row>
    <row r="4352" spans="2:11">
      <c r="B4352" s="97" t="str">
        <f ca="1">IF(A4352="","Date",IF(A4352&lt;&gt;"",IF(B4352="Date",NOW(),B4352),""))</f>
        <v>Date</v>
      </c>
      <c r="C4352" s="19" t="str">
        <f>IF(ISBLANK(A4352),"Name",IF(ISNA(VLOOKUP(A4352,'Master List'!A:C,2,FALSE)), "Not Found", VLOOKUP(A4352,'Master List'!A:C,2,FALSE)))</f>
        <v>Name</v>
      </c>
      <c r="D4352" s="19" t="str">
        <f>IF(ISBLANK(A4352), "Email",IF(ISNA(VLOOKUP(A4352,'Master List'!A:C,3,FALSE)), "Not Found", VLOOKUP(A4352,'Master List'!A:C,3,FALSE)))</f>
        <v>Email</v>
      </c>
      <c r="F4352" s="4" t="str">
        <f>IF(OR(A4352="",E4352="","",A4352="?",E4352="?"),"duplicate?",IF(COUNTIFS($A:A,A4352,E:E,E4352)&gt;1,"yes","no"))</f>
        <v>duplicate?</v>
      </c>
      <c r="K4352" s="97" t="str">
        <f ca="1">IF(J4352="","Date",IF(J4352&lt;&gt;"",IF(K4352="Date",NOW(),K4352),""))</f>
        <v>Date</v>
      </c>
    </row>
    <row r="4353" spans="2:11">
      <c r="B4353" s="97" t="str">
        <f ca="1">IF(A4353="","Date",IF(A4353&lt;&gt;"",IF(B4353="Date",NOW(),B4353),""))</f>
        <v>Date</v>
      </c>
      <c r="C4353" s="19" t="str">
        <f>IF(ISBLANK(A4353),"Name",IF(ISNA(VLOOKUP(A4353,'Master List'!A:C,2,FALSE)), "Not Found", VLOOKUP(A4353,'Master List'!A:C,2,FALSE)))</f>
        <v>Name</v>
      </c>
      <c r="D4353" s="19" t="str">
        <f>IF(ISBLANK(A4353), "Email",IF(ISNA(VLOOKUP(A4353,'Master List'!A:C,3,FALSE)), "Not Found", VLOOKUP(A4353,'Master List'!A:C,3,FALSE)))</f>
        <v>Email</v>
      </c>
      <c r="F4353" s="4" t="str">
        <f>IF(OR(A4353="",E4353="","",A4353="?",E4353="?"),"duplicate?",IF(COUNTIFS($A:A,A4353,E:E,E4353)&gt;1,"yes","no"))</f>
        <v>duplicate?</v>
      </c>
      <c r="K4353" s="97" t="str">
        <f ca="1">IF(J4353="","Date",IF(J4353&lt;&gt;"",IF(K4353="Date",NOW(),K4353),""))</f>
        <v>Date</v>
      </c>
    </row>
    <row r="4354" spans="2:11">
      <c r="B4354" s="97" t="str">
        <f ca="1">IF(A4354="","Date",IF(A4354&lt;&gt;"",IF(B4354="Date",NOW(),B4354),""))</f>
        <v>Date</v>
      </c>
      <c r="C4354" s="19" t="str">
        <f>IF(ISBLANK(A4354),"Name",IF(ISNA(VLOOKUP(A4354,'Master List'!A:C,2,FALSE)), "Not Found", VLOOKUP(A4354,'Master List'!A:C,2,FALSE)))</f>
        <v>Name</v>
      </c>
      <c r="D4354" s="19" t="str">
        <f>IF(ISBLANK(A4354), "Email",IF(ISNA(VLOOKUP(A4354,'Master List'!A:C,3,FALSE)), "Not Found", VLOOKUP(A4354,'Master List'!A:C,3,FALSE)))</f>
        <v>Email</v>
      </c>
      <c r="F4354" s="4" t="str">
        <f>IF(OR(A4354="",E4354="","",A4354="?",E4354="?"),"duplicate?",IF(COUNTIFS($A:A,A4354,E:E,E4354)&gt;1,"yes","no"))</f>
        <v>duplicate?</v>
      </c>
      <c r="K4354" s="97" t="str">
        <f ca="1">IF(J4354="","Date",IF(J4354&lt;&gt;"",IF(K4354="Date",NOW(),K4354),""))</f>
        <v>Date</v>
      </c>
    </row>
    <row r="4355" spans="2:11">
      <c r="B4355" s="97" t="str">
        <f ca="1">IF(A4355="","Date",IF(A4355&lt;&gt;"",IF(B4355="Date",NOW(),B4355),""))</f>
        <v>Date</v>
      </c>
      <c r="C4355" s="19" t="str">
        <f>IF(ISBLANK(A4355),"Name",IF(ISNA(VLOOKUP(A4355,'Master List'!A:C,2,FALSE)), "Not Found", VLOOKUP(A4355,'Master List'!A:C,2,FALSE)))</f>
        <v>Name</v>
      </c>
      <c r="D4355" s="19" t="str">
        <f>IF(ISBLANK(A4355), "Email",IF(ISNA(VLOOKUP(A4355,'Master List'!A:C,3,FALSE)), "Not Found", VLOOKUP(A4355,'Master List'!A:C,3,FALSE)))</f>
        <v>Email</v>
      </c>
      <c r="F4355" s="4" t="str">
        <f>IF(OR(A4355="",E4355="","",A4355="?",E4355="?"),"duplicate?",IF(COUNTIFS($A:A,A4355,E:E,E4355)&gt;1,"yes","no"))</f>
        <v>duplicate?</v>
      </c>
      <c r="K4355" s="97" t="str">
        <f ca="1">IF(J4355="","Date",IF(J4355&lt;&gt;"",IF(K4355="Date",NOW(),K4355),""))</f>
        <v>Date</v>
      </c>
    </row>
    <row r="4356" spans="2:11">
      <c r="B4356" s="97" t="str">
        <f ca="1">IF(A4356="","Date",IF(A4356&lt;&gt;"",IF(B4356="Date",NOW(),B4356),""))</f>
        <v>Date</v>
      </c>
      <c r="C4356" s="19" t="str">
        <f>IF(ISBLANK(A4356),"Name",IF(ISNA(VLOOKUP(A4356,'Master List'!A:C,2,FALSE)), "Not Found", VLOOKUP(A4356,'Master List'!A:C,2,FALSE)))</f>
        <v>Name</v>
      </c>
      <c r="D4356" s="19" t="str">
        <f>IF(ISBLANK(A4356), "Email",IF(ISNA(VLOOKUP(A4356,'Master List'!A:C,3,FALSE)), "Not Found", VLOOKUP(A4356,'Master List'!A:C,3,FALSE)))</f>
        <v>Email</v>
      </c>
      <c r="F4356" s="4" t="str">
        <f>IF(OR(A4356="",E4356="","",A4356="?",E4356="?"),"duplicate?",IF(COUNTIFS($A:A,A4356,E:E,E4356)&gt;1,"yes","no"))</f>
        <v>duplicate?</v>
      </c>
      <c r="K4356" s="97" t="str">
        <f ca="1">IF(J4356="","Date",IF(J4356&lt;&gt;"",IF(K4356="Date",NOW(),K4356),""))</f>
        <v>Date</v>
      </c>
    </row>
    <row r="4357" spans="2:11">
      <c r="B4357" s="97" t="str">
        <f ca="1">IF(A4357="","Date",IF(A4357&lt;&gt;"",IF(B4357="Date",NOW(),B4357),""))</f>
        <v>Date</v>
      </c>
      <c r="C4357" s="19" t="str">
        <f>IF(ISBLANK(A4357),"Name",IF(ISNA(VLOOKUP(A4357,'Master List'!A:C,2,FALSE)), "Not Found", VLOOKUP(A4357,'Master List'!A:C,2,FALSE)))</f>
        <v>Name</v>
      </c>
      <c r="D4357" s="19" t="str">
        <f>IF(ISBLANK(A4357), "Email",IF(ISNA(VLOOKUP(A4357,'Master List'!A:C,3,FALSE)), "Not Found", VLOOKUP(A4357,'Master List'!A:C,3,FALSE)))</f>
        <v>Email</v>
      </c>
      <c r="F4357" s="4" t="str">
        <f>IF(OR(A4357="",E4357="","",A4357="?",E4357="?"),"duplicate?",IF(COUNTIFS($A:A,A4357,E:E,E4357)&gt;1,"yes","no"))</f>
        <v>duplicate?</v>
      </c>
      <c r="K4357" s="97" t="str">
        <f ca="1">IF(J4357="","Date",IF(J4357&lt;&gt;"",IF(K4357="Date",NOW(),K4357),""))</f>
        <v>Date</v>
      </c>
    </row>
    <row r="4358" spans="2:11">
      <c r="B4358" s="97" t="str">
        <f ca="1">IF(A4358="","Date",IF(A4358&lt;&gt;"",IF(B4358="Date",NOW(),B4358),""))</f>
        <v>Date</v>
      </c>
      <c r="C4358" s="19" t="str">
        <f>IF(ISBLANK(A4358),"Name",IF(ISNA(VLOOKUP(A4358,'Master List'!A:C,2,FALSE)), "Not Found", VLOOKUP(A4358,'Master List'!A:C,2,FALSE)))</f>
        <v>Name</v>
      </c>
      <c r="D4358" s="19" t="str">
        <f>IF(ISBLANK(A4358), "Email",IF(ISNA(VLOOKUP(A4358,'Master List'!A:C,3,FALSE)), "Not Found", VLOOKUP(A4358,'Master List'!A:C,3,FALSE)))</f>
        <v>Email</v>
      </c>
      <c r="F4358" s="4" t="str">
        <f>IF(OR(A4358="",E4358="","",A4358="?",E4358="?"),"duplicate?",IF(COUNTIFS($A:A,A4358,E:E,E4358)&gt;1,"yes","no"))</f>
        <v>duplicate?</v>
      </c>
      <c r="K4358" s="97" t="str">
        <f ca="1">IF(J4358="","Date",IF(J4358&lt;&gt;"",IF(K4358="Date",NOW(),K4358),""))</f>
        <v>Date</v>
      </c>
    </row>
    <row r="4359" spans="2:11">
      <c r="B4359" s="97" t="str">
        <f ca="1">IF(A4359="","Date",IF(A4359&lt;&gt;"",IF(B4359="Date",NOW(),B4359),""))</f>
        <v>Date</v>
      </c>
      <c r="C4359" s="19" t="str">
        <f>IF(ISBLANK(A4359),"Name",IF(ISNA(VLOOKUP(A4359,'Master List'!A:C,2,FALSE)), "Not Found", VLOOKUP(A4359,'Master List'!A:C,2,FALSE)))</f>
        <v>Name</v>
      </c>
      <c r="D4359" s="19" t="str">
        <f>IF(ISBLANK(A4359), "Email",IF(ISNA(VLOOKUP(A4359,'Master List'!A:C,3,FALSE)), "Not Found", VLOOKUP(A4359,'Master List'!A:C,3,FALSE)))</f>
        <v>Email</v>
      </c>
      <c r="F4359" s="4" t="str">
        <f>IF(OR(A4359="",E4359="","",A4359="?",E4359="?"),"duplicate?",IF(COUNTIFS($A:A,A4359,E:E,E4359)&gt;1,"yes","no"))</f>
        <v>duplicate?</v>
      </c>
      <c r="K4359" s="97" t="str">
        <f ca="1">IF(J4359="","Date",IF(J4359&lt;&gt;"",IF(K4359="Date",NOW(),K4359),""))</f>
        <v>Date</v>
      </c>
    </row>
    <row r="4360" spans="2:11">
      <c r="B4360" s="97" t="str">
        <f ca="1">IF(A4360="","Date",IF(A4360&lt;&gt;"",IF(B4360="Date",NOW(),B4360),""))</f>
        <v>Date</v>
      </c>
      <c r="C4360" s="19" t="str">
        <f>IF(ISBLANK(A4360),"Name",IF(ISNA(VLOOKUP(A4360,'Master List'!A:C,2,FALSE)), "Not Found", VLOOKUP(A4360,'Master List'!A:C,2,FALSE)))</f>
        <v>Name</v>
      </c>
      <c r="D4360" s="19" t="str">
        <f>IF(ISBLANK(A4360), "Email",IF(ISNA(VLOOKUP(A4360,'Master List'!A:C,3,FALSE)), "Not Found", VLOOKUP(A4360,'Master List'!A:C,3,FALSE)))</f>
        <v>Email</v>
      </c>
      <c r="F4360" s="4" t="str">
        <f>IF(OR(A4360="",E4360="","",A4360="?",E4360="?"),"duplicate?",IF(COUNTIFS($A:A,A4360,E:E,E4360)&gt;1,"yes","no"))</f>
        <v>duplicate?</v>
      </c>
      <c r="K4360" s="97" t="str">
        <f ca="1">IF(J4360="","Date",IF(J4360&lt;&gt;"",IF(K4360="Date",NOW(),K4360),""))</f>
        <v>Date</v>
      </c>
    </row>
    <row r="4361" spans="2:11">
      <c r="B4361" s="97" t="str">
        <f ca="1">IF(A4361="","Date",IF(A4361&lt;&gt;"",IF(B4361="Date",NOW(),B4361),""))</f>
        <v>Date</v>
      </c>
      <c r="C4361" s="19" t="str">
        <f>IF(ISBLANK(A4361),"Name",IF(ISNA(VLOOKUP(A4361,'Master List'!A:C,2,FALSE)), "Not Found", VLOOKUP(A4361,'Master List'!A:C,2,FALSE)))</f>
        <v>Name</v>
      </c>
      <c r="D4361" s="19" t="str">
        <f>IF(ISBLANK(A4361), "Email",IF(ISNA(VLOOKUP(A4361,'Master List'!A:C,3,FALSE)), "Not Found", VLOOKUP(A4361,'Master List'!A:C,3,FALSE)))</f>
        <v>Email</v>
      </c>
      <c r="F4361" s="4" t="str">
        <f>IF(OR(A4361="",E4361="","",A4361="?",E4361="?"),"duplicate?",IF(COUNTIFS($A:A,A4361,E:E,E4361)&gt;1,"yes","no"))</f>
        <v>duplicate?</v>
      </c>
      <c r="K4361" s="97" t="str">
        <f ca="1">IF(J4361="","Date",IF(J4361&lt;&gt;"",IF(K4361="Date",NOW(),K4361),""))</f>
        <v>Date</v>
      </c>
    </row>
    <row r="4362" spans="2:11">
      <c r="B4362" s="97" t="str">
        <f ca="1">IF(A4362="","Date",IF(A4362&lt;&gt;"",IF(B4362="Date",NOW(),B4362),""))</f>
        <v>Date</v>
      </c>
      <c r="C4362" s="19" t="str">
        <f>IF(ISBLANK(A4362),"Name",IF(ISNA(VLOOKUP(A4362,'Master List'!A:C,2,FALSE)), "Not Found", VLOOKUP(A4362,'Master List'!A:C,2,FALSE)))</f>
        <v>Name</v>
      </c>
      <c r="D4362" s="19" t="str">
        <f>IF(ISBLANK(A4362), "Email",IF(ISNA(VLOOKUP(A4362,'Master List'!A:C,3,FALSE)), "Not Found", VLOOKUP(A4362,'Master List'!A:C,3,FALSE)))</f>
        <v>Email</v>
      </c>
      <c r="F4362" s="4" t="str">
        <f>IF(OR(A4362="",E4362="","",A4362="?",E4362="?"),"duplicate?",IF(COUNTIFS($A:A,A4362,E:E,E4362)&gt;1,"yes","no"))</f>
        <v>duplicate?</v>
      </c>
      <c r="K4362" s="97" t="str">
        <f ca="1">IF(J4362="","Date",IF(J4362&lt;&gt;"",IF(K4362="Date",NOW(),K4362),""))</f>
        <v>Date</v>
      </c>
    </row>
    <row r="4363" spans="2:11">
      <c r="B4363" s="97" t="str">
        <f ca="1">IF(A4363="","Date",IF(A4363&lt;&gt;"",IF(B4363="Date",NOW(),B4363),""))</f>
        <v>Date</v>
      </c>
      <c r="C4363" s="19" t="str">
        <f>IF(ISBLANK(A4363),"Name",IF(ISNA(VLOOKUP(A4363,'Master List'!A:C,2,FALSE)), "Not Found", VLOOKUP(A4363,'Master List'!A:C,2,FALSE)))</f>
        <v>Name</v>
      </c>
      <c r="D4363" s="19" t="str">
        <f>IF(ISBLANK(A4363), "Email",IF(ISNA(VLOOKUP(A4363,'Master List'!A:C,3,FALSE)), "Not Found", VLOOKUP(A4363,'Master List'!A:C,3,FALSE)))</f>
        <v>Email</v>
      </c>
      <c r="F4363" s="4" t="str">
        <f>IF(OR(A4363="",E4363="","",A4363="?",E4363="?"),"duplicate?",IF(COUNTIFS($A:A,A4363,E:E,E4363)&gt;1,"yes","no"))</f>
        <v>duplicate?</v>
      </c>
      <c r="K4363" s="97" t="str">
        <f ca="1">IF(J4363="","Date",IF(J4363&lt;&gt;"",IF(K4363="Date",NOW(),K4363),""))</f>
        <v>Date</v>
      </c>
    </row>
    <row r="4364" spans="2:11">
      <c r="B4364" s="97" t="str">
        <f ca="1">IF(A4364="","Date",IF(A4364&lt;&gt;"",IF(B4364="Date",NOW(),B4364),""))</f>
        <v>Date</v>
      </c>
      <c r="C4364" s="19" t="str">
        <f>IF(ISBLANK(A4364),"Name",IF(ISNA(VLOOKUP(A4364,'Master List'!A:C,2,FALSE)), "Not Found", VLOOKUP(A4364,'Master List'!A:C,2,FALSE)))</f>
        <v>Name</v>
      </c>
      <c r="D4364" s="19" t="str">
        <f>IF(ISBLANK(A4364), "Email",IF(ISNA(VLOOKUP(A4364,'Master List'!A:C,3,FALSE)), "Not Found", VLOOKUP(A4364,'Master List'!A:C,3,FALSE)))</f>
        <v>Email</v>
      </c>
      <c r="F4364" s="4" t="str">
        <f>IF(OR(A4364="",E4364="","",A4364="?",E4364="?"),"duplicate?",IF(COUNTIFS($A:A,A4364,E:E,E4364)&gt;1,"yes","no"))</f>
        <v>duplicate?</v>
      </c>
      <c r="K4364" s="97" t="str">
        <f ca="1">IF(J4364="","Date",IF(J4364&lt;&gt;"",IF(K4364="Date",NOW(),K4364),""))</f>
        <v>Date</v>
      </c>
    </row>
    <row r="4365" spans="2:11">
      <c r="B4365" s="97" t="str">
        <f ca="1">IF(A4365="","Date",IF(A4365&lt;&gt;"",IF(B4365="Date",NOW(),B4365),""))</f>
        <v>Date</v>
      </c>
      <c r="C4365" s="19" t="str">
        <f>IF(ISBLANK(A4365),"Name",IF(ISNA(VLOOKUP(A4365,'Master List'!A:C,2,FALSE)), "Not Found", VLOOKUP(A4365,'Master List'!A:C,2,FALSE)))</f>
        <v>Name</v>
      </c>
      <c r="D4365" s="19" t="str">
        <f>IF(ISBLANK(A4365), "Email",IF(ISNA(VLOOKUP(A4365,'Master List'!A:C,3,FALSE)), "Not Found", VLOOKUP(A4365,'Master List'!A:C,3,FALSE)))</f>
        <v>Email</v>
      </c>
      <c r="F4365" s="4" t="str">
        <f>IF(OR(A4365="",E4365="","",A4365="?",E4365="?"),"duplicate?",IF(COUNTIFS($A:A,A4365,E:E,E4365)&gt;1,"yes","no"))</f>
        <v>duplicate?</v>
      </c>
      <c r="K4365" s="97" t="str">
        <f ca="1">IF(J4365="","Date",IF(J4365&lt;&gt;"",IF(K4365="Date",NOW(),K4365),""))</f>
        <v>Date</v>
      </c>
    </row>
    <row r="4366" spans="2:11">
      <c r="B4366" s="97" t="str">
        <f ca="1">IF(A4366="","Date",IF(A4366&lt;&gt;"",IF(B4366="Date",NOW(),B4366),""))</f>
        <v>Date</v>
      </c>
      <c r="C4366" s="19" t="str">
        <f>IF(ISBLANK(A4366),"Name",IF(ISNA(VLOOKUP(A4366,'Master List'!A:C,2,FALSE)), "Not Found", VLOOKUP(A4366,'Master List'!A:C,2,FALSE)))</f>
        <v>Name</v>
      </c>
      <c r="D4366" s="19" t="str">
        <f>IF(ISBLANK(A4366), "Email",IF(ISNA(VLOOKUP(A4366,'Master List'!A:C,3,FALSE)), "Not Found", VLOOKUP(A4366,'Master List'!A:C,3,FALSE)))</f>
        <v>Email</v>
      </c>
      <c r="F4366" s="4" t="str">
        <f>IF(OR(A4366="",E4366="","",A4366="?",E4366="?"),"duplicate?",IF(COUNTIFS($A:A,A4366,E:E,E4366)&gt;1,"yes","no"))</f>
        <v>duplicate?</v>
      </c>
      <c r="K4366" s="97" t="str">
        <f ca="1">IF(J4366="","Date",IF(J4366&lt;&gt;"",IF(K4366="Date",NOW(),K4366),""))</f>
        <v>Date</v>
      </c>
    </row>
    <row r="4367" spans="2:11">
      <c r="B4367" s="97" t="str">
        <f ca="1">IF(A4367="","Date",IF(A4367&lt;&gt;"",IF(B4367="Date",NOW(),B4367),""))</f>
        <v>Date</v>
      </c>
      <c r="C4367" s="19" t="str">
        <f>IF(ISBLANK(A4367),"Name",IF(ISNA(VLOOKUP(A4367,'Master List'!A:C,2,FALSE)), "Not Found", VLOOKUP(A4367,'Master List'!A:C,2,FALSE)))</f>
        <v>Name</v>
      </c>
      <c r="D4367" s="19" t="str">
        <f>IF(ISBLANK(A4367), "Email",IF(ISNA(VLOOKUP(A4367,'Master List'!A:C,3,FALSE)), "Not Found", VLOOKUP(A4367,'Master List'!A:C,3,FALSE)))</f>
        <v>Email</v>
      </c>
      <c r="F4367" s="4" t="str">
        <f>IF(OR(A4367="",E4367="","",A4367="?",E4367="?"),"duplicate?",IF(COUNTIFS($A:A,A4367,E:E,E4367)&gt;1,"yes","no"))</f>
        <v>duplicate?</v>
      </c>
      <c r="K4367" s="97" t="str">
        <f ca="1">IF(J4367="","Date",IF(J4367&lt;&gt;"",IF(K4367="Date",NOW(),K4367),""))</f>
        <v>Date</v>
      </c>
    </row>
    <row r="4368" spans="2:11">
      <c r="B4368" s="97" t="str">
        <f ca="1">IF(A4368="","Date",IF(A4368&lt;&gt;"",IF(B4368="Date",NOW(),B4368),""))</f>
        <v>Date</v>
      </c>
      <c r="C4368" s="19" t="str">
        <f>IF(ISBLANK(A4368),"Name",IF(ISNA(VLOOKUP(A4368,'Master List'!A:C,2,FALSE)), "Not Found", VLOOKUP(A4368,'Master List'!A:C,2,FALSE)))</f>
        <v>Name</v>
      </c>
      <c r="D4368" s="19" t="str">
        <f>IF(ISBLANK(A4368), "Email",IF(ISNA(VLOOKUP(A4368,'Master List'!A:C,3,FALSE)), "Not Found", VLOOKUP(A4368,'Master List'!A:C,3,FALSE)))</f>
        <v>Email</v>
      </c>
      <c r="F4368" s="4" t="str">
        <f>IF(OR(A4368="",E4368="","",A4368="?",E4368="?"),"duplicate?",IF(COUNTIFS($A:A,A4368,E:E,E4368)&gt;1,"yes","no"))</f>
        <v>duplicate?</v>
      </c>
      <c r="K4368" s="97" t="str">
        <f ca="1">IF(J4368="","Date",IF(J4368&lt;&gt;"",IF(K4368="Date",NOW(),K4368),""))</f>
        <v>Date</v>
      </c>
    </row>
    <row r="4369" spans="2:11">
      <c r="B4369" s="97" t="str">
        <f ca="1">IF(A4369="","Date",IF(A4369&lt;&gt;"",IF(B4369="Date",NOW(),B4369),""))</f>
        <v>Date</v>
      </c>
      <c r="C4369" s="19" t="str">
        <f>IF(ISBLANK(A4369),"Name",IF(ISNA(VLOOKUP(A4369,'Master List'!A:C,2,FALSE)), "Not Found", VLOOKUP(A4369,'Master List'!A:C,2,FALSE)))</f>
        <v>Name</v>
      </c>
      <c r="D4369" s="19" t="str">
        <f>IF(ISBLANK(A4369), "Email",IF(ISNA(VLOOKUP(A4369,'Master List'!A:C,3,FALSE)), "Not Found", VLOOKUP(A4369,'Master List'!A:C,3,FALSE)))</f>
        <v>Email</v>
      </c>
      <c r="F4369" s="4" t="str">
        <f>IF(OR(A4369="",E4369="","",A4369="?",E4369="?"),"duplicate?",IF(COUNTIFS($A:A,A4369,E:E,E4369)&gt;1,"yes","no"))</f>
        <v>duplicate?</v>
      </c>
      <c r="K4369" s="97" t="str">
        <f ca="1">IF(J4369="","Date",IF(J4369&lt;&gt;"",IF(K4369="Date",NOW(),K4369),""))</f>
        <v>Date</v>
      </c>
    </row>
    <row r="4370" spans="2:11">
      <c r="B4370" s="97" t="str">
        <f ca="1">IF(A4370="","Date",IF(A4370&lt;&gt;"",IF(B4370="Date",NOW(),B4370),""))</f>
        <v>Date</v>
      </c>
      <c r="C4370" s="19" t="str">
        <f>IF(ISBLANK(A4370),"Name",IF(ISNA(VLOOKUP(A4370,'Master List'!A:C,2,FALSE)), "Not Found", VLOOKUP(A4370,'Master List'!A:C,2,FALSE)))</f>
        <v>Name</v>
      </c>
      <c r="D4370" s="19" t="str">
        <f>IF(ISBLANK(A4370), "Email",IF(ISNA(VLOOKUP(A4370,'Master List'!A:C,3,FALSE)), "Not Found", VLOOKUP(A4370,'Master List'!A:C,3,FALSE)))</f>
        <v>Email</v>
      </c>
      <c r="F4370" s="4" t="str">
        <f>IF(OR(A4370="",E4370="","",A4370="?",E4370="?"),"duplicate?",IF(COUNTIFS($A:A,A4370,E:E,E4370)&gt;1,"yes","no"))</f>
        <v>duplicate?</v>
      </c>
      <c r="K4370" s="97" t="str">
        <f ca="1">IF(J4370="","Date",IF(J4370&lt;&gt;"",IF(K4370="Date",NOW(),K4370),""))</f>
        <v>Date</v>
      </c>
    </row>
    <row r="4371" spans="2:11">
      <c r="B4371" s="97" t="str">
        <f ca="1">IF(A4371="","Date",IF(A4371&lt;&gt;"",IF(B4371="Date",NOW(),B4371),""))</f>
        <v>Date</v>
      </c>
      <c r="C4371" s="19" t="str">
        <f>IF(ISBLANK(A4371),"Name",IF(ISNA(VLOOKUP(A4371,'Master List'!A:C,2,FALSE)), "Not Found", VLOOKUP(A4371,'Master List'!A:C,2,FALSE)))</f>
        <v>Name</v>
      </c>
      <c r="D4371" s="19" t="str">
        <f>IF(ISBLANK(A4371), "Email",IF(ISNA(VLOOKUP(A4371,'Master List'!A:C,3,FALSE)), "Not Found", VLOOKUP(A4371,'Master List'!A:C,3,FALSE)))</f>
        <v>Email</v>
      </c>
      <c r="F4371" s="4" t="str">
        <f>IF(OR(A4371="",E4371="","",A4371="?",E4371="?"),"duplicate?",IF(COUNTIFS($A:A,A4371,E:E,E4371)&gt;1,"yes","no"))</f>
        <v>duplicate?</v>
      </c>
      <c r="K4371" s="97" t="str">
        <f ca="1">IF(J4371="","Date",IF(J4371&lt;&gt;"",IF(K4371="Date",NOW(),K4371),""))</f>
        <v>Date</v>
      </c>
    </row>
    <row r="4372" spans="2:11">
      <c r="B4372" s="97" t="str">
        <f ca="1">IF(A4372="","Date",IF(A4372&lt;&gt;"",IF(B4372="Date",NOW(),B4372),""))</f>
        <v>Date</v>
      </c>
      <c r="C4372" s="19" t="str">
        <f>IF(ISBLANK(A4372),"Name",IF(ISNA(VLOOKUP(A4372,'Master List'!A:C,2,FALSE)), "Not Found", VLOOKUP(A4372,'Master List'!A:C,2,FALSE)))</f>
        <v>Name</v>
      </c>
      <c r="D4372" s="19" t="str">
        <f>IF(ISBLANK(A4372), "Email",IF(ISNA(VLOOKUP(A4372,'Master List'!A:C,3,FALSE)), "Not Found", VLOOKUP(A4372,'Master List'!A:C,3,FALSE)))</f>
        <v>Email</v>
      </c>
      <c r="F4372" s="4" t="str">
        <f>IF(OR(A4372="",E4372="","",A4372="?",E4372="?"),"duplicate?",IF(COUNTIFS($A:A,A4372,E:E,E4372)&gt;1,"yes","no"))</f>
        <v>duplicate?</v>
      </c>
      <c r="K4372" s="97" t="str">
        <f ca="1">IF(J4372="","Date",IF(J4372&lt;&gt;"",IF(K4372="Date",NOW(),K4372),""))</f>
        <v>Date</v>
      </c>
    </row>
    <row r="4373" spans="2:11">
      <c r="B4373" s="97" t="str">
        <f ca="1">IF(A4373="","Date",IF(A4373&lt;&gt;"",IF(B4373="Date",NOW(),B4373),""))</f>
        <v>Date</v>
      </c>
      <c r="C4373" s="19" t="str">
        <f>IF(ISBLANK(A4373),"Name",IF(ISNA(VLOOKUP(A4373,'Master List'!A:C,2,FALSE)), "Not Found", VLOOKUP(A4373,'Master List'!A:C,2,FALSE)))</f>
        <v>Name</v>
      </c>
      <c r="D4373" s="19" t="str">
        <f>IF(ISBLANK(A4373), "Email",IF(ISNA(VLOOKUP(A4373,'Master List'!A:C,3,FALSE)), "Not Found", VLOOKUP(A4373,'Master List'!A:C,3,FALSE)))</f>
        <v>Email</v>
      </c>
      <c r="F4373" s="4" t="str">
        <f>IF(OR(A4373="",E4373="","",A4373="?",E4373="?"),"duplicate?",IF(COUNTIFS($A:A,A4373,E:E,E4373)&gt;1,"yes","no"))</f>
        <v>duplicate?</v>
      </c>
      <c r="K4373" s="97" t="str">
        <f ca="1">IF(J4373="","Date",IF(J4373&lt;&gt;"",IF(K4373="Date",NOW(),K4373),""))</f>
        <v>Date</v>
      </c>
    </row>
    <row r="4374" spans="2:11">
      <c r="B4374" s="97" t="str">
        <f ca="1">IF(A4374="","Date",IF(A4374&lt;&gt;"",IF(B4374="Date",NOW(),B4374),""))</f>
        <v>Date</v>
      </c>
      <c r="C4374" s="19" t="str">
        <f>IF(ISBLANK(A4374),"Name",IF(ISNA(VLOOKUP(A4374,'Master List'!A:C,2,FALSE)), "Not Found", VLOOKUP(A4374,'Master List'!A:C,2,FALSE)))</f>
        <v>Name</v>
      </c>
      <c r="D4374" s="19" t="str">
        <f>IF(ISBLANK(A4374), "Email",IF(ISNA(VLOOKUP(A4374,'Master List'!A:C,3,FALSE)), "Not Found", VLOOKUP(A4374,'Master List'!A:C,3,FALSE)))</f>
        <v>Email</v>
      </c>
      <c r="F4374" s="4" t="str">
        <f>IF(OR(A4374="",E4374="","",A4374="?",E4374="?"),"duplicate?",IF(COUNTIFS($A:A,A4374,E:E,E4374)&gt;1,"yes","no"))</f>
        <v>duplicate?</v>
      </c>
      <c r="K4374" s="97" t="str">
        <f ca="1">IF(J4374="","Date",IF(J4374&lt;&gt;"",IF(K4374="Date",NOW(),K4374),""))</f>
        <v>Date</v>
      </c>
    </row>
    <row r="4375" spans="2:11">
      <c r="B4375" s="97" t="str">
        <f ca="1">IF(A4375="","Date",IF(A4375&lt;&gt;"",IF(B4375="Date",NOW(),B4375),""))</f>
        <v>Date</v>
      </c>
      <c r="C4375" s="19" t="str">
        <f>IF(ISBLANK(A4375),"Name",IF(ISNA(VLOOKUP(A4375,'Master List'!A:C,2,FALSE)), "Not Found", VLOOKUP(A4375,'Master List'!A:C,2,FALSE)))</f>
        <v>Name</v>
      </c>
      <c r="D4375" s="19" t="str">
        <f>IF(ISBLANK(A4375), "Email",IF(ISNA(VLOOKUP(A4375,'Master List'!A:C,3,FALSE)), "Not Found", VLOOKUP(A4375,'Master List'!A:C,3,FALSE)))</f>
        <v>Email</v>
      </c>
      <c r="F4375" s="4" t="str">
        <f>IF(OR(A4375="",E4375="","",A4375="?",E4375="?"),"duplicate?",IF(COUNTIFS($A:A,A4375,E:E,E4375)&gt;1,"yes","no"))</f>
        <v>duplicate?</v>
      </c>
      <c r="K4375" s="97" t="str">
        <f ca="1">IF(J4375="","Date",IF(J4375&lt;&gt;"",IF(K4375="Date",NOW(),K4375),""))</f>
        <v>Date</v>
      </c>
    </row>
    <row r="4376" spans="2:11">
      <c r="B4376" s="97" t="str">
        <f ca="1">IF(A4376="","Date",IF(A4376&lt;&gt;"",IF(B4376="Date",NOW(),B4376),""))</f>
        <v>Date</v>
      </c>
      <c r="C4376" s="19" t="str">
        <f>IF(ISBLANK(A4376),"Name",IF(ISNA(VLOOKUP(A4376,'Master List'!A:C,2,FALSE)), "Not Found", VLOOKUP(A4376,'Master List'!A:C,2,FALSE)))</f>
        <v>Name</v>
      </c>
      <c r="D4376" s="19" t="str">
        <f>IF(ISBLANK(A4376), "Email",IF(ISNA(VLOOKUP(A4376,'Master List'!A:C,3,FALSE)), "Not Found", VLOOKUP(A4376,'Master List'!A:C,3,FALSE)))</f>
        <v>Email</v>
      </c>
      <c r="F4376" s="4" t="str">
        <f>IF(OR(A4376="",E4376="","",A4376="?",E4376="?"),"duplicate?",IF(COUNTIFS($A:A,A4376,E:E,E4376)&gt;1,"yes","no"))</f>
        <v>duplicate?</v>
      </c>
      <c r="K4376" s="97" t="str">
        <f ca="1">IF(J4376="","Date",IF(J4376&lt;&gt;"",IF(K4376="Date",NOW(),K4376),""))</f>
        <v>Date</v>
      </c>
    </row>
    <row r="4377" spans="2:11">
      <c r="B4377" s="97" t="str">
        <f ca="1">IF(A4377="","Date",IF(A4377&lt;&gt;"",IF(B4377="Date",NOW(),B4377),""))</f>
        <v>Date</v>
      </c>
      <c r="C4377" s="19" t="str">
        <f>IF(ISBLANK(A4377),"Name",IF(ISNA(VLOOKUP(A4377,'Master List'!A:C,2,FALSE)), "Not Found", VLOOKUP(A4377,'Master List'!A:C,2,FALSE)))</f>
        <v>Name</v>
      </c>
      <c r="D4377" s="19" t="str">
        <f>IF(ISBLANK(A4377), "Email",IF(ISNA(VLOOKUP(A4377,'Master List'!A:C,3,FALSE)), "Not Found", VLOOKUP(A4377,'Master List'!A:C,3,FALSE)))</f>
        <v>Email</v>
      </c>
      <c r="F4377" s="4" t="str">
        <f>IF(OR(A4377="",E4377="","",A4377="?",E4377="?"),"duplicate?",IF(COUNTIFS($A:A,A4377,E:E,E4377)&gt;1,"yes","no"))</f>
        <v>duplicate?</v>
      </c>
      <c r="K4377" s="97" t="str">
        <f ca="1">IF(J4377="","Date",IF(J4377&lt;&gt;"",IF(K4377="Date",NOW(),K4377),""))</f>
        <v>Date</v>
      </c>
    </row>
    <row r="4378" spans="2:11">
      <c r="B4378" s="97" t="str">
        <f ca="1">IF(A4378="","Date",IF(A4378&lt;&gt;"",IF(B4378="Date",NOW(),B4378),""))</f>
        <v>Date</v>
      </c>
      <c r="C4378" s="19" t="str">
        <f>IF(ISBLANK(A4378),"Name",IF(ISNA(VLOOKUP(A4378,'Master List'!A:C,2,FALSE)), "Not Found", VLOOKUP(A4378,'Master List'!A:C,2,FALSE)))</f>
        <v>Name</v>
      </c>
      <c r="D4378" s="19" t="str">
        <f>IF(ISBLANK(A4378), "Email",IF(ISNA(VLOOKUP(A4378,'Master List'!A:C,3,FALSE)), "Not Found", VLOOKUP(A4378,'Master List'!A:C,3,FALSE)))</f>
        <v>Email</v>
      </c>
      <c r="F4378" s="4" t="str">
        <f>IF(OR(A4378="",E4378="","",A4378="?",E4378="?"),"duplicate?",IF(COUNTIFS($A:A,A4378,E:E,E4378)&gt;1,"yes","no"))</f>
        <v>duplicate?</v>
      </c>
      <c r="K4378" s="97" t="str">
        <f ca="1">IF(J4378="","Date",IF(J4378&lt;&gt;"",IF(K4378="Date",NOW(),K4378),""))</f>
        <v>Date</v>
      </c>
    </row>
    <row r="4379" spans="2:11">
      <c r="B4379" s="97" t="str">
        <f ca="1">IF(A4379="","Date",IF(A4379&lt;&gt;"",IF(B4379="Date",NOW(),B4379),""))</f>
        <v>Date</v>
      </c>
      <c r="C4379" s="19" t="str">
        <f>IF(ISBLANK(A4379),"Name",IF(ISNA(VLOOKUP(A4379,'Master List'!A:C,2,FALSE)), "Not Found", VLOOKUP(A4379,'Master List'!A:C,2,FALSE)))</f>
        <v>Name</v>
      </c>
      <c r="D4379" s="19" t="str">
        <f>IF(ISBLANK(A4379), "Email",IF(ISNA(VLOOKUP(A4379,'Master List'!A:C,3,FALSE)), "Not Found", VLOOKUP(A4379,'Master List'!A:C,3,FALSE)))</f>
        <v>Email</v>
      </c>
      <c r="F4379" s="4" t="str">
        <f>IF(OR(A4379="",E4379="","",A4379="?",E4379="?"),"duplicate?",IF(COUNTIFS($A:A,A4379,E:E,E4379)&gt;1,"yes","no"))</f>
        <v>duplicate?</v>
      </c>
      <c r="K4379" s="97" t="str">
        <f ca="1">IF(J4379="","Date",IF(J4379&lt;&gt;"",IF(K4379="Date",NOW(),K4379),""))</f>
        <v>Date</v>
      </c>
    </row>
    <row r="4380" spans="2:11">
      <c r="B4380" s="97" t="str">
        <f ca="1">IF(A4380="","Date",IF(A4380&lt;&gt;"",IF(B4380="Date",NOW(),B4380),""))</f>
        <v>Date</v>
      </c>
      <c r="C4380" s="19" t="str">
        <f>IF(ISBLANK(A4380),"Name",IF(ISNA(VLOOKUP(A4380,'Master List'!A:C,2,FALSE)), "Not Found", VLOOKUP(A4380,'Master List'!A:C,2,FALSE)))</f>
        <v>Name</v>
      </c>
      <c r="D4380" s="19" t="str">
        <f>IF(ISBLANK(A4380), "Email",IF(ISNA(VLOOKUP(A4380,'Master List'!A:C,3,FALSE)), "Not Found", VLOOKUP(A4380,'Master List'!A:C,3,FALSE)))</f>
        <v>Email</v>
      </c>
      <c r="F4380" s="4" t="str">
        <f>IF(OR(A4380="",E4380="","",A4380="?",E4380="?"),"duplicate?",IF(COUNTIFS($A:A,A4380,E:E,E4380)&gt;1,"yes","no"))</f>
        <v>duplicate?</v>
      </c>
      <c r="K4380" s="97" t="str">
        <f ca="1">IF(J4380="","Date",IF(J4380&lt;&gt;"",IF(K4380="Date",NOW(),K4380),""))</f>
        <v>Date</v>
      </c>
    </row>
    <row r="4381" spans="2:11">
      <c r="B4381" s="97" t="str">
        <f ca="1">IF(A4381="","Date",IF(A4381&lt;&gt;"",IF(B4381="Date",NOW(),B4381),""))</f>
        <v>Date</v>
      </c>
      <c r="C4381" s="19" t="str">
        <f>IF(ISBLANK(A4381),"Name",IF(ISNA(VLOOKUP(A4381,'Master List'!A:C,2,FALSE)), "Not Found", VLOOKUP(A4381,'Master List'!A:C,2,FALSE)))</f>
        <v>Name</v>
      </c>
      <c r="D4381" s="19" t="str">
        <f>IF(ISBLANK(A4381), "Email",IF(ISNA(VLOOKUP(A4381,'Master List'!A:C,3,FALSE)), "Not Found", VLOOKUP(A4381,'Master List'!A:C,3,FALSE)))</f>
        <v>Email</v>
      </c>
      <c r="F4381" s="4" t="str">
        <f>IF(OR(A4381="",E4381="","",A4381="?",E4381="?"),"duplicate?",IF(COUNTIFS($A:A,A4381,E:E,E4381)&gt;1,"yes","no"))</f>
        <v>duplicate?</v>
      </c>
      <c r="K4381" s="97" t="str">
        <f ca="1">IF(J4381="","Date",IF(J4381&lt;&gt;"",IF(K4381="Date",NOW(),K4381),""))</f>
        <v>Date</v>
      </c>
    </row>
    <row r="4382" spans="2:11">
      <c r="B4382" s="97" t="str">
        <f ca="1">IF(A4382="","Date",IF(A4382&lt;&gt;"",IF(B4382="Date",NOW(),B4382),""))</f>
        <v>Date</v>
      </c>
      <c r="C4382" s="19" t="str">
        <f>IF(ISBLANK(A4382),"Name",IF(ISNA(VLOOKUP(A4382,'Master List'!A:C,2,FALSE)), "Not Found", VLOOKUP(A4382,'Master List'!A:C,2,FALSE)))</f>
        <v>Name</v>
      </c>
      <c r="D4382" s="19" t="str">
        <f>IF(ISBLANK(A4382), "Email",IF(ISNA(VLOOKUP(A4382,'Master List'!A:C,3,FALSE)), "Not Found", VLOOKUP(A4382,'Master List'!A:C,3,FALSE)))</f>
        <v>Email</v>
      </c>
      <c r="F4382" s="4" t="str">
        <f>IF(OR(A4382="",E4382="","",A4382="?",E4382="?"),"duplicate?",IF(COUNTIFS($A:A,A4382,E:E,E4382)&gt;1,"yes","no"))</f>
        <v>duplicate?</v>
      </c>
      <c r="K4382" s="97" t="str">
        <f ca="1">IF(J4382="","Date",IF(J4382&lt;&gt;"",IF(K4382="Date",NOW(),K4382),""))</f>
        <v>Date</v>
      </c>
    </row>
    <row r="4383" spans="2:11">
      <c r="B4383" s="97" t="str">
        <f ca="1">IF(A4383="","Date",IF(A4383&lt;&gt;"",IF(B4383="Date",NOW(),B4383),""))</f>
        <v>Date</v>
      </c>
      <c r="C4383" s="19" t="str">
        <f>IF(ISBLANK(A4383),"Name",IF(ISNA(VLOOKUP(A4383,'Master List'!A:C,2,FALSE)), "Not Found", VLOOKUP(A4383,'Master List'!A:C,2,FALSE)))</f>
        <v>Name</v>
      </c>
      <c r="D4383" s="19" t="str">
        <f>IF(ISBLANK(A4383), "Email",IF(ISNA(VLOOKUP(A4383,'Master List'!A:C,3,FALSE)), "Not Found", VLOOKUP(A4383,'Master List'!A:C,3,FALSE)))</f>
        <v>Email</v>
      </c>
      <c r="F4383" s="4" t="str">
        <f>IF(OR(A4383="",E4383="","",A4383="?",E4383="?"),"duplicate?",IF(COUNTIFS($A:A,A4383,E:E,E4383)&gt;1,"yes","no"))</f>
        <v>duplicate?</v>
      </c>
      <c r="K4383" s="97" t="str">
        <f ca="1">IF(J4383="","Date",IF(J4383&lt;&gt;"",IF(K4383="Date",NOW(),K4383),""))</f>
        <v>Date</v>
      </c>
    </row>
    <row r="4384" spans="2:11">
      <c r="B4384" s="97" t="str">
        <f ca="1">IF(A4384="","Date",IF(A4384&lt;&gt;"",IF(B4384="Date",NOW(),B4384),""))</f>
        <v>Date</v>
      </c>
      <c r="C4384" s="19" t="str">
        <f>IF(ISBLANK(A4384),"Name",IF(ISNA(VLOOKUP(A4384,'Master List'!A:C,2,FALSE)), "Not Found", VLOOKUP(A4384,'Master List'!A:C,2,FALSE)))</f>
        <v>Name</v>
      </c>
      <c r="D4384" s="19" t="str">
        <f>IF(ISBLANK(A4384), "Email",IF(ISNA(VLOOKUP(A4384,'Master List'!A:C,3,FALSE)), "Not Found", VLOOKUP(A4384,'Master List'!A:C,3,FALSE)))</f>
        <v>Email</v>
      </c>
      <c r="F4384" s="4" t="str">
        <f>IF(OR(A4384="",E4384="","",A4384="?",E4384="?"),"duplicate?",IF(COUNTIFS($A:A,A4384,E:E,E4384)&gt;1,"yes","no"))</f>
        <v>duplicate?</v>
      </c>
      <c r="K4384" s="97" t="str">
        <f ca="1">IF(J4384="","Date",IF(J4384&lt;&gt;"",IF(K4384="Date",NOW(),K4384),""))</f>
        <v>Date</v>
      </c>
    </row>
    <row r="4385" spans="2:11">
      <c r="B4385" s="97" t="str">
        <f ca="1">IF(A4385="","Date",IF(A4385&lt;&gt;"",IF(B4385="Date",NOW(),B4385),""))</f>
        <v>Date</v>
      </c>
      <c r="C4385" s="19" t="str">
        <f>IF(ISBLANK(A4385),"Name",IF(ISNA(VLOOKUP(A4385,'Master List'!A:C,2,FALSE)), "Not Found", VLOOKUP(A4385,'Master List'!A:C,2,FALSE)))</f>
        <v>Name</v>
      </c>
      <c r="D4385" s="19" t="str">
        <f>IF(ISBLANK(A4385), "Email",IF(ISNA(VLOOKUP(A4385,'Master List'!A:C,3,FALSE)), "Not Found", VLOOKUP(A4385,'Master List'!A:C,3,FALSE)))</f>
        <v>Email</v>
      </c>
      <c r="F4385" s="4" t="str">
        <f>IF(OR(A4385="",E4385="","",A4385="?",E4385="?"),"duplicate?",IF(COUNTIFS($A:A,A4385,E:E,E4385)&gt;1,"yes","no"))</f>
        <v>duplicate?</v>
      </c>
      <c r="K4385" s="97" t="str">
        <f ca="1">IF(J4385="","Date",IF(J4385&lt;&gt;"",IF(K4385="Date",NOW(),K4385),""))</f>
        <v>Date</v>
      </c>
    </row>
    <row r="4386" spans="2:11">
      <c r="B4386" s="97" t="str">
        <f ca="1">IF(A4386="","Date",IF(A4386&lt;&gt;"",IF(B4386="Date",NOW(),B4386),""))</f>
        <v>Date</v>
      </c>
      <c r="C4386" s="19" t="str">
        <f>IF(ISBLANK(A4386),"Name",IF(ISNA(VLOOKUP(A4386,'Master List'!A:C,2,FALSE)), "Not Found", VLOOKUP(A4386,'Master List'!A:C,2,FALSE)))</f>
        <v>Name</v>
      </c>
      <c r="D4386" s="19" t="str">
        <f>IF(ISBLANK(A4386), "Email",IF(ISNA(VLOOKUP(A4386,'Master List'!A:C,3,FALSE)), "Not Found", VLOOKUP(A4386,'Master List'!A:C,3,FALSE)))</f>
        <v>Email</v>
      </c>
      <c r="F4386" s="4" t="str">
        <f>IF(OR(A4386="",E4386="","",A4386="?",E4386="?"),"duplicate?",IF(COUNTIFS($A:A,A4386,E:E,E4386)&gt;1,"yes","no"))</f>
        <v>duplicate?</v>
      </c>
      <c r="K4386" s="97" t="str">
        <f ca="1">IF(J4386="","Date",IF(J4386&lt;&gt;"",IF(K4386="Date",NOW(),K4386),""))</f>
        <v>Date</v>
      </c>
    </row>
    <row r="4387" spans="2:11">
      <c r="B4387" s="97" t="str">
        <f ca="1">IF(A4387="","Date",IF(A4387&lt;&gt;"",IF(B4387="Date",NOW(),B4387),""))</f>
        <v>Date</v>
      </c>
      <c r="C4387" s="19" t="str">
        <f>IF(ISBLANK(A4387),"Name",IF(ISNA(VLOOKUP(A4387,'Master List'!A:C,2,FALSE)), "Not Found", VLOOKUP(A4387,'Master List'!A:C,2,FALSE)))</f>
        <v>Name</v>
      </c>
      <c r="D4387" s="19" t="str">
        <f>IF(ISBLANK(A4387), "Email",IF(ISNA(VLOOKUP(A4387,'Master List'!A:C,3,FALSE)), "Not Found", VLOOKUP(A4387,'Master List'!A:C,3,FALSE)))</f>
        <v>Email</v>
      </c>
      <c r="F4387" s="4" t="str">
        <f>IF(OR(A4387="",E4387="","",A4387="?",E4387="?"),"duplicate?",IF(COUNTIFS($A:A,A4387,E:E,E4387)&gt;1,"yes","no"))</f>
        <v>duplicate?</v>
      </c>
      <c r="K4387" s="97" t="str">
        <f ca="1">IF(J4387="","Date",IF(J4387&lt;&gt;"",IF(K4387="Date",NOW(),K4387),""))</f>
        <v>Date</v>
      </c>
    </row>
    <row r="4388" spans="2:11">
      <c r="B4388" s="97" t="str">
        <f ca="1">IF(A4388="","Date",IF(A4388&lt;&gt;"",IF(B4388="Date",NOW(),B4388),""))</f>
        <v>Date</v>
      </c>
      <c r="C4388" s="19" t="str">
        <f>IF(ISBLANK(A4388),"Name",IF(ISNA(VLOOKUP(A4388,'Master List'!A:C,2,FALSE)), "Not Found", VLOOKUP(A4388,'Master List'!A:C,2,FALSE)))</f>
        <v>Name</v>
      </c>
      <c r="D4388" s="19" t="str">
        <f>IF(ISBLANK(A4388), "Email",IF(ISNA(VLOOKUP(A4388,'Master List'!A:C,3,FALSE)), "Not Found", VLOOKUP(A4388,'Master List'!A:C,3,FALSE)))</f>
        <v>Email</v>
      </c>
      <c r="F4388" s="4" t="str">
        <f>IF(OR(A4388="",E4388="","",A4388="?",E4388="?"),"duplicate?",IF(COUNTIFS($A:A,A4388,E:E,E4388)&gt;1,"yes","no"))</f>
        <v>duplicate?</v>
      </c>
      <c r="K4388" s="97" t="str">
        <f ca="1">IF(J4388="","Date",IF(J4388&lt;&gt;"",IF(K4388="Date",NOW(),K4388),""))</f>
        <v>Date</v>
      </c>
    </row>
    <row r="4389" spans="2:11">
      <c r="B4389" s="97" t="str">
        <f ca="1">IF(A4389="","Date",IF(A4389&lt;&gt;"",IF(B4389="Date",NOW(),B4389),""))</f>
        <v>Date</v>
      </c>
      <c r="C4389" s="19" t="str">
        <f>IF(ISBLANK(A4389),"Name",IF(ISNA(VLOOKUP(A4389,'Master List'!A:C,2,FALSE)), "Not Found", VLOOKUP(A4389,'Master List'!A:C,2,FALSE)))</f>
        <v>Name</v>
      </c>
      <c r="D4389" s="19" t="str">
        <f>IF(ISBLANK(A4389), "Email",IF(ISNA(VLOOKUP(A4389,'Master List'!A:C,3,FALSE)), "Not Found", VLOOKUP(A4389,'Master List'!A:C,3,FALSE)))</f>
        <v>Email</v>
      </c>
      <c r="F4389" s="4" t="str">
        <f>IF(OR(A4389="",E4389="","",A4389="?",E4389="?"),"duplicate?",IF(COUNTIFS($A:A,A4389,E:E,E4389)&gt;1,"yes","no"))</f>
        <v>duplicate?</v>
      </c>
      <c r="K4389" s="97" t="str">
        <f ca="1">IF(J4389="","Date",IF(J4389&lt;&gt;"",IF(K4389="Date",NOW(),K4389),""))</f>
        <v>Date</v>
      </c>
    </row>
    <row r="4390" spans="2:11">
      <c r="B4390" s="97" t="str">
        <f ca="1">IF(A4390="","Date",IF(A4390&lt;&gt;"",IF(B4390="Date",NOW(),B4390),""))</f>
        <v>Date</v>
      </c>
      <c r="C4390" s="19" t="str">
        <f>IF(ISBLANK(A4390),"Name",IF(ISNA(VLOOKUP(A4390,'Master List'!A:C,2,FALSE)), "Not Found", VLOOKUP(A4390,'Master List'!A:C,2,FALSE)))</f>
        <v>Name</v>
      </c>
      <c r="D4390" s="19" t="str">
        <f>IF(ISBLANK(A4390), "Email",IF(ISNA(VLOOKUP(A4390,'Master List'!A:C,3,FALSE)), "Not Found", VLOOKUP(A4390,'Master List'!A:C,3,FALSE)))</f>
        <v>Email</v>
      </c>
      <c r="F4390" s="4" t="str">
        <f>IF(OR(A4390="",E4390="","",A4390="?",E4390="?"),"duplicate?",IF(COUNTIFS($A:A,A4390,E:E,E4390)&gt;1,"yes","no"))</f>
        <v>duplicate?</v>
      </c>
      <c r="K4390" s="97" t="str">
        <f ca="1">IF(J4390="","Date",IF(J4390&lt;&gt;"",IF(K4390="Date",NOW(),K4390),""))</f>
        <v>Date</v>
      </c>
    </row>
    <row r="4391" spans="2:11">
      <c r="B4391" s="97" t="str">
        <f ca="1">IF(A4391="","Date",IF(A4391&lt;&gt;"",IF(B4391="Date",NOW(),B4391),""))</f>
        <v>Date</v>
      </c>
      <c r="C4391" s="19" t="str">
        <f>IF(ISBLANK(A4391),"Name",IF(ISNA(VLOOKUP(A4391,'Master List'!A:C,2,FALSE)), "Not Found", VLOOKUP(A4391,'Master List'!A:C,2,FALSE)))</f>
        <v>Name</v>
      </c>
      <c r="D4391" s="19" t="str">
        <f>IF(ISBLANK(A4391), "Email",IF(ISNA(VLOOKUP(A4391,'Master List'!A:C,3,FALSE)), "Not Found", VLOOKUP(A4391,'Master List'!A:C,3,FALSE)))</f>
        <v>Email</v>
      </c>
      <c r="F4391" s="4" t="str">
        <f>IF(OR(A4391="",E4391="","",A4391="?",E4391="?"),"duplicate?",IF(COUNTIFS($A:A,A4391,E:E,E4391)&gt;1,"yes","no"))</f>
        <v>duplicate?</v>
      </c>
      <c r="K4391" s="97" t="str">
        <f ca="1">IF(J4391="","Date",IF(J4391&lt;&gt;"",IF(K4391="Date",NOW(),K4391),""))</f>
        <v>Date</v>
      </c>
    </row>
    <row r="4392" spans="2:11">
      <c r="B4392" s="97" t="str">
        <f ca="1">IF(A4392="","Date",IF(A4392&lt;&gt;"",IF(B4392="Date",NOW(),B4392),""))</f>
        <v>Date</v>
      </c>
      <c r="C4392" s="19" t="str">
        <f>IF(ISBLANK(A4392),"Name",IF(ISNA(VLOOKUP(A4392,'Master List'!A:C,2,FALSE)), "Not Found", VLOOKUP(A4392,'Master List'!A:C,2,FALSE)))</f>
        <v>Name</v>
      </c>
      <c r="D4392" s="19" t="str">
        <f>IF(ISBLANK(A4392), "Email",IF(ISNA(VLOOKUP(A4392,'Master List'!A:C,3,FALSE)), "Not Found", VLOOKUP(A4392,'Master List'!A:C,3,FALSE)))</f>
        <v>Email</v>
      </c>
      <c r="F4392" s="4" t="str">
        <f>IF(OR(A4392="",E4392="","",A4392="?",E4392="?"),"duplicate?",IF(COUNTIFS($A:A,A4392,E:E,E4392)&gt;1,"yes","no"))</f>
        <v>duplicate?</v>
      </c>
      <c r="K4392" s="97" t="str">
        <f ca="1">IF(J4392="","Date",IF(J4392&lt;&gt;"",IF(K4392="Date",NOW(),K4392),""))</f>
        <v>Date</v>
      </c>
    </row>
    <row r="4393" spans="2:11">
      <c r="B4393" s="97" t="str">
        <f ca="1">IF(A4393="","Date",IF(A4393&lt;&gt;"",IF(B4393="Date",NOW(),B4393),""))</f>
        <v>Date</v>
      </c>
      <c r="C4393" s="19" t="str">
        <f>IF(ISBLANK(A4393),"Name",IF(ISNA(VLOOKUP(A4393,'Master List'!A:C,2,FALSE)), "Not Found", VLOOKUP(A4393,'Master List'!A:C,2,FALSE)))</f>
        <v>Name</v>
      </c>
      <c r="D4393" s="19" t="str">
        <f>IF(ISBLANK(A4393), "Email",IF(ISNA(VLOOKUP(A4393,'Master List'!A:C,3,FALSE)), "Not Found", VLOOKUP(A4393,'Master List'!A:C,3,FALSE)))</f>
        <v>Email</v>
      </c>
      <c r="F4393" s="4" t="str">
        <f>IF(OR(A4393="",E4393="","",A4393="?",E4393="?"),"duplicate?",IF(COUNTIFS($A:A,A4393,E:E,E4393)&gt;1,"yes","no"))</f>
        <v>duplicate?</v>
      </c>
      <c r="K4393" s="97" t="str">
        <f ca="1">IF(J4393="","Date",IF(J4393&lt;&gt;"",IF(K4393="Date",NOW(),K4393),""))</f>
        <v>Date</v>
      </c>
    </row>
    <row r="4394" spans="2:11">
      <c r="B4394" s="97" t="str">
        <f ca="1">IF(A4394="","Date",IF(A4394&lt;&gt;"",IF(B4394="Date",NOW(),B4394),""))</f>
        <v>Date</v>
      </c>
      <c r="C4394" s="19" t="str">
        <f>IF(ISBLANK(A4394),"Name",IF(ISNA(VLOOKUP(A4394,'Master List'!A:C,2,FALSE)), "Not Found", VLOOKUP(A4394,'Master List'!A:C,2,FALSE)))</f>
        <v>Name</v>
      </c>
      <c r="D4394" s="19" t="str">
        <f>IF(ISBLANK(A4394), "Email",IF(ISNA(VLOOKUP(A4394,'Master List'!A:C,3,FALSE)), "Not Found", VLOOKUP(A4394,'Master List'!A:C,3,FALSE)))</f>
        <v>Email</v>
      </c>
      <c r="F4394" s="4" t="str">
        <f>IF(OR(A4394="",E4394="","",A4394="?",E4394="?"),"duplicate?",IF(COUNTIFS($A:A,A4394,E:E,E4394)&gt;1,"yes","no"))</f>
        <v>duplicate?</v>
      </c>
      <c r="K4394" s="97" t="str">
        <f ca="1">IF(J4394="","Date",IF(J4394&lt;&gt;"",IF(K4394="Date",NOW(),K4394),""))</f>
        <v>Date</v>
      </c>
    </row>
    <row r="4395" spans="2:11">
      <c r="B4395" s="97" t="str">
        <f ca="1">IF(A4395="","Date",IF(A4395&lt;&gt;"",IF(B4395="Date",NOW(),B4395),""))</f>
        <v>Date</v>
      </c>
      <c r="C4395" s="19" t="str">
        <f>IF(ISBLANK(A4395),"Name",IF(ISNA(VLOOKUP(A4395,'Master List'!A:C,2,FALSE)), "Not Found", VLOOKUP(A4395,'Master List'!A:C,2,FALSE)))</f>
        <v>Name</v>
      </c>
      <c r="D4395" s="19" t="str">
        <f>IF(ISBLANK(A4395), "Email",IF(ISNA(VLOOKUP(A4395,'Master List'!A:C,3,FALSE)), "Not Found", VLOOKUP(A4395,'Master List'!A:C,3,FALSE)))</f>
        <v>Email</v>
      </c>
      <c r="F4395" s="4" t="str">
        <f>IF(OR(A4395="",E4395="","",A4395="?",E4395="?"),"duplicate?",IF(COUNTIFS($A:A,A4395,E:E,E4395)&gt;1,"yes","no"))</f>
        <v>duplicate?</v>
      </c>
      <c r="K4395" s="97" t="str">
        <f ca="1">IF(J4395="","Date",IF(J4395&lt;&gt;"",IF(K4395="Date",NOW(),K4395),""))</f>
        <v>Date</v>
      </c>
    </row>
    <row r="4396" spans="2:11">
      <c r="B4396" s="97" t="str">
        <f ca="1">IF(A4396="","Date",IF(A4396&lt;&gt;"",IF(B4396="Date",NOW(),B4396),""))</f>
        <v>Date</v>
      </c>
      <c r="C4396" s="19" t="str">
        <f>IF(ISBLANK(A4396),"Name",IF(ISNA(VLOOKUP(A4396,'Master List'!A:C,2,FALSE)), "Not Found", VLOOKUP(A4396,'Master List'!A:C,2,FALSE)))</f>
        <v>Name</v>
      </c>
      <c r="D4396" s="19" t="str">
        <f>IF(ISBLANK(A4396), "Email",IF(ISNA(VLOOKUP(A4396,'Master List'!A:C,3,FALSE)), "Not Found", VLOOKUP(A4396,'Master List'!A:C,3,FALSE)))</f>
        <v>Email</v>
      </c>
      <c r="F4396" s="4" t="str">
        <f>IF(OR(A4396="",E4396="","",A4396="?",E4396="?"),"duplicate?",IF(COUNTIFS($A:A,A4396,E:E,E4396)&gt;1,"yes","no"))</f>
        <v>duplicate?</v>
      </c>
      <c r="K4396" s="97" t="str">
        <f ca="1">IF(J4396="","Date",IF(J4396&lt;&gt;"",IF(K4396="Date",NOW(),K4396),""))</f>
        <v>Date</v>
      </c>
    </row>
    <row r="4397" spans="2:11">
      <c r="B4397" s="97" t="str">
        <f ca="1">IF(A4397="","Date",IF(A4397&lt;&gt;"",IF(B4397="Date",NOW(),B4397),""))</f>
        <v>Date</v>
      </c>
      <c r="C4397" s="19" t="str">
        <f>IF(ISBLANK(A4397),"Name",IF(ISNA(VLOOKUP(A4397,'Master List'!A:C,2,FALSE)), "Not Found", VLOOKUP(A4397,'Master List'!A:C,2,FALSE)))</f>
        <v>Name</v>
      </c>
      <c r="D4397" s="19" t="str">
        <f>IF(ISBLANK(A4397), "Email",IF(ISNA(VLOOKUP(A4397,'Master List'!A:C,3,FALSE)), "Not Found", VLOOKUP(A4397,'Master List'!A:C,3,FALSE)))</f>
        <v>Email</v>
      </c>
      <c r="F4397" s="4" t="str">
        <f>IF(OR(A4397="",E4397="","",A4397="?",E4397="?"),"duplicate?",IF(COUNTIFS($A:A,A4397,E:E,E4397)&gt;1,"yes","no"))</f>
        <v>duplicate?</v>
      </c>
      <c r="K4397" s="97" t="str">
        <f ca="1">IF(J4397="","Date",IF(J4397&lt;&gt;"",IF(K4397="Date",NOW(),K4397),""))</f>
        <v>Date</v>
      </c>
    </row>
    <row r="4398" spans="2:11">
      <c r="B4398" s="97" t="str">
        <f ca="1">IF(A4398="","Date",IF(A4398&lt;&gt;"",IF(B4398="Date",NOW(),B4398),""))</f>
        <v>Date</v>
      </c>
      <c r="C4398" s="19" t="str">
        <f>IF(ISBLANK(A4398),"Name",IF(ISNA(VLOOKUP(A4398,'Master List'!A:C,2,FALSE)), "Not Found", VLOOKUP(A4398,'Master List'!A:C,2,FALSE)))</f>
        <v>Name</v>
      </c>
      <c r="D4398" s="19" t="str">
        <f>IF(ISBLANK(A4398), "Email",IF(ISNA(VLOOKUP(A4398,'Master List'!A:C,3,FALSE)), "Not Found", VLOOKUP(A4398,'Master List'!A:C,3,FALSE)))</f>
        <v>Email</v>
      </c>
      <c r="F4398" s="4" t="str">
        <f>IF(OR(A4398="",E4398="","",A4398="?",E4398="?"),"duplicate?",IF(COUNTIFS($A:A,A4398,E:E,E4398)&gt;1,"yes","no"))</f>
        <v>duplicate?</v>
      </c>
      <c r="K4398" s="97" t="str">
        <f ca="1">IF(J4398="","Date",IF(J4398&lt;&gt;"",IF(K4398="Date",NOW(),K4398),""))</f>
        <v>Date</v>
      </c>
    </row>
    <row r="4399" spans="2:11">
      <c r="B4399" s="97" t="str">
        <f ca="1">IF(A4399="","Date",IF(A4399&lt;&gt;"",IF(B4399="Date",NOW(),B4399),""))</f>
        <v>Date</v>
      </c>
      <c r="C4399" s="19" t="str">
        <f>IF(ISBLANK(A4399),"Name",IF(ISNA(VLOOKUP(A4399,'Master List'!A:C,2,FALSE)), "Not Found", VLOOKUP(A4399,'Master List'!A:C,2,FALSE)))</f>
        <v>Name</v>
      </c>
      <c r="D4399" s="19" t="str">
        <f>IF(ISBLANK(A4399), "Email",IF(ISNA(VLOOKUP(A4399,'Master List'!A:C,3,FALSE)), "Not Found", VLOOKUP(A4399,'Master List'!A:C,3,FALSE)))</f>
        <v>Email</v>
      </c>
      <c r="F4399" s="4" t="str">
        <f>IF(OR(A4399="",E4399="","",A4399="?",E4399="?"),"duplicate?",IF(COUNTIFS($A:A,A4399,E:E,E4399)&gt;1,"yes","no"))</f>
        <v>duplicate?</v>
      </c>
      <c r="K4399" s="97" t="str">
        <f ca="1">IF(J4399="","Date",IF(J4399&lt;&gt;"",IF(K4399="Date",NOW(),K4399),""))</f>
        <v>Date</v>
      </c>
    </row>
    <row r="4400" spans="2:11">
      <c r="B4400" s="97" t="str">
        <f ca="1">IF(A4400="","Date",IF(A4400&lt;&gt;"",IF(B4400="Date",NOW(),B4400),""))</f>
        <v>Date</v>
      </c>
      <c r="C4400" s="19" t="str">
        <f>IF(ISBLANK(A4400),"Name",IF(ISNA(VLOOKUP(A4400,'Master List'!A:C,2,FALSE)), "Not Found", VLOOKUP(A4400,'Master List'!A:C,2,FALSE)))</f>
        <v>Name</v>
      </c>
      <c r="D4400" s="19" t="str">
        <f>IF(ISBLANK(A4400), "Email",IF(ISNA(VLOOKUP(A4400,'Master List'!A:C,3,FALSE)), "Not Found", VLOOKUP(A4400,'Master List'!A:C,3,FALSE)))</f>
        <v>Email</v>
      </c>
      <c r="F4400" s="4" t="str">
        <f>IF(OR(A4400="",E4400="","",A4400="?",E4400="?"),"duplicate?",IF(COUNTIFS($A:A,A4400,E:E,E4400)&gt;1,"yes","no"))</f>
        <v>duplicate?</v>
      </c>
      <c r="K4400" s="97" t="str">
        <f ca="1">IF(J4400="","Date",IF(J4400&lt;&gt;"",IF(K4400="Date",NOW(),K4400),""))</f>
        <v>Date</v>
      </c>
    </row>
    <row r="4401" spans="2:11">
      <c r="B4401" s="97" t="str">
        <f ca="1">IF(A4401="","Date",IF(A4401&lt;&gt;"",IF(B4401="Date",NOW(),B4401),""))</f>
        <v>Date</v>
      </c>
      <c r="C4401" s="19" t="str">
        <f>IF(ISBLANK(A4401),"Name",IF(ISNA(VLOOKUP(A4401,'Master List'!A:C,2,FALSE)), "Not Found", VLOOKUP(A4401,'Master List'!A:C,2,FALSE)))</f>
        <v>Name</v>
      </c>
      <c r="D4401" s="19" t="str">
        <f>IF(ISBLANK(A4401), "Email",IF(ISNA(VLOOKUP(A4401,'Master List'!A:C,3,FALSE)), "Not Found", VLOOKUP(A4401,'Master List'!A:C,3,FALSE)))</f>
        <v>Email</v>
      </c>
      <c r="F4401" s="4" t="str">
        <f>IF(OR(A4401="",E4401="","",A4401="?",E4401="?"),"duplicate?",IF(COUNTIFS($A:A,A4401,E:E,E4401)&gt;1,"yes","no"))</f>
        <v>duplicate?</v>
      </c>
      <c r="K4401" s="97" t="str">
        <f ca="1">IF(J4401="","Date",IF(J4401&lt;&gt;"",IF(K4401="Date",NOW(),K4401),""))</f>
        <v>Date</v>
      </c>
    </row>
    <row r="4402" spans="2:11">
      <c r="B4402" s="97" t="str">
        <f ca="1">IF(A4402="","Date",IF(A4402&lt;&gt;"",IF(B4402="Date",NOW(),B4402),""))</f>
        <v>Date</v>
      </c>
      <c r="C4402" s="19" t="str">
        <f>IF(ISBLANK(A4402),"Name",IF(ISNA(VLOOKUP(A4402,'Master List'!A:C,2,FALSE)), "Not Found", VLOOKUP(A4402,'Master List'!A:C,2,FALSE)))</f>
        <v>Name</v>
      </c>
      <c r="D4402" s="19" t="str">
        <f>IF(ISBLANK(A4402), "Email",IF(ISNA(VLOOKUP(A4402,'Master List'!A:C,3,FALSE)), "Not Found", VLOOKUP(A4402,'Master List'!A:C,3,FALSE)))</f>
        <v>Email</v>
      </c>
      <c r="F4402" s="4" t="str">
        <f>IF(OR(A4402="",E4402="","",A4402="?",E4402="?"),"duplicate?",IF(COUNTIFS($A:A,A4402,E:E,E4402)&gt;1,"yes","no"))</f>
        <v>duplicate?</v>
      </c>
      <c r="K4402" s="97" t="str">
        <f ca="1">IF(J4402="","Date",IF(J4402&lt;&gt;"",IF(K4402="Date",NOW(),K4402),""))</f>
        <v>Date</v>
      </c>
    </row>
    <row r="4403" spans="2:11">
      <c r="B4403" s="97" t="str">
        <f ca="1">IF(A4403="","Date",IF(A4403&lt;&gt;"",IF(B4403="Date",NOW(),B4403),""))</f>
        <v>Date</v>
      </c>
      <c r="C4403" s="19" t="str">
        <f>IF(ISBLANK(A4403),"Name",IF(ISNA(VLOOKUP(A4403,'Master List'!A:C,2,FALSE)), "Not Found", VLOOKUP(A4403,'Master List'!A:C,2,FALSE)))</f>
        <v>Name</v>
      </c>
      <c r="D4403" s="19" t="str">
        <f>IF(ISBLANK(A4403), "Email",IF(ISNA(VLOOKUP(A4403,'Master List'!A:C,3,FALSE)), "Not Found", VLOOKUP(A4403,'Master List'!A:C,3,FALSE)))</f>
        <v>Email</v>
      </c>
      <c r="F4403" s="4" t="str">
        <f>IF(OR(A4403="",E4403="","",A4403="?",E4403="?"),"duplicate?",IF(COUNTIFS($A:A,A4403,E:E,E4403)&gt;1,"yes","no"))</f>
        <v>duplicate?</v>
      </c>
      <c r="K4403" s="97" t="str">
        <f ca="1">IF(J4403="","Date",IF(J4403&lt;&gt;"",IF(K4403="Date",NOW(),K4403),""))</f>
        <v>Date</v>
      </c>
    </row>
    <row r="4404" spans="2:11">
      <c r="B4404" s="97" t="str">
        <f ca="1">IF(A4404="","Date",IF(A4404&lt;&gt;"",IF(B4404="Date",NOW(),B4404),""))</f>
        <v>Date</v>
      </c>
      <c r="C4404" s="19" t="str">
        <f>IF(ISBLANK(A4404),"Name",IF(ISNA(VLOOKUP(A4404,'Master List'!A:C,2,FALSE)), "Not Found", VLOOKUP(A4404,'Master List'!A:C,2,FALSE)))</f>
        <v>Name</v>
      </c>
      <c r="D4404" s="19" t="str">
        <f>IF(ISBLANK(A4404), "Email",IF(ISNA(VLOOKUP(A4404,'Master List'!A:C,3,FALSE)), "Not Found", VLOOKUP(A4404,'Master List'!A:C,3,FALSE)))</f>
        <v>Email</v>
      </c>
      <c r="F4404" s="4" t="str">
        <f>IF(OR(A4404="",E4404="","",A4404="?",E4404="?"),"duplicate?",IF(COUNTIFS($A:A,A4404,E:E,E4404)&gt;1,"yes","no"))</f>
        <v>duplicate?</v>
      </c>
      <c r="K4404" s="97" t="str">
        <f ca="1">IF(J4404="","Date",IF(J4404&lt;&gt;"",IF(K4404="Date",NOW(),K4404),""))</f>
        <v>Date</v>
      </c>
    </row>
    <row r="4405" spans="2:11">
      <c r="B4405" s="97" t="str">
        <f ca="1">IF(A4405="","Date",IF(A4405&lt;&gt;"",IF(B4405="Date",NOW(),B4405),""))</f>
        <v>Date</v>
      </c>
      <c r="C4405" s="19" t="str">
        <f>IF(ISBLANK(A4405),"Name",IF(ISNA(VLOOKUP(A4405,'Master List'!A:C,2,FALSE)), "Not Found", VLOOKUP(A4405,'Master List'!A:C,2,FALSE)))</f>
        <v>Name</v>
      </c>
      <c r="D4405" s="19" t="str">
        <f>IF(ISBLANK(A4405), "Email",IF(ISNA(VLOOKUP(A4405,'Master List'!A:C,3,FALSE)), "Not Found", VLOOKUP(A4405,'Master List'!A:C,3,FALSE)))</f>
        <v>Email</v>
      </c>
      <c r="F4405" s="4" t="str">
        <f>IF(OR(A4405="",E4405="","",A4405="?",E4405="?"),"duplicate?",IF(COUNTIFS($A:A,A4405,E:E,E4405)&gt;1,"yes","no"))</f>
        <v>duplicate?</v>
      </c>
      <c r="K4405" s="97" t="str">
        <f ca="1">IF(J4405="","Date",IF(J4405&lt;&gt;"",IF(K4405="Date",NOW(),K4405),""))</f>
        <v>Date</v>
      </c>
    </row>
    <row r="4406" spans="2:11">
      <c r="B4406" s="97" t="str">
        <f ca="1">IF(A4406="","Date",IF(A4406&lt;&gt;"",IF(B4406="Date",NOW(),B4406),""))</f>
        <v>Date</v>
      </c>
      <c r="C4406" s="19" t="str">
        <f>IF(ISBLANK(A4406),"Name",IF(ISNA(VLOOKUP(A4406,'Master List'!A:C,2,FALSE)), "Not Found", VLOOKUP(A4406,'Master List'!A:C,2,FALSE)))</f>
        <v>Name</v>
      </c>
      <c r="D4406" s="19" t="str">
        <f>IF(ISBLANK(A4406), "Email",IF(ISNA(VLOOKUP(A4406,'Master List'!A:C,3,FALSE)), "Not Found", VLOOKUP(A4406,'Master List'!A:C,3,FALSE)))</f>
        <v>Email</v>
      </c>
      <c r="F4406" s="4" t="str">
        <f>IF(OR(A4406="",E4406="","",A4406="?",E4406="?"),"duplicate?",IF(COUNTIFS($A:A,A4406,E:E,E4406)&gt;1,"yes","no"))</f>
        <v>duplicate?</v>
      </c>
      <c r="K4406" s="97" t="str">
        <f ca="1">IF(J4406="","Date",IF(J4406&lt;&gt;"",IF(K4406="Date",NOW(),K4406),""))</f>
        <v>Date</v>
      </c>
    </row>
    <row r="4407" spans="2:11">
      <c r="B4407" s="97" t="str">
        <f ca="1">IF(A4407="","Date",IF(A4407&lt;&gt;"",IF(B4407="Date",NOW(),B4407),""))</f>
        <v>Date</v>
      </c>
      <c r="C4407" s="19" t="str">
        <f>IF(ISBLANK(A4407),"Name",IF(ISNA(VLOOKUP(A4407,'Master List'!A:C,2,FALSE)), "Not Found", VLOOKUP(A4407,'Master List'!A:C,2,FALSE)))</f>
        <v>Name</v>
      </c>
      <c r="D4407" s="19" t="str">
        <f>IF(ISBLANK(A4407), "Email",IF(ISNA(VLOOKUP(A4407,'Master List'!A:C,3,FALSE)), "Not Found", VLOOKUP(A4407,'Master List'!A:C,3,FALSE)))</f>
        <v>Email</v>
      </c>
      <c r="F4407" s="4" t="str">
        <f>IF(OR(A4407="",E4407="","",A4407="?",E4407="?"),"duplicate?",IF(COUNTIFS($A:A,A4407,E:E,E4407)&gt;1,"yes","no"))</f>
        <v>duplicate?</v>
      </c>
      <c r="K4407" s="97" t="str">
        <f ca="1">IF(J4407="","Date",IF(J4407&lt;&gt;"",IF(K4407="Date",NOW(),K4407),""))</f>
        <v>Date</v>
      </c>
    </row>
    <row r="4408" spans="2:11">
      <c r="B4408" s="97" t="str">
        <f ca="1">IF(A4408="","Date",IF(A4408&lt;&gt;"",IF(B4408="Date",NOW(),B4408),""))</f>
        <v>Date</v>
      </c>
      <c r="C4408" s="19" t="str">
        <f>IF(ISBLANK(A4408),"Name",IF(ISNA(VLOOKUP(A4408,'Master List'!A:C,2,FALSE)), "Not Found", VLOOKUP(A4408,'Master List'!A:C,2,FALSE)))</f>
        <v>Name</v>
      </c>
      <c r="D4408" s="19" t="str">
        <f>IF(ISBLANK(A4408), "Email",IF(ISNA(VLOOKUP(A4408,'Master List'!A:C,3,FALSE)), "Not Found", VLOOKUP(A4408,'Master List'!A:C,3,FALSE)))</f>
        <v>Email</v>
      </c>
      <c r="F4408" s="4" t="str">
        <f>IF(OR(A4408="",E4408="","",A4408="?",E4408="?"),"duplicate?",IF(COUNTIFS($A:A,A4408,E:E,E4408)&gt;1,"yes","no"))</f>
        <v>duplicate?</v>
      </c>
      <c r="K4408" s="97" t="str">
        <f ca="1">IF(J4408="","Date",IF(J4408&lt;&gt;"",IF(K4408="Date",NOW(),K4408),""))</f>
        <v>Date</v>
      </c>
    </row>
    <row r="4409" spans="2:11">
      <c r="B4409" s="97" t="str">
        <f ca="1">IF(A4409="","Date",IF(A4409&lt;&gt;"",IF(B4409="Date",NOW(),B4409),""))</f>
        <v>Date</v>
      </c>
      <c r="C4409" s="19" t="str">
        <f>IF(ISBLANK(A4409),"Name",IF(ISNA(VLOOKUP(A4409,'Master List'!A:C,2,FALSE)), "Not Found", VLOOKUP(A4409,'Master List'!A:C,2,FALSE)))</f>
        <v>Name</v>
      </c>
      <c r="D4409" s="19" t="str">
        <f>IF(ISBLANK(A4409), "Email",IF(ISNA(VLOOKUP(A4409,'Master List'!A:C,3,FALSE)), "Not Found", VLOOKUP(A4409,'Master List'!A:C,3,FALSE)))</f>
        <v>Email</v>
      </c>
      <c r="F4409" s="4" t="str">
        <f>IF(OR(A4409="",E4409="","",A4409="?",E4409="?"),"duplicate?",IF(COUNTIFS($A:A,A4409,E:E,E4409)&gt;1,"yes","no"))</f>
        <v>duplicate?</v>
      </c>
      <c r="K4409" s="97" t="str">
        <f ca="1">IF(J4409="","Date",IF(J4409&lt;&gt;"",IF(K4409="Date",NOW(),K4409),""))</f>
        <v>Date</v>
      </c>
    </row>
    <row r="4410" spans="2:11">
      <c r="B4410" s="97" t="str">
        <f ca="1">IF(A4410="","Date",IF(A4410&lt;&gt;"",IF(B4410="Date",NOW(),B4410),""))</f>
        <v>Date</v>
      </c>
      <c r="C4410" s="19" t="str">
        <f>IF(ISBLANK(A4410),"Name",IF(ISNA(VLOOKUP(A4410,'Master List'!A:C,2,FALSE)), "Not Found", VLOOKUP(A4410,'Master List'!A:C,2,FALSE)))</f>
        <v>Name</v>
      </c>
      <c r="D4410" s="19" t="str">
        <f>IF(ISBLANK(A4410), "Email",IF(ISNA(VLOOKUP(A4410,'Master List'!A:C,3,FALSE)), "Not Found", VLOOKUP(A4410,'Master List'!A:C,3,FALSE)))</f>
        <v>Email</v>
      </c>
      <c r="F4410" s="4" t="str">
        <f>IF(OR(A4410="",E4410="","",A4410="?",E4410="?"),"duplicate?",IF(COUNTIFS($A:A,A4410,E:E,E4410)&gt;1,"yes","no"))</f>
        <v>duplicate?</v>
      </c>
      <c r="K4410" s="97" t="str">
        <f ca="1">IF(J4410="","Date",IF(J4410&lt;&gt;"",IF(K4410="Date",NOW(),K4410),""))</f>
        <v>Date</v>
      </c>
    </row>
    <row r="4411" spans="2:11">
      <c r="B4411" s="97" t="str">
        <f ca="1">IF(A4411="","Date",IF(A4411&lt;&gt;"",IF(B4411="Date",NOW(),B4411),""))</f>
        <v>Date</v>
      </c>
      <c r="C4411" s="19" t="str">
        <f>IF(ISBLANK(A4411),"Name",IF(ISNA(VLOOKUP(A4411,'Master List'!A:C,2,FALSE)), "Not Found", VLOOKUP(A4411,'Master List'!A:C,2,FALSE)))</f>
        <v>Name</v>
      </c>
      <c r="D4411" s="19" t="str">
        <f>IF(ISBLANK(A4411), "Email",IF(ISNA(VLOOKUP(A4411,'Master List'!A:C,3,FALSE)), "Not Found", VLOOKUP(A4411,'Master List'!A:C,3,FALSE)))</f>
        <v>Email</v>
      </c>
      <c r="F4411" s="4" t="str">
        <f>IF(OR(A4411="",E4411="","",A4411="?",E4411="?"),"duplicate?",IF(COUNTIFS($A:A,A4411,E:E,E4411)&gt;1,"yes","no"))</f>
        <v>duplicate?</v>
      </c>
      <c r="K4411" s="97" t="str">
        <f ca="1">IF(J4411="","Date",IF(J4411&lt;&gt;"",IF(K4411="Date",NOW(),K4411),""))</f>
        <v>Date</v>
      </c>
    </row>
    <row r="4412" spans="2:11">
      <c r="B4412" s="97" t="str">
        <f ca="1">IF(A4412="","Date",IF(A4412&lt;&gt;"",IF(B4412="Date",NOW(),B4412),""))</f>
        <v>Date</v>
      </c>
      <c r="C4412" s="19" t="str">
        <f>IF(ISBLANK(A4412),"Name",IF(ISNA(VLOOKUP(A4412,'Master List'!A:C,2,FALSE)), "Not Found", VLOOKUP(A4412,'Master List'!A:C,2,FALSE)))</f>
        <v>Name</v>
      </c>
      <c r="D4412" s="19" t="str">
        <f>IF(ISBLANK(A4412), "Email",IF(ISNA(VLOOKUP(A4412,'Master List'!A:C,3,FALSE)), "Not Found", VLOOKUP(A4412,'Master List'!A:C,3,FALSE)))</f>
        <v>Email</v>
      </c>
      <c r="F4412" s="4" t="str">
        <f>IF(OR(A4412="",E4412="","",A4412="?",E4412="?"),"duplicate?",IF(COUNTIFS($A:A,A4412,E:E,E4412)&gt;1,"yes","no"))</f>
        <v>duplicate?</v>
      </c>
      <c r="K4412" s="97" t="str">
        <f ca="1">IF(J4412="","Date",IF(J4412&lt;&gt;"",IF(K4412="Date",NOW(),K4412),""))</f>
        <v>Date</v>
      </c>
    </row>
    <row r="4413" spans="2:11">
      <c r="B4413" s="97" t="str">
        <f ca="1">IF(A4413="","Date",IF(A4413&lt;&gt;"",IF(B4413="Date",NOW(),B4413),""))</f>
        <v>Date</v>
      </c>
      <c r="C4413" s="19" t="str">
        <f>IF(ISBLANK(A4413),"Name",IF(ISNA(VLOOKUP(A4413,'Master List'!A:C,2,FALSE)), "Not Found", VLOOKUP(A4413,'Master List'!A:C,2,FALSE)))</f>
        <v>Name</v>
      </c>
      <c r="D4413" s="19" t="str">
        <f>IF(ISBLANK(A4413), "Email",IF(ISNA(VLOOKUP(A4413,'Master List'!A:C,3,FALSE)), "Not Found", VLOOKUP(A4413,'Master List'!A:C,3,FALSE)))</f>
        <v>Email</v>
      </c>
      <c r="F4413" s="4" t="str">
        <f>IF(OR(A4413="",E4413="","",A4413="?",E4413="?"),"duplicate?",IF(COUNTIFS($A:A,A4413,E:E,E4413)&gt;1,"yes","no"))</f>
        <v>duplicate?</v>
      </c>
      <c r="K4413" s="97" t="str">
        <f ca="1">IF(J4413="","Date",IF(J4413&lt;&gt;"",IF(K4413="Date",NOW(),K4413),""))</f>
        <v>Date</v>
      </c>
    </row>
    <row r="4414" spans="2:11">
      <c r="B4414" s="97" t="str">
        <f ca="1">IF(A4414="","Date",IF(A4414&lt;&gt;"",IF(B4414="Date",NOW(),B4414),""))</f>
        <v>Date</v>
      </c>
      <c r="C4414" s="19" t="str">
        <f>IF(ISBLANK(A4414),"Name",IF(ISNA(VLOOKUP(A4414,'Master List'!A:C,2,FALSE)), "Not Found", VLOOKUP(A4414,'Master List'!A:C,2,FALSE)))</f>
        <v>Name</v>
      </c>
      <c r="D4414" s="19" t="str">
        <f>IF(ISBLANK(A4414), "Email",IF(ISNA(VLOOKUP(A4414,'Master List'!A:C,3,FALSE)), "Not Found", VLOOKUP(A4414,'Master List'!A:C,3,FALSE)))</f>
        <v>Email</v>
      </c>
      <c r="F4414" s="4" t="str">
        <f>IF(OR(A4414="",E4414="","",A4414="?",E4414="?"),"duplicate?",IF(COUNTIFS($A:A,A4414,E:E,E4414)&gt;1,"yes","no"))</f>
        <v>duplicate?</v>
      </c>
      <c r="K4414" s="97" t="str">
        <f ca="1">IF(J4414="","Date",IF(J4414&lt;&gt;"",IF(K4414="Date",NOW(),K4414),""))</f>
        <v>Date</v>
      </c>
    </row>
    <row r="4415" spans="2:11">
      <c r="B4415" s="97" t="str">
        <f ca="1">IF(A4415="","Date",IF(A4415&lt;&gt;"",IF(B4415="Date",NOW(),B4415),""))</f>
        <v>Date</v>
      </c>
      <c r="C4415" s="19" t="str">
        <f>IF(ISBLANK(A4415),"Name",IF(ISNA(VLOOKUP(A4415,'Master List'!A:C,2,FALSE)), "Not Found", VLOOKUP(A4415,'Master List'!A:C,2,FALSE)))</f>
        <v>Name</v>
      </c>
      <c r="D4415" s="19" t="str">
        <f>IF(ISBLANK(A4415), "Email",IF(ISNA(VLOOKUP(A4415,'Master List'!A:C,3,FALSE)), "Not Found", VLOOKUP(A4415,'Master List'!A:C,3,FALSE)))</f>
        <v>Email</v>
      </c>
      <c r="F4415" s="4" t="str">
        <f>IF(OR(A4415="",E4415="","",A4415="?",E4415="?"),"duplicate?",IF(COUNTIFS($A:A,A4415,E:E,E4415)&gt;1,"yes","no"))</f>
        <v>duplicate?</v>
      </c>
      <c r="K4415" s="97" t="str">
        <f ca="1">IF(J4415="","Date",IF(J4415&lt;&gt;"",IF(K4415="Date",NOW(),K4415),""))</f>
        <v>Date</v>
      </c>
    </row>
    <row r="4416" spans="2:11">
      <c r="B4416" s="97" t="str">
        <f ca="1">IF(A4416="","Date",IF(A4416&lt;&gt;"",IF(B4416="Date",NOW(),B4416),""))</f>
        <v>Date</v>
      </c>
      <c r="C4416" s="19" t="str">
        <f>IF(ISBLANK(A4416),"Name",IF(ISNA(VLOOKUP(A4416,'Master List'!A:C,2,FALSE)), "Not Found", VLOOKUP(A4416,'Master List'!A:C,2,FALSE)))</f>
        <v>Name</v>
      </c>
      <c r="D4416" s="19" t="str">
        <f>IF(ISBLANK(A4416), "Email",IF(ISNA(VLOOKUP(A4416,'Master List'!A:C,3,FALSE)), "Not Found", VLOOKUP(A4416,'Master List'!A:C,3,FALSE)))</f>
        <v>Email</v>
      </c>
      <c r="F4416" s="4" t="str">
        <f>IF(OR(A4416="",E4416="","",A4416="?",E4416="?"),"duplicate?",IF(COUNTIFS($A:A,A4416,E:E,E4416)&gt;1,"yes","no"))</f>
        <v>duplicate?</v>
      </c>
      <c r="K4416" s="97" t="str">
        <f ca="1">IF(J4416="","Date",IF(J4416&lt;&gt;"",IF(K4416="Date",NOW(),K4416),""))</f>
        <v>Date</v>
      </c>
    </row>
    <row r="4417" spans="2:11">
      <c r="B4417" s="97" t="str">
        <f ca="1">IF(A4417="","Date",IF(A4417&lt;&gt;"",IF(B4417="Date",NOW(),B4417),""))</f>
        <v>Date</v>
      </c>
      <c r="C4417" s="19" t="str">
        <f>IF(ISBLANK(A4417),"Name",IF(ISNA(VLOOKUP(A4417,'Master List'!A:C,2,FALSE)), "Not Found", VLOOKUP(A4417,'Master List'!A:C,2,FALSE)))</f>
        <v>Name</v>
      </c>
      <c r="D4417" s="19" t="str">
        <f>IF(ISBLANK(A4417), "Email",IF(ISNA(VLOOKUP(A4417,'Master List'!A:C,3,FALSE)), "Not Found", VLOOKUP(A4417,'Master List'!A:C,3,FALSE)))</f>
        <v>Email</v>
      </c>
      <c r="F4417" s="4" t="str">
        <f>IF(OR(A4417="",E4417="","",A4417="?",E4417="?"),"duplicate?",IF(COUNTIFS($A:A,A4417,E:E,E4417)&gt;1,"yes","no"))</f>
        <v>duplicate?</v>
      </c>
      <c r="K4417" s="97" t="str">
        <f ca="1">IF(J4417="","Date",IF(J4417&lt;&gt;"",IF(K4417="Date",NOW(),K4417),""))</f>
        <v>Date</v>
      </c>
    </row>
    <row r="4418" spans="2:11">
      <c r="B4418" s="97" t="str">
        <f ca="1">IF(A4418="","Date",IF(A4418&lt;&gt;"",IF(B4418="Date",NOW(),B4418),""))</f>
        <v>Date</v>
      </c>
      <c r="C4418" s="19" t="str">
        <f>IF(ISBLANK(A4418),"Name",IF(ISNA(VLOOKUP(A4418,'Master List'!A:C,2,FALSE)), "Not Found", VLOOKUP(A4418,'Master List'!A:C,2,FALSE)))</f>
        <v>Name</v>
      </c>
      <c r="D4418" s="19" t="str">
        <f>IF(ISBLANK(A4418), "Email",IF(ISNA(VLOOKUP(A4418,'Master List'!A:C,3,FALSE)), "Not Found", VLOOKUP(A4418,'Master List'!A:C,3,FALSE)))</f>
        <v>Email</v>
      </c>
      <c r="F4418" s="4" t="str">
        <f>IF(OR(A4418="",E4418="","",A4418="?",E4418="?"),"duplicate?",IF(COUNTIFS($A:A,A4418,E:E,E4418)&gt;1,"yes","no"))</f>
        <v>duplicate?</v>
      </c>
      <c r="K4418" s="97" t="str">
        <f ca="1">IF(J4418="","Date",IF(J4418&lt;&gt;"",IF(K4418="Date",NOW(),K4418),""))</f>
        <v>Date</v>
      </c>
    </row>
    <row r="4419" spans="2:11">
      <c r="B4419" s="97" t="str">
        <f ca="1">IF(A4419="","Date",IF(A4419&lt;&gt;"",IF(B4419="Date",NOW(),B4419),""))</f>
        <v>Date</v>
      </c>
      <c r="C4419" s="19" t="str">
        <f>IF(ISBLANK(A4419),"Name",IF(ISNA(VLOOKUP(A4419,'Master List'!A:C,2,FALSE)), "Not Found", VLOOKUP(A4419,'Master List'!A:C,2,FALSE)))</f>
        <v>Name</v>
      </c>
      <c r="D4419" s="19" t="str">
        <f>IF(ISBLANK(A4419), "Email",IF(ISNA(VLOOKUP(A4419,'Master List'!A:C,3,FALSE)), "Not Found", VLOOKUP(A4419,'Master List'!A:C,3,FALSE)))</f>
        <v>Email</v>
      </c>
      <c r="F4419" s="4" t="str">
        <f>IF(OR(A4419="",E4419="","",A4419="?",E4419="?"),"duplicate?",IF(COUNTIFS($A:A,A4419,E:E,E4419)&gt;1,"yes","no"))</f>
        <v>duplicate?</v>
      </c>
      <c r="K4419" s="97" t="str">
        <f ca="1">IF(J4419="","Date",IF(J4419&lt;&gt;"",IF(K4419="Date",NOW(),K4419),""))</f>
        <v>Date</v>
      </c>
    </row>
    <row r="4420" spans="2:11">
      <c r="B4420" s="97" t="str">
        <f ca="1">IF(A4420="","Date",IF(A4420&lt;&gt;"",IF(B4420="Date",NOW(),B4420),""))</f>
        <v>Date</v>
      </c>
      <c r="C4420" s="19" t="str">
        <f>IF(ISBLANK(A4420),"Name",IF(ISNA(VLOOKUP(A4420,'Master List'!A:C,2,FALSE)), "Not Found", VLOOKUP(A4420,'Master List'!A:C,2,FALSE)))</f>
        <v>Name</v>
      </c>
      <c r="D4420" s="19" t="str">
        <f>IF(ISBLANK(A4420), "Email",IF(ISNA(VLOOKUP(A4420,'Master List'!A:C,3,FALSE)), "Not Found", VLOOKUP(A4420,'Master List'!A:C,3,FALSE)))</f>
        <v>Email</v>
      </c>
      <c r="F4420" s="4" t="str">
        <f>IF(OR(A4420="",E4420="","",A4420="?",E4420="?"),"duplicate?",IF(COUNTIFS($A:A,A4420,E:E,E4420)&gt;1,"yes","no"))</f>
        <v>duplicate?</v>
      </c>
      <c r="K4420" s="97" t="str">
        <f ca="1">IF(J4420="","Date",IF(J4420&lt;&gt;"",IF(K4420="Date",NOW(),K4420),""))</f>
        <v>Date</v>
      </c>
    </row>
    <row r="4421" spans="2:11">
      <c r="B4421" s="97" t="str">
        <f ca="1">IF(A4421="","Date",IF(A4421&lt;&gt;"",IF(B4421="Date",NOW(),B4421),""))</f>
        <v>Date</v>
      </c>
      <c r="C4421" s="19" t="str">
        <f>IF(ISBLANK(A4421),"Name",IF(ISNA(VLOOKUP(A4421,'Master List'!A:C,2,FALSE)), "Not Found", VLOOKUP(A4421,'Master List'!A:C,2,FALSE)))</f>
        <v>Name</v>
      </c>
      <c r="D4421" s="19" t="str">
        <f>IF(ISBLANK(A4421), "Email",IF(ISNA(VLOOKUP(A4421,'Master List'!A:C,3,FALSE)), "Not Found", VLOOKUP(A4421,'Master List'!A:C,3,FALSE)))</f>
        <v>Email</v>
      </c>
      <c r="F4421" s="4" t="str">
        <f>IF(OR(A4421="",E4421="","",A4421="?",E4421="?"),"duplicate?",IF(COUNTIFS($A:A,A4421,E:E,E4421)&gt;1,"yes","no"))</f>
        <v>duplicate?</v>
      </c>
      <c r="K4421" s="97" t="str">
        <f ca="1">IF(J4421="","Date",IF(J4421&lt;&gt;"",IF(K4421="Date",NOW(),K4421),""))</f>
        <v>Date</v>
      </c>
    </row>
    <row r="4422" spans="2:11">
      <c r="B4422" s="97" t="str">
        <f ca="1">IF(A4422="","Date",IF(A4422&lt;&gt;"",IF(B4422="Date",NOW(),B4422),""))</f>
        <v>Date</v>
      </c>
      <c r="C4422" s="19" t="str">
        <f>IF(ISBLANK(A4422),"Name",IF(ISNA(VLOOKUP(A4422,'Master List'!A:C,2,FALSE)), "Not Found", VLOOKUP(A4422,'Master List'!A:C,2,FALSE)))</f>
        <v>Name</v>
      </c>
      <c r="D4422" s="19" t="str">
        <f>IF(ISBLANK(A4422), "Email",IF(ISNA(VLOOKUP(A4422,'Master List'!A:C,3,FALSE)), "Not Found", VLOOKUP(A4422,'Master List'!A:C,3,FALSE)))</f>
        <v>Email</v>
      </c>
      <c r="F4422" s="4" t="str">
        <f>IF(OR(A4422="",E4422="","",A4422="?",E4422="?"),"duplicate?",IF(COUNTIFS($A:A,A4422,E:E,E4422)&gt;1,"yes","no"))</f>
        <v>duplicate?</v>
      </c>
      <c r="K4422" s="97" t="str">
        <f ca="1">IF(J4422="","Date",IF(J4422&lt;&gt;"",IF(K4422="Date",NOW(),K4422),""))</f>
        <v>Date</v>
      </c>
    </row>
    <row r="4423" spans="2:11">
      <c r="B4423" s="97" t="str">
        <f ca="1">IF(A4423="","Date",IF(A4423&lt;&gt;"",IF(B4423="Date",NOW(),B4423),""))</f>
        <v>Date</v>
      </c>
      <c r="C4423" s="19" t="str">
        <f>IF(ISBLANK(A4423),"Name",IF(ISNA(VLOOKUP(A4423,'Master List'!A:C,2,FALSE)), "Not Found", VLOOKUP(A4423,'Master List'!A:C,2,FALSE)))</f>
        <v>Name</v>
      </c>
      <c r="D4423" s="19" t="str">
        <f>IF(ISBLANK(A4423), "Email",IF(ISNA(VLOOKUP(A4423,'Master List'!A:C,3,FALSE)), "Not Found", VLOOKUP(A4423,'Master List'!A:C,3,FALSE)))</f>
        <v>Email</v>
      </c>
      <c r="F4423" s="4" t="str">
        <f>IF(OR(A4423="",E4423="","",A4423="?",E4423="?"),"duplicate?",IF(COUNTIFS($A:A,A4423,E:E,E4423)&gt;1,"yes","no"))</f>
        <v>duplicate?</v>
      </c>
      <c r="K4423" s="97" t="str">
        <f ca="1">IF(J4423="","Date",IF(J4423&lt;&gt;"",IF(K4423="Date",NOW(),K4423),""))</f>
        <v>Date</v>
      </c>
    </row>
    <row r="4424" spans="2:11">
      <c r="B4424" s="97" t="str">
        <f ca="1">IF(A4424="","Date",IF(A4424&lt;&gt;"",IF(B4424="Date",NOW(),B4424),""))</f>
        <v>Date</v>
      </c>
      <c r="C4424" s="19" t="str">
        <f>IF(ISBLANK(A4424),"Name",IF(ISNA(VLOOKUP(A4424,'Master List'!A:C,2,FALSE)), "Not Found", VLOOKUP(A4424,'Master List'!A:C,2,FALSE)))</f>
        <v>Name</v>
      </c>
      <c r="D4424" s="19" t="str">
        <f>IF(ISBLANK(A4424), "Email",IF(ISNA(VLOOKUP(A4424,'Master List'!A:C,3,FALSE)), "Not Found", VLOOKUP(A4424,'Master List'!A:C,3,FALSE)))</f>
        <v>Email</v>
      </c>
      <c r="F4424" s="4" t="str">
        <f>IF(OR(A4424="",E4424="","",A4424="?",E4424="?"),"duplicate?",IF(COUNTIFS($A:A,A4424,E:E,E4424)&gt;1,"yes","no"))</f>
        <v>duplicate?</v>
      </c>
      <c r="K4424" s="97" t="str">
        <f ca="1">IF(J4424="","Date",IF(J4424&lt;&gt;"",IF(K4424="Date",NOW(),K4424),""))</f>
        <v>Date</v>
      </c>
    </row>
    <row r="4425" spans="2:11">
      <c r="B4425" s="97" t="str">
        <f ca="1">IF(A4425="","Date",IF(A4425&lt;&gt;"",IF(B4425="Date",NOW(),B4425),""))</f>
        <v>Date</v>
      </c>
      <c r="C4425" s="19" t="str">
        <f>IF(ISBLANK(A4425),"Name",IF(ISNA(VLOOKUP(A4425,'Master List'!A:C,2,FALSE)), "Not Found", VLOOKUP(A4425,'Master List'!A:C,2,FALSE)))</f>
        <v>Name</v>
      </c>
      <c r="D4425" s="19" t="str">
        <f>IF(ISBLANK(A4425), "Email",IF(ISNA(VLOOKUP(A4425,'Master List'!A:C,3,FALSE)), "Not Found", VLOOKUP(A4425,'Master List'!A:C,3,FALSE)))</f>
        <v>Email</v>
      </c>
      <c r="F4425" s="4" t="str">
        <f>IF(OR(A4425="",E4425="","",A4425="?",E4425="?"),"duplicate?",IF(COUNTIFS($A:A,A4425,E:E,E4425)&gt;1,"yes","no"))</f>
        <v>duplicate?</v>
      </c>
      <c r="K4425" s="97" t="str">
        <f ca="1">IF(J4425="","Date",IF(J4425&lt;&gt;"",IF(K4425="Date",NOW(),K4425),""))</f>
        <v>Date</v>
      </c>
    </row>
    <row r="4426" spans="2:11">
      <c r="B4426" s="97" t="str">
        <f ca="1">IF(A4426="","Date",IF(A4426&lt;&gt;"",IF(B4426="Date",NOW(),B4426),""))</f>
        <v>Date</v>
      </c>
      <c r="C4426" s="19" t="str">
        <f>IF(ISBLANK(A4426),"Name",IF(ISNA(VLOOKUP(A4426,'Master List'!A:C,2,FALSE)), "Not Found", VLOOKUP(A4426,'Master List'!A:C,2,FALSE)))</f>
        <v>Name</v>
      </c>
      <c r="D4426" s="19" t="str">
        <f>IF(ISBLANK(A4426), "Email",IF(ISNA(VLOOKUP(A4426,'Master List'!A:C,3,FALSE)), "Not Found", VLOOKUP(A4426,'Master List'!A:C,3,FALSE)))</f>
        <v>Email</v>
      </c>
      <c r="F4426" s="4" t="str">
        <f>IF(OR(A4426="",E4426="","",A4426="?",E4426="?"),"duplicate?",IF(COUNTIFS($A:A,A4426,E:E,E4426)&gt;1,"yes","no"))</f>
        <v>duplicate?</v>
      </c>
      <c r="K4426" s="97" t="str">
        <f ca="1">IF(J4426="","Date",IF(J4426&lt;&gt;"",IF(K4426="Date",NOW(),K4426),""))</f>
        <v>Date</v>
      </c>
    </row>
    <row r="4427" spans="2:11">
      <c r="B4427" s="97" t="str">
        <f ca="1">IF(A4427="","Date",IF(A4427&lt;&gt;"",IF(B4427="Date",NOW(),B4427),""))</f>
        <v>Date</v>
      </c>
      <c r="C4427" s="19" t="str">
        <f>IF(ISBLANK(A4427),"Name",IF(ISNA(VLOOKUP(A4427,'Master List'!A:C,2,FALSE)), "Not Found", VLOOKUP(A4427,'Master List'!A:C,2,FALSE)))</f>
        <v>Name</v>
      </c>
      <c r="D4427" s="19" t="str">
        <f>IF(ISBLANK(A4427), "Email",IF(ISNA(VLOOKUP(A4427,'Master List'!A:C,3,FALSE)), "Not Found", VLOOKUP(A4427,'Master List'!A:C,3,FALSE)))</f>
        <v>Email</v>
      </c>
      <c r="F4427" s="4" t="str">
        <f>IF(OR(A4427="",E4427="","",A4427="?",E4427="?"),"duplicate?",IF(COUNTIFS($A:A,A4427,E:E,E4427)&gt;1,"yes","no"))</f>
        <v>duplicate?</v>
      </c>
      <c r="K4427" s="97" t="str">
        <f ca="1">IF(J4427="","Date",IF(J4427&lt;&gt;"",IF(K4427="Date",NOW(),K4427),""))</f>
        <v>Date</v>
      </c>
    </row>
    <row r="4428" spans="2:11">
      <c r="B4428" s="97" t="str">
        <f ca="1">IF(A4428="","Date",IF(A4428&lt;&gt;"",IF(B4428="Date",NOW(),B4428),""))</f>
        <v>Date</v>
      </c>
      <c r="C4428" s="19" t="str">
        <f>IF(ISBLANK(A4428),"Name",IF(ISNA(VLOOKUP(A4428,'Master List'!A:C,2,FALSE)), "Not Found", VLOOKUP(A4428,'Master List'!A:C,2,FALSE)))</f>
        <v>Name</v>
      </c>
      <c r="D4428" s="19" t="str">
        <f>IF(ISBLANK(A4428), "Email",IF(ISNA(VLOOKUP(A4428,'Master List'!A:C,3,FALSE)), "Not Found", VLOOKUP(A4428,'Master List'!A:C,3,FALSE)))</f>
        <v>Email</v>
      </c>
      <c r="F4428" s="4" t="str">
        <f>IF(OR(A4428="",E4428="","",A4428="?",E4428="?"),"duplicate?",IF(COUNTIFS($A:A,A4428,E:E,E4428)&gt;1,"yes","no"))</f>
        <v>duplicate?</v>
      </c>
      <c r="K4428" s="97" t="str">
        <f ca="1">IF(J4428="","Date",IF(J4428&lt;&gt;"",IF(K4428="Date",NOW(),K4428),""))</f>
        <v>Date</v>
      </c>
    </row>
    <row r="4429" spans="2:11">
      <c r="B4429" s="97" t="str">
        <f ca="1">IF(A4429="","Date",IF(A4429&lt;&gt;"",IF(B4429="Date",NOW(),B4429),""))</f>
        <v>Date</v>
      </c>
      <c r="C4429" s="19" t="str">
        <f>IF(ISBLANK(A4429),"Name",IF(ISNA(VLOOKUP(A4429,'Master List'!A:C,2,FALSE)), "Not Found", VLOOKUP(A4429,'Master List'!A:C,2,FALSE)))</f>
        <v>Name</v>
      </c>
      <c r="D4429" s="19" t="str">
        <f>IF(ISBLANK(A4429), "Email",IF(ISNA(VLOOKUP(A4429,'Master List'!A:C,3,FALSE)), "Not Found", VLOOKUP(A4429,'Master List'!A:C,3,FALSE)))</f>
        <v>Email</v>
      </c>
      <c r="F4429" s="4" t="str">
        <f>IF(OR(A4429="",E4429="","",A4429="?",E4429="?"),"duplicate?",IF(COUNTIFS($A:A,A4429,E:E,E4429)&gt;1,"yes","no"))</f>
        <v>duplicate?</v>
      </c>
      <c r="K4429" s="97" t="str">
        <f ca="1">IF(J4429="","Date",IF(J4429&lt;&gt;"",IF(K4429="Date",NOW(),K4429),""))</f>
        <v>Date</v>
      </c>
    </row>
    <row r="4430" spans="2:11">
      <c r="B4430" s="97" t="str">
        <f ca="1">IF(A4430="","Date",IF(A4430&lt;&gt;"",IF(B4430="Date",NOW(),B4430),""))</f>
        <v>Date</v>
      </c>
      <c r="C4430" s="19" t="str">
        <f>IF(ISBLANK(A4430),"Name",IF(ISNA(VLOOKUP(A4430,'Master List'!A:C,2,FALSE)), "Not Found", VLOOKUP(A4430,'Master List'!A:C,2,FALSE)))</f>
        <v>Name</v>
      </c>
      <c r="D4430" s="19" t="str">
        <f>IF(ISBLANK(A4430), "Email",IF(ISNA(VLOOKUP(A4430,'Master List'!A:C,3,FALSE)), "Not Found", VLOOKUP(A4430,'Master List'!A:C,3,FALSE)))</f>
        <v>Email</v>
      </c>
      <c r="F4430" s="4" t="str">
        <f>IF(OR(A4430="",E4430="","",A4430="?",E4430="?"),"duplicate?",IF(COUNTIFS($A:A,A4430,E:E,E4430)&gt;1,"yes","no"))</f>
        <v>duplicate?</v>
      </c>
      <c r="K4430" s="97" t="str">
        <f ca="1">IF(J4430="","Date",IF(J4430&lt;&gt;"",IF(K4430="Date",NOW(),K4430),""))</f>
        <v>Date</v>
      </c>
    </row>
    <row r="4431" spans="2:11">
      <c r="B4431" s="97" t="str">
        <f ca="1">IF(A4431="","Date",IF(A4431&lt;&gt;"",IF(B4431="Date",NOW(),B4431),""))</f>
        <v>Date</v>
      </c>
      <c r="C4431" s="19" t="str">
        <f>IF(ISBLANK(A4431),"Name",IF(ISNA(VLOOKUP(A4431,'Master List'!A:C,2,FALSE)), "Not Found", VLOOKUP(A4431,'Master List'!A:C,2,FALSE)))</f>
        <v>Name</v>
      </c>
      <c r="D4431" s="19" t="str">
        <f>IF(ISBLANK(A4431), "Email",IF(ISNA(VLOOKUP(A4431,'Master List'!A:C,3,FALSE)), "Not Found", VLOOKUP(A4431,'Master List'!A:C,3,FALSE)))</f>
        <v>Email</v>
      </c>
      <c r="F4431" s="4" t="str">
        <f>IF(OR(A4431="",E4431="","",A4431="?",E4431="?"),"duplicate?",IF(COUNTIFS($A:A,A4431,E:E,E4431)&gt;1,"yes","no"))</f>
        <v>duplicate?</v>
      </c>
      <c r="K4431" s="97" t="str">
        <f ca="1">IF(J4431="","Date",IF(J4431&lt;&gt;"",IF(K4431="Date",NOW(),K4431),""))</f>
        <v>Date</v>
      </c>
    </row>
    <row r="4432" spans="2:11">
      <c r="B4432" s="97" t="str">
        <f ca="1">IF(A4432="","Date",IF(A4432&lt;&gt;"",IF(B4432="Date",NOW(),B4432),""))</f>
        <v>Date</v>
      </c>
      <c r="C4432" s="19" t="str">
        <f>IF(ISBLANK(A4432),"Name",IF(ISNA(VLOOKUP(A4432,'Master List'!A:C,2,FALSE)), "Not Found", VLOOKUP(A4432,'Master List'!A:C,2,FALSE)))</f>
        <v>Name</v>
      </c>
      <c r="D4432" s="19" t="str">
        <f>IF(ISBLANK(A4432), "Email",IF(ISNA(VLOOKUP(A4432,'Master List'!A:C,3,FALSE)), "Not Found", VLOOKUP(A4432,'Master List'!A:C,3,FALSE)))</f>
        <v>Email</v>
      </c>
      <c r="F4432" s="4" t="str">
        <f>IF(OR(A4432="",E4432="","",A4432="?",E4432="?"),"duplicate?",IF(COUNTIFS($A:A,A4432,E:E,E4432)&gt;1,"yes","no"))</f>
        <v>duplicate?</v>
      </c>
      <c r="K4432" s="97" t="str">
        <f ca="1">IF(J4432="","Date",IF(J4432&lt;&gt;"",IF(K4432="Date",NOW(),K4432),""))</f>
        <v>Date</v>
      </c>
    </row>
    <row r="4433" spans="2:11">
      <c r="B4433" s="97" t="str">
        <f ca="1">IF(A4433="","Date",IF(A4433&lt;&gt;"",IF(B4433="Date",NOW(),B4433),""))</f>
        <v>Date</v>
      </c>
      <c r="C4433" s="19" t="str">
        <f>IF(ISBLANK(A4433),"Name",IF(ISNA(VLOOKUP(A4433,'Master List'!A:C,2,FALSE)), "Not Found", VLOOKUP(A4433,'Master List'!A:C,2,FALSE)))</f>
        <v>Name</v>
      </c>
      <c r="D4433" s="19" t="str">
        <f>IF(ISBLANK(A4433), "Email",IF(ISNA(VLOOKUP(A4433,'Master List'!A:C,3,FALSE)), "Not Found", VLOOKUP(A4433,'Master List'!A:C,3,FALSE)))</f>
        <v>Email</v>
      </c>
      <c r="F4433" s="4" t="str">
        <f>IF(OR(A4433="",E4433="","",A4433="?",E4433="?"),"duplicate?",IF(COUNTIFS($A:A,A4433,E:E,E4433)&gt;1,"yes","no"))</f>
        <v>duplicate?</v>
      </c>
      <c r="K4433" s="97" t="str">
        <f ca="1">IF(J4433="","Date",IF(J4433&lt;&gt;"",IF(K4433="Date",NOW(),K4433),""))</f>
        <v>Date</v>
      </c>
    </row>
    <row r="4434" spans="2:11">
      <c r="B4434" s="97" t="str">
        <f ca="1">IF(A4434="","Date",IF(A4434&lt;&gt;"",IF(B4434="Date",NOW(),B4434),""))</f>
        <v>Date</v>
      </c>
      <c r="C4434" s="19" t="str">
        <f>IF(ISBLANK(A4434),"Name",IF(ISNA(VLOOKUP(A4434,'Master List'!A:C,2,FALSE)), "Not Found", VLOOKUP(A4434,'Master List'!A:C,2,FALSE)))</f>
        <v>Name</v>
      </c>
      <c r="D4434" s="19" t="str">
        <f>IF(ISBLANK(A4434), "Email",IF(ISNA(VLOOKUP(A4434,'Master List'!A:C,3,FALSE)), "Not Found", VLOOKUP(A4434,'Master List'!A:C,3,FALSE)))</f>
        <v>Email</v>
      </c>
      <c r="F4434" s="4" t="str">
        <f>IF(OR(A4434="",E4434="","",A4434="?",E4434="?"),"duplicate?",IF(COUNTIFS($A:A,A4434,E:E,E4434)&gt;1,"yes","no"))</f>
        <v>duplicate?</v>
      </c>
      <c r="K4434" s="97" t="str">
        <f ca="1">IF(J4434="","Date",IF(J4434&lt;&gt;"",IF(K4434="Date",NOW(),K4434),""))</f>
        <v>Date</v>
      </c>
    </row>
    <row r="4435" spans="2:11">
      <c r="B4435" s="97" t="str">
        <f ca="1">IF(A4435="","Date",IF(A4435&lt;&gt;"",IF(B4435="Date",NOW(),B4435),""))</f>
        <v>Date</v>
      </c>
      <c r="C4435" s="19" t="str">
        <f>IF(ISBLANK(A4435),"Name",IF(ISNA(VLOOKUP(A4435,'Master List'!A:C,2,FALSE)), "Not Found", VLOOKUP(A4435,'Master List'!A:C,2,FALSE)))</f>
        <v>Name</v>
      </c>
      <c r="D4435" s="19" t="str">
        <f>IF(ISBLANK(A4435), "Email",IF(ISNA(VLOOKUP(A4435,'Master List'!A:C,3,FALSE)), "Not Found", VLOOKUP(A4435,'Master List'!A:C,3,FALSE)))</f>
        <v>Email</v>
      </c>
      <c r="F4435" s="4" t="str">
        <f>IF(OR(A4435="",E4435="","",A4435="?",E4435="?"),"duplicate?",IF(COUNTIFS($A:A,A4435,E:E,E4435)&gt;1,"yes","no"))</f>
        <v>duplicate?</v>
      </c>
      <c r="K4435" s="97" t="str">
        <f ca="1">IF(J4435="","Date",IF(J4435&lt;&gt;"",IF(K4435="Date",NOW(),K4435),""))</f>
        <v>Date</v>
      </c>
    </row>
    <row r="4436" spans="2:11">
      <c r="B4436" s="97" t="str">
        <f ca="1">IF(A4436="","Date",IF(A4436&lt;&gt;"",IF(B4436="Date",NOW(),B4436),""))</f>
        <v>Date</v>
      </c>
      <c r="C4436" s="19" t="str">
        <f>IF(ISBLANK(A4436),"Name",IF(ISNA(VLOOKUP(A4436,'Master List'!A:C,2,FALSE)), "Not Found", VLOOKUP(A4436,'Master List'!A:C,2,FALSE)))</f>
        <v>Name</v>
      </c>
      <c r="D4436" s="19" t="str">
        <f>IF(ISBLANK(A4436), "Email",IF(ISNA(VLOOKUP(A4436,'Master List'!A:C,3,FALSE)), "Not Found", VLOOKUP(A4436,'Master List'!A:C,3,FALSE)))</f>
        <v>Email</v>
      </c>
      <c r="F4436" s="4" t="str">
        <f>IF(OR(A4436="",E4436="","",A4436="?",E4436="?"),"duplicate?",IF(COUNTIFS($A:A,A4436,E:E,E4436)&gt;1,"yes","no"))</f>
        <v>duplicate?</v>
      </c>
      <c r="K4436" s="97" t="str">
        <f ca="1">IF(J4436="","Date",IF(J4436&lt;&gt;"",IF(K4436="Date",NOW(),K4436),""))</f>
        <v>Date</v>
      </c>
    </row>
    <row r="4437" spans="2:11">
      <c r="B4437" s="97" t="str">
        <f ca="1">IF(A4437="","Date",IF(A4437&lt;&gt;"",IF(B4437="Date",NOW(),B4437),""))</f>
        <v>Date</v>
      </c>
      <c r="C4437" s="19" t="str">
        <f>IF(ISBLANK(A4437),"Name",IF(ISNA(VLOOKUP(A4437,'Master List'!A:C,2,FALSE)), "Not Found", VLOOKUP(A4437,'Master List'!A:C,2,FALSE)))</f>
        <v>Name</v>
      </c>
      <c r="D4437" s="19" t="str">
        <f>IF(ISBLANK(A4437), "Email",IF(ISNA(VLOOKUP(A4437,'Master List'!A:C,3,FALSE)), "Not Found", VLOOKUP(A4437,'Master List'!A:C,3,FALSE)))</f>
        <v>Email</v>
      </c>
      <c r="F4437" s="4" t="str">
        <f>IF(OR(A4437="",E4437="","",A4437="?",E4437="?"),"duplicate?",IF(COUNTIFS($A:A,A4437,E:E,E4437)&gt;1,"yes","no"))</f>
        <v>duplicate?</v>
      </c>
      <c r="K4437" s="97" t="str">
        <f ca="1">IF(J4437="","Date",IF(J4437&lt;&gt;"",IF(K4437="Date",NOW(),K4437),""))</f>
        <v>Date</v>
      </c>
    </row>
    <row r="4438" spans="2:11">
      <c r="B4438" s="97" t="str">
        <f ca="1">IF(A4438="","Date",IF(A4438&lt;&gt;"",IF(B4438="Date",NOW(),B4438),""))</f>
        <v>Date</v>
      </c>
      <c r="C4438" s="19" t="str">
        <f>IF(ISBLANK(A4438),"Name",IF(ISNA(VLOOKUP(A4438,'Master List'!A:C,2,FALSE)), "Not Found", VLOOKUP(A4438,'Master List'!A:C,2,FALSE)))</f>
        <v>Name</v>
      </c>
      <c r="D4438" s="19" t="str">
        <f>IF(ISBLANK(A4438), "Email",IF(ISNA(VLOOKUP(A4438,'Master List'!A:C,3,FALSE)), "Not Found", VLOOKUP(A4438,'Master List'!A:C,3,FALSE)))</f>
        <v>Email</v>
      </c>
      <c r="F4438" s="4" t="str">
        <f>IF(OR(A4438="",E4438="","",A4438="?",E4438="?"),"duplicate?",IF(COUNTIFS($A:A,A4438,E:E,E4438)&gt;1,"yes","no"))</f>
        <v>duplicate?</v>
      </c>
      <c r="K4438" s="97" t="str">
        <f ca="1">IF(J4438="","Date",IF(J4438&lt;&gt;"",IF(K4438="Date",NOW(),K4438),""))</f>
        <v>Date</v>
      </c>
    </row>
    <row r="4439" spans="2:11">
      <c r="B4439" s="97" t="str">
        <f ca="1">IF(A4439="","Date",IF(A4439&lt;&gt;"",IF(B4439="Date",NOW(),B4439),""))</f>
        <v>Date</v>
      </c>
      <c r="C4439" s="19" t="str">
        <f>IF(ISBLANK(A4439),"Name",IF(ISNA(VLOOKUP(A4439,'Master List'!A:C,2,FALSE)), "Not Found", VLOOKUP(A4439,'Master List'!A:C,2,FALSE)))</f>
        <v>Name</v>
      </c>
      <c r="D4439" s="19" t="str">
        <f>IF(ISBLANK(A4439), "Email",IF(ISNA(VLOOKUP(A4439,'Master List'!A:C,3,FALSE)), "Not Found", VLOOKUP(A4439,'Master List'!A:C,3,FALSE)))</f>
        <v>Email</v>
      </c>
      <c r="F4439" s="4" t="str">
        <f>IF(OR(A4439="",E4439="","",A4439="?",E4439="?"),"duplicate?",IF(COUNTIFS($A:A,A4439,E:E,E4439)&gt;1,"yes","no"))</f>
        <v>duplicate?</v>
      </c>
      <c r="K4439" s="97" t="str">
        <f ca="1">IF(J4439="","Date",IF(J4439&lt;&gt;"",IF(K4439="Date",NOW(),K4439),""))</f>
        <v>Date</v>
      </c>
    </row>
    <row r="4440" spans="2:11">
      <c r="B4440" s="97" t="str">
        <f ca="1">IF(A4440="","Date",IF(A4440&lt;&gt;"",IF(B4440="Date",NOW(),B4440),""))</f>
        <v>Date</v>
      </c>
      <c r="C4440" s="19" t="str">
        <f>IF(ISBLANK(A4440),"Name",IF(ISNA(VLOOKUP(A4440,'Master List'!A:C,2,FALSE)), "Not Found", VLOOKUP(A4440,'Master List'!A:C,2,FALSE)))</f>
        <v>Name</v>
      </c>
      <c r="D4440" s="19" t="str">
        <f>IF(ISBLANK(A4440), "Email",IF(ISNA(VLOOKUP(A4440,'Master List'!A:C,3,FALSE)), "Not Found", VLOOKUP(A4440,'Master List'!A:C,3,FALSE)))</f>
        <v>Email</v>
      </c>
      <c r="F4440" s="4" t="str">
        <f>IF(OR(A4440="",E4440="","",A4440="?",E4440="?"),"duplicate?",IF(COUNTIFS($A:A,A4440,E:E,E4440)&gt;1,"yes","no"))</f>
        <v>duplicate?</v>
      </c>
      <c r="K4440" s="97" t="str">
        <f ca="1">IF(J4440="","Date",IF(J4440&lt;&gt;"",IF(K4440="Date",NOW(),K4440),""))</f>
        <v>Date</v>
      </c>
    </row>
    <row r="4441" spans="2:11">
      <c r="B4441" s="97" t="str">
        <f ca="1">IF(A4441="","Date",IF(A4441&lt;&gt;"",IF(B4441="Date",NOW(),B4441),""))</f>
        <v>Date</v>
      </c>
      <c r="C4441" s="19" t="str">
        <f>IF(ISBLANK(A4441),"Name",IF(ISNA(VLOOKUP(A4441,'Master List'!A:C,2,FALSE)), "Not Found", VLOOKUP(A4441,'Master List'!A:C,2,FALSE)))</f>
        <v>Name</v>
      </c>
      <c r="D4441" s="19" t="str">
        <f>IF(ISBLANK(A4441), "Email",IF(ISNA(VLOOKUP(A4441,'Master List'!A:C,3,FALSE)), "Not Found", VLOOKUP(A4441,'Master List'!A:C,3,FALSE)))</f>
        <v>Email</v>
      </c>
      <c r="F4441" s="4" t="str">
        <f>IF(OR(A4441="",E4441="","",A4441="?",E4441="?"),"duplicate?",IF(COUNTIFS($A:A,A4441,E:E,E4441)&gt;1,"yes","no"))</f>
        <v>duplicate?</v>
      </c>
      <c r="K4441" s="97" t="str">
        <f ca="1">IF(J4441="","Date",IF(J4441&lt;&gt;"",IF(K4441="Date",NOW(),K4441),""))</f>
        <v>Date</v>
      </c>
    </row>
    <row r="4442" spans="2:11">
      <c r="B4442" s="97" t="str">
        <f ca="1">IF(A4442="","Date",IF(A4442&lt;&gt;"",IF(B4442="Date",NOW(),B4442),""))</f>
        <v>Date</v>
      </c>
      <c r="C4442" s="19" t="str">
        <f>IF(ISBLANK(A4442),"Name",IF(ISNA(VLOOKUP(A4442,'Master List'!A:C,2,FALSE)), "Not Found", VLOOKUP(A4442,'Master List'!A:C,2,FALSE)))</f>
        <v>Name</v>
      </c>
      <c r="D4442" s="19" t="str">
        <f>IF(ISBLANK(A4442), "Email",IF(ISNA(VLOOKUP(A4442,'Master List'!A:C,3,FALSE)), "Not Found", VLOOKUP(A4442,'Master List'!A:C,3,FALSE)))</f>
        <v>Email</v>
      </c>
      <c r="F4442" s="4" t="str">
        <f>IF(OR(A4442="",E4442="","",A4442="?",E4442="?"),"duplicate?",IF(COUNTIFS($A:A,A4442,E:E,E4442)&gt;1,"yes","no"))</f>
        <v>duplicate?</v>
      </c>
      <c r="K4442" s="97" t="str">
        <f ca="1">IF(J4442="","Date",IF(J4442&lt;&gt;"",IF(K4442="Date",NOW(),K4442),""))</f>
        <v>Date</v>
      </c>
    </row>
    <row r="4443" spans="2:11">
      <c r="B4443" s="97" t="str">
        <f ca="1">IF(A4443="","Date",IF(A4443&lt;&gt;"",IF(B4443="Date",NOW(),B4443),""))</f>
        <v>Date</v>
      </c>
      <c r="C4443" s="19" t="str">
        <f>IF(ISBLANK(A4443),"Name",IF(ISNA(VLOOKUP(A4443,'Master List'!A:C,2,FALSE)), "Not Found", VLOOKUP(A4443,'Master List'!A:C,2,FALSE)))</f>
        <v>Name</v>
      </c>
      <c r="D4443" s="19" t="str">
        <f>IF(ISBLANK(A4443), "Email",IF(ISNA(VLOOKUP(A4443,'Master List'!A:C,3,FALSE)), "Not Found", VLOOKUP(A4443,'Master List'!A:C,3,FALSE)))</f>
        <v>Email</v>
      </c>
      <c r="F4443" s="4" t="str">
        <f>IF(OR(A4443="",E4443="","",A4443="?",E4443="?"),"duplicate?",IF(COUNTIFS($A:A,A4443,E:E,E4443)&gt;1,"yes","no"))</f>
        <v>duplicate?</v>
      </c>
      <c r="K4443" s="97" t="str">
        <f ca="1">IF(J4443="","Date",IF(J4443&lt;&gt;"",IF(K4443="Date",NOW(),K4443),""))</f>
        <v>Date</v>
      </c>
    </row>
    <row r="4444" spans="2:11">
      <c r="B4444" s="97" t="str">
        <f ca="1">IF(A4444="","Date",IF(A4444&lt;&gt;"",IF(B4444="Date",NOW(),B4444),""))</f>
        <v>Date</v>
      </c>
      <c r="C4444" s="19" t="str">
        <f>IF(ISBLANK(A4444),"Name",IF(ISNA(VLOOKUP(A4444,'Master List'!A:C,2,FALSE)), "Not Found", VLOOKUP(A4444,'Master List'!A:C,2,FALSE)))</f>
        <v>Name</v>
      </c>
      <c r="D4444" s="19" t="str">
        <f>IF(ISBLANK(A4444), "Email",IF(ISNA(VLOOKUP(A4444,'Master List'!A:C,3,FALSE)), "Not Found", VLOOKUP(A4444,'Master List'!A:C,3,FALSE)))</f>
        <v>Email</v>
      </c>
      <c r="F4444" s="4" t="str">
        <f>IF(OR(A4444="",E4444="","",A4444="?",E4444="?"),"duplicate?",IF(COUNTIFS($A:A,A4444,E:E,E4444)&gt;1,"yes","no"))</f>
        <v>duplicate?</v>
      </c>
      <c r="K4444" s="97" t="str">
        <f ca="1">IF(J4444="","Date",IF(J4444&lt;&gt;"",IF(K4444="Date",NOW(),K4444),""))</f>
        <v>Date</v>
      </c>
    </row>
    <row r="4445" spans="2:11">
      <c r="B4445" s="97" t="str">
        <f ca="1">IF(A4445="","Date",IF(A4445&lt;&gt;"",IF(B4445="Date",NOW(),B4445),""))</f>
        <v>Date</v>
      </c>
      <c r="C4445" s="19" t="str">
        <f>IF(ISBLANK(A4445),"Name",IF(ISNA(VLOOKUP(A4445,'Master List'!A:C,2,FALSE)), "Not Found", VLOOKUP(A4445,'Master List'!A:C,2,FALSE)))</f>
        <v>Name</v>
      </c>
      <c r="D4445" s="19" t="str">
        <f>IF(ISBLANK(A4445), "Email",IF(ISNA(VLOOKUP(A4445,'Master List'!A:C,3,FALSE)), "Not Found", VLOOKUP(A4445,'Master List'!A:C,3,FALSE)))</f>
        <v>Email</v>
      </c>
      <c r="F4445" s="4" t="str">
        <f>IF(OR(A4445="",E4445="","",A4445="?",E4445="?"),"duplicate?",IF(COUNTIFS($A:A,A4445,E:E,E4445)&gt;1,"yes","no"))</f>
        <v>duplicate?</v>
      </c>
      <c r="K4445" s="97" t="str">
        <f ca="1">IF(J4445="","Date",IF(J4445&lt;&gt;"",IF(K4445="Date",NOW(),K4445),""))</f>
        <v>Date</v>
      </c>
    </row>
    <row r="4446" spans="2:11">
      <c r="B4446" s="97" t="str">
        <f ca="1">IF(A4446="","Date",IF(A4446&lt;&gt;"",IF(B4446="Date",NOW(),B4446),""))</f>
        <v>Date</v>
      </c>
      <c r="C4446" s="19" t="str">
        <f>IF(ISBLANK(A4446),"Name",IF(ISNA(VLOOKUP(A4446,'Master List'!A:C,2,FALSE)), "Not Found", VLOOKUP(A4446,'Master List'!A:C,2,FALSE)))</f>
        <v>Name</v>
      </c>
      <c r="D4446" s="19" t="str">
        <f>IF(ISBLANK(A4446), "Email",IF(ISNA(VLOOKUP(A4446,'Master List'!A:C,3,FALSE)), "Not Found", VLOOKUP(A4446,'Master List'!A:C,3,FALSE)))</f>
        <v>Email</v>
      </c>
      <c r="F4446" s="4" t="str">
        <f>IF(OR(A4446="",E4446="","",A4446="?",E4446="?"),"duplicate?",IF(COUNTIFS($A:A,A4446,E:E,E4446)&gt;1,"yes","no"))</f>
        <v>duplicate?</v>
      </c>
      <c r="K4446" s="97" t="str">
        <f ca="1">IF(J4446="","Date",IF(J4446&lt;&gt;"",IF(K4446="Date",NOW(),K4446),""))</f>
        <v>Date</v>
      </c>
    </row>
    <row r="4447" spans="2:11">
      <c r="B4447" s="97" t="str">
        <f ca="1">IF(A4447="","Date",IF(A4447&lt;&gt;"",IF(B4447="Date",NOW(),B4447),""))</f>
        <v>Date</v>
      </c>
      <c r="C4447" s="19" t="str">
        <f>IF(ISBLANK(A4447),"Name",IF(ISNA(VLOOKUP(A4447,'Master List'!A:C,2,FALSE)), "Not Found", VLOOKUP(A4447,'Master List'!A:C,2,FALSE)))</f>
        <v>Name</v>
      </c>
      <c r="D4447" s="19" t="str">
        <f>IF(ISBLANK(A4447), "Email",IF(ISNA(VLOOKUP(A4447,'Master List'!A:C,3,FALSE)), "Not Found", VLOOKUP(A4447,'Master List'!A:C,3,FALSE)))</f>
        <v>Email</v>
      </c>
      <c r="F4447" s="4" t="str">
        <f>IF(OR(A4447="",E4447="","",A4447="?",E4447="?"),"duplicate?",IF(COUNTIFS($A:A,A4447,E:E,E4447)&gt;1,"yes","no"))</f>
        <v>duplicate?</v>
      </c>
      <c r="K4447" s="97" t="str">
        <f ca="1">IF(J4447="","Date",IF(J4447&lt;&gt;"",IF(K4447="Date",NOW(),K4447),""))</f>
        <v>Date</v>
      </c>
    </row>
    <row r="4448" spans="2:11">
      <c r="B4448" s="97" t="str">
        <f ca="1">IF(A4448="","Date",IF(A4448&lt;&gt;"",IF(B4448="Date",NOW(),B4448),""))</f>
        <v>Date</v>
      </c>
      <c r="C4448" s="19" t="str">
        <f>IF(ISBLANK(A4448),"Name",IF(ISNA(VLOOKUP(A4448,'Master List'!A:C,2,FALSE)), "Not Found", VLOOKUP(A4448,'Master List'!A:C,2,FALSE)))</f>
        <v>Name</v>
      </c>
      <c r="D4448" s="19" t="str">
        <f>IF(ISBLANK(A4448), "Email",IF(ISNA(VLOOKUP(A4448,'Master List'!A:C,3,FALSE)), "Not Found", VLOOKUP(A4448,'Master List'!A:C,3,FALSE)))</f>
        <v>Email</v>
      </c>
      <c r="F4448" s="4" t="str">
        <f>IF(OR(A4448="",E4448="","",A4448="?",E4448="?"),"duplicate?",IF(COUNTIFS($A:A,A4448,E:E,E4448)&gt;1,"yes","no"))</f>
        <v>duplicate?</v>
      </c>
      <c r="K4448" s="97" t="str">
        <f ca="1">IF(J4448="","Date",IF(J4448&lt;&gt;"",IF(K4448="Date",NOW(),K4448),""))</f>
        <v>Date</v>
      </c>
    </row>
    <row r="4449" spans="2:11">
      <c r="B4449" s="97" t="str">
        <f ca="1">IF(A4449="","Date",IF(A4449&lt;&gt;"",IF(B4449="Date",NOW(),B4449),""))</f>
        <v>Date</v>
      </c>
      <c r="C4449" s="19" t="str">
        <f>IF(ISBLANK(A4449),"Name",IF(ISNA(VLOOKUP(A4449,'Master List'!A:C,2,FALSE)), "Not Found", VLOOKUP(A4449,'Master List'!A:C,2,FALSE)))</f>
        <v>Name</v>
      </c>
      <c r="D4449" s="19" t="str">
        <f>IF(ISBLANK(A4449), "Email",IF(ISNA(VLOOKUP(A4449,'Master List'!A:C,3,FALSE)), "Not Found", VLOOKUP(A4449,'Master List'!A:C,3,FALSE)))</f>
        <v>Email</v>
      </c>
      <c r="F4449" s="4" t="str">
        <f>IF(OR(A4449="",E4449="","",A4449="?",E4449="?"),"duplicate?",IF(COUNTIFS($A:A,A4449,E:E,E4449)&gt;1,"yes","no"))</f>
        <v>duplicate?</v>
      </c>
      <c r="K4449" s="97" t="str">
        <f ca="1">IF(J4449="","Date",IF(J4449&lt;&gt;"",IF(K4449="Date",NOW(),K4449),""))</f>
        <v>Date</v>
      </c>
    </row>
    <row r="4450" spans="2:11">
      <c r="B4450" s="97" t="str">
        <f ca="1">IF(A4450="","Date",IF(A4450&lt;&gt;"",IF(B4450="Date",NOW(),B4450),""))</f>
        <v>Date</v>
      </c>
      <c r="C4450" s="19" t="str">
        <f>IF(ISBLANK(A4450),"Name",IF(ISNA(VLOOKUP(A4450,'Master List'!A:C,2,FALSE)), "Not Found", VLOOKUP(A4450,'Master List'!A:C,2,FALSE)))</f>
        <v>Name</v>
      </c>
      <c r="D4450" s="19" t="str">
        <f>IF(ISBLANK(A4450), "Email",IF(ISNA(VLOOKUP(A4450,'Master List'!A:C,3,FALSE)), "Not Found", VLOOKUP(A4450,'Master List'!A:C,3,FALSE)))</f>
        <v>Email</v>
      </c>
      <c r="F4450" s="4" t="str">
        <f>IF(OR(A4450="",E4450="","",A4450="?",E4450="?"),"duplicate?",IF(COUNTIFS($A:A,A4450,E:E,E4450)&gt;1,"yes","no"))</f>
        <v>duplicate?</v>
      </c>
      <c r="K4450" s="97" t="str">
        <f ca="1">IF(J4450="","Date",IF(J4450&lt;&gt;"",IF(K4450="Date",NOW(),K4450),""))</f>
        <v>Date</v>
      </c>
    </row>
    <row r="4451" spans="2:11">
      <c r="B4451" s="97" t="str">
        <f ca="1">IF(A4451="","Date",IF(A4451&lt;&gt;"",IF(B4451="Date",NOW(),B4451),""))</f>
        <v>Date</v>
      </c>
      <c r="C4451" s="19" t="str">
        <f>IF(ISBLANK(A4451),"Name",IF(ISNA(VLOOKUP(A4451,'Master List'!A:C,2,FALSE)), "Not Found", VLOOKUP(A4451,'Master List'!A:C,2,FALSE)))</f>
        <v>Name</v>
      </c>
      <c r="D4451" s="19" t="str">
        <f>IF(ISBLANK(A4451), "Email",IF(ISNA(VLOOKUP(A4451,'Master List'!A:C,3,FALSE)), "Not Found", VLOOKUP(A4451,'Master List'!A:C,3,FALSE)))</f>
        <v>Email</v>
      </c>
      <c r="F4451" s="4" t="str">
        <f>IF(OR(A4451="",E4451="","",A4451="?",E4451="?"),"duplicate?",IF(COUNTIFS($A:A,A4451,E:E,E4451)&gt;1,"yes","no"))</f>
        <v>duplicate?</v>
      </c>
      <c r="K4451" s="97" t="str">
        <f ca="1">IF(J4451="","Date",IF(J4451&lt;&gt;"",IF(K4451="Date",NOW(),K4451),""))</f>
        <v>Date</v>
      </c>
    </row>
    <row r="4452" spans="2:11">
      <c r="B4452" s="97" t="str">
        <f ca="1">IF(A4452="","Date",IF(A4452&lt;&gt;"",IF(B4452="Date",NOW(),B4452),""))</f>
        <v>Date</v>
      </c>
      <c r="C4452" s="19" t="str">
        <f>IF(ISBLANK(A4452),"Name",IF(ISNA(VLOOKUP(A4452,'Master List'!A:C,2,FALSE)), "Not Found", VLOOKUP(A4452,'Master List'!A:C,2,FALSE)))</f>
        <v>Name</v>
      </c>
      <c r="D4452" s="19" t="str">
        <f>IF(ISBLANK(A4452), "Email",IF(ISNA(VLOOKUP(A4452,'Master List'!A:C,3,FALSE)), "Not Found", VLOOKUP(A4452,'Master List'!A:C,3,FALSE)))</f>
        <v>Email</v>
      </c>
      <c r="F4452" s="4" t="str">
        <f>IF(OR(A4452="",E4452="","",A4452="?",E4452="?"),"duplicate?",IF(COUNTIFS($A:A,A4452,E:E,E4452)&gt;1,"yes","no"))</f>
        <v>duplicate?</v>
      </c>
      <c r="K4452" s="97" t="str">
        <f ca="1">IF(J4452="","Date",IF(J4452&lt;&gt;"",IF(K4452="Date",NOW(),K4452),""))</f>
        <v>Date</v>
      </c>
    </row>
    <row r="4453" spans="2:11">
      <c r="B4453" s="97" t="str">
        <f ca="1">IF(A4453="","Date",IF(A4453&lt;&gt;"",IF(B4453="Date",NOW(),B4453),""))</f>
        <v>Date</v>
      </c>
      <c r="C4453" s="19" t="str">
        <f>IF(ISBLANK(A4453),"Name",IF(ISNA(VLOOKUP(A4453,'Master List'!A:C,2,FALSE)), "Not Found", VLOOKUP(A4453,'Master List'!A:C,2,FALSE)))</f>
        <v>Name</v>
      </c>
      <c r="D4453" s="19" t="str">
        <f>IF(ISBLANK(A4453), "Email",IF(ISNA(VLOOKUP(A4453,'Master List'!A:C,3,FALSE)), "Not Found", VLOOKUP(A4453,'Master List'!A:C,3,FALSE)))</f>
        <v>Email</v>
      </c>
      <c r="F4453" s="4" t="str">
        <f>IF(OR(A4453="",E4453="","",A4453="?",E4453="?"),"duplicate?",IF(COUNTIFS($A:A,A4453,E:E,E4453)&gt;1,"yes","no"))</f>
        <v>duplicate?</v>
      </c>
      <c r="K4453" s="97" t="str">
        <f ca="1">IF(J4453="","Date",IF(J4453&lt;&gt;"",IF(K4453="Date",NOW(),K4453),""))</f>
        <v>Date</v>
      </c>
    </row>
    <row r="4454" spans="2:11">
      <c r="B4454" s="97" t="str">
        <f ca="1">IF(A4454="","Date",IF(A4454&lt;&gt;"",IF(B4454="Date",NOW(),B4454),""))</f>
        <v>Date</v>
      </c>
      <c r="C4454" s="19" t="str">
        <f>IF(ISBLANK(A4454),"Name",IF(ISNA(VLOOKUP(A4454,'Master List'!A:C,2,FALSE)), "Not Found", VLOOKUP(A4454,'Master List'!A:C,2,FALSE)))</f>
        <v>Name</v>
      </c>
      <c r="D4454" s="19" t="str">
        <f>IF(ISBLANK(A4454), "Email",IF(ISNA(VLOOKUP(A4454,'Master List'!A:C,3,FALSE)), "Not Found", VLOOKUP(A4454,'Master List'!A:C,3,FALSE)))</f>
        <v>Email</v>
      </c>
      <c r="F4454" s="4" t="str">
        <f>IF(OR(A4454="",E4454="","",A4454="?",E4454="?"),"duplicate?",IF(COUNTIFS($A:A,A4454,E:E,E4454)&gt;1,"yes","no"))</f>
        <v>duplicate?</v>
      </c>
      <c r="K4454" s="97" t="str">
        <f ca="1">IF(J4454="","Date",IF(J4454&lt;&gt;"",IF(K4454="Date",NOW(),K4454),""))</f>
        <v>Date</v>
      </c>
    </row>
    <row r="4455" spans="2:11">
      <c r="B4455" s="97" t="str">
        <f ca="1">IF(A4455="","Date",IF(A4455&lt;&gt;"",IF(B4455="Date",NOW(),B4455),""))</f>
        <v>Date</v>
      </c>
      <c r="C4455" s="19" t="str">
        <f>IF(ISBLANK(A4455),"Name",IF(ISNA(VLOOKUP(A4455,'Master List'!A:C,2,FALSE)), "Not Found", VLOOKUP(A4455,'Master List'!A:C,2,FALSE)))</f>
        <v>Name</v>
      </c>
      <c r="D4455" s="19" t="str">
        <f>IF(ISBLANK(A4455), "Email",IF(ISNA(VLOOKUP(A4455,'Master List'!A:C,3,FALSE)), "Not Found", VLOOKUP(A4455,'Master List'!A:C,3,FALSE)))</f>
        <v>Email</v>
      </c>
      <c r="F4455" s="4" t="str">
        <f>IF(OR(A4455="",E4455="","",A4455="?",E4455="?"),"duplicate?",IF(COUNTIFS($A:A,A4455,E:E,E4455)&gt;1,"yes","no"))</f>
        <v>duplicate?</v>
      </c>
      <c r="K4455" s="97" t="str">
        <f ca="1">IF(J4455="","Date",IF(J4455&lt;&gt;"",IF(K4455="Date",NOW(),K4455),""))</f>
        <v>Date</v>
      </c>
    </row>
    <row r="4456" spans="2:11">
      <c r="B4456" s="97" t="str">
        <f ca="1">IF(A4456="","Date",IF(A4456&lt;&gt;"",IF(B4456="Date",NOW(),B4456),""))</f>
        <v>Date</v>
      </c>
      <c r="C4456" s="19" t="str">
        <f>IF(ISBLANK(A4456),"Name",IF(ISNA(VLOOKUP(A4456,'Master List'!A:C,2,FALSE)), "Not Found", VLOOKUP(A4456,'Master List'!A:C,2,FALSE)))</f>
        <v>Name</v>
      </c>
      <c r="D4456" s="19" t="str">
        <f>IF(ISBLANK(A4456), "Email",IF(ISNA(VLOOKUP(A4456,'Master List'!A:C,3,FALSE)), "Not Found", VLOOKUP(A4456,'Master List'!A:C,3,FALSE)))</f>
        <v>Email</v>
      </c>
      <c r="F4456" s="4" t="str">
        <f>IF(OR(A4456="",E4456="","",A4456="?",E4456="?"),"duplicate?",IF(COUNTIFS($A:A,A4456,E:E,E4456)&gt;1,"yes","no"))</f>
        <v>duplicate?</v>
      </c>
      <c r="K4456" s="97" t="str">
        <f ca="1">IF(J4456="","Date",IF(J4456&lt;&gt;"",IF(K4456="Date",NOW(),K4456),""))</f>
        <v>Date</v>
      </c>
    </row>
    <row r="4457" spans="2:11">
      <c r="B4457" s="97" t="str">
        <f ca="1">IF(A4457="","Date",IF(A4457&lt;&gt;"",IF(B4457="Date",NOW(),B4457),""))</f>
        <v>Date</v>
      </c>
      <c r="C4457" s="19" t="str">
        <f>IF(ISBLANK(A4457),"Name",IF(ISNA(VLOOKUP(A4457,'Master List'!A:C,2,FALSE)), "Not Found", VLOOKUP(A4457,'Master List'!A:C,2,FALSE)))</f>
        <v>Name</v>
      </c>
      <c r="D4457" s="19" t="str">
        <f>IF(ISBLANK(A4457), "Email",IF(ISNA(VLOOKUP(A4457,'Master List'!A:C,3,FALSE)), "Not Found", VLOOKUP(A4457,'Master List'!A:C,3,FALSE)))</f>
        <v>Email</v>
      </c>
      <c r="F4457" s="4" t="str">
        <f>IF(OR(A4457="",E4457="","",A4457="?",E4457="?"),"duplicate?",IF(COUNTIFS($A:A,A4457,E:E,E4457)&gt;1,"yes","no"))</f>
        <v>duplicate?</v>
      </c>
      <c r="K4457" s="97" t="str">
        <f ca="1">IF(J4457="","Date",IF(J4457&lt;&gt;"",IF(K4457="Date",NOW(),K4457),""))</f>
        <v>Date</v>
      </c>
    </row>
    <row r="4458" spans="2:11">
      <c r="B4458" s="97" t="str">
        <f ca="1">IF(A4458="","Date",IF(A4458&lt;&gt;"",IF(B4458="Date",NOW(),B4458),""))</f>
        <v>Date</v>
      </c>
      <c r="C4458" s="19" t="str">
        <f>IF(ISBLANK(A4458),"Name",IF(ISNA(VLOOKUP(A4458,'Master List'!A:C,2,FALSE)), "Not Found", VLOOKUP(A4458,'Master List'!A:C,2,FALSE)))</f>
        <v>Name</v>
      </c>
      <c r="D4458" s="19" t="str">
        <f>IF(ISBLANK(A4458), "Email",IF(ISNA(VLOOKUP(A4458,'Master List'!A:C,3,FALSE)), "Not Found", VLOOKUP(A4458,'Master List'!A:C,3,FALSE)))</f>
        <v>Email</v>
      </c>
      <c r="F4458" s="4" t="str">
        <f>IF(OR(A4458="",E4458="","",A4458="?",E4458="?"),"duplicate?",IF(COUNTIFS($A:A,A4458,E:E,E4458)&gt;1,"yes","no"))</f>
        <v>duplicate?</v>
      </c>
      <c r="K4458" s="97" t="str">
        <f ca="1">IF(J4458="","Date",IF(J4458&lt;&gt;"",IF(K4458="Date",NOW(),K4458),""))</f>
        <v>Date</v>
      </c>
    </row>
    <row r="4459" spans="2:11">
      <c r="B4459" s="97" t="str">
        <f ca="1">IF(A4459="","Date",IF(A4459&lt;&gt;"",IF(B4459="Date",NOW(),B4459),""))</f>
        <v>Date</v>
      </c>
      <c r="C4459" s="19" t="str">
        <f>IF(ISBLANK(A4459),"Name",IF(ISNA(VLOOKUP(A4459,'Master List'!A:C,2,FALSE)), "Not Found", VLOOKUP(A4459,'Master List'!A:C,2,FALSE)))</f>
        <v>Name</v>
      </c>
      <c r="D4459" s="19" t="str">
        <f>IF(ISBLANK(A4459), "Email",IF(ISNA(VLOOKUP(A4459,'Master List'!A:C,3,FALSE)), "Not Found", VLOOKUP(A4459,'Master List'!A:C,3,FALSE)))</f>
        <v>Email</v>
      </c>
      <c r="F4459" s="4" t="str">
        <f>IF(OR(A4459="",E4459="","",A4459="?",E4459="?"),"duplicate?",IF(COUNTIFS($A:A,A4459,E:E,E4459)&gt;1,"yes","no"))</f>
        <v>duplicate?</v>
      </c>
      <c r="K4459" s="97" t="str">
        <f ca="1">IF(J4459="","Date",IF(J4459&lt;&gt;"",IF(K4459="Date",NOW(),K4459),""))</f>
        <v>Date</v>
      </c>
    </row>
    <row r="4460" spans="2:11">
      <c r="B4460" s="97" t="str">
        <f ca="1">IF(A4460="","Date",IF(A4460&lt;&gt;"",IF(B4460="Date",NOW(),B4460),""))</f>
        <v>Date</v>
      </c>
      <c r="C4460" s="19" t="str">
        <f>IF(ISBLANK(A4460),"Name",IF(ISNA(VLOOKUP(A4460,'Master List'!A:C,2,FALSE)), "Not Found", VLOOKUP(A4460,'Master List'!A:C,2,FALSE)))</f>
        <v>Name</v>
      </c>
      <c r="D4460" s="19" t="str">
        <f>IF(ISBLANK(A4460), "Email",IF(ISNA(VLOOKUP(A4460,'Master List'!A:C,3,FALSE)), "Not Found", VLOOKUP(A4460,'Master List'!A:C,3,FALSE)))</f>
        <v>Email</v>
      </c>
      <c r="F4460" s="4" t="str">
        <f>IF(OR(A4460="",E4460="","",A4460="?",E4460="?"),"duplicate?",IF(COUNTIFS($A:A,A4460,E:E,E4460)&gt;1,"yes","no"))</f>
        <v>duplicate?</v>
      </c>
      <c r="K4460" s="97" t="str">
        <f ca="1">IF(J4460="","Date",IF(J4460&lt;&gt;"",IF(K4460="Date",NOW(),K4460),""))</f>
        <v>Date</v>
      </c>
    </row>
    <row r="4461" spans="2:11">
      <c r="B4461" s="97" t="str">
        <f ca="1">IF(A4461="","Date",IF(A4461&lt;&gt;"",IF(B4461="Date",NOW(),B4461),""))</f>
        <v>Date</v>
      </c>
      <c r="C4461" s="19" t="str">
        <f>IF(ISBLANK(A4461),"Name",IF(ISNA(VLOOKUP(A4461,'Master List'!A:C,2,FALSE)), "Not Found", VLOOKUP(A4461,'Master List'!A:C,2,FALSE)))</f>
        <v>Name</v>
      </c>
      <c r="D4461" s="19" t="str">
        <f>IF(ISBLANK(A4461), "Email",IF(ISNA(VLOOKUP(A4461,'Master List'!A:C,3,FALSE)), "Not Found", VLOOKUP(A4461,'Master List'!A:C,3,FALSE)))</f>
        <v>Email</v>
      </c>
      <c r="F4461" s="4" t="str">
        <f>IF(OR(A4461="",E4461="","",A4461="?",E4461="?"),"duplicate?",IF(COUNTIFS($A:A,A4461,E:E,E4461)&gt;1,"yes","no"))</f>
        <v>duplicate?</v>
      </c>
      <c r="K4461" s="97" t="str">
        <f ca="1">IF(J4461="","Date",IF(J4461&lt;&gt;"",IF(K4461="Date",NOW(),K4461),""))</f>
        <v>Date</v>
      </c>
    </row>
    <row r="4462" spans="2:11">
      <c r="B4462" s="97" t="str">
        <f ca="1">IF(A4462="","Date",IF(A4462&lt;&gt;"",IF(B4462="Date",NOW(),B4462),""))</f>
        <v>Date</v>
      </c>
      <c r="C4462" s="19" t="str">
        <f>IF(ISBLANK(A4462),"Name",IF(ISNA(VLOOKUP(A4462,'Master List'!A:C,2,FALSE)), "Not Found", VLOOKUP(A4462,'Master List'!A:C,2,FALSE)))</f>
        <v>Name</v>
      </c>
      <c r="D4462" s="19" t="str">
        <f>IF(ISBLANK(A4462), "Email",IF(ISNA(VLOOKUP(A4462,'Master List'!A:C,3,FALSE)), "Not Found", VLOOKUP(A4462,'Master List'!A:C,3,FALSE)))</f>
        <v>Email</v>
      </c>
      <c r="F4462" s="4" t="str">
        <f>IF(OR(A4462="",E4462="","",A4462="?",E4462="?"),"duplicate?",IF(COUNTIFS($A:A,A4462,E:E,E4462)&gt;1,"yes","no"))</f>
        <v>duplicate?</v>
      </c>
      <c r="K4462" s="97" t="str">
        <f ca="1">IF(J4462="","Date",IF(J4462&lt;&gt;"",IF(K4462="Date",NOW(),K4462),""))</f>
        <v>Date</v>
      </c>
    </row>
    <row r="4463" spans="2:11">
      <c r="B4463" s="97" t="str">
        <f ca="1">IF(A4463="","Date",IF(A4463&lt;&gt;"",IF(B4463="Date",NOW(),B4463),""))</f>
        <v>Date</v>
      </c>
      <c r="C4463" s="19" t="str">
        <f>IF(ISBLANK(A4463),"Name",IF(ISNA(VLOOKUP(A4463,'Master List'!A:C,2,FALSE)), "Not Found", VLOOKUP(A4463,'Master List'!A:C,2,FALSE)))</f>
        <v>Name</v>
      </c>
      <c r="D4463" s="19" t="str">
        <f>IF(ISBLANK(A4463), "Email",IF(ISNA(VLOOKUP(A4463,'Master List'!A:C,3,FALSE)), "Not Found", VLOOKUP(A4463,'Master List'!A:C,3,FALSE)))</f>
        <v>Email</v>
      </c>
      <c r="F4463" s="4" t="str">
        <f>IF(OR(A4463="",E4463="","",A4463="?",E4463="?"),"duplicate?",IF(COUNTIFS($A:A,A4463,E:E,E4463)&gt;1,"yes","no"))</f>
        <v>duplicate?</v>
      </c>
      <c r="K4463" s="97" t="str">
        <f ca="1">IF(J4463="","Date",IF(J4463&lt;&gt;"",IF(K4463="Date",NOW(),K4463),""))</f>
        <v>Date</v>
      </c>
    </row>
    <row r="4464" spans="2:11">
      <c r="B4464" s="97" t="str">
        <f ca="1">IF(A4464="","Date",IF(A4464&lt;&gt;"",IF(B4464="Date",NOW(),B4464),""))</f>
        <v>Date</v>
      </c>
      <c r="C4464" s="19" t="str">
        <f>IF(ISBLANK(A4464),"Name",IF(ISNA(VLOOKUP(A4464,'Master List'!A:C,2,FALSE)), "Not Found", VLOOKUP(A4464,'Master List'!A:C,2,FALSE)))</f>
        <v>Name</v>
      </c>
      <c r="D4464" s="19" t="str">
        <f>IF(ISBLANK(A4464), "Email",IF(ISNA(VLOOKUP(A4464,'Master List'!A:C,3,FALSE)), "Not Found", VLOOKUP(A4464,'Master List'!A:C,3,FALSE)))</f>
        <v>Email</v>
      </c>
      <c r="F4464" s="4" t="str">
        <f>IF(OR(A4464="",E4464="","",A4464="?",E4464="?"),"duplicate?",IF(COUNTIFS($A:A,A4464,E:E,E4464)&gt;1,"yes","no"))</f>
        <v>duplicate?</v>
      </c>
      <c r="K4464" s="97" t="str">
        <f ca="1">IF(J4464="","Date",IF(J4464&lt;&gt;"",IF(K4464="Date",NOW(),K4464),""))</f>
        <v>Date</v>
      </c>
    </row>
    <row r="4465" spans="2:11">
      <c r="B4465" s="97" t="str">
        <f ca="1">IF(A4465="","Date",IF(A4465&lt;&gt;"",IF(B4465="Date",NOW(),B4465),""))</f>
        <v>Date</v>
      </c>
      <c r="C4465" s="19" t="str">
        <f>IF(ISBLANK(A4465),"Name",IF(ISNA(VLOOKUP(A4465,'Master List'!A:C,2,FALSE)), "Not Found", VLOOKUP(A4465,'Master List'!A:C,2,FALSE)))</f>
        <v>Name</v>
      </c>
      <c r="D4465" s="19" t="str">
        <f>IF(ISBLANK(A4465), "Email",IF(ISNA(VLOOKUP(A4465,'Master List'!A:C,3,FALSE)), "Not Found", VLOOKUP(A4465,'Master List'!A:C,3,FALSE)))</f>
        <v>Email</v>
      </c>
      <c r="F4465" s="4" t="str">
        <f>IF(OR(A4465="",E4465="","",A4465="?",E4465="?"),"duplicate?",IF(COUNTIFS($A:A,A4465,E:E,E4465)&gt;1,"yes","no"))</f>
        <v>duplicate?</v>
      </c>
      <c r="K4465" s="97" t="str">
        <f ca="1">IF(J4465="","Date",IF(J4465&lt;&gt;"",IF(K4465="Date",NOW(),K4465),""))</f>
        <v>Date</v>
      </c>
    </row>
    <row r="4466" spans="2:11">
      <c r="B4466" s="97" t="str">
        <f ca="1">IF(A4466="","Date",IF(A4466&lt;&gt;"",IF(B4466="Date",NOW(),B4466),""))</f>
        <v>Date</v>
      </c>
      <c r="C4466" s="19" t="str">
        <f>IF(ISBLANK(A4466),"Name",IF(ISNA(VLOOKUP(A4466,'Master List'!A:C,2,FALSE)), "Not Found", VLOOKUP(A4466,'Master List'!A:C,2,FALSE)))</f>
        <v>Name</v>
      </c>
      <c r="D4466" s="19" t="str">
        <f>IF(ISBLANK(A4466), "Email",IF(ISNA(VLOOKUP(A4466,'Master List'!A:C,3,FALSE)), "Not Found", VLOOKUP(A4466,'Master List'!A:C,3,FALSE)))</f>
        <v>Email</v>
      </c>
      <c r="F4466" s="4" t="str">
        <f>IF(OR(A4466="",E4466="","",A4466="?",E4466="?"),"duplicate?",IF(COUNTIFS($A:A,A4466,E:E,E4466)&gt;1,"yes","no"))</f>
        <v>duplicate?</v>
      </c>
      <c r="K4466" s="97" t="str">
        <f ca="1">IF(J4466="","Date",IF(J4466&lt;&gt;"",IF(K4466="Date",NOW(),K4466),""))</f>
        <v>Date</v>
      </c>
    </row>
    <row r="4467" spans="2:11">
      <c r="B4467" s="97" t="str">
        <f ca="1">IF(A4467="","Date",IF(A4467&lt;&gt;"",IF(B4467="Date",NOW(),B4467),""))</f>
        <v>Date</v>
      </c>
      <c r="C4467" s="19" t="str">
        <f>IF(ISBLANK(A4467),"Name",IF(ISNA(VLOOKUP(A4467,'Master List'!A:C,2,FALSE)), "Not Found", VLOOKUP(A4467,'Master List'!A:C,2,FALSE)))</f>
        <v>Name</v>
      </c>
      <c r="D4467" s="19" t="str">
        <f>IF(ISBLANK(A4467), "Email",IF(ISNA(VLOOKUP(A4467,'Master List'!A:C,3,FALSE)), "Not Found", VLOOKUP(A4467,'Master List'!A:C,3,FALSE)))</f>
        <v>Email</v>
      </c>
      <c r="F4467" s="4" t="str">
        <f>IF(OR(A4467="",E4467="","",A4467="?",E4467="?"),"duplicate?",IF(COUNTIFS($A:A,A4467,E:E,E4467)&gt;1,"yes","no"))</f>
        <v>duplicate?</v>
      </c>
      <c r="K4467" s="97" t="str">
        <f ca="1">IF(J4467="","Date",IF(J4467&lt;&gt;"",IF(K4467="Date",NOW(),K4467),""))</f>
        <v>Date</v>
      </c>
    </row>
    <row r="4468" spans="2:11">
      <c r="B4468" s="97" t="str">
        <f ca="1">IF(A4468="","Date",IF(A4468&lt;&gt;"",IF(B4468="Date",NOW(),B4468),""))</f>
        <v>Date</v>
      </c>
      <c r="C4468" s="19" t="str">
        <f>IF(ISBLANK(A4468),"Name",IF(ISNA(VLOOKUP(A4468,'Master List'!A:C,2,FALSE)), "Not Found", VLOOKUP(A4468,'Master List'!A:C,2,FALSE)))</f>
        <v>Name</v>
      </c>
      <c r="D4468" s="19" t="str">
        <f>IF(ISBLANK(A4468), "Email",IF(ISNA(VLOOKUP(A4468,'Master List'!A:C,3,FALSE)), "Not Found", VLOOKUP(A4468,'Master List'!A:C,3,FALSE)))</f>
        <v>Email</v>
      </c>
      <c r="F4468" s="4" t="str">
        <f>IF(OR(A4468="",E4468="","",A4468="?",E4468="?"),"duplicate?",IF(COUNTIFS($A:A,A4468,E:E,E4468)&gt;1,"yes","no"))</f>
        <v>duplicate?</v>
      </c>
      <c r="K4468" s="97" t="str">
        <f ca="1">IF(J4468="","Date",IF(J4468&lt;&gt;"",IF(K4468="Date",NOW(),K4468),""))</f>
        <v>Date</v>
      </c>
    </row>
    <row r="4469" spans="2:11">
      <c r="B4469" s="97" t="str">
        <f ca="1">IF(A4469="","Date",IF(A4469&lt;&gt;"",IF(B4469="Date",NOW(),B4469),""))</f>
        <v>Date</v>
      </c>
      <c r="C4469" s="19" t="str">
        <f>IF(ISBLANK(A4469),"Name",IF(ISNA(VLOOKUP(A4469,'Master List'!A:C,2,FALSE)), "Not Found", VLOOKUP(A4469,'Master List'!A:C,2,FALSE)))</f>
        <v>Name</v>
      </c>
      <c r="D4469" s="19" t="str">
        <f>IF(ISBLANK(A4469), "Email",IF(ISNA(VLOOKUP(A4469,'Master List'!A:C,3,FALSE)), "Not Found", VLOOKUP(A4469,'Master List'!A:C,3,FALSE)))</f>
        <v>Email</v>
      </c>
      <c r="F4469" s="4" t="str">
        <f>IF(OR(A4469="",E4469="","",A4469="?",E4469="?"),"duplicate?",IF(COUNTIFS($A:A,A4469,E:E,E4469)&gt;1,"yes","no"))</f>
        <v>duplicate?</v>
      </c>
      <c r="K4469" s="97" t="str">
        <f ca="1">IF(J4469="","Date",IF(J4469&lt;&gt;"",IF(K4469="Date",NOW(),K4469),""))</f>
        <v>Date</v>
      </c>
    </row>
    <row r="4470" spans="2:11">
      <c r="B4470" s="97" t="str">
        <f ca="1">IF(A4470="","Date",IF(A4470&lt;&gt;"",IF(B4470="Date",NOW(),B4470),""))</f>
        <v>Date</v>
      </c>
      <c r="C4470" s="19" t="str">
        <f>IF(ISBLANK(A4470),"Name",IF(ISNA(VLOOKUP(A4470,'Master List'!A:C,2,FALSE)), "Not Found", VLOOKUP(A4470,'Master List'!A:C,2,FALSE)))</f>
        <v>Name</v>
      </c>
      <c r="D4470" s="19" t="str">
        <f>IF(ISBLANK(A4470), "Email",IF(ISNA(VLOOKUP(A4470,'Master List'!A:C,3,FALSE)), "Not Found", VLOOKUP(A4470,'Master List'!A:C,3,FALSE)))</f>
        <v>Email</v>
      </c>
      <c r="F4470" s="4" t="str">
        <f>IF(OR(A4470="",E4470="","",A4470="?",E4470="?"),"duplicate?",IF(COUNTIFS($A:A,A4470,E:E,E4470)&gt;1,"yes","no"))</f>
        <v>duplicate?</v>
      </c>
      <c r="K4470" s="97" t="str">
        <f ca="1">IF(J4470="","Date",IF(J4470&lt;&gt;"",IF(K4470="Date",NOW(),K4470),""))</f>
        <v>Date</v>
      </c>
    </row>
    <row r="4471" spans="2:11">
      <c r="B4471" s="97" t="str">
        <f ca="1">IF(A4471="","Date",IF(A4471&lt;&gt;"",IF(B4471="Date",NOW(),B4471),""))</f>
        <v>Date</v>
      </c>
      <c r="C4471" s="19" t="str">
        <f>IF(ISBLANK(A4471),"Name",IF(ISNA(VLOOKUP(A4471,'Master List'!A:C,2,FALSE)), "Not Found", VLOOKUP(A4471,'Master List'!A:C,2,FALSE)))</f>
        <v>Name</v>
      </c>
      <c r="D4471" s="19" t="str">
        <f>IF(ISBLANK(A4471), "Email",IF(ISNA(VLOOKUP(A4471,'Master List'!A:C,3,FALSE)), "Not Found", VLOOKUP(A4471,'Master List'!A:C,3,FALSE)))</f>
        <v>Email</v>
      </c>
      <c r="F4471" s="4" t="str">
        <f>IF(OR(A4471="",E4471="","",A4471="?",E4471="?"),"duplicate?",IF(COUNTIFS($A:A,A4471,E:E,E4471)&gt;1,"yes","no"))</f>
        <v>duplicate?</v>
      </c>
      <c r="K4471" s="97" t="str">
        <f ca="1">IF(J4471="","Date",IF(J4471&lt;&gt;"",IF(K4471="Date",NOW(),K4471),""))</f>
        <v>Date</v>
      </c>
    </row>
    <row r="4472" spans="2:11">
      <c r="B4472" s="97" t="str">
        <f ca="1">IF(A4472="","Date",IF(A4472&lt;&gt;"",IF(B4472="Date",NOW(),B4472),""))</f>
        <v>Date</v>
      </c>
      <c r="C4472" s="19" t="str">
        <f>IF(ISBLANK(A4472),"Name",IF(ISNA(VLOOKUP(A4472,'Master List'!A:C,2,FALSE)), "Not Found", VLOOKUP(A4472,'Master List'!A:C,2,FALSE)))</f>
        <v>Name</v>
      </c>
      <c r="D4472" s="19" t="str">
        <f>IF(ISBLANK(A4472), "Email",IF(ISNA(VLOOKUP(A4472,'Master List'!A:C,3,FALSE)), "Not Found", VLOOKUP(A4472,'Master List'!A:C,3,FALSE)))</f>
        <v>Email</v>
      </c>
      <c r="F4472" s="4" t="str">
        <f>IF(OR(A4472="",E4472="","",A4472="?",E4472="?"),"duplicate?",IF(COUNTIFS($A:A,A4472,E:E,E4472)&gt;1,"yes","no"))</f>
        <v>duplicate?</v>
      </c>
      <c r="K4472" s="97" t="str">
        <f ca="1">IF(J4472="","Date",IF(J4472&lt;&gt;"",IF(K4472="Date",NOW(),K4472),""))</f>
        <v>Date</v>
      </c>
    </row>
    <row r="4473" spans="2:11">
      <c r="B4473" s="97" t="str">
        <f ca="1">IF(A4473="","Date",IF(A4473&lt;&gt;"",IF(B4473="Date",NOW(),B4473),""))</f>
        <v>Date</v>
      </c>
      <c r="C4473" s="19" t="str">
        <f>IF(ISBLANK(A4473),"Name",IF(ISNA(VLOOKUP(A4473,'Master List'!A:C,2,FALSE)), "Not Found", VLOOKUP(A4473,'Master List'!A:C,2,FALSE)))</f>
        <v>Name</v>
      </c>
      <c r="D4473" s="19" t="str">
        <f>IF(ISBLANK(A4473), "Email",IF(ISNA(VLOOKUP(A4473,'Master List'!A:C,3,FALSE)), "Not Found", VLOOKUP(A4473,'Master List'!A:C,3,FALSE)))</f>
        <v>Email</v>
      </c>
      <c r="F4473" s="4" t="str">
        <f>IF(OR(A4473="",E4473="","",A4473="?",E4473="?"),"duplicate?",IF(COUNTIFS($A:A,A4473,E:E,E4473)&gt;1,"yes","no"))</f>
        <v>duplicate?</v>
      </c>
      <c r="K4473" s="97" t="str">
        <f ca="1">IF(J4473="","Date",IF(J4473&lt;&gt;"",IF(K4473="Date",NOW(),K4473),""))</f>
        <v>Date</v>
      </c>
    </row>
    <row r="4474" spans="2:11">
      <c r="B4474" s="97" t="str">
        <f ca="1">IF(A4474="","Date",IF(A4474&lt;&gt;"",IF(B4474="Date",NOW(),B4474),""))</f>
        <v>Date</v>
      </c>
      <c r="C4474" s="19" t="str">
        <f>IF(ISBLANK(A4474),"Name",IF(ISNA(VLOOKUP(A4474,'Master List'!A:C,2,FALSE)), "Not Found", VLOOKUP(A4474,'Master List'!A:C,2,FALSE)))</f>
        <v>Name</v>
      </c>
      <c r="D4474" s="19" t="str">
        <f>IF(ISBLANK(A4474), "Email",IF(ISNA(VLOOKUP(A4474,'Master List'!A:C,3,FALSE)), "Not Found", VLOOKUP(A4474,'Master List'!A:C,3,FALSE)))</f>
        <v>Email</v>
      </c>
      <c r="F4474" s="4" t="str">
        <f>IF(OR(A4474="",E4474="","",A4474="?",E4474="?"),"duplicate?",IF(COUNTIFS($A:A,A4474,E:E,E4474)&gt;1,"yes","no"))</f>
        <v>duplicate?</v>
      </c>
      <c r="K4474" s="97" t="str">
        <f ca="1">IF(J4474="","Date",IF(J4474&lt;&gt;"",IF(K4474="Date",NOW(),K4474),""))</f>
        <v>Date</v>
      </c>
    </row>
    <row r="4475" spans="2:11">
      <c r="B4475" s="97" t="str">
        <f ca="1">IF(A4475="","Date",IF(A4475&lt;&gt;"",IF(B4475="Date",NOW(),B4475),""))</f>
        <v>Date</v>
      </c>
      <c r="C4475" s="19" t="str">
        <f>IF(ISBLANK(A4475),"Name",IF(ISNA(VLOOKUP(A4475,'Master List'!A:C,2,FALSE)), "Not Found", VLOOKUP(A4475,'Master List'!A:C,2,FALSE)))</f>
        <v>Name</v>
      </c>
      <c r="D4475" s="19" t="str">
        <f>IF(ISBLANK(A4475), "Email",IF(ISNA(VLOOKUP(A4475,'Master List'!A:C,3,FALSE)), "Not Found", VLOOKUP(A4475,'Master List'!A:C,3,FALSE)))</f>
        <v>Email</v>
      </c>
      <c r="F4475" s="4" t="str">
        <f>IF(OR(A4475="",E4475="","",A4475="?",E4475="?"),"duplicate?",IF(COUNTIFS($A:A,A4475,E:E,E4475)&gt;1,"yes","no"))</f>
        <v>duplicate?</v>
      </c>
      <c r="K4475" s="97" t="str">
        <f ca="1">IF(J4475="","Date",IF(J4475&lt;&gt;"",IF(K4475="Date",NOW(),K4475),""))</f>
        <v>Date</v>
      </c>
    </row>
    <row r="4476" spans="2:11">
      <c r="B4476" s="97" t="str">
        <f ca="1">IF(A4476="","Date",IF(A4476&lt;&gt;"",IF(B4476="Date",NOW(),B4476),""))</f>
        <v>Date</v>
      </c>
      <c r="C4476" s="19" t="str">
        <f>IF(ISBLANK(A4476),"Name",IF(ISNA(VLOOKUP(A4476,'Master List'!A:C,2,FALSE)), "Not Found", VLOOKUP(A4476,'Master List'!A:C,2,FALSE)))</f>
        <v>Name</v>
      </c>
      <c r="D4476" s="19" t="str">
        <f>IF(ISBLANK(A4476), "Email",IF(ISNA(VLOOKUP(A4476,'Master List'!A:C,3,FALSE)), "Not Found", VLOOKUP(A4476,'Master List'!A:C,3,FALSE)))</f>
        <v>Email</v>
      </c>
      <c r="F4476" s="4" t="str">
        <f>IF(OR(A4476="",E4476="","",A4476="?",E4476="?"),"duplicate?",IF(COUNTIFS($A:A,A4476,E:E,E4476)&gt;1,"yes","no"))</f>
        <v>duplicate?</v>
      </c>
      <c r="K4476" s="97" t="str">
        <f ca="1">IF(J4476="","Date",IF(J4476&lt;&gt;"",IF(K4476="Date",NOW(),K4476),""))</f>
        <v>Date</v>
      </c>
    </row>
    <row r="4477" spans="2:11">
      <c r="B4477" s="97" t="str">
        <f ca="1">IF(A4477="","Date",IF(A4477&lt;&gt;"",IF(B4477="Date",NOW(),B4477),""))</f>
        <v>Date</v>
      </c>
      <c r="C4477" s="19" t="str">
        <f>IF(ISBLANK(A4477),"Name",IF(ISNA(VLOOKUP(A4477,'Master List'!A:C,2,FALSE)), "Not Found", VLOOKUP(A4477,'Master List'!A:C,2,FALSE)))</f>
        <v>Name</v>
      </c>
      <c r="D4477" s="19" t="str">
        <f>IF(ISBLANK(A4477), "Email",IF(ISNA(VLOOKUP(A4477,'Master List'!A:C,3,FALSE)), "Not Found", VLOOKUP(A4477,'Master List'!A:C,3,FALSE)))</f>
        <v>Email</v>
      </c>
      <c r="F4477" s="4" t="str">
        <f>IF(OR(A4477="",E4477="","",A4477="?",E4477="?"),"duplicate?",IF(COUNTIFS($A:A,A4477,E:E,E4477)&gt;1,"yes","no"))</f>
        <v>duplicate?</v>
      </c>
      <c r="K4477" s="97" t="str">
        <f ca="1">IF(J4477="","Date",IF(J4477&lt;&gt;"",IF(K4477="Date",NOW(),K4477),""))</f>
        <v>Date</v>
      </c>
    </row>
    <row r="4478" spans="2:11">
      <c r="B4478" s="97" t="str">
        <f ca="1">IF(A4478="","Date",IF(A4478&lt;&gt;"",IF(B4478="Date",NOW(),B4478),""))</f>
        <v>Date</v>
      </c>
      <c r="C4478" s="19" t="str">
        <f>IF(ISBLANK(A4478),"Name",IF(ISNA(VLOOKUP(A4478,'Master List'!A:C,2,FALSE)), "Not Found", VLOOKUP(A4478,'Master List'!A:C,2,FALSE)))</f>
        <v>Name</v>
      </c>
      <c r="D4478" s="19" t="str">
        <f>IF(ISBLANK(A4478), "Email",IF(ISNA(VLOOKUP(A4478,'Master List'!A:C,3,FALSE)), "Not Found", VLOOKUP(A4478,'Master List'!A:C,3,FALSE)))</f>
        <v>Email</v>
      </c>
      <c r="F4478" s="4" t="str">
        <f>IF(OR(A4478="",E4478="","",A4478="?",E4478="?"),"duplicate?",IF(COUNTIFS($A:A,A4478,E:E,E4478)&gt;1,"yes","no"))</f>
        <v>duplicate?</v>
      </c>
      <c r="K4478" s="97" t="str">
        <f ca="1">IF(J4478="","Date",IF(J4478&lt;&gt;"",IF(K4478="Date",NOW(),K4478),""))</f>
        <v>Date</v>
      </c>
    </row>
    <row r="4479" spans="2:11">
      <c r="B4479" s="97" t="str">
        <f ca="1">IF(A4479="","Date",IF(A4479&lt;&gt;"",IF(B4479="Date",NOW(),B4479),""))</f>
        <v>Date</v>
      </c>
      <c r="C4479" s="19" t="str">
        <f>IF(ISBLANK(A4479),"Name",IF(ISNA(VLOOKUP(A4479,'Master List'!A:C,2,FALSE)), "Not Found", VLOOKUP(A4479,'Master List'!A:C,2,FALSE)))</f>
        <v>Name</v>
      </c>
      <c r="D4479" s="19" t="str">
        <f>IF(ISBLANK(A4479), "Email",IF(ISNA(VLOOKUP(A4479,'Master List'!A:C,3,FALSE)), "Not Found", VLOOKUP(A4479,'Master List'!A:C,3,FALSE)))</f>
        <v>Email</v>
      </c>
      <c r="F4479" s="4" t="str">
        <f>IF(OR(A4479="",E4479="","",A4479="?",E4479="?"),"duplicate?",IF(COUNTIFS($A:A,A4479,E:E,E4479)&gt;1,"yes","no"))</f>
        <v>duplicate?</v>
      </c>
      <c r="K4479" s="97" t="str">
        <f ca="1">IF(J4479="","Date",IF(J4479&lt;&gt;"",IF(K4479="Date",NOW(),K4479),""))</f>
        <v>Date</v>
      </c>
    </row>
    <row r="4480" spans="2:11">
      <c r="B4480" s="97" t="str">
        <f ca="1">IF(A4480="","Date",IF(A4480&lt;&gt;"",IF(B4480="Date",NOW(),B4480),""))</f>
        <v>Date</v>
      </c>
      <c r="C4480" s="19" t="str">
        <f>IF(ISBLANK(A4480),"Name",IF(ISNA(VLOOKUP(A4480,'Master List'!A:C,2,FALSE)), "Not Found", VLOOKUP(A4480,'Master List'!A:C,2,FALSE)))</f>
        <v>Name</v>
      </c>
      <c r="D4480" s="19" t="str">
        <f>IF(ISBLANK(A4480), "Email",IF(ISNA(VLOOKUP(A4480,'Master List'!A:C,3,FALSE)), "Not Found", VLOOKUP(A4480,'Master List'!A:C,3,FALSE)))</f>
        <v>Email</v>
      </c>
      <c r="F4480" s="4" t="str">
        <f>IF(OR(A4480="",E4480="","",A4480="?",E4480="?"),"duplicate?",IF(COUNTIFS($A:A,A4480,E:E,E4480)&gt;1,"yes","no"))</f>
        <v>duplicate?</v>
      </c>
      <c r="K4480" s="97" t="str">
        <f ca="1">IF(J4480="","Date",IF(J4480&lt;&gt;"",IF(K4480="Date",NOW(),K4480),""))</f>
        <v>Date</v>
      </c>
    </row>
    <row r="4481" spans="2:11">
      <c r="B4481" s="97" t="str">
        <f ca="1">IF(A4481="","Date",IF(A4481&lt;&gt;"",IF(B4481="Date",NOW(),B4481),""))</f>
        <v>Date</v>
      </c>
      <c r="C4481" s="19" t="str">
        <f>IF(ISBLANK(A4481),"Name",IF(ISNA(VLOOKUP(A4481,'Master List'!A:C,2,FALSE)), "Not Found", VLOOKUP(A4481,'Master List'!A:C,2,FALSE)))</f>
        <v>Name</v>
      </c>
      <c r="D4481" s="19" t="str">
        <f>IF(ISBLANK(A4481), "Email",IF(ISNA(VLOOKUP(A4481,'Master List'!A:C,3,FALSE)), "Not Found", VLOOKUP(A4481,'Master List'!A:C,3,FALSE)))</f>
        <v>Email</v>
      </c>
      <c r="F4481" s="4" t="str">
        <f>IF(OR(A4481="",E4481="","",A4481="?",E4481="?"),"duplicate?",IF(COUNTIFS($A:A,A4481,E:E,E4481)&gt;1,"yes","no"))</f>
        <v>duplicate?</v>
      </c>
      <c r="K4481" s="97" t="str">
        <f ca="1">IF(J4481="","Date",IF(J4481&lt;&gt;"",IF(K4481="Date",NOW(),K4481),""))</f>
        <v>Date</v>
      </c>
    </row>
    <row r="4482" spans="2:11">
      <c r="B4482" s="97" t="str">
        <f ca="1">IF(A4482="","Date",IF(A4482&lt;&gt;"",IF(B4482="Date",NOW(),B4482),""))</f>
        <v>Date</v>
      </c>
      <c r="C4482" s="19" t="str">
        <f>IF(ISBLANK(A4482),"Name",IF(ISNA(VLOOKUP(A4482,'Master List'!A:C,2,FALSE)), "Not Found", VLOOKUP(A4482,'Master List'!A:C,2,FALSE)))</f>
        <v>Name</v>
      </c>
      <c r="D4482" s="19" t="str">
        <f>IF(ISBLANK(A4482), "Email",IF(ISNA(VLOOKUP(A4482,'Master List'!A:C,3,FALSE)), "Not Found", VLOOKUP(A4482,'Master List'!A:C,3,FALSE)))</f>
        <v>Email</v>
      </c>
      <c r="F4482" s="4" t="str">
        <f>IF(OR(A4482="",E4482="","",A4482="?",E4482="?"),"duplicate?",IF(COUNTIFS($A:A,A4482,E:E,E4482)&gt;1,"yes","no"))</f>
        <v>duplicate?</v>
      </c>
      <c r="K4482" s="97" t="str">
        <f ca="1">IF(J4482="","Date",IF(J4482&lt;&gt;"",IF(K4482="Date",NOW(),K4482),""))</f>
        <v>Date</v>
      </c>
    </row>
    <row r="4483" spans="2:11">
      <c r="B4483" s="97" t="str">
        <f ca="1">IF(A4483="","Date",IF(A4483&lt;&gt;"",IF(B4483="Date",NOW(),B4483),""))</f>
        <v>Date</v>
      </c>
      <c r="C4483" s="19" t="str">
        <f>IF(ISBLANK(A4483),"Name",IF(ISNA(VLOOKUP(A4483,'Master List'!A:C,2,FALSE)), "Not Found", VLOOKUP(A4483,'Master List'!A:C,2,FALSE)))</f>
        <v>Name</v>
      </c>
      <c r="D4483" s="19" t="str">
        <f>IF(ISBLANK(A4483), "Email",IF(ISNA(VLOOKUP(A4483,'Master List'!A:C,3,FALSE)), "Not Found", VLOOKUP(A4483,'Master List'!A:C,3,FALSE)))</f>
        <v>Email</v>
      </c>
      <c r="F4483" s="4" t="str">
        <f>IF(OR(A4483="",E4483="","",A4483="?",E4483="?"),"duplicate?",IF(COUNTIFS($A:A,A4483,E:E,E4483)&gt;1,"yes","no"))</f>
        <v>duplicate?</v>
      </c>
      <c r="K4483" s="97" t="str">
        <f ca="1">IF(J4483="","Date",IF(J4483&lt;&gt;"",IF(K4483="Date",NOW(),K4483),""))</f>
        <v>Date</v>
      </c>
    </row>
    <row r="4484" spans="2:11">
      <c r="B4484" s="97" t="str">
        <f ca="1">IF(A4484="","Date",IF(A4484&lt;&gt;"",IF(B4484="Date",NOW(),B4484),""))</f>
        <v>Date</v>
      </c>
      <c r="C4484" s="19" t="str">
        <f>IF(ISBLANK(A4484),"Name",IF(ISNA(VLOOKUP(A4484,'Master List'!A:C,2,FALSE)), "Not Found", VLOOKUP(A4484,'Master List'!A:C,2,FALSE)))</f>
        <v>Name</v>
      </c>
      <c r="D4484" s="19" t="str">
        <f>IF(ISBLANK(A4484), "Email",IF(ISNA(VLOOKUP(A4484,'Master List'!A:C,3,FALSE)), "Not Found", VLOOKUP(A4484,'Master List'!A:C,3,FALSE)))</f>
        <v>Email</v>
      </c>
      <c r="F4484" s="4" t="str">
        <f>IF(OR(A4484="",E4484="","",A4484="?",E4484="?"),"duplicate?",IF(COUNTIFS($A:A,A4484,E:E,E4484)&gt;1,"yes","no"))</f>
        <v>duplicate?</v>
      </c>
      <c r="K4484" s="97" t="str">
        <f ca="1">IF(J4484="","Date",IF(J4484&lt;&gt;"",IF(K4484="Date",NOW(),K4484),""))</f>
        <v>Date</v>
      </c>
    </row>
    <row r="4485" spans="2:11">
      <c r="B4485" s="97" t="str">
        <f ca="1">IF(A4485="","Date",IF(A4485&lt;&gt;"",IF(B4485="Date",NOW(),B4485),""))</f>
        <v>Date</v>
      </c>
      <c r="C4485" s="19" t="str">
        <f>IF(ISBLANK(A4485),"Name",IF(ISNA(VLOOKUP(A4485,'Master List'!A:C,2,FALSE)), "Not Found", VLOOKUP(A4485,'Master List'!A:C,2,FALSE)))</f>
        <v>Name</v>
      </c>
      <c r="D4485" s="19" t="str">
        <f>IF(ISBLANK(A4485), "Email",IF(ISNA(VLOOKUP(A4485,'Master List'!A:C,3,FALSE)), "Not Found", VLOOKUP(A4485,'Master List'!A:C,3,FALSE)))</f>
        <v>Email</v>
      </c>
      <c r="F4485" s="4" t="str">
        <f>IF(OR(A4485="",E4485="","",A4485="?",E4485="?"),"duplicate?",IF(COUNTIFS($A:A,A4485,E:E,E4485)&gt;1,"yes","no"))</f>
        <v>duplicate?</v>
      </c>
      <c r="K4485" s="97" t="str">
        <f ca="1">IF(J4485="","Date",IF(J4485&lt;&gt;"",IF(K4485="Date",NOW(),K4485),""))</f>
        <v>Date</v>
      </c>
    </row>
    <row r="4486" spans="2:11">
      <c r="B4486" s="97" t="str">
        <f ca="1">IF(A4486="","Date",IF(A4486&lt;&gt;"",IF(B4486="Date",NOW(),B4486),""))</f>
        <v>Date</v>
      </c>
      <c r="C4486" s="19" t="str">
        <f>IF(ISBLANK(A4486),"Name",IF(ISNA(VLOOKUP(A4486,'Master List'!A:C,2,FALSE)), "Not Found", VLOOKUP(A4486,'Master List'!A:C,2,FALSE)))</f>
        <v>Name</v>
      </c>
      <c r="D4486" s="19" t="str">
        <f>IF(ISBLANK(A4486), "Email",IF(ISNA(VLOOKUP(A4486,'Master List'!A:C,3,FALSE)), "Not Found", VLOOKUP(A4486,'Master List'!A:C,3,FALSE)))</f>
        <v>Email</v>
      </c>
      <c r="F4486" s="4" t="str">
        <f>IF(OR(A4486="",E4486="","",A4486="?",E4486="?"),"duplicate?",IF(COUNTIFS($A:A,A4486,E:E,E4486)&gt;1,"yes","no"))</f>
        <v>duplicate?</v>
      </c>
      <c r="K4486" s="97" t="str">
        <f ca="1">IF(J4486="","Date",IF(J4486&lt;&gt;"",IF(K4486="Date",NOW(),K4486),""))</f>
        <v>Date</v>
      </c>
    </row>
    <row r="4487" spans="2:11">
      <c r="B4487" s="97" t="str">
        <f ca="1">IF(A4487="","Date",IF(A4487&lt;&gt;"",IF(B4487="Date",NOW(),B4487),""))</f>
        <v>Date</v>
      </c>
      <c r="C4487" s="19" t="str">
        <f>IF(ISBLANK(A4487),"Name",IF(ISNA(VLOOKUP(A4487,'Master List'!A:C,2,FALSE)), "Not Found", VLOOKUP(A4487,'Master List'!A:C,2,FALSE)))</f>
        <v>Name</v>
      </c>
      <c r="D4487" s="19" t="str">
        <f>IF(ISBLANK(A4487), "Email",IF(ISNA(VLOOKUP(A4487,'Master List'!A:C,3,FALSE)), "Not Found", VLOOKUP(A4487,'Master List'!A:C,3,FALSE)))</f>
        <v>Email</v>
      </c>
      <c r="F4487" s="4" t="str">
        <f>IF(OR(A4487="",E4487="","",A4487="?",E4487="?"),"duplicate?",IF(COUNTIFS($A:A,A4487,E:E,E4487)&gt;1,"yes","no"))</f>
        <v>duplicate?</v>
      </c>
      <c r="K4487" s="97" t="str">
        <f ca="1">IF(J4487="","Date",IF(J4487&lt;&gt;"",IF(K4487="Date",NOW(),K4487),""))</f>
        <v>Date</v>
      </c>
    </row>
    <row r="4488" spans="2:11">
      <c r="B4488" s="97" t="str">
        <f ca="1">IF(A4488="","Date",IF(A4488&lt;&gt;"",IF(B4488="Date",NOW(),B4488),""))</f>
        <v>Date</v>
      </c>
      <c r="C4488" s="19" t="str">
        <f>IF(ISBLANK(A4488),"Name",IF(ISNA(VLOOKUP(A4488,'Master List'!A:C,2,FALSE)), "Not Found", VLOOKUP(A4488,'Master List'!A:C,2,FALSE)))</f>
        <v>Name</v>
      </c>
      <c r="D4488" s="19" t="str">
        <f>IF(ISBLANK(A4488), "Email",IF(ISNA(VLOOKUP(A4488,'Master List'!A:C,3,FALSE)), "Not Found", VLOOKUP(A4488,'Master List'!A:C,3,FALSE)))</f>
        <v>Email</v>
      </c>
      <c r="F4488" s="4" t="str">
        <f>IF(OR(A4488="",E4488="","",A4488="?",E4488="?"),"duplicate?",IF(COUNTIFS($A:A,A4488,E:E,E4488)&gt;1,"yes","no"))</f>
        <v>duplicate?</v>
      </c>
      <c r="K4488" s="97" t="str">
        <f ca="1">IF(J4488="","Date",IF(J4488&lt;&gt;"",IF(K4488="Date",NOW(),K4488),""))</f>
        <v>Date</v>
      </c>
    </row>
    <row r="4489" spans="2:11">
      <c r="B4489" s="97" t="str">
        <f ca="1">IF(A4489="","Date",IF(A4489&lt;&gt;"",IF(B4489="Date",NOW(),B4489),""))</f>
        <v>Date</v>
      </c>
      <c r="C4489" s="19" t="str">
        <f>IF(ISBLANK(A4489),"Name",IF(ISNA(VLOOKUP(A4489,'Master List'!A:C,2,FALSE)), "Not Found", VLOOKUP(A4489,'Master List'!A:C,2,FALSE)))</f>
        <v>Name</v>
      </c>
      <c r="D4489" s="19" t="str">
        <f>IF(ISBLANK(A4489), "Email",IF(ISNA(VLOOKUP(A4489,'Master List'!A:C,3,FALSE)), "Not Found", VLOOKUP(A4489,'Master List'!A:C,3,FALSE)))</f>
        <v>Email</v>
      </c>
      <c r="F4489" s="4" t="str">
        <f>IF(OR(A4489="",E4489="","",A4489="?",E4489="?"),"duplicate?",IF(COUNTIFS($A:A,A4489,E:E,E4489)&gt;1,"yes","no"))</f>
        <v>duplicate?</v>
      </c>
      <c r="K4489" s="97" t="str">
        <f ca="1">IF(J4489="","Date",IF(J4489&lt;&gt;"",IF(K4489="Date",NOW(),K4489),""))</f>
        <v>Date</v>
      </c>
    </row>
    <row r="4490" spans="2:11">
      <c r="B4490" s="97" t="str">
        <f ca="1">IF(A4490="","Date",IF(A4490&lt;&gt;"",IF(B4490="Date",NOW(),B4490),""))</f>
        <v>Date</v>
      </c>
      <c r="C4490" s="19" t="str">
        <f>IF(ISBLANK(A4490),"Name",IF(ISNA(VLOOKUP(A4490,'Master List'!A:C,2,FALSE)), "Not Found", VLOOKUP(A4490,'Master List'!A:C,2,FALSE)))</f>
        <v>Name</v>
      </c>
      <c r="D4490" s="19" t="str">
        <f>IF(ISBLANK(A4490), "Email",IF(ISNA(VLOOKUP(A4490,'Master List'!A:C,3,FALSE)), "Not Found", VLOOKUP(A4490,'Master List'!A:C,3,FALSE)))</f>
        <v>Email</v>
      </c>
      <c r="F4490" s="4" t="str">
        <f>IF(OR(A4490="",E4490="","",A4490="?",E4490="?"),"duplicate?",IF(COUNTIFS($A:A,A4490,E:E,E4490)&gt;1,"yes","no"))</f>
        <v>duplicate?</v>
      </c>
      <c r="K4490" s="97" t="str">
        <f ca="1">IF(J4490="","Date",IF(J4490&lt;&gt;"",IF(K4490="Date",NOW(),K4490),""))</f>
        <v>Date</v>
      </c>
    </row>
    <row r="4491" spans="2:11">
      <c r="B4491" s="97" t="str">
        <f ca="1">IF(A4491="","Date",IF(A4491&lt;&gt;"",IF(B4491="Date",NOW(),B4491),""))</f>
        <v>Date</v>
      </c>
      <c r="C4491" s="19" t="str">
        <f>IF(ISBLANK(A4491),"Name",IF(ISNA(VLOOKUP(A4491,'Master List'!A:C,2,FALSE)), "Not Found", VLOOKUP(A4491,'Master List'!A:C,2,FALSE)))</f>
        <v>Name</v>
      </c>
      <c r="D4491" s="19" t="str">
        <f>IF(ISBLANK(A4491), "Email",IF(ISNA(VLOOKUP(A4491,'Master List'!A:C,3,FALSE)), "Not Found", VLOOKUP(A4491,'Master List'!A:C,3,FALSE)))</f>
        <v>Email</v>
      </c>
      <c r="F4491" s="4" t="str">
        <f>IF(OR(A4491="",E4491="","",A4491="?",E4491="?"),"duplicate?",IF(COUNTIFS($A:A,A4491,E:E,E4491)&gt;1,"yes","no"))</f>
        <v>duplicate?</v>
      </c>
      <c r="K4491" s="97" t="str">
        <f ca="1">IF(J4491="","Date",IF(J4491&lt;&gt;"",IF(K4491="Date",NOW(),K4491),""))</f>
        <v>Date</v>
      </c>
    </row>
    <row r="4492" spans="2:11">
      <c r="B4492" s="97" t="str">
        <f ca="1">IF(A4492="","Date",IF(A4492&lt;&gt;"",IF(B4492="Date",NOW(),B4492),""))</f>
        <v>Date</v>
      </c>
      <c r="C4492" s="19" t="str">
        <f>IF(ISBLANK(A4492),"Name",IF(ISNA(VLOOKUP(A4492,'Master List'!A:C,2,FALSE)), "Not Found", VLOOKUP(A4492,'Master List'!A:C,2,FALSE)))</f>
        <v>Name</v>
      </c>
      <c r="D4492" s="19" t="str">
        <f>IF(ISBLANK(A4492), "Email",IF(ISNA(VLOOKUP(A4492,'Master List'!A:C,3,FALSE)), "Not Found", VLOOKUP(A4492,'Master List'!A:C,3,FALSE)))</f>
        <v>Email</v>
      </c>
      <c r="F4492" s="4" t="str">
        <f>IF(OR(A4492="",E4492="","",A4492="?",E4492="?"),"duplicate?",IF(COUNTIFS($A:A,A4492,E:E,E4492)&gt;1,"yes","no"))</f>
        <v>duplicate?</v>
      </c>
      <c r="K4492" s="97" t="str">
        <f ca="1">IF(J4492="","Date",IF(J4492&lt;&gt;"",IF(K4492="Date",NOW(),K4492),""))</f>
        <v>Date</v>
      </c>
    </row>
    <row r="4493" spans="2:11">
      <c r="B4493" s="97" t="str">
        <f ca="1">IF(A4493="","Date",IF(A4493&lt;&gt;"",IF(B4493="Date",NOW(),B4493),""))</f>
        <v>Date</v>
      </c>
      <c r="C4493" s="19" t="str">
        <f>IF(ISBLANK(A4493),"Name",IF(ISNA(VLOOKUP(A4493,'Master List'!A:C,2,FALSE)), "Not Found", VLOOKUP(A4493,'Master List'!A:C,2,FALSE)))</f>
        <v>Name</v>
      </c>
      <c r="D4493" s="19" t="str">
        <f>IF(ISBLANK(A4493), "Email",IF(ISNA(VLOOKUP(A4493,'Master List'!A:C,3,FALSE)), "Not Found", VLOOKUP(A4493,'Master List'!A:C,3,FALSE)))</f>
        <v>Email</v>
      </c>
      <c r="F4493" s="4" t="str">
        <f>IF(OR(A4493="",E4493="","",A4493="?",E4493="?"),"duplicate?",IF(COUNTIFS($A:A,A4493,E:E,E4493)&gt;1,"yes","no"))</f>
        <v>duplicate?</v>
      </c>
      <c r="K4493" s="97" t="str">
        <f ca="1">IF(J4493="","Date",IF(J4493&lt;&gt;"",IF(K4493="Date",NOW(),K4493),""))</f>
        <v>Date</v>
      </c>
    </row>
    <row r="4494" spans="2:11">
      <c r="B4494" s="97" t="str">
        <f ca="1">IF(A4494="","Date",IF(A4494&lt;&gt;"",IF(B4494="Date",NOW(),B4494),""))</f>
        <v>Date</v>
      </c>
      <c r="C4494" s="19" t="str">
        <f>IF(ISBLANK(A4494),"Name",IF(ISNA(VLOOKUP(A4494,'Master List'!A:C,2,FALSE)), "Not Found", VLOOKUP(A4494,'Master List'!A:C,2,FALSE)))</f>
        <v>Name</v>
      </c>
      <c r="D4494" s="19" t="str">
        <f>IF(ISBLANK(A4494), "Email",IF(ISNA(VLOOKUP(A4494,'Master List'!A:C,3,FALSE)), "Not Found", VLOOKUP(A4494,'Master List'!A:C,3,FALSE)))</f>
        <v>Email</v>
      </c>
      <c r="F4494" s="4" t="str">
        <f>IF(OR(A4494="",E4494="","",A4494="?",E4494="?"),"duplicate?",IF(COUNTIFS($A:A,A4494,E:E,E4494)&gt;1,"yes","no"))</f>
        <v>duplicate?</v>
      </c>
      <c r="K4494" s="97" t="str">
        <f ca="1">IF(J4494="","Date",IF(J4494&lt;&gt;"",IF(K4494="Date",NOW(),K4494),""))</f>
        <v>Date</v>
      </c>
    </row>
    <row r="4495" spans="2:11">
      <c r="B4495" s="97" t="str">
        <f ca="1">IF(A4495="","Date",IF(A4495&lt;&gt;"",IF(B4495="Date",NOW(),B4495),""))</f>
        <v>Date</v>
      </c>
      <c r="C4495" s="19" t="str">
        <f>IF(ISBLANK(A4495),"Name",IF(ISNA(VLOOKUP(A4495,'Master List'!A:C,2,FALSE)), "Not Found", VLOOKUP(A4495,'Master List'!A:C,2,FALSE)))</f>
        <v>Name</v>
      </c>
      <c r="D4495" s="19" t="str">
        <f>IF(ISBLANK(A4495), "Email",IF(ISNA(VLOOKUP(A4495,'Master List'!A:C,3,FALSE)), "Not Found", VLOOKUP(A4495,'Master List'!A:C,3,FALSE)))</f>
        <v>Email</v>
      </c>
      <c r="F4495" s="4" t="str">
        <f>IF(OR(A4495="",E4495="","",A4495="?",E4495="?"),"duplicate?",IF(COUNTIFS($A:A,A4495,E:E,E4495)&gt;1,"yes","no"))</f>
        <v>duplicate?</v>
      </c>
      <c r="K4495" s="97" t="str">
        <f ca="1">IF(J4495="","Date",IF(J4495&lt;&gt;"",IF(K4495="Date",NOW(),K4495),""))</f>
        <v>Date</v>
      </c>
    </row>
    <row r="4496" spans="2:11">
      <c r="B4496" s="97" t="str">
        <f ca="1">IF(A4496="","Date",IF(A4496&lt;&gt;"",IF(B4496="Date",NOW(),B4496),""))</f>
        <v>Date</v>
      </c>
      <c r="C4496" s="19" t="str">
        <f>IF(ISBLANK(A4496),"Name",IF(ISNA(VLOOKUP(A4496,'Master List'!A:C,2,FALSE)), "Not Found", VLOOKUP(A4496,'Master List'!A:C,2,FALSE)))</f>
        <v>Name</v>
      </c>
      <c r="D4496" s="19" t="str">
        <f>IF(ISBLANK(A4496), "Email",IF(ISNA(VLOOKUP(A4496,'Master List'!A:C,3,FALSE)), "Not Found", VLOOKUP(A4496,'Master List'!A:C,3,FALSE)))</f>
        <v>Email</v>
      </c>
      <c r="F4496" s="4" t="str">
        <f>IF(OR(A4496="",E4496="","",A4496="?",E4496="?"),"duplicate?",IF(COUNTIFS($A:A,A4496,E:E,E4496)&gt;1,"yes","no"))</f>
        <v>duplicate?</v>
      </c>
      <c r="K4496" s="97" t="str">
        <f ca="1">IF(J4496="","Date",IF(J4496&lt;&gt;"",IF(K4496="Date",NOW(),K4496),""))</f>
        <v>Date</v>
      </c>
    </row>
    <row r="4497" spans="2:11">
      <c r="B4497" s="97" t="str">
        <f ca="1">IF(A4497="","Date",IF(A4497&lt;&gt;"",IF(B4497="Date",NOW(),B4497),""))</f>
        <v>Date</v>
      </c>
      <c r="C4497" s="19" t="str">
        <f>IF(ISBLANK(A4497),"Name",IF(ISNA(VLOOKUP(A4497,'Master List'!A:C,2,FALSE)), "Not Found", VLOOKUP(A4497,'Master List'!A:C,2,FALSE)))</f>
        <v>Name</v>
      </c>
      <c r="D4497" s="19" t="str">
        <f>IF(ISBLANK(A4497), "Email",IF(ISNA(VLOOKUP(A4497,'Master List'!A:C,3,FALSE)), "Not Found", VLOOKUP(A4497,'Master List'!A:C,3,FALSE)))</f>
        <v>Email</v>
      </c>
      <c r="F4497" s="4" t="str">
        <f>IF(OR(A4497="",E4497="","",A4497="?",E4497="?"),"duplicate?",IF(COUNTIFS($A:A,A4497,E:E,E4497)&gt;1,"yes","no"))</f>
        <v>duplicate?</v>
      </c>
      <c r="K4497" s="97" t="str">
        <f ca="1">IF(J4497="","Date",IF(J4497&lt;&gt;"",IF(K4497="Date",NOW(),K4497),""))</f>
        <v>Date</v>
      </c>
    </row>
    <row r="4498" spans="2:11">
      <c r="B4498" s="97" t="str">
        <f ca="1">IF(A4498="","Date",IF(A4498&lt;&gt;"",IF(B4498="Date",NOW(),B4498),""))</f>
        <v>Date</v>
      </c>
      <c r="C4498" s="19" t="str">
        <f>IF(ISBLANK(A4498),"Name",IF(ISNA(VLOOKUP(A4498,'Master List'!A:C,2,FALSE)), "Not Found", VLOOKUP(A4498,'Master List'!A:C,2,FALSE)))</f>
        <v>Name</v>
      </c>
      <c r="D4498" s="19" t="str">
        <f>IF(ISBLANK(A4498), "Email",IF(ISNA(VLOOKUP(A4498,'Master List'!A:C,3,FALSE)), "Not Found", VLOOKUP(A4498,'Master List'!A:C,3,FALSE)))</f>
        <v>Email</v>
      </c>
      <c r="F4498" s="4" t="str">
        <f>IF(OR(A4498="",E4498="","",A4498="?",E4498="?"),"duplicate?",IF(COUNTIFS($A:A,A4498,E:E,E4498)&gt;1,"yes","no"))</f>
        <v>duplicate?</v>
      </c>
      <c r="K4498" s="97" t="str">
        <f ca="1">IF(J4498="","Date",IF(J4498&lt;&gt;"",IF(K4498="Date",NOW(),K4498),""))</f>
        <v>Date</v>
      </c>
    </row>
    <row r="4499" spans="2:11">
      <c r="B4499" s="97" t="str">
        <f ca="1">IF(A4499="","Date",IF(A4499&lt;&gt;"",IF(B4499="Date",NOW(),B4499),""))</f>
        <v>Date</v>
      </c>
      <c r="C4499" s="19" t="str">
        <f>IF(ISBLANK(A4499),"Name",IF(ISNA(VLOOKUP(A4499,'Master List'!A:C,2,FALSE)), "Not Found", VLOOKUP(A4499,'Master List'!A:C,2,FALSE)))</f>
        <v>Name</v>
      </c>
      <c r="D4499" s="19" t="str">
        <f>IF(ISBLANK(A4499), "Email",IF(ISNA(VLOOKUP(A4499,'Master List'!A:C,3,FALSE)), "Not Found", VLOOKUP(A4499,'Master List'!A:C,3,FALSE)))</f>
        <v>Email</v>
      </c>
      <c r="F4499" s="4" t="str">
        <f>IF(OR(A4499="",E4499="","",A4499="?",E4499="?"),"duplicate?",IF(COUNTIFS($A:A,A4499,E:E,E4499)&gt;1,"yes","no"))</f>
        <v>duplicate?</v>
      </c>
      <c r="K4499" s="97" t="str">
        <f ca="1">IF(J4499="","Date",IF(J4499&lt;&gt;"",IF(K4499="Date",NOW(),K4499),""))</f>
        <v>Date</v>
      </c>
    </row>
    <row r="4500" spans="2:11">
      <c r="B4500" s="97" t="str">
        <f ca="1">IF(A4500="","Date",IF(A4500&lt;&gt;"",IF(B4500="Date",NOW(),B4500),""))</f>
        <v>Date</v>
      </c>
      <c r="C4500" s="19" t="str">
        <f>IF(ISBLANK(A4500),"Name",IF(ISNA(VLOOKUP(A4500,'Master List'!A:C,2,FALSE)), "Not Found", VLOOKUP(A4500,'Master List'!A:C,2,FALSE)))</f>
        <v>Name</v>
      </c>
      <c r="D4500" s="19" t="str">
        <f>IF(ISBLANK(A4500), "Email",IF(ISNA(VLOOKUP(A4500,'Master List'!A:C,3,FALSE)), "Not Found", VLOOKUP(A4500,'Master List'!A:C,3,FALSE)))</f>
        <v>Email</v>
      </c>
      <c r="F4500" s="4" t="str">
        <f>IF(OR(A4500="",E4500="","",A4500="?",E4500="?"),"duplicate?",IF(COUNTIFS($A:A,A4500,E:E,E4500)&gt;1,"yes","no"))</f>
        <v>duplicate?</v>
      </c>
      <c r="K4500" s="97" t="str">
        <f ca="1">IF(J4500="","Date",IF(J4500&lt;&gt;"",IF(K4500="Date",NOW(),K4500),""))</f>
        <v>Date</v>
      </c>
    </row>
    <row r="4501" spans="2:11">
      <c r="B4501" s="97" t="str">
        <f ca="1">IF(A4501="","Date",IF(A4501&lt;&gt;"",IF(B4501="Date",NOW(),B4501),""))</f>
        <v>Date</v>
      </c>
      <c r="C4501" s="19" t="str">
        <f>IF(ISBLANK(A4501),"Name",IF(ISNA(VLOOKUP(A4501,'Master List'!A:C,2,FALSE)), "Not Found", VLOOKUP(A4501,'Master List'!A:C,2,FALSE)))</f>
        <v>Name</v>
      </c>
      <c r="D4501" s="19" t="str">
        <f>IF(ISBLANK(A4501), "Email",IF(ISNA(VLOOKUP(A4501,'Master List'!A:C,3,FALSE)), "Not Found", VLOOKUP(A4501,'Master List'!A:C,3,FALSE)))</f>
        <v>Email</v>
      </c>
      <c r="F4501" s="4" t="str">
        <f>IF(OR(A4501="",E4501="","",A4501="?",E4501="?"),"duplicate?",IF(COUNTIFS($A:A,A4501,E:E,E4501)&gt;1,"yes","no"))</f>
        <v>duplicate?</v>
      </c>
      <c r="K4501" s="97" t="str">
        <f ca="1">IF(J4501="","Date",IF(J4501&lt;&gt;"",IF(K4501="Date",NOW(),K4501),""))</f>
        <v>Date</v>
      </c>
    </row>
    <row r="4502" spans="2:11">
      <c r="B4502" s="97" t="str">
        <f ca="1">IF(A4502="","Date",IF(A4502&lt;&gt;"",IF(B4502="Date",NOW(),B4502),""))</f>
        <v>Date</v>
      </c>
      <c r="C4502" s="19" t="str">
        <f>IF(ISBLANK(A4502),"Name",IF(ISNA(VLOOKUP(A4502,'Master List'!A:C,2,FALSE)), "Not Found", VLOOKUP(A4502,'Master List'!A:C,2,FALSE)))</f>
        <v>Name</v>
      </c>
      <c r="D4502" s="19" t="str">
        <f>IF(ISBLANK(A4502), "Email",IF(ISNA(VLOOKUP(A4502,'Master List'!A:C,3,FALSE)), "Not Found", VLOOKUP(A4502,'Master List'!A:C,3,FALSE)))</f>
        <v>Email</v>
      </c>
      <c r="F4502" s="4" t="str">
        <f>IF(OR(A4502="",E4502="","",A4502="?",E4502="?"),"duplicate?",IF(COUNTIFS($A:A,A4502,E:E,E4502)&gt;1,"yes","no"))</f>
        <v>duplicate?</v>
      </c>
      <c r="K4502" s="97" t="str">
        <f ca="1">IF(J4502="","Date",IF(J4502&lt;&gt;"",IF(K4502="Date",NOW(),K4502),""))</f>
        <v>Date</v>
      </c>
    </row>
    <row r="4503" spans="2:11">
      <c r="B4503" s="97" t="str">
        <f ca="1">IF(A4503="","Date",IF(A4503&lt;&gt;"",IF(B4503="Date",NOW(),B4503),""))</f>
        <v>Date</v>
      </c>
      <c r="C4503" s="19" t="str">
        <f>IF(ISBLANK(A4503),"Name",IF(ISNA(VLOOKUP(A4503,'Master List'!A:C,2,FALSE)), "Not Found", VLOOKUP(A4503,'Master List'!A:C,2,FALSE)))</f>
        <v>Name</v>
      </c>
      <c r="D4503" s="19" t="str">
        <f>IF(ISBLANK(A4503), "Email",IF(ISNA(VLOOKUP(A4503,'Master List'!A:C,3,FALSE)), "Not Found", VLOOKUP(A4503,'Master List'!A:C,3,FALSE)))</f>
        <v>Email</v>
      </c>
      <c r="F4503" s="4" t="str">
        <f>IF(OR(A4503="",E4503="","",A4503="?",E4503="?"),"duplicate?",IF(COUNTIFS($A:A,A4503,E:E,E4503)&gt;1,"yes","no"))</f>
        <v>duplicate?</v>
      </c>
      <c r="K4503" s="97" t="str">
        <f ca="1">IF(J4503="","Date",IF(J4503&lt;&gt;"",IF(K4503="Date",NOW(),K4503),""))</f>
        <v>Date</v>
      </c>
    </row>
    <row r="4504" spans="2:11">
      <c r="B4504" s="97" t="str">
        <f ca="1">IF(A4504="","Date",IF(A4504&lt;&gt;"",IF(B4504="Date",NOW(),B4504),""))</f>
        <v>Date</v>
      </c>
      <c r="C4504" s="19" t="str">
        <f>IF(ISBLANK(A4504),"Name",IF(ISNA(VLOOKUP(A4504,'Master List'!A:C,2,FALSE)), "Not Found", VLOOKUP(A4504,'Master List'!A:C,2,FALSE)))</f>
        <v>Name</v>
      </c>
      <c r="D4504" s="19" t="str">
        <f>IF(ISBLANK(A4504), "Email",IF(ISNA(VLOOKUP(A4504,'Master List'!A:C,3,FALSE)), "Not Found", VLOOKUP(A4504,'Master List'!A:C,3,FALSE)))</f>
        <v>Email</v>
      </c>
      <c r="F4504" s="4" t="str">
        <f>IF(OR(A4504="",E4504="","",A4504="?",E4504="?"),"duplicate?",IF(COUNTIFS($A:A,A4504,E:E,E4504)&gt;1,"yes","no"))</f>
        <v>duplicate?</v>
      </c>
      <c r="K4504" s="97" t="str">
        <f ca="1">IF(J4504="","Date",IF(J4504&lt;&gt;"",IF(K4504="Date",NOW(),K4504),""))</f>
        <v>Date</v>
      </c>
    </row>
    <row r="4505" spans="2:11">
      <c r="B4505" s="97" t="str">
        <f ca="1">IF(A4505="","Date",IF(A4505&lt;&gt;"",IF(B4505="Date",NOW(),B4505),""))</f>
        <v>Date</v>
      </c>
      <c r="C4505" s="19" t="str">
        <f>IF(ISBLANK(A4505),"Name",IF(ISNA(VLOOKUP(A4505,'Master List'!A:C,2,FALSE)), "Not Found", VLOOKUP(A4505,'Master List'!A:C,2,FALSE)))</f>
        <v>Name</v>
      </c>
      <c r="D4505" s="19" t="str">
        <f>IF(ISBLANK(A4505), "Email",IF(ISNA(VLOOKUP(A4505,'Master List'!A:C,3,FALSE)), "Not Found", VLOOKUP(A4505,'Master List'!A:C,3,FALSE)))</f>
        <v>Email</v>
      </c>
      <c r="F4505" s="4" t="str">
        <f>IF(OR(A4505="",E4505="","",A4505="?",E4505="?"),"duplicate?",IF(COUNTIFS($A:A,A4505,E:E,E4505)&gt;1,"yes","no"))</f>
        <v>duplicate?</v>
      </c>
      <c r="K4505" s="97" t="str">
        <f ca="1">IF(J4505="","Date",IF(J4505&lt;&gt;"",IF(K4505="Date",NOW(),K4505),""))</f>
        <v>Date</v>
      </c>
    </row>
    <row r="4506" spans="2:11">
      <c r="B4506" s="97" t="str">
        <f ca="1">IF(A4506="","Date",IF(A4506&lt;&gt;"",IF(B4506="Date",NOW(),B4506),""))</f>
        <v>Date</v>
      </c>
      <c r="C4506" s="19" t="str">
        <f>IF(ISBLANK(A4506),"Name",IF(ISNA(VLOOKUP(A4506,'Master List'!A:C,2,FALSE)), "Not Found", VLOOKUP(A4506,'Master List'!A:C,2,FALSE)))</f>
        <v>Name</v>
      </c>
      <c r="D4506" s="19" t="str">
        <f>IF(ISBLANK(A4506), "Email",IF(ISNA(VLOOKUP(A4506,'Master List'!A:C,3,FALSE)), "Not Found", VLOOKUP(A4506,'Master List'!A:C,3,FALSE)))</f>
        <v>Email</v>
      </c>
      <c r="F4506" s="4" t="str">
        <f>IF(OR(A4506="",E4506="","",A4506="?",E4506="?"),"duplicate?",IF(COUNTIFS($A:A,A4506,E:E,E4506)&gt;1,"yes","no"))</f>
        <v>duplicate?</v>
      </c>
      <c r="K4506" s="97" t="str">
        <f ca="1">IF(J4506="","Date",IF(J4506&lt;&gt;"",IF(K4506="Date",NOW(),K4506),""))</f>
        <v>Date</v>
      </c>
    </row>
    <row r="4507" spans="2:11">
      <c r="B4507" s="97" t="str">
        <f ca="1">IF(A4507="","Date",IF(A4507&lt;&gt;"",IF(B4507="Date",NOW(),B4507),""))</f>
        <v>Date</v>
      </c>
      <c r="C4507" s="19" t="str">
        <f>IF(ISBLANK(A4507),"Name",IF(ISNA(VLOOKUP(A4507,'Master List'!A:C,2,FALSE)), "Not Found", VLOOKUP(A4507,'Master List'!A:C,2,FALSE)))</f>
        <v>Name</v>
      </c>
      <c r="D4507" s="19" t="str">
        <f>IF(ISBLANK(A4507), "Email",IF(ISNA(VLOOKUP(A4507,'Master List'!A:C,3,FALSE)), "Not Found", VLOOKUP(A4507,'Master List'!A:C,3,FALSE)))</f>
        <v>Email</v>
      </c>
      <c r="F4507" s="4" t="str">
        <f>IF(OR(A4507="",E4507="","",A4507="?",E4507="?"),"duplicate?",IF(COUNTIFS($A:A,A4507,E:E,E4507)&gt;1,"yes","no"))</f>
        <v>duplicate?</v>
      </c>
      <c r="K4507" s="97" t="str">
        <f ca="1">IF(J4507="","Date",IF(J4507&lt;&gt;"",IF(K4507="Date",NOW(),K4507),""))</f>
        <v>Date</v>
      </c>
    </row>
    <row r="4508" spans="2:11">
      <c r="B4508" s="97" t="str">
        <f ca="1">IF(A4508="","Date",IF(A4508&lt;&gt;"",IF(B4508="Date",NOW(),B4508),""))</f>
        <v>Date</v>
      </c>
      <c r="C4508" s="19" t="str">
        <f>IF(ISBLANK(A4508),"Name",IF(ISNA(VLOOKUP(A4508,'Master List'!A:C,2,FALSE)), "Not Found", VLOOKUP(A4508,'Master List'!A:C,2,FALSE)))</f>
        <v>Name</v>
      </c>
      <c r="D4508" s="19" t="str">
        <f>IF(ISBLANK(A4508), "Email",IF(ISNA(VLOOKUP(A4508,'Master List'!A:C,3,FALSE)), "Not Found", VLOOKUP(A4508,'Master List'!A:C,3,FALSE)))</f>
        <v>Email</v>
      </c>
      <c r="F4508" s="4" t="str">
        <f>IF(OR(A4508="",E4508="","",A4508="?",E4508="?"),"duplicate?",IF(COUNTIFS($A:A,A4508,E:E,E4508)&gt;1,"yes","no"))</f>
        <v>duplicate?</v>
      </c>
      <c r="K4508" s="97" t="str">
        <f ca="1">IF(J4508="","Date",IF(J4508&lt;&gt;"",IF(K4508="Date",NOW(),K4508),""))</f>
        <v>Date</v>
      </c>
    </row>
    <row r="4509" spans="2:11">
      <c r="B4509" s="97" t="str">
        <f ca="1">IF(A4509="","Date",IF(A4509&lt;&gt;"",IF(B4509="Date",NOW(),B4509),""))</f>
        <v>Date</v>
      </c>
      <c r="C4509" s="19" t="str">
        <f>IF(ISBLANK(A4509),"Name",IF(ISNA(VLOOKUP(A4509,'Master List'!A:C,2,FALSE)), "Not Found", VLOOKUP(A4509,'Master List'!A:C,2,FALSE)))</f>
        <v>Name</v>
      </c>
      <c r="D4509" s="19" t="str">
        <f>IF(ISBLANK(A4509), "Email",IF(ISNA(VLOOKUP(A4509,'Master List'!A:C,3,FALSE)), "Not Found", VLOOKUP(A4509,'Master List'!A:C,3,FALSE)))</f>
        <v>Email</v>
      </c>
      <c r="F4509" s="4" t="str">
        <f>IF(OR(A4509="",E4509="","",A4509="?",E4509="?"),"duplicate?",IF(COUNTIFS($A:A,A4509,E:E,E4509)&gt;1,"yes","no"))</f>
        <v>duplicate?</v>
      </c>
      <c r="K4509" s="97" t="str">
        <f ca="1">IF(J4509="","Date",IF(J4509&lt;&gt;"",IF(K4509="Date",NOW(),K4509),""))</f>
        <v>Date</v>
      </c>
    </row>
    <row r="4510" spans="2:11">
      <c r="B4510" s="97" t="str">
        <f ca="1">IF(A4510="","Date",IF(A4510&lt;&gt;"",IF(B4510="Date",NOW(),B4510),""))</f>
        <v>Date</v>
      </c>
      <c r="C4510" s="19" t="str">
        <f>IF(ISBLANK(A4510),"Name",IF(ISNA(VLOOKUP(A4510,'Master List'!A:C,2,FALSE)), "Not Found", VLOOKUP(A4510,'Master List'!A:C,2,FALSE)))</f>
        <v>Name</v>
      </c>
      <c r="D4510" s="19" t="str">
        <f>IF(ISBLANK(A4510), "Email",IF(ISNA(VLOOKUP(A4510,'Master List'!A:C,3,FALSE)), "Not Found", VLOOKUP(A4510,'Master List'!A:C,3,FALSE)))</f>
        <v>Email</v>
      </c>
      <c r="F4510" s="4" t="str">
        <f>IF(OR(A4510="",E4510="","",A4510="?",E4510="?"),"duplicate?",IF(COUNTIFS($A:A,A4510,E:E,E4510)&gt;1,"yes","no"))</f>
        <v>duplicate?</v>
      </c>
      <c r="K4510" s="97" t="str">
        <f ca="1">IF(J4510="","Date",IF(J4510&lt;&gt;"",IF(K4510="Date",NOW(),K4510),""))</f>
        <v>Date</v>
      </c>
    </row>
    <row r="4511" spans="2:11">
      <c r="B4511" s="97" t="str">
        <f ca="1">IF(A4511="","Date",IF(A4511&lt;&gt;"",IF(B4511="Date",NOW(),B4511),""))</f>
        <v>Date</v>
      </c>
      <c r="C4511" s="19" t="str">
        <f>IF(ISBLANK(A4511),"Name",IF(ISNA(VLOOKUP(A4511,'Master List'!A:C,2,FALSE)), "Not Found", VLOOKUP(A4511,'Master List'!A:C,2,FALSE)))</f>
        <v>Name</v>
      </c>
      <c r="D4511" s="19" t="str">
        <f>IF(ISBLANK(A4511), "Email",IF(ISNA(VLOOKUP(A4511,'Master List'!A:C,3,FALSE)), "Not Found", VLOOKUP(A4511,'Master List'!A:C,3,FALSE)))</f>
        <v>Email</v>
      </c>
      <c r="F4511" s="4" t="str">
        <f>IF(OR(A4511="",E4511="","",A4511="?",E4511="?"),"duplicate?",IF(COUNTIFS($A:A,A4511,E:E,E4511)&gt;1,"yes","no"))</f>
        <v>duplicate?</v>
      </c>
      <c r="K4511" s="97" t="str">
        <f ca="1">IF(J4511="","Date",IF(J4511&lt;&gt;"",IF(K4511="Date",NOW(),K4511),""))</f>
        <v>Date</v>
      </c>
    </row>
    <row r="4512" spans="2:11">
      <c r="B4512" s="97" t="str">
        <f ca="1">IF(A4512="","Date",IF(A4512&lt;&gt;"",IF(B4512="Date",NOW(),B4512),""))</f>
        <v>Date</v>
      </c>
      <c r="C4512" s="19" t="str">
        <f>IF(ISBLANK(A4512),"Name",IF(ISNA(VLOOKUP(A4512,'Master List'!A:C,2,FALSE)), "Not Found", VLOOKUP(A4512,'Master List'!A:C,2,FALSE)))</f>
        <v>Name</v>
      </c>
      <c r="D4512" s="19" t="str">
        <f>IF(ISBLANK(A4512), "Email",IF(ISNA(VLOOKUP(A4512,'Master List'!A:C,3,FALSE)), "Not Found", VLOOKUP(A4512,'Master List'!A:C,3,FALSE)))</f>
        <v>Email</v>
      </c>
      <c r="F4512" s="4" t="str">
        <f>IF(OR(A4512="",E4512="","",A4512="?",E4512="?"),"duplicate?",IF(COUNTIFS($A:A,A4512,E:E,E4512)&gt;1,"yes","no"))</f>
        <v>duplicate?</v>
      </c>
      <c r="K4512" s="97" t="str">
        <f ca="1">IF(J4512="","Date",IF(J4512&lt;&gt;"",IF(K4512="Date",NOW(),K4512),""))</f>
        <v>Date</v>
      </c>
    </row>
    <row r="4513" spans="2:11">
      <c r="B4513" s="97" t="str">
        <f ca="1">IF(A4513="","Date",IF(A4513&lt;&gt;"",IF(B4513="Date",NOW(),B4513),""))</f>
        <v>Date</v>
      </c>
      <c r="C4513" s="19" t="str">
        <f>IF(ISBLANK(A4513),"Name",IF(ISNA(VLOOKUP(A4513,'Master List'!A:C,2,FALSE)), "Not Found", VLOOKUP(A4513,'Master List'!A:C,2,FALSE)))</f>
        <v>Name</v>
      </c>
      <c r="D4513" s="19" t="str">
        <f>IF(ISBLANK(A4513), "Email",IF(ISNA(VLOOKUP(A4513,'Master List'!A:C,3,FALSE)), "Not Found", VLOOKUP(A4513,'Master List'!A:C,3,FALSE)))</f>
        <v>Email</v>
      </c>
      <c r="F4513" s="4" t="str">
        <f>IF(OR(A4513="",E4513="","",A4513="?",E4513="?"),"duplicate?",IF(COUNTIFS($A:A,A4513,E:E,E4513)&gt;1,"yes","no"))</f>
        <v>duplicate?</v>
      </c>
      <c r="K4513" s="97" t="str">
        <f ca="1">IF(J4513="","Date",IF(J4513&lt;&gt;"",IF(K4513="Date",NOW(),K4513),""))</f>
        <v>Date</v>
      </c>
    </row>
    <row r="4514" spans="2:11">
      <c r="B4514" s="97" t="str">
        <f ca="1">IF(A4514="","Date",IF(A4514&lt;&gt;"",IF(B4514="Date",NOW(),B4514),""))</f>
        <v>Date</v>
      </c>
      <c r="C4514" s="19" t="str">
        <f>IF(ISBLANK(A4514),"Name",IF(ISNA(VLOOKUP(A4514,'Master List'!A:C,2,FALSE)), "Not Found", VLOOKUP(A4514,'Master List'!A:C,2,FALSE)))</f>
        <v>Name</v>
      </c>
      <c r="D4514" s="19" t="str">
        <f>IF(ISBLANK(A4514), "Email",IF(ISNA(VLOOKUP(A4514,'Master List'!A:C,3,FALSE)), "Not Found", VLOOKUP(A4514,'Master List'!A:C,3,FALSE)))</f>
        <v>Email</v>
      </c>
      <c r="F4514" s="4" t="str">
        <f>IF(OR(A4514="",E4514="","",A4514="?",E4514="?"),"duplicate?",IF(COUNTIFS($A:A,A4514,E:E,E4514)&gt;1,"yes","no"))</f>
        <v>duplicate?</v>
      </c>
      <c r="K4514" s="97" t="str">
        <f ca="1">IF(J4514="","Date",IF(J4514&lt;&gt;"",IF(K4514="Date",NOW(),K4514),""))</f>
        <v>Date</v>
      </c>
    </row>
    <row r="4515" spans="2:11">
      <c r="B4515" s="97" t="str">
        <f ca="1">IF(A4515="","Date",IF(A4515&lt;&gt;"",IF(B4515="Date",NOW(),B4515),""))</f>
        <v>Date</v>
      </c>
      <c r="C4515" s="19" t="str">
        <f>IF(ISBLANK(A4515),"Name",IF(ISNA(VLOOKUP(A4515,'Master List'!A:C,2,FALSE)), "Not Found", VLOOKUP(A4515,'Master List'!A:C,2,FALSE)))</f>
        <v>Name</v>
      </c>
      <c r="D4515" s="19" t="str">
        <f>IF(ISBLANK(A4515), "Email",IF(ISNA(VLOOKUP(A4515,'Master List'!A:C,3,FALSE)), "Not Found", VLOOKUP(A4515,'Master List'!A:C,3,FALSE)))</f>
        <v>Email</v>
      </c>
      <c r="F4515" s="4" t="str">
        <f>IF(OR(A4515="",E4515="","",A4515="?",E4515="?"),"duplicate?",IF(COUNTIFS($A:A,A4515,E:E,E4515)&gt;1,"yes","no"))</f>
        <v>duplicate?</v>
      </c>
      <c r="K4515" s="97" t="str">
        <f ca="1">IF(J4515="","Date",IF(J4515&lt;&gt;"",IF(K4515="Date",NOW(),K4515),""))</f>
        <v>Date</v>
      </c>
    </row>
    <row r="4516" spans="2:11">
      <c r="B4516" s="97" t="str">
        <f ca="1">IF(A4516="","Date",IF(A4516&lt;&gt;"",IF(B4516="Date",NOW(),B4516),""))</f>
        <v>Date</v>
      </c>
      <c r="C4516" s="19" t="str">
        <f>IF(ISBLANK(A4516),"Name",IF(ISNA(VLOOKUP(A4516,'Master List'!A:C,2,FALSE)), "Not Found", VLOOKUP(A4516,'Master List'!A:C,2,FALSE)))</f>
        <v>Name</v>
      </c>
      <c r="D4516" s="19" t="str">
        <f>IF(ISBLANK(A4516), "Email",IF(ISNA(VLOOKUP(A4516,'Master List'!A:C,3,FALSE)), "Not Found", VLOOKUP(A4516,'Master List'!A:C,3,FALSE)))</f>
        <v>Email</v>
      </c>
      <c r="F4516" s="4" t="str">
        <f>IF(OR(A4516="",E4516="","",A4516="?",E4516="?"),"duplicate?",IF(COUNTIFS($A:A,A4516,E:E,E4516)&gt;1,"yes","no"))</f>
        <v>duplicate?</v>
      </c>
      <c r="K4516" s="97" t="str">
        <f ca="1">IF(J4516="","Date",IF(J4516&lt;&gt;"",IF(K4516="Date",NOW(),K4516),""))</f>
        <v>Date</v>
      </c>
    </row>
    <row r="4517" spans="2:11">
      <c r="B4517" s="97" t="str">
        <f ca="1">IF(A4517="","Date",IF(A4517&lt;&gt;"",IF(B4517="Date",NOW(),B4517),""))</f>
        <v>Date</v>
      </c>
      <c r="C4517" s="19" t="str">
        <f>IF(ISBLANK(A4517),"Name",IF(ISNA(VLOOKUP(A4517,'Master List'!A:C,2,FALSE)), "Not Found", VLOOKUP(A4517,'Master List'!A:C,2,FALSE)))</f>
        <v>Name</v>
      </c>
      <c r="D4517" s="19" t="str">
        <f>IF(ISBLANK(A4517), "Email",IF(ISNA(VLOOKUP(A4517,'Master List'!A:C,3,FALSE)), "Not Found", VLOOKUP(A4517,'Master List'!A:C,3,FALSE)))</f>
        <v>Email</v>
      </c>
      <c r="F4517" s="4" t="str">
        <f>IF(OR(A4517="",E4517="","",A4517="?",E4517="?"),"duplicate?",IF(COUNTIFS($A:A,A4517,E:E,E4517)&gt;1,"yes","no"))</f>
        <v>duplicate?</v>
      </c>
      <c r="K4517" s="97" t="str">
        <f ca="1">IF(J4517="","Date",IF(J4517&lt;&gt;"",IF(K4517="Date",NOW(),K4517),""))</f>
        <v>Date</v>
      </c>
    </row>
    <row r="4518" spans="2:11">
      <c r="B4518" s="97" t="str">
        <f ca="1">IF(A4518="","Date",IF(A4518&lt;&gt;"",IF(B4518="Date",NOW(),B4518),""))</f>
        <v>Date</v>
      </c>
      <c r="C4518" s="19" t="str">
        <f>IF(ISBLANK(A4518),"Name",IF(ISNA(VLOOKUP(A4518,'Master List'!A:C,2,FALSE)), "Not Found", VLOOKUP(A4518,'Master List'!A:C,2,FALSE)))</f>
        <v>Name</v>
      </c>
      <c r="D4518" s="19" t="str">
        <f>IF(ISBLANK(A4518), "Email",IF(ISNA(VLOOKUP(A4518,'Master List'!A:C,3,FALSE)), "Not Found", VLOOKUP(A4518,'Master List'!A:C,3,FALSE)))</f>
        <v>Email</v>
      </c>
      <c r="F4518" s="4" t="str">
        <f>IF(OR(A4518="",E4518="","",A4518="?",E4518="?"),"duplicate?",IF(COUNTIFS($A:A,A4518,E:E,E4518)&gt;1,"yes","no"))</f>
        <v>duplicate?</v>
      </c>
      <c r="K4518" s="97" t="str">
        <f ca="1">IF(J4518="","Date",IF(J4518&lt;&gt;"",IF(K4518="Date",NOW(),K4518),""))</f>
        <v>Date</v>
      </c>
    </row>
    <row r="4519" spans="2:11">
      <c r="B4519" s="97" t="str">
        <f ca="1">IF(A4519="","Date",IF(A4519&lt;&gt;"",IF(B4519="Date",NOW(),B4519),""))</f>
        <v>Date</v>
      </c>
      <c r="C4519" s="19" t="str">
        <f>IF(ISBLANK(A4519),"Name",IF(ISNA(VLOOKUP(A4519,'Master List'!A:C,2,FALSE)), "Not Found", VLOOKUP(A4519,'Master List'!A:C,2,FALSE)))</f>
        <v>Name</v>
      </c>
      <c r="D4519" s="19" t="str">
        <f>IF(ISBLANK(A4519), "Email",IF(ISNA(VLOOKUP(A4519,'Master List'!A:C,3,FALSE)), "Not Found", VLOOKUP(A4519,'Master List'!A:C,3,FALSE)))</f>
        <v>Email</v>
      </c>
      <c r="F4519" s="4" t="str">
        <f>IF(OR(A4519="",E4519="","",A4519="?",E4519="?"),"duplicate?",IF(COUNTIFS($A:A,A4519,E:E,E4519)&gt;1,"yes","no"))</f>
        <v>duplicate?</v>
      </c>
      <c r="K4519" s="97" t="str">
        <f ca="1">IF(J4519="","Date",IF(J4519&lt;&gt;"",IF(K4519="Date",NOW(),K4519),""))</f>
        <v>Date</v>
      </c>
    </row>
    <row r="4520" spans="2:11">
      <c r="B4520" s="97" t="str">
        <f ca="1">IF(A4520="","Date",IF(A4520&lt;&gt;"",IF(B4520="Date",NOW(),B4520),""))</f>
        <v>Date</v>
      </c>
      <c r="C4520" s="19" t="str">
        <f>IF(ISBLANK(A4520),"Name",IF(ISNA(VLOOKUP(A4520,'Master List'!A:C,2,FALSE)), "Not Found", VLOOKUP(A4520,'Master List'!A:C,2,FALSE)))</f>
        <v>Name</v>
      </c>
      <c r="D4520" s="19" t="str">
        <f>IF(ISBLANK(A4520), "Email",IF(ISNA(VLOOKUP(A4520,'Master List'!A:C,3,FALSE)), "Not Found", VLOOKUP(A4520,'Master List'!A:C,3,FALSE)))</f>
        <v>Email</v>
      </c>
      <c r="F4520" s="4" t="str">
        <f>IF(OR(A4520="",E4520="","",A4520="?",E4520="?"),"duplicate?",IF(COUNTIFS($A:A,A4520,E:E,E4520)&gt;1,"yes","no"))</f>
        <v>duplicate?</v>
      </c>
      <c r="K4520" s="97" t="str">
        <f ca="1">IF(J4520="","Date",IF(J4520&lt;&gt;"",IF(K4520="Date",NOW(),K4520),""))</f>
        <v>Date</v>
      </c>
    </row>
    <row r="4521" spans="2:11">
      <c r="B4521" s="97" t="str">
        <f ca="1">IF(A4521="","Date",IF(A4521&lt;&gt;"",IF(B4521="Date",NOW(),B4521),""))</f>
        <v>Date</v>
      </c>
      <c r="C4521" s="19" t="str">
        <f>IF(ISBLANK(A4521),"Name",IF(ISNA(VLOOKUP(A4521,'Master List'!A:C,2,FALSE)), "Not Found", VLOOKUP(A4521,'Master List'!A:C,2,FALSE)))</f>
        <v>Name</v>
      </c>
      <c r="D4521" s="19" t="str">
        <f>IF(ISBLANK(A4521), "Email",IF(ISNA(VLOOKUP(A4521,'Master List'!A:C,3,FALSE)), "Not Found", VLOOKUP(A4521,'Master List'!A:C,3,FALSE)))</f>
        <v>Email</v>
      </c>
      <c r="F4521" s="4" t="str">
        <f>IF(OR(A4521="",E4521="","",A4521="?",E4521="?"),"duplicate?",IF(COUNTIFS($A:A,A4521,E:E,E4521)&gt;1,"yes","no"))</f>
        <v>duplicate?</v>
      </c>
      <c r="K4521" s="97" t="str">
        <f ca="1">IF(J4521="","Date",IF(J4521&lt;&gt;"",IF(K4521="Date",NOW(),K4521),""))</f>
        <v>Date</v>
      </c>
    </row>
    <row r="4522" spans="2:11">
      <c r="B4522" s="97" t="str">
        <f ca="1">IF(A4522="","Date",IF(A4522&lt;&gt;"",IF(B4522="Date",NOW(),B4522),""))</f>
        <v>Date</v>
      </c>
      <c r="C4522" s="19" t="str">
        <f>IF(ISBLANK(A4522),"Name",IF(ISNA(VLOOKUP(A4522,'Master List'!A:C,2,FALSE)), "Not Found", VLOOKUP(A4522,'Master List'!A:C,2,FALSE)))</f>
        <v>Name</v>
      </c>
      <c r="D4522" s="19" t="str">
        <f>IF(ISBLANK(A4522), "Email",IF(ISNA(VLOOKUP(A4522,'Master List'!A:C,3,FALSE)), "Not Found", VLOOKUP(A4522,'Master List'!A:C,3,FALSE)))</f>
        <v>Email</v>
      </c>
      <c r="F4522" s="4" t="str">
        <f>IF(OR(A4522="",E4522="","",A4522="?",E4522="?"),"duplicate?",IF(COUNTIFS($A:A,A4522,E:E,E4522)&gt;1,"yes","no"))</f>
        <v>duplicate?</v>
      </c>
      <c r="K4522" s="97" t="str">
        <f ca="1">IF(J4522="","Date",IF(J4522&lt;&gt;"",IF(K4522="Date",NOW(),K4522),""))</f>
        <v>Date</v>
      </c>
    </row>
    <row r="4523" spans="2:11">
      <c r="B4523" s="97" t="str">
        <f ca="1">IF(A4523="","Date",IF(A4523&lt;&gt;"",IF(B4523="Date",NOW(),B4523),""))</f>
        <v>Date</v>
      </c>
      <c r="C4523" s="19" t="str">
        <f>IF(ISBLANK(A4523),"Name",IF(ISNA(VLOOKUP(A4523,'Master List'!A:C,2,FALSE)), "Not Found", VLOOKUP(A4523,'Master List'!A:C,2,FALSE)))</f>
        <v>Name</v>
      </c>
      <c r="D4523" s="19" t="str">
        <f>IF(ISBLANK(A4523), "Email",IF(ISNA(VLOOKUP(A4523,'Master List'!A:C,3,FALSE)), "Not Found", VLOOKUP(A4523,'Master List'!A:C,3,FALSE)))</f>
        <v>Email</v>
      </c>
      <c r="F4523" s="4" t="str">
        <f>IF(OR(A4523="",E4523="","",A4523="?",E4523="?"),"duplicate?",IF(COUNTIFS($A:A,A4523,E:E,E4523)&gt;1,"yes","no"))</f>
        <v>duplicate?</v>
      </c>
      <c r="K4523" s="97" t="str">
        <f ca="1">IF(J4523="","Date",IF(J4523&lt;&gt;"",IF(K4523="Date",NOW(),K4523),""))</f>
        <v>Date</v>
      </c>
    </row>
    <row r="4524" spans="2:11">
      <c r="B4524" s="97" t="str">
        <f ca="1">IF(A4524="","Date",IF(A4524&lt;&gt;"",IF(B4524="Date",NOW(),B4524),""))</f>
        <v>Date</v>
      </c>
      <c r="C4524" s="19" t="str">
        <f>IF(ISBLANK(A4524),"Name",IF(ISNA(VLOOKUP(A4524,'Master List'!A:C,2,FALSE)), "Not Found", VLOOKUP(A4524,'Master List'!A:C,2,FALSE)))</f>
        <v>Name</v>
      </c>
      <c r="D4524" s="19" t="str">
        <f>IF(ISBLANK(A4524), "Email",IF(ISNA(VLOOKUP(A4524,'Master List'!A:C,3,FALSE)), "Not Found", VLOOKUP(A4524,'Master List'!A:C,3,FALSE)))</f>
        <v>Email</v>
      </c>
      <c r="F4524" s="4" t="str">
        <f>IF(OR(A4524="",E4524="","",A4524="?",E4524="?"),"duplicate?",IF(COUNTIFS($A:A,A4524,E:E,E4524)&gt;1,"yes","no"))</f>
        <v>duplicate?</v>
      </c>
      <c r="K4524" s="97" t="str">
        <f ca="1">IF(J4524="","Date",IF(J4524&lt;&gt;"",IF(K4524="Date",NOW(),K4524),""))</f>
        <v>Date</v>
      </c>
    </row>
    <row r="4525" spans="2:11">
      <c r="B4525" s="97" t="str">
        <f ca="1">IF(A4525="","Date",IF(A4525&lt;&gt;"",IF(B4525="Date",NOW(),B4525),""))</f>
        <v>Date</v>
      </c>
      <c r="C4525" s="19" t="str">
        <f>IF(ISBLANK(A4525),"Name",IF(ISNA(VLOOKUP(A4525,'Master List'!A:C,2,FALSE)), "Not Found", VLOOKUP(A4525,'Master List'!A:C,2,FALSE)))</f>
        <v>Name</v>
      </c>
      <c r="D4525" s="19" t="str">
        <f>IF(ISBLANK(A4525), "Email",IF(ISNA(VLOOKUP(A4525,'Master List'!A:C,3,FALSE)), "Not Found", VLOOKUP(A4525,'Master List'!A:C,3,FALSE)))</f>
        <v>Email</v>
      </c>
      <c r="F4525" s="4" t="str">
        <f>IF(OR(A4525="",E4525="","",A4525="?",E4525="?"),"duplicate?",IF(COUNTIFS($A:A,A4525,E:E,E4525)&gt;1,"yes","no"))</f>
        <v>duplicate?</v>
      </c>
      <c r="K4525" s="97" t="str">
        <f ca="1">IF(J4525="","Date",IF(J4525&lt;&gt;"",IF(K4525="Date",NOW(),K4525),""))</f>
        <v>Date</v>
      </c>
    </row>
    <row r="4526" spans="2:11">
      <c r="B4526" s="97" t="str">
        <f ca="1">IF(A4526="","Date",IF(A4526&lt;&gt;"",IF(B4526="Date",NOW(),B4526),""))</f>
        <v>Date</v>
      </c>
      <c r="C4526" s="19" t="str">
        <f>IF(ISBLANK(A4526),"Name",IF(ISNA(VLOOKUP(A4526,'Master List'!A:C,2,FALSE)), "Not Found", VLOOKUP(A4526,'Master List'!A:C,2,FALSE)))</f>
        <v>Name</v>
      </c>
      <c r="D4526" s="19" t="str">
        <f>IF(ISBLANK(A4526), "Email",IF(ISNA(VLOOKUP(A4526,'Master List'!A:C,3,FALSE)), "Not Found", VLOOKUP(A4526,'Master List'!A:C,3,FALSE)))</f>
        <v>Email</v>
      </c>
      <c r="F4526" s="4" t="str">
        <f>IF(OR(A4526="",E4526="","",A4526="?",E4526="?"),"duplicate?",IF(COUNTIFS($A:A,A4526,E:E,E4526)&gt;1,"yes","no"))</f>
        <v>duplicate?</v>
      </c>
      <c r="K4526" s="97" t="str">
        <f ca="1">IF(J4526="","Date",IF(J4526&lt;&gt;"",IF(K4526="Date",NOW(),K4526),""))</f>
        <v>Date</v>
      </c>
    </row>
    <row r="4527" spans="2:11">
      <c r="B4527" s="97" t="str">
        <f ca="1">IF(A4527="","Date",IF(A4527&lt;&gt;"",IF(B4527="Date",NOW(),B4527),""))</f>
        <v>Date</v>
      </c>
      <c r="C4527" s="19" t="str">
        <f>IF(ISBLANK(A4527),"Name",IF(ISNA(VLOOKUP(A4527,'Master List'!A:C,2,FALSE)), "Not Found", VLOOKUP(A4527,'Master List'!A:C,2,FALSE)))</f>
        <v>Name</v>
      </c>
      <c r="D4527" s="19" t="str">
        <f>IF(ISBLANK(A4527), "Email",IF(ISNA(VLOOKUP(A4527,'Master List'!A:C,3,FALSE)), "Not Found", VLOOKUP(A4527,'Master List'!A:C,3,FALSE)))</f>
        <v>Email</v>
      </c>
      <c r="F4527" s="4" t="str">
        <f>IF(OR(A4527="",E4527="","",A4527="?",E4527="?"),"duplicate?",IF(COUNTIFS($A:A,A4527,E:E,E4527)&gt;1,"yes","no"))</f>
        <v>duplicate?</v>
      </c>
      <c r="K4527" s="97" t="str">
        <f ca="1">IF(J4527="","Date",IF(J4527&lt;&gt;"",IF(K4527="Date",NOW(),K4527),""))</f>
        <v>Date</v>
      </c>
    </row>
    <row r="4528" spans="2:11">
      <c r="B4528" s="97" t="str">
        <f ca="1">IF(A4528="","Date",IF(A4528&lt;&gt;"",IF(B4528="Date",NOW(),B4528),""))</f>
        <v>Date</v>
      </c>
      <c r="C4528" s="19" t="str">
        <f>IF(ISBLANK(A4528),"Name",IF(ISNA(VLOOKUP(A4528,'Master List'!A:C,2,FALSE)), "Not Found", VLOOKUP(A4528,'Master List'!A:C,2,FALSE)))</f>
        <v>Name</v>
      </c>
      <c r="D4528" s="19" t="str">
        <f>IF(ISBLANK(A4528), "Email",IF(ISNA(VLOOKUP(A4528,'Master List'!A:C,3,FALSE)), "Not Found", VLOOKUP(A4528,'Master List'!A:C,3,FALSE)))</f>
        <v>Email</v>
      </c>
      <c r="F4528" s="4" t="str">
        <f>IF(OR(A4528="",E4528="","",A4528="?",E4528="?"),"duplicate?",IF(COUNTIFS($A:A,A4528,E:E,E4528)&gt;1,"yes","no"))</f>
        <v>duplicate?</v>
      </c>
      <c r="K4528" s="97" t="str">
        <f ca="1">IF(J4528="","Date",IF(J4528&lt;&gt;"",IF(K4528="Date",NOW(),K4528),""))</f>
        <v>Date</v>
      </c>
    </row>
    <row r="4529" spans="2:11">
      <c r="B4529" s="97" t="str">
        <f ca="1">IF(A4529="","Date",IF(A4529&lt;&gt;"",IF(B4529="Date",NOW(),B4529),""))</f>
        <v>Date</v>
      </c>
      <c r="C4529" s="19" t="str">
        <f>IF(ISBLANK(A4529),"Name",IF(ISNA(VLOOKUP(A4529,'Master List'!A:C,2,FALSE)), "Not Found", VLOOKUP(A4529,'Master List'!A:C,2,FALSE)))</f>
        <v>Name</v>
      </c>
      <c r="D4529" s="19" t="str">
        <f>IF(ISBLANK(A4529), "Email",IF(ISNA(VLOOKUP(A4529,'Master List'!A:C,3,FALSE)), "Not Found", VLOOKUP(A4529,'Master List'!A:C,3,FALSE)))</f>
        <v>Email</v>
      </c>
      <c r="F4529" s="4" t="str">
        <f>IF(OR(A4529="",E4529="","",A4529="?",E4529="?"),"duplicate?",IF(COUNTIFS($A:A,A4529,E:E,E4529)&gt;1,"yes","no"))</f>
        <v>duplicate?</v>
      </c>
      <c r="K4529" s="97" t="str">
        <f ca="1">IF(J4529="","Date",IF(J4529&lt;&gt;"",IF(K4529="Date",NOW(),K4529),""))</f>
        <v>Date</v>
      </c>
    </row>
    <row r="4530" spans="2:11">
      <c r="B4530" s="97" t="str">
        <f ca="1">IF(A4530="","Date",IF(A4530&lt;&gt;"",IF(B4530="Date",NOW(),B4530),""))</f>
        <v>Date</v>
      </c>
      <c r="C4530" s="19" t="str">
        <f>IF(ISBLANK(A4530),"Name",IF(ISNA(VLOOKUP(A4530,'Master List'!A:C,2,FALSE)), "Not Found", VLOOKUP(A4530,'Master List'!A:C,2,FALSE)))</f>
        <v>Name</v>
      </c>
      <c r="D4530" s="19" t="str">
        <f>IF(ISBLANK(A4530), "Email",IF(ISNA(VLOOKUP(A4530,'Master List'!A:C,3,FALSE)), "Not Found", VLOOKUP(A4530,'Master List'!A:C,3,FALSE)))</f>
        <v>Email</v>
      </c>
      <c r="F4530" s="4" t="str">
        <f>IF(OR(A4530="",E4530="","",A4530="?",E4530="?"),"duplicate?",IF(COUNTIFS($A:A,A4530,E:E,E4530)&gt;1,"yes","no"))</f>
        <v>duplicate?</v>
      </c>
      <c r="K4530" s="97" t="str">
        <f ca="1">IF(J4530="","Date",IF(J4530&lt;&gt;"",IF(K4530="Date",NOW(),K4530),""))</f>
        <v>Date</v>
      </c>
    </row>
    <row r="4531" spans="2:11">
      <c r="B4531" s="97" t="str">
        <f ca="1">IF(A4531="","Date",IF(A4531&lt;&gt;"",IF(B4531="Date",NOW(),B4531),""))</f>
        <v>Date</v>
      </c>
      <c r="C4531" s="19" t="str">
        <f>IF(ISBLANK(A4531),"Name",IF(ISNA(VLOOKUP(A4531,'Master List'!A:C,2,FALSE)), "Not Found", VLOOKUP(A4531,'Master List'!A:C,2,FALSE)))</f>
        <v>Name</v>
      </c>
      <c r="D4531" s="19" t="str">
        <f>IF(ISBLANK(A4531), "Email",IF(ISNA(VLOOKUP(A4531,'Master List'!A:C,3,FALSE)), "Not Found", VLOOKUP(A4531,'Master List'!A:C,3,FALSE)))</f>
        <v>Email</v>
      </c>
      <c r="F4531" s="4" t="str">
        <f>IF(OR(A4531="",E4531="","",A4531="?",E4531="?"),"duplicate?",IF(COUNTIFS($A:A,A4531,E:E,E4531)&gt;1,"yes","no"))</f>
        <v>duplicate?</v>
      </c>
      <c r="K4531" s="97" t="str">
        <f ca="1">IF(J4531="","Date",IF(J4531&lt;&gt;"",IF(K4531="Date",NOW(),K4531),""))</f>
        <v>Date</v>
      </c>
    </row>
    <row r="4532" spans="2:11">
      <c r="B4532" s="97" t="str">
        <f ca="1">IF(A4532="","Date",IF(A4532&lt;&gt;"",IF(B4532="Date",NOW(),B4532),""))</f>
        <v>Date</v>
      </c>
      <c r="C4532" s="19" t="str">
        <f>IF(ISBLANK(A4532),"Name",IF(ISNA(VLOOKUP(A4532,'Master List'!A:C,2,FALSE)), "Not Found", VLOOKUP(A4532,'Master List'!A:C,2,FALSE)))</f>
        <v>Name</v>
      </c>
      <c r="D4532" s="19" t="str">
        <f>IF(ISBLANK(A4532), "Email",IF(ISNA(VLOOKUP(A4532,'Master List'!A:C,3,FALSE)), "Not Found", VLOOKUP(A4532,'Master List'!A:C,3,FALSE)))</f>
        <v>Email</v>
      </c>
      <c r="F4532" s="4" t="str">
        <f>IF(OR(A4532="",E4532="","",A4532="?",E4532="?"),"duplicate?",IF(COUNTIFS($A:A,A4532,E:E,E4532)&gt;1,"yes","no"))</f>
        <v>duplicate?</v>
      </c>
      <c r="K4532" s="97" t="str">
        <f ca="1">IF(J4532="","Date",IF(J4532&lt;&gt;"",IF(K4532="Date",NOW(),K4532),""))</f>
        <v>Date</v>
      </c>
    </row>
    <row r="4533" spans="2:11">
      <c r="B4533" s="97" t="str">
        <f ca="1">IF(A4533="","Date",IF(A4533&lt;&gt;"",IF(B4533="Date",NOW(),B4533),""))</f>
        <v>Date</v>
      </c>
      <c r="C4533" s="19" t="str">
        <f>IF(ISBLANK(A4533),"Name",IF(ISNA(VLOOKUP(A4533,'Master List'!A:C,2,FALSE)), "Not Found", VLOOKUP(A4533,'Master List'!A:C,2,FALSE)))</f>
        <v>Name</v>
      </c>
      <c r="D4533" s="19" t="str">
        <f>IF(ISBLANK(A4533), "Email",IF(ISNA(VLOOKUP(A4533,'Master List'!A:C,3,FALSE)), "Not Found", VLOOKUP(A4533,'Master List'!A:C,3,FALSE)))</f>
        <v>Email</v>
      </c>
      <c r="F4533" s="4" t="str">
        <f>IF(OR(A4533="",E4533="","",A4533="?",E4533="?"),"duplicate?",IF(COUNTIFS($A:A,A4533,E:E,E4533)&gt;1,"yes","no"))</f>
        <v>duplicate?</v>
      </c>
      <c r="K4533" s="97" t="str">
        <f ca="1">IF(J4533="","Date",IF(J4533&lt;&gt;"",IF(K4533="Date",NOW(),K4533),""))</f>
        <v>Date</v>
      </c>
    </row>
    <row r="4534" spans="2:11">
      <c r="B4534" s="97" t="str">
        <f ca="1">IF(A4534="","Date",IF(A4534&lt;&gt;"",IF(B4534="Date",NOW(),B4534),""))</f>
        <v>Date</v>
      </c>
      <c r="C4534" s="19" t="str">
        <f>IF(ISBLANK(A4534),"Name",IF(ISNA(VLOOKUP(A4534,'Master List'!A:C,2,FALSE)), "Not Found", VLOOKUP(A4534,'Master List'!A:C,2,FALSE)))</f>
        <v>Name</v>
      </c>
      <c r="D4534" s="19" t="str">
        <f>IF(ISBLANK(A4534), "Email",IF(ISNA(VLOOKUP(A4534,'Master List'!A:C,3,FALSE)), "Not Found", VLOOKUP(A4534,'Master List'!A:C,3,FALSE)))</f>
        <v>Email</v>
      </c>
      <c r="F4534" s="4" t="str">
        <f>IF(OR(A4534="",E4534="","",A4534="?",E4534="?"),"duplicate?",IF(COUNTIFS($A:A,A4534,E:E,E4534)&gt;1,"yes","no"))</f>
        <v>duplicate?</v>
      </c>
      <c r="K4534" s="97" t="str">
        <f ca="1">IF(J4534="","Date",IF(J4534&lt;&gt;"",IF(K4534="Date",NOW(),K4534),""))</f>
        <v>Date</v>
      </c>
    </row>
    <row r="4535" spans="2:11">
      <c r="B4535" s="97" t="str">
        <f ca="1">IF(A4535="","Date",IF(A4535&lt;&gt;"",IF(B4535="Date",NOW(),B4535),""))</f>
        <v>Date</v>
      </c>
      <c r="C4535" s="19" t="str">
        <f>IF(ISBLANK(A4535),"Name",IF(ISNA(VLOOKUP(A4535,'Master List'!A:C,2,FALSE)), "Not Found", VLOOKUP(A4535,'Master List'!A:C,2,FALSE)))</f>
        <v>Name</v>
      </c>
      <c r="D4535" s="19" t="str">
        <f>IF(ISBLANK(A4535), "Email",IF(ISNA(VLOOKUP(A4535,'Master List'!A:C,3,FALSE)), "Not Found", VLOOKUP(A4535,'Master List'!A:C,3,FALSE)))</f>
        <v>Email</v>
      </c>
      <c r="F4535" s="4" t="str">
        <f>IF(OR(A4535="",E4535="","",A4535="?",E4535="?"),"duplicate?",IF(COUNTIFS($A:A,A4535,E:E,E4535)&gt;1,"yes","no"))</f>
        <v>duplicate?</v>
      </c>
      <c r="K4535" s="97" t="str">
        <f ca="1">IF(J4535="","Date",IF(J4535&lt;&gt;"",IF(K4535="Date",NOW(),K4535),""))</f>
        <v>Date</v>
      </c>
    </row>
    <row r="4536" spans="2:11">
      <c r="B4536" s="97" t="str">
        <f ca="1">IF(A4536="","Date",IF(A4536&lt;&gt;"",IF(B4536="Date",NOW(),B4536),""))</f>
        <v>Date</v>
      </c>
      <c r="C4536" s="19" t="str">
        <f>IF(ISBLANK(A4536),"Name",IF(ISNA(VLOOKUP(A4536,'Master List'!A:C,2,FALSE)), "Not Found", VLOOKUP(A4536,'Master List'!A:C,2,FALSE)))</f>
        <v>Name</v>
      </c>
      <c r="D4536" s="19" t="str">
        <f>IF(ISBLANK(A4536), "Email",IF(ISNA(VLOOKUP(A4536,'Master List'!A:C,3,FALSE)), "Not Found", VLOOKUP(A4536,'Master List'!A:C,3,FALSE)))</f>
        <v>Email</v>
      </c>
      <c r="F4536" s="4" t="str">
        <f>IF(OR(A4536="",E4536="","",A4536="?",E4536="?"),"duplicate?",IF(COUNTIFS($A:A,A4536,E:E,E4536)&gt;1,"yes","no"))</f>
        <v>duplicate?</v>
      </c>
      <c r="K4536" s="97" t="str">
        <f ca="1">IF(J4536="","Date",IF(J4536&lt;&gt;"",IF(K4536="Date",NOW(),K4536),""))</f>
        <v>Date</v>
      </c>
    </row>
    <row r="4537" spans="2:11">
      <c r="B4537" s="97" t="str">
        <f ca="1">IF(A4537="","Date",IF(A4537&lt;&gt;"",IF(B4537="Date",NOW(),B4537),""))</f>
        <v>Date</v>
      </c>
      <c r="C4537" s="19" t="str">
        <f>IF(ISBLANK(A4537),"Name",IF(ISNA(VLOOKUP(A4537,'Master List'!A:C,2,FALSE)), "Not Found", VLOOKUP(A4537,'Master List'!A:C,2,FALSE)))</f>
        <v>Name</v>
      </c>
      <c r="D4537" s="19" t="str">
        <f>IF(ISBLANK(A4537), "Email",IF(ISNA(VLOOKUP(A4537,'Master List'!A:C,3,FALSE)), "Not Found", VLOOKUP(A4537,'Master List'!A:C,3,FALSE)))</f>
        <v>Email</v>
      </c>
      <c r="F4537" s="4" t="str">
        <f>IF(OR(A4537="",E4537="","",A4537="?",E4537="?"),"duplicate?",IF(COUNTIFS($A:A,A4537,E:E,E4537)&gt;1,"yes","no"))</f>
        <v>duplicate?</v>
      </c>
      <c r="K4537" s="97" t="str">
        <f ca="1">IF(J4537="","Date",IF(J4537&lt;&gt;"",IF(K4537="Date",NOW(),K4537),""))</f>
        <v>Date</v>
      </c>
    </row>
    <row r="4538" spans="2:11">
      <c r="B4538" s="97" t="str">
        <f ca="1">IF(A4538="","Date",IF(A4538&lt;&gt;"",IF(B4538="Date",NOW(),B4538),""))</f>
        <v>Date</v>
      </c>
      <c r="C4538" s="19" t="str">
        <f>IF(ISBLANK(A4538),"Name",IF(ISNA(VLOOKUP(A4538,'Master List'!A:C,2,FALSE)), "Not Found", VLOOKUP(A4538,'Master List'!A:C,2,FALSE)))</f>
        <v>Name</v>
      </c>
      <c r="D4538" s="19" t="str">
        <f>IF(ISBLANK(A4538), "Email",IF(ISNA(VLOOKUP(A4538,'Master List'!A:C,3,FALSE)), "Not Found", VLOOKUP(A4538,'Master List'!A:C,3,FALSE)))</f>
        <v>Email</v>
      </c>
      <c r="F4538" s="4" t="str">
        <f>IF(OR(A4538="",E4538="","",A4538="?",E4538="?"),"duplicate?",IF(COUNTIFS($A:A,A4538,E:E,E4538)&gt;1,"yes","no"))</f>
        <v>duplicate?</v>
      </c>
      <c r="K4538" s="97" t="str">
        <f ca="1">IF(J4538="","Date",IF(J4538&lt;&gt;"",IF(K4538="Date",NOW(),K4538),""))</f>
        <v>Date</v>
      </c>
    </row>
    <row r="4539" spans="2:11">
      <c r="B4539" s="97" t="str">
        <f ca="1">IF(A4539="","Date",IF(A4539&lt;&gt;"",IF(B4539="Date",NOW(),B4539),""))</f>
        <v>Date</v>
      </c>
      <c r="C4539" s="19" t="str">
        <f>IF(ISBLANK(A4539),"Name",IF(ISNA(VLOOKUP(A4539,'Master List'!A:C,2,FALSE)), "Not Found", VLOOKUP(A4539,'Master List'!A:C,2,FALSE)))</f>
        <v>Name</v>
      </c>
      <c r="D4539" s="19" t="str">
        <f>IF(ISBLANK(A4539), "Email",IF(ISNA(VLOOKUP(A4539,'Master List'!A:C,3,FALSE)), "Not Found", VLOOKUP(A4539,'Master List'!A:C,3,FALSE)))</f>
        <v>Email</v>
      </c>
      <c r="F4539" s="4" t="str">
        <f>IF(OR(A4539="",E4539="","",A4539="?",E4539="?"),"duplicate?",IF(COUNTIFS($A:A,A4539,E:E,E4539)&gt;1,"yes","no"))</f>
        <v>duplicate?</v>
      </c>
      <c r="K4539" s="97" t="str">
        <f ca="1">IF(J4539="","Date",IF(J4539&lt;&gt;"",IF(K4539="Date",NOW(),K4539),""))</f>
        <v>Date</v>
      </c>
    </row>
    <row r="4540" spans="2:11">
      <c r="B4540" s="97" t="str">
        <f ca="1">IF(A4540="","Date",IF(A4540&lt;&gt;"",IF(B4540="Date",NOW(),B4540),""))</f>
        <v>Date</v>
      </c>
      <c r="C4540" s="19" t="str">
        <f>IF(ISBLANK(A4540),"Name",IF(ISNA(VLOOKUP(A4540,'Master List'!A:C,2,FALSE)), "Not Found", VLOOKUP(A4540,'Master List'!A:C,2,FALSE)))</f>
        <v>Name</v>
      </c>
      <c r="D4540" s="19" t="str">
        <f>IF(ISBLANK(A4540), "Email",IF(ISNA(VLOOKUP(A4540,'Master List'!A:C,3,FALSE)), "Not Found", VLOOKUP(A4540,'Master List'!A:C,3,FALSE)))</f>
        <v>Email</v>
      </c>
      <c r="F4540" s="4" t="str">
        <f>IF(OR(A4540="",E4540="","",A4540="?",E4540="?"),"duplicate?",IF(COUNTIFS($A:A,A4540,E:E,E4540)&gt;1,"yes","no"))</f>
        <v>duplicate?</v>
      </c>
      <c r="K4540" s="97" t="str">
        <f ca="1">IF(J4540="","Date",IF(J4540&lt;&gt;"",IF(K4540="Date",NOW(),K4540),""))</f>
        <v>Date</v>
      </c>
    </row>
    <row r="4541" spans="2:11">
      <c r="B4541" s="97" t="str">
        <f ca="1">IF(A4541="","Date",IF(A4541&lt;&gt;"",IF(B4541="Date",NOW(),B4541),""))</f>
        <v>Date</v>
      </c>
      <c r="C4541" s="19" t="str">
        <f>IF(ISBLANK(A4541),"Name",IF(ISNA(VLOOKUP(A4541,'Master List'!A:C,2,FALSE)), "Not Found", VLOOKUP(A4541,'Master List'!A:C,2,FALSE)))</f>
        <v>Name</v>
      </c>
      <c r="D4541" s="19" t="str">
        <f>IF(ISBLANK(A4541), "Email",IF(ISNA(VLOOKUP(A4541,'Master List'!A:C,3,FALSE)), "Not Found", VLOOKUP(A4541,'Master List'!A:C,3,FALSE)))</f>
        <v>Email</v>
      </c>
      <c r="F4541" s="4" t="str">
        <f>IF(OR(A4541="",E4541="","",A4541="?",E4541="?"),"duplicate?",IF(COUNTIFS($A:A,A4541,E:E,E4541)&gt;1,"yes","no"))</f>
        <v>duplicate?</v>
      </c>
      <c r="K4541" s="97" t="str">
        <f ca="1">IF(J4541="","Date",IF(J4541&lt;&gt;"",IF(K4541="Date",NOW(),K4541),""))</f>
        <v>Date</v>
      </c>
    </row>
    <row r="4542" spans="2:11">
      <c r="B4542" s="97" t="str">
        <f ca="1">IF(A4542="","Date",IF(A4542&lt;&gt;"",IF(B4542="Date",NOW(),B4542),""))</f>
        <v>Date</v>
      </c>
      <c r="C4542" s="19" t="str">
        <f>IF(ISBLANK(A4542),"Name",IF(ISNA(VLOOKUP(A4542,'Master List'!A:C,2,FALSE)), "Not Found", VLOOKUP(A4542,'Master List'!A:C,2,FALSE)))</f>
        <v>Name</v>
      </c>
      <c r="D4542" s="19" t="str">
        <f>IF(ISBLANK(A4542), "Email",IF(ISNA(VLOOKUP(A4542,'Master List'!A:C,3,FALSE)), "Not Found", VLOOKUP(A4542,'Master List'!A:C,3,FALSE)))</f>
        <v>Email</v>
      </c>
      <c r="F4542" s="4" t="str">
        <f>IF(OR(A4542="",E4542="","",A4542="?",E4542="?"),"duplicate?",IF(COUNTIFS($A:A,A4542,E:E,E4542)&gt;1,"yes","no"))</f>
        <v>duplicate?</v>
      </c>
      <c r="K4542" s="97" t="str">
        <f ca="1">IF(J4542="","Date",IF(J4542&lt;&gt;"",IF(K4542="Date",NOW(),K4542),""))</f>
        <v>Date</v>
      </c>
    </row>
    <row r="4543" spans="2:11">
      <c r="B4543" s="97" t="str">
        <f ca="1">IF(A4543="","Date",IF(A4543&lt;&gt;"",IF(B4543="Date",NOW(),B4543),""))</f>
        <v>Date</v>
      </c>
      <c r="C4543" s="19" t="str">
        <f>IF(ISBLANK(A4543),"Name",IF(ISNA(VLOOKUP(A4543,'Master List'!A:C,2,FALSE)), "Not Found", VLOOKUP(A4543,'Master List'!A:C,2,FALSE)))</f>
        <v>Name</v>
      </c>
      <c r="D4543" s="19" t="str">
        <f>IF(ISBLANK(A4543), "Email",IF(ISNA(VLOOKUP(A4543,'Master List'!A:C,3,FALSE)), "Not Found", VLOOKUP(A4543,'Master List'!A:C,3,FALSE)))</f>
        <v>Email</v>
      </c>
      <c r="F4543" s="4" t="str">
        <f>IF(OR(A4543="",E4543="","",A4543="?",E4543="?"),"duplicate?",IF(COUNTIFS($A:A,A4543,E:E,E4543)&gt;1,"yes","no"))</f>
        <v>duplicate?</v>
      </c>
      <c r="K4543" s="97" t="str">
        <f ca="1">IF(J4543="","Date",IF(J4543&lt;&gt;"",IF(K4543="Date",NOW(),K4543),""))</f>
        <v>Date</v>
      </c>
    </row>
    <row r="4544" spans="2:11">
      <c r="B4544" s="97" t="str">
        <f ca="1">IF(A4544="","Date",IF(A4544&lt;&gt;"",IF(B4544="Date",NOW(),B4544),""))</f>
        <v>Date</v>
      </c>
      <c r="C4544" s="19" t="str">
        <f>IF(ISBLANK(A4544),"Name",IF(ISNA(VLOOKUP(A4544,'Master List'!A:C,2,FALSE)), "Not Found", VLOOKUP(A4544,'Master List'!A:C,2,FALSE)))</f>
        <v>Name</v>
      </c>
      <c r="D4544" s="19" t="str">
        <f>IF(ISBLANK(A4544), "Email",IF(ISNA(VLOOKUP(A4544,'Master List'!A:C,3,FALSE)), "Not Found", VLOOKUP(A4544,'Master List'!A:C,3,FALSE)))</f>
        <v>Email</v>
      </c>
      <c r="F4544" s="4" t="str">
        <f>IF(OR(A4544="",E4544="","",A4544="?",E4544="?"),"duplicate?",IF(COUNTIFS($A:A,A4544,E:E,E4544)&gt;1,"yes","no"))</f>
        <v>duplicate?</v>
      </c>
      <c r="K4544" s="97" t="str">
        <f ca="1">IF(J4544="","Date",IF(J4544&lt;&gt;"",IF(K4544="Date",NOW(),K4544),""))</f>
        <v>Date</v>
      </c>
    </row>
    <row r="4545" spans="2:11">
      <c r="B4545" s="97" t="str">
        <f ca="1">IF(A4545="","Date",IF(A4545&lt;&gt;"",IF(B4545="Date",NOW(),B4545),""))</f>
        <v>Date</v>
      </c>
      <c r="C4545" s="19" t="str">
        <f>IF(ISBLANK(A4545),"Name",IF(ISNA(VLOOKUP(A4545,'Master List'!A:C,2,FALSE)), "Not Found", VLOOKUP(A4545,'Master List'!A:C,2,FALSE)))</f>
        <v>Name</v>
      </c>
      <c r="D4545" s="19" t="str">
        <f>IF(ISBLANK(A4545), "Email",IF(ISNA(VLOOKUP(A4545,'Master List'!A:C,3,FALSE)), "Not Found", VLOOKUP(A4545,'Master List'!A:C,3,FALSE)))</f>
        <v>Email</v>
      </c>
      <c r="F4545" s="4" t="str">
        <f>IF(OR(A4545="",E4545="","",A4545="?",E4545="?"),"duplicate?",IF(COUNTIFS($A:A,A4545,E:E,E4545)&gt;1,"yes","no"))</f>
        <v>duplicate?</v>
      </c>
      <c r="K4545" s="97" t="str">
        <f ca="1">IF(J4545="","Date",IF(J4545&lt;&gt;"",IF(K4545="Date",NOW(),K4545),""))</f>
        <v>Date</v>
      </c>
    </row>
    <row r="4546" spans="2:11">
      <c r="B4546" s="97" t="str">
        <f ca="1">IF(A4546="","Date",IF(A4546&lt;&gt;"",IF(B4546="Date",NOW(),B4546),""))</f>
        <v>Date</v>
      </c>
      <c r="C4546" s="19" t="str">
        <f>IF(ISBLANK(A4546),"Name",IF(ISNA(VLOOKUP(A4546,'Master List'!A:C,2,FALSE)), "Not Found", VLOOKUP(A4546,'Master List'!A:C,2,FALSE)))</f>
        <v>Name</v>
      </c>
      <c r="D4546" s="19" t="str">
        <f>IF(ISBLANK(A4546), "Email",IF(ISNA(VLOOKUP(A4546,'Master List'!A:C,3,FALSE)), "Not Found", VLOOKUP(A4546,'Master List'!A:C,3,FALSE)))</f>
        <v>Email</v>
      </c>
      <c r="F4546" s="4" t="str">
        <f>IF(OR(A4546="",E4546="","",A4546="?",E4546="?"),"duplicate?",IF(COUNTIFS($A:A,A4546,E:E,E4546)&gt;1,"yes","no"))</f>
        <v>duplicate?</v>
      </c>
      <c r="K4546" s="97" t="str">
        <f ca="1">IF(J4546="","Date",IF(J4546&lt;&gt;"",IF(K4546="Date",NOW(),K4546),""))</f>
        <v>Date</v>
      </c>
    </row>
    <row r="4547" spans="2:11">
      <c r="B4547" s="97" t="str">
        <f ca="1">IF(A4547="","Date",IF(A4547&lt;&gt;"",IF(B4547="Date",NOW(),B4547),""))</f>
        <v>Date</v>
      </c>
      <c r="C4547" s="19" t="str">
        <f>IF(ISBLANK(A4547),"Name",IF(ISNA(VLOOKUP(A4547,'Master List'!A:C,2,FALSE)), "Not Found", VLOOKUP(A4547,'Master List'!A:C,2,FALSE)))</f>
        <v>Name</v>
      </c>
      <c r="D4547" s="19" t="str">
        <f>IF(ISBLANK(A4547), "Email",IF(ISNA(VLOOKUP(A4547,'Master List'!A:C,3,FALSE)), "Not Found", VLOOKUP(A4547,'Master List'!A:C,3,FALSE)))</f>
        <v>Email</v>
      </c>
      <c r="F4547" s="4" t="str">
        <f>IF(OR(A4547="",E4547="","",A4547="?",E4547="?"),"duplicate?",IF(COUNTIFS($A:A,A4547,E:E,E4547)&gt;1,"yes","no"))</f>
        <v>duplicate?</v>
      </c>
      <c r="K4547" s="97" t="str">
        <f ca="1">IF(J4547="","Date",IF(J4547&lt;&gt;"",IF(K4547="Date",NOW(),K4547),""))</f>
        <v>Date</v>
      </c>
    </row>
    <row r="4548" spans="2:11">
      <c r="B4548" s="97" t="str">
        <f ca="1">IF(A4548="","Date",IF(A4548&lt;&gt;"",IF(B4548="Date",NOW(),B4548),""))</f>
        <v>Date</v>
      </c>
      <c r="C4548" s="19" t="str">
        <f>IF(ISBLANK(A4548),"Name",IF(ISNA(VLOOKUP(A4548,'Master List'!A:C,2,FALSE)), "Not Found", VLOOKUP(A4548,'Master List'!A:C,2,FALSE)))</f>
        <v>Name</v>
      </c>
      <c r="D4548" s="19" t="str">
        <f>IF(ISBLANK(A4548), "Email",IF(ISNA(VLOOKUP(A4548,'Master List'!A:C,3,FALSE)), "Not Found", VLOOKUP(A4548,'Master List'!A:C,3,FALSE)))</f>
        <v>Email</v>
      </c>
      <c r="F4548" s="4" t="str">
        <f>IF(OR(A4548="",E4548="","",A4548="?",E4548="?"),"duplicate?",IF(COUNTIFS($A:A,A4548,E:E,E4548)&gt;1,"yes","no"))</f>
        <v>duplicate?</v>
      </c>
      <c r="K4548" s="97" t="str">
        <f ca="1">IF(J4548="","Date",IF(J4548&lt;&gt;"",IF(K4548="Date",NOW(),K4548),""))</f>
        <v>Date</v>
      </c>
    </row>
    <row r="4549" spans="2:11">
      <c r="B4549" s="97" t="str">
        <f ca="1">IF(A4549="","Date",IF(A4549&lt;&gt;"",IF(B4549="Date",NOW(),B4549),""))</f>
        <v>Date</v>
      </c>
      <c r="C4549" s="19" t="str">
        <f>IF(ISBLANK(A4549),"Name",IF(ISNA(VLOOKUP(A4549,'Master List'!A:C,2,FALSE)), "Not Found", VLOOKUP(A4549,'Master List'!A:C,2,FALSE)))</f>
        <v>Name</v>
      </c>
      <c r="D4549" s="19" t="str">
        <f>IF(ISBLANK(A4549), "Email",IF(ISNA(VLOOKUP(A4549,'Master List'!A:C,3,FALSE)), "Not Found", VLOOKUP(A4549,'Master List'!A:C,3,FALSE)))</f>
        <v>Email</v>
      </c>
      <c r="F4549" s="4" t="str">
        <f>IF(OR(A4549="",E4549="","",A4549="?",E4549="?"),"duplicate?",IF(COUNTIFS($A:A,A4549,E:E,E4549)&gt;1,"yes","no"))</f>
        <v>duplicate?</v>
      </c>
      <c r="K4549" s="97" t="str">
        <f ca="1">IF(J4549="","Date",IF(J4549&lt;&gt;"",IF(K4549="Date",NOW(),K4549),""))</f>
        <v>Date</v>
      </c>
    </row>
    <row r="4550" spans="2:11">
      <c r="B4550" s="97" t="str">
        <f ca="1">IF(A4550="","Date",IF(A4550&lt;&gt;"",IF(B4550="Date",NOW(),B4550),""))</f>
        <v>Date</v>
      </c>
      <c r="C4550" s="19" t="str">
        <f>IF(ISBLANK(A4550),"Name",IF(ISNA(VLOOKUP(A4550,'Master List'!A:C,2,FALSE)), "Not Found", VLOOKUP(A4550,'Master List'!A:C,2,FALSE)))</f>
        <v>Name</v>
      </c>
      <c r="D4550" s="19" t="str">
        <f>IF(ISBLANK(A4550), "Email",IF(ISNA(VLOOKUP(A4550,'Master List'!A:C,3,FALSE)), "Not Found", VLOOKUP(A4550,'Master List'!A:C,3,FALSE)))</f>
        <v>Email</v>
      </c>
      <c r="F4550" s="4" t="str">
        <f>IF(OR(A4550="",E4550="","",A4550="?",E4550="?"),"duplicate?",IF(COUNTIFS($A:A,A4550,E:E,E4550)&gt;1,"yes","no"))</f>
        <v>duplicate?</v>
      </c>
      <c r="K4550" s="97" t="str">
        <f ca="1">IF(J4550="","Date",IF(J4550&lt;&gt;"",IF(K4550="Date",NOW(),K4550),""))</f>
        <v>Date</v>
      </c>
    </row>
    <row r="4551" spans="2:11">
      <c r="B4551" s="97" t="str">
        <f ca="1">IF(A4551="","Date",IF(A4551&lt;&gt;"",IF(B4551="Date",NOW(),B4551),""))</f>
        <v>Date</v>
      </c>
      <c r="C4551" s="19" t="str">
        <f>IF(ISBLANK(A4551),"Name",IF(ISNA(VLOOKUP(A4551,'Master List'!A:C,2,FALSE)), "Not Found", VLOOKUP(A4551,'Master List'!A:C,2,FALSE)))</f>
        <v>Name</v>
      </c>
      <c r="D4551" s="19" t="str">
        <f>IF(ISBLANK(A4551), "Email",IF(ISNA(VLOOKUP(A4551,'Master List'!A:C,3,FALSE)), "Not Found", VLOOKUP(A4551,'Master List'!A:C,3,FALSE)))</f>
        <v>Email</v>
      </c>
      <c r="F4551" s="4" t="str">
        <f>IF(OR(A4551="",E4551="","",A4551="?",E4551="?"),"duplicate?",IF(COUNTIFS($A:A,A4551,E:E,E4551)&gt;1,"yes","no"))</f>
        <v>duplicate?</v>
      </c>
      <c r="K4551" s="97" t="str">
        <f ca="1">IF(J4551="","Date",IF(J4551&lt;&gt;"",IF(K4551="Date",NOW(),K4551),""))</f>
        <v>Date</v>
      </c>
    </row>
    <row r="4552" spans="2:11">
      <c r="B4552" s="97" t="str">
        <f ca="1">IF(A4552="","Date",IF(A4552&lt;&gt;"",IF(B4552="Date",NOW(),B4552),""))</f>
        <v>Date</v>
      </c>
      <c r="C4552" s="19" t="str">
        <f>IF(ISBLANK(A4552),"Name",IF(ISNA(VLOOKUP(A4552,'Master List'!A:C,2,FALSE)), "Not Found", VLOOKUP(A4552,'Master List'!A:C,2,FALSE)))</f>
        <v>Name</v>
      </c>
      <c r="D4552" s="19" t="str">
        <f>IF(ISBLANK(A4552), "Email",IF(ISNA(VLOOKUP(A4552,'Master List'!A:C,3,FALSE)), "Not Found", VLOOKUP(A4552,'Master List'!A:C,3,FALSE)))</f>
        <v>Email</v>
      </c>
      <c r="F4552" s="4" t="str">
        <f>IF(OR(A4552="",E4552="","",A4552="?",E4552="?"),"duplicate?",IF(COUNTIFS($A:A,A4552,E:E,E4552)&gt;1,"yes","no"))</f>
        <v>duplicate?</v>
      </c>
      <c r="K4552" s="97" t="str">
        <f ca="1">IF(J4552="","Date",IF(J4552&lt;&gt;"",IF(K4552="Date",NOW(),K4552),""))</f>
        <v>Date</v>
      </c>
    </row>
    <row r="4553" spans="2:11">
      <c r="B4553" s="97" t="str">
        <f ca="1">IF(A4553="","Date",IF(A4553&lt;&gt;"",IF(B4553="Date",NOW(),B4553),""))</f>
        <v>Date</v>
      </c>
      <c r="C4553" s="19" t="str">
        <f>IF(ISBLANK(A4553),"Name",IF(ISNA(VLOOKUP(A4553,'Master List'!A:C,2,FALSE)), "Not Found", VLOOKUP(A4553,'Master List'!A:C,2,FALSE)))</f>
        <v>Name</v>
      </c>
      <c r="D4553" s="19" t="str">
        <f>IF(ISBLANK(A4553), "Email",IF(ISNA(VLOOKUP(A4553,'Master List'!A:C,3,FALSE)), "Not Found", VLOOKUP(A4553,'Master List'!A:C,3,FALSE)))</f>
        <v>Email</v>
      </c>
      <c r="F4553" s="4" t="str">
        <f>IF(OR(A4553="",E4553="","",A4553="?",E4553="?"),"duplicate?",IF(COUNTIFS($A:A,A4553,E:E,E4553)&gt;1,"yes","no"))</f>
        <v>duplicate?</v>
      </c>
      <c r="K4553" s="97" t="str">
        <f ca="1">IF(J4553="","Date",IF(J4553&lt;&gt;"",IF(K4553="Date",NOW(),K4553),""))</f>
        <v>Date</v>
      </c>
    </row>
    <row r="4554" spans="2:11">
      <c r="B4554" s="97" t="str">
        <f ca="1">IF(A4554="","Date",IF(A4554&lt;&gt;"",IF(B4554="Date",NOW(),B4554),""))</f>
        <v>Date</v>
      </c>
      <c r="C4554" s="19" t="str">
        <f>IF(ISBLANK(A4554),"Name",IF(ISNA(VLOOKUP(A4554,'Master List'!A:C,2,FALSE)), "Not Found", VLOOKUP(A4554,'Master List'!A:C,2,FALSE)))</f>
        <v>Name</v>
      </c>
      <c r="D4554" s="19" t="str">
        <f>IF(ISBLANK(A4554), "Email",IF(ISNA(VLOOKUP(A4554,'Master List'!A:C,3,FALSE)), "Not Found", VLOOKUP(A4554,'Master List'!A:C,3,FALSE)))</f>
        <v>Email</v>
      </c>
      <c r="F4554" s="4" t="str">
        <f>IF(OR(A4554="",E4554="","",A4554="?",E4554="?"),"duplicate?",IF(COUNTIFS($A:A,A4554,E:E,E4554)&gt;1,"yes","no"))</f>
        <v>duplicate?</v>
      </c>
      <c r="K4554" s="97" t="str">
        <f ca="1">IF(J4554="","Date",IF(J4554&lt;&gt;"",IF(K4554="Date",NOW(),K4554),""))</f>
        <v>Date</v>
      </c>
    </row>
    <row r="4555" spans="2:11">
      <c r="B4555" s="97" t="str">
        <f ca="1">IF(A4555="","Date",IF(A4555&lt;&gt;"",IF(B4555="Date",NOW(),B4555),""))</f>
        <v>Date</v>
      </c>
      <c r="C4555" s="19" t="str">
        <f>IF(ISBLANK(A4555),"Name",IF(ISNA(VLOOKUP(A4555,'Master List'!A:C,2,FALSE)), "Not Found", VLOOKUP(A4555,'Master List'!A:C,2,FALSE)))</f>
        <v>Name</v>
      </c>
      <c r="D4555" s="19" t="str">
        <f>IF(ISBLANK(A4555), "Email",IF(ISNA(VLOOKUP(A4555,'Master List'!A:C,3,FALSE)), "Not Found", VLOOKUP(A4555,'Master List'!A:C,3,FALSE)))</f>
        <v>Email</v>
      </c>
      <c r="F4555" s="4" t="str">
        <f>IF(OR(A4555="",E4555="","",A4555="?",E4555="?"),"duplicate?",IF(COUNTIFS($A:A,A4555,E:E,E4555)&gt;1,"yes","no"))</f>
        <v>duplicate?</v>
      </c>
      <c r="K4555" s="97" t="str">
        <f ca="1">IF(J4555="","Date",IF(J4555&lt;&gt;"",IF(K4555="Date",NOW(),K4555),""))</f>
        <v>Date</v>
      </c>
    </row>
    <row r="4556" spans="2:11">
      <c r="B4556" s="97" t="str">
        <f ca="1">IF(A4556="","Date",IF(A4556&lt;&gt;"",IF(B4556="Date",NOW(),B4556),""))</f>
        <v>Date</v>
      </c>
      <c r="C4556" s="19" t="str">
        <f>IF(ISBLANK(A4556),"Name",IF(ISNA(VLOOKUP(A4556,'Master List'!A:C,2,FALSE)), "Not Found", VLOOKUP(A4556,'Master List'!A:C,2,FALSE)))</f>
        <v>Name</v>
      </c>
      <c r="D4556" s="19" t="str">
        <f>IF(ISBLANK(A4556), "Email",IF(ISNA(VLOOKUP(A4556,'Master List'!A:C,3,FALSE)), "Not Found", VLOOKUP(A4556,'Master List'!A:C,3,FALSE)))</f>
        <v>Email</v>
      </c>
      <c r="F4556" s="4" t="str">
        <f>IF(OR(A4556="",E4556="","",A4556="?",E4556="?"),"duplicate?",IF(COUNTIFS($A:A,A4556,E:E,E4556)&gt;1,"yes","no"))</f>
        <v>duplicate?</v>
      </c>
      <c r="K4556" s="97" t="str">
        <f ca="1">IF(J4556="","Date",IF(J4556&lt;&gt;"",IF(K4556="Date",NOW(),K4556),""))</f>
        <v>Date</v>
      </c>
    </row>
    <row r="4557" spans="2:11">
      <c r="B4557" s="97" t="str">
        <f ca="1">IF(A4557="","Date",IF(A4557&lt;&gt;"",IF(B4557="Date",NOW(),B4557),""))</f>
        <v>Date</v>
      </c>
      <c r="C4557" s="19" t="str">
        <f>IF(ISBLANK(A4557),"Name",IF(ISNA(VLOOKUP(A4557,'Master List'!A:C,2,FALSE)), "Not Found", VLOOKUP(A4557,'Master List'!A:C,2,FALSE)))</f>
        <v>Name</v>
      </c>
      <c r="D4557" s="19" t="str">
        <f>IF(ISBLANK(A4557), "Email",IF(ISNA(VLOOKUP(A4557,'Master List'!A:C,3,FALSE)), "Not Found", VLOOKUP(A4557,'Master List'!A:C,3,FALSE)))</f>
        <v>Email</v>
      </c>
      <c r="F4557" s="4" t="str">
        <f>IF(OR(A4557="",E4557="","",A4557="?",E4557="?"),"duplicate?",IF(COUNTIFS($A:A,A4557,E:E,E4557)&gt;1,"yes","no"))</f>
        <v>duplicate?</v>
      </c>
      <c r="K4557" s="97" t="str">
        <f ca="1">IF(J4557="","Date",IF(J4557&lt;&gt;"",IF(K4557="Date",NOW(),K4557),""))</f>
        <v>Date</v>
      </c>
    </row>
    <row r="4558" spans="2:11">
      <c r="B4558" s="97" t="str">
        <f ca="1">IF(A4558="","Date",IF(A4558&lt;&gt;"",IF(B4558="Date",NOW(),B4558),""))</f>
        <v>Date</v>
      </c>
      <c r="C4558" s="19" t="str">
        <f>IF(ISBLANK(A4558),"Name",IF(ISNA(VLOOKUP(A4558,'Master List'!A:C,2,FALSE)), "Not Found", VLOOKUP(A4558,'Master List'!A:C,2,FALSE)))</f>
        <v>Name</v>
      </c>
      <c r="D4558" s="19" t="str">
        <f>IF(ISBLANK(A4558), "Email",IF(ISNA(VLOOKUP(A4558,'Master List'!A:C,3,FALSE)), "Not Found", VLOOKUP(A4558,'Master List'!A:C,3,FALSE)))</f>
        <v>Email</v>
      </c>
      <c r="F4558" s="4" t="str">
        <f>IF(OR(A4558="",E4558="","",A4558="?",E4558="?"),"duplicate?",IF(COUNTIFS($A:A,A4558,E:E,E4558)&gt;1,"yes","no"))</f>
        <v>duplicate?</v>
      </c>
      <c r="K4558" s="97" t="str">
        <f ca="1">IF(J4558="","Date",IF(J4558&lt;&gt;"",IF(K4558="Date",NOW(),K4558),""))</f>
        <v>Date</v>
      </c>
    </row>
    <row r="4559" spans="2:11">
      <c r="B4559" s="97" t="str">
        <f ca="1">IF(A4559="","Date",IF(A4559&lt;&gt;"",IF(B4559="Date",NOW(),B4559),""))</f>
        <v>Date</v>
      </c>
      <c r="C4559" s="19" t="str">
        <f>IF(ISBLANK(A4559),"Name",IF(ISNA(VLOOKUP(A4559,'Master List'!A:C,2,FALSE)), "Not Found", VLOOKUP(A4559,'Master List'!A:C,2,FALSE)))</f>
        <v>Name</v>
      </c>
      <c r="D4559" s="19" t="str">
        <f>IF(ISBLANK(A4559), "Email",IF(ISNA(VLOOKUP(A4559,'Master List'!A:C,3,FALSE)), "Not Found", VLOOKUP(A4559,'Master List'!A:C,3,FALSE)))</f>
        <v>Email</v>
      </c>
      <c r="F4559" s="4" t="str">
        <f>IF(OR(A4559="",E4559="","",A4559="?",E4559="?"),"duplicate?",IF(COUNTIFS($A:A,A4559,E:E,E4559)&gt;1,"yes","no"))</f>
        <v>duplicate?</v>
      </c>
      <c r="K4559" s="97" t="str">
        <f ca="1">IF(J4559="","Date",IF(J4559&lt;&gt;"",IF(K4559="Date",NOW(),K4559),""))</f>
        <v>Date</v>
      </c>
    </row>
    <row r="4560" spans="2:11">
      <c r="B4560" s="97" t="str">
        <f ca="1">IF(A4560="","Date",IF(A4560&lt;&gt;"",IF(B4560="Date",NOW(),B4560),""))</f>
        <v>Date</v>
      </c>
      <c r="C4560" s="19" t="str">
        <f>IF(ISBLANK(A4560),"Name",IF(ISNA(VLOOKUP(A4560,'Master List'!A:C,2,FALSE)), "Not Found", VLOOKUP(A4560,'Master List'!A:C,2,FALSE)))</f>
        <v>Name</v>
      </c>
      <c r="D4560" s="19" t="str">
        <f>IF(ISBLANK(A4560), "Email",IF(ISNA(VLOOKUP(A4560,'Master List'!A:C,3,FALSE)), "Not Found", VLOOKUP(A4560,'Master List'!A:C,3,FALSE)))</f>
        <v>Email</v>
      </c>
      <c r="F4560" s="4" t="str">
        <f>IF(OR(A4560="",E4560="","",A4560="?",E4560="?"),"duplicate?",IF(COUNTIFS($A:A,A4560,E:E,E4560)&gt;1,"yes","no"))</f>
        <v>duplicate?</v>
      </c>
      <c r="K4560" s="97" t="str">
        <f ca="1">IF(J4560="","Date",IF(J4560&lt;&gt;"",IF(K4560="Date",NOW(),K4560),""))</f>
        <v>Date</v>
      </c>
    </row>
    <row r="4561" spans="2:11">
      <c r="B4561" s="97" t="str">
        <f ca="1">IF(A4561="","Date",IF(A4561&lt;&gt;"",IF(B4561="Date",NOW(),B4561),""))</f>
        <v>Date</v>
      </c>
      <c r="C4561" s="19" t="str">
        <f>IF(ISBLANK(A4561),"Name",IF(ISNA(VLOOKUP(A4561,'Master List'!A:C,2,FALSE)), "Not Found", VLOOKUP(A4561,'Master List'!A:C,2,FALSE)))</f>
        <v>Name</v>
      </c>
      <c r="D4561" s="19" t="str">
        <f>IF(ISBLANK(A4561), "Email",IF(ISNA(VLOOKUP(A4561,'Master List'!A:C,3,FALSE)), "Not Found", VLOOKUP(A4561,'Master List'!A:C,3,FALSE)))</f>
        <v>Email</v>
      </c>
      <c r="F4561" s="4" t="str">
        <f>IF(OR(A4561="",E4561="","",A4561="?",E4561="?"),"duplicate?",IF(COUNTIFS($A:A,A4561,E:E,E4561)&gt;1,"yes","no"))</f>
        <v>duplicate?</v>
      </c>
      <c r="K4561" s="97" t="str">
        <f ca="1">IF(J4561="","Date",IF(J4561&lt;&gt;"",IF(K4561="Date",NOW(),K4561),""))</f>
        <v>Date</v>
      </c>
    </row>
    <row r="4562" spans="2:11">
      <c r="B4562" s="97" t="str">
        <f ca="1">IF(A4562="","Date",IF(A4562&lt;&gt;"",IF(B4562="Date",NOW(),B4562),""))</f>
        <v>Date</v>
      </c>
      <c r="C4562" s="19" t="str">
        <f>IF(ISBLANK(A4562),"Name",IF(ISNA(VLOOKUP(A4562,'Master List'!A:C,2,FALSE)), "Not Found", VLOOKUP(A4562,'Master List'!A:C,2,FALSE)))</f>
        <v>Name</v>
      </c>
      <c r="D4562" s="19" t="str">
        <f>IF(ISBLANK(A4562), "Email",IF(ISNA(VLOOKUP(A4562,'Master List'!A:C,3,FALSE)), "Not Found", VLOOKUP(A4562,'Master List'!A:C,3,FALSE)))</f>
        <v>Email</v>
      </c>
      <c r="F4562" s="4" t="str">
        <f>IF(OR(A4562="",E4562="","",A4562="?",E4562="?"),"duplicate?",IF(COUNTIFS($A:A,A4562,E:E,E4562)&gt;1,"yes","no"))</f>
        <v>duplicate?</v>
      </c>
      <c r="K4562" s="97" t="str">
        <f ca="1">IF(J4562="","Date",IF(J4562&lt;&gt;"",IF(K4562="Date",NOW(),K4562),""))</f>
        <v>Date</v>
      </c>
    </row>
    <row r="4563" spans="2:11">
      <c r="B4563" s="97" t="str">
        <f ca="1">IF(A4563="","Date",IF(A4563&lt;&gt;"",IF(B4563="Date",NOW(),B4563),""))</f>
        <v>Date</v>
      </c>
      <c r="C4563" s="19" t="str">
        <f>IF(ISBLANK(A4563),"Name",IF(ISNA(VLOOKUP(A4563,'Master List'!A:C,2,FALSE)), "Not Found", VLOOKUP(A4563,'Master List'!A:C,2,FALSE)))</f>
        <v>Name</v>
      </c>
      <c r="D4563" s="19" t="str">
        <f>IF(ISBLANK(A4563), "Email",IF(ISNA(VLOOKUP(A4563,'Master List'!A:C,3,FALSE)), "Not Found", VLOOKUP(A4563,'Master List'!A:C,3,FALSE)))</f>
        <v>Email</v>
      </c>
      <c r="F4563" s="4" t="str">
        <f>IF(OR(A4563="",E4563="","",A4563="?",E4563="?"),"duplicate?",IF(COUNTIFS($A:A,A4563,E:E,E4563)&gt;1,"yes","no"))</f>
        <v>duplicate?</v>
      </c>
      <c r="K4563" s="97" t="str">
        <f ca="1">IF(J4563="","Date",IF(J4563&lt;&gt;"",IF(K4563="Date",NOW(),K4563),""))</f>
        <v>Date</v>
      </c>
    </row>
    <row r="4564" spans="2:11">
      <c r="B4564" s="97" t="str">
        <f ca="1">IF(A4564="","Date",IF(A4564&lt;&gt;"",IF(B4564="Date",NOW(),B4564),""))</f>
        <v>Date</v>
      </c>
      <c r="C4564" s="19" t="str">
        <f>IF(ISBLANK(A4564),"Name",IF(ISNA(VLOOKUP(A4564,'Master List'!A:C,2,FALSE)), "Not Found", VLOOKUP(A4564,'Master List'!A:C,2,FALSE)))</f>
        <v>Name</v>
      </c>
      <c r="D4564" s="19" t="str">
        <f>IF(ISBLANK(A4564), "Email",IF(ISNA(VLOOKUP(A4564,'Master List'!A:C,3,FALSE)), "Not Found", VLOOKUP(A4564,'Master List'!A:C,3,FALSE)))</f>
        <v>Email</v>
      </c>
      <c r="F4564" s="4" t="str">
        <f>IF(OR(A4564="",E4564="","",A4564="?",E4564="?"),"duplicate?",IF(COUNTIFS($A:A,A4564,E:E,E4564)&gt;1,"yes","no"))</f>
        <v>duplicate?</v>
      </c>
      <c r="K4564" s="97" t="str">
        <f ca="1">IF(J4564="","Date",IF(J4564&lt;&gt;"",IF(K4564="Date",NOW(),K4564),""))</f>
        <v>Date</v>
      </c>
    </row>
    <row r="4565" spans="2:11">
      <c r="B4565" s="97" t="str">
        <f ca="1">IF(A4565="","Date",IF(A4565&lt;&gt;"",IF(B4565="Date",NOW(),B4565),""))</f>
        <v>Date</v>
      </c>
      <c r="C4565" s="19" t="str">
        <f>IF(ISBLANK(A4565),"Name",IF(ISNA(VLOOKUP(A4565,'Master List'!A:C,2,FALSE)), "Not Found", VLOOKUP(A4565,'Master List'!A:C,2,FALSE)))</f>
        <v>Name</v>
      </c>
      <c r="D4565" s="19" t="str">
        <f>IF(ISBLANK(A4565), "Email",IF(ISNA(VLOOKUP(A4565,'Master List'!A:C,3,FALSE)), "Not Found", VLOOKUP(A4565,'Master List'!A:C,3,FALSE)))</f>
        <v>Email</v>
      </c>
      <c r="F4565" s="4" t="str">
        <f>IF(OR(A4565="",E4565="","",A4565="?",E4565="?"),"duplicate?",IF(COUNTIFS($A:A,A4565,E:E,E4565)&gt;1,"yes","no"))</f>
        <v>duplicate?</v>
      </c>
      <c r="K4565" s="97" t="str">
        <f ca="1">IF(J4565="","Date",IF(J4565&lt;&gt;"",IF(K4565="Date",NOW(),K4565),""))</f>
        <v>Date</v>
      </c>
    </row>
    <row r="4566" spans="2:11">
      <c r="B4566" s="97" t="str">
        <f ca="1">IF(A4566="","Date",IF(A4566&lt;&gt;"",IF(B4566="Date",NOW(),B4566),""))</f>
        <v>Date</v>
      </c>
      <c r="C4566" s="19" t="str">
        <f>IF(ISBLANK(A4566),"Name",IF(ISNA(VLOOKUP(A4566,'Master List'!A:C,2,FALSE)), "Not Found", VLOOKUP(A4566,'Master List'!A:C,2,FALSE)))</f>
        <v>Name</v>
      </c>
      <c r="D4566" s="19" t="str">
        <f>IF(ISBLANK(A4566), "Email",IF(ISNA(VLOOKUP(A4566,'Master List'!A:C,3,FALSE)), "Not Found", VLOOKUP(A4566,'Master List'!A:C,3,FALSE)))</f>
        <v>Email</v>
      </c>
      <c r="F4566" s="4" t="str">
        <f>IF(OR(A4566="",E4566="","",A4566="?",E4566="?"),"duplicate?",IF(COUNTIFS($A:A,A4566,E:E,E4566)&gt;1,"yes","no"))</f>
        <v>duplicate?</v>
      </c>
      <c r="K4566" s="97" t="str">
        <f ca="1">IF(J4566="","Date",IF(J4566&lt;&gt;"",IF(K4566="Date",NOW(),K4566),""))</f>
        <v>Date</v>
      </c>
    </row>
    <row r="4567" spans="2:11">
      <c r="B4567" s="97" t="str">
        <f ca="1">IF(A4567="","Date",IF(A4567&lt;&gt;"",IF(B4567="Date",NOW(),B4567),""))</f>
        <v>Date</v>
      </c>
      <c r="C4567" s="19" t="str">
        <f>IF(ISBLANK(A4567),"Name",IF(ISNA(VLOOKUP(A4567,'Master List'!A:C,2,FALSE)), "Not Found", VLOOKUP(A4567,'Master List'!A:C,2,FALSE)))</f>
        <v>Name</v>
      </c>
      <c r="D4567" s="19" t="str">
        <f>IF(ISBLANK(A4567), "Email",IF(ISNA(VLOOKUP(A4567,'Master List'!A:C,3,FALSE)), "Not Found", VLOOKUP(A4567,'Master List'!A:C,3,FALSE)))</f>
        <v>Email</v>
      </c>
      <c r="F4567" s="4" t="str">
        <f>IF(OR(A4567="",E4567="","",A4567="?",E4567="?"),"duplicate?",IF(COUNTIFS($A:A,A4567,E:E,E4567)&gt;1,"yes","no"))</f>
        <v>duplicate?</v>
      </c>
      <c r="K4567" s="97" t="str">
        <f ca="1">IF(J4567="","Date",IF(J4567&lt;&gt;"",IF(K4567="Date",NOW(),K4567),""))</f>
        <v>Date</v>
      </c>
    </row>
    <row r="4568" spans="2:11">
      <c r="B4568" s="97" t="str">
        <f ca="1">IF(A4568="","Date",IF(A4568&lt;&gt;"",IF(B4568="Date",NOW(),B4568),""))</f>
        <v>Date</v>
      </c>
      <c r="C4568" s="19" t="str">
        <f>IF(ISBLANK(A4568),"Name",IF(ISNA(VLOOKUP(A4568,'Master List'!A:C,2,FALSE)), "Not Found", VLOOKUP(A4568,'Master List'!A:C,2,FALSE)))</f>
        <v>Name</v>
      </c>
      <c r="D4568" s="19" t="str">
        <f>IF(ISBLANK(A4568), "Email",IF(ISNA(VLOOKUP(A4568,'Master List'!A:C,3,FALSE)), "Not Found", VLOOKUP(A4568,'Master List'!A:C,3,FALSE)))</f>
        <v>Email</v>
      </c>
      <c r="F4568" s="4" t="str">
        <f>IF(OR(A4568="",E4568="","",A4568="?",E4568="?"),"duplicate?",IF(COUNTIFS($A:A,A4568,E:E,E4568)&gt;1,"yes","no"))</f>
        <v>duplicate?</v>
      </c>
      <c r="K4568" s="97" t="str">
        <f ca="1">IF(J4568="","Date",IF(J4568&lt;&gt;"",IF(K4568="Date",NOW(),K4568),""))</f>
        <v>Date</v>
      </c>
    </row>
    <row r="4569" spans="2:11">
      <c r="B4569" s="97" t="str">
        <f ca="1">IF(A4569="","Date",IF(A4569&lt;&gt;"",IF(B4569="Date",NOW(),B4569),""))</f>
        <v>Date</v>
      </c>
      <c r="C4569" s="19" t="str">
        <f>IF(ISBLANK(A4569),"Name",IF(ISNA(VLOOKUP(A4569,'Master List'!A:C,2,FALSE)), "Not Found", VLOOKUP(A4569,'Master List'!A:C,2,FALSE)))</f>
        <v>Name</v>
      </c>
      <c r="D4569" s="19" t="str">
        <f>IF(ISBLANK(A4569), "Email",IF(ISNA(VLOOKUP(A4569,'Master List'!A:C,3,FALSE)), "Not Found", VLOOKUP(A4569,'Master List'!A:C,3,FALSE)))</f>
        <v>Email</v>
      </c>
      <c r="F4569" s="4" t="str">
        <f>IF(OR(A4569="",E4569="","",A4569="?",E4569="?"),"duplicate?",IF(COUNTIFS($A:A,A4569,E:E,E4569)&gt;1,"yes","no"))</f>
        <v>duplicate?</v>
      </c>
      <c r="K4569" s="97" t="str">
        <f ca="1">IF(J4569="","Date",IF(J4569&lt;&gt;"",IF(K4569="Date",NOW(),K4569),""))</f>
        <v>Date</v>
      </c>
    </row>
    <row r="4570" spans="2:11">
      <c r="B4570" s="97" t="str">
        <f ca="1">IF(A4570="","Date",IF(A4570&lt;&gt;"",IF(B4570="Date",NOW(),B4570),""))</f>
        <v>Date</v>
      </c>
      <c r="C4570" s="19" t="str">
        <f>IF(ISBLANK(A4570),"Name",IF(ISNA(VLOOKUP(A4570,'Master List'!A:C,2,FALSE)), "Not Found", VLOOKUP(A4570,'Master List'!A:C,2,FALSE)))</f>
        <v>Name</v>
      </c>
      <c r="D4570" s="19" t="str">
        <f>IF(ISBLANK(A4570), "Email",IF(ISNA(VLOOKUP(A4570,'Master List'!A:C,3,FALSE)), "Not Found", VLOOKUP(A4570,'Master List'!A:C,3,FALSE)))</f>
        <v>Email</v>
      </c>
      <c r="F4570" s="4" t="str">
        <f>IF(OR(A4570="",E4570="","",A4570="?",E4570="?"),"duplicate?",IF(COUNTIFS($A:A,A4570,E:E,E4570)&gt;1,"yes","no"))</f>
        <v>duplicate?</v>
      </c>
      <c r="K4570" s="97" t="str">
        <f ca="1">IF(J4570="","Date",IF(J4570&lt;&gt;"",IF(K4570="Date",NOW(),K4570),""))</f>
        <v>Date</v>
      </c>
    </row>
    <row r="4571" spans="2:11">
      <c r="B4571" s="97" t="str">
        <f ca="1">IF(A4571="","Date",IF(A4571&lt;&gt;"",IF(B4571="Date",NOW(),B4571),""))</f>
        <v>Date</v>
      </c>
      <c r="C4571" s="19" t="str">
        <f>IF(ISBLANK(A4571),"Name",IF(ISNA(VLOOKUP(A4571,'Master List'!A:C,2,FALSE)), "Not Found", VLOOKUP(A4571,'Master List'!A:C,2,FALSE)))</f>
        <v>Name</v>
      </c>
      <c r="D4571" s="19" t="str">
        <f>IF(ISBLANK(A4571), "Email",IF(ISNA(VLOOKUP(A4571,'Master List'!A:C,3,FALSE)), "Not Found", VLOOKUP(A4571,'Master List'!A:C,3,FALSE)))</f>
        <v>Email</v>
      </c>
      <c r="F4571" s="4" t="str">
        <f>IF(OR(A4571="",E4571="","",A4571="?",E4571="?"),"duplicate?",IF(COUNTIFS($A:A,A4571,E:E,E4571)&gt;1,"yes","no"))</f>
        <v>duplicate?</v>
      </c>
      <c r="K4571" s="97" t="str">
        <f ca="1">IF(J4571="","Date",IF(J4571&lt;&gt;"",IF(K4571="Date",NOW(),K4571),""))</f>
        <v>Date</v>
      </c>
    </row>
    <row r="4572" spans="2:11">
      <c r="B4572" s="97" t="str">
        <f ca="1">IF(A4572="","Date",IF(A4572&lt;&gt;"",IF(B4572="Date",NOW(),B4572),""))</f>
        <v>Date</v>
      </c>
      <c r="C4572" s="19" t="str">
        <f>IF(ISBLANK(A4572),"Name",IF(ISNA(VLOOKUP(A4572,'Master List'!A:C,2,FALSE)), "Not Found", VLOOKUP(A4572,'Master List'!A:C,2,FALSE)))</f>
        <v>Name</v>
      </c>
      <c r="D4572" s="19" t="str">
        <f>IF(ISBLANK(A4572), "Email",IF(ISNA(VLOOKUP(A4572,'Master List'!A:C,3,FALSE)), "Not Found", VLOOKUP(A4572,'Master List'!A:C,3,FALSE)))</f>
        <v>Email</v>
      </c>
      <c r="F4572" s="4" t="str">
        <f>IF(OR(A4572="",E4572="","",A4572="?",E4572="?"),"duplicate?",IF(COUNTIFS($A:A,A4572,E:E,E4572)&gt;1,"yes","no"))</f>
        <v>duplicate?</v>
      </c>
      <c r="K4572" s="97" t="str">
        <f ca="1">IF(J4572="","Date",IF(J4572&lt;&gt;"",IF(K4572="Date",NOW(),K4572),""))</f>
        <v>Date</v>
      </c>
    </row>
    <row r="4573" spans="2:11">
      <c r="B4573" s="97" t="str">
        <f ca="1">IF(A4573="","Date",IF(A4573&lt;&gt;"",IF(B4573="Date",NOW(),B4573),""))</f>
        <v>Date</v>
      </c>
      <c r="C4573" s="19" t="str">
        <f>IF(ISBLANK(A4573),"Name",IF(ISNA(VLOOKUP(A4573,'Master List'!A:C,2,FALSE)), "Not Found", VLOOKUP(A4573,'Master List'!A:C,2,FALSE)))</f>
        <v>Name</v>
      </c>
      <c r="D4573" s="19" t="str">
        <f>IF(ISBLANK(A4573), "Email",IF(ISNA(VLOOKUP(A4573,'Master List'!A:C,3,FALSE)), "Not Found", VLOOKUP(A4573,'Master List'!A:C,3,FALSE)))</f>
        <v>Email</v>
      </c>
      <c r="F4573" s="4" t="str">
        <f>IF(OR(A4573="",E4573="","",A4573="?",E4573="?"),"duplicate?",IF(COUNTIFS($A:A,A4573,E:E,E4573)&gt;1,"yes","no"))</f>
        <v>duplicate?</v>
      </c>
      <c r="K4573" s="97" t="str">
        <f ca="1">IF(J4573="","Date",IF(J4573&lt;&gt;"",IF(K4573="Date",NOW(),K4573),""))</f>
        <v>Date</v>
      </c>
    </row>
    <row r="4574" spans="2:11">
      <c r="B4574" s="97" t="str">
        <f ca="1">IF(A4574="","Date",IF(A4574&lt;&gt;"",IF(B4574="Date",NOW(),B4574),""))</f>
        <v>Date</v>
      </c>
      <c r="C4574" s="19" t="str">
        <f>IF(ISBLANK(A4574),"Name",IF(ISNA(VLOOKUP(A4574,'Master List'!A:C,2,FALSE)), "Not Found", VLOOKUP(A4574,'Master List'!A:C,2,FALSE)))</f>
        <v>Name</v>
      </c>
      <c r="D4574" s="19" t="str">
        <f>IF(ISBLANK(A4574), "Email",IF(ISNA(VLOOKUP(A4574,'Master List'!A:C,3,FALSE)), "Not Found", VLOOKUP(A4574,'Master List'!A:C,3,FALSE)))</f>
        <v>Email</v>
      </c>
      <c r="F4574" s="4" t="str">
        <f>IF(OR(A4574="",E4574="","",A4574="?",E4574="?"),"duplicate?",IF(COUNTIFS($A:A,A4574,E:E,E4574)&gt;1,"yes","no"))</f>
        <v>duplicate?</v>
      </c>
      <c r="K4574" s="97" t="str">
        <f ca="1">IF(J4574="","Date",IF(J4574&lt;&gt;"",IF(K4574="Date",NOW(),K4574),""))</f>
        <v>Date</v>
      </c>
    </row>
    <row r="4575" spans="2:11">
      <c r="B4575" s="97" t="str">
        <f ca="1">IF(A4575="","Date",IF(A4575&lt;&gt;"",IF(B4575="Date",NOW(),B4575),""))</f>
        <v>Date</v>
      </c>
      <c r="C4575" s="19" t="str">
        <f>IF(ISBLANK(A4575),"Name",IF(ISNA(VLOOKUP(A4575,'Master List'!A:C,2,FALSE)), "Not Found", VLOOKUP(A4575,'Master List'!A:C,2,FALSE)))</f>
        <v>Name</v>
      </c>
      <c r="D4575" s="19" t="str">
        <f>IF(ISBLANK(A4575), "Email",IF(ISNA(VLOOKUP(A4575,'Master List'!A:C,3,FALSE)), "Not Found", VLOOKUP(A4575,'Master List'!A:C,3,FALSE)))</f>
        <v>Email</v>
      </c>
      <c r="F4575" s="4" t="str">
        <f>IF(OR(A4575="",E4575="","",A4575="?",E4575="?"),"duplicate?",IF(COUNTIFS($A:A,A4575,E:E,E4575)&gt;1,"yes","no"))</f>
        <v>duplicate?</v>
      </c>
      <c r="K4575" s="97" t="str">
        <f ca="1">IF(J4575="","Date",IF(J4575&lt;&gt;"",IF(K4575="Date",NOW(),K4575),""))</f>
        <v>Date</v>
      </c>
    </row>
    <row r="4576" spans="2:11">
      <c r="B4576" s="97" t="str">
        <f ca="1">IF(A4576="","Date",IF(A4576&lt;&gt;"",IF(B4576="Date",NOW(),B4576),""))</f>
        <v>Date</v>
      </c>
      <c r="C4576" s="19" t="str">
        <f>IF(ISBLANK(A4576),"Name",IF(ISNA(VLOOKUP(A4576,'Master List'!A:C,2,FALSE)), "Not Found", VLOOKUP(A4576,'Master List'!A:C,2,FALSE)))</f>
        <v>Name</v>
      </c>
      <c r="D4576" s="19" t="str">
        <f>IF(ISBLANK(A4576), "Email",IF(ISNA(VLOOKUP(A4576,'Master List'!A:C,3,FALSE)), "Not Found", VLOOKUP(A4576,'Master List'!A:C,3,FALSE)))</f>
        <v>Email</v>
      </c>
      <c r="F4576" s="4" t="str">
        <f>IF(OR(A4576="",E4576="","",A4576="?",E4576="?"),"duplicate?",IF(COUNTIFS($A:A,A4576,E:E,E4576)&gt;1,"yes","no"))</f>
        <v>duplicate?</v>
      </c>
      <c r="K4576" s="97" t="str">
        <f ca="1">IF(J4576="","Date",IF(J4576&lt;&gt;"",IF(K4576="Date",NOW(),K4576),""))</f>
        <v>Date</v>
      </c>
    </row>
    <row r="4577" spans="2:11">
      <c r="B4577" s="97" t="str">
        <f ca="1">IF(A4577="","Date",IF(A4577&lt;&gt;"",IF(B4577="Date",NOW(),B4577),""))</f>
        <v>Date</v>
      </c>
      <c r="C4577" s="19" t="str">
        <f>IF(ISBLANK(A4577),"Name",IF(ISNA(VLOOKUP(A4577,'Master List'!A:C,2,FALSE)), "Not Found", VLOOKUP(A4577,'Master List'!A:C,2,FALSE)))</f>
        <v>Name</v>
      </c>
      <c r="D4577" s="19" t="str">
        <f>IF(ISBLANK(A4577), "Email",IF(ISNA(VLOOKUP(A4577,'Master List'!A:C,3,FALSE)), "Not Found", VLOOKUP(A4577,'Master List'!A:C,3,FALSE)))</f>
        <v>Email</v>
      </c>
      <c r="F4577" s="4" t="str">
        <f>IF(OR(A4577="",E4577="","",A4577="?",E4577="?"),"duplicate?",IF(COUNTIFS($A:A,A4577,E:E,E4577)&gt;1,"yes","no"))</f>
        <v>duplicate?</v>
      </c>
      <c r="K4577" s="97" t="str">
        <f ca="1">IF(J4577="","Date",IF(J4577&lt;&gt;"",IF(K4577="Date",NOW(),K4577),""))</f>
        <v>Date</v>
      </c>
    </row>
    <row r="4578" spans="2:11">
      <c r="B4578" s="97" t="str">
        <f ca="1">IF(A4578="","Date",IF(A4578&lt;&gt;"",IF(B4578="Date",NOW(),B4578),""))</f>
        <v>Date</v>
      </c>
      <c r="C4578" s="19" t="str">
        <f>IF(ISBLANK(A4578),"Name",IF(ISNA(VLOOKUP(A4578,'Master List'!A:C,2,FALSE)), "Not Found", VLOOKUP(A4578,'Master List'!A:C,2,FALSE)))</f>
        <v>Name</v>
      </c>
      <c r="D4578" s="19" t="str">
        <f>IF(ISBLANK(A4578), "Email",IF(ISNA(VLOOKUP(A4578,'Master List'!A:C,3,FALSE)), "Not Found", VLOOKUP(A4578,'Master List'!A:C,3,FALSE)))</f>
        <v>Email</v>
      </c>
      <c r="F4578" s="4" t="str">
        <f>IF(OR(A4578="",E4578="","",A4578="?",E4578="?"),"duplicate?",IF(COUNTIFS($A:A,A4578,E:E,E4578)&gt;1,"yes","no"))</f>
        <v>duplicate?</v>
      </c>
      <c r="K4578" s="97" t="str">
        <f ca="1">IF(J4578="","Date",IF(J4578&lt;&gt;"",IF(K4578="Date",NOW(),K4578),""))</f>
        <v>Date</v>
      </c>
    </row>
    <row r="4579" spans="2:11">
      <c r="B4579" s="97" t="str">
        <f ca="1">IF(A4579="","Date",IF(A4579&lt;&gt;"",IF(B4579="Date",NOW(),B4579),""))</f>
        <v>Date</v>
      </c>
      <c r="C4579" s="19" t="str">
        <f>IF(ISBLANK(A4579),"Name",IF(ISNA(VLOOKUP(A4579,'Master List'!A:C,2,FALSE)), "Not Found", VLOOKUP(A4579,'Master List'!A:C,2,FALSE)))</f>
        <v>Name</v>
      </c>
      <c r="D4579" s="19" t="str">
        <f>IF(ISBLANK(A4579), "Email",IF(ISNA(VLOOKUP(A4579,'Master List'!A:C,3,FALSE)), "Not Found", VLOOKUP(A4579,'Master List'!A:C,3,FALSE)))</f>
        <v>Email</v>
      </c>
      <c r="F4579" s="4" t="str">
        <f>IF(OR(A4579="",E4579="","",A4579="?",E4579="?"),"duplicate?",IF(COUNTIFS($A:A,A4579,E:E,E4579)&gt;1,"yes","no"))</f>
        <v>duplicate?</v>
      </c>
      <c r="K4579" s="97" t="str">
        <f ca="1">IF(J4579="","Date",IF(J4579&lt;&gt;"",IF(K4579="Date",NOW(),K4579),""))</f>
        <v>Date</v>
      </c>
    </row>
    <row r="4580" spans="2:11">
      <c r="B4580" s="97" t="str">
        <f ca="1">IF(A4580="","Date",IF(A4580&lt;&gt;"",IF(B4580="Date",NOW(),B4580),""))</f>
        <v>Date</v>
      </c>
      <c r="C4580" s="19" t="str">
        <f>IF(ISBLANK(A4580),"Name",IF(ISNA(VLOOKUP(A4580,'Master List'!A:C,2,FALSE)), "Not Found", VLOOKUP(A4580,'Master List'!A:C,2,FALSE)))</f>
        <v>Name</v>
      </c>
      <c r="D4580" s="19" t="str">
        <f>IF(ISBLANK(A4580), "Email",IF(ISNA(VLOOKUP(A4580,'Master List'!A:C,3,FALSE)), "Not Found", VLOOKUP(A4580,'Master List'!A:C,3,FALSE)))</f>
        <v>Email</v>
      </c>
      <c r="F4580" s="4" t="str">
        <f>IF(OR(A4580="",E4580="","",A4580="?",E4580="?"),"duplicate?",IF(COUNTIFS($A:A,A4580,E:E,E4580)&gt;1,"yes","no"))</f>
        <v>duplicate?</v>
      </c>
      <c r="K4580" s="97" t="str">
        <f ca="1">IF(J4580="","Date",IF(J4580&lt;&gt;"",IF(K4580="Date",NOW(),K4580),""))</f>
        <v>Date</v>
      </c>
    </row>
    <row r="4581" spans="2:11">
      <c r="B4581" s="97" t="str">
        <f ca="1">IF(A4581="","Date",IF(A4581&lt;&gt;"",IF(B4581="Date",NOW(),B4581),""))</f>
        <v>Date</v>
      </c>
      <c r="C4581" s="19" t="str">
        <f>IF(ISBLANK(A4581),"Name",IF(ISNA(VLOOKUP(A4581,'Master List'!A:C,2,FALSE)), "Not Found", VLOOKUP(A4581,'Master List'!A:C,2,FALSE)))</f>
        <v>Name</v>
      </c>
      <c r="D4581" s="19" t="str">
        <f>IF(ISBLANK(A4581), "Email",IF(ISNA(VLOOKUP(A4581,'Master List'!A:C,3,FALSE)), "Not Found", VLOOKUP(A4581,'Master List'!A:C,3,FALSE)))</f>
        <v>Email</v>
      </c>
      <c r="F4581" s="4" t="str">
        <f>IF(OR(A4581="",E4581="","",A4581="?",E4581="?"),"duplicate?",IF(COUNTIFS($A:A,A4581,E:E,E4581)&gt;1,"yes","no"))</f>
        <v>duplicate?</v>
      </c>
      <c r="K4581" s="97" t="str">
        <f ca="1">IF(J4581="","Date",IF(J4581&lt;&gt;"",IF(K4581="Date",NOW(),K4581),""))</f>
        <v>Date</v>
      </c>
    </row>
    <row r="4582" spans="2:11">
      <c r="B4582" s="97" t="str">
        <f ca="1">IF(A4582="","Date",IF(A4582&lt;&gt;"",IF(B4582="Date",NOW(),B4582),""))</f>
        <v>Date</v>
      </c>
      <c r="C4582" s="19" t="str">
        <f>IF(ISBLANK(A4582),"Name",IF(ISNA(VLOOKUP(A4582,'Master List'!A:C,2,FALSE)), "Not Found", VLOOKUP(A4582,'Master List'!A:C,2,FALSE)))</f>
        <v>Name</v>
      </c>
      <c r="D4582" s="19" t="str">
        <f>IF(ISBLANK(A4582), "Email",IF(ISNA(VLOOKUP(A4582,'Master List'!A:C,3,FALSE)), "Not Found", VLOOKUP(A4582,'Master List'!A:C,3,FALSE)))</f>
        <v>Email</v>
      </c>
      <c r="F4582" s="4" t="str">
        <f>IF(OR(A4582="",E4582="","",A4582="?",E4582="?"),"duplicate?",IF(COUNTIFS($A:A,A4582,E:E,E4582)&gt;1,"yes","no"))</f>
        <v>duplicate?</v>
      </c>
      <c r="K4582" s="97" t="str">
        <f ca="1">IF(J4582="","Date",IF(J4582&lt;&gt;"",IF(K4582="Date",NOW(),K4582),""))</f>
        <v>Date</v>
      </c>
    </row>
    <row r="4583" spans="2:11">
      <c r="B4583" s="97" t="str">
        <f ca="1">IF(A4583="","Date",IF(A4583&lt;&gt;"",IF(B4583="Date",NOW(),B4583),""))</f>
        <v>Date</v>
      </c>
      <c r="C4583" s="19" t="str">
        <f>IF(ISBLANK(A4583),"Name",IF(ISNA(VLOOKUP(A4583,'Master List'!A:C,2,FALSE)), "Not Found", VLOOKUP(A4583,'Master List'!A:C,2,FALSE)))</f>
        <v>Name</v>
      </c>
      <c r="D4583" s="19" t="str">
        <f>IF(ISBLANK(A4583), "Email",IF(ISNA(VLOOKUP(A4583,'Master List'!A:C,3,FALSE)), "Not Found", VLOOKUP(A4583,'Master List'!A:C,3,FALSE)))</f>
        <v>Email</v>
      </c>
      <c r="F4583" s="4" t="str">
        <f>IF(OR(A4583="",E4583="","",A4583="?",E4583="?"),"duplicate?",IF(COUNTIFS($A:A,A4583,E:E,E4583)&gt;1,"yes","no"))</f>
        <v>duplicate?</v>
      </c>
      <c r="K4583" s="97" t="str">
        <f ca="1">IF(J4583="","Date",IF(J4583&lt;&gt;"",IF(K4583="Date",NOW(),K4583),""))</f>
        <v>Date</v>
      </c>
    </row>
    <row r="4584" spans="2:11">
      <c r="B4584" s="97" t="str">
        <f ca="1">IF(A4584="","Date",IF(A4584&lt;&gt;"",IF(B4584="Date",NOW(),B4584),""))</f>
        <v>Date</v>
      </c>
      <c r="C4584" s="19" t="str">
        <f>IF(ISBLANK(A4584),"Name",IF(ISNA(VLOOKUP(A4584,'Master List'!A:C,2,FALSE)), "Not Found", VLOOKUP(A4584,'Master List'!A:C,2,FALSE)))</f>
        <v>Name</v>
      </c>
      <c r="D4584" s="19" t="str">
        <f>IF(ISBLANK(A4584), "Email",IF(ISNA(VLOOKUP(A4584,'Master List'!A:C,3,FALSE)), "Not Found", VLOOKUP(A4584,'Master List'!A:C,3,FALSE)))</f>
        <v>Email</v>
      </c>
      <c r="F4584" s="4" t="str">
        <f>IF(OR(A4584="",E4584="","",A4584="?",E4584="?"),"duplicate?",IF(COUNTIFS($A:A,A4584,E:E,E4584)&gt;1,"yes","no"))</f>
        <v>duplicate?</v>
      </c>
      <c r="K4584" s="97" t="str">
        <f ca="1">IF(J4584="","Date",IF(J4584&lt;&gt;"",IF(K4584="Date",NOW(),K4584),""))</f>
        <v>Date</v>
      </c>
    </row>
    <row r="4585" spans="2:11">
      <c r="B4585" s="97" t="str">
        <f ca="1">IF(A4585="","Date",IF(A4585&lt;&gt;"",IF(B4585="Date",NOW(),B4585),""))</f>
        <v>Date</v>
      </c>
      <c r="C4585" s="19" t="str">
        <f>IF(ISBLANK(A4585),"Name",IF(ISNA(VLOOKUP(A4585,'Master List'!A:C,2,FALSE)), "Not Found", VLOOKUP(A4585,'Master List'!A:C,2,FALSE)))</f>
        <v>Name</v>
      </c>
      <c r="D4585" s="19" t="str">
        <f>IF(ISBLANK(A4585), "Email",IF(ISNA(VLOOKUP(A4585,'Master List'!A:C,3,FALSE)), "Not Found", VLOOKUP(A4585,'Master List'!A:C,3,FALSE)))</f>
        <v>Email</v>
      </c>
      <c r="F4585" s="4" t="str">
        <f>IF(OR(A4585="",E4585="","",A4585="?",E4585="?"),"duplicate?",IF(COUNTIFS($A:A,A4585,E:E,E4585)&gt;1,"yes","no"))</f>
        <v>duplicate?</v>
      </c>
      <c r="K4585" s="97" t="str">
        <f ca="1">IF(J4585="","Date",IF(J4585&lt;&gt;"",IF(K4585="Date",NOW(),K4585),""))</f>
        <v>Date</v>
      </c>
    </row>
    <row r="4586" spans="2:11">
      <c r="B4586" s="97" t="str">
        <f ca="1">IF(A4586="","Date",IF(A4586&lt;&gt;"",IF(B4586="Date",NOW(),B4586),""))</f>
        <v>Date</v>
      </c>
      <c r="C4586" s="19" t="str">
        <f>IF(ISBLANK(A4586),"Name",IF(ISNA(VLOOKUP(A4586,'Master List'!A:C,2,FALSE)), "Not Found", VLOOKUP(A4586,'Master List'!A:C,2,FALSE)))</f>
        <v>Name</v>
      </c>
      <c r="D4586" s="19" t="str">
        <f>IF(ISBLANK(A4586), "Email",IF(ISNA(VLOOKUP(A4586,'Master List'!A:C,3,FALSE)), "Not Found", VLOOKUP(A4586,'Master List'!A:C,3,FALSE)))</f>
        <v>Email</v>
      </c>
      <c r="F4586" s="4" t="str">
        <f>IF(OR(A4586="",E4586="","",A4586="?",E4586="?"),"duplicate?",IF(COUNTIFS($A:A,A4586,E:E,E4586)&gt;1,"yes","no"))</f>
        <v>duplicate?</v>
      </c>
      <c r="K4586" s="97" t="str">
        <f ca="1">IF(J4586="","Date",IF(J4586&lt;&gt;"",IF(K4586="Date",NOW(),K4586),""))</f>
        <v>Date</v>
      </c>
    </row>
    <row r="4587" spans="2:11">
      <c r="B4587" s="97" t="str">
        <f ca="1">IF(A4587="","Date",IF(A4587&lt;&gt;"",IF(B4587="Date",NOW(),B4587),""))</f>
        <v>Date</v>
      </c>
      <c r="C4587" s="19" t="str">
        <f>IF(ISBLANK(A4587),"Name",IF(ISNA(VLOOKUP(A4587,'Master List'!A:C,2,FALSE)), "Not Found", VLOOKUP(A4587,'Master List'!A:C,2,FALSE)))</f>
        <v>Name</v>
      </c>
      <c r="D4587" s="19" t="str">
        <f>IF(ISBLANK(A4587), "Email",IF(ISNA(VLOOKUP(A4587,'Master List'!A:C,3,FALSE)), "Not Found", VLOOKUP(A4587,'Master List'!A:C,3,FALSE)))</f>
        <v>Email</v>
      </c>
      <c r="F4587" s="4" t="str">
        <f>IF(OR(A4587="",E4587="","",A4587="?",E4587="?"),"duplicate?",IF(COUNTIFS($A:A,A4587,E:E,E4587)&gt;1,"yes","no"))</f>
        <v>duplicate?</v>
      </c>
      <c r="K4587" s="97" t="str">
        <f ca="1">IF(J4587="","Date",IF(J4587&lt;&gt;"",IF(K4587="Date",NOW(),K4587),""))</f>
        <v>Date</v>
      </c>
    </row>
    <row r="4588" spans="2:11">
      <c r="B4588" s="97" t="str">
        <f ca="1">IF(A4588="","Date",IF(A4588&lt;&gt;"",IF(B4588="Date",NOW(),B4588),""))</f>
        <v>Date</v>
      </c>
      <c r="C4588" s="19" t="str">
        <f>IF(ISBLANK(A4588),"Name",IF(ISNA(VLOOKUP(A4588,'Master List'!A:C,2,FALSE)), "Not Found", VLOOKUP(A4588,'Master List'!A:C,2,FALSE)))</f>
        <v>Name</v>
      </c>
      <c r="D4588" s="19" t="str">
        <f>IF(ISBLANK(A4588), "Email",IF(ISNA(VLOOKUP(A4588,'Master List'!A:C,3,FALSE)), "Not Found", VLOOKUP(A4588,'Master List'!A:C,3,FALSE)))</f>
        <v>Email</v>
      </c>
      <c r="F4588" s="4" t="str">
        <f>IF(OR(A4588="",E4588="","",A4588="?",E4588="?"),"duplicate?",IF(COUNTIFS($A:A,A4588,E:E,E4588)&gt;1,"yes","no"))</f>
        <v>duplicate?</v>
      </c>
      <c r="K4588" s="97" t="str">
        <f ca="1">IF(J4588="","Date",IF(J4588&lt;&gt;"",IF(K4588="Date",NOW(),K4588),""))</f>
        <v>Date</v>
      </c>
    </row>
    <row r="4589" spans="2:11">
      <c r="B4589" s="97" t="str">
        <f ca="1">IF(A4589="","Date",IF(A4589&lt;&gt;"",IF(B4589="Date",NOW(),B4589),""))</f>
        <v>Date</v>
      </c>
      <c r="C4589" s="19" t="str">
        <f>IF(ISBLANK(A4589),"Name",IF(ISNA(VLOOKUP(A4589,'Master List'!A:C,2,FALSE)), "Not Found", VLOOKUP(A4589,'Master List'!A:C,2,FALSE)))</f>
        <v>Name</v>
      </c>
      <c r="D4589" s="19" t="str">
        <f>IF(ISBLANK(A4589), "Email",IF(ISNA(VLOOKUP(A4589,'Master List'!A:C,3,FALSE)), "Not Found", VLOOKUP(A4589,'Master List'!A:C,3,FALSE)))</f>
        <v>Email</v>
      </c>
      <c r="F4589" s="4" t="str">
        <f>IF(OR(A4589="",E4589="","",A4589="?",E4589="?"),"duplicate?",IF(COUNTIFS($A:A,A4589,E:E,E4589)&gt;1,"yes","no"))</f>
        <v>duplicate?</v>
      </c>
      <c r="K4589" s="97" t="str">
        <f ca="1">IF(J4589="","Date",IF(J4589&lt;&gt;"",IF(K4589="Date",NOW(),K4589),""))</f>
        <v>Date</v>
      </c>
    </row>
    <row r="4590" spans="2:11">
      <c r="B4590" s="97" t="str">
        <f ca="1">IF(A4590="","Date",IF(A4590&lt;&gt;"",IF(B4590="Date",NOW(),B4590),""))</f>
        <v>Date</v>
      </c>
      <c r="C4590" s="19" t="str">
        <f>IF(ISBLANK(A4590),"Name",IF(ISNA(VLOOKUP(A4590,'Master List'!A:C,2,FALSE)), "Not Found", VLOOKUP(A4590,'Master List'!A:C,2,FALSE)))</f>
        <v>Name</v>
      </c>
      <c r="D4590" s="19" t="str">
        <f>IF(ISBLANK(A4590), "Email",IF(ISNA(VLOOKUP(A4590,'Master List'!A:C,3,FALSE)), "Not Found", VLOOKUP(A4590,'Master List'!A:C,3,FALSE)))</f>
        <v>Email</v>
      </c>
      <c r="F4590" s="4" t="str">
        <f>IF(OR(A4590="",E4590="","",A4590="?",E4590="?"),"duplicate?",IF(COUNTIFS($A:A,A4590,E:E,E4590)&gt;1,"yes","no"))</f>
        <v>duplicate?</v>
      </c>
      <c r="K4590" s="97" t="str">
        <f ca="1">IF(J4590="","Date",IF(J4590&lt;&gt;"",IF(K4590="Date",NOW(),K4590),""))</f>
        <v>Date</v>
      </c>
    </row>
    <row r="4591" spans="2:11">
      <c r="B4591" s="97" t="str">
        <f ca="1">IF(A4591="","Date",IF(A4591&lt;&gt;"",IF(B4591="Date",NOW(),B4591),""))</f>
        <v>Date</v>
      </c>
      <c r="C4591" s="19" t="str">
        <f>IF(ISBLANK(A4591),"Name",IF(ISNA(VLOOKUP(A4591,'Master List'!A:C,2,FALSE)), "Not Found", VLOOKUP(A4591,'Master List'!A:C,2,FALSE)))</f>
        <v>Name</v>
      </c>
      <c r="D4591" s="19" t="str">
        <f>IF(ISBLANK(A4591), "Email",IF(ISNA(VLOOKUP(A4591,'Master List'!A:C,3,FALSE)), "Not Found", VLOOKUP(A4591,'Master List'!A:C,3,FALSE)))</f>
        <v>Email</v>
      </c>
      <c r="F4591" s="4" t="str">
        <f>IF(OR(A4591="",E4591="","",A4591="?",E4591="?"),"duplicate?",IF(COUNTIFS($A:A,A4591,E:E,E4591)&gt;1,"yes","no"))</f>
        <v>duplicate?</v>
      </c>
      <c r="K4591" s="97" t="str">
        <f ca="1">IF(J4591="","Date",IF(J4591&lt;&gt;"",IF(K4591="Date",NOW(),K4591),""))</f>
        <v>Date</v>
      </c>
    </row>
    <row r="4592" spans="2:11">
      <c r="B4592" s="97" t="str">
        <f ca="1">IF(A4592="","Date",IF(A4592&lt;&gt;"",IF(B4592="Date",NOW(),B4592),""))</f>
        <v>Date</v>
      </c>
      <c r="C4592" s="19" t="str">
        <f>IF(ISBLANK(A4592),"Name",IF(ISNA(VLOOKUP(A4592,'Master List'!A:C,2,FALSE)), "Not Found", VLOOKUP(A4592,'Master List'!A:C,2,FALSE)))</f>
        <v>Name</v>
      </c>
      <c r="D4592" s="19" t="str">
        <f>IF(ISBLANK(A4592), "Email",IF(ISNA(VLOOKUP(A4592,'Master List'!A:C,3,FALSE)), "Not Found", VLOOKUP(A4592,'Master List'!A:C,3,FALSE)))</f>
        <v>Email</v>
      </c>
      <c r="F4592" s="4" t="str">
        <f>IF(OR(A4592="",E4592="","",A4592="?",E4592="?"),"duplicate?",IF(COUNTIFS($A:A,A4592,E:E,E4592)&gt;1,"yes","no"))</f>
        <v>duplicate?</v>
      </c>
      <c r="K4592" s="97" t="str">
        <f ca="1">IF(J4592="","Date",IF(J4592&lt;&gt;"",IF(K4592="Date",NOW(),K4592),""))</f>
        <v>Date</v>
      </c>
    </row>
    <row r="4593" spans="2:11">
      <c r="B4593" s="97" t="str">
        <f ca="1">IF(A4593="","Date",IF(A4593&lt;&gt;"",IF(B4593="Date",NOW(),B4593),""))</f>
        <v>Date</v>
      </c>
      <c r="C4593" s="19" t="str">
        <f>IF(ISBLANK(A4593),"Name",IF(ISNA(VLOOKUP(A4593,'Master List'!A:C,2,FALSE)), "Not Found", VLOOKUP(A4593,'Master List'!A:C,2,FALSE)))</f>
        <v>Name</v>
      </c>
      <c r="D4593" s="19" t="str">
        <f>IF(ISBLANK(A4593), "Email",IF(ISNA(VLOOKUP(A4593,'Master List'!A:C,3,FALSE)), "Not Found", VLOOKUP(A4593,'Master List'!A:C,3,FALSE)))</f>
        <v>Email</v>
      </c>
      <c r="F4593" s="4" t="str">
        <f>IF(OR(A4593="",E4593="","",A4593="?",E4593="?"),"duplicate?",IF(COUNTIFS($A:A,A4593,E:E,E4593)&gt;1,"yes","no"))</f>
        <v>duplicate?</v>
      </c>
      <c r="K4593" s="97" t="str">
        <f ca="1">IF(J4593="","Date",IF(J4593&lt;&gt;"",IF(K4593="Date",NOW(),K4593),""))</f>
        <v>Date</v>
      </c>
    </row>
    <row r="4594" spans="2:11">
      <c r="B4594" s="97" t="str">
        <f ca="1">IF(A4594="","Date",IF(A4594&lt;&gt;"",IF(B4594="Date",NOW(),B4594),""))</f>
        <v>Date</v>
      </c>
      <c r="C4594" s="19" t="str">
        <f>IF(ISBLANK(A4594),"Name",IF(ISNA(VLOOKUP(A4594,'Master List'!A:C,2,FALSE)), "Not Found", VLOOKUP(A4594,'Master List'!A:C,2,FALSE)))</f>
        <v>Name</v>
      </c>
      <c r="D4594" s="19" t="str">
        <f>IF(ISBLANK(A4594), "Email",IF(ISNA(VLOOKUP(A4594,'Master List'!A:C,3,FALSE)), "Not Found", VLOOKUP(A4594,'Master List'!A:C,3,FALSE)))</f>
        <v>Email</v>
      </c>
      <c r="F4594" s="4" t="str">
        <f>IF(OR(A4594="",E4594="","",A4594="?",E4594="?"),"duplicate?",IF(COUNTIFS($A:A,A4594,E:E,E4594)&gt;1,"yes","no"))</f>
        <v>duplicate?</v>
      </c>
      <c r="K4594" s="97" t="str">
        <f ca="1">IF(J4594="","Date",IF(J4594&lt;&gt;"",IF(K4594="Date",NOW(),K4594),""))</f>
        <v>Date</v>
      </c>
    </row>
    <row r="4595" spans="2:11">
      <c r="B4595" s="97" t="str">
        <f ca="1">IF(A4595="","Date",IF(A4595&lt;&gt;"",IF(B4595="Date",NOW(),B4595),""))</f>
        <v>Date</v>
      </c>
      <c r="C4595" s="19" t="str">
        <f>IF(ISBLANK(A4595),"Name",IF(ISNA(VLOOKUP(A4595,'Master List'!A:C,2,FALSE)), "Not Found", VLOOKUP(A4595,'Master List'!A:C,2,FALSE)))</f>
        <v>Name</v>
      </c>
      <c r="D4595" s="19" t="str">
        <f>IF(ISBLANK(A4595), "Email",IF(ISNA(VLOOKUP(A4595,'Master List'!A:C,3,FALSE)), "Not Found", VLOOKUP(A4595,'Master List'!A:C,3,FALSE)))</f>
        <v>Email</v>
      </c>
      <c r="F4595" s="4" t="str">
        <f>IF(OR(A4595="",E4595="","",A4595="?",E4595="?"),"duplicate?",IF(COUNTIFS($A:A,A4595,E:E,E4595)&gt;1,"yes","no"))</f>
        <v>duplicate?</v>
      </c>
      <c r="K4595" s="97" t="str">
        <f ca="1">IF(J4595="","Date",IF(J4595&lt;&gt;"",IF(K4595="Date",NOW(),K4595),""))</f>
        <v>Date</v>
      </c>
    </row>
    <row r="4596" spans="2:11">
      <c r="B4596" s="97" t="str">
        <f ca="1">IF(A4596="","Date",IF(A4596&lt;&gt;"",IF(B4596="Date",NOW(),B4596),""))</f>
        <v>Date</v>
      </c>
      <c r="C4596" s="19" t="str">
        <f>IF(ISBLANK(A4596),"Name",IF(ISNA(VLOOKUP(A4596,'Master List'!A:C,2,FALSE)), "Not Found", VLOOKUP(A4596,'Master List'!A:C,2,FALSE)))</f>
        <v>Name</v>
      </c>
      <c r="D4596" s="19" t="str">
        <f>IF(ISBLANK(A4596), "Email",IF(ISNA(VLOOKUP(A4596,'Master List'!A:C,3,FALSE)), "Not Found", VLOOKUP(A4596,'Master List'!A:C,3,FALSE)))</f>
        <v>Email</v>
      </c>
      <c r="F4596" s="4" t="str">
        <f>IF(OR(A4596="",E4596="","",A4596="?",E4596="?"),"duplicate?",IF(COUNTIFS($A:A,A4596,E:E,E4596)&gt;1,"yes","no"))</f>
        <v>duplicate?</v>
      </c>
      <c r="K4596" s="97" t="str">
        <f ca="1">IF(J4596="","Date",IF(J4596&lt;&gt;"",IF(K4596="Date",NOW(),K4596),""))</f>
        <v>Date</v>
      </c>
    </row>
    <row r="4597" spans="2:11">
      <c r="B4597" s="97" t="str">
        <f ca="1">IF(A4597="","Date",IF(A4597&lt;&gt;"",IF(B4597="Date",NOW(),B4597),""))</f>
        <v>Date</v>
      </c>
      <c r="C4597" s="19" t="str">
        <f>IF(ISBLANK(A4597),"Name",IF(ISNA(VLOOKUP(A4597,'Master List'!A:C,2,FALSE)), "Not Found", VLOOKUP(A4597,'Master List'!A:C,2,FALSE)))</f>
        <v>Name</v>
      </c>
      <c r="D4597" s="19" t="str">
        <f>IF(ISBLANK(A4597), "Email",IF(ISNA(VLOOKUP(A4597,'Master List'!A:C,3,FALSE)), "Not Found", VLOOKUP(A4597,'Master List'!A:C,3,FALSE)))</f>
        <v>Email</v>
      </c>
      <c r="F4597" s="4" t="str">
        <f>IF(OR(A4597="",E4597="","",A4597="?",E4597="?"),"duplicate?",IF(COUNTIFS($A:A,A4597,E:E,E4597)&gt;1,"yes","no"))</f>
        <v>duplicate?</v>
      </c>
      <c r="K4597" s="97" t="str">
        <f ca="1">IF(J4597="","Date",IF(J4597&lt;&gt;"",IF(K4597="Date",NOW(),K4597),""))</f>
        <v>Date</v>
      </c>
    </row>
    <row r="4598" spans="2:11">
      <c r="B4598" s="97" t="str">
        <f ca="1">IF(A4598="","Date",IF(A4598&lt;&gt;"",IF(B4598="Date",NOW(),B4598),""))</f>
        <v>Date</v>
      </c>
      <c r="C4598" s="19" t="str">
        <f>IF(ISBLANK(A4598),"Name",IF(ISNA(VLOOKUP(A4598,'Master List'!A:C,2,FALSE)), "Not Found", VLOOKUP(A4598,'Master List'!A:C,2,FALSE)))</f>
        <v>Name</v>
      </c>
      <c r="D4598" s="19" t="str">
        <f>IF(ISBLANK(A4598), "Email",IF(ISNA(VLOOKUP(A4598,'Master List'!A:C,3,FALSE)), "Not Found", VLOOKUP(A4598,'Master List'!A:C,3,FALSE)))</f>
        <v>Email</v>
      </c>
      <c r="F4598" s="4" t="str">
        <f>IF(OR(A4598="",E4598="","",A4598="?",E4598="?"),"duplicate?",IF(COUNTIFS($A:A,A4598,E:E,E4598)&gt;1,"yes","no"))</f>
        <v>duplicate?</v>
      </c>
      <c r="K4598" s="97" t="str">
        <f ca="1">IF(J4598="","Date",IF(J4598&lt;&gt;"",IF(K4598="Date",NOW(),K4598),""))</f>
        <v>Date</v>
      </c>
    </row>
    <row r="4599" spans="2:11">
      <c r="B4599" s="97" t="str">
        <f ca="1">IF(A4599="","Date",IF(A4599&lt;&gt;"",IF(B4599="Date",NOW(),B4599),""))</f>
        <v>Date</v>
      </c>
      <c r="C4599" s="19" t="str">
        <f>IF(ISBLANK(A4599),"Name",IF(ISNA(VLOOKUP(A4599,'Master List'!A:C,2,FALSE)), "Not Found", VLOOKUP(A4599,'Master List'!A:C,2,FALSE)))</f>
        <v>Name</v>
      </c>
      <c r="D4599" s="19" t="str">
        <f>IF(ISBLANK(A4599), "Email",IF(ISNA(VLOOKUP(A4599,'Master List'!A:C,3,FALSE)), "Not Found", VLOOKUP(A4599,'Master List'!A:C,3,FALSE)))</f>
        <v>Email</v>
      </c>
      <c r="F4599" s="4" t="str">
        <f>IF(OR(A4599="",E4599="","",A4599="?",E4599="?"),"duplicate?",IF(COUNTIFS($A:A,A4599,E:E,E4599)&gt;1,"yes","no"))</f>
        <v>duplicate?</v>
      </c>
      <c r="K4599" s="97" t="str">
        <f ca="1">IF(J4599="","Date",IF(J4599&lt;&gt;"",IF(K4599="Date",NOW(),K4599),""))</f>
        <v>Date</v>
      </c>
    </row>
    <row r="4600" spans="2:11">
      <c r="B4600" s="97" t="str">
        <f ca="1">IF(A4600="","Date",IF(A4600&lt;&gt;"",IF(B4600="Date",NOW(),B4600),""))</f>
        <v>Date</v>
      </c>
      <c r="C4600" s="19" t="str">
        <f>IF(ISBLANK(A4600),"Name",IF(ISNA(VLOOKUP(A4600,'Master List'!A:C,2,FALSE)), "Not Found", VLOOKUP(A4600,'Master List'!A:C,2,FALSE)))</f>
        <v>Name</v>
      </c>
      <c r="D4600" s="19" t="str">
        <f>IF(ISBLANK(A4600), "Email",IF(ISNA(VLOOKUP(A4600,'Master List'!A:C,3,FALSE)), "Not Found", VLOOKUP(A4600,'Master List'!A:C,3,FALSE)))</f>
        <v>Email</v>
      </c>
      <c r="F4600" s="4" t="str">
        <f>IF(OR(A4600="",E4600="","",A4600="?",E4600="?"),"duplicate?",IF(COUNTIFS($A:A,A4600,E:E,E4600)&gt;1,"yes","no"))</f>
        <v>duplicate?</v>
      </c>
      <c r="K4600" s="97" t="str">
        <f ca="1">IF(J4600="","Date",IF(J4600&lt;&gt;"",IF(K4600="Date",NOW(),K4600),""))</f>
        <v>Date</v>
      </c>
    </row>
    <row r="4601" spans="2:11">
      <c r="B4601" s="97" t="str">
        <f ca="1">IF(A4601="","Date",IF(A4601&lt;&gt;"",IF(B4601="Date",NOW(),B4601),""))</f>
        <v>Date</v>
      </c>
      <c r="C4601" s="19" t="str">
        <f>IF(ISBLANK(A4601),"Name",IF(ISNA(VLOOKUP(A4601,'Master List'!A:C,2,FALSE)), "Not Found", VLOOKUP(A4601,'Master List'!A:C,2,FALSE)))</f>
        <v>Name</v>
      </c>
      <c r="D4601" s="19" t="str">
        <f>IF(ISBLANK(A4601), "Email",IF(ISNA(VLOOKUP(A4601,'Master List'!A:C,3,FALSE)), "Not Found", VLOOKUP(A4601,'Master List'!A:C,3,FALSE)))</f>
        <v>Email</v>
      </c>
      <c r="F4601" s="4" t="str">
        <f>IF(OR(A4601="",E4601="","",A4601="?",E4601="?"),"duplicate?",IF(COUNTIFS($A:A,A4601,E:E,E4601)&gt;1,"yes","no"))</f>
        <v>duplicate?</v>
      </c>
      <c r="K4601" s="97" t="str">
        <f ca="1">IF(J4601="","Date",IF(J4601&lt;&gt;"",IF(K4601="Date",NOW(),K4601),""))</f>
        <v>Date</v>
      </c>
    </row>
    <row r="4602" spans="2:11">
      <c r="B4602" s="97" t="str">
        <f ca="1">IF(A4602="","Date",IF(A4602&lt;&gt;"",IF(B4602="Date",NOW(),B4602),""))</f>
        <v>Date</v>
      </c>
      <c r="C4602" s="19" t="str">
        <f>IF(ISBLANK(A4602),"Name",IF(ISNA(VLOOKUP(A4602,'Master List'!A:C,2,FALSE)), "Not Found", VLOOKUP(A4602,'Master List'!A:C,2,FALSE)))</f>
        <v>Name</v>
      </c>
      <c r="D4602" s="19" t="str">
        <f>IF(ISBLANK(A4602), "Email",IF(ISNA(VLOOKUP(A4602,'Master List'!A:C,3,FALSE)), "Not Found", VLOOKUP(A4602,'Master List'!A:C,3,FALSE)))</f>
        <v>Email</v>
      </c>
      <c r="F4602" s="4" t="str">
        <f>IF(OR(A4602="",E4602="","",A4602="?",E4602="?"),"duplicate?",IF(COUNTIFS($A:A,A4602,E:E,E4602)&gt;1,"yes","no"))</f>
        <v>duplicate?</v>
      </c>
      <c r="K4602" s="97" t="str">
        <f ca="1">IF(J4602="","Date",IF(J4602&lt;&gt;"",IF(K4602="Date",NOW(),K4602),""))</f>
        <v>Date</v>
      </c>
    </row>
    <row r="4603" spans="2:11">
      <c r="B4603" s="97" t="str">
        <f ca="1">IF(A4603="","Date",IF(A4603&lt;&gt;"",IF(B4603="Date",NOW(),B4603),""))</f>
        <v>Date</v>
      </c>
      <c r="C4603" s="19" t="str">
        <f>IF(ISBLANK(A4603),"Name",IF(ISNA(VLOOKUP(A4603,'Master List'!A:C,2,FALSE)), "Not Found", VLOOKUP(A4603,'Master List'!A:C,2,FALSE)))</f>
        <v>Name</v>
      </c>
      <c r="D4603" s="19" t="str">
        <f>IF(ISBLANK(A4603), "Email",IF(ISNA(VLOOKUP(A4603,'Master List'!A:C,3,FALSE)), "Not Found", VLOOKUP(A4603,'Master List'!A:C,3,FALSE)))</f>
        <v>Email</v>
      </c>
      <c r="F4603" s="4" t="str">
        <f>IF(OR(A4603="",E4603="","",A4603="?",E4603="?"),"duplicate?",IF(COUNTIFS($A:A,A4603,E:E,E4603)&gt;1,"yes","no"))</f>
        <v>duplicate?</v>
      </c>
      <c r="K4603" s="97" t="str">
        <f ca="1">IF(J4603="","Date",IF(J4603&lt;&gt;"",IF(K4603="Date",NOW(),K4603),""))</f>
        <v>Date</v>
      </c>
    </row>
    <row r="4604" spans="2:11">
      <c r="B4604" s="97" t="str">
        <f ca="1">IF(A4604="","Date",IF(A4604&lt;&gt;"",IF(B4604="Date",NOW(),B4604),""))</f>
        <v>Date</v>
      </c>
      <c r="C4604" s="19" t="str">
        <f>IF(ISBLANK(A4604),"Name",IF(ISNA(VLOOKUP(A4604,'Master List'!A:C,2,FALSE)), "Not Found", VLOOKUP(A4604,'Master List'!A:C,2,FALSE)))</f>
        <v>Name</v>
      </c>
      <c r="D4604" s="19" t="str">
        <f>IF(ISBLANK(A4604), "Email",IF(ISNA(VLOOKUP(A4604,'Master List'!A:C,3,FALSE)), "Not Found", VLOOKUP(A4604,'Master List'!A:C,3,FALSE)))</f>
        <v>Email</v>
      </c>
      <c r="F4604" s="4" t="str">
        <f>IF(OR(A4604="",E4604="","",A4604="?",E4604="?"),"duplicate?",IF(COUNTIFS($A:A,A4604,E:E,E4604)&gt;1,"yes","no"))</f>
        <v>duplicate?</v>
      </c>
      <c r="K4604" s="97" t="str">
        <f ca="1">IF(J4604="","Date",IF(J4604&lt;&gt;"",IF(K4604="Date",NOW(),K4604),""))</f>
        <v>Date</v>
      </c>
    </row>
    <row r="4605" spans="2:11">
      <c r="B4605" s="97" t="str">
        <f ca="1">IF(A4605="","Date",IF(A4605&lt;&gt;"",IF(B4605="Date",NOW(),B4605),""))</f>
        <v>Date</v>
      </c>
      <c r="C4605" s="19" t="str">
        <f>IF(ISBLANK(A4605),"Name",IF(ISNA(VLOOKUP(A4605,'Master List'!A:C,2,FALSE)), "Not Found", VLOOKUP(A4605,'Master List'!A:C,2,FALSE)))</f>
        <v>Name</v>
      </c>
      <c r="D4605" s="19" t="str">
        <f>IF(ISBLANK(A4605), "Email",IF(ISNA(VLOOKUP(A4605,'Master List'!A:C,3,FALSE)), "Not Found", VLOOKUP(A4605,'Master List'!A:C,3,FALSE)))</f>
        <v>Email</v>
      </c>
      <c r="F4605" s="4" t="str">
        <f>IF(OR(A4605="",E4605="","",A4605="?",E4605="?"),"duplicate?",IF(COUNTIFS($A:A,A4605,E:E,E4605)&gt;1,"yes","no"))</f>
        <v>duplicate?</v>
      </c>
      <c r="K4605" s="97" t="str">
        <f ca="1">IF(J4605="","Date",IF(J4605&lt;&gt;"",IF(K4605="Date",NOW(),K4605),""))</f>
        <v>Date</v>
      </c>
    </row>
    <row r="4606" spans="2:11">
      <c r="B4606" s="97" t="str">
        <f ca="1">IF(A4606="","Date",IF(A4606&lt;&gt;"",IF(B4606="Date",NOW(),B4606),""))</f>
        <v>Date</v>
      </c>
      <c r="C4606" s="19" t="str">
        <f>IF(ISBLANK(A4606),"Name",IF(ISNA(VLOOKUP(A4606,'Master List'!A:C,2,FALSE)), "Not Found", VLOOKUP(A4606,'Master List'!A:C,2,FALSE)))</f>
        <v>Name</v>
      </c>
      <c r="D4606" s="19" t="str">
        <f>IF(ISBLANK(A4606), "Email",IF(ISNA(VLOOKUP(A4606,'Master List'!A:C,3,FALSE)), "Not Found", VLOOKUP(A4606,'Master List'!A:C,3,FALSE)))</f>
        <v>Email</v>
      </c>
      <c r="F4606" s="4" t="str">
        <f>IF(OR(A4606="",E4606="","",A4606="?",E4606="?"),"duplicate?",IF(COUNTIFS($A:A,A4606,E:E,E4606)&gt;1,"yes","no"))</f>
        <v>duplicate?</v>
      </c>
      <c r="K4606" s="97" t="str">
        <f ca="1">IF(J4606="","Date",IF(J4606&lt;&gt;"",IF(K4606="Date",NOW(),K4606),""))</f>
        <v>Date</v>
      </c>
    </row>
    <row r="4607" spans="2:11">
      <c r="B4607" s="97" t="str">
        <f ca="1">IF(A4607="","Date",IF(A4607&lt;&gt;"",IF(B4607="Date",NOW(),B4607),""))</f>
        <v>Date</v>
      </c>
      <c r="C4607" s="19" t="str">
        <f>IF(ISBLANK(A4607),"Name",IF(ISNA(VLOOKUP(A4607,'Master List'!A:C,2,FALSE)), "Not Found", VLOOKUP(A4607,'Master List'!A:C,2,FALSE)))</f>
        <v>Name</v>
      </c>
      <c r="D4607" s="19" t="str">
        <f>IF(ISBLANK(A4607), "Email",IF(ISNA(VLOOKUP(A4607,'Master List'!A:C,3,FALSE)), "Not Found", VLOOKUP(A4607,'Master List'!A:C,3,FALSE)))</f>
        <v>Email</v>
      </c>
      <c r="F4607" s="4" t="str">
        <f>IF(OR(A4607="",E4607="","",A4607="?",E4607="?"),"duplicate?",IF(COUNTIFS($A:A,A4607,E:E,E4607)&gt;1,"yes","no"))</f>
        <v>duplicate?</v>
      </c>
      <c r="K4607" s="97" t="str">
        <f ca="1">IF(J4607="","Date",IF(J4607&lt;&gt;"",IF(K4607="Date",NOW(),K4607),""))</f>
        <v>Date</v>
      </c>
    </row>
    <row r="4608" spans="2:11">
      <c r="B4608" s="97" t="str">
        <f ca="1">IF(A4608="","Date",IF(A4608&lt;&gt;"",IF(B4608="Date",NOW(),B4608),""))</f>
        <v>Date</v>
      </c>
      <c r="C4608" s="19" t="str">
        <f>IF(ISBLANK(A4608),"Name",IF(ISNA(VLOOKUP(A4608,'Master List'!A:C,2,FALSE)), "Not Found", VLOOKUP(A4608,'Master List'!A:C,2,FALSE)))</f>
        <v>Name</v>
      </c>
      <c r="D4608" s="19" t="str">
        <f>IF(ISBLANK(A4608), "Email",IF(ISNA(VLOOKUP(A4608,'Master List'!A:C,3,FALSE)), "Not Found", VLOOKUP(A4608,'Master List'!A:C,3,FALSE)))</f>
        <v>Email</v>
      </c>
      <c r="F4608" s="4" t="str">
        <f>IF(OR(A4608="",E4608="","",A4608="?",E4608="?"),"duplicate?",IF(COUNTIFS($A:A,A4608,E:E,E4608)&gt;1,"yes","no"))</f>
        <v>duplicate?</v>
      </c>
      <c r="K4608" s="97" t="str">
        <f ca="1">IF(J4608="","Date",IF(J4608&lt;&gt;"",IF(K4608="Date",NOW(),K4608),""))</f>
        <v>Date</v>
      </c>
    </row>
    <row r="4609" spans="2:11">
      <c r="B4609" s="97" t="str">
        <f ca="1">IF(A4609="","Date",IF(A4609&lt;&gt;"",IF(B4609="Date",NOW(),B4609),""))</f>
        <v>Date</v>
      </c>
      <c r="C4609" s="19" t="str">
        <f>IF(ISBLANK(A4609),"Name",IF(ISNA(VLOOKUP(A4609,'Master List'!A:C,2,FALSE)), "Not Found", VLOOKUP(A4609,'Master List'!A:C,2,FALSE)))</f>
        <v>Name</v>
      </c>
      <c r="D4609" s="19" t="str">
        <f>IF(ISBLANK(A4609), "Email",IF(ISNA(VLOOKUP(A4609,'Master List'!A:C,3,FALSE)), "Not Found", VLOOKUP(A4609,'Master List'!A:C,3,FALSE)))</f>
        <v>Email</v>
      </c>
      <c r="F4609" s="4" t="str">
        <f>IF(OR(A4609="",E4609="","",A4609="?",E4609="?"),"duplicate?",IF(COUNTIFS($A:A,A4609,E:E,E4609)&gt;1,"yes","no"))</f>
        <v>duplicate?</v>
      </c>
      <c r="K4609" s="97" t="str">
        <f ca="1">IF(J4609="","Date",IF(J4609&lt;&gt;"",IF(K4609="Date",NOW(),K4609),""))</f>
        <v>Date</v>
      </c>
    </row>
    <row r="4610" spans="2:11">
      <c r="B4610" s="97" t="str">
        <f ca="1">IF(A4610="","Date",IF(A4610&lt;&gt;"",IF(B4610="Date",NOW(),B4610),""))</f>
        <v>Date</v>
      </c>
      <c r="C4610" s="19" t="str">
        <f>IF(ISBLANK(A4610),"Name",IF(ISNA(VLOOKUP(A4610,'Master List'!A:C,2,FALSE)), "Not Found", VLOOKUP(A4610,'Master List'!A:C,2,FALSE)))</f>
        <v>Name</v>
      </c>
      <c r="D4610" s="19" t="str">
        <f>IF(ISBLANK(A4610), "Email",IF(ISNA(VLOOKUP(A4610,'Master List'!A:C,3,FALSE)), "Not Found", VLOOKUP(A4610,'Master List'!A:C,3,FALSE)))</f>
        <v>Email</v>
      </c>
      <c r="F4610" s="4" t="str">
        <f>IF(OR(A4610="",E4610="","",A4610="?",E4610="?"),"duplicate?",IF(COUNTIFS($A:A,A4610,E:E,E4610)&gt;1,"yes","no"))</f>
        <v>duplicate?</v>
      </c>
      <c r="K4610" s="97" t="str">
        <f ca="1">IF(J4610="","Date",IF(J4610&lt;&gt;"",IF(K4610="Date",NOW(),K4610),""))</f>
        <v>Date</v>
      </c>
    </row>
    <row r="4611" spans="2:11">
      <c r="B4611" s="97" t="str">
        <f ca="1">IF(A4611="","Date",IF(A4611&lt;&gt;"",IF(B4611="Date",NOW(),B4611),""))</f>
        <v>Date</v>
      </c>
      <c r="C4611" s="19" t="str">
        <f>IF(ISBLANK(A4611),"Name",IF(ISNA(VLOOKUP(A4611,'Master List'!A:C,2,FALSE)), "Not Found", VLOOKUP(A4611,'Master List'!A:C,2,FALSE)))</f>
        <v>Name</v>
      </c>
      <c r="D4611" s="19" t="str">
        <f>IF(ISBLANK(A4611), "Email",IF(ISNA(VLOOKUP(A4611,'Master List'!A:C,3,FALSE)), "Not Found", VLOOKUP(A4611,'Master List'!A:C,3,FALSE)))</f>
        <v>Email</v>
      </c>
      <c r="F4611" s="4" t="str">
        <f>IF(OR(A4611="",E4611="","",A4611="?",E4611="?"),"duplicate?",IF(COUNTIFS($A:A,A4611,E:E,E4611)&gt;1,"yes","no"))</f>
        <v>duplicate?</v>
      </c>
      <c r="K4611" s="97" t="str">
        <f ca="1">IF(J4611="","Date",IF(J4611&lt;&gt;"",IF(K4611="Date",NOW(),K4611),""))</f>
        <v>Date</v>
      </c>
    </row>
    <row r="4612" spans="2:11">
      <c r="B4612" s="97" t="str">
        <f ca="1">IF(A4612="","Date",IF(A4612&lt;&gt;"",IF(B4612="Date",NOW(),B4612),""))</f>
        <v>Date</v>
      </c>
      <c r="C4612" s="19" t="str">
        <f>IF(ISBLANK(A4612),"Name",IF(ISNA(VLOOKUP(A4612,'Master List'!A:C,2,FALSE)), "Not Found", VLOOKUP(A4612,'Master List'!A:C,2,FALSE)))</f>
        <v>Name</v>
      </c>
      <c r="D4612" s="19" t="str">
        <f>IF(ISBLANK(A4612), "Email",IF(ISNA(VLOOKUP(A4612,'Master List'!A:C,3,FALSE)), "Not Found", VLOOKUP(A4612,'Master List'!A:C,3,FALSE)))</f>
        <v>Email</v>
      </c>
      <c r="F4612" s="4" t="str">
        <f>IF(OR(A4612="",E4612="","",A4612="?",E4612="?"),"duplicate?",IF(COUNTIFS($A:A,A4612,E:E,E4612)&gt;1,"yes","no"))</f>
        <v>duplicate?</v>
      </c>
      <c r="K4612" s="97" t="str">
        <f ca="1">IF(J4612="","Date",IF(J4612&lt;&gt;"",IF(K4612="Date",NOW(),K4612),""))</f>
        <v>Date</v>
      </c>
    </row>
    <row r="4613" spans="2:11">
      <c r="B4613" s="97" t="str">
        <f ca="1">IF(A4613="","Date",IF(A4613&lt;&gt;"",IF(B4613="Date",NOW(),B4613),""))</f>
        <v>Date</v>
      </c>
      <c r="C4613" s="19" t="str">
        <f>IF(ISBLANK(A4613),"Name",IF(ISNA(VLOOKUP(A4613,'Master List'!A:C,2,FALSE)), "Not Found", VLOOKUP(A4613,'Master List'!A:C,2,FALSE)))</f>
        <v>Name</v>
      </c>
      <c r="D4613" s="19" t="str">
        <f>IF(ISBLANK(A4613), "Email",IF(ISNA(VLOOKUP(A4613,'Master List'!A:C,3,FALSE)), "Not Found", VLOOKUP(A4613,'Master List'!A:C,3,FALSE)))</f>
        <v>Email</v>
      </c>
      <c r="F4613" s="4" t="str">
        <f>IF(OR(A4613="",E4613="","",A4613="?",E4613="?"),"duplicate?",IF(COUNTIFS($A:A,A4613,E:E,E4613)&gt;1,"yes","no"))</f>
        <v>duplicate?</v>
      </c>
      <c r="K4613" s="97" t="str">
        <f ca="1">IF(J4613="","Date",IF(J4613&lt;&gt;"",IF(K4613="Date",NOW(),K4613),""))</f>
        <v>Date</v>
      </c>
    </row>
    <row r="4614" spans="2:11">
      <c r="B4614" s="97" t="str">
        <f ca="1">IF(A4614="","Date",IF(A4614&lt;&gt;"",IF(B4614="Date",NOW(),B4614),""))</f>
        <v>Date</v>
      </c>
      <c r="C4614" s="19" t="str">
        <f>IF(ISBLANK(A4614),"Name",IF(ISNA(VLOOKUP(A4614,'Master List'!A:C,2,FALSE)), "Not Found", VLOOKUP(A4614,'Master List'!A:C,2,FALSE)))</f>
        <v>Name</v>
      </c>
      <c r="D4614" s="19" t="str">
        <f>IF(ISBLANK(A4614), "Email",IF(ISNA(VLOOKUP(A4614,'Master List'!A:C,3,FALSE)), "Not Found", VLOOKUP(A4614,'Master List'!A:C,3,FALSE)))</f>
        <v>Email</v>
      </c>
      <c r="F4614" s="4" t="str">
        <f>IF(OR(A4614="",E4614="","",A4614="?",E4614="?"),"duplicate?",IF(COUNTIFS($A:A,A4614,E:E,E4614)&gt;1,"yes","no"))</f>
        <v>duplicate?</v>
      </c>
      <c r="K4614" s="97" t="str">
        <f ca="1">IF(J4614="","Date",IF(J4614&lt;&gt;"",IF(K4614="Date",NOW(),K4614),""))</f>
        <v>Date</v>
      </c>
    </row>
    <row r="4615" spans="2:11">
      <c r="B4615" s="97" t="str">
        <f ca="1">IF(A4615="","Date",IF(A4615&lt;&gt;"",IF(B4615="Date",NOW(),B4615),""))</f>
        <v>Date</v>
      </c>
      <c r="C4615" s="19" t="str">
        <f>IF(ISBLANK(A4615),"Name",IF(ISNA(VLOOKUP(A4615,'Master List'!A:C,2,FALSE)), "Not Found", VLOOKUP(A4615,'Master List'!A:C,2,FALSE)))</f>
        <v>Name</v>
      </c>
      <c r="D4615" s="19" t="str">
        <f>IF(ISBLANK(A4615), "Email",IF(ISNA(VLOOKUP(A4615,'Master List'!A:C,3,FALSE)), "Not Found", VLOOKUP(A4615,'Master List'!A:C,3,FALSE)))</f>
        <v>Email</v>
      </c>
      <c r="F4615" s="4" t="str">
        <f>IF(OR(A4615="",E4615="","",A4615="?",E4615="?"),"duplicate?",IF(COUNTIFS($A:A,A4615,E:E,E4615)&gt;1,"yes","no"))</f>
        <v>duplicate?</v>
      </c>
      <c r="K4615" s="97" t="str">
        <f ca="1">IF(J4615="","Date",IF(J4615&lt;&gt;"",IF(K4615="Date",NOW(),K4615),""))</f>
        <v>Date</v>
      </c>
    </row>
    <row r="4616" spans="2:11">
      <c r="B4616" s="97" t="str">
        <f ca="1">IF(A4616="","Date",IF(A4616&lt;&gt;"",IF(B4616="Date",NOW(),B4616),""))</f>
        <v>Date</v>
      </c>
      <c r="C4616" s="19" t="str">
        <f>IF(ISBLANK(A4616),"Name",IF(ISNA(VLOOKUP(A4616,'Master List'!A:C,2,FALSE)), "Not Found", VLOOKUP(A4616,'Master List'!A:C,2,FALSE)))</f>
        <v>Name</v>
      </c>
      <c r="D4616" s="19" t="str">
        <f>IF(ISBLANK(A4616), "Email",IF(ISNA(VLOOKUP(A4616,'Master List'!A:C,3,FALSE)), "Not Found", VLOOKUP(A4616,'Master List'!A:C,3,FALSE)))</f>
        <v>Email</v>
      </c>
      <c r="F4616" s="4" t="str">
        <f>IF(OR(A4616="",E4616="","",A4616="?",E4616="?"),"duplicate?",IF(COUNTIFS($A:A,A4616,E:E,E4616)&gt;1,"yes","no"))</f>
        <v>duplicate?</v>
      </c>
      <c r="K4616" s="97" t="str">
        <f ca="1">IF(J4616="","Date",IF(J4616&lt;&gt;"",IF(K4616="Date",NOW(),K4616),""))</f>
        <v>Date</v>
      </c>
    </row>
    <row r="4617" spans="2:11">
      <c r="B4617" s="97" t="str">
        <f ca="1">IF(A4617="","Date",IF(A4617&lt;&gt;"",IF(B4617="Date",NOW(),B4617),""))</f>
        <v>Date</v>
      </c>
      <c r="C4617" s="19" t="str">
        <f>IF(ISBLANK(A4617),"Name",IF(ISNA(VLOOKUP(A4617,'Master List'!A:C,2,FALSE)), "Not Found", VLOOKUP(A4617,'Master List'!A:C,2,FALSE)))</f>
        <v>Name</v>
      </c>
      <c r="D4617" s="19" t="str">
        <f>IF(ISBLANK(A4617), "Email",IF(ISNA(VLOOKUP(A4617,'Master List'!A:C,3,FALSE)), "Not Found", VLOOKUP(A4617,'Master List'!A:C,3,FALSE)))</f>
        <v>Email</v>
      </c>
      <c r="F4617" s="4" t="str">
        <f>IF(OR(A4617="",E4617="","",A4617="?",E4617="?"),"duplicate?",IF(COUNTIFS($A:A,A4617,E:E,E4617)&gt;1,"yes","no"))</f>
        <v>duplicate?</v>
      </c>
      <c r="K4617" s="97" t="str">
        <f ca="1">IF(J4617="","Date",IF(J4617&lt;&gt;"",IF(K4617="Date",NOW(),K4617),""))</f>
        <v>Date</v>
      </c>
    </row>
    <row r="4618" spans="2:11">
      <c r="B4618" s="97" t="str">
        <f ca="1">IF(A4618="","Date",IF(A4618&lt;&gt;"",IF(B4618="Date",NOW(),B4618),""))</f>
        <v>Date</v>
      </c>
      <c r="C4618" s="19" t="str">
        <f>IF(ISBLANK(A4618),"Name",IF(ISNA(VLOOKUP(A4618,'Master List'!A:C,2,FALSE)), "Not Found", VLOOKUP(A4618,'Master List'!A:C,2,FALSE)))</f>
        <v>Name</v>
      </c>
      <c r="D4618" s="19" t="str">
        <f>IF(ISBLANK(A4618), "Email",IF(ISNA(VLOOKUP(A4618,'Master List'!A:C,3,FALSE)), "Not Found", VLOOKUP(A4618,'Master List'!A:C,3,FALSE)))</f>
        <v>Email</v>
      </c>
      <c r="F4618" s="4" t="str">
        <f>IF(OR(A4618="",E4618="","",A4618="?",E4618="?"),"duplicate?",IF(COUNTIFS($A:A,A4618,E:E,E4618)&gt;1,"yes","no"))</f>
        <v>duplicate?</v>
      </c>
      <c r="K4618" s="97" t="str">
        <f ca="1">IF(J4618="","Date",IF(J4618&lt;&gt;"",IF(K4618="Date",NOW(),K4618),""))</f>
        <v>Date</v>
      </c>
    </row>
    <row r="4619" spans="2:11">
      <c r="B4619" s="97" t="str">
        <f ca="1">IF(A4619="","Date",IF(A4619&lt;&gt;"",IF(B4619="Date",NOW(),B4619),""))</f>
        <v>Date</v>
      </c>
      <c r="C4619" s="19" t="str">
        <f>IF(ISBLANK(A4619),"Name",IF(ISNA(VLOOKUP(A4619,'Master List'!A:C,2,FALSE)), "Not Found", VLOOKUP(A4619,'Master List'!A:C,2,FALSE)))</f>
        <v>Name</v>
      </c>
      <c r="D4619" s="19" t="str">
        <f>IF(ISBLANK(A4619), "Email",IF(ISNA(VLOOKUP(A4619,'Master List'!A:C,3,FALSE)), "Not Found", VLOOKUP(A4619,'Master List'!A:C,3,FALSE)))</f>
        <v>Email</v>
      </c>
      <c r="F4619" s="4" t="str">
        <f>IF(OR(A4619="",E4619="","",A4619="?",E4619="?"),"duplicate?",IF(COUNTIFS($A:A,A4619,E:E,E4619)&gt;1,"yes","no"))</f>
        <v>duplicate?</v>
      </c>
      <c r="K4619" s="97" t="str">
        <f ca="1">IF(J4619="","Date",IF(J4619&lt;&gt;"",IF(K4619="Date",NOW(),K4619),""))</f>
        <v>Date</v>
      </c>
    </row>
    <row r="4620" spans="2:11">
      <c r="B4620" s="97" t="str">
        <f ca="1">IF(A4620="","Date",IF(A4620&lt;&gt;"",IF(B4620="Date",NOW(),B4620),""))</f>
        <v>Date</v>
      </c>
      <c r="C4620" s="19" t="str">
        <f>IF(ISBLANK(A4620),"Name",IF(ISNA(VLOOKUP(A4620,'Master List'!A:C,2,FALSE)), "Not Found", VLOOKUP(A4620,'Master List'!A:C,2,FALSE)))</f>
        <v>Name</v>
      </c>
      <c r="D4620" s="19" t="str">
        <f>IF(ISBLANK(A4620), "Email",IF(ISNA(VLOOKUP(A4620,'Master List'!A:C,3,FALSE)), "Not Found", VLOOKUP(A4620,'Master List'!A:C,3,FALSE)))</f>
        <v>Email</v>
      </c>
      <c r="F4620" s="4" t="str">
        <f>IF(OR(A4620="",E4620="","",A4620="?",E4620="?"),"duplicate?",IF(COUNTIFS($A:A,A4620,E:E,E4620)&gt;1,"yes","no"))</f>
        <v>duplicate?</v>
      </c>
      <c r="K4620" s="97" t="str">
        <f ca="1">IF(J4620="","Date",IF(J4620&lt;&gt;"",IF(K4620="Date",NOW(),K4620),""))</f>
        <v>Date</v>
      </c>
    </row>
    <row r="4621" spans="2:11">
      <c r="B4621" s="97" t="str">
        <f ca="1">IF(A4621="","Date",IF(A4621&lt;&gt;"",IF(B4621="Date",NOW(),B4621),""))</f>
        <v>Date</v>
      </c>
      <c r="C4621" s="19" t="str">
        <f>IF(ISBLANK(A4621),"Name",IF(ISNA(VLOOKUP(A4621,'Master List'!A:C,2,FALSE)), "Not Found", VLOOKUP(A4621,'Master List'!A:C,2,FALSE)))</f>
        <v>Name</v>
      </c>
      <c r="D4621" s="19" t="str">
        <f>IF(ISBLANK(A4621), "Email",IF(ISNA(VLOOKUP(A4621,'Master List'!A:C,3,FALSE)), "Not Found", VLOOKUP(A4621,'Master List'!A:C,3,FALSE)))</f>
        <v>Email</v>
      </c>
      <c r="F4621" s="4" t="str">
        <f>IF(OR(A4621="",E4621="","",A4621="?",E4621="?"),"duplicate?",IF(COUNTIFS($A:A,A4621,E:E,E4621)&gt;1,"yes","no"))</f>
        <v>duplicate?</v>
      </c>
      <c r="K4621" s="97" t="str">
        <f ca="1">IF(J4621="","Date",IF(J4621&lt;&gt;"",IF(K4621="Date",NOW(),K4621),""))</f>
        <v>Date</v>
      </c>
    </row>
    <row r="4622" spans="2:11">
      <c r="B4622" s="97" t="str">
        <f ca="1">IF(A4622="","Date",IF(A4622&lt;&gt;"",IF(B4622="Date",NOW(),B4622),""))</f>
        <v>Date</v>
      </c>
      <c r="C4622" s="19" t="str">
        <f>IF(ISBLANK(A4622),"Name",IF(ISNA(VLOOKUP(A4622,'Master List'!A:C,2,FALSE)), "Not Found", VLOOKUP(A4622,'Master List'!A:C,2,FALSE)))</f>
        <v>Name</v>
      </c>
      <c r="D4622" s="19" t="str">
        <f>IF(ISBLANK(A4622), "Email",IF(ISNA(VLOOKUP(A4622,'Master List'!A:C,3,FALSE)), "Not Found", VLOOKUP(A4622,'Master List'!A:C,3,FALSE)))</f>
        <v>Email</v>
      </c>
      <c r="F4622" s="4" t="str">
        <f>IF(OR(A4622="",E4622="","",A4622="?",E4622="?"),"duplicate?",IF(COUNTIFS($A:A,A4622,E:E,E4622)&gt;1,"yes","no"))</f>
        <v>duplicate?</v>
      </c>
      <c r="K4622" s="97" t="str">
        <f ca="1">IF(J4622="","Date",IF(J4622&lt;&gt;"",IF(K4622="Date",NOW(),K4622),""))</f>
        <v>Date</v>
      </c>
    </row>
    <row r="4623" spans="2:11">
      <c r="B4623" s="97" t="str">
        <f ca="1">IF(A4623="","Date",IF(A4623&lt;&gt;"",IF(B4623="Date",NOW(),B4623),""))</f>
        <v>Date</v>
      </c>
      <c r="C4623" s="19" t="str">
        <f>IF(ISBLANK(A4623),"Name",IF(ISNA(VLOOKUP(A4623,'Master List'!A:C,2,FALSE)), "Not Found", VLOOKUP(A4623,'Master List'!A:C,2,FALSE)))</f>
        <v>Name</v>
      </c>
      <c r="D4623" s="19" t="str">
        <f>IF(ISBLANK(A4623), "Email",IF(ISNA(VLOOKUP(A4623,'Master List'!A:C,3,FALSE)), "Not Found", VLOOKUP(A4623,'Master List'!A:C,3,FALSE)))</f>
        <v>Email</v>
      </c>
      <c r="F4623" s="4" t="str">
        <f>IF(OR(A4623="",E4623="","",A4623="?",E4623="?"),"duplicate?",IF(COUNTIFS($A:A,A4623,E:E,E4623)&gt;1,"yes","no"))</f>
        <v>duplicate?</v>
      </c>
      <c r="K4623" s="97" t="str">
        <f ca="1">IF(J4623="","Date",IF(J4623&lt;&gt;"",IF(K4623="Date",NOW(),K4623),""))</f>
        <v>Date</v>
      </c>
    </row>
    <row r="4624" spans="2:11">
      <c r="B4624" s="97" t="str">
        <f ca="1">IF(A4624="","Date",IF(A4624&lt;&gt;"",IF(B4624="Date",NOW(),B4624),""))</f>
        <v>Date</v>
      </c>
      <c r="C4624" s="19" t="str">
        <f>IF(ISBLANK(A4624),"Name",IF(ISNA(VLOOKUP(A4624,'Master List'!A:C,2,FALSE)), "Not Found", VLOOKUP(A4624,'Master List'!A:C,2,FALSE)))</f>
        <v>Name</v>
      </c>
      <c r="D4624" s="19" t="str">
        <f>IF(ISBLANK(A4624), "Email",IF(ISNA(VLOOKUP(A4624,'Master List'!A:C,3,FALSE)), "Not Found", VLOOKUP(A4624,'Master List'!A:C,3,FALSE)))</f>
        <v>Email</v>
      </c>
      <c r="F4624" s="4" t="str">
        <f>IF(OR(A4624="",E4624="","",A4624="?",E4624="?"),"duplicate?",IF(COUNTIFS($A:A,A4624,E:E,E4624)&gt;1,"yes","no"))</f>
        <v>duplicate?</v>
      </c>
      <c r="K4624" s="97" t="str">
        <f ca="1">IF(J4624="","Date",IF(J4624&lt;&gt;"",IF(K4624="Date",NOW(),K4624),""))</f>
        <v>Date</v>
      </c>
    </row>
    <row r="4625" spans="2:11">
      <c r="B4625" s="97" t="str">
        <f ca="1">IF(A4625="","Date",IF(A4625&lt;&gt;"",IF(B4625="Date",NOW(),B4625),""))</f>
        <v>Date</v>
      </c>
      <c r="C4625" s="19" t="str">
        <f>IF(ISBLANK(A4625),"Name",IF(ISNA(VLOOKUP(A4625,'Master List'!A:C,2,FALSE)), "Not Found", VLOOKUP(A4625,'Master List'!A:C,2,FALSE)))</f>
        <v>Name</v>
      </c>
      <c r="D4625" s="19" t="str">
        <f>IF(ISBLANK(A4625), "Email",IF(ISNA(VLOOKUP(A4625,'Master List'!A:C,3,FALSE)), "Not Found", VLOOKUP(A4625,'Master List'!A:C,3,FALSE)))</f>
        <v>Email</v>
      </c>
      <c r="F4625" s="4" t="str">
        <f>IF(OR(A4625="",E4625="","",A4625="?",E4625="?"),"duplicate?",IF(COUNTIFS($A:A,A4625,E:E,E4625)&gt;1,"yes","no"))</f>
        <v>duplicate?</v>
      </c>
      <c r="K4625" s="97" t="str">
        <f ca="1">IF(J4625="","Date",IF(J4625&lt;&gt;"",IF(K4625="Date",NOW(),K4625),""))</f>
        <v>Date</v>
      </c>
    </row>
    <row r="4626" spans="2:11">
      <c r="B4626" s="97" t="str">
        <f ca="1">IF(A4626="","Date",IF(A4626&lt;&gt;"",IF(B4626="Date",NOW(),B4626),""))</f>
        <v>Date</v>
      </c>
      <c r="C4626" s="19" t="str">
        <f>IF(ISBLANK(A4626),"Name",IF(ISNA(VLOOKUP(A4626,'Master List'!A:C,2,FALSE)), "Not Found", VLOOKUP(A4626,'Master List'!A:C,2,FALSE)))</f>
        <v>Name</v>
      </c>
      <c r="D4626" s="19" t="str">
        <f>IF(ISBLANK(A4626), "Email",IF(ISNA(VLOOKUP(A4626,'Master List'!A:C,3,FALSE)), "Not Found", VLOOKUP(A4626,'Master List'!A:C,3,FALSE)))</f>
        <v>Email</v>
      </c>
      <c r="F4626" s="4" t="str">
        <f>IF(OR(A4626="",E4626="","",A4626="?",E4626="?"),"duplicate?",IF(COUNTIFS($A:A,A4626,E:E,E4626)&gt;1,"yes","no"))</f>
        <v>duplicate?</v>
      </c>
      <c r="K4626" s="97" t="str">
        <f ca="1">IF(J4626="","Date",IF(J4626&lt;&gt;"",IF(K4626="Date",NOW(),K4626),""))</f>
        <v>Date</v>
      </c>
    </row>
    <row r="4627" spans="2:11">
      <c r="B4627" s="97" t="str">
        <f ca="1">IF(A4627="","Date",IF(A4627&lt;&gt;"",IF(B4627="Date",NOW(),B4627),""))</f>
        <v>Date</v>
      </c>
      <c r="C4627" s="19" t="str">
        <f>IF(ISBLANK(A4627),"Name",IF(ISNA(VLOOKUP(A4627,'Master List'!A:C,2,FALSE)), "Not Found", VLOOKUP(A4627,'Master List'!A:C,2,FALSE)))</f>
        <v>Name</v>
      </c>
      <c r="D4627" s="19" t="str">
        <f>IF(ISBLANK(A4627), "Email",IF(ISNA(VLOOKUP(A4627,'Master List'!A:C,3,FALSE)), "Not Found", VLOOKUP(A4627,'Master List'!A:C,3,FALSE)))</f>
        <v>Email</v>
      </c>
      <c r="F4627" s="4" t="str">
        <f>IF(OR(A4627="",E4627="","",A4627="?",E4627="?"),"duplicate?",IF(COUNTIFS($A:A,A4627,E:E,E4627)&gt;1,"yes","no"))</f>
        <v>duplicate?</v>
      </c>
      <c r="K4627" s="97" t="str">
        <f ca="1">IF(J4627="","Date",IF(J4627&lt;&gt;"",IF(K4627="Date",NOW(),K4627),""))</f>
        <v>Date</v>
      </c>
    </row>
    <row r="4628" spans="2:11">
      <c r="B4628" s="97" t="str">
        <f ca="1">IF(A4628="","Date",IF(A4628&lt;&gt;"",IF(B4628="Date",NOW(),B4628),""))</f>
        <v>Date</v>
      </c>
      <c r="C4628" s="19" t="str">
        <f>IF(ISBLANK(A4628),"Name",IF(ISNA(VLOOKUP(A4628,'Master List'!A:C,2,FALSE)), "Not Found", VLOOKUP(A4628,'Master List'!A:C,2,FALSE)))</f>
        <v>Name</v>
      </c>
      <c r="D4628" s="19" t="str">
        <f>IF(ISBLANK(A4628), "Email",IF(ISNA(VLOOKUP(A4628,'Master List'!A:C,3,FALSE)), "Not Found", VLOOKUP(A4628,'Master List'!A:C,3,FALSE)))</f>
        <v>Email</v>
      </c>
      <c r="F4628" s="4" t="str">
        <f>IF(OR(A4628="",E4628="","",A4628="?",E4628="?"),"duplicate?",IF(COUNTIFS($A:A,A4628,E:E,E4628)&gt;1,"yes","no"))</f>
        <v>duplicate?</v>
      </c>
      <c r="K4628" s="97" t="str">
        <f ca="1">IF(J4628="","Date",IF(J4628&lt;&gt;"",IF(K4628="Date",NOW(),K4628),""))</f>
        <v>Date</v>
      </c>
    </row>
    <row r="4629" spans="2:11">
      <c r="B4629" s="97" t="str">
        <f ca="1">IF(A4629="","Date",IF(A4629&lt;&gt;"",IF(B4629="Date",NOW(),B4629),""))</f>
        <v>Date</v>
      </c>
      <c r="C4629" s="19" t="str">
        <f>IF(ISBLANK(A4629),"Name",IF(ISNA(VLOOKUP(A4629,'Master List'!A:C,2,FALSE)), "Not Found", VLOOKUP(A4629,'Master List'!A:C,2,FALSE)))</f>
        <v>Name</v>
      </c>
      <c r="D4629" s="19" t="str">
        <f>IF(ISBLANK(A4629), "Email",IF(ISNA(VLOOKUP(A4629,'Master List'!A:C,3,FALSE)), "Not Found", VLOOKUP(A4629,'Master List'!A:C,3,FALSE)))</f>
        <v>Email</v>
      </c>
      <c r="F4629" s="4" t="str">
        <f>IF(OR(A4629="",E4629="","",A4629="?",E4629="?"),"duplicate?",IF(COUNTIFS($A:A,A4629,E:E,E4629)&gt;1,"yes","no"))</f>
        <v>duplicate?</v>
      </c>
      <c r="K4629" s="97" t="str">
        <f ca="1">IF(J4629="","Date",IF(J4629&lt;&gt;"",IF(K4629="Date",NOW(),K4629),""))</f>
        <v>Date</v>
      </c>
    </row>
    <row r="4630" spans="2:11">
      <c r="B4630" s="97" t="str">
        <f ca="1">IF(A4630="","Date",IF(A4630&lt;&gt;"",IF(B4630="Date",NOW(),B4630),""))</f>
        <v>Date</v>
      </c>
      <c r="C4630" s="19" t="str">
        <f>IF(ISBLANK(A4630),"Name",IF(ISNA(VLOOKUP(A4630,'Master List'!A:C,2,FALSE)), "Not Found", VLOOKUP(A4630,'Master List'!A:C,2,FALSE)))</f>
        <v>Name</v>
      </c>
      <c r="D4630" s="19" t="str">
        <f>IF(ISBLANK(A4630), "Email",IF(ISNA(VLOOKUP(A4630,'Master List'!A:C,3,FALSE)), "Not Found", VLOOKUP(A4630,'Master List'!A:C,3,FALSE)))</f>
        <v>Email</v>
      </c>
      <c r="F4630" s="4" t="str">
        <f>IF(OR(A4630="",E4630="","",A4630="?",E4630="?"),"duplicate?",IF(COUNTIFS($A:A,A4630,E:E,E4630)&gt;1,"yes","no"))</f>
        <v>duplicate?</v>
      </c>
      <c r="K4630" s="97" t="str">
        <f ca="1">IF(J4630="","Date",IF(J4630&lt;&gt;"",IF(K4630="Date",NOW(),K4630),""))</f>
        <v>Date</v>
      </c>
    </row>
    <row r="4631" spans="2:11">
      <c r="B4631" s="97" t="str">
        <f ca="1">IF(A4631="","Date",IF(A4631&lt;&gt;"",IF(B4631="Date",NOW(),B4631),""))</f>
        <v>Date</v>
      </c>
      <c r="C4631" s="19" t="str">
        <f>IF(ISBLANK(A4631),"Name",IF(ISNA(VLOOKUP(A4631,'Master List'!A:C,2,FALSE)), "Not Found", VLOOKUP(A4631,'Master List'!A:C,2,FALSE)))</f>
        <v>Name</v>
      </c>
      <c r="D4631" s="19" t="str">
        <f>IF(ISBLANK(A4631), "Email",IF(ISNA(VLOOKUP(A4631,'Master List'!A:C,3,FALSE)), "Not Found", VLOOKUP(A4631,'Master List'!A:C,3,FALSE)))</f>
        <v>Email</v>
      </c>
      <c r="F4631" s="4" t="str">
        <f>IF(OR(A4631="",E4631="","",A4631="?",E4631="?"),"duplicate?",IF(COUNTIFS($A:A,A4631,E:E,E4631)&gt;1,"yes","no"))</f>
        <v>duplicate?</v>
      </c>
      <c r="K4631" s="97" t="str">
        <f ca="1">IF(J4631="","Date",IF(J4631&lt;&gt;"",IF(K4631="Date",NOW(),K4631),""))</f>
        <v>Date</v>
      </c>
    </row>
    <row r="4632" spans="2:11">
      <c r="B4632" s="97" t="str">
        <f ca="1">IF(A4632="","Date",IF(A4632&lt;&gt;"",IF(B4632="Date",NOW(),B4632),""))</f>
        <v>Date</v>
      </c>
      <c r="C4632" s="19" t="str">
        <f>IF(ISBLANK(A4632),"Name",IF(ISNA(VLOOKUP(A4632,'Master List'!A:C,2,FALSE)), "Not Found", VLOOKUP(A4632,'Master List'!A:C,2,FALSE)))</f>
        <v>Name</v>
      </c>
      <c r="D4632" s="19" t="str">
        <f>IF(ISBLANK(A4632), "Email",IF(ISNA(VLOOKUP(A4632,'Master List'!A:C,3,FALSE)), "Not Found", VLOOKUP(A4632,'Master List'!A:C,3,FALSE)))</f>
        <v>Email</v>
      </c>
      <c r="F4632" s="4" t="str">
        <f>IF(OR(A4632="",E4632="","",A4632="?",E4632="?"),"duplicate?",IF(COUNTIFS($A:A,A4632,E:E,E4632)&gt;1,"yes","no"))</f>
        <v>duplicate?</v>
      </c>
      <c r="K4632" s="97" t="str">
        <f ca="1">IF(J4632="","Date",IF(J4632&lt;&gt;"",IF(K4632="Date",NOW(),K4632),""))</f>
        <v>Date</v>
      </c>
    </row>
    <row r="4633" spans="2:11">
      <c r="B4633" s="97" t="str">
        <f ca="1">IF(A4633="","Date",IF(A4633&lt;&gt;"",IF(B4633="Date",NOW(),B4633),""))</f>
        <v>Date</v>
      </c>
      <c r="C4633" s="19" t="str">
        <f>IF(ISBLANK(A4633),"Name",IF(ISNA(VLOOKUP(A4633,'Master List'!A:C,2,FALSE)), "Not Found", VLOOKUP(A4633,'Master List'!A:C,2,FALSE)))</f>
        <v>Name</v>
      </c>
      <c r="D4633" s="19" t="str">
        <f>IF(ISBLANK(A4633), "Email",IF(ISNA(VLOOKUP(A4633,'Master List'!A:C,3,FALSE)), "Not Found", VLOOKUP(A4633,'Master List'!A:C,3,FALSE)))</f>
        <v>Email</v>
      </c>
      <c r="F4633" s="4" t="str">
        <f>IF(OR(A4633="",E4633="","",A4633="?",E4633="?"),"duplicate?",IF(COUNTIFS($A:A,A4633,E:E,E4633)&gt;1,"yes","no"))</f>
        <v>duplicate?</v>
      </c>
      <c r="K4633" s="97" t="str">
        <f ca="1">IF(J4633="","Date",IF(J4633&lt;&gt;"",IF(K4633="Date",NOW(),K4633),""))</f>
        <v>Date</v>
      </c>
    </row>
    <row r="4634" spans="2:11">
      <c r="B4634" s="97" t="str">
        <f ca="1">IF(A4634="","Date",IF(A4634&lt;&gt;"",IF(B4634="Date",NOW(),B4634),""))</f>
        <v>Date</v>
      </c>
      <c r="C4634" s="19" t="str">
        <f>IF(ISBLANK(A4634),"Name",IF(ISNA(VLOOKUP(A4634,'Master List'!A:C,2,FALSE)), "Not Found", VLOOKUP(A4634,'Master List'!A:C,2,FALSE)))</f>
        <v>Name</v>
      </c>
      <c r="D4634" s="19" t="str">
        <f>IF(ISBLANK(A4634), "Email",IF(ISNA(VLOOKUP(A4634,'Master List'!A:C,3,FALSE)), "Not Found", VLOOKUP(A4634,'Master List'!A:C,3,FALSE)))</f>
        <v>Email</v>
      </c>
      <c r="F4634" s="4" t="str">
        <f>IF(OR(A4634="",E4634="","",A4634="?",E4634="?"),"duplicate?",IF(COUNTIFS($A:A,A4634,E:E,E4634)&gt;1,"yes","no"))</f>
        <v>duplicate?</v>
      </c>
      <c r="K4634" s="97" t="str">
        <f ca="1">IF(J4634="","Date",IF(J4634&lt;&gt;"",IF(K4634="Date",NOW(),K4634),""))</f>
        <v>Date</v>
      </c>
    </row>
    <row r="4635" spans="2:11">
      <c r="B4635" s="97" t="str">
        <f ca="1">IF(A4635="","Date",IF(A4635&lt;&gt;"",IF(B4635="Date",NOW(),B4635),""))</f>
        <v>Date</v>
      </c>
      <c r="C4635" s="19" t="str">
        <f>IF(ISBLANK(A4635),"Name",IF(ISNA(VLOOKUP(A4635,'Master List'!A:C,2,FALSE)), "Not Found", VLOOKUP(A4635,'Master List'!A:C,2,FALSE)))</f>
        <v>Name</v>
      </c>
      <c r="D4635" s="19" t="str">
        <f>IF(ISBLANK(A4635), "Email",IF(ISNA(VLOOKUP(A4635,'Master List'!A:C,3,FALSE)), "Not Found", VLOOKUP(A4635,'Master List'!A:C,3,FALSE)))</f>
        <v>Email</v>
      </c>
      <c r="F4635" s="4" t="str">
        <f>IF(OR(A4635="",E4635="","",A4635="?",E4635="?"),"duplicate?",IF(COUNTIFS($A:A,A4635,E:E,E4635)&gt;1,"yes","no"))</f>
        <v>duplicate?</v>
      </c>
      <c r="K4635" s="97" t="str">
        <f ca="1">IF(J4635="","Date",IF(J4635&lt;&gt;"",IF(K4635="Date",NOW(),K4635),""))</f>
        <v>Date</v>
      </c>
    </row>
    <row r="4636" spans="2:11">
      <c r="B4636" s="97" t="str">
        <f ca="1">IF(A4636="","Date",IF(A4636&lt;&gt;"",IF(B4636="Date",NOW(),B4636),""))</f>
        <v>Date</v>
      </c>
      <c r="C4636" s="19" t="str">
        <f>IF(ISBLANK(A4636),"Name",IF(ISNA(VLOOKUP(A4636,'Master List'!A:C,2,FALSE)), "Not Found", VLOOKUP(A4636,'Master List'!A:C,2,FALSE)))</f>
        <v>Name</v>
      </c>
      <c r="D4636" s="19" t="str">
        <f>IF(ISBLANK(A4636), "Email",IF(ISNA(VLOOKUP(A4636,'Master List'!A:C,3,FALSE)), "Not Found", VLOOKUP(A4636,'Master List'!A:C,3,FALSE)))</f>
        <v>Email</v>
      </c>
      <c r="F4636" s="4" t="str">
        <f>IF(OR(A4636="",E4636="","",A4636="?",E4636="?"),"duplicate?",IF(COUNTIFS($A:A,A4636,E:E,E4636)&gt;1,"yes","no"))</f>
        <v>duplicate?</v>
      </c>
      <c r="K4636" s="97" t="str">
        <f ca="1">IF(J4636="","Date",IF(J4636&lt;&gt;"",IF(K4636="Date",NOW(),K4636),""))</f>
        <v>Date</v>
      </c>
    </row>
    <row r="4637" spans="2:11">
      <c r="B4637" s="97" t="str">
        <f ca="1">IF(A4637="","Date",IF(A4637&lt;&gt;"",IF(B4637="Date",NOW(),B4637),""))</f>
        <v>Date</v>
      </c>
      <c r="C4637" s="19" t="str">
        <f>IF(ISBLANK(A4637),"Name",IF(ISNA(VLOOKUP(A4637,'Master List'!A:C,2,FALSE)), "Not Found", VLOOKUP(A4637,'Master List'!A:C,2,FALSE)))</f>
        <v>Name</v>
      </c>
      <c r="D4637" s="19" t="str">
        <f>IF(ISBLANK(A4637), "Email",IF(ISNA(VLOOKUP(A4637,'Master List'!A:C,3,FALSE)), "Not Found", VLOOKUP(A4637,'Master List'!A:C,3,FALSE)))</f>
        <v>Email</v>
      </c>
      <c r="F4637" s="4" t="str">
        <f>IF(OR(A4637="",E4637="","",A4637="?",E4637="?"),"duplicate?",IF(COUNTIFS($A:A,A4637,E:E,E4637)&gt;1,"yes","no"))</f>
        <v>duplicate?</v>
      </c>
      <c r="K4637" s="97" t="str">
        <f ca="1">IF(J4637="","Date",IF(J4637&lt;&gt;"",IF(K4637="Date",NOW(),K4637),""))</f>
        <v>Date</v>
      </c>
    </row>
    <row r="4638" spans="2:11">
      <c r="B4638" s="97" t="str">
        <f ca="1">IF(A4638="","Date",IF(A4638&lt;&gt;"",IF(B4638="Date",NOW(),B4638),""))</f>
        <v>Date</v>
      </c>
      <c r="C4638" s="19" t="str">
        <f>IF(ISBLANK(A4638),"Name",IF(ISNA(VLOOKUP(A4638,'Master List'!A:C,2,FALSE)), "Not Found", VLOOKUP(A4638,'Master List'!A:C,2,FALSE)))</f>
        <v>Name</v>
      </c>
      <c r="D4638" s="19" t="str">
        <f>IF(ISBLANK(A4638), "Email",IF(ISNA(VLOOKUP(A4638,'Master List'!A:C,3,FALSE)), "Not Found", VLOOKUP(A4638,'Master List'!A:C,3,FALSE)))</f>
        <v>Email</v>
      </c>
      <c r="F4638" s="4" t="str">
        <f>IF(OR(A4638="",E4638="","",A4638="?",E4638="?"),"duplicate?",IF(COUNTIFS($A:A,A4638,E:E,E4638)&gt;1,"yes","no"))</f>
        <v>duplicate?</v>
      </c>
      <c r="K4638" s="97" t="str">
        <f ca="1">IF(J4638="","Date",IF(J4638&lt;&gt;"",IF(K4638="Date",NOW(),K4638),""))</f>
        <v>Date</v>
      </c>
    </row>
    <row r="4639" spans="2:11">
      <c r="B4639" s="97" t="str">
        <f ca="1">IF(A4639="","Date",IF(A4639&lt;&gt;"",IF(B4639="Date",NOW(),B4639),""))</f>
        <v>Date</v>
      </c>
      <c r="C4639" s="19" t="str">
        <f>IF(ISBLANK(A4639),"Name",IF(ISNA(VLOOKUP(A4639,'Master List'!A:C,2,FALSE)), "Not Found", VLOOKUP(A4639,'Master List'!A:C,2,FALSE)))</f>
        <v>Name</v>
      </c>
      <c r="D4639" s="19" t="str">
        <f>IF(ISBLANK(A4639), "Email",IF(ISNA(VLOOKUP(A4639,'Master List'!A:C,3,FALSE)), "Not Found", VLOOKUP(A4639,'Master List'!A:C,3,FALSE)))</f>
        <v>Email</v>
      </c>
      <c r="F4639" s="4" t="str">
        <f>IF(OR(A4639="",E4639="","",A4639="?",E4639="?"),"duplicate?",IF(COUNTIFS($A:A,A4639,E:E,E4639)&gt;1,"yes","no"))</f>
        <v>duplicate?</v>
      </c>
      <c r="K4639" s="97" t="str">
        <f ca="1">IF(J4639="","Date",IF(J4639&lt;&gt;"",IF(K4639="Date",NOW(),K4639),""))</f>
        <v>Date</v>
      </c>
    </row>
    <row r="4640" spans="2:11">
      <c r="B4640" s="97" t="str">
        <f ca="1">IF(A4640="","Date",IF(A4640&lt;&gt;"",IF(B4640="Date",NOW(),B4640),""))</f>
        <v>Date</v>
      </c>
      <c r="C4640" s="19" t="str">
        <f>IF(ISBLANK(A4640),"Name",IF(ISNA(VLOOKUP(A4640,'Master List'!A:C,2,FALSE)), "Not Found", VLOOKUP(A4640,'Master List'!A:C,2,FALSE)))</f>
        <v>Name</v>
      </c>
      <c r="D4640" s="19" t="str">
        <f>IF(ISBLANK(A4640), "Email",IF(ISNA(VLOOKUP(A4640,'Master List'!A:C,3,FALSE)), "Not Found", VLOOKUP(A4640,'Master List'!A:C,3,FALSE)))</f>
        <v>Email</v>
      </c>
      <c r="F4640" s="4" t="str">
        <f>IF(OR(A4640="",E4640="","",A4640="?",E4640="?"),"duplicate?",IF(COUNTIFS($A:A,A4640,E:E,E4640)&gt;1,"yes","no"))</f>
        <v>duplicate?</v>
      </c>
      <c r="K4640" s="97" t="str">
        <f ca="1">IF(J4640="","Date",IF(J4640&lt;&gt;"",IF(K4640="Date",NOW(),K4640),""))</f>
        <v>Date</v>
      </c>
    </row>
    <row r="4641" spans="2:11">
      <c r="B4641" s="97" t="str">
        <f ca="1">IF(A4641="","Date",IF(A4641&lt;&gt;"",IF(B4641="Date",NOW(),B4641),""))</f>
        <v>Date</v>
      </c>
      <c r="C4641" s="19" t="str">
        <f>IF(ISBLANK(A4641),"Name",IF(ISNA(VLOOKUP(A4641,'Master List'!A:C,2,FALSE)), "Not Found", VLOOKUP(A4641,'Master List'!A:C,2,FALSE)))</f>
        <v>Name</v>
      </c>
      <c r="D4641" s="19" t="str">
        <f>IF(ISBLANK(A4641), "Email",IF(ISNA(VLOOKUP(A4641,'Master List'!A:C,3,FALSE)), "Not Found", VLOOKUP(A4641,'Master List'!A:C,3,FALSE)))</f>
        <v>Email</v>
      </c>
      <c r="F4641" s="4" t="str">
        <f>IF(OR(A4641="",E4641="","",A4641="?",E4641="?"),"duplicate?",IF(COUNTIFS($A:A,A4641,E:E,E4641)&gt;1,"yes","no"))</f>
        <v>duplicate?</v>
      </c>
      <c r="K4641" s="97" t="str">
        <f ca="1">IF(J4641="","Date",IF(J4641&lt;&gt;"",IF(K4641="Date",NOW(),K4641),""))</f>
        <v>Date</v>
      </c>
    </row>
    <row r="4642" spans="2:11">
      <c r="B4642" s="97" t="str">
        <f ca="1">IF(A4642="","Date",IF(A4642&lt;&gt;"",IF(B4642="Date",NOW(),B4642),""))</f>
        <v>Date</v>
      </c>
      <c r="C4642" s="19" t="str">
        <f>IF(ISBLANK(A4642),"Name",IF(ISNA(VLOOKUP(A4642,'Master List'!A:C,2,FALSE)), "Not Found", VLOOKUP(A4642,'Master List'!A:C,2,FALSE)))</f>
        <v>Name</v>
      </c>
      <c r="D4642" s="19" t="str">
        <f>IF(ISBLANK(A4642), "Email",IF(ISNA(VLOOKUP(A4642,'Master List'!A:C,3,FALSE)), "Not Found", VLOOKUP(A4642,'Master List'!A:C,3,FALSE)))</f>
        <v>Email</v>
      </c>
      <c r="F4642" s="4" t="str">
        <f>IF(OR(A4642="",E4642="","",A4642="?",E4642="?"),"duplicate?",IF(COUNTIFS($A:A,A4642,E:E,E4642)&gt;1,"yes","no"))</f>
        <v>duplicate?</v>
      </c>
      <c r="K4642" s="97" t="str">
        <f ca="1">IF(J4642="","Date",IF(J4642&lt;&gt;"",IF(K4642="Date",NOW(),K4642),""))</f>
        <v>Date</v>
      </c>
    </row>
    <row r="4643" spans="2:11">
      <c r="B4643" s="97" t="str">
        <f ca="1">IF(A4643="","Date",IF(A4643&lt;&gt;"",IF(B4643="Date",NOW(),B4643),""))</f>
        <v>Date</v>
      </c>
      <c r="C4643" s="19" t="str">
        <f>IF(ISBLANK(A4643),"Name",IF(ISNA(VLOOKUP(A4643,'Master List'!A:C,2,FALSE)), "Not Found", VLOOKUP(A4643,'Master List'!A:C,2,FALSE)))</f>
        <v>Name</v>
      </c>
      <c r="D4643" s="19" t="str">
        <f>IF(ISBLANK(A4643), "Email",IF(ISNA(VLOOKUP(A4643,'Master List'!A:C,3,FALSE)), "Not Found", VLOOKUP(A4643,'Master List'!A:C,3,FALSE)))</f>
        <v>Email</v>
      </c>
      <c r="F4643" s="4" t="str">
        <f>IF(OR(A4643="",E4643="","",A4643="?",E4643="?"),"duplicate?",IF(COUNTIFS($A:A,A4643,E:E,E4643)&gt;1,"yes","no"))</f>
        <v>duplicate?</v>
      </c>
      <c r="K4643" s="97" t="str">
        <f ca="1">IF(J4643="","Date",IF(J4643&lt;&gt;"",IF(K4643="Date",NOW(),K4643),""))</f>
        <v>Date</v>
      </c>
    </row>
    <row r="4644" spans="2:11">
      <c r="B4644" s="97" t="str">
        <f ca="1">IF(A4644="","Date",IF(A4644&lt;&gt;"",IF(B4644="Date",NOW(),B4644),""))</f>
        <v>Date</v>
      </c>
      <c r="C4644" s="19" t="str">
        <f>IF(ISBLANK(A4644),"Name",IF(ISNA(VLOOKUP(A4644,'Master List'!A:C,2,FALSE)), "Not Found", VLOOKUP(A4644,'Master List'!A:C,2,FALSE)))</f>
        <v>Name</v>
      </c>
      <c r="D4644" s="19" t="str">
        <f>IF(ISBLANK(A4644), "Email",IF(ISNA(VLOOKUP(A4644,'Master List'!A:C,3,FALSE)), "Not Found", VLOOKUP(A4644,'Master List'!A:C,3,FALSE)))</f>
        <v>Email</v>
      </c>
      <c r="F4644" s="4" t="str">
        <f>IF(OR(A4644="",E4644="","",A4644="?",E4644="?"),"duplicate?",IF(COUNTIFS($A:A,A4644,E:E,E4644)&gt;1,"yes","no"))</f>
        <v>duplicate?</v>
      </c>
      <c r="K4644" s="97" t="str">
        <f ca="1">IF(J4644="","Date",IF(J4644&lt;&gt;"",IF(K4644="Date",NOW(),K4644),""))</f>
        <v>Date</v>
      </c>
    </row>
    <row r="4645" spans="2:11">
      <c r="B4645" s="97" t="str">
        <f ca="1">IF(A4645="","Date",IF(A4645&lt;&gt;"",IF(B4645="Date",NOW(),B4645),""))</f>
        <v>Date</v>
      </c>
      <c r="C4645" s="19" t="str">
        <f>IF(ISBLANK(A4645),"Name",IF(ISNA(VLOOKUP(A4645,'Master List'!A:C,2,FALSE)), "Not Found", VLOOKUP(A4645,'Master List'!A:C,2,FALSE)))</f>
        <v>Name</v>
      </c>
      <c r="D4645" s="19" t="str">
        <f>IF(ISBLANK(A4645), "Email",IF(ISNA(VLOOKUP(A4645,'Master List'!A:C,3,FALSE)), "Not Found", VLOOKUP(A4645,'Master List'!A:C,3,FALSE)))</f>
        <v>Email</v>
      </c>
      <c r="F4645" s="4" t="str">
        <f>IF(OR(A4645="",E4645="","",A4645="?",E4645="?"),"duplicate?",IF(COUNTIFS($A:A,A4645,E:E,E4645)&gt;1,"yes","no"))</f>
        <v>duplicate?</v>
      </c>
      <c r="K4645" s="97" t="str">
        <f ca="1">IF(J4645="","Date",IF(J4645&lt;&gt;"",IF(K4645="Date",NOW(),K4645),""))</f>
        <v>Date</v>
      </c>
    </row>
    <row r="4646" spans="2:11">
      <c r="B4646" s="97" t="str">
        <f ca="1">IF(A4646="","Date",IF(A4646&lt;&gt;"",IF(B4646="Date",NOW(),B4646),""))</f>
        <v>Date</v>
      </c>
      <c r="C4646" s="19" t="str">
        <f>IF(ISBLANK(A4646),"Name",IF(ISNA(VLOOKUP(A4646,'Master List'!A:C,2,FALSE)), "Not Found", VLOOKUP(A4646,'Master List'!A:C,2,FALSE)))</f>
        <v>Name</v>
      </c>
      <c r="D4646" s="19" t="str">
        <f>IF(ISBLANK(A4646), "Email",IF(ISNA(VLOOKUP(A4646,'Master List'!A:C,3,FALSE)), "Not Found", VLOOKUP(A4646,'Master List'!A:C,3,FALSE)))</f>
        <v>Email</v>
      </c>
      <c r="F4646" s="4" t="str">
        <f>IF(OR(A4646="",E4646="","",A4646="?",E4646="?"),"duplicate?",IF(COUNTIFS($A:A,A4646,E:E,E4646)&gt;1,"yes","no"))</f>
        <v>duplicate?</v>
      </c>
      <c r="K4646" s="97" t="str">
        <f ca="1">IF(J4646="","Date",IF(J4646&lt;&gt;"",IF(K4646="Date",NOW(),K4646),""))</f>
        <v>Date</v>
      </c>
    </row>
    <row r="4647" spans="2:11">
      <c r="B4647" s="97" t="str">
        <f ca="1">IF(A4647="","Date",IF(A4647&lt;&gt;"",IF(B4647="Date",NOW(),B4647),""))</f>
        <v>Date</v>
      </c>
      <c r="C4647" s="19" t="str">
        <f>IF(ISBLANK(A4647),"Name",IF(ISNA(VLOOKUP(A4647,'Master List'!A:C,2,FALSE)), "Not Found", VLOOKUP(A4647,'Master List'!A:C,2,FALSE)))</f>
        <v>Name</v>
      </c>
      <c r="D4647" s="19" t="str">
        <f>IF(ISBLANK(A4647), "Email",IF(ISNA(VLOOKUP(A4647,'Master List'!A:C,3,FALSE)), "Not Found", VLOOKUP(A4647,'Master List'!A:C,3,FALSE)))</f>
        <v>Email</v>
      </c>
      <c r="F4647" s="4" t="str">
        <f>IF(OR(A4647="",E4647="","",A4647="?",E4647="?"),"duplicate?",IF(COUNTIFS($A:A,A4647,E:E,E4647)&gt;1,"yes","no"))</f>
        <v>duplicate?</v>
      </c>
      <c r="K4647" s="97" t="str">
        <f ca="1">IF(J4647="","Date",IF(J4647&lt;&gt;"",IF(K4647="Date",NOW(),K4647),""))</f>
        <v>Date</v>
      </c>
    </row>
    <row r="4648" spans="2:11">
      <c r="B4648" s="97" t="str">
        <f ca="1">IF(A4648="","Date",IF(A4648&lt;&gt;"",IF(B4648="Date",NOW(),B4648),""))</f>
        <v>Date</v>
      </c>
      <c r="C4648" s="19" t="str">
        <f>IF(ISBLANK(A4648),"Name",IF(ISNA(VLOOKUP(A4648,'Master List'!A:C,2,FALSE)), "Not Found", VLOOKUP(A4648,'Master List'!A:C,2,FALSE)))</f>
        <v>Name</v>
      </c>
      <c r="D4648" s="19" t="str">
        <f>IF(ISBLANK(A4648), "Email",IF(ISNA(VLOOKUP(A4648,'Master List'!A:C,3,FALSE)), "Not Found", VLOOKUP(A4648,'Master List'!A:C,3,FALSE)))</f>
        <v>Email</v>
      </c>
      <c r="F4648" s="4" t="str">
        <f>IF(OR(A4648="",E4648="","",A4648="?",E4648="?"),"duplicate?",IF(COUNTIFS($A:A,A4648,E:E,E4648)&gt;1,"yes","no"))</f>
        <v>duplicate?</v>
      </c>
      <c r="K4648" s="97" t="str">
        <f ca="1">IF(J4648="","Date",IF(J4648&lt;&gt;"",IF(K4648="Date",NOW(),K4648),""))</f>
        <v>Date</v>
      </c>
    </row>
    <row r="4649" spans="2:11">
      <c r="B4649" s="97" t="str">
        <f ca="1">IF(A4649="","Date",IF(A4649&lt;&gt;"",IF(B4649="Date",NOW(),B4649),""))</f>
        <v>Date</v>
      </c>
      <c r="C4649" s="19" t="str">
        <f>IF(ISBLANK(A4649),"Name",IF(ISNA(VLOOKUP(A4649,'Master List'!A:C,2,FALSE)), "Not Found", VLOOKUP(A4649,'Master List'!A:C,2,FALSE)))</f>
        <v>Name</v>
      </c>
      <c r="D4649" s="19" t="str">
        <f>IF(ISBLANK(A4649), "Email",IF(ISNA(VLOOKUP(A4649,'Master List'!A:C,3,FALSE)), "Not Found", VLOOKUP(A4649,'Master List'!A:C,3,FALSE)))</f>
        <v>Email</v>
      </c>
      <c r="F4649" s="4" t="str">
        <f>IF(OR(A4649="",E4649="","",A4649="?",E4649="?"),"duplicate?",IF(COUNTIFS($A:A,A4649,E:E,E4649)&gt;1,"yes","no"))</f>
        <v>duplicate?</v>
      </c>
      <c r="K4649" s="97" t="str">
        <f ca="1">IF(J4649="","Date",IF(J4649&lt;&gt;"",IF(K4649="Date",NOW(),K4649),""))</f>
        <v>Date</v>
      </c>
    </row>
    <row r="4650" spans="2:11">
      <c r="B4650" s="97" t="str">
        <f ca="1">IF(A4650="","Date",IF(A4650&lt;&gt;"",IF(B4650="Date",NOW(),B4650),""))</f>
        <v>Date</v>
      </c>
      <c r="C4650" s="19" t="str">
        <f>IF(ISBLANK(A4650),"Name",IF(ISNA(VLOOKUP(A4650,'Master List'!A:C,2,FALSE)), "Not Found", VLOOKUP(A4650,'Master List'!A:C,2,FALSE)))</f>
        <v>Name</v>
      </c>
      <c r="D4650" s="19" t="str">
        <f>IF(ISBLANK(A4650), "Email",IF(ISNA(VLOOKUP(A4650,'Master List'!A:C,3,FALSE)), "Not Found", VLOOKUP(A4650,'Master List'!A:C,3,FALSE)))</f>
        <v>Email</v>
      </c>
      <c r="F4650" s="4" t="str">
        <f>IF(OR(A4650="",E4650="","",A4650="?",E4650="?"),"duplicate?",IF(COUNTIFS($A:A,A4650,E:E,E4650)&gt;1,"yes","no"))</f>
        <v>duplicate?</v>
      </c>
      <c r="K4650" s="97" t="str">
        <f ca="1">IF(J4650="","Date",IF(J4650&lt;&gt;"",IF(K4650="Date",NOW(),K4650),""))</f>
        <v>Date</v>
      </c>
    </row>
    <row r="4651" spans="2:11">
      <c r="B4651" s="97" t="str">
        <f ca="1">IF(A4651="","Date",IF(A4651&lt;&gt;"",IF(B4651="Date",NOW(),B4651),""))</f>
        <v>Date</v>
      </c>
      <c r="C4651" s="19" t="str">
        <f>IF(ISBLANK(A4651),"Name",IF(ISNA(VLOOKUP(A4651,'Master List'!A:C,2,FALSE)), "Not Found", VLOOKUP(A4651,'Master List'!A:C,2,FALSE)))</f>
        <v>Name</v>
      </c>
      <c r="D4651" s="19" t="str">
        <f>IF(ISBLANK(A4651), "Email",IF(ISNA(VLOOKUP(A4651,'Master List'!A:C,3,FALSE)), "Not Found", VLOOKUP(A4651,'Master List'!A:C,3,FALSE)))</f>
        <v>Email</v>
      </c>
      <c r="F4651" s="4" t="str">
        <f>IF(OR(A4651="",E4651="","",A4651="?",E4651="?"),"duplicate?",IF(COUNTIFS($A:A,A4651,E:E,E4651)&gt;1,"yes","no"))</f>
        <v>duplicate?</v>
      </c>
      <c r="K4651" s="97" t="str">
        <f ca="1">IF(J4651="","Date",IF(J4651&lt;&gt;"",IF(K4651="Date",NOW(),K4651),""))</f>
        <v>Date</v>
      </c>
    </row>
    <row r="4652" spans="2:11">
      <c r="B4652" s="97" t="str">
        <f ca="1">IF(A4652="","Date",IF(A4652&lt;&gt;"",IF(B4652="Date",NOW(),B4652),""))</f>
        <v>Date</v>
      </c>
      <c r="C4652" s="19" t="str">
        <f>IF(ISBLANK(A4652),"Name",IF(ISNA(VLOOKUP(A4652,'Master List'!A:C,2,FALSE)), "Not Found", VLOOKUP(A4652,'Master List'!A:C,2,FALSE)))</f>
        <v>Name</v>
      </c>
      <c r="D4652" s="19" t="str">
        <f>IF(ISBLANK(A4652), "Email",IF(ISNA(VLOOKUP(A4652,'Master List'!A:C,3,FALSE)), "Not Found", VLOOKUP(A4652,'Master List'!A:C,3,FALSE)))</f>
        <v>Email</v>
      </c>
      <c r="F4652" s="4" t="str">
        <f>IF(OR(A4652="",E4652="","",A4652="?",E4652="?"),"duplicate?",IF(COUNTIFS($A:A,A4652,E:E,E4652)&gt;1,"yes","no"))</f>
        <v>duplicate?</v>
      </c>
      <c r="K4652" s="97" t="str">
        <f ca="1">IF(J4652="","Date",IF(J4652&lt;&gt;"",IF(K4652="Date",NOW(),K4652),""))</f>
        <v>Date</v>
      </c>
    </row>
    <row r="4653" spans="2:11">
      <c r="B4653" s="97" t="str">
        <f ca="1">IF(A4653="","Date",IF(A4653&lt;&gt;"",IF(B4653="Date",NOW(),B4653),""))</f>
        <v>Date</v>
      </c>
      <c r="C4653" s="19" t="str">
        <f>IF(ISBLANK(A4653),"Name",IF(ISNA(VLOOKUP(A4653,'Master List'!A:C,2,FALSE)), "Not Found", VLOOKUP(A4653,'Master List'!A:C,2,FALSE)))</f>
        <v>Name</v>
      </c>
      <c r="D4653" s="19" t="str">
        <f>IF(ISBLANK(A4653), "Email",IF(ISNA(VLOOKUP(A4653,'Master List'!A:C,3,FALSE)), "Not Found", VLOOKUP(A4653,'Master List'!A:C,3,FALSE)))</f>
        <v>Email</v>
      </c>
      <c r="F4653" s="4" t="str">
        <f>IF(OR(A4653="",E4653="","",A4653="?",E4653="?"),"duplicate?",IF(COUNTIFS($A:A,A4653,E:E,E4653)&gt;1,"yes","no"))</f>
        <v>duplicate?</v>
      </c>
      <c r="K4653" s="97" t="str">
        <f ca="1">IF(J4653="","Date",IF(J4653&lt;&gt;"",IF(K4653="Date",NOW(),K4653),""))</f>
        <v>Date</v>
      </c>
    </row>
    <row r="4654" spans="2:11">
      <c r="B4654" s="97" t="str">
        <f ca="1">IF(A4654="","Date",IF(A4654&lt;&gt;"",IF(B4654="Date",NOW(),B4654),""))</f>
        <v>Date</v>
      </c>
      <c r="C4654" s="19" t="str">
        <f>IF(ISBLANK(A4654),"Name",IF(ISNA(VLOOKUP(A4654,'Master List'!A:C,2,FALSE)), "Not Found", VLOOKUP(A4654,'Master List'!A:C,2,FALSE)))</f>
        <v>Name</v>
      </c>
      <c r="D4654" s="19" t="str">
        <f>IF(ISBLANK(A4654), "Email",IF(ISNA(VLOOKUP(A4654,'Master List'!A:C,3,FALSE)), "Not Found", VLOOKUP(A4654,'Master List'!A:C,3,FALSE)))</f>
        <v>Email</v>
      </c>
      <c r="F4654" s="4" t="str">
        <f>IF(OR(A4654="",E4654="","",A4654="?",E4654="?"),"duplicate?",IF(COUNTIFS($A:A,A4654,E:E,E4654)&gt;1,"yes","no"))</f>
        <v>duplicate?</v>
      </c>
      <c r="K4654" s="97" t="str">
        <f ca="1">IF(J4654="","Date",IF(J4654&lt;&gt;"",IF(K4654="Date",NOW(),K4654),""))</f>
        <v>Date</v>
      </c>
    </row>
    <row r="4655" spans="2:11">
      <c r="B4655" s="97" t="str">
        <f ca="1">IF(A4655="","Date",IF(A4655&lt;&gt;"",IF(B4655="Date",NOW(),B4655),""))</f>
        <v>Date</v>
      </c>
      <c r="C4655" s="19" t="str">
        <f>IF(ISBLANK(A4655),"Name",IF(ISNA(VLOOKUP(A4655,'Master List'!A:C,2,FALSE)), "Not Found", VLOOKUP(A4655,'Master List'!A:C,2,FALSE)))</f>
        <v>Name</v>
      </c>
      <c r="D4655" s="19" t="str">
        <f>IF(ISBLANK(A4655), "Email",IF(ISNA(VLOOKUP(A4655,'Master List'!A:C,3,FALSE)), "Not Found", VLOOKUP(A4655,'Master List'!A:C,3,FALSE)))</f>
        <v>Email</v>
      </c>
      <c r="F4655" s="4" t="str">
        <f>IF(OR(A4655="",E4655="","",A4655="?",E4655="?"),"duplicate?",IF(COUNTIFS($A:A,A4655,E:E,E4655)&gt;1,"yes","no"))</f>
        <v>duplicate?</v>
      </c>
      <c r="K4655" s="97" t="str">
        <f ca="1">IF(J4655="","Date",IF(J4655&lt;&gt;"",IF(K4655="Date",NOW(),K4655),""))</f>
        <v>Date</v>
      </c>
    </row>
    <row r="4656" spans="2:11">
      <c r="B4656" s="97" t="str">
        <f ca="1">IF(A4656="","Date",IF(A4656&lt;&gt;"",IF(B4656="Date",NOW(),B4656),""))</f>
        <v>Date</v>
      </c>
      <c r="C4656" s="19" t="str">
        <f>IF(ISBLANK(A4656),"Name",IF(ISNA(VLOOKUP(A4656,'Master List'!A:C,2,FALSE)), "Not Found", VLOOKUP(A4656,'Master List'!A:C,2,FALSE)))</f>
        <v>Name</v>
      </c>
      <c r="D4656" s="19" t="str">
        <f>IF(ISBLANK(A4656), "Email",IF(ISNA(VLOOKUP(A4656,'Master List'!A:C,3,FALSE)), "Not Found", VLOOKUP(A4656,'Master List'!A:C,3,FALSE)))</f>
        <v>Email</v>
      </c>
      <c r="F4656" s="4" t="str">
        <f>IF(OR(A4656="",E4656="","",A4656="?",E4656="?"),"duplicate?",IF(COUNTIFS($A:A,A4656,E:E,E4656)&gt;1,"yes","no"))</f>
        <v>duplicate?</v>
      </c>
      <c r="K4656" s="97" t="str">
        <f ca="1">IF(J4656="","Date",IF(J4656&lt;&gt;"",IF(K4656="Date",NOW(),K4656),""))</f>
        <v>Date</v>
      </c>
    </row>
    <row r="4657" spans="2:11">
      <c r="B4657" s="97" t="str">
        <f ca="1">IF(A4657="","Date",IF(A4657&lt;&gt;"",IF(B4657="Date",NOW(),B4657),""))</f>
        <v>Date</v>
      </c>
      <c r="C4657" s="19" t="str">
        <f>IF(ISBLANK(A4657),"Name",IF(ISNA(VLOOKUP(A4657,'Master List'!A:C,2,FALSE)), "Not Found", VLOOKUP(A4657,'Master List'!A:C,2,FALSE)))</f>
        <v>Name</v>
      </c>
      <c r="D4657" s="19" t="str">
        <f>IF(ISBLANK(A4657), "Email",IF(ISNA(VLOOKUP(A4657,'Master List'!A:C,3,FALSE)), "Not Found", VLOOKUP(A4657,'Master List'!A:C,3,FALSE)))</f>
        <v>Email</v>
      </c>
      <c r="F4657" s="4" t="str">
        <f>IF(OR(A4657="",E4657="","",A4657="?",E4657="?"),"duplicate?",IF(COUNTIFS($A:A,A4657,E:E,E4657)&gt;1,"yes","no"))</f>
        <v>duplicate?</v>
      </c>
      <c r="K4657" s="97" t="str">
        <f ca="1">IF(J4657="","Date",IF(J4657&lt;&gt;"",IF(K4657="Date",NOW(),K4657),""))</f>
        <v>Date</v>
      </c>
    </row>
    <row r="4658" spans="2:11">
      <c r="B4658" s="97" t="str">
        <f ca="1">IF(A4658="","Date",IF(A4658&lt;&gt;"",IF(B4658="Date",NOW(),B4658),""))</f>
        <v>Date</v>
      </c>
      <c r="C4658" s="19" t="str">
        <f>IF(ISBLANK(A4658),"Name",IF(ISNA(VLOOKUP(A4658,'Master List'!A:C,2,FALSE)), "Not Found", VLOOKUP(A4658,'Master List'!A:C,2,FALSE)))</f>
        <v>Name</v>
      </c>
      <c r="D4658" s="19" t="str">
        <f>IF(ISBLANK(A4658), "Email",IF(ISNA(VLOOKUP(A4658,'Master List'!A:C,3,FALSE)), "Not Found", VLOOKUP(A4658,'Master List'!A:C,3,FALSE)))</f>
        <v>Email</v>
      </c>
      <c r="F4658" s="4" t="str">
        <f>IF(OR(A4658="",E4658="","",A4658="?",E4658="?"),"duplicate?",IF(COUNTIFS($A:A,A4658,E:E,E4658)&gt;1,"yes","no"))</f>
        <v>duplicate?</v>
      </c>
      <c r="K4658" s="97" t="str">
        <f ca="1">IF(J4658="","Date",IF(J4658&lt;&gt;"",IF(K4658="Date",NOW(),K4658),""))</f>
        <v>Date</v>
      </c>
    </row>
    <row r="4659" spans="2:11">
      <c r="B4659" s="97" t="str">
        <f ca="1">IF(A4659="","Date",IF(A4659&lt;&gt;"",IF(B4659="Date",NOW(),B4659),""))</f>
        <v>Date</v>
      </c>
      <c r="C4659" s="19" t="str">
        <f>IF(ISBLANK(A4659),"Name",IF(ISNA(VLOOKUP(A4659,'Master List'!A:C,2,FALSE)), "Not Found", VLOOKUP(A4659,'Master List'!A:C,2,FALSE)))</f>
        <v>Name</v>
      </c>
      <c r="D4659" s="19" t="str">
        <f>IF(ISBLANK(A4659), "Email",IF(ISNA(VLOOKUP(A4659,'Master List'!A:C,3,FALSE)), "Not Found", VLOOKUP(A4659,'Master List'!A:C,3,FALSE)))</f>
        <v>Email</v>
      </c>
      <c r="F4659" s="4" t="str">
        <f>IF(OR(A4659="",E4659="","",A4659="?",E4659="?"),"duplicate?",IF(COUNTIFS($A:A,A4659,E:E,E4659)&gt;1,"yes","no"))</f>
        <v>duplicate?</v>
      </c>
      <c r="K4659" s="97" t="str">
        <f ca="1">IF(J4659="","Date",IF(J4659&lt;&gt;"",IF(K4659="Date",NOW(),K4659),""))</f>
        <v>Date</v>
      </c>
    </row>
    <row r="4660" spans="2:11">
      <c r="B4660" s="97" t="str">
        <f ca="1">IF(A4660="","Date",IF(A4660&lt;&gt;"",IF(B4660="Date",NOW(),B4660),""))</f>
        <v>Date</v>
      </c>
      <c r="C4660" s="19" t="str">
        <f>IF(ISBLANK(A4660),"Name",IF(ISNA(VLOOKUP(A4660,'Master List'!A:C,2,FALSE)), "Not Found", VLOOKUP(A4660,'Master List'!A:C,2,FALSE)))</f>
        <v>Name</v>
      </c>
      <c r="D4660" s="19" t="str">
        <f>IF(ISBLANK(A4660), "Email",IF(ISNA(VLOOKUP(A4660,'Master List'!A:C,3,FALSE)), "Not Found", VLOOKUP(A4660,'Master List'!A:C,3,FALSE)))</f>
        <v>Email</v>
      </c>
      <c r="F4660" s="4" t="str">
        <f>IF(OR(A4660="",E4660="","",A4660="?",E4660="?"),"duplicate?",IF(COUNTIFS($A:A,A4660,E:E,E4660)&gt;1,"yes","no"))</f>
        <v>duplicate?</v>
      </c>
      <c r="K4660" s="97" t="str">
        <f ca="1">IF(J4660="","Date",IF(J4660&lt;&gt;"",IF(K4660="Date",NOW(),K4660),""))</f>
        <v>Date</v>
      </c>
    </row>
    <row r="4661" spans="2:11">
      <c r="B4661" s="97" t="str">
        <f ca="1">IF(A4661="","Date",IF(A4661&lt;&gt;"",IF(B4661="Date",NOW(),B4661),""))</f>
        <v>Date</v>
      </c>
      <c r="C4661" s="19" t="str">
        <f>IF(ISBLANK(A4661),"Name",IF(ISNA(VLOOKUP(A4661,'Master List'!A:C,2,FALSE)), "Not Found", VLOOKUP(A4661,'Master List'!A:C,2,FALSE)))</f>
        <v>Name</v>
      </c>
      <c r="D4661" s="19" t="str">
        <f>IF(ISBLANK(A4661), "Email",IF(ISNA(VLOOKUP(A4661,'Master List'!A:C,3,FALSE)), "Not Found", VLOOKUP(A4661,'Master List'!A:C,3,FALSE)))</f>
        <v>Email</v>
      </c>
      <c r="F4661" s="4" t="str">
        <f>IF(OR(A4661="",E4661="","",A4661="?",E4661="?"),"duplicate?",IF(COUNTIFS($A:A,A4661,E:E,E4661)&gt;1,"yes","no"))</f>
        <v>duplicate?</v>
      </c>
      <c r="K4661" s="97" t="str">
        <f ca="1">IF(J4661="","Date",IF(J4661&lt;&gt;"",IF(K4661="Date",NOW(),K4661),""))</f>
        <v>Date</v>
      </c>
    </row>
    <row r="4662" spans="2:11">
      <c r="B4662" s="97" t="str">
        <f ca="1">IF(A4662="","Date",IF(A4662&lt;&gt;"",IF(B4662="Date",NOW(),B4662),""))</f>
        <v>Date</v>
      </c>
      <c r="C4662" s="19" t="str">
        <f>IF(ISBLANK(A4662),"Name",IF(ISNA(VLOOKUP(A4662,'Master List'!A:C,2,FALSE)), "Not Found", VLOOKUP(A4662,'Master List'!A:C,2,FALSE)))</f>
        <v>Name</v>
      </c>
      <c r="D4662" s="19" t="str">
        <f>IF(ISBLANK(A4662), "Email",IF(ISNA(VLOOKUP(A4662,'Master List'!A:C,3,FALSE)), "Not Found", VLOOKUP(A4662,'Master List'!A:C,3,FALSE)))</f>
        <v>Email</v>
      </c>
      <c r="F4662" s="4" t="str">
        <f>IF(OR(A4662="",E4662="","",A4662="?",E4662="?"),"duplicate?",IF(COUNTIFS($A:A,A4662,E:E,E4662)&gt;1,"yes","no"))</f>
        <v>duplicate?</v>
      </c>
      <c r="K4662" s="97" t="str">
        <f ca="1">IF(J4662="","Date",IF(J4662&lt;&gt;"",IF(K4662="Date",NOW(),K4662),""))</f>
        <v>Date</v>
      </c>
    </row>
    <row r="4663" spans="2:11">
      <c r="B4663" s="97" t="str">
        <f ca="1">IF(A4663="","Date",IF(A4663&lt;&gt;"",IF(B4663="Date",NOW(),B4663),""))</f>
        <v>Date</v>
      </c>
      <c r="C4663" s="19" t="str">
        <f>IF(ISBLANK(A4663),"Name",IF(ISNA(VLOOKUP(A4663,'Master List'!A:C,2,FALSE)), "Not Found", VLOOKUP(A4663,'Master List'!A:C,2,FALSE)))</f>
        <v>Name</v>
      </c>
      <c r="D4663" s="19" t="str">
        <f>IF(ISBLANK(A4663), "Email",IF(ISNA(VLOOKUP(A4663,'Master List'!A:C,3,FALSE)), "Not Found", VLOOKUP(A4663,'Master List'!A:C,3,FALSE)))</f>
        <v>Email</v>
      </c>
      <c r="F4663" s="4" t="str">
        <f>IF(OR(A4663="",E4663="","",A4663="?",E4663="?"),"duplicate?",IF(COUNTIFS($A:A,A4663,E:E,E4663)&gt;1,"yes","no"))</f>
        <v>duplicate?</v>
      </c>
      <c r="K4663" s="97" t="str">
        <f ca="1">IF(J4663="","Date",IF(J4663&lt;&gt;"",IF(K4663="Date",NOW(),K4663),""))</f>
        <v>Date</v>
      </c>
    </row>
    <row r="4664" spans="2:11">
      <c r="B4664" s="97" t="str">
        <f ca="1">IF(A4664="","Date",IF(A4664&lt;&gt;"",IF(B4664="Date",NOW(),B4664),""))</f>
        <v>Date</v>
      </c>
      <c r="C4664" s="19" t="str">
        <f>IF(ISBLANK(A4664),"Name",IF(ISNA(VLOOKUP(A4664,'Master List'!A:C,2,FALSE)), "Not Found", VLOOKUP(A4664,'Master List'!A:C,2,FALSE)))</f>
        <v>Name</v>
      </c>
      <c r="D4664" s="19" t="str">
        <f>IF(ISBLANK(A4664), "Email",IF(ISNA(VLOOKUP(A4664,'Master List'!A:C,3,FALSE)), "Not Found", VLOOKUP(A4664,'Master List'!A:C,3,FALSE)))</f>
        <v>Email</v>
      </c>
      <c r="F4664" s="4" t="str">
        <f>IF(OR(A4664="",E4664="","",A4664="?",E4664="?"),"duplicate?",IF(COUNTIFS($A:A,A4664,E:E,E4664)&gt;1,"yes","no"))</f>
        <v>duplicate?</v>
      </c>
      <c r="K4664" s="97" t="str">
        <f ca="1">IF(J4664="","Date",IF(J4664&lt;&gt;"",IF(K4664="Date",NOW(),K4664),""))</f>
        <v>Date</v>
      </c>
    </row>
    <row r="4665" spans="2:11">
      <c r="B4665" s="97" t="str">
        <f ca="1">IF(A4665="","Date",IF(A4665&lt;&gt;"",IF(B4665="Date",NOW(),B4665),""))</f>
        <v>Date</v>
      </c>
      <c r="C4665" s="19" t="str">
        <f>IF(ISBLANK(A4665),"Name",IF(ISNA(VLOOKUP(A4665,'Master List'!A:C,2,FALSE)), "Not Found", VLOOKUP(A4665,'Master List'!A:C,2,FALSE)))</f>
        <v>Name</v>
      </c>
      <c r="D4665" s="19" t="str">
        <f>IF(ISBLANK(A4665), "Email",IF(ISNA(VLOOKUP(A4665,'Master List'!A:C,3,FALSE)), "Not Found", VLOOKUP(A4665,'Master List'!A:C,3,FALSE)))</f>
        <v>Email</v>
      </c>
      <c r="F4665" s="4" t="str">
        <f>IF(OR(A4665="",E4665="","",A4665="?",E4665="?"),"duplicate?",IF(COUNTIFS($A:A,A4665,E:E,E4665)&gt;1,"yes","no"))</f>
        <v>duplicate?</v>
      </c>
      <c r="K4665" s="97" t="str">
        <f ca="1">IF(J4665="","Date",IF(J4665&lt;&gt;"",IF(K4665="Date",NOW(),K4665),""))</f>
        <v>Date</v>
      </c>
    </row>
    <row r="4666" spans="2:11">
      <c r="B4666" s="97" t="str">
        <f ca="1">IF(A4666="","Date",IF(A4666&lt;&gt;"",IF(B4666="Date",NOW(),B4666),""))</f>
        <v>Date</v>
      </c>
      <c r="C4666" s="19" t="str">
        <f>IF(ISBLANK(A4666),"Name",IF(ISNA(VLOOKUP(A4666,'Master List'!A:C,2,FALSE)), "Not Found", VLOOKUP(A4666,'Master List'!A:C,2,FALSE)))</f>
        <v>Name</v>
      </c>
      <c r="D4666" s="19" t="str">
        <f>IF(ISBLANK(A4666), "Email",IF(ISNA(VLOOKUP(A4666,'Master List'!A:C,3,FALSE)), "Not Found", VLOOKUP(A4666,'Master List'!A:C,3,FALSE)))</f>
        <v>Email</v>
      </c>
      <c r="F4666" s="4" t="str">
        <f>IF(OR(A4666="",E4666="","",A4666="?",E4666="?"),"duplicate?",IF(COUNTIFS($A:A,A4666,E:E,E4666)&gt;1,"yes","no"))</f>
        <v>duplicate?</v>
      </c>
      <c r="K4666" s="97" t="str">
        <f ca="1">IF(J4666="","Date",IF(J4666&lt;&gt;"",IF(K4666="Date",NOW(),K4666),""))</f>
        <v>Date</v>
      </c>
    </row>
    <row r="4667" spans="2:11">
      <c r="B4667" s="97" t="str">
        <f ca="1">IF(A4667="","Date",IF(A4667&lt;&gt;"",IF(B4667="Date",NOW(),B4667),""))</f>
        <v>Date</v>
      </c>
      <c r="C4667" s="19" t="str">
        <f>IF(ISBLANK(A4667),"Name",IF(ISNA(VLOOKUP(A4667,'Master List'!A:C,2,FALSE)), "Not Found", VLOOKUP(A4667,'Master List'!A:C,2,FALSE)))</f>
        <v>Name</v>
      </c>
      <c r="D4667" s="19" t="str">
        <f>IF(ISBLANK(A4667), "Email",IF(ISNA(VLOOKUP(A4667,'Master List'!A:C,3,FALSE)), "Not Found", VLOOKUP(A4667,'Master List'!A:C,3,FALSE)))</f>
        <v>Email</v>
      </c>
      <c r="F4667" s="4" t="str">
        <f>IF(OR(A4667="",E4667="","",A4667="?",E4667="?"),"duplicate?",IF(COUNTIFS($A:A,A4667,E:E,E4667)&gt;1,"yes","no"))</f>
        <v>duplicate?</v>
      </c>
      <c r="K4667" s="97" t="str">
        <f ca="1">IF(J4667="","Date",IF(J4667&lt;&gt;"",IF(K4667="Date",NOW(),K4667),""))</f>
        <v>Date</v>
      </c>
    </row>
    <row r="4668" spans="2:11">
      <c r="B4668" s="97" t="str">
        <f ca="1">IF(A4668="","Date",IF(A4668&lt;&gt;"",IF(B4668="Date",NOW(),B4668),""))</f>
        <v>Date</v>
      </c>
      <c r="C4668" s="19" t="str">
        <f>IF(ISBLANK(A4668),"Name",IF(ISNA(VLOOKUP(A4668,'Master List'!A:C,2,FALSE)), "Not Found", VLOOKUP(A4668,'Master List'!A:C,2,FALSE)))</f>
        <v>Name</v>
      </c>
      <c r="D4668" s="19" t="str">
        <f>IF(ISBLANK(A4668), "Email",IF(ISNA(VLOOKUP(A4668,'Master List'!A:C,3,FALSE)), "Not Found", VLOOKUP(A4668,'Master List'!A:C,3,FALSE)))</f>
        <v>Email</v>
      </c>
      <c r="F4668" s="4" t="str">
        <f>IF(OR(A4668="",E4668="","",A4668="?",E4668="?"),"duplicate?",IF(COUNTIFS($A:A,A4668,E:E,E4668)&gt;1,"yes","no"))</f>
        <v>duplicate?</v>
      </c>
      <c r="K4668" s="97" t="str">
        <f ca="1">IF(J4668="","Date",IF(J4668&lt;&gt;"",IF(K4668="Date",NOW(),K4668),""))</f>
        <v>Date</v>
      </c>
    </row>
    <row r="4669" spans="2:11">
      <c r="B4669" s="97" t="str">
        <f ca="1">IF(A4669="","Date",IF(A4669&lt;&gt;"",IF(B4669="Date",NOW(),B4669),""))</f>
        <v>Date</v>
      </c>
      <c r="C4669" s="19" t="str">
        <f>IF(ISBLANK(A4669),"Name",IF(ISNA(VLOOKUP(A4669,'Master List'!A:C,2,FALSE)), "Not Found", VLOOKUP(A4669,'Master List'!A:C,2,FALSE)))</f>
        <v>Name</v>
      </c>
      <c r="D4669" s="19" t="str">
        <f>IF(ISBLANK(A4669), "Email",IF(ISNA(VLOOKUP(A4669,'Master List'!A:C,3,FALSE)), "Not Found", VLOOKUP(A4669,'Master List'!A:C,3,FALSE)))</f>
        <v>Email</v>
      </c>
      <c r="F4669" s="4" t="str">
        <f>IF(OR(A4669="",E4669="","",A4669="?",E4669="?"),"duplicate?",IF(COUNTIFS($A:A,A4669,E:E,E4669)&gt;1,"yes","no"))</f>
        <v>duplicate?</v>
      </c>
      <c r="K4669" s="97" t="str">
        <f ca="1">IF(J4669="","Date",IF(J4669&lt;&gt;"",IF(K4669="Date",NOW(),K4669),""))</f>
        <v>Date</v>
      </c>
    </row>
    <row r="4670" spans="2:11">
      <c r="B4670" s="97" t="str">
        <f ca="1">IF(A4670="","Date",IF(A4670&lt;&gt;"",IF(B4670="Date",NOW(),B4670),""))</f>
        <v>Date</v>
      </c>
      <c r="C4670" s="19" t="str">
        <f>IF(ISBLANK(A4670),"Name",IF(ISNA(VLOOKUP(A4670,'Master List'!A:C,2,FALSE)), "Not Found", VLOOKUP(A4670,'Master List'!A:C,2,FALSE)))</f>
        <v>Name</v>
      </c>
      <c r="D4670" s="19" t="str">
        <f>IF(ISBLANK(A4670), "Email",IF(ISNA(VLOOKUP(A4670,'Master List'!A:C,3,FALSE)), "Not Found", VLOOKUP(A4670,'Master List'!A:C,3,FALSE)))</f>
        <v>Email</v>
      </c>
      <c r="F4670" s="4" t="str">
        <f>IF(OR(A4670="",E4670="","",A4670="?",E4670="?"),"duplicate?",IF(COUNTIFS($A:A,A4670,E:E,E4670)&gt;1,"yes","no"))</f>
        <v>duplicate?</v>
      </c>
      <c r="K4670" s="97" t="str">
        <f ca="1">IF(J4670="","Date",IF(J4670&lt;&gt;"",IF(K4670="Date",NOW(),K4670),""))</f>
        <v>Date</v>
      </c>
    </row>
    <row r="4671" spans="2:11">
      <c r="B4671" s="97" t="str">
        <f ca="1">IF(A4671="","Date",IF(A4671&lt;&gt;"",IF(B4671="Date",NOW(),B4671),""))</f>
        <v>Date</v>
      </c>
      <c r="C4671" s="19" t="str">
        <f>IF(ISBLANK(A4671),"Name",IF(ISNA(VLOOKUP(A4671,'Master List'!A:C,2,FALSE)), "Not Found", VLOOKUP(A4671,'Master List'!A:C,2,FALSE)))</f>
        <v>Name</v>
      </c>
      <c r="D4671" s="19" t="str">
        <f>IF(ISBLANK(A4671), "Email",IF(ISNA(VLOOKUP(A4671,'Master List'!A:C,3,FALSE)), "Not Found", VLOOKUP(A4671,'Master List'!A:C,3,FALSE)))</f>
        <v>Email</v>
      </c>
      <c r="F4671" s="4" t="str">
        <f>IF(OR(A4671="",E4671="","",A4671="?",E4671="?"),"duplicate?",IF(COUNTIFS($A:A,A4671,E:E,E4671)&gt;1,"yes","no"))</f>
        <v>duplicate?</v>
      </c>
      <c r="K4671" s="97" t="str">
        <f ca="1">IF(J4671="","Date",IF(J4671&lt;&gt;"",IF(K4671="Date",NOW(),K4671),""))</f>
        <v>Date</v>
      </c>
    </row>
    <row r="4672" spans="2:11">
      <c r="B4672" s="97" t="str">
        <f ca="1">IF(A4672="","Date",IF(A4672&lt;&gt;"",IF(B4672="Date",NOW(),B4672),""))</f>
        <v>Date</v>
      </c>
      <c r="C4672" s="19" t="str">
        <f>IF(ISBLANK(A4672),"Name",IF(ISNA(VLOOKUP(A4672,'Master List'!A:C,2,FALSE)), "Not Found", VLOOKUP(A4672,'Master List'!A:C,2,FALSE)))</f>
        <v>Name</v>
      </c>
      <c r="D4672" s="19" t="str">
        <f>IF(ISBLANK(A4672), "Email",IF(ISNA(VLOOKUP(A4672,'Master List'!A:C,3,FALSE)), "Not Found", VLOOKUP(A4672,'Master List'!A:C,3,FALSE)))</f>
        <v>Email</v>
      </c>
      <c r="F4672" s="4" t="str">
        <f>IF(OR(A4672="",E4672="","",A4672="?",E4672="?"),"duplicate?",IF(COUNTIFS($A:A,A4672,E:E,E4672)&gt;1,"yes","no"))</f>
        <v>duplicate?</v>
      </c>
      <c r="K4672" s="97" t="str">
        <f ca="1">IF(J4672="","Date",IF(J4672&lt;&gt;"",IF(K4672="Date",NOW(),K4672),""))</f>
        <v>Date</v>
      </c>
    </row>
    <row r="4673" spans="2:11">
      <c r="B4673" s="97" t="str">
        <f ca="1">IF(A4673="","Date",IF(A4673&lt;&gt;"",IF(B4673="Date",NOW(),B4673),""))</f>
        <v>Date</v>
      </c>
      <c r="C4673" s="19" t="str">
        <f>IF(ISBLANK(A4673),"Name",IF(ISNA(VLOOKUP(A4673,'Master List'!A:C,2,FALSE)), "Not Found", VLOOKUP(A4673,'Master List'!A:C,2,FALSE)))</f>
        <v>Name</v>
      </c>
      <c r="D4673" s="19" t="str">
        <f>IF(ISBLANK(A4673), "Email",IF(ISNA(VLOOKUP(A4673,'Master List'!A:C,3,FALSE)), "Not Found", VLOOKUP(A4673,'Master List'!A:C,3,FALSE)))</f>
        <v>Email</v>
      </c>
      <c r="F4673" s="4" t="str">
        <f>IF(OR(A4673="",E4673="","",A4673="?",E4673="?"),"duplicate?",IF(COUNTIFS($A:A,A4673,E:E,E4673)&gt;1,"yes","no"))</f>
        <v>duplicate?</v>
      </c>
      <c r="K4673" s="97" t="str">
        <f ca="1">IF(J4673="","Date",IF(J4673&lt;&gt;"",IF(K4673="Date",NOW(),K4673),""))</f>
        <v>Date</v>
      </c>
    </row>
    <row r="4674" spans="2:11">
      <c r="B4674" s="97" t="str">
        <f ca="1">IF(A4674="","Date",IF(A4674&lt;&gt;"",IF(B4674="Date",NOW(),B4674),""))</f>
        <v>Date</v>
      </c>
      <c r="C4674" s="19" t="str">
        <f>IF(ISBLANK(A4674),"Name",IF(ISNA(VLOOKUP(A4674,'Master List'!A:C,2,FALSE)), "Not Found", VLOOKUP(A4674,'Master List'!A:C,2,FALSE)))</f>
        <v>Name</v>
      </c>
      <c r="D4674" s="19" t="str">
        <f>IF(ISBLANK(A4674), "Email",IF(ISNA(VLOOKUP(A4674,'Master List'!A:C,3,FALSE)), "Not Found", VLOOKUP(A4674,'Master List'!A:C,3,FALSE)))</f>
        <v>Email</v>
      </c>
      <c r="F4674" s="4" t="str">
        <f>IF(OR(A4674="",E4674="","",A4674="?",E4674="?"),"duplicate?",IF(COUNTIFS($A:A,A4674,E:E,E4674)&gt;1,"yes","no"))</f>
        <v>duplicate?</v>
      </c>
      <c r="K4674" s="97" t="str">
        <f ca="1">IF(J4674="","Date",IF(J4674&lt;&gt;"",IF(K4674="Date",NOW(),K4674),""))</f>
        <v>Date</v>
      </c>
    </row>
    <row r="4675" spans="2:11">
      <c r="B4675" s="97" t="str">
        <f ca="1">IF(A4675="","Date",IF(A4675&lt;&gt;"",IF(B4675="Date",NOW(),B4675),""))</f>
        <v>Date</v>
      </c>
      <c r="C4675" s="19" t="str">
        <f>IF(ISBLANK(A4675),"Name",IF(ISNA(VLOOKUP(A4675,'Master List'!A:C,2,FALSE)), "Not Found", VLOOKUP(A4675,'Master List'!A:C,2,FALSE)))</f>
        <v>Name</v>
      </c>
      <c r="D4675" s="19" t="str">
        <f>IF(ISBLANK(A4675), "Email",IF(ISNA(VLOOKUP(A4675,'Master List'!A:C,3,FALSE)), "Not Found", VLOOKUP(A4675,'Master List'!A:C,3,FALSE)))</f>
        <v>Email</v>
      </c>
      <c r="F4675" s="4" t="str">
        <f>IF(OR(A4675="",E4675="","",A4675="?",E4675="?"),"duplicate?",IF(COUNTIFS($A:A,A4675,E:E,E4675)&gt;1,"yes","no"))</f>
        <v>duplicate?</v>
      </c>
      <c r="K4675" s="97" t="str">
        <f ca="1">IF(J4675="","Date",IF(J4675&lt;&gt;"",IF(K4675="Date",NOW(),K4675),""))</f>
        <v>Date</v>
      </c>
    </row>
    <row r="4676" spans="2:11">
      <c r="B4676" s="97" t="str">
        <f ca="1">IF(A4676="","Date",IF(A4676&lt;&gt;"",IF(B4676="Date",NOW(),B4676),""))</f>
        <v>Date</v>
      </c>
      <c r="C4676" s="19" t="str">
        <f>IF(ISBLANK(A4676),"Name",IF(ISNA(VLOOKUP(A4676,'Master List'!A:C,2,FALSE)), "Not Found", VLOOKUP(A4676,'Master List'!A:C,2,FALSE)))</f>
        <v>Name</v>
      </c>
      <c r="D4676" s="19" t="str">
        <f>IF(ISBLANK(A4676), "Email",IF(ISNA(VLOOKUP(A4676,'Master List'!A:C,3,FALSE)), "Not Found", VLOOKUP(A4676,'Master List'!A:C,3,FALSE)))</f>
        <v>Email</v>
      </c>
      <c r="F4676" s="4" t="str">
        <f>IF(OR(A4676="",E4676="","",A4676="?",E4676="?"),"duplicate?",IF(COUNTIFS($A:A,A4676,E:E,E4676)&gt;1,"yes","no"))</f>
        <v>duplicate?</v>
      </c>
      <c r="K4676" s="97" t="str">
        <f ca="1">IF(J4676="","Date",IF(J4676&lt;&gt;"",IF(K4676="Date",NOW(),K4676),""))</f>
        <v>Date</v>
      </c>
    </row>
    <row r="4677" spans="2:11">
      <c r="B4677" s="97" t="str">
        <f ca="1">IF(A4677="","Date",IF(A4677&lt;&gt;"",IF(B4677="Date",NOW(),B4677),""))</f>
        <v>Date</v>
      </c>
      <c r="C4677" s="19" t="str">
        <f>IF(ISBLANK(A4677),"Name",IF(ISNA(VLOOKUP(A4677,'Master List'!A:C,2,FALSE)), "Not Found", VLOOKUP(A4677,'Master List'!A:C,2,FALSE)))</f>
        <v>Name</v>
      </c>
      <c r="D4677" s="19" t="str">
        <f>IF(ISBLANK(A4677), "Email",IF(ISNA(VLOOKUP(A4677,'Master List'!A:C,3,FALSE)), "Not Found", VLOOKUP(A4677,'Master List'!A:C,3,FALSE)))</f>
        <v>Email</v>
      </c>
      <c r="F4677" s="4" t="str">
        <f>IF(OR(A4677="",E4677="","",A4677="?",E4677="?"),"duplicate?",IF(COUNTIFS($A:A,A4677,E:E,E4677)&gt;1,"yes","no"))</f>
        <v>duplicate?</v>
      </c>
      <c r="K4677" s="97" t="str">
        <f ca="1">IF(J4677="","Date",IF(J4677&lt;&gt;"",IF(K4677="Date",NOW(),K4677),""))</f>
        <v>Date</v>
      </c>
    </row>
    <row r="4678" spans="2:11">
      <c r="B4678" s="97" t="str">
        <f ca="1">IF(A4678="","Date",IF(A4678&lt;&gt;"",IF(B4678="Date",NOW(),B4678),""))</f>
        <v>Date</v>
      </c>
      <c r="C4678" s="19" t="str">
        <f>IF(ISBLANK(A4678),"Name",IF(ISNA(VLOOKUP(A4678,'Master List'!A:C,2,FALSE)), "Not Found", VLOOKUP(A4678,'Master List'!A:C,2,FALSE)))</f>
        <v>Name</v>
      </c>
      <c r="D4678" s="19" t="str">
        <f>IF(ISBLANK(A4678), "Email",IF(ISNA(VLOOKUP(A4678,'Master List'!A:C,3,FALSE)), "Not Found", VLOOKUP(A4678,'Master List'!A:C,3,FALSE)))</f>
        <v>Email</v>
      </c>
      <c r="F4678" s="4" t="str">
        <f>IF(OR(A4678="",E4678="","",A4678="?",E4678="?"),"duplicate?",IF(COUNTIFS($A:A,A4678,E:E,E4678)&gt;1,"yes","no"))</f>
        <v>duplicate?</v>
      </c>
      <c r="K4678" s="97" t="str">
        <f ca="1">IF(J4678="","Date",IF(J4678&lt;&gt;"",IF(K4678="Date",NOW(),K4678),""))</f>
        <v>Date</v>
      </c>
    </row>
    <row r="4679" spans="2:11">
      <c r="B4679" s="97" t="str">
        <f ca="1">IF(A4679="","Date",IF(A4679&lt;&gt;"",IF(B4679="Date",NOW(),B4679),""))</f>
        <v>Date</v>
      </c>
      <c r="C4679" s="19" t="str">
        <f>IF(ISBLANK(A4679),"Name",IF(ISNA(VLOOKUP(A4679,'Master List'!A:C,2,FALSE)), "Not Found", VLOOKUP(A4679,'Master List'!A:C,2,FALSE)))</f>
        <v>Name</v>
      </c>
      <c r="D4679" s="19" t="str">
        <f>IF(ISBLANK(A4679), "Email",IF(ISNA(VLOOKUP(A4679,'Master List'!A:C,3,FALSE)), "Not Found", VLOOKUP(A4679,'Master List'!A:C,3,FALSE)))</f>
        <v>Email</v>
      </c>
      <c r="F4679" s="4" t="str">
        <f>IF(OR(A4679="",E4679="","",A4679="?",E4679="?"),"duplicate?",IF(COUNTIFS($A:A,A4679,E:E,E4679)&gt;1,"yes","no"))</f>
        <v>duplicate?</v>
      </c>
      <c r="K4679" s="97" t="str">
        <f ca="1">IF(J4679="","Date",IF(J4679&lt;&gt;"",IF(K4679="Date",NOW(),K4679),""))</f>
        <v>Date</v>
      </c>
    </row>
    <row r="4680" spans="2:11">
      <c r="B4680" s="97" t="str">
        <f ca="1">IF(A4680="","Date",IF(A4680&lt;&gt;"",IF(B4680="Date",NOW(),B4680),""))</f>
        <v>Date</v>
      </c>
      <c r="C4680" s="19" t="str">
        <f>IF(ISBLANK(A4680),"Name",IF(ISNA(VLOOKUP(A4680,'Master List'!A:C,2,FALSE)), "Not Found", VLOOKUP(A4680,'Master List'!A:C,2,FALSE)))</f>
        <v>Name</v>
      </c>
      <c r="D4680" s="19" t="str">
        <f>IF(ISBLANK(A4680), "Email",IF(ISNA(VLOOKUP(A4680,'Master List'!A:C,3,FALSE)), "Not Found", VLOOKUP(A4680,'Master List'!A:C,3,FALSE)))</f>
        <v>Email</v>
      </c>
      <c r="F4680" s="4" t="str">
        <f>IF(OR(A4680="",E4680="","",A4680="?",E4680="?"),"duplicate?",IF(COUNTIFS($A:A,A4680,E:E,E4680)&gt;1,"yes","no"))</f>
        <v>duplicate?</v>
      </c>
      <c r="K4680" s="97" t="str">
        <f ca="1">IF(J4680="","Date",IF(J4680&lt;&gt;"",IF(K4680="Date",NOW(),K4680),""))</f>
        <v>Date</v>
      </c>
    </row>
    <row r="4681" spans="2:11">
      <c r="B4681" s="97" t="str">
        <f ca="1">IF(A4681="","Date",IF(A4681&lt;&gt;"",IF(B4681="Date",NOW(),B4681),""))</f>
        <v>Date</v>
      </c>
      <c r="C4681" s="19" t="str">
        <f>IF(ISBLANK(A4681),"Name",IF(ISNA(VLOOKUP(A4681,'Master List'!A:C,2,FALSE)), "Not Found", VLOOKUP(A4681,'Master List'!A:C,2,FALSE)))</f>
        <v>Name</v>
      </c>
      <c r="D4681" s="19" t="str">
        <f>IF(ISBLANK(A4681), "Email",IF(ISNA(VLOOKUP(A4681,'Master List'!A:C,3,FALSE)), "Not Found", VLOOKUP(A4681,'Master List'!A:C,3,FALSE)))</f>
        <v>Email</v>
      </c>
      <c r="F4681" s="4" t="str">
        <f>IF(OR(A4681="",E4681="","",A4681="?",E4681="?"),"duplicate?",IF(COUNTIFS($A:A,A4681,E:E,E4681)&gt;1,"yes","no"))</f>
        <v>duplicate?</v>
      </c>
      <c r="K4681" s="97" t="str">
        <f ca="1">IF(J4681="","Date",IF(J4681&lt;&gt;"",IF(K4681="Date",NOW(),K4681),""))</f>
        <v>Date</v>
      </c>
    </row>
    <row r="4682" spans="2:11">
      <c r="B4682" s="97" t="str">
        <f ca="1">IF(A4682="","Date",IF(A4682&lt;&gt;"",IF(B4682="Date",NOW(),B4682),""))</f>
        <v>Date</v>
      </c>
      <c r="C4682" s="19" t="str">
        <f>IF(ISBLANK(A4682),"Name",IF(ISNA(VLOOKUP(A4682,'Master List'!A:C,2,FALSE)), "Not Found", VLOOKUP(A4682,'Master List'!A:C,2,FALSE)))</f>
        <v>Name</v>
      </c>
      <c r="D4682" s="19" t="str">
        <f>IF(ISBLANK(A4682), "Email",IF(ISNA(VLOOKUP(A4682,'Master List'!A:C,3,FALSE)), "Not Found", VLOOKUP(A4682,'Master List'!A:C,3,FALSE)))</f>
        <v>Email</v>
      </c>
      <c r="F4682" s="4" t="str">
        <f>IF(OR(A4682="",E4682="","",A4682="?",E4682="?"),"duplicate?",IF(COUNTIFS($A:A,A4682,E:E,E4682)&gt;1,"yes","no"))</f>
        <v>duplicate?</v>
      </c>
      <c r="K4682" s="97" t="str">
        <f ca="1">IF(J4682="","Date",IF(J4682&lt;&gt;"",IF(K4682="Date",NOW(),K4682),""))</f>
        <v>Date</v>
      </c>
    </row>
    <row r="4683" spans="2:11">
      <c r="B4683" s="97" t="str">
        <f ca="1">IF(A4683="","Date",IF(A4683&lt;&gt;"",IF(B4683="Date",NOW(),B4683),""))</f>
        <v>Date</v>
      </c>
      <c r="C4683" s="19" t="str">
        <f>IF(ISBLANK(A4683),"Name",IF(ISNA(VLOOKUP(A4683,'Master List'!A:C,2,FALSE)), "Not Found", VLOOKUP(A4683,'Master List'!A:C,2,FALSE)))</f>
        <v>Name</v>
      </c>
      <c r="D4683" s="19" t="str">
        <f>IF(ISBLANK(A4683), "Email",IF(ISNA(VLOOKUP(A4683,'Master List'!A:C,3,FALSE)), "Not Found", VLOOKUP(A4683,'Master List'!A:C,3,FALSE)))</f>
        <v>Email</v>
      </c>
      <c r="F4683" s="4" t="str">
        <f>IF(OR(A4683="",E4683="","",A4683="?",E4683="?"),"duplicate?",IF(COUNTIFS($A:A,A4683,E:E,E4683)&gt;1,"yes","no"))</f>
        <v>duplicate?</v>
      </c>
      <c r="K4683" s="97" t="str">
        <f ca="1">IF(J4683="","Date",IF(J4683&lt;&gt;"",IF(K4683="Date",NOW(),K4683),""))</f>
        <v>Date</v>
      </c>
    </row>
    <row r="4684" spans="2:11">
      <c r="B4684" s="97" t="str">
        <f ca="1">IF(A4684="","Date",IF(A4684&lt;&gt;"",IF(B4684="Date",NOW(),B4684),""))</f>
        <v>Date</v>
      </c>
      <c r="C4684" s="19" t="str">
        <f>IF(ISBLANK(A4684),"Name",IF(ISNA(VLOOKUP(A4684,'Master List'!A:C,2,FALSE)), "Not Found", VLOOKUP(A4684,'Master List'!A:C,2,FALSE)))</f>
        <v>Name</v>
      </c>
      <c r="D4684" s="19" t="str">
        <f>IF(ISBLANK(A4684), "Email",IF(ISNA(VLOOKUP(A4684,'Master List'!A:C,3,FALSE)), "Not Found", VLOOKUP(A4684,'Master List'!A:C,3,FALSE)))</f>
        <v>Email</v>
      </c>
      <c r="F4684" s="4" t="str">
        <f>IF(OR(A4684="",E4684="","",A4684="?",E4684="?"),"duplicate?",IF(COUNTIFS($A:A,A4684,E:E,E4684)&gt;1,"yes","no"))</f>
        <v>duplicate?</v>
      </c>
      <c r="K4684" s="97" t="str">
        <f ca="1">IF(J4684="","Date",IF(J4684&lt;&gt;"",IF(K4684="Date",NOW(),K4684),""))</f>
        <v>Date</v>
      </c>
    </row>
    <row r="4685" spans="2:11">
      <c r="B4685" s="97" t="str">
        <f ca="1">IF(A4685="","Date",IF(A4685&lt;&gt;"",IF(B4685="Date",NOW(),B4685),""))</f>
        <v>Date</v>
      </c>
      <c r="C4685" s="19" t="str">
        <f>IF(ISBLANK(A4685),"Name",IF(ISNA(VLOOKUP(A4685,'Master List'!A:C,2,FALSE)), "Not Found", VLOOKUP(A4685,'Master List'!A:C,2,FALSE)))</f>
        <v>Name</v>
      </c>
      <c r="D4685" s="19" t="str">
        <f>IF(ISBLANK(A4685), "Email",IF(ISNA(VLOOKUP(A4685,'Master List'!A:C,3,FALSE)), "Not Found", VLOOKUP(A4685,'Master List'!A:C,3,FALSE)))</f>
        <v>Email</v>
      </c>
      <c r="F4685" s="4" t="str">
        <f>IF(OR(A4685="",E4685="","",A4685="?",E4685="?"),"duplicate?",IF(COUNTIFS($A:A,A4685,E:E,E4685)&gt;1,"yes","no"))</f>
        <v>duplicate?</v>
      </c>
      <c r="K4685" s="97" t="str">
        <f ca="1">IF(J4685="","Date",IF(J4685&lt;&gt;"",IF(K4685="Date",NOW(),K4685),""))</f>
        <v>Date</v>
      </c>
    </row>
    <row r="4686" spans="2:11">
      <c r="B4686" s="97" t="str">
        <f ca="1">IF(A4686="","Date",IF(A4686&lt;&gt;"",IF(B4686="Date",NOW(),B4686),""))</f>
        <v>Date</v>
      </c>
      <c r="C4686" s="19" t="str">
        <f>IF(ISBLANK(A4686),"Name",IF(ISNA(VLOOKUP(A4686,'Master List'!A:C,2,FALSE)), "Not Found", VLOOKUP(A4686,'Master List'!A:C,2,FALSE)))</f>
        <v>Name</v>
      </c>
      <c r="D4686" s="19" t="str">
        <f>IF(ISBLANK(A4686), "Email",IF(ISNA(VLOOKUP(A4686,'Master List'!A:C,3,FALSE)), "Not Found", VLOOKUP(A4686,'Master List'!A:C,3,FALSE)))</f>
        <v>Email</v>
      </c>
      <c r="F4686" s="4" t="str">
        <f>IF(OR(A4686="",E4686="","",A4686="?",E4686="?"),"duplicate?",IF(COUNTIFS($A:A,A4686,E:E,E4686)&gt;1,"yes","no"))</f>
        <v>duplicate?</v>
      </c>
      <c r="K4686" s="97" t="str">
        <f ca="1">IF(J4686="","Date",IF(J4686&lt;&gt;"",IF(K4686="Date",NOW(),K4686),""))</f>
        <v>Date</v>
      </c>
    </row>
    <row r="4687" spans="2:11">
      <c r="B4687" s="97" t="str">
        <f ca="1">IF(A4687="","Date",IF(A4687&lt;&gt;"",IF(B4687="Date",NOW(),B4687),""))</f>
        <v>Date</v>
      </c>
      <c r="C4687" s="19" t="str">
        <f>IF(ISBLANK(A4687),"Name",IF(ISNA(VLOOKUP(A4687,'Master List'!A:C,2,FALSE)), "Not Found", VLOOKUP(A4687,'Master List'!A:C,2,FALSE)))</f>
        <v>Name</v>
      </c>
      <c r="D4687" s="19" t="str">
        <f>IF(ISBLANK(A4687), "Email",IF(ISNA(VLOOKUP(A4687,'Master List'!A:C,3,FALSE)), "Not Found", VLOOKUP(A4687,'Master List'!A:C,3,FALSE)))</f>
        <v>Email</v>
      </c>
      <c r="F4687" s="4" t="str">
        <f>IF(OR(A4687="",E4687="","",A4687="?",E4687="?"),"duplicate?",IF(COUNTIFS($A:A,A4687,E:E,E4687)&gt;1,"yes","no"))</f>
        <v>duplicate?</v>
      </c>
      <c r="K4687" s="97" t="str">
        <f ca="1">IF(J4687="","Date",IF(J4687&lt;&gt;"",IF(K4687="Date",NOW(),K4687),""))</f>
        <v>Date</v>
      </c>
    </row>
    <row r="4688" spans="2:11">
      <c r="B4688" s="97" t="str">
        <f ca="1">IF(A4688="","Date",IF(A4688&lt;&gt;"",IF(B4688="Date",NOW(),B4688),""))</f>
        <v>Date</v>
      </c>
      <c r="C4688" s="19" t="str">
        <f>IF(ISBLANK(A4688),"Name",IF(ISNA(VLOOKUP(A4688,'Master List'!A:C,2,FALSE)), "Not Found", VLOOKUP(A4688,'Master List'!A:C,2,FALSE)))</f>
        <v>Name</v>
      </c>
      <c r="D4688" s="19" t="str">
        <f>IF(ISBLANK(A4688), "Email",IF(ISNA(VLOOKUP(A4688,'Master List'!A:C,3,FALSE)), "Not Found", VLOOKUP(A4688,'Master List'!A:C,3,FALSE)))</f>
        <v>Email</v>
      </c>
      <c r="F4688" s="4" t="str">
        <f>IF(OR(A4688="",E4688="","",A4688="?",E4688="?"),"duplicate?",IF(COUNTIFS($A:A,A4688,E:E,E4688)&gt;1,"yes","no"))</f>
        <v>duplicate?</v>
      </c>
      <c r="K4688" s="97" t="str">
        <f ca="1">IF(J4688="","Date",IF(J4688&lt;&gt;"",IF(K4688="Date",NOW(),K4688),""))</f>
        <v>Date</v>
      </c>
    </row>
    <row r="4689" spans="2:11">
      <c r="B4689" s="97" t="str">
        <f ca="1">IF(A4689="","Date",IF(A4689&lt;&gt;"",IF(B4689="Date",NOW(),B4689),""))</f>
        <v>Date</v>
      </c>
      <c r="C4689" s="19" t="str">
        <f>IF(ISBLANK(A4689),"Name",IF(ISNA(VLOOKUP(A4689,'Master List'!A:C,2,FALSE)), "Not Found", VLOOKUP(A4689,'Master List'!A:C,2,FALSE)))</f>
        <v>Name</v>
      </c>
      <c r="D4689" s="19" t="str">
        <f>IF(ISBLANK(A4689), "Email",IF(ISNA(VLOOKUP(A4689,'Master List'!A:C,3,FALSE)), "Not Found", VLOOKUP(A4689,'Master List'!A:C,3,FALSE)))</f>
        <v>Email</v>
      </c>
      <c r="F4689" s="4" t="str">
        <f>IF(OR(A4689="",E4689="","",A4689="?",E4689="?"),"duplicate?",IF(COUNTIFS($A:A,A4689,E:E,E4689)&gt;1,"yes","no"))</f>
        <v>duplicate?</v>
      </c>
      <c r="K4689" s="97" t="str">
        <f ca="1">IF(J4689="","Date",IF(J4689&lt;&gt;"",IF(K4689="Date",NOW(),K4689),""))</f>
        <v>Date</v>
      </c>
    </row>
    <row r="4690" spans="2:11">
      <c r="B4690" s="97" t="str">
        <f ca="1">IF(A4690="","Date",IF(A4690&lt;&gt;"",IF(B4690="Date",NOW(),B4690),""))</f>
        <v>Date</v>
      </c>
      <c r="C4690" s="19" t="str">
        <f>IF(ISBLANK(A4690),"Name",IF(ISNA(VLOOKUP(A4690,'Master List'!A:C,2,FALSE)), "Not Found", VLOOKUP(A4690,'Master List'!A:C,2,FALSE)))</f>
        <v>Name</v>
      </c>
      <c r="D4690" s="19" t="str">
        <f>IF(ISBLANK(A4690), "Email",IF(ISNA(VLOOKUP(A4690,'Master List'!A:C,3,FALSE)), "Not Found", VLOOKUP(A4690,'Master List'!A:C,3,FALSE)))</f>
        <v>Email</v>
      </c>
      <c r="F4690" s="4" t="str">
        <f>IF(OR(A4690="",E4690="","",A4690="?",E4690="?"),"duplicate?",IF(COUNTIFS($A:A,A4690,E:E,E4690)&gt;1,"yes","no"))</f>
        <v>duplicate?</v>
      </c>
      <c r="K4690" s="97" t="str">
        <f ca="1">IF(J4690="","Date",IF(J4690&lt;&gt;"",IF(K4690="Date",NOW(),K4690),""))</f>
        <v>Date</v>
      </c>
    </row>
    <row r="4691" spans="2:11">
      <c r="B4691" s="97" t="str">
        <f ca="1">IF(A4691="","Date",IF(A4691&lt;&gt;"",IF(B4691="Date",NOW(),B4691),""))</f>
        <v>Date</v>
      </c>
      <c r="C4691" s="19" t="str">
        <f>IF(ISBLANK(A4691),"Name",IF(ISNA(VLOOKUP(A4691,'Master List'!A:C,2,FALSE)), "Not Found", VLOOKUP(A4691,'Master List'!A:C,2,FALSE)))</f>
        <v>Name</v>
      </c>
      <c r="D4691" s="19" t="str">
        <f>IF(ISBLANK(A4691), "Email",IF(ISNA(VLOOKUP(A4691,'Master List'!A:C,3,FALSE)), "Not Found", VLOOKUP(A4691,'Master List'!A:C,3,FALSE)))</f>
        <v>Email</v>
      </c>
      <c r="F4691" s="4" t="str">
        <f>IF(OR(A4691="",E4691="","",A4691="?",E4691="?"),"duplicate?",IF(COUNTIFS($A:A,A4691,E:E,E4691)&gt;1,"yes","no"))</f>
        <v>duplicate?</v>
      </c>
      <c r="K4691" s="97" t="str">
        <f ca="1">IF(J4691="","Date",IF(J4691&lt;&gt;"",IF(K4691="Date",NOW(),K4691),""))</f>
        <v>Date</v>
      </c>
    </row>
    <row r="4692" spans="2:11">
      <c r="B4692" s="97" t="str">
        <f ca="1">IF(A4692="","Date",IF(A4692&lt;&gt;"",IF(B4692="Date",NOW(),B4692),""))</f>
        <v>Date</v>
      </c>
      <c r="C4692" s="19" t="str">
        <f>IF(ISBLANK(A4692),"Name",IF(ISNA(VLOOKUP(A4692,'Master List'!A:C,2,FALSE)), "Not Found", VLOOKUP(A4692,'Master List'!A:C,2,FALSE)))</f>
        <v>Name</v>
      </c>
      <c r="D4692" s="19" t="str">
        <f>IF(ISBLANK(A4692), "Email",IF(ISNA(VLOOKUP(A4692,'Master List'!A:C,3,FALSE)), "Not Found", VLOOKUP(A4692,'Master List'!A:C,3,FALSE)))</f>
        <v>Email</v>
      </c>
      <c r="F4692" s="4" t="str">
        <f>IF(OR(A4692="",E4692="","",A4692="?",E4692="?"),"duplicate?",IF(COUNTIFS($A:A,A4692,E:E,E4692)&gt;1,"yes","no"))</f>
        <v>duplicate?</v>
      </c>
      <c r="K4692" s="97" t="str">
        <f ca="1">IF(J4692="","Date",IF(J4692&lt;&gt;"",IF(K4692="Date",NOW(),K4692),""))</f>
        <v>Date</v>
      </c>
    </row>
    <row r="4693" spans="2:11">
      <c r="B4693" s="97" t="str">
        <f ca="1">IF(A4693="","Date",IF(A4693&lt;&gt;"",IF(B4693="Date",NOW(),B4693),""))</f>
        <v>Date</v>
      </c>
      <c r="C4693" s="19" t="str">
        <f>IF(ISBLANK(A4693),"Name",IF(ISNA(VLOOKUP(A4693,'Master List'!A:C,2,FALSE)), "Not Found", VLOOKUP(A4693,'Master List'!A:C,2,FALSE)))</f>
        <v>Name</v>
      </c>
      <c r="D4693" s="19" t="str">
        <f>IF(ISBLANK(A4693), "Email",IF(ISNA(VLOOKUP(A4693,'Master List'!A:C,3,FALSE)), "Not Found", VLOOKUP(A4693,'Master List'!A:C,3,FALSE)))</f>
        <v>Email</v>
      </c>
      <c r="F4693" s="4" t="str">
        <f>IF(OR(A4693="",E4693="","",A4693="?",E4693="?"),"duplicate?",IF(COUNTIFS($A:A,A4693,E:E,E4693)&gt;1,"yes","no"))</f>
        <v>duplicate?</v>
      </c>
      <c r="K4693" s="97" t="str">
        <f ca="1">IF(J4693="","Date",IF(J4693&lt;&gt;"",IF(K4693="Date",NOW(),K4693),""))</f>
        <v>Date</v>
      </c>
    </row>
    <row r="4694" spans="2:11">
      <c r="B4694" s="97" t="str">
        <f ca="1">IF(A4694="","Date",IF(A4694&lt;&gt;"",IF(B4694="Date",NOW(),B4694),""))</f>
        <v>Date</v>
      </c>
      <c r="C4694" s="19" t="str">
        <f>IF(ISBLANK(A4694),"Name",IF(ISNA(VLOOKUP(A4694,'Master List'!A:C,2,FALSE)), "Not Found", VLOOKUP(A4694,'Master List'!A:C,2,FALSE)))</f>
        <v>Name</v>
      </c>
      <c r="D4694" s="19" t="str">
        <f>IF(ISBLANK(A4694), "Email",IF(ISNA(VLOOKUP(A4694,'Master List'!A:C,3,FALSE)), "Not Found", VLOOKUP(A4694,'Master List'!A:C,3,FALSE)))</f>
        <v>Email</v>
      </c>
      <c r="F4694" s="4" t="str">
        <f>IF(OR(A4694="",E4694="","",A4694="?",E4694="?"),"duplicate?",IF(COUNTIFS($A:A,A4694,E:E,E4694)&gt;1,"yes","no"))</f>
        <v>duplicate?</v>
      </c>
      <c r="K4694" s="97" t="str">
        <f ca="1">IF(J4694="","Date",IF(J4694&lt;&gt;"",IF(K4694="Date",NOW(),K4694),""))</f>
        <v>Date</v>
      </c>
    </row>
    <row r="4695" spans="2:11">
      <c r="B4695" s="97" t="str">
        <f ca="1">IF(A4695="","Date",IF(A4695&lt;&gt;"",IF(B4695="Date",NOW(),B4695),""))</f>
        <v>Date</v>
      </c>
      <c r="C4695" s="19" t="str">
        <f>IF(ISBLANK(A4695),"Name",IF(ISNA(VLOOKUP(A4695,'Master List'!A:C,2,FALSE)), "Not Found", VLOOKUP(A4695,'Master List'!A:C,2,FALSE)))</f>
        <v>Name</v>
      </c>
      <c r="D4695" s="19" t="str">
        <f>IF(ISBLANK(A4695), "Email",IF(ISNA(VLOOKUP(A4695,'Master List'!A:C,3,FALSE)), "Not Found", VLOOKUP(A4695,'Master List'!A:C,3,FALSE)))</f>
        <v>Email</v>
      </c>
      <c r="F4695" s="4" t="str">
        <f>IF(OR(A4695="",E4695="","",A4695="?",E4695="?"),"duplicate?",IF(COUNTIFS($A:A,A4695,E:E,E4695)&gt;1,"yes","no"))</f>
        <v>duplicate?</v>
      </c>
      <c r="K4695" s="97" t="str">
        <f ca="1">IF(J4695="","Date",IF(J4695&lt;&gt;"",IF(K4695="Date",NOW(),K4695),""))</f>
        <v>Date</v>
      </c>
    </row>
    <row r="4696" spans="2:11">
      <c r="B4696" s="97" t="str">
        <f ca="1">IF(A4696="","Date",IF(A4696&lt;&gt;"",IF(B4696="Date",NOW(),B4696),""))</f>
        <v>Date</v>
      </c>
      <c r="C4696" s="19" t="str">
        <f>IF(ISBLANK(A4696),"Name",IF(ISNA(VLOOKUP(A4696,'Master List'!A:C,2,FALSE)), "Not Found", VLOOKUP(A4696,'Master List'!A:C,2,FALSE)))</f>
        <v>Name</v>
      </c>
      <c r="D4696" s="19" t="str">
        <f>IF(ISBLANK(A4696), "Email",IF(ISNA(VLOOKUP(A4696,'Master List'!A:C,3,FALSE)), "Not Found", VLOOKUP(A4696,'Master List'!A:C,3,FALSE)))</f>
        <v>Email</v>
      </c>
      <c r="F4696" s="4" t="str">
        <f>IF(OR(A4696="",E4696="","",A4696="?",E4696="?"),"duplicate?",IF(COUNTIFS($A:A,A4696,E:E,E4696)&gt;1,"yes","no"))</f>
        <v>duplicate?</v>
      </c>
      <c r="K4696" s="97" t="str">
        <f ca="1">IF(J4696="","Date",IF(J4696&lt;&gt;"",IF(K4696="Date",NOW(),K4696),""))</f>
        <v>Date</v>
      </c>
    </row>
    <row r="4697" spans="2:11">
      <c r="B4697" s="97" t="str">
        <f ca="1">IF(A4697="","Date",IF(A4697&lt;&gt;"",IF(B4697="Date",NOW(),B4697),""))</f>
        <v>Date</v>
      </c>
      <c r="C4697" s="19" t="str">
        <f>IF(ISBLANK(A4697),"Name",IF(ISNA(VLOOKUP(A4697,'Master List'!A:C,2,FALSE)), "Not Found", VLOOKUP(A4697,'Master List'!A:C,2,FALSE)))</f>
        <v>Name</v>
      </c>
      <c r="D4697" s="19" t="str">
        <f>IF(ISBLANK(A4697), "Email",IF(ISNA(VLOOKUP(A4697,'Master List'!A:C,3,FALSE)), "Not Found", VLOOKUP(A4697,'Master List'!A:C,3,FALSE)))</f>
        <v>Email</v>
      </c>
      <c r="F4697" s="4" t="str">
        <f>IF(OR(A4697="",E4697="","",A4697="?",E4697="?"),"duplicate?",IF(COUNTIFS($A:A,A4697,E:E,E4697)&gt;1,"yes","no"))</f>
        <v>duplicate?</v>
      </c>
      <c r="K4697" s="97" t="str">
        <f ca="1">IF(J4697="","Date",IF(J4697&lt;&gt;"",IF(K4697="Date",NOW(),K4697),""))</f>
        <v>Date</v>
      </c>
    </row>
    <row r="4698" spans="2:11">
      <c r="B4698" s="97" t="str">
        <f ca="1">IF(A4698="","Date",IF(A4698&lt;&gt;"",IF(B4698="Date",NOW(),B4698),""))</f>
        <v>Date</v>
      </c>
      <c r="C4698" s="19" t="str">
        <f>IF(ISBLANK(A4698),"Name",IF(ISNA(VLOOKUP(A4698,'Master List'!A:C,2,FALSE)), "Not Found", VLOOKUP(A4698,'Master List'!A:C,2,FALSE)))</f>
        <v>Name</v>
      </c>
      <c r="D4698" s="19" t="str">
        <f>IF(ISBLANK(A4698), "Email",IF(ISNA(VLOOKUP(A4698,'Master List'!A:C,3,FALSE)), "Not Found", VLOOKUP(A4698,'Master List'!A:C,3,FALSE)))</f>
        <v>Email</v>
      </c>
      <c r="F4698" s="4" t="str">
        <f>IF(OR(A4698="",E4698="","",A4698="?",E4698="?"),"duplicate?",IF(COUNTIFS($A:A,A4698,E:E,E4698)&gt;1,"yes","no"))</f>
        <v>duplicate?</v>
      </c>
      <c r="K4698" s="97" t="str">
        <f ca="1">IF(J4698="","Date",IF(J4698&lt;&gt;"",IF(K4698="Date",NOW(),K4698),""))</f>
        <v>Date</v>
      </c>
    </row>
    <row r="4699" spans="2:11">
      <c r="B4699" s="97" t="str">
        <f ca="1">IF(A4699="","Date",IF(A4699&lt;&gt;"",IF(B4699="Date",NOW(),B4699),""))</f>
        <v>Date</v>
      </c>
      <c r="C4699" s="19" t="str">
        <f>IF(ISBLANK(A4699),"Name",IF(ISNA(VLOOKUP(A4699,'Master List'!A:C,2,FALSE)), "Not Found", VLOOKUP(A4699,'Master List'!A:C,2,FALSE)))</f>
        <v>Name</v>
      </c>
      <c r="D4699" s="19" t="str">
        <f>IF(ISBLANK(A4699), "Email",IF(ISNA(VLOOKUP(A4699,'Master List'!A:C,3,FALSE)), "Not Found", VLOOKUP(A4699,'Master List'!A:C,3,FALSE)))</f>
        <v>Email</v>
      </c>
      <c r="F4699" s="4" t="str">
        <f>IF(OR(A4699="",E4699="","",A4699="?",E4699="?"),"duplicate?",IF(COUNTIFS($A:A,A4699,E:E,E4699)&gt;1,"yes","no"))</f>
        <v>duplicate?</v>
      </c>
      <c r="K4699" s="97" t="str">
        <f ca="1">IF(J4699="","Date",IF(J4699&lt;&gt;"",IF(K4699="Date",NOW(),K4699),""))</f>
        <v>Date</v>
      </c>
    </row>
    <row r="4700" spans="2:11">
      <c r="B4700" s="97" t="str">
        <f ca="1">IF(A4700="","Date",IF(A4700&lt;&gt;"",IF(B4700="Date",NOW(),B4700),""))</f>
        <v>Date</v>
      </c>
      <c r="C4700" s="19" t="str">
        <f>IF(ISBLANK(A4700),"Name",IF(ISNA(VLOOKUP(A4700,'Master List'!A:C,2,FALSE)), "Not Found", VLOOKUP(A4700,'Master List'!A:C,2,FALSE)))</f>
        <v>Name</v>
      </c>
      <c r="D4700" s="19" t="str">
        <f>IF(ISBLANK(A4700), "Email",IF(ISNA(VLOOKUP(A4700,'Master List'!A:C,3,FALSE)), "Not Found", VLOOKUP(A4700,'Master List'!A:C,3,FALSE)))</f>
        <v>Email</v>
      </c>
      <c r="F4700" s="4" t="str">
        <f>IF(OR(A4700="",E4700="","",A4700="?",E4700="?"),"duplicate?",IF(COUNTIFS($A:A,A4700,E:E,E4700)&gt;1,"yes","no"))</f>
        <v>duplicate?</v>
      </c>
      <c r="K4700" s="97" t="str">
        <f ca="1">IF(J4700="","Date",IF(J4700&lt;&gt;"",IF(K4700="Date",NOW(),K4700),""))</f>
        <v>Date</v>
      </c>
    </row>
    <row r="4701" spans="2:11">
      <c r="B4701" s="97" t="str">
        <f ca="1">IF(A4701="","Date",IF(A4701&lt;&gt;"",IF(B4701="Date",NOW(),B4701),""))</f>
        <v>Date</v>
      </c>
      <c r="C4701" s="19" t="str">
        <f>IF(ISBLANK(A4701),"Name",IF(ISNA(VLOOKUP(A4701,'Master List'!A:C,2,FALSE)), "Not Found", VLOOKUP(A4701,'Master List'!A:C,2,FALSE)))</f>
        <v>Name</v>
      </c>
      <c r="D4701" s="19" t="str">
        <f>IF(ISBLANK(A4701), "Email",IF(ISNA(VLOOKUP(A4701,'Master List'!A:C,3,FALSE)), "Not Found", VLOOKUP(A4701,'Master List'!A:C,3,FALSE)))</f>
        <v>Email</v>
      </c>
      <c r="F4701" s="4" t="str">
        <f>IF(OR(A4701="",E4701="","",A4701="?",E4701="?"),"duplicate?",IF(COUNTIFS($A:A,A4701,E:E,E4701)&gt;1,"yes","no"))</f>
        <v>duplicate?</v>
      </c>
      <c r="K4701" s="97" t="str">
        <f ca="1">IF(J4701="","Date",IF(J4701&lt;&gt;"",IF(K4701="Date",NOW(),K4701),""))</f>
        <v>Date</v>
      </c>
    </row>
    <row r="4702" spans="2:11">
      <c r="B4702" s="97" t="str">
        <f ca="1">IF(A4702="","Date",IF(A4702&lt;&gt;"",IF(B4702="Date",NOW(),B4702),""))</f>
        <v>Date</v>
      </c>
      <c r="C4702" s="19" t="str">
        <f>IF(ISBLANK(A4702),"Name",IF(ISNA(VLOOKUP(A4702,'Master List'!A:C,2,FALSE)), "Not Found", VLOOKUP(A4702,'Master List'!A:C,2,FALSE)))</f>
        <v>Name</v>
      </c>
      <c r="D4702" s="19" t="str">
        <f>IF(ISBLANK(A4702), "Email",IF(ISNA(VLOOKUP(A4702,'Master List'!A:C,3,FALSE)), "Not Found", VLOOKUP(A4702,'Master List'!A:C,3,FALSE)))</f>
        <v>Email</v>
      </c>
      <c r="F4702" s="4" t="str">
        <f>IF(OR(A4702="",E4702="","",A4702="?",E4702="?"),"duplicate?",IF(COUNTIFS($A:A,A4702,E:E,E4702)&gt;1,"yes","no"))</f>
        <v>duplicate?</v>
      </c>
      <c r="K4702" s="97" t="str">
        <f ca="1">IF(J4702="","Date",IF(J4702&lt;&gt;"",IF(K4702="Date",NOW(),K4702),""))</f>
        <v>Date</v>
      </c>
    </row>
    <row r="4703" spans="2:11">
      <c r="B4703" s="97" t="str">
        <f ca="1">IF(A4703="","Date",IF(A4703&lt;&gt;"",IF(B4703="Date",NOW(),B4703),""))</f>
        <v>Date</v>
      </c>
      <c r="C4703" s="19" t="str">
        <f>IF(ISBLANK(A4703),"Name",IF(ISNA(VLOOKUP(A4703,'Master List'!A:C,2,FALSE)), "Not Found", VLOOKUP(A4703,'Master List'!A:C,2,FALSE)))</f>
        <v>Name</v>
      </c>
      <c r="D4703" s="19" t="str">
        <f>IF(ISBLANK(A4703), "Email",IF(ISNA(VLOOKUP(A4703,'Master List'!A:C,3,FALSE)), "Not Found", VLOOKUP(A4703,'Master List'!A:C,3,FALSE)))</f>
        <v>Email</v>
      </c>
      <c r="F4703" s="4" t="str">
        <f>IF(OR(A4703="",E4703="","",A4703="?",E4703="?"),"duplicate?",IF(COUNTIFS($A:A,A4703,E:E,E4703)&gt;1,"yes","no"))</f>
        <v>duplicate?</v>
      </c>
      <c r="K4703" s="97" t="str">
        <f ca="1">IF(J4703="","Date",IF(J4703&lt;&gt;"",IF(K4703="Date",NOW(),K4703),""))</f>
        <v>Date</v>
      </c>
    </row>
    <row r="4704" spans="2:11">
      <c r="B4704" s="97" t="str">
        <f ca="1">IF(A4704="","Date",IF(A4704&lt;&gt;"",IF(B4704="Date",NOW(),B4704),""))</f>
        <v>Date</v>
      </c>
      <c r="C4704" s="19" t="str">
        <f>IF(ISBLANK(A4704),"Name",IF(ISNA(VLOOKUP(A4704,'Master List'!A:C,2,FALSE)), "Not Found", VLOOKUP(A4704,'Master List'!A:C,2,FALSE)))</f>
        <v>Name</v>
      </c>
      <c r="D4704" s="19" t="str">
        <f>IF(ISBLANK(A4704), "Email",IF(ISNA(VLOOKUP(A4704,'Master List'!A:C,3,FALSE)), "Not Found", VLOOKUP(A4704,'Master List'!A:C,3,FALSE)))</f>
        <v>Email</v>
      </c>
      <c r="F4704" s="4" t="str">
        <f>IF(OR(A4704="",E4704="","",A4704="?",E4704="?"),"duplicate?",IF(COUNTIFS($A:A,A4704,E:E,E4704)&gt;1,"yes","no"))</f>
        <v>duplicate?</v>
      </c>
      <c r="K4704" s="97" t="str">
        <f ca="1">IF(J4704="","Date",IF(J4704&lt;&gt;"",IF(K4704="Date",NOW(),K4704),""))</f>
        <v>Date</v>
      </c>
    </row>
    <row r="4705" spans="2:11">
      <c r="B4705" s="97" t="str">
        <f ca="1">IF(A4705="","Date",IF(A4705&lt;&gt;"",IF(B4705="Date",NOW(),B4705),""))</f>
        <v>Date</v>
      </c>
      <c r="C4705" s="19" t="str">
        <f>IF(ISBLANK(A4705),"Name",IF(ISNA(VLOOKUP(A4705,'Master List'!A:C,2,FALSE)), "Not Found", VLOOKUP(A4705,'Master List'!A:C,2,FALSE)))</f>
        <v>Name</v>
      </c>
      <c r="D4705" s="19" t="str">
        <f>IF(ISBLANK(A4705), "Email",IF(ISNA(VLOOKUP(A4705,'Master List'!A:C,3,FALSE)), "Not Found", VLOOKUP(A4705,'Master List'!A:C,3,FALSE)))</f>
        <v>Email</v>
      </c>
      <c r="F4705" s="4" t="str">
        <f>IF(OR(A4705="",E4705="","",A4705="?",E4705="?"),"duplicate?",IF(COUNTIFS($A:A,A4705,E:E,E4705)&gt;1,"yes","no"))</f>
        <v>duplicate?</v>
      </c>
      <c r="K4705" s="97" t="str">
        <f ca="1">IF(J4705="","Date",IF(J4705&lt;&gt;"",IF(K4705="Date",NOW(),K4705),""))</f>
        <v>Date</v>
      </c>
    </row>
    <row r="4706" spans="2:11">
      <c r="B4706" s="97" t="str">
        <f ca="1">IF(A4706="","Date",IF(A4706&lt;&gt;"",IF(B4706="Date",NOW(),B4706),""))</f>
        <v>Date</v>
      </c>
      <c r="C4706" s="19" t="str">
        <f>IF(ISBLANK(A4706),"Name",IF(ISNA(VLOOKUP(A4706,'Master List'!A:C,2,FALSE)), "Not Found", VLOOKUP(A4706,'Master List'!A:C,2,FALSE)))</f>
        <v>Name</v>
      </c>
      <c r="D4706" s="19" t="str">
        <f>IF(ISBLANK(A4706), "Email",IF(ISNA(VLOOKUP(A4706,'Master List'!A:C,3,FALSE)), "Not Found", VLOOKUP(A4706,'Master List'!A:C,3,FALSE)))</f>
        <v>Email</v>
      </c>
      <c r="F4706" s="4" t="str">
        <f>IF(OR(A4706="",E4706="","",A4706="?",E4706="?"),"duplicate?",IF(COUNTIFS($A:A,A4706,E:E,E4706)&gt;1,"yes","no"))</f>
        <v>duplicate?</v>
      </c>
      <c r="K4706" s="97" t="str">
        <f ca="1">IF(J4706="","Date",IF(J4706&lt;&gt;"",IF(K4706="Date",NOW(),K4706),""))</f>
        <v>Date</v>
      </c>
    </row>
    <row r="4707" spans="2:11">
      <c r="B4707" s="97" t="str">
        <f ca="1">IF(A4707="","Date",IF(A4707&lt;&gt;"",IF(B4707="Date",NOW(),B4707),""))</f>
        <v>Date</v>
      </c>
      <c r="C4707" s="19" t="str">
        <f>IF(ISBLANK(A4707),"Name",IF(ISNA(VLOOKUP(A4707,'Master List'!A:C,2,FALSE)), "Not Found", VLOOKUP(A4707,'Master List'!A:C,2,FALSE)))</f>
        <v>Name</v>
      </c>
      <c r="D4707" s="19" t="str">
        <f>IF(ISBLANK(A4707), "Email",IF(ISNA(VLOOKUP(A4707,'Master List'!A:C,3,FALSE)), "Not Found", VLOOKUP(A4707,'Master List'!A:C,3,FALSE)))</f>
        <v>Email</v>
      </c>
      <c r="F4707" s="4" t="str">
        <f>IF(OR(A4707="",E4707="","",A4707="?",E4707="?"),"duplicate?",IF(COUNTIFS($A:A,A4707,E:E,E4707)&gt;1,"yes","no"))</f>
        <v>duplicate?</v>
      </c>
      <c r="K4707" s="97" t="str">
        <f ca="1">IF(J4707="","Date",IF(J4707&lt;&gt;"",IF(K4707="Date",NOW(),K4707),""))</f>
        <v>Date</v>
      </c>
    </row>
    <row r="4708" spans="2:11">
      <c r="B4708" s="97" t="str">
        <f ca="1">IF(A4708="","Date",IF(A4708&lt;&gt;"",IF(B4708="Date",NOW(),B4708),""))</f>
        <v>Date</v>
      </c>
      <c r="C4708" s="19" t="str">
        <f>IF(ISBLANK(A4708),"Name",IF(ISNA(VLOOKUP(A4708,'Master List'!A:C,2,FALSE)), "Not Found", VLOOKUP(A4708,'Master List'!A:C,2,FALSE)))</f>
        <v>Name</v>
      </c>
      <c r="D4708" s="19" t="str">
        <f>IF(ISBLANK(A4708), "Email",IF(ISNA(VLOOKUP(A4708,'Master List'!A:C,3,FALSE)), "Not Found", VLOOKUP(A4708,'Master List'!A:C,3,FALSE)))</f>
        <v>Email</v>
      </c>
      <c r="F4708" s="4" t="str">
        <f>IF(OR(A4708="",E4708="","",A4708="?",E4708="?"),"duplicate?",IF(COUNTIFS($A:A,A4708,E:E,E4708)&gt;1,"yes","no"))</f>
        <v>duplicate?</v>
      </c>
      <c r="K4708" s="97" t="str">
        <f ca="1">IF(J4708="","Date",IF(J4708&lt;&gt;"",IF(K4708="Date",NOW(),K4708),""))</f>
        <v>Date</v>
      </c>
    </row>
    <row r="4709" spans="2:11">
      <c r="B4709" s="97" t="str">
        <f ca="1">IF(A4709="","Date",IF(A4709&lt;&gt;"",IF(B4709="Date",NOW(),B4709),""))</f>
        <v>Date</v>
      </c>
      <c r="C4709" s="19" t="str">
        <f>IF(ISBLANK(A4709),"Name",IF(ISNA(VLOOKUP(A4709,'Master List'!A:C,2,FALSE)), "Not Found", VLOOKUP(A4709,'Master List'!A:C,2,FALSE)))</f>
        <v>Name</v>
      </c>
      <c r="D4709" s="19" t="str">
        <f>IF(ISBLANK(A4709), "Email",IF(ISNA(VLOOKUP(A4709,'Master List'!A:C,3,FALSE)), "Not Found", VLOOKUP(A4709,'Master List'!A:C,3,FALSE)))</f>
        <v>Email</v>
      </c>
      <c r="F4709" s="4" t="str">
        <f>IF(OR(A4709="",E4709="","",A4709="?",E4709="?"),"duplicate?",IF(COUNTIFS($A:A,A4709,E:E,E4709)&gt;1,"yes","no"))</f>
        <v>duplicate?</v>
      </c>
      <c r="K4709" s="97" t="str">
        <f ca="1">IF(J4709="","Date",IF(J4709&lt;&gt;"",IF(K4709="Date",NOW(),K4709),""))</f>
        <v>Date</v>
      </c>
    </row>
    <row r="4710" spans="2:11">
      <c r="B4710" s="97" t="str">
        <f ca="1">IF(A4710="","Date",IF(A4710&lt;&gt;"",IF(B4710="Date",NOW(),B4710),""))</f>
        <v>Date</v>
      </c>
      <c r="C4710" s="19" t="str">
        <f>IF(ISBLANK(A4710),"Name",IF(ISNA(VLOOKUP(A4710,'Master List'!A:C,2,FALSE)), "Not Found", VLOOKUP(A4710,'Master List'!A:C,2,FALSE)))</f>
        <v>Name</v>
      </c>
      <c r="D4710" s="19" t="str">
        <f>IF(ISBLANK(A4710), "Email",IF(ISNA(VLOOKUP(A4710,'Master List'!A:C,3,FALSE)), "Not Found", VLOOKUP(A4710,'Master List'!A:C,3,FALSE)))</f>
        <v>Email</v>
      </c>
      <c r="F4710" s="4" t="str">
        <f>IF(OR(A4710="",E4710="","",A4710="?",E4710="?"),"duplicate?",IF(COUNTIFS($A:A,A4710,E:E,E4710)&gt;1,"yes","no"))</f>
        <v>duplicate?</v>
      </c>
      <c r="K4710" s="97" t="str">
        <f ca="1">IF(J4710="","Date",IF(J4710&lt;&gt;"",IF(K4710="Date",NOW(),K4710),""))</f>
        <v>Date</v>
      </c>
    </row>
    <row r="4711" spans="2:11">
      <c r="B4711" s="97" t="str">
        <f ca="1">IF(A4711="","Date",IF(A4711&lt;&gt;"",IF(B4711="Date",NOW(),B4711),""))</f>
        <v>Date</v>
      </c>
      <c r="C4711" s="19" t="str">
        <f>IF(ISBLANK(A4711),"Name",IF(ISNA(VLOOKUP(A4711,'Master List'!A:C,2,FALSE)), "Not Found", VLOOKUP(A4711,'Master List'!A:C,2,FALSE)))</f>
        <v>Name</v>
      </c>
      <c r="D4711" s="19" t="str">
        <f>IF(ISBLANK(A4711), "Email",IF(ISNA(VLOOKUP(A4711,'Master List'!A:C,3,FALSE)), "Not Found", VLOOKUP(A4711,'Master List'!A:C,3,FALSE)))</f>
        <v>Email</v>
      </c>
      <c r="F4711" s="4" t="str">
        <f>IF(OR(A4711="",E4711="","",A4711="?",E4711="?"),"duplicate?",IF(COUNTIFS($A:A,A4711,E:E,E4711)&gt;1,"yes","no"))</f>
        <v>duplicate?</v>
      </c>
      <c r="K4711" s="97" t="str">
        <f ca="1">IF(J4711="","Date",IF(J4711&lt;&gt;"",IF(K4711="Date",NOW(),K4711),""))</f>
        <v>Date</v>
      </c>
    </row>
    <row r="4712" spans="2:11">
      <c r="B4712" s="97" t="str">
        <f ca="1">IF(A4712="","Date",IF(A4712&lt;&gt;"",IF(B4712="Date",NOW(),B4712),""))</f>
        <v>Date</v>
      </c>
      <c r="C4712" s="19" t="str">
        <f>IF(ISBLANK(A4712),"Name",IF(ISNA(VLOOKUP(A4712,'Master List'!A:C,2,FALSE)), "Not Found", VLOOKUP(A4712,'Master List'!A:C,2,FALSE)))</f>
        <v>Name</v>
      </c>
      <c r="D4712" s="19" t="str">
        <f>IF(ISBLANK(A4712), "Email",IF(ISNA(VLOOKUP(A4712,'Master List'!A:C,3,FALSE)), "Not Found", VLOOKUP(A4712,'Master List'!A:C,3,FALSE)))</f>
        <v>Email</v>
      </c>
      <c r="F4712" s="4" t="str">
        <f>IF(OR(A4712="",E4712="","",A4712="?",E4712="?"),"duplicate?",IF(COUNTIFS($A:A,A4712,E:E,E4712)&gt;1,"yes","no"))</f>
        <v>duplicate?</v>
      </c>
      <c r="K4712" s="97" t="str">
        <f ca="1">IF(J4712="","Date",IF(J4712&lt;&gt;"",IF(K4712="Date",NOW(),K4712),""))</f>
        <v>Date</v>
      </c>
    </row>
    <row r="4713" spans="2:11">
      <c r="B4713" s="97" t="str">
        <f ca="1">IF(A4713="","Date",IF(A4713&lt;&gt;"",IF(B4713="Date",NOW(),B4713),""))</f>
        <v>Date</v>
      </c>
      <c r="C4713" s="19" t="str">
        <f>IF(ISBLANK(A4713),"Name",IF(ISNA(VLOOKUP(A4713,'Master List'!A:C,2,FALSE)), "Not Found", VLOOKUP(A4713,'Master List'!A:C,2,FALSE)))</f>
        <v>Name</v>
      </c>
      <c r="D4713" s="19" t="str">
        <f>IF(ISBLANK(A4713), "Email",IF(ISNA(VLOOKUP(A4713,'Master List'!A:C,3,FALSE)), "Not Found", VLOOKUP(A4713,'Master List'!A:C,3,FALSE)))</f>
        <v>Email</v>
      </c>
      <c r="F4713" s="4" t="str">
        <f>IF(OR(A4713="",E4713="","",A4713="?",E4713="?"),"duplicate?",IF(COUNTIFS($A:A,A4713,E:E,E4713)&gt;1,"yes","no"))</f>
        <v>duplicate?</v>
      </c>
      <c r="K4713" s="97" t="str">
        <f ca="1">IF(J4713="","Date",IF(J4713&lt;&gt;"",IF(K4713="Date",NOW(),K4713),""))</f>
        <v>Date</v>
      </c>
    </row>
    <row r="4714" spans="2:11">
      <c r="B4714" s="97" t="str">
        <f ca="1">IF(A4714="","Date",IF(A4714&lt;&gt;"",IF(B4714="Date",NOW(),B4714),""))</f>
        <v>Date</v>
      </c>
      <c r="C4714" s="19" t="str">
        <f>IF(ISBLANK(A4714),"Name",IF(ISNA(VLOOKUP(A4714,'Master List'!A:C,2,FALSE)), "Not Found", VLOOKUP(A4714,'Master List'!A:C,2,FALSE)))</f>
        <v>Name</v>
      </c>
      <c r="D4714" s="19" t="str">
        <f>IF(ISBLANK(A4714), "Email",IF(ISNA(VLOOKUP(A4714,'Master List'!A:C,3,FALSE)), "Not Found", VLOOKUP(A4714,'Master List'!A:C,3,FALSE)))</f>
        <v>Email</v>
      </c>
      <c r="F4714" s="4" t="str">
        <f>IF(OR(A4714="",E4714="","",A4714="?",E4714="?"),"duplicate?",IF(COUNTIFS($A:A,A4714,E:E,E4714)&gt;1,"yes","no"))</f>
        <v>duplicate?</v>
      </c>
      <c r="K4714" s="97" t="str">
        <f ca="1">IF(J4714="","Date",IF(J4714&lt;&gt;"",IF(K4714="Date",NOW(),K4714),""))</f>
        <v>Date</v>
      </c>
    </row>
    <row r="4715" spans="2:11">
      <c r="B4715" s="97" t="str">
        <f ca="1">IF(A4715="","Date",IF(A4715&lt;&gt;"",IF(B4715="Date",NOW(),B4715),""))</f>
        <v>Date</v>
      </c>
      <c r="C4715" s="19" t="str">
        <f>IF(ISBLANK(A4715),"Name",IF(ISNA(VLOOKUP(A4715,'Master List'!A:C,2,FALSE)), "Not Found", VLOOKUP(A4715,'Master List'!A:C,2,FALSE)))</f>
        <v>Name</v>
      </c>
      <c r="D4715" s="19" t="str">
        <f>IF(ISBLANK(A4715), "Email",IF(ISNA(VLOOKUP(A4715,'Master List'!A:C,3,FALSE)), "Not Found", VLOOKUP(A4715,'Master List'!A:C,3,FALSE)))</f>
        <v>Email</v>
      </c>
      <c r="F4715" s="4" t="str">
        <f>IF(OR(A4715="",E4715="","",A4715="?",E4715="?"),"duplicate?",IF(COUNTIFS($A:A,A4715,E:E,E4715)&gt;1,"yes","no"))</f>
        <v>duplicate?</v>
      </c>
      <c r="K4715" s="97" t="str">
        <f ca="1">IF(J4715="","Date",IF(J4715&lt;&gt;"",IF(K4715="Date",NOW(),K4715),""))</f>
        <v>Date</v>
      </c>
    </row>
    <row r="4716" spans="2:11">
      <c r="B4716" s="97" t="str">
        <f ca="1">IF(A4716="","Date",IF(A4716&lt;&gt;"",IF(B4716="Date",NOW(),B4716),""))</f>
        <v>Date</v>
      </c>
      <c r="C4716" s="19" t="str">
        <f>IF(ISBLANK(A4716),"Name",IF(ISNA(VLOOKUP(A4716,'Master List'!A:C,2,FALSE)), "Not Found", VLOOKUP(A4716,'Master List'!A:C,2,FALSE)))</f>
        <v>Name</v>
      </c>
      <c r="D4716" s="19" t="str">
        <f>IF(ISBLANK(A4716), "Email",IF(ISNA(VLOOKUP(A4716,'Master List'!A:C,3,FALSE)), "Not Found", VLOOKUP(A4716,'Master List'!A:C,3,FALSE)))</f>
        <v>Email</v>
      </c>
      <c r="F4716" s="4" t="str">
        <f>IF(OR(A4716="",E4716="","",A4716="?",E4716="?"),"duplicate?",IF(COUNTIFS($A:A,A4716,E:E,E4716)&gt;1,"yes","no"))</f>
        <v>duplicate?</v>
      </c>
      <c r="K4716" s="97" t="str">
        <f ca="1">IF(J4716="","Date",IF(J4716&lt;&gt;"",IF(K4716="Date",NOW(),K4716),""))</f>
        <v>Date</v>
      </c>
    </row>
    <row r="4717" spans="2:11">
      <c r="B4717" s="97" t="str">
        <f ca="1">IF(A4717="","Date",IF(A4717&lt;&gt;"",IF(B4717="Date",NOW(),B4717),""))</f>
        <v>Date</v>
      </c>
      <c r="C4717" s="19" t="str">
        <f>IF(ISBLANK(A4717),"Name",IF(ISNA(VLOOKUP(A4717,'Master List'!A:C,2,FALSE)), "Not Found", VLOOKUP(A4717,'Master List'!A:C,2,FALSE)))</f>
        <v>Name</v>
      </c>
      <c r="D4717" s="19" t="str">
        <f>IF(ISBLANK(A4717), "Email",IF(ISNA(VLOOKUP(A4717,'Master List'!A:C,3,FALSE)), "Not Found", VLOOKUP(A4717,'Master List'!A:C,3,FALSE)))</f>
        <v>Email</v>
      </c>
      <c r="F4717" s="4" t="str">
        <f>IF(OR(A4717="",E4717="","",A4717="?",E4717="?"),"duplicate?",IF(COUNTIFS($A:A,A4717,E:E,E4717)&gt;1,"yes","no"))</f>
        <v>duplicate?</v>
      </c>
      <c r="K4717" s="97" t="str">
        <f ca="1">IF(J4717="","Date",IF(J4717&lt;&gt;"",IF(K4717="Date",NOW(),K4717),""))</f>
        <v>Date</v>
      </c>
    </row>
    <row r="4718" spans="2:11">
      <c r="B4718" s="97" t="str">
        <f ca="1">IF(A4718="","Date",IF(A4718&lt;&gt;"",IF(B4718="Date",NOW(),B4718),""))</f>
        <v>Date</v>
      </c>
      <c r="C4718" s="19" t="str">
        <f>IF(ISBLANK(A4718),"Name",IF(ISNA(VLOOKUP(A4718,'Master List'!A:C,2,FALSE)), "Not Found", VLOOKUP(A4718,'Master List'!A:C,2,FALSE)))</f>
        <v>Name</v>
      </c>
      <c r="D4718" s="19" t="str">
        <f>IF(ISBLANK(A4718), "Email",IF(ISNA(VLOOKUP(A4718,'Master List'!A:C,3,FALSE)), "Not Found", VLOOKUP(A4718,'Master List'!A:C,3,FALSE)))</f>
        <v>Email</v>
      </c>
      <c r="F4718" s="4" t="str">
        <f>IF(OR(A4718="",E4718="","",A4718="?",E4718="?"),"duplicate?",IF(COUNTIFS($A:A,A4718,E:E,E4718)&gt;1,"yes","no"))</f>
        <v>duplicate?</v>
      </c>
      <c r="K4718" s="97" t="str">
        <f ca="1">IF(J4718="","Date",IF(J4718&lt;&gt;"",IF(K4718="Date",NOW(),K4718),""))</f>
        <v>Date</v>
      </c>
    </row>
    <row r="4719" spans="2:11">
      <c r="B4719" s="97" t="str">
        <f ca="1">IF(A4719="","Date",IF(A4719&lt;&gt;"",IF(B4719="Date",NOW(),B4719),""))</f>
        <v>Date</v>
      </c>
      <c r="C4719" s="19" t="str">
        <f>IF(ISBLANK(A4719),"Name",IF(ISNA(VLOOKUP(A4719,'Master List'!A:C,2,FALSE)), "Not Found", VLOOKUP(A4719,'Master List'!A:C,2,FALSE)))</f>
        <v>Name</v>
      </c>
      <c r="D4719" s="19" t="str">
        <f>IF(ISBLANK(A4719), "Email",IF(ISNA(VLOOKUP(A4719,'Master List'!A:C,3,FALSE)), "Not Found", VLOOKUP(A4719,'Master List'!A:C,3,FALSE)))</f>
        <v>Email</v>
      </c>
      <c r="F4719" s="4" t="str">
        <f>IF(OR(A4719="",E4719="","",A4719="?",E4719="?"),"duplicate?",IF(COUNTIFS($A:A,A4719,E:E,E4719)&gt;1,"yes","no"))</f>
        <v>duplicate?</v>
      </c>
      <c r="K4719" s="97" t="str">
        <f ca="1">IF(J4719="","Date",IF(J4719&lt;&gt;"",IF(K4719="Date",NOW(),K4719),""))</f>
        <v>Date</v>
      </c>
    </row>
    <row r="4720" spans="2:11">
      <c r="B4720" s="97" t="str">
        <f ca="1">IF(A4720="","Date",IF(A4720&lt;&gt;"",IF(B4720="Date",NOW(),B4720),""))</f>
        <v>Date</v>
      </c>
      <c r="C4720" s="19" t="str">
        <f>IF(ISBLANK(A4720),"Name",IF(ISNA(VLOOKUP(A4720,'Master List'!A:C,2,FALSE)), "Not Found", VLOOKUP(A4720,'Master List'!A:C,2,FALSE)))</f>
        <v>Name</v>
      </c>
      <c r="D4720" s="19" t="str">
        <f>IF(ISBLANK(A4720), "Email",IF(ISNA(VLOOKUP(A4720,'Master List'!A:C,3,FALSE)), "Not Found", VLOOKUP(A4720,'Master List'!A:C,3,FALSE)))</f>
        <v>Email</v>
      </c>
      <c r="F4720" s="4" t="str">
        <f>IF(OR(A4720="",E4720="","",A4720="?",E4720="?"),"duplicate?",IF(COUNTIFS($A:A,A4720,E:E,E4720)&gt;1,"yes","no"))</f>
        <v>duplicate?</v>
      </c>
      <c r="K4720" s="97" t="str">
        <f ca="1">IF(J4720="","Date",IF(J4720&lt;&gt;"",IF(K4720="Date",NOW(),K4720),""))</f>
        <v>Date</v>
      </c>
    </row>
    <row r="4721" spans="2:11">
      <c r="B4721" s="97" t="str">
        <f ca="1">IF(A4721="","Date",IF(A4721&lt;&gt;"",IF(B4721="Date",NOW(),B4721),""))</f>
        <v>Date</v>
      </c>
      <c r="C4721" s="19" t="str">
        <f>IF(ISBLANK(A4721),"Name",IF(ISNA(VLOOKUP(A4721,'Master List'!A:C,2,FALSE)), "Not Found", VLOOKUP(A4721,'Master List'!A:C,2,FALSE)))</f>
        <v>Name</v>
      </c>
      <c r="D4721" s="19" t="str">
        <f>IF(ISBLANK(A4721), "Email",IF(ISNA(VLOOKUP(A4721,'Master List'!A:C,3,FALSE)), "Not Found", VLOOKUP(A4721,'Master List'!A:C,3,FALSE)))</f>
        <v>Email</v>
      </c>
      <c r="F4721" s="4" t="str">
        <f>IF(OR(A4721="",E4721="","",A4721="?",E4721="?"),"duplicate?",IF(COUNTIFS($A:A,A4721,E:E,E4721)&gt;1,"yes","no"))</f>
        <v>duplicate?</v>
      </c>
      <c r="K4721" s="97" t="str">
        <f ca="1">IF(J4721="","Date",IF(J4721&lt;&gt;"",IF(K4721="Date",NOW(),K4721),""))</f>
        <v>Date</v>
      </c>
    </row>
    <row r="4722" spans="2:11">
      <c r="B4722" s="97" t="str">
        <f ca="1">IF(A4722="","Date",IF(A4722&lt;&gt;"",IF(B4722="Date",NOW(),B4722),""))</f>
        <v>Date</v>
      </c>
      <c r="C4722" s="19" t="str">
        <f>IF(ISBLANK(A4722),"Name",IF(ISNA(VLOOKUP(A4722,'Master List'!A:C,2,FALSE)), "Not Found", VLOOKUP(A4722,'Master List'!A:C,2,FALSE)))</f>
        <v>Name</v>
      </c>
      <c r="D4722" s="19" t="str">
        <f>IF(ISBLANK(A4722), "Email",IF(ISNA(VLOOKUP(A4722,'Master List'!A:C,3,FALSE)), "Not Found", VLOOKUP(A4722,'Master List'!A:C,3,FALSE)))</f>
        <v>Email</v>
      </c>
      <c r="F4722" s="4" t="str">
        <f>IF(OR(A4722="",E4722="","",A4722="?",E4722="?"),"duplicate?",IF(COUNTIFS($A:A,A4722,E:E,E4722)&gt;1,"yes","no"))</f>
        <v>duplicate?</v>
      </c>
      <c r="K4722" s="97" t="str">
        <f ca="1">IF(J4722="","Date",IF(J4722&lt;&gt;"",IF(K4722="Date",NOW(),K4722),""))</f>
        <v>Date</v>
      </c>
    </row>
    <row r="4723" spans="2:11">
      <c r="B4723" s="97" t="str">
        <f ca="1">IF(A4723="","Date",IF(A4723&lt;&gt;"",IF(B4723="Date",NOW(),B4723),""))</f>
        <v>Date</v>
      </c>
      <c r="C4723" s="19" t="str">
        <f>IF(ISBLANK(A4723),"Name",IF(ISNA(VLOOKUP(A4723,'Master List'!A:C,2,FALSE)), "Not Found", VLOOKUP(A4723,'Master List'!A:C,2,FALSE)))</f>
        <v>Name</v>
      </c>
      <c r="D4723" s="19" t="str">
        <f>IF(ISBLANK(A4723), "Email",IF(ISNA(VLOOKUP(A4723,'Master List'!A:C,3,FALSE)), "Not Found", VLOOKUP(A4723,'Master List'!A:C,3,FALSE)))</f>
        <v>Email</v>
      </c>
      <c r="F4723" s="4" t="str">
        <f>IF(OR(A4723="",E4723="","",A4723="?",E4723="?"),"duplicate?",IF(COUNTIFS($A:A,A4723,E:E,E4723)&gt;1,"yes","no"))</f>
        <v>duplicate?</v>
      </c>
      <c r="K4723" s="97" t="str">
        <f ca="1">IF(J4723="","Date",IF(J4723&lt;&gt;"",IF(K4723="Date",NOW(),K4723),""))</f>
        <v>Date</v>
      </c>
    </row>
    <row r="4724" spans="2:11">
      <c r="B4724" s="97" t="str">
        <f ca="1">IF(A4724="","Date",IF(A4724&lt;&gt;"",IF(B4724="Date",NOW(),B4724),""))</f>
        <v>Date</v>
      </c>
      <c r="C4724" s="19" t="str">
        <f>IF(ISBLANK(A4724),"Name",IF(ISNA(VLOOKUP(A4724,'Master List'!A:C,2,FALSE)), "Not Found", VLOOKUP(A4724,'Master List'!A:C,2,FALSE)))</f>
        <v>Name</v>
      </c>
      <c r="D4724" s="19" t="str">
        <f>IF(ISBLANK(A4724), "Email",IF(ISNA(VLOOKUP(A4724,'Master List'!A:C,3,FALSE)), "Not Found", VLOOKUP(A4724,'Master List'!A:C,3,FALSE)))</f>
        <v>Email</v>
      </c>
      <c r="F4724" s="4" t="str">
        <f>IF(OR(A4724="",E4724="","",A4724="?",E4724="?"),"duplicate?",IF(COUNTIFS($A:A,A4724,E:E,E4724)&gt;1,"yes","no"))</f>
        <v>duplicate?</v>
      </c>
      <c r="K4724" s="97" t="str">
        <f ca="1">IF(J4724="","Date",IF(J4724&lt;&gt;"",IF(K4724="Date",NOW(),K4724),""))</f>
        <v>Date</v>
      </c>
    </row>
    <row r="4725" spans="2:11">
      <c r="B4725" s="97" t="str">
        <f ca="1">IF(A4725="","Date",IF(A4725&lt;&gt;"",IF(B4725="Date",NOW(),B4725),""))</f>
        <v>Date</v>
      </c>
      <c r="C4725" s="19" t="str">
        <f>IF(ISBLANK(A4725),"Name",IF(ISNA(VLOOKUP(A4725,'Master List'!A:C,2,FALSE)), "Not Found", VLOOKUP(A4725,'Master List'!A:C,2,FALSE)))</f>
        <v>Name</v>
      </c>
      <c r="D4725" s="19" t="str">
        <f>IF(ISBLANK(A4725), "Email",IF(ISNA(VLOOKUP(A4725,'Master List'!A:C,3,FALSE)), "Not Found", VLOOKUP(A4725,'Master List'!A:C,3,FALSE)))</f>
        <v>Email</v>
      </c>
      <c r="F4725" s="4" t="str">
        <f>IF(OR(A4725="",E4725="","",A4725="?",E4725="?"),"duplicate?",IF(COUNTIFS($A:A,A4725,E:E,E4725)&gt;1,"yes","no"))</f>
        <v>duplicate?</v>
      </c>
      <c r="K4725" s="97" t="str">
        <f ca="1">IF(J4725="","Date",IF(J4725&lt;&gt;"",IF(K4725="Date",NOW(),K4725),""))</f>
        <v>Date</v>
      </c>
    </row>
    <row r="4726" spans="2:11">
      <c r="B4726" s="97" t="str">
        <f ca="1">IF(A4726="","Date",IF(A4726&lt;&gt;"",IF(B4726="Date",NOW(),B4726),""))</f>
        <v>Date</v>
      </c>
      <c r="C4726" s="19" t="str">
        <f>IF(ISBLANK(A4726),"Name",IF(ISNA(VLOOKUP(A4726,'Master List'!A:C,2,FALSE)), "Not Found", VLOOKUP(A4726,'Master List'!A:C,2,FALSE)))</f>
        <v>Name</v>
      </c>
      <c r="D4726" s="19" t="str">
        <f>IF(ISBLANK(A4726), "Email",IF(ISNA(VLOOKUP(A4726,'Master List'!A:C,3,FALSE)), "Not Found", VLOOKUP(A4726,'Master List'!A:C,3,FALSE)))</f>
        <v>Email</v>
      </c>
      <c r="F4726" s="4" t="str">
        <f>IF(OR(A4726="",E4726="","",A4726="?",E4726="?"),"duplicate?",IF(COUNTIFS($A:A,A4726,E:E,E4726)&gt;1,"yes","no"))</f>
        <v>duplicate?</v>
      </c>
      <c r="K4726" s="97" t="str">
        <f ca="1">IF(J4726="","Date",IF(J4726&lt;&gt;"",IF(K4726="Date",NOW(),K4726),""))</f>
        <v>Date</v>
      </c>
    </row>
    <row r="4727" spans="2:11">
      <c r="B4727" s="97" t="str">
        <f ca="1">IF(A4727="","Date",IF(A4727&lt;&gt;"",IF(B4727="Date",NOW(),B4727),""))</f>
        <v>Date</v>
      </c>
      <c r="C4727" s="19" t="str">
        <f>IF(ISBLANK(A4727),"Name",IF(ISNA(VLOOKUP(A4727,'Master List'!A:C,2,FALSE)), "Not Found", VLOOKUP(A4727,'Master List'!A:C,2,FALSE)))</f>
        <v>Name</v>
      </c>
      <c r="D4727" s="19" t="str">
        <f>IF(ISBLANK(A4727), "Email",IF(ISNA(VLOOKUP(A4727,'Master List'!A:C,3,FALSE)), "Not Found", VLOOKUP(A4727,'Master List'!A:C,3,FALSE)))</f>
        <v>Email</v>
      </c>
      <c r="F4727" s="4" t="str">
        <f>IF(OR(A4727="",E4727="","",A4727="?",E4727="?"),"duplicate?",IF(COUNTIFS($A:A,A4727,E:E,E4727)&gt;1,"yes","no"))</f>
        <v>duplicate?</v>
      </c>
      <c r="K4727" s="97" t="str">
        <f ca="1">IF(J4727="","Date",IF(J4727&lt;&gt;"",IF(K4727="Date",NOW(),K4727),""))</f>
        <v>Date</v>
      </c>
    </row>
    <row r="4728" spans="2:11">
      <c r="B4728" s="97" t="str">
        <f ca="1">IF(A4728="","Date",IF(A4728&lt;&gt;"",IF(B4728="Date",NOW(),B4728),""))</f>
        <v>Date</v>
      </c>
      <c r="C4728" s="19" t="str">
        <f>IF(ISBLANK(A4728),"Name",IF(ISNA(VLOOKUP(A4728,'Master List'!A:C,2,FALSE)), "Not Found", VLOOKUP(A4728,'Master List'!A:C,2,FALSE)))</f>
        <v>Name</v>
      </c>
      <c r="D4728" s="19" t="str">
        <f>IF(ISBLANK(A4728), "Email",IF(ISNA(VLOOKUP(A4728,'Master List'!A:C,3,FALSE)), "Not Found", VLOOKUP(A4728,'Master List'!A:C,3,FALSE)))</f>
        <v>Email</v>
      </c>
      <c r="F4728" s="4" t="str">
        <f>IF(OR(A4728="",E4728="","",A4728="?",E4728="?"),"duplicate?",IF(COUNTIFS($A:A,A4728,E:E,E4728)&gt;1,"yes","no"))</f>
        <v>duplicate?</v>
      </c>
      <c r="K4728" s="97" t="str">
        <f ca="1">IF(J4728="","Date",IF(J4728&lt;&gt;"",IF(K4728="Date",NOW(),K4728),""))</f>
        <v>Date</v>
      </c>
    </row>
    <row r="4729" spans="2:11">
      <c r="B4729" s="97" t="str">
        <f ca="1">IF(A4729="","Date",IF(A4729&lt;&gt;"",IF(B4729="Date",NOW(),B4729),""))</f>
        <v>Date</v>
      </c>
      <c r="C4729" s="19" t="str">
        <f>IF(ISBLANK(A4729),"Name",IF(ISNA(VLOOKUP(A4729,'Master List'!A:C,2,FALSE)), "Not Found", VLOOKUP(A4729,'Master List'!A:C,2,FALSE)))</f>
        <v>Name</v>
      </c>
      <c r="D4729" s="19" t="str">
        <f>IF(ISBLANK(A4729), "Email",IF(ISNA(VLOOKUP(A4729,'Master List'!A:C,3,FALSE)), "Not Found", VLOOKUP(A4729,'Master List'!A:C,3,FALSE)))</f>
        <v>Email</v>
      </c>
      <c r="F4729" s="4" t="str">
        <f>IF(OR(A4729="",E4729="","",A4729="?",E4729="?"),"duplicate?",IF(COUNTIFS($A:A,A4729,E:E,E4729)&gt;1,"yes","no"))</f>
        <v>duplicate?</v>
      </c>
      <c r="K4729" s="97" t="str">
        <f ca="1">IF(J4729="","Date",IF(J4729&lt;&gt;"",IF(K4729="Date",NOW(),K4729),""))</f>
        <v>Date</v>
      </c>
    </row>
    <row r="4730" spans="2:11">
      <c r="B4730" s="97" t="str">
        <f ca="1">IF(A4730="","Date",IF(A4730&lt;&gt;"",IF(B4730="Date",NOW(),B4730),""))</f>
        <v>Date</v>
      </c>
      <c r="C4730" s="19" t="str">
        <f>IF(ISBLANK(A4730),"Name",IF(ISNA(VLOOKUP(A4730,'Master List'!A:C,2,FALSE)), "Not Found", VLOOKUP(A4730,'Master List'!A:C,2,FALSE)))</f>
        <v>Name</v>
      </c>
      <c r="D4730" s="19" t="str">
        <f>IF(ISBLANK(A4730), "Email",IF(ISNA(VLOOKUP(A4730,'Master List'!A:C,3,FALSE)), "Not Found", VLOOKUP(A4730,'Master List'!A:C,3,FALSE)))</f>
        <v>Email</v>
      </c>
      <c r="F4730" s="4" t="str">
        <f>IF(OR(A4730="",E4730="","",A4730="?",E4730="?"),"duplicate?",IF(COUNTIFS($A:A,A4730,E:E,E4730)&gt;1,"yes","no"))</f>
        <v>duplicate?</v>
      </c>
      <c r="K4730" s="97" t="str">
        <f ca="1">IF(J4730="","Date",IF(J4730&lt;&gt;"",IF(K4730="Date",NOW(),K4730),""))</f>
        <v>Date</v>
      </c>
    </row>
    <row r="4731" spans="2:11">
      <c r="B4731" s="97" t="str">
        <f ca="1">IF(A4731="","Date",IF(A4731&lt;&gt;"",IF(B4731="Date",NOW(),B4731),""))</f>
        <v>Date</v>
      </c>
      <c r="C4731" s="19" t="str">
        <f>IF(ISBLANK(A4731),"Name",IF(ISNA(VLOOKUP(A4731,'Master List'!A:C,2,FALSE)), "Not Found", VLOOKUP(A4731,'Master List'!A:C,2,FALSE)))</f>
        <v>Name</v>
      </c>
      <c r="D4731" s="19" t="str">
        <f>IF(ISBLANK(A4731), "Email",IF(ISNA(VLOOKUP(A4731,'Master List'!A:C,3,FALSE)), "Not Found", VLOOKUP(A4731,'Master List'!A:C,3,FALSE)))</f>
        <v>Email</v>
      </c>
      <c r="F4731" s="4" t="str">
        <f>IF(OR(A4731="",E4731="","",A4731="?",E4731="?"),"duplicate?",IF(COUNTIFS($A:A,A4731,E:E,E4731)&gt;1,"yes","no"))</f>
        <v>duplicate?</v>
      </c>
      <c r="K4731" s="97" t="str">
        <f ca="1">IF(J4731="","Date",IF(J4731&lt;&gt;"",IF(K4731="Date",NOW(),K4731),""))</f>
        <v>Date</v>
      </c>
    </row>
    <row r="4732" spans="2:11">
      <c r="B4732" s="97" t="str">
        <f ca="1">IF(A4732="","Date",IF(A4732&lt;&gt;"",IF(B4732="Date",NOW(),B4732),""))</f>
        <v>Date</v>
      </c>
      <c r="C4732" s="19" t="str">
        <f>IF(ISBLANK(A4732),"Name",IF(ISNA(VLOOKUP(A4732,'Master List'!A:C,2,FALSE)), "Not Found", VLOOKUP(A4732,'Master List'!A:C,2,FALSE)))</f>
        <v>Name</v>
      </c>
      <c r="D4732" s="19" t="str">
        <f>IF(ISBLANK(A4732), "Email",IF(ISNA(VLOOKUP(A4732,'Master List'!A:C,3,FALSE)), "Not Found", VLOOKUP(A4732,'Master List'!A:C,3,FALSE)))</f>
        <v>Email</v>
      </c>
      <c r="F4732" s="4" t="str">
        <f>IF(OR(A4732="",E4732="","",A4732="?",E4732="?"),"duplicate?",IF(COUNTIFS($A:A,A4732,E:E,E4732)&gt;1,"yes","no"))</f>
        <v>duplicate?</v>
      </c>
      <c r="K4732" s="97" t="str">
        <f ca="1">IF(J4732="","Date",IF(J4732&lt;&gt;"",IF(K4732="Date",NOW(),K4732),""))</f>
        <v>Date</v>
      </c>
    </row>
    <row r="4733" spans="2:11">
      <c r="B4733" s="97" t="str">
        <f ca="1">IF(A4733="","Date",IF(A4733&lt;&gt;"",IF(B4733="Date",NOW(),B4733),""))</f>
        <v>Date</v>
      </c>
      <c r="C4733" s="19" t="str">
        <f>IF(ISBLANK(A4733),"Name",IF(ISNA(VLOOKUP(A4733,'Master List'!A:C,2,FALSE)), "Not Found", VLOOKUP(A4733,'Master List'!A:C,2,FALSE)))</f>
        <v>Name</v>
      </c>
      <c r="D4733" s="19" t="str">
        <f>IF(ISBLANK(A4733), "Email",IF(ISNA(VLOOKUP(A4733,'Master List'!A:C,3,FALSE)), "Not Found", VLOOKUP(A4733,'Master List'!A:C,3,FALSE)))</f>
        <v>Email</v>
      </c>
      <c r="F4733" s="4" t="str">
        <f>IF(OR(A4733="",E4733="","",A4733="?",E4733="?"),"duplicate?",IF(COUNTIFS($A:A,A4733,E:E,E4733)&gt;1,"yes","no"))</f>
        <v>duplicate?</v>
      </c>
      <c r="K4733" s="97" t="str">
        <f ca="1">IF(J4733="","Date",IF(J4733&lt;&gt;"",IF(K4733="Date",NOW(),K4733),""))</f>
        <v>Date</v>
      </c>
    </row>
    <row r="4734" spans="2:11">
      <c r="B4734" s="97" t="str">
        <f ca="1">IF(A4734="","Date",IF(A4734&lt;&gt;"",IF(B4734="Date",NOW(),B4734),""))</f>
        <v>Date</v>
      </c>
      <c r="C4734" s="19" t="str">
        <f>IF(ISBLANK(A4734),"Name",IF(ISNA(VLOOKUP(A4734,'Master List'!A:C,2,FALSE)), "Not Found", VLOOKUP(A4734,'Master List'!A:C,2,FALSE)))</f>
        <v>Name</v>
      </c>
      <c r="D4734" s="19" t="str">
        <f>IF(ISBLANK(A4734), "Email",IF(ISNA(VLOOKUP(A4734,'Master List'!A:C,3,FALSE)), "Not Found", VLOOKUP(A4734,'Master List'!A:C,3,FALSE)))</f>
        <v>Email</v>
      </c>
      <c r="F4734" s="4" t="str">
        <f>IF(OR(A4734="",E4734="","",A4734="?",E4734="?"),"duplicate?",IF(COUNTIFS($A:A,A4734,E:E,E4734)&gt;1,"yes","no"))</f>
        <v>duplicate?</v>
      </c>
      <c r="K4734" s="97" t="str">
        <f ca="1">IF(J4734="","Date",IF(J4734&lt;&gt;"",IF(K4734="Date",NOW(),K4734),""))</f>
        <v>Date</v>
      </c>
    </row>
    <row r="4735" spans="2:11">
      <c r="B4735" s="97" t="str">
        <f ca="1">IF(A4735="","Date",IF(A4735&lt;&gt;"",IF(B4735="Date",NOW(),B4735),""))</f>
        <v>Date</v>
      </c>
      <c r="C4735" s="19" t="str">
        <f>IF(ISBLANK(A4735),"Name",IF(ISNA(VLOOKUP(A4735,'Master List'!A:C,2,FALSE)), "Not Found", VLOOKUP(A4735,'Master List'!A:C,2,FALSE)))</f>
        <v>Name</v>
      </c>
      <c r="D4735" s="19" t="str">
        <f>IF(ISBLANK(A4735), "Email",IF(ISNA(VLOOKUP(A4735,'Master List'!A:C,3,FALSE)), "Not Found", VLOOKUP(A4735,'Master List'!A:C,3,FALSE)))</f>
        <v>Email</v>
      </c>
      <c r="F4735" s="4" t="str">
        <f>IF(OR(A4735="",E4735="","",A4735="?",E4735="?"),"duplicate?",IF(COUNTIFS($A:A,A4735,E:E,E4735)&gt;1,"yes","no"))</f>
        <v>duplicate?</v>
      </c>
      <c r="K4735" s="97" t="str">
        <f ca="1">IF(J4735="","Date",IF(J4735&lt;&gt;"",IF(K4735="Date",NOW(),K4735),""))</f>
        <v>Date</v>
      </c>
    </row>
    <row r="4736" spans="2:11">
      <c r="B4736" s="97" t="str">
        <f ca="1">IF(A4736="","Date",IF(A4736&lt;&gt;"",IF(B4736="Date",NOW(),B4736),""))</f>
        <v>Date</v>
      </c>
      <c r="C4736" s="19" t="str">
        <f>IF(ISBLANK(A4736),"Name",IF(ISNA(VLOOKUP(A4736,'Master List'!A:C,2,FALSE)), "Not Found", VLOOKUP(A4736,'Master List'!A:C,2,FALSE)))</f>
        <v>Name</v>
      </c>
      <c r="D4736" s="19" t="str">
        <f>IF(ISBLANK(A4736), "Email",IF(ISNA(VLOOKUP(A4736,'Master List'!A:C,3,FALSE)), "Not Found", VLOOKUP(A4736,'Master List'!A:C,3,FALSE)))</f>
        <v>Email</v>
      </c>
      <c r="F4736" s="4" t="str">
        <f>IF(OR(A4736="",E4736="","",A4736="?",E4736="?"),"duplicate?",IF(COUNTIFS($A:A,A4736,E:E,E4736)&gt;1,"yes","no"))</f>
        <v>duplicate?</v>
      </c>
      <c r="K4736" s="97" t="str">
        <f ca="1">IF(J4736="","Date",IF(J4736&lt;&gt;"",IF(K4736="Date",NOW(),K4736),""))</f>
        <v>Date</v>
      </c>
    </row>
    <row r="4737" spans="2:11">
      <c r="B4737" s="97" t="str">
        <f ca="1">IF(A4737="","Date",IF(A4737&lt;&gt;"",IF(B4737="Date",NOW(),B4737),""))</f>
        <v>Date</v>
      </c>
      <c r="C4737" s="19" t="str">
        <f>IF(ISBLANK(A4737),"Name",IF(ISNA(VLOOKUP(A4737,'Master List'!A:C,2,FALSE)), "Not Found", VLOOKUP(A4737,'Master List'!A:C,2,FALSE)))</f>
        <v>Name</v>
      </c>
      <c r="D4737" s="19" t="str">
        <f>IF(ISBLANK(A4737), "Email",IF(ISNA(VLOOKUP(A4737,'Master List'!A:C,3,FALSE)), "Not Found", VLOOKUP(A4737,'Master List'!A:C,3,FALSE)))</f>
        <v>Email</v>
      </c>
      <c r="F4737" s="4" t="str">
        <f>IF(OR(A4737="",E4737="","",A4737="?",E4737="?"),"duplicate?",IF(COUNTIFS($A:A,A4737,E:E,E4737)&gt;1,"yes","no"))</f>
        <v>duplicate?</v>
      </c>
      <c r="K4737" s="97" t="str">
        <f ca="1">IF(J4737="","Date",IF(J4737&lt;&gt;"",IF(K4737="Date",NOW(),K4737),""))</f>
        <v>Date</v>
      </c>
    </row>
    <row r="4738" spans="2:11">
      <c r="B4738" s="97" t="str">
        <f ca="1">IF(A4738="","Date",IF(A4738&lt;&gt;"",IF(B4738="Date",NOW(),B4738),""))</f>
        <v>Date</v>
      </c>
      <c r="C4738" s="19" t="str">
        <f>IF(ISBLANK(A4738),"Name",IF(ISNA(VLOOKUP(A4738,'Master List'!A:C,2,FALSE)), "Not Found", VLOOKUP(A4738,'Master List'!A:C,2,FALSE)))</f>
        <v>Name</v>
      </c>
      <c r="D4738" s="19" t="str">
        <f>IF(ISBLANK(A4738), "Email",IF(ISNA(VLOOKUP(A4738,'Master List'!A:C,3,FALSE)), "Not Found", VLOOKUP(A4738,'Master List'!A:C,3,FALSE)))</f>
        <v>Email</v>
      </c>
      <c r="F4738" s="4" t="str">
        <f>IF(OR(A4738="",E4738="","",A4738="?",E4738="?"),"duplicate?",IF(COUNTIFS($A:A,A4738,E:E,E4738)&gt;1,"yes","no"))</f>
        <v>duplicate?</v>
      </c>
      <c r="K4738" s="97" t="str">
        <f ca="1">IF(J4738="","Date",IF(J4738&lt;&gt;"",IF(K4738="Date",NOW(),K4738),""))</f>
        <v>Date</v>
      </c>
    </row>
    <row r="4739" spans="2:11">
      <c r="B4739" s="97" t="str">
        <f ca="1">IF(A4739="","Date",IF(A4739&lt;&gt;"",IF(B4739="Date",NOW(),B4739),""))</f>
        <v>Date</v>
      </c>
      <c r="C4739" s="19" t="str">
        <f>IF(ISBLANK(A4739),"Name",IF(ISNA(VLOOKUP(A4739,'Master List'!A:C,2,FALSE)), "Not Found", VLOOKUP(A4739,'Master List'!A:C,2,FALSE)))</f>
        <v>Name</v>
      </c>
      <c r="D4739" s="19" t="str">
        <f>IF(ISBLANK(A4739), "Email",IF(ISNA(VLOOKUP(A4739,'Master List'!A:C,3,FALSE)), "Not Found", VLOOKUP(A4739,'Master List'!A:C,3,FALSE)))</f>
        <v>Email</v>
      </c>
      <c r="F4739" s="4" t="str">
        <f>IF(OR(A4739="",E4739="","",A4739="?",E4739="?"),"duplicate?",IF(COUNTIFS($A:A,A4739,E:E,E4739)&gt;1,"yes","no"))</f>
        <v>duplicate?</v>
      </c>
      <c r="K4739" s="97" t="str">
        <f ca="1">IF(J4739="","Date",IF(J4739&lt;&gt;"",IF(K4739="Date",NOW(),K4739),""))</f>
        <v>Date</v>
      </c>
    </row>
    <row r="4740" spans="2:11">
      <c r="B4740" s="97" t="str">
        <f ca="1">IF(A4740="","Date",IF(A4740&lt;&gt;"",IF(B4740="Date",NOW(),B4740),""))</f>
        <v>Date</v>
      </c>
      <c r="C4740" s="19" t="str">
        <f>IF(ISBLANK(A4740),"Name",IF(ISNA(VLOOKUP(A4740,'Master List'!A:C,2,FALSE)), "Not Found", VLOOKUP(A4740,'Master List'!A:C,2,FALSE)))</f>
        <v>Name</v>
      </c>
      <c r="D4740" s="19" t="str">
        <f>IF(ISBLANK(A4740), "Email",IF(ISNA(VLOOKUP(A4740,'Master List'!A:C,3,FALSE)), "Not Found", VLOOKUP(A4740,'Master List'!A:C,3,FALSE)))</f>
        <v>Email</v>
      </c>
      <c r="F4740" s="4" t="str">
        <f>IF(OR(A4740="",E4740="","",A4740="?",E4740="?"),"duplicate?",IF(COUNTIFS($A:A,A4740,E:E,E4740)&gt;1,"yes","no"))</f>
        <v>duplicate?</v>
      </c>
      <c r="K4740" s="97" t="str">
        <f ca="1">IF(J4740="","Date",IF(J4740&lt;&gt;"",IF(K4740="Date",NOW(),K4740),""))</f>
        <v>Date</v>
      </c>
    </row>
    <row r="4741" spans="2:11">
      <c r="B4741" s="97" t="str">
        <f ca="1">IF(A4741="","Date",IF(A4741&lt;&gt;"",IF(B4741="Date",NOW(),B4741),""))</f>
        <v>Date</v>
      </c>
      <c r="C4741" s="19" t="str">
        <f>IF(ISBLANK(A4741),"Name",IF(ISNA(VLOOKUP(A4741,'Master List'!A:C,2,FALSE)), "Not Found", VLOOKUP(A4741,'Master List'!A:C,2,FALSE)))</f>
        <v>Name</v>
      </c>
      <c r="D4741" s="19" t="str">
        <f>IF(ISBLANK(A4741), "Email",IF(ISNA(VLOOKUP(A4741,'Master List'!A:C,3,FALSE)), "Not Found", VLOOKUP(A4741,'Master List'!A:C,3,FALSE)))</f>
        <v>Email</v>
      </c>
      <c r="F4741" s="4" t="str">
        <f>IF(OR(A4741="",E4741="","",A4741="?",E4741="?"),"duplicate?",IF(COUNTIFS($A:A,A4741,E:E,E4741)&gt;1,"yes","no"))</f>
        <v>duplicate?</v>
      </c>
      <c r="K4741" s="97" t="str">
        <f ca="1">IF(J4741="","Date",IF(J4741&lt;&gt;"",IF(K4741="Date",NOW(),K4741),""))</f>
        <v>Date</v>
      </c>
    </row>
    <row r="4742" spans="2:11">
      <c r="B4742" s="97" t="str">
        <f ca="1">IF(A4742="","Date",IF(A4742&lt;&gt;"",IF(B4742="Date",NOW(),B4742),""))</f>
        <v>Date</v>
      </c>
      <c r="C4742" s="19" t="str">
        <f>IF(ISBLANK(A4742),"Name",IF(ISNA(VLOOKUP(A4742,'Master List'!A:C,2,FALSE)), "Not Found", VLOOKUP(A4742,'Master List'!A:C,2,FALSE)))</f>
        <v>Name</v>
      </c>
      <c r="D4742" s="19" t="str">
        <f>IF(ISBLANK(A4742), "Email",IF(ISNA(VLOOKUP(A4742,'Master List'!A:C,3,FALSE)), "Not Found", VLOOKUP(A4742,'Master List'!A:C,3,FALSE)))</f>
        <v>Email</v>
      </c>
      <c r="F4742" s="4" t="str">
        <f>IF(OR(A4742="",E4742="","",A4742="?",E4742="?"),"duplicate?",IF(COUNTIFS($A:A,A4742,E:E,E4742)&gt;1,"yes","no"))</f>
        <v>duplicate?</v>
      </c>
      <c r="K4742" s="97" t="str">
        <f ca="1">IF(J4742="","Date",IF(J4742&lt;&gt;"",IF(K4742="Date",NOW(),K4742),""))</f>
        <v>Date</v>
      </c>
    </row>
    <row r="4743" spans="2:11">
      <c r="B4743" s="97" t="str">
        <f ca="1">IF(A4743="","Date",IF(A4743&lt;&gt;"",IF(B4743="Date",NOW(),B4743),""))</f>
        <v>Date</v>
      </c>
      <c r="C4743" s="19" t="str">
        <f>IF(ISBLANK(A4743),"Name",IF(ISNA(VLOOKUP(A4743,'Master List'!A:C,2,FALSE)), "Not Found", VLOOKUP(A4743,'Master List'!A:C,2,FALSE)))</f>
        <v>Name</v>
      </c>
      <c r="D4743" s="19" t="str">
        <f>IF(ISBLANK(A4743), "Email",IF(ISNA(VLOOKUP(A4743,'Master List'!A:C,3,FALSE)), "Not Found", VLOOKUP(A4743,'Master List'!A:C,3,FALSE)))</f>
        <v>Email</v>
      </c>
      <c r="F4743" s="4" t="str">
        <f>IF(OR(A4743="",E4743="","",A4743="?",E4743="?"),"duplicate?",IF(COUNTIFS($A:A,A4743,E:E,E4743)&gt;1,"yes","no"))</f>
        <v>duplicate?</v>
      </c>
      <c r="K4743" s="97" t="str">
        <f ca="1">IF(J4743="","Date",IF(J4743&lt;&gt;"",IF(K4743="Date",NOW(),K4743),""))</f>
        <v>Date</v>
      </c>
    </row>
    <row r="4744" spans="2:11">
      <c r="B4744" s="97" t="str">
        <f ca="1">IF(A4744="","Date",IF(A4744&lt;&gt;"",IF(B4744="Date",NOW(),B4744),""))</f>
        <v>Date</v>
      </c>
      <c r="C4744" s="19" t="str">
        <f>IF(ISBLANK(A4744),"Name",IF(ISNA(VLOOKUP(A4744,'Master List'!A:C,2,FALSE)), "Not Found", VLOOKUP(A4744,'Master List'!A:C,2,FALSE)))</f>
        <v>Name</v>
      </c>
      <c r="D4744" s="19" t="str">
        <f>IF(ISBLANK(A4744), "Email",IF(ISNA(VLOOKUP(A4744,'Master List'!A:C,3,FALSE)), "Not Found", VLOOKUP(A4744,'Master List'!A:C,3,FALSE)))</f>
        <v>Email</v>
      </c>
      <c r="F4744" s="4" t="str">
        <f>IF(OR(A4744="",E4744="","",A4744="?",E4744="?"),"duplicate?",IF(COUNTIFS($A:A,A4744,E:E,E4744)&gt;1,"yes","no"))</f>
        <v>duplicate?</v>
      </c>
      <c r="K4744" s="97" t="str">
        <f ca="1">IF(J4744="","Date",IF(J4744&lt;&gt;"",IF(K4744="Date",NOW(),K4744),""))</f>
        <v>Date</v>
      </c>
    </row>
    <row r="4745" spans="2:11">
      <c r="B4745" s="97" t="str">
        <f ca="1">IF(A4745="","Date",IF(A4745&lt;&gt;"",IF(B4745="Date",NOW(),B4745),""))</f>
        <v>Date</v>
      </c>
      <c r="C4745" s="19" t="str">
        <f>IF(ISBLANK(A4745),"Name",IF(ISNA(VLOOKUP(A4745,'Master List'!A:C,2,FALSE)), "Not Found", VLOOKUP(A4745,'Master List'!A:C,2,FALSE)))</f>
        <v>Name</v>
      </c>
      <c r="D4745" s="19" t="str">
        <f>IF(ISBLANK(A4745), "Email",IF(ISNA(VLOOKUP(A4745,'Master List'!A:C,3,FALSE)), "Not Found", VLOOKUP(A4745,'Master List'!A:C,3,FALSE)))</f>
        <v>Email</v>
      </c>
      <c r="F4745" s="4" t="str">
        <f>IF(OR(A4745="",E4745="","",A4745="?",E4745="?"),"duplicate?",IF(COUNTIFS($A:A,A4745,E:E,E4745)&gt;1,"yes","no"))</f>
        <v>duplicate?</v>
      </c>
      <c r="K4745" s="97" t="str">
        <f ca="1">IF(J4745="","Date",IF(J4745&lt;&gt;"",IF(K4745="Date",NOW(),K4745),""))</f>
        <v>Date</v>
      </c>
    </row>
    <row r="4746" spans="2:11">
      <c r="B4746" s="97" t="str">
        <f ca="1">IF(A4746="","Date",IF(A4746&lt;&gt;"",IF(B4746="Date",NOW(),B4746),""))</f>
        <v>Date</v>
      </c>
      <c r="C4746" s="19" t="str">
        <f>IF(ISBLANK(A4746),"Name",IF(ISNA(VLOOKUP(A4746,'Master List'!A:C,2,FALSE)), "Not Found", VLOOKUP(A4746,'Master List'!A:C,2,FALSE)))</f>
        <v>Name</v>
      </c>
      <c r="D4746" s="19" t="str">
        <f>IF(ISBLANK(A4746), "Email",IF(ISNA(VLOOKUP(A4746,'Master List'!A:C,3,FALSE)), "Not Found", VLOOKUP(A4746,'Master List'!A:C,3,FALSE)))</f>
        <v>Email</v>
      </c>
      <c r="F4746" s="4" t="str">
        <f>IF(OR(A4746="",E4746="","",A4746="?",E4746="?"),"duplicate?",IF(COUNTIFS($A:A,A4746,E:E,E4746)&gt;1,"yes","no"))</f>
        <v>duplicate?</v>
      </c>
      <c r="K4746" s="97" t="str">
        <f ca="1">IF(J4746="","Date",IF(J4746&lt;&gt;"",IF(K4746="Date",NOW(),K4746),""))</f>
        <v>Date</v>
      </c>
    </row>
    <row r="4747" spans="2:11">
      <c r="B4747" s="97" t="str">
        <f ca="1">IF(A4747="","Date",IF(A4747&lt;&gt;"",IF(B4747="Date",NOW(),B4747),""))</f>
        <v>Date</v>
      </c>
      <c r="C4747" s="19" t="str">
        <f>IF(ISBLANK(A4747),"Name",IF(ISNA(VLOOKUP(A4747,'Master List'!A:C,2,FALSE)), "Not Found", VLOOKUP(A4747,'Master List'!A:C,2,FALSE)))</f>
        <v>Name</v>
      </c>
      <c r="D4747" s="19" t="str">
        <f>IF(ISBLANK(A4747), "Email",IF(ISNA(VLOOKUP(A4747,'Master List'!A:C,3,FALSE)), "Not Found", VLOOKUP(A4747,'Master List'!A:C,3,FALSE)))</f>
        <v>Email</v>
      </c>
      <c r="F4747" s="4" t="str">
        <f>IF(OR(A4747="",E4747="","",A4747="?",E4747="?"),"duplicate?",IF(COUNTIFS($A:A,A4747,E:E,E4747)&gt;1,"yes","no"))</f>
        <v>duplicate?</v>
      </c>
      <c r="K4747" s="97" t="str">
        <f ca="1">IF(J4747="","Date",IF(J4747&lt;&gt;"",IF(K4747="Date",NOW(),K4747),""))</f>
        <v>Date</v>
      </c>
    </row>
    <row r="4748" spans="2:11">
      <c r="B4748" s="97" t="str">
        <f ca="1">IF(A4748="","Date",IF(A4748&lt;&gt;"",IF(B4748="Date",NOW(),B4748),""))</f>
        <v>Date</v>
      </c>
      <c r="C4748" s="19" t="str">
        <f>IF(ISBLANK(A4748),"Name",IF(ISNA(VLOOKUP(A4748,'Master List'!A:C,2,FALSE)), "Not Found", VLOOKUP(A4748,'Master List'!A:C,2,FALSE)))</f>
        <v>Name</v>
      </c>
      <c r="D4748" s="19" t="str">
        <f>IF(ISBLANK(A4748), "Email",IF(ISNA(VLOOKUP(A4748,'Master List'!A:C,3,FALSE)), "Not Found", VLOOKUP(A4748,'Master List'!A:C,3,FALSE)))</f>
        <v>Email</v>
      </c>
      <c r="F4748" s="4" t="str">
        <f>IF(OR(A4748="",E4748="","",A4748="?",E4748="?"),"duplicate?",IF(COUNTIFS($A:A,A4748,E:E,E4748)&gt;1,"yes","no"))</f>
        <v>duplicate?</v>
      </c>
      <c r="K4748" s="97" t="str">
        <f ca="1">IF(J4748="","Date",IF(J4748&lt;&gt;"",IF(K4748="Date",NOW(),K4748),""))</f>
        <v>Date</v>
      </c>
    </row>
    <row r="4749" spans="2:11">
      <c r="B4749" s="97" t="str">
        <f ca="1">IF(A4749="","Date",IF(A4749&lt;&gt;"",IF(B4749="Date",NOW(),B4749),""))</f>
        <v>Date</v>
      </c>
      <c r="C4749" s="19" t="str">
        <f>IF(ISBLANK(A4749),"Name",IF(ISNA(VLOOKUP(A4749,'Master List'!A:C,2,FALSE)), "Not Found", VLOOKUP(A4749,'Master List'!A:C,2,FALSE)))</f>
        <v>Name</v>
      </c>
      <c r="D4749" s="19" t="str">
        <f>IF(ISBLANK(A4749), "Email",IF(ISNA(VLOOKUP(A4749,'Master List'!A:C,3,FALSE)), "Not Found", VLOOKUP(A4749,'Master List'!A:C,3,FALSE)))</f>
        <v>Email</v>
      </c>
      <c r="F4749" s="4" t="str">
        <f>IF(OR(A4749="",E4749="","",A4749="?",E4749="?"),"duplicate?",IF(COUNTIFS($A:A,A4749,E:E,E4749)&gt;1,"yes","no"))</f>
        <v>duplicate?</v>
      </c>
      <c r="K4749" s="97" t="str">
        <f ca="1">IF(J4749="","Date",IF(J4749&lt;&gt;"",IF(K4749="Date",NOW(),K4749),""))</f>
        <v>Date</v>
      </c>
    </row>
    <row r="4750" spans="2:11">
      <c r="B4750" s="97" t="str">
        <f ca="1">IF(A4750="","Date",IF(A4750&lt;&gt;"",IF(B4750="Date",NOW(),B4750),""))</f>
        <v>Date</v>
      </c>
      <c r="C4750" s="19" t="str">
        <f>IF(ISBLANK(A4750),"Name",IF(ISNA(VLOOKUP(A4750,'Master List'!A:C,2,FALSE)), "Not Found", VLOOKUP(A4750,'Master List'!A:C,2,FALSE)))</f>
        <v>Name</v>
      </c>
      <c r="D4750" s="19" t="str">
        <f>IF(ISBLANK(A4750), "Email",IF(ISNA(VLOOKUP(A4750,'Master List'!A:C,3,FALSE)), "Not Found", VLOOKUP(A4750,'Master List'!A:C,3,FALSE)))</f>
        <v>Email</v>
      </c>
      <c r="F4750" s="4" t="str">
        <f>IF(OR(A4750="",E4750="","",A4750="?",E4750="?"),"duplicate?",IF(COUNTIFS($A:A,A4750,E:E,E4750)&gt;1,"yes","no"))</f>
        <v>duplicate?</v>
      </c>
      <c r="K4750" s="97" t="str">
        <f ca="1">IF(J4750="","Date",IF(J4750&lt;&gt;"",IF(K4750="Date",NOW(),K4750),""))</f>
        <v>Date</v>
      </c>
    </row>
    <row r="4751" spans="2:11">
      <c r="B4751" s="97" t="str">
        <f ca="1">IF(A4751="","Date",IF(A4751&lt;&gt;"",IF(B4751="Date",NOW(),B4751),""))</f>
        <v>Date</v>
      </c>
      <c r="C4751" s="19" t="str">
        <f>IF(ISBLANK(A4751),"Name",IF(ISNA(VLOOKUP(A4751,'Master List'!A:C,2,FALSE)), "Not Found", VLOOKUP(A4751,'Master List'!A:C,2,FALSE)))</f>
        <v>Name</v>
      </c>
      <c r="D4751" s="19" t="str">
        <f>IF(ISBLANK(A4751), "Email",IF(ISNA(VLOOKUP(A4751,'Master List'!A:C,3,FALSE)), "Not Found", VLOOKUP(A4751,'Master List'!A:C,3,FALSE)))</f>
        <v>Email</v>
      </c>
      <c r="F4751" s="4" t="str">
        <f>IF(OR(A4751="",E4751="","",A4751="?",E4751="?"),"duplicate?",IF(COUNTIFS($A:A,A4751,E:E,E4751)&gt;1,"yes","no"))</f>
        <v>duplicate?</v>
      </c>
      <c r="K4751" s="97" t="str">
        <f ca="1">IF(J4751="","Date",IF(J4751&lt;&gt;"",IF(K4751="Date",NOW(),K4751),""))</f>
        <v>Date</v>
      </c>
    </row>
    <row r="4752" spans="2:11">
      <c r="B4752" s="97" t="str">
        <f ca="1">IF(A4752="","Date",IF(A4752&lt;&gt;"",IF(B4752="Date",NOW(),B4752),""))</f>
        <v>Date</v>
      </c>
      <c r="C4752" s="19" t="str">
        <f>IF(ISBLANK(A4752),"Name",IF(ISNA(VLOOKUP(A4752,'Master List'!A:C,2,FALSE)), "Not Found", VLOOKUP(A4752,'Master List'!A:C,2,FALSE)))</f>
        <v>Name</v>
      </c>
      <c r="D4752" s="19" t="str">
        <f>IF(ISBLANK(A4752), "Email",IF(ISNA(VLOOKUP(A4752,'Master List'!A:C,3,FALSE)), "Not Found", VLOOKUP(A4752,'Master List'!A:C,3,FALSE)))</f>
        <v>Email</v>
      </c>
      <c r="F4752" s="4" t="str">
        <f>IF(OR(A4752="",E4752="","",A4752="?",E4752="?"),"duplicate?",IF(COUNTIFS($A:A,A4752,E:E,E4752)&gt;1,"yes","no"))</f>
        <v>duplicate?</v>
      </c>
      <c r="K4752" s="97" t="str">
        <f ca="1">IF(J4752="","Date",IF(J4752&lt;&gt;"",IF(K4752="Date",NOW(),K4752),""))</f>
        <v>Date</v>
      </c>
    </row>
    <row r="4753" spans="2:11">
      <c r="B4753" s="97" t="str">
        <f ca="1">IF(A4753="","Date",IF(A4753&lt;&gt;"",IF(B4753="Date",NOW(),B4753),""))</f>
        <v>Date</v>
      </c>
      <c r="C4753" s="19" t="str">
        <f>IF(ISBLANK(A4753),"Name",IF(ISNA(VLOOKUP(A4753,'Master List'!A:C,2,FALSE)), "Not Found", VLOOKUP(A4753,'Master List'!A:C,2,FALSE)))</f>
        <v>Name</v>
      </c>
      <c r="D4753" s="19" t="str">
        <f>IF(ISBLANK(A4753), "Email",IF(ISNA(VLOOKUP(A4753,'Master List'!A:C,3,FALSE)), "Not Found", VLOOKUP(A4753,'Master List'!A:C,3,FALSE)))</f>
        <v>Email</v>
      </c>
      <c r="F4753" s="4" t="str">
        <f>IF(OR(A4753="",E4753="","",A4753="?",E4753="?"),"duplicate?",IF(COUNTIFS($A:A,A4753,E:E,E4753)&gt;1,"yes","no"))</f>
        <v>duplicate?</v>
      </c>
      <c r="K4753" s="97" t="str">
        <f ca="1">IF(J4753="","Date",IF(J4753&lt;&gt;"",IF(K4753="Date",NOW(),K4753),""))</f>
        <v>Date</v>
      </c>
    </row>
    <row r="4754" spans="2:11">
      <c r="B4754" s="97" t="str">
        <f ca="1">IF(A4754="","Date",IF(A4754&lt;&gt;"",IF(B4754="Date",NOW(),B4754),""))</f>
        <v>Date</v>
      </c>
      <c r="C4754" s="19" t="str">
        <f>IF(ISBLANK(A4754),"Name",IF(ISNA(VLOOKUP(A4754,'Master List'!A:C,2,FALSE)), "Not Found", VLOOKUP(A4754,'Master List'!A:C,2,FALSE)))</f>
        <v>Name</v>
      </c>
      <c r="D4754" s="19" t="str">
        <f>IF(ISBLANK(A4754), "Email",IF(ISNA(VLOOKUP(A4754,'Master List'!A:C,3,FALSE)), "Not Found", VLOOKUP(A4754,'Master List'!A:C,3,FALSE)))</f>
        <v>Email</v>
      </c>
      <c r="F4754" s="4" t="str">
        <f>IF(OR(A4754="",E4754="","",A4754="?",E4754="?"),"duplicate?",IF(COUNTIFS($A:A,A4754,E:E,E4754)&gt;1,"yes","no"))</f>
        <v>duplicate?</v>
      </c>
      <c r="K4754" s="97" t="str">
        <f ca="1">IF(J4754="","Date",IF(J4754&lt;&gt;"",IF(K4754="Date",NOW(),K4754),""))</f>
        <v>Date</v>
      </c>
    </row>
    <row r="4755" spans="2:11">
      <c r="B4755" s="97" t="str">
        <f ca="1">IF(A4755="","Date",IF(A4755&lt;&gt;"",IF(B4755="Date",NOW(),B4755),""))</f>
        <v>Date</v>
      </c>
      <c r="C4755" s="19" t="str">
        <f>IF(ISBLANK(A4755),"Name",IF(ISNA(VLOOKUP(A4755,'Master List'!A:C,2,FALSE)), "Not Found", VLOOKUP(A4755,'Master List'!A:C,2,FALSE)))</f>
        <v>Name</v>
      </c>
      <c r="D4755" s="19" t="str">
        <f>IF(ISBLANK(A4755), "Email",IF(ISNA(VLOOKUP(A4755,'Master List'!A:C,3,FALSE)), "Not Found", VLOOKUP(A4755,'Master List'!A:C,3,FALSE)))</f>
        <v>Email</v>
      </c>
      <c r="F4755" s="4" t="str">
        <f>IF(OR(A4755="",E4755="","",A4755="?",E4755="?"),"duplicate?",IF(COUNTIFS($A:A,A4755,E:E,E4755)&gt;1,"yes","no"))</f>
        <v>duplicate?</v>
      </c>
      <c r="K4755" s="97" t="str">
        <f ca="1">IF(J4755="","Date",IF(J4755&lt;&gt;"",IF(K4755="Date",NOW(),K4755),""))</f>
        <v>Date</v>
      </c>
    </row>
    <row r="4756" spans="2:11">
      <c r="B4756" s="97" t="str">
        <f ca="1">IF(A4756="","Date",IF(A4756&lt;&gt;"",IF(B4756="Date",NOW(),B4756),""))</f>
        <v>Date</v>
      </c>
      <c r="C4756" s="19" t="str">
        <f>IF(ISBLANK(A4756),"Name",IF(ISNA(VLOOKUP(A4756,'Master List'!A:C,2,FALSE)), "Not Found", VLOOKUP(A4756,'Master List'!A:C,2,FALSE)))</f>
        <v>Name</v>
      </c>
      <c r="D4756" s="19" t="str">
        <f>IF(ISBLANK(A4756), "Email",IF(ISNA(VLOOKUP(A4756,'Master List'!A:C,3,FALSE)), "Not Found", VLOOKUP(A4756,'Master List'!A:C,3,FALSE)))</f>
        <v>Email</v>
      </c>
      <c r="F4756" s="4" t="str">
        <f>IF(OR(A4756="",E4756="","",A4756="?",E4756="?"),"duplicate?",IF(COUNTIFS($A:A,A4756,E:E,E4756)&gt;1,"yes","no"))</f>
        <v>duplicate?</v>
      </c>
      <c r="K4756" s="97" t="str">
        <f ca="1">IF(J4756="","Date",IF(J4756&lt;&gt;"",IF(K4756="Date",NOW(),K4756),""))</f>
        <v>Date</v>
      </c>
    </row>
    <row r="4757" spans="2:11">
      <c r="B4757" s="97" t="str">
        <f ca="1">IF(A4757="","Date",IF(A4757&lt;&gt;"",IF(B4757="Date",NOW(),B4757),""))</f>
        <v>Date</v>
      </c>
      <c r="C4757" s="19" t="str">
        <f>IF(ISBLANK(A4757),"Name",IF(ISNA(VLOOKUP(A4757,'Master List'!A:C,2,FALSE)), "Not Found", VLOOKUP(A4757,'Master List'!A:C,2,FALSE)))</f>
        <v>Name</v>
      </c>
      <c r="D4757" s="19" t="str">
        <f>IF(ISBLANK(A4757), "Email",IF(ISNA(VLOOKUP(A4757,'Master List'!A:C,3,FALSE)), "Not Found", VLOOKUP(A4757,'Master List'!A:C,3,FALSE)))</f>
        <v>Email</v>
      </c>
      <c r="F4757" s="4" t="str">
        <f>IF(OR(A4757="",E4757="","",A4757="?",E4757="?"),"duplicate?",IF(COUNTIFS($A:A,A4757,E:E,E4757)&gt;1,"yes","no"))</f>
        <v>duplicate?</v>
      </c>
      <c r="K4757" s="97" t="str">
        <f ca="1">IF(J4757="","Date",IF(J4757&lt;&gt;"",IF(K4757="Date",NOW(),K4757),""))</f>
        <v>Date</v>
      </c>
    </row>
    <row r="4758" spans="2:11">
      <c r="B4758" s="97" t="str">
        <f ca="1">IF(A4758="","Date",IF(A4758&lt;&gt;"",IF(B4758="Date",NOW(),B4758),""))</f>
        <v>Date</v>
      </c>
      <c r="C4758" s="19" t="str">
        <f>IF(ISBLANK(A4758),"Name",IF(ISNA(VLOOKUP(A4758,'Master List'!A:C,2,FALSE)), "Not Found", VLOOKUP(A4758,'Master List'!A:C,2,FALSE)))</f>
        <v>Name</v>
      </c>
      <c r="D4758" s="19" t="str">
        <f>IF(ISBLANK(A4758), "Email",IF(ISNA(VLOOKUP(A4758,'Master List'!A:C,3,FALSE)), "Not Found", VLOOKUP(A4758,'Master List'!A:C,3,FALSE)))</f>
        <v>Email</v>
      </c>
      <c r="F4758" s="4" t="str">
        <f>IF(OR(A4758="",E4758="","",A4758="?",E4758="?"),"duplicate?",IF(COUNTIFS($A:A,A4758,E:E,E4758)&gt;1,"yes","no"))</f>
        <v>duplicate?</v>
      </c>
      <c r="K4758" s="97" t="str">
        <f ca="1">IF(J4758="","Date",IF(J4758&lt;&gt;"",IF(K4758="Date",NOW(),K4758),""))</f>
        <v>Date</v>
      </c>
    </row>
    <row r="4759" spans="2:11">
      <c r="B4759" s="97" t="str">
        <f ca="1">IF(A4759="","Date",IF(A4759&lt;&gt;"",IF(B4759="Date",NOW(),B4759),""))</f>
        <v>Date</v>
      </c>
      <c r="C4759" s="19" t="str">
        <f>IF(ISBLANK(A4759),"Name",IF(ISNA(VLOOKUP(A4759,'Master List'!A:C,2,FALSE)), "Not Found", VLOOKUP(A4759,'Master List'!A:C,2,FALSE)))</f>
        <v>Name</v>
      </c>
      <c r="D4759" s="19" t="str">
        <f>IF(ISBLANK(A4759), "Email",IF(ISNA(VLOOKUP(A4759,'Master List'!A:C,3,FALSE)), "Not Found", VLOOKUP(A4759,'Master List'!A:C,3,FALSE)))</f>
        <v>Email</v>
      </c>
      <c r="F4759" s="4" t="str">
        <f>IF(OR(A4759="",E4759="","",A4759="?",E4759="?"),"duplicate?",IF(COUNTIFS($A:A,A4759,E:E,E4759)&gt;1,"yes","no"))</f>
        <v>duplicate?</v>
      </c>
      <c r="K4759" s="97" t="str">
        <f ca="1">IF(J4759="","Date",IF(J4759&lt;&gt;"",IF(K4759="Date",NOW(),K4759),""))</f>
        <v>Date</v>
      </c>
    </row>
    <row r="4760" spans="2:11">
      <c r="B4760" s="97" t="str">
        <f ca="1">IF(A4760="","Date",IF(A4760&lt;&gt;"",IF(B4760="Date",NOW(),B4760),""))</f>
        <v>Date</v>
      </c>
      <c r="C4760" s="19" t="str">
        <f>IF(ISBLANK(A4760),"Name",IF(ISNA(VLOOKUP(A4760,'Master List'!A:C,2,FALSE)), "Not Found", VLOOKUP(A4760,'Master List'!A:C,2,FALSE)))</f>
        <v>Name</v>
      </c>
      <c r="D4760" s="19" t="str">
        <f>IF(ISBLANK(A4760), "Email",IF(ISNA(VLOOKUP(A4760,'Master List'!A:C,3,FALSE)), "Not Found", VLOOKUP(A4760,'Master List'!A:C,3,FALSE)))</f>
        <v>Email</v>
      </c>
      <c r="F4760" s="4" t="str">
        <f>IF(OR(A4760="",E4760="","",A4760="?",E4760="?"),"duplicate?",IF(COUNTIFS($A:A,A4760,E:E,E4760)&gt;1,"yes","no"))</f>
        <v>duplicate?</v>
      </c>
      <c r="K4760" s="97" t="str">
        <f ca="1">IF(J4760="","Date",IF(J4760&lt;&gt;"",IF(K4760="Date",NOW(),K4760),""))</f>
        <v>Date</v>
      </c>
    </row>
    <row r="4761" spans="2:11">
      <c r="B4761" s="97" t="str">
        <f ca="1">IF(A4761="","Date",IF(A4761&lt;&gt;"",IF(B4761="Date",NOW(),B4761),""))</f>
        <v>Date</v>
      </c>
      <c r="C4761" s="19" t="str">
        <f>IF(ISBLANK(A4761),"Name",IF(ISNA(VLOOKUP(A4761,'Master List'!A:C,2,FALSE)), "Not Found", VLOOKUP(A4761,'Master List'!A:C,2,FALSE)))</f>
        <v>Name</v>
      </c>
      <c r="D4761" s="19" t="str">
        <f>IF(ISBLANK(A4761), "Email",IF(ISNA(VLOOKUP(A4761,'Master List'!A:C,3,FALSE)), "Not Found", VLOOKUP(A4761,'Master List'!A:C,3,FALSE)))</f>
        <v>Email</v>
      </c>
      <c r="F4761" s="4" t="str">
        <f>IF(OR(A4761="",E4761="","",A4761="?",E4761="?"),"duplicate?",IF(COUNTIFS($A:A,A4761,E:E,E4761)&gt;1,"yes","no"))</f>
        <v>duplicate?</v>
      </c>
      <c r="K4761" s="97" t="str">
        <f ca="1">IF(J4761="","Date",IF(J4761&lt;&gt;"",IF(K4761="Date",NOW(),K4761),""))</f>
        <v>Date</v>
      </c>
    </row>
    <row r="4762" spans="2:11">
      <c r="B4762" s="97" t="str">
        <f ca="1">IF(A4762="","Date",IF(A4762&lt;&gt;"",IF(B4762="Date",NOW(),B4762),""))</f>
        <v>Date</v>
      </c>
      <c r="C4762" s="19" t="str">
        <f>IF(ISBLANK(A4762),"Name",IF(ISNA(VLOOKUP(A4762,'Master List'!A:C,2,FALSE)), "Not Found", VLOOKUP(A4762,'Master List'!A:C,2,FALSE)))</f>
        <v>Name</v>
      </c>
      <c r="D4762" s="19" t="str">
        <f>IF(ISBLANK(A4762), "Email",IF(ISNA(VLOOKUP(A4762,'Master List'!A:C,3,FALSE)), "Not Found", VLOOKUP(A4762,'Master List'!A:C,3,FALSE)))</f>
        <v>Email</v>
      </c>
      <c r="F4762" s="4" t="str">
        <f>IF(OR(A4762="",E4762="","",A4762="?",E4762="?"),"duplicate?",IF(COUNTIFS($A:A,A4762,E:E,E4762)&gt;1,"yes","no"))</f>
        <v>duplicate?</v>
      </c>
      <c r="K4762" s="97" t="str">
        <f ca="1">IF(J4762="","Date",IF(J4762&lt;&gt;"",IF(K4762="Date",NOW(),K4762),""))</f>
        <v>Date</v>
      </c>
    </row>
    <row r="4763" spans="2:11">
      <c r="B4763" s="97" t="str">
        <f ca="1">IF(A4763="","Date",IF(A4763&lt;&gt;"",IF(B4763="Date",NOW(),B4763),""))</f>
        <v>Date</v>
      </c>
      <c r="C4763" s="19" t="str">
        <f>IF(ISBLANK(A4763),"Name",IF(ISNA(VLOOKUP(A4763,'Master List'!A:C,2,FALSE)), "Not Found", VLOOKUP(A4763,'Master List'!A:C,2,FALSE)))</f>
        <v>Name</v>
      </c>
      <c r="D4763" s="19" t="str">
        <f>IF(ISBLANK(A4763), "Email",IF(ISNA(VLOOKUP(A4763,'Master List'!A:C,3,FALSE)), "Not Found", VLOOKUP(A4763,'Master List'!A:C,3,FALSE)))</f>
        <v>Email</v>
      </c>
      <c r="F4763" s="4" t="str">
        <f>IF(OR(A4763="",E4763="","",A4763="?",E4763="?"),"duplicate?",IF(COUNTIFS($A:A,A4763,E:E,E4763)&gt;1,"yes","no"))</f>
        <v>duplicate?</v>
      </c>
      <c r="K4763" s="97" t="str">
        <f ca="1">IF(J4763="","Date",IF(J4763&lt;&gt;"",IF(K4763="Date",NOW(),K4763),""))</f>
        <v>Date</v>
      </c>
    </row>
    <row r="4764" spans="2:11">
      <c r="B4764" s="97" t="str">
        <f ca="1">IF(A4764="","Date",IF(A4764&lt;&gt;"",IF(B4764="Date",NOW(),B4764),""))</f>
        <v>Date</v>
      </c>
      <c r="C4764" s="19" t="str">
        <f>IF(ISBLANK(A4764),"Name",IF(ISNA(VLOOKUP(A4764,'Master List'!A:C,2,FALSE)), "Not Found", VLOOKUP(A4764,'Master List'!A:C,2,FALSE)))</f>
        <v>Name</v>
      </c>
      <c r="D4764" s="19" t="str">
        <f>IF(ISBLANK(A4764), "Email",IF(ISNA(VLOOKUP(A4764,'Master List'!A:C,3,FALSE)), "Not Found", VLOOKUP(A4764,'Master List'!A:C,3,FALSE)))</f>
        <v>Email</v>
      </c>
      <c r="F4764" s="4" t="str">
        <f>IF(OR(A4764="",E4764="","",A4764="?",E4764="?"),"duplicate?",IF(COUNTIFS($A:A,A4764,E:E,E4764)&gt;1,"yes","no"))</f>
        <v>duplicate?</v>
      </c>
      <c r="K4764" s="97" t="str">
        <f ca="1">IF(J4764="","Date",IF(J4764&lt;&gt;"",IF(K4764="Date",NOW(),K4764),""))</f>
        <v>Date</v>
      </c>
    </row>
    <row r="4765" spans="2:11">
      <c r="B4765" s="97" t="str">
        <f ca="1">IF(A4765="","Date",IF(A4765&lt;&gt;"",IF(B4765="Date",NOW(),B4765),""))</f>
        <v>Date</v>
      </c>
      <c r="C4765" s="19" t="str">
        <f>IF(ISBLANK(A4765),"Name",IF(ISNA(VLOOKUP(A4765,'Master List'!A:C,2,FALSE)), "Not Found", VLOOKUP(A4765,'Master List'!A:C,2,FALSE)))</f>
        <v>Name</v>
      </c>
      <c r="D4765" s="19" t="str">
        <f>IF(ISBLANK(A4765), "Email",IF(ISNA(VLOOKUP(A4765,'Master List'!A:C,3,FALSE)), "Not Found", VLOOKUP(A4765,'Master List'!A:C,3,FALSE)))</f>
        <v>Email</v>
      </c>
      <c r="F4765" s="4" t="str">
        <f>IF(OR(A4765="",E4765="","",A4765="?",E4765="?"),"duplicate?",IF(COUNTIFS($A:A,A4765,E:E,E4765)&gt;1,"yes","no"))</f>
        <v>duplicate?</v>
      </c>
      <c r="K4765" s="97" t="str">
        <f ca="1">IF(J4765="","Date",IF(J4765&lt;&gt;"",IF(K4765="Date",NOW(),K4765),""))</f>
        <v>Date</v>
      </c>
    </row>
    <row r="4766" spans="2:11">
      <c r="B4766" s="97" t="str">
        <f ca="1">IF(A4766="","Date",IF(A4766&lt;&gt;"",IF(B4766="Date",NOW(),B4766),""))</f>
        <v>Date</v>
      </c>
      <c r="C4766" s="19" t="str">
        <f>IF(ISBLANK(A4766),"Name",IF(ISNA(VLOOKUP(A4766,'Master List'!A:C,2,FALSE)), "Not Found", VLOOKUP(A4766,'Master List'!A:C,2,FALSE)))</f>
        <v>Name</v>
      </c>
      <c r="D4766" s="19" t="str">
        <f>IF(ISBLANK(A4766), "Email",IF(ISNA(VLOOKUP(A4766,'Master List'!A:C,3,FALSE)), "Not Found", VLOOKUP(A4766,'Master List'!A:C,3,FALSE)))</f>
        <v>Email</v>
      </c>
      <c r="F4766" s="4" t="str">
        <f>IF(OR(A4766="",E4766="","",A4766="?",E4766="?"),"duplicate?",IF(COUNTIFS($A:A,A4766,E:E,E4766)&gt;1,"yes","no"))</f>
        <v>duplicate?</v>
      </c>
      <c r="K4766" s="97" t="str">
        <f ca="1">IF(J4766="","Date",IF(J4766&lt;&gt;"",IF(K4766="Date",NOW(),K4766),""))</f>
        <v>Date</v>
      </c>
    </row>
    <row r="4767" spans="2:11">
      <c r="B4767" s="97" t="str">
        <f ca="1">IF(A4767="","Date",IF(A4767&lt;&gt;"",IF(B4767="Date",NOW(),B4767),""))</f>
        <v>Date</v>
      </c>
      <c r="C4767" s="19" t="str">
        <f>IF(ISBLANK(A4767),"Name",IF(ISNA(VLOOKUP(A4767,'Master List'!A:C,2,FALSE)), "Not Found", VLOOKUP(A4767,'Master List'!A:C,2,FALSE)))</f>
        <v>Name</v>
      </c>
      <c r="D4767" s="19" t="str">
        <f>IF(ISBLANK(A4767), "Email",IF(ISNA(VLOOKUP(A4767,'Master List'!A:C,3,FALSE)), "Not Found", VLOOKUP(A4767,'Master List'!A:C,3,FALSE)))</f>
        <v>Email</v>
      </c>
      <c r="F4767" s="4" t="str">
        <f>IF(OR(A4767="",E4767="","",A4767="?",E4767="?"),"duplicate?",IF(COUNTIFS($A:A,A4767,E:E,E4767)&gt;1,"yes","no"))</f>
        <v>duplicate?</v>
      </c>
      <c r="K4767" s="97" t="str">
        <f ca="1">IF(J4767="","Date",IF(J4767&lt;&gt;"",IF(K4767="Date",NOW(),K4767),""))</f>
        <v>Date</v>
      </c>
    </row>
    <row r="4768" spans="2:11">
      <c r="B4768" s="97" t="str">
        <f ca="1">IF(A4768="","Date",IF(A4768&lt;&gt;"",IF(B4768="Date",NOW(),B4768),""))</f>
        <v>Date</v>
      </c>
      <c r="C4768" s="19" t="str">
        <f>IF(ISBLANK(A4768),"Name",IF(ISNA(VLOOKUP(A4768,'Master List'!A:C,2,FALSE)), "Not Found", VLOOKUP(A4768,'Master List'!A:C,2,FALSE)))</f>
        <v>Name</v>
      </c>
      <c r="D4768" s="19" t="str">
        <f>IF(ISBLANK(A4768), "Email",IF(ISNA(VLOOKUP(A4768,'Master List'!A:C,3,FALSE)), "Not Found", VLOOKUP(A4768,'Master List'!A:C,3,FALSE)))</f>
        <v>Email</v>
      </c>
      <c r="F4768" s="4" t="str">
        <f>IF(OR(A4768="",E4768="","",A4768="?",E4768="?"),"duplicate?",IF(COUNTIFS($A:A,A4768,E:E,E4768)&gt;1,"yes","no"))</f>
        <v>duplicate?</v>
      </c>
      <c r="K4768" s="97" t="str">
        <f ca="1">IF(J4768="","Date",IF(J4768&lt;&gt;"",IF(K4768="Date",NOW(),K4768),""))</f>
        <v>Date</v>
      </c>
    </row>
    <row r="4769" spans="2:11">
      <c r="B4769" s="97" t="str">
        <f ca="1">IF(A4769="","Date",IF(A4769&lt;&gt;"",IF(B4769="Date",NOW(),B4769),""))</f>
        <v>Date</v>
      </c>
      <c r="C4769" s="19" t="str">
        <f>IF(ISBLANK(A4769),"Name",IF(ISNA(VLOOKUP(A4769,'Master List'!A:C,2,FALSE)), "Not Found", VLOOKUP(A4769,'Master List'!A:C,2,FALSE)))</f>
        <v>Name</v>
      </c>
      <c r="D4769" s="19" t="str">
        <f>IF(ISBLANK(A4769), "Email",IF(ISNA(VLOOKUP(A4769,'Master List'!A:C,3,FALSE)), "Not Found", VLOOKUP(A4769,'Master List'!A:C,3,FALSE)))</f>
        <v>Email</v>
      </c>
      <c r="F4769" s="4" t="str">
        <f>IF(OR(A4769="",E4769="","",A4769="?",E4769="?"),"duplicate?",IF(COUNTIFS($A:A,A4769,E:E,E4769)&gt;1,"yes","no"))</f>
        <v>duplicate?</v>
      </c>
      <c r="K4769" s="97" t="str">
        <f ca="1">IF(J4769="","Date",IF(J4769&lt;&gt;"",IF(K4769="Date",NOW(),K4769),""))</f>
        <v>Date</v>
      </c>
    </row>
    <row r="4770" spans="2:11">
      <c r="B4770" s="97" t="str">
        <f ca="1">IF(A4770="","Date",IF(A4770&lt;&gt;"",IF(B4770="Date",NOW(),B4770),""))</f>
        <v>Date</v>
      </c>
      <c r="C4770" s="19" t="str">
        <f>IF(ISBLANK(A4770),"Name",IF(ISNA(VLOOKUP(A4770,'Master List'!A:C,2,FALSE)), "Not Found", VLOOKUP(A4770,'Master List'!A:C,2,FALSE)))</f>
        <v>Name</v>
      </c>
      <c r="D4770" s="19" t="str">
        <f>IF(ISBLANK(A4770), "Email",IF(ISNA(VLOOKUP(A4770,'Master List'!A:C,3,FALSE)), "Not Found", VLOOKUP(A4770,'Master List'!A:C,3,FALSE)))</f>
        <v>Email</v>
      </c>
      <c r="F4770" s="4" t="str">
        <f>IF(OR(A4770="",E4770="","",A4770="?",E4770="?"),"duplicate?",IF(COUNTIFS($A:A,A4770,E:E,E4770)&gt;1,"yes","no"))</f>
        <v>duplicate?</v>
      </c>
      <c r="K4770" s="97" t="str">
        <f ca="1">IF(J4770="","Date",IF(J4770&lt;&gt;"",IF(K4770="Date",NOW(),K4770),""))</f>
        <v>Date</v>
      </c>
    </row>
    <row r="4771" spans="2:11">
      <c r="B4771" s="97" t="str">
        <f ca="1">IF(A4771="","Date",IF(A4771&lt;&gt;"",IF(B4771="Date",NOW(),B4771),""))</f>
        <v>Date</v>
      </c>
      <c r="C4771" s="19" t="str">
        <f>IF(ISBLANK(A4771),"Name",IF(ISNA(VLOOKUP(A4771,'Master List'!A:C,2,FALSE)), "Not Found", VLOOKUP(A4771,'Master List'!A:C,2,FALSE)))</f>
        <v>Name</v>
      </c>
      <c r="D4771" s="19" t="str">
        <f>IF(ISBLANK(A4771), "Email",IF(ISNA(VLOOKUP(A4771,'Master List'!A:C,3,FALSE)), "Not Found", VLOOKUP(A4771,'Master List'!A:C,3,FALSE)))</f>
        <v>Email</v>
      </c>
      <c r="F4771" s="4" t="str">
        <f>IF(OR(A4771="",E4771="","",A4771="?",E4771="?"),"duplicate?",IF(COUNTIFS($A:A,A4771,E:E,E4771)&gt;1,"yes","no"))</f>
        <v>duplicate?</v>
      </c>
      <c r="K4771" s="97" t="str">
        <f ca="1">IF(J4771="","Date",IF(J4771&lt;&gt;"",IF(K4771="Date",NOW(),K4771),""))</f>
        <v>Date</v>
      </c>
    </row>
    <row r="4772" spans="2:11">
      <c r="B4772" s="97" t="str">
        <f ca="1">IF(A4772="","Date",IF(A4772&lt;&gt;"",IF(B4772="Date",NOW(),B4772),""))</f>
        <v>Date</v>
      </c>
      <c r="C4772" s="19" t="str">
        <f>IF(ISBLANK(A4772),"Name",IF(ISNA(VLOOKUP(A4772,'Master List'!A:C,2,FALSE)), "Not Found", VLOOKUP(A4772,'Master List'!A:C,2,FALSE)))</f>
        <v>Name</v>
      </c>
      <c r="D4772" s="19" t="str">
        <f>IF(ISBLANK(A4772), "Email",IF(ISNA(VLOOKUP(A4772,'Master List'!A:C,3,FALSE)), "Not Found", VLOOKUP(A4772,'Master List'!A:C,3,FALSE)))</f>
        <v>Email</v>
      </c>
      <c r="F4772" s="4" t="str">
        <f>IF(OR(A4772="",E4772="","",A4772="?",E4772="?"),"duplicate?",IF(COUNTIFS($A:A,A4772,E:E,E4772)&gt;1,"yes","no"))</f>
        <v>duplicate?</v>
      </c>
      <c r="K4772" s="97" t="str">
        <f ca="1">IF(J4772="","Date",IF(J4772&lt;&gt;"",IF(K4772="Date",NOW(),K4772),""))</f>
        <v>Date</v>
      </c>
    </row>
    <row r="4773" spans="2:11">
      <c r="B4773" s="97" t="str">
        <f ca="1">IF(A4773="","Date",IF(A4773&lt;&gt;"",IF(B4773="Date",NOW(),B4773),""))</f>
        <v>Date</v>
      </c>
      <c r="C4773" s="19" t="str">
        <f>IF(ISBLANK(A4773),"Name",IF(ISNA(VLOOKUP(A4773,'Master List'!A:C,2,FALSE)), "Not Found", VLOOKUP(A4773,'Master List'!A:C,2,FALSE)))</f>
        <v>Name</v>
      </c>
      <c r="D4773" s="19" t="str">
        <f>IF(ISBLANK(A4773), "Email",IF(ISNA(VLOOKUP(A4773,'Master List'!A:C,3,FALSE)), "Not Found", VLOOKUP(A4773,'Master List'!A:C,3,FALSE)))</f>
        <v>Email</v>
      </c>
      <c r="F4773" s="4" t="str">
        <f>IF(OR(A4773="",E4773="","",A4773="?",E4773="?"),"duplicate?",IF(COUNTIFS($A:A,A4773,E:E,E4773)&gt;1,"yes","no"))</f>
        <v>duplicate?</v>
      </c>
      <c r="K4773" s="97" t="str">
        <f ca="1">IF(J4773="","Date",IF(J4773&lt;&gt;"",IF(K4773="Date",NOW(),K4773),""))</f>
        <v>Date</v>
      </c>
    </row>
    <row r="4774" spans="2:11">
      <c r="B4774" s="97" t="str">
        <f ca="1">IF(A4774="","Date",IF(A4774&lt;&gt;"",IF(B4774="Date",NOW(),B4774),""))</f>
        <v>Date</v>
      </c>
      <c r="C4774" s="19" t="str">
        <f>IF(ISBLANK(A4774),"Name",IF(ISNA(VLOOKUP(A4774,'Master List'!A:C,2,FALSE)), "Not Found", VLOOKUP(A4774,'Master List'!A:C,2,FALSE)))</f>
        <v>Name</v>
      </c>
      <c r="D4774" s="19" t="str">
        <f>IF(ISBLANK(A4774), "Email",IF(ISNA(VLOOKUP(A4774,'Master List'!A:C,3,FALSE)), "Not Found", VLOOKUP(A4774,'Master List'!A:C,3,FALSE)))</f>
        <v>Email</v>
      </c>
      <c r="F4774" s="4" t="str">
        <f>IF(OR(A4774="",E4774="","",A4774="?",E4774="?"),"duplicate?",IF(COUNTIFS($A:A,A4774,E:E,E4774)&gt;1,"yes","no"))</f>
        <v>duplicate?</v>
      </c>
      <c r="K4774" s="97" t="str">
        <f ca="1">IF(J4774="","Date",IF(J4774&lt;&gt;"",IF(K4774="Date",NOW(),K4774),""))</f>
        <v>Date</v>
      </c>
    </row>
    <row r="4775" spans="2:11">
      <c r="B4775" s="97" t="str">
        <f ca="1">IF(A4775="","Date",IF(A4775&lt;&gt;"",IF(B4775="Date",NOW(),B4775),""))</f>
        <v>Date</v>
      </c>
      <c r="C4775" s="19" t="str">
        <f>IF(ISBLANK(A4775),"Name",IF(ISNA(VLOOKUP(A4775,'Master List'!A:C,2,FALSE)), "Not Found", VLOOKUP(A4775,'Master List'!A:C,2,FALSE)))</f>
        <v>Name</v>
      </c>
      <c r="D4775" s="19" t="str">
        <f>IF(ISBLANK(A4775), "Email",IF(ISNA(VLOOKUP(A4775,'Master List'!A:C,3,FALSE)), "Not Found", VLOOKUP(A4775,'Master List'!A:C,3,FALSE)))</f>
        <v>Email</v>
      </c>
      <c r="F4775" s="4" t="str">
        <f>IF(OR(A4775="",E4775="","",A4775="?",E4775="?"),"duplicate?",IF(COUNTIFS($A:A,A4775,E:E,E4775)&gt;1,"yes","no"))</f>
        <v>duplicate?</v>
      </c>
      <c r="K4775" s="97" t="str">
        <f ca="1">IF(J4775="","Date",IF(J4775&lt;&gt;"",IF(K4775="Date",NOW(),K4775),""))</f>
        <v>Date</v>
      </c>
    </row>
    <row r="4776" spans="2:11">
      <c r="B4776" s="97" t="str">
        <f ca="1">IF(A4776="","Date",IF(A4776&lt;&gt;"",IF(B4776="Date",NOW(),B4776),""))</f>
        <v>Date</v>
      </c>
      <c r="C4776" s="19" t="str">
        <f>IF(ISBLANK(A4776),"Name",IF(ISNA(VLOOKUP(A4776,'Master List'!A:C,2,FALSE)), "Not Found", VLOOKUP(A4776,'Master List'!A:C,2,FALSE)))</f>
        <v>Name</v>
      </c>
      <c r="D4776" s="19" t="str">
        <f>IF(ISBLANK(A4776), "Email",IF(ISNA(VLOOKUP(A4776,'Master List'!A:C,3,FALSE)), "Not Found", VLOOKUP(A4776,'Master List'!A:C,3,FALSE)))</f>
        <v>Email</v>
      </c>
      <c r="F4776" s="4" t="str">
        <f>IF(OR(A4776="",E4776="","",A4776="?",E4776="?"),"duplicate?",IF(COUNTIFS($A:A,A4776,E:E,E4776)&gt;1,"yes","no"))</f>
        <v>duplicate?</v>
      </c>
      <c r="K4776" s="97" t="str">
        <f ca="1">IF(J4776="","Date",IF(J4776&lt;&gt;"",IF(K4776="Date",NOW(),K4776),""))</f>
        <v>Date</v>
      </c>
    </row>
    <row r="4777" spans="2:11">
      <c r="B4777" s="97" t="str">
        <f ca="1">IF(A4777="","Date",IF(A4777&lt;&gt;"",IF(B4777="Date",NOW(),B4777),""))</f>
        <v>Date</v>
      </c>
      <c r="C4777" s="19" t="str">
        <f>IF(ISBLANK(A4777),"Name",IF(ISNA(VLOOKUP(A4777,'Master List'!A:C,2,FALSE)), "Not Found", VLOOKUP(A4777,'Master List'!A:C,2,FALSE)))</f>
        <v>Name</v>
      </c>
      <c r="D4777" s="19" t="str">
        <f>IF(ISBLANK(A4777), "Email",IF(ISNA(VLOOKUP(A4777,'Master List'!A:C,3,FALSE)), "Not Found", VLOOKUP(A4777,'Master List'!A:C,3,FALSE)))</f>
        <v>Email</v>
      </c>
      <c r="F4777" s="4" t="str">
        <f>IF(OR(A4777="",E4777="","",A4777="?",E4777="?"),"duplicate?",IF(COUNTIFS($A:A,A4777,E:E,E4777)&gt;1,"yes","no"))</f>
        <v>duplicate?</v>
      </c>
      <c r="K4777" s="97" t="str">
        <f ca="1">IF(J4777="","Date",IF(J4777&lt;&gt;"",IF(K4777="Date",NOW(),K4777),""))</f>
        <v>Date</v>
      </c>
    </row>
    <row r="4778" spans="2:11">
      <c r="B4778" s="97" t="str">
        <f ca="1">IF(A4778="","Date",IF(A4778&lt;&gt;"",IF(B4778="Date",NOW(),B4778),""))</f>
        <v>Date</v>
      </c>
      <c r="C4778" s="19" t="str">
        <f>IF(ISBLANK(A4778),"Name",IF(ISNA(VLOOKUP(A4778,'Master List'!A:C,2,FALSE)), "Not Found", VLOOKUP(A4778,'Master List'!A:C,2,FALSE)))</f>
        <v>Name</v>
      </c>
      <c r="D4778" s="19" t="str">
        <f>IF(ISBLANK(A4778), "Email",IF(ISNA(VLOOKUP(A4778,'Master List'!A:C,3,FALSE)), "Not Found", VLOOKUP(A4778,'Master List'!A:C,3,FALSE)))</f>
        <v>Email</v>
      </c>
      <c r="F4778" s="4" t="str">
        <f>IF(OR(A4778="",E4778="","",A4778="?",E4778="?"),"duplicate?",IF(COUNTIFS($A:A,A4778,E:E,E4778)&gt;1,"yes","no"))</f>
        <v>duplicate?</v>
      </c>
      <c r="K4778" s="97" t="str">
        <f ca="1">IF(J4778="","Date",IF(J4778&lt;&gt;"",IF(K4778="Date",NOW(),K4778),""))</f>
        <v>Date</v>
      </c>
    </row>
    <row r="4779" spans="2:11">
      <c r="B4779" s="97" t="str">
        <f ca="1">IF(A4779="","Date",IF(A4779&lt;&gt;"",IF(B4779="Date",NOW(),B4779),""))</f>
        <v>Date</v>
      </c>
      <c r="C4779" s="19" t="str">
        <f>IF(ISBLANK(A4779),"Name",IF(ISNA(VLOOKUP(A4779,'Master List'!A:C,2,FALSE)), "Not Found", VLOOKUP(A4779,'Master List'!A:C,2,FALSE)))</f>
        <v>Name</v>
      </c>
      <c r="D4779" s="19" t="str">
        <f>IF(ISBLANK(A4779), "Email",IF(ISNA(VLOOKUP(A4779,'Master List'!A:C,3,FALSE)), "Not Found", VLOOKUP(A4779,'Master List'!A:C,3,FALSE)))</f>
        <v>Email</v>
      </c>
      <c r="F4779" s="4" t="str">
        <f>IF(OR(A4779="",E4779="","",A4779="?",E4779="?"),"duplicate?",IF(COUNTIFS($A:A,A4779,E:E,E4779)&gt;1,"yes","no"))</f>
        <v>duplicate?</v>
      </c>
      <c r="K4779" s="97" t="str">
        <f ca="1">IF(J4779="","Date",IF(J4779&lt;&gt;"",IF(K4779="Date",NOW(),K4779),""))</f>
        <v>Date</v>
      </c>
    </row>
    <row r="4780" spans="2:11">
      <c r="B4780" s="97" t="str">
        <f ca="1">IF(A4780="","Date",IF(A4780&lt;&gt;"",IF(B4780="Date",NOW(),B4780),""))</f>
        <v>Date</v>
      </c>
      <c r="C4780" s="19" t="str">
        <f>IF(ISBLANK(A4780),"Name",IF(ISNA(VLOOKUP(A4780,'Master List'!A:C,2,FALSE)), "Not Found", VLOOKUP(A4780,'Master List'!A:C,2,FALSE)))</f>
        <v>Name</v>
      </c>
      <c r="D4780" s="19" t="str">
        <f>IF(ISBLANK(A4780), "Email",IF(ISNA(VLOOKUP(A4780,'Master List'!A:C,3,FALSE)), "Not Found", VLOOKUP(A4780,'Master List'!A:C,3,FALSE)))</f>
        <v>Email</v>
      </c>
      <c r="F4780" s="4" t="str">
        <f>IF(OR(A4780="",E4780="","",A4780="?",E4780="?"),"duplicate?",IF(COUNTIFS($A:A,A4780,E:E,E4780)&gt;1,"yes","no"))</f>
        <v>duplicate?</v>
      </c>
      <c r="K4780" s="97" t="str">
        <f ca="1">IF(J4780="","Date",IF(J4780&lt;&gt;"",IF(K4780="Date",NOW(),K4780),""))</f>
        <v>Date</v>
      </c>
    </row>
    <row r="4781" spans="2:11">
      <c r="B4781" s="97" t="str">
        <f ca="1">IF(A4781="","Date",IF(A4781&lt;&gt;"",IF(B4781="Date",NOW(),B4781),""))</f>
        <v>Date</v>
      </c>
      <c r="C4781" s="19" t="str">
        <f>IF(ISBLANK(A4781),"Name",IF(ISNA(VLOOKUP(A4781,'Master List'!A:C,2,FALSE)), "Not Found", VLOOKUP(A4781,'Master List'!A:C,2,FALSE)))</f>
        <v>Name</v>
      </c>
      <c r="D4781" s="19" t="str">
        <f>IF(ISBLANK(A4781), "Email",IF(ISNA(VLOOKUP(A4781,'Master List'!A:C,3,FALSE)), "Not Found", VLOOKUP(A4781,'Master List'!A:C,3,FALSE)))</f>
        <v>Email</v>
      </c>
      <c r="F4781" s="4" t="str">
        <f>IF(OR(A4781="",E4781="","",A4781="?",E4781="?"),"duplicate?",IF(COUNTIFS($A:A,A4781,E:E,E4781)&gt;1,"yes","no"))</f>
        <v>duplicate?</v>
      </c>
      <c r="K4781" s="97" t="str">
        <f ca="1">IF(J4781="","Date",IF(J4781&lt;&gt;"",IF(K4781="Date",NOW(),K4781),""))</f>
        <v>Date</v>
      </c>
    </row>
    <row r="4782" spans="2:11">
      <c r="B4782" s="97" t="str">
        <f ca="1">IF(A4782="","Date",IF(A4782&lt;&gt;"",IF(B4782="Date",NOW(),B4782),""))</f>
        <v>Date</v>
      </c>
      <c r="C4782" s="19" t="str">
        <f>IF(ISBLANK(A4782),"Name",IF(ISNA(VLOOKUP(A4782,'Master List'!A:C,2,FALSE)), "Not Found", VLOOKUP(A4782,'Master List'!A:C,2,FALSE)))</f>
        <v>Name</v>
      </c>
      <c r="D4782" s="19" t="str">
        <f>IF(ISBLANK(A4782), "Email",IF(ISNA(VLOOKUP(A4782,'Master List'!A:C,3,FALSE)), "Not Found", VLOOKUP(A4782,'Master List'!A:C,3,FALSE)))</f>
        <v>Email</v>
      </c>
      <c r="F4782" s="4" t="str">
        <f>IF(OR(A4782="",E4782="","",A4782="?",E4782="?"),"duplicate?",IF(COUNTIFS($A:A,A4782,E:E,E4782)&gt;1,"yes","no"))</f>
        <v>duplicate?</v>
      </c>
      <c r="K4782" s="97" t="str">
        <f ca="1">IF(J4782="","Date",IF(J4782&lt;&gt;"",IF(K4782="Date",NOW(),K4782),""))</f>
        <v>Date</v>
      </c>
    </row>
    <row r="4783" spans="2:11">
      <c r="B4783" s="97" t="str">
        <f ca="1">IF(A4783="","Date",IF(A4783&lt;&gt;"",IF(B4783="Date",NOW(),B4783),""))</f>
        <v>Date</v>
      </c>
      <c r="C4783" s="19" t="str">
        <f>IF(ISBLANK(A4783),"Name",IF(ISNA(VLOOKUP(A4783,'Master List'!A:C,2,FALSE)), "Not Found", VLOOKUP(A4783,'Master List'!A:C,2,FALSE)))</f>
        <v>Name</v>
      </c>
      <c r="D4783" s="19" t="str">
        <f>IF(ISBLANK(A4783), "Email",IF(ISNA(VLOOKUP(A4783,'Master List'!A:C,3,FALSE)), "Not Found", VLOOKUP(A4783,'Master List'!A:C,3,FALSE)))</f>
        <v>Email</v>
      </c>
      <c r="F4783" s="4" t="str">
        <f>IF(OR(A4783="",E4783="","",A4783="?",E4783="?"),"duplicate?",IF(COUNTIFS($A:A,A4783,E:E,E4783)&gt;1,"yes","no"))</f>
        <v>duplicate?</v>
      </c>
      <c r="K4783" s="97" t="str">
        <f ca="1">IF(J4783="","Date",IF(J4783&lt;&gt;"",IF(K4783="Date",NOW(),K4783),""))</f>
        <v>Date</v>
      </c>
    </row>
    <row r="4784" spans="2:11">
      <c r="B4784" s="97" t="str">
        <f ca="1">IF(A4784="","Date",IF(A4784&lt;&gt;"",IF(B4784="Date",NOW(),B4784),""))</f>
        <v>Date</v>
      </c>
      <c r="C4784" s="19" t="str">
        <f>IF(ISBLANK(A4784),"Name",IF(ISNA(VLOOKUP(A4784,'Master List'!A:C,2,FALSE)), "Not Found", VLOOKUP(A4784,'Master List'!A:C,2,FALSE)))</f>
        <v>Name</v>
      </c>
      <c r="D4784" s="19" t="str">
        <f>IF(ISBLANK(A4784), "Email",IF(ISNA(VLOOKUP(A4784,'Master List'!A:C,3,FALSE)), "Not Found", VLOOKUP(A4784,'Master List'!A:C,3,FALSE)))</f>
        <v>Email</v>
      </c>
      <c r="F4784" s="4" t="str">
        <f>IF(OR(A4784="",E4784="","",A4784="?",E4784="?"),"duplicate?",IF(COUNTIFS($A:A,A4784,E:E,E4784)&gt;1,"yes","no"))</f>
        <v>duplicate?</v>
      </c>
      <c r="K4784" s="97" t="str">
        <f ca="1">IF(J4784="","Date",IF(J4784&lt;&gt;"",IF(K4784="Date",NOW(),K4784),""))</f>
        <v>Date</v>
      </c>
    </row>
    <row r="4785" spans="2:11">
      <c r="B4785" s="97" t="str">
        <f ca="1">IF(A4785="","Date",IF(A4785&lt;&gt;"",IF(B4785="Date",NOW(),B4785),""))</f>
        <v>Date</v>
      </c>
      <c r="C4785" s="19" t="str">
        <f>IF(ISBLANK(A4785),"Name",IF(ISNA(VLOOKUP(A4785,'Master List'!A:C,2,FALSE)), "Not Found", VLOOKUP(A4785,'Master List'!A:C,2,FALSE)))</f>
        <v>Name</v>
      </c>
      <c r="D4785" s="19" t="str">
        <f>IF(ISBLANK(A4785), "Email",IF(ISNA(VLOOKUP(A4785,'Master List'!A:C,3,FALSE)), "Not Found", VLOOKUP(A4785,'Master List'!A:C,3,FALSE)))</f>
        <v>Email</v>
      </c>
      <c r="F4785" s="4" t="str">
        <f>IF(OR(A4785="",E4785="","",A4785="?",E4785="?"),"duplicate?",IF(COUNTIFS($A:A,A4785,E:E,E4785)&gt;1,"yes","no"))</f>
        <v>duplicate?</v>
      </c>
      <c r="K4785" s="97" t="str">
        <f ca="1">IF(J4785="","Date",IF(J4785&lt;&gt;"",IF(K4785="Date",NOW(),K4785),""))</f>
        <v>Date</v>
      </c>
    </row>
    <row r="4786" spans="2:11">
      <c r="B4786" s="97" t="str">
        <f ca="1">IF(A4786="","Date",IF(A4786&lt;&gt;"",IF(B4786="Date",NOW(),B4786),""))</f>
        <v>Date</v>
      </c>
      <c r="C4786" s="19" t="str">
        <f>IF(ISBLANK(A4786),"Name",IF(ISNA(VLOOKUP(A4786,'Master List'!A:C,2,FALSE)), "Not Found", VLOOKUP(A4786,'Master List'!A:C,2,FALSE)))</f>
        <v>Name</v>
      </c>
      <c r="D4786" s="19" t="str">
        <f>IF(ISBLANK(A4786), "Email",IF(ISNA(VLOOKUP(A4786,'Master List'!A:C,3,FALSE)), "Not Found", VLOOKUP(A4786,'Master List'!A:C,3,FALSE)))</f>
        <v>Email</v>
      </c>
      <c r="F4786" s="4" t="str">
        <f>IF(OR(A4786="",E4786="","",A4786="?",E4786="?"),"duplicate?",IF(COUNTIFS($A:A,A4786,E:E,E4786)&gt;1,"yes","no"))</f>
        <v>duplicate?</v>
      </c>
      <c r="K4786" s="97" t="str">
        <f ca="1">IF(J4786="","Date",IF(J4786&lt;&gt;"",IF(K4786="Date",NOW(),K4786),""))</f>
        <v>Date</v>
      </c>
    </row>
    <row r="4787" spans="2:11">
      <c r="B4787" s="97" t="str">
        <f ca="1">IF(A4787="","Date",IF(A4787&lt;&gt;"",IF(B4787="Date",NOW(),B4787),""))</f>
        <v>Date</v>
      </c>
      <c r="C4787" s="19" t="str">
        <f>IF(ISBLANK(A4787),"Name",IF(ISNA(VLOOKUP(A4787,'Master List'!A:C,2,FALSE)), "Not Found", VLOOKUP(A4787,'Master List'!A:C,2,FALSE)))</f>
        <v>Name</v>
      </c>
      <c r="D4787" s="19" t="str">
        <f>IF(ISBLANK(A4787), "Email",IF(ISNA(VLOOKUP(A4787,'Master List'!A:C,3,FALSE)), "Not Found", VLOOKUP(A4787,'Master List'!A:C,3,FALSE)))</f>
        <v>Email</v>
      </c>
      <c r="F4787" s="4" t="str">
        <f>IF(OR(A4787="",E4787="","",A4787="?",E4787="?"),"duplicate?",IF(COUNTIFS($A:A,A4787,E:E,E4787)&gt;1,"yes","no"))</f>
        <v>duplicate?</v>
      </c>
      <c r="K4787" s="97" t="str">
        <f ca="1">IF(J4787="","Date",IF(J4787&lt;&gt;"",IF(K4787="Date",NOW(),K4787),""))</f>
        <v>Date</v>
      </c>
    </row>
    <row r="4788" spans="2:11">
      <c r="B4788" s="97" t="str">
        <f ca="1">IF(A4788="","Date",IF(A4788&lt;&gt;"",IF(B4788="Date",NOW(),B4788),""))</f>
        <v>Date</v>
      </c>
      <c r="C4788" s="19" t="str">
        <f>IF(ISBLANK(A4788),"Name",IF(ISNA(VLOOKUP(A4788,'Master List'!A:C,2,FALSE)), "Not Found", VLOOKUP(A4788,'Master List'!A:C,2,FALSE)))</f>
        <v>Name</v>
      </c>
      <c r="D4788" s="19" t="str">
        <f>IF(ISBLANK(A4788), "Email",IF(ISNA(VLOOKUP(A4788,'Master List'!A:C,3,FALSE)), "Not Found", VLOOKUP(A4788,'Master List'!A:C,3,FALSE)))</f>
        <v>Email</v>
      </c>
      <c r="F4788" s="4" t="str">
        <f>IF(OR(A4788="",E4788="","",A4788="?",E4788="?"),"duplicate?",IF(COUNTIFS($A:A,A4788,E:E,E4788)&gt;1,"yes","no"))</f>
        <v>duplicate?</v>
      </c>
      <c r="K4788" s="97" t="str">
        <f ca="1">IF(J4788="","Date",IF(J4788&lt;&gt;"",IF(K4788="Date",NOW(),K4788),""))</f>
        <v>Date</v>
      </c>
    </row>
    <row r="4789" spans="2:11">
      <c r="B4789" s="97" t="str">
        <f ca="1">IF(A4789="","Date",IF(A4789&lt;&gt;"",IF(B4789="Date",NOW(),B4789),""))</f>
        <v>Date</v>
      </c>
      <c r="C4789" s="19" t="str">
        <f>IF(ISBLANK(A4789),"Name",IF(ISNA(VLOOKUP(A4789,'Master List'!A:C,2,FALSE)), "Not Found", VLOOKUP(A4789,'Master List'!A:C,2,FALSE)))</f>
        <v>Name</v>
      </c>
      <c r="D4789" s="19" t="str">
        <f>IF(ISBLANK(A4789), "Email",IF(ISNA(VLOOKUP(A4789,'Master List'!A:C,3,FALSE)), "Not Found", VLOOKUP(A4789,'Master List'!A:C,3,FALSE)))</f>
        <v>Email</v>
      </c>
      <c r="F4789" s="4" t="str">
        <f>IF(OR(A4789="",E4789="","",A4789="?",E4789="?"),"duplicate?",IF(COUNTIFS($A:A,A4789,E:E,E4789)&gt;1,"yes","no"))</f>
        <v>duplicate?</v>
      </c>
      <c r="K4789" s="97" t="str">
        <f ca="1">IF(J4789="","Date",IF(J4789&lt;&gt;"",IF(K4789="Date",NOW(),K4789),""))</f>
        <v>Date</v>
      </c>
    </row>
    <row r="4790" spans="2:11">
      <c r="B4790" s="97" t="str">
        <f t="shared" ref="B4790:B4807" ca="1" si="0">IF(A4790="","Date",IF(A4790&lt;&gt;"",IF(B4790="Date",NOW(),B4790),""))</f>
        <v>Date</v>
      </c>
      <c r="C4790" s="19" t="str">
        <f>IF(ISBLANK(A4790),"Name",IF(ISNA(VLOOKUP(A4790,'Master List'!A:C,2,FALSE)), "Not Found", VLOOKUP(A4790,'Master List'!A:C,2,FALSE)))</f>
        <v>Name</v>
      </c>
      <c r="D4790" s="19" t="str">
        <f>IF(ISBLANK(A4790), "Email",IF(ISNA(VLOOKUP(A4790,'Master List'!A:C,3,FALSE)), "Not Found", VLOOKUP(A4790,'Master List'!A:C,3,FALSE)))</f>
        <v>Email</v>
      </c>
      <c r="F4790" s="4" t="str">
        <f>IF(OR(A4790="",E4790="","",A4790="?",E4790="?"),"duplicate?",IF(COUNTIFS($A:A,A4790,E:E,E4790)&gt;1,"yes","no"))</f>
        <v>duplicate?</v>
      </c>
      <c r="K4790" s="97" t="str">
        <f t="shared" ref="K4790:K4807" ca="1" si="1">IF(J4790="","Date",IF(J4790&lt;&gt;"",IF(K4790="Date",NOW(),K4790),""))</f>
        <v>Date</v>
      </c>
    </row>
    <row r="4791" spans="2:11">
      <c r="B4791" s="97" t="str">
        <f t="shared" ca="1" si="0"/>
        <v>Date</v>
      </c>
      <c r="C4791" s="19" t="str">
        <f>IF(ISBLANK(A4791),"Name",IF(ISNA(VLOOKUP(A4791,'Master List'!A:C,2,FALSE)), "Not Found", VLOOKUP(A4791,'Master List'!A:C,2,FALSE)))</f>
        <v>Name</v>
      </c>
      <c r="D4791" s="19" t="str">
        <f>IF(ISBLANK(A4791), "Email",IF(ISNA(VLOOKUP(A4791,'Master List'!A:C,3,FALSE)), "Not Found", VLOOKUP(A4791,'Master List'!A:C,3,FALSE)))</f>
        <v>Email</v>
      </c>
      <c r="F4791" s="4" t="str">
        <f>IF(OR(A4791="",E4791="","",A4791="?",E4791="?"),"duplicate?",IF(COUNTIFS($A:A,A4791,E:E,E4791)&gt;1,"yes","no"))</f>
        <v>duplicate?</v>
      </c>
      <c r="K4791" s="97" t="str">
        <f t="shared" ca="1" si="1"/>
        <v>Date</v>
      </c>
    </row>
    <row r="4792" spans="2:11">
      <c r="B4792" s="97" t="str">
        <f t="shared" ca="1" si="0"/>
        <v>Date</v>
      </c>
      <c r="C4792" s="19" t="str">
        <f>IF(ISBLANK(A4792),"Name",IF(ISNA(VLOOKUP(A4792,'Master List'!A:C,2,FALSE)), "Not Found", VLOOKUP(A4792,'Master List'!A:C,2,FALSE)))</f>
        <v>Name</v>
      </c>
      <c r="D4792" s="19" t="str">
        <f>IF(ISBLANK(A4792), "Email",IF(ISNA(VLOOKUP(A4792,'Master List'!A:C,3,FALSE)), "Not Found", VLOOKUP(A4792,'Master List'!A:C,3,FALSE)))</f>
        <v>Email</v>
      </c>
      <c r="F4792" s="4" t="str">
        <f>IF(OR(A4792="",E4792="","",A4792="?",E4792="?"),"duplicate?",IF(COUNTIFS($A:A,A4792,E:E,E4792)&gt;1,"yes","no"))</f>
        <v>duplicate?</v>
      </c>
      <c r="K4792" s="97" t="str">
        <f t="shared" ca="1" si="1"/>
        <v>Date</v>
      </c>
    </row>
    <row r="4793" spans="2:11">
      <c r="B4793" s="97" t="str">
        <f t="shared" ca="1" si="0"/>
        <v>Date</v>
      </c>
      <c r="C4793" s="19" t="str">
        <f>IF(ISBLANK(A4793),"Name",IF(ISNA(VLOOKUP(A4793,'Master List'!A:C,2,FALSE)), "Not Found", VLOOKUP(A4793,'Master List'!A:C,2,FALSE)))</f>
        <v>Name</v>
      </c>
      <c r="D4793" s="19" t="str">
        <f>IF(ISBLANK(A4793), "Email",IF(ISNA(VLOOKUP(A4793,'Master List'!A:C,3,FALSE)), "Not Found", VLOOKUP(A4793,'Master List'!A:C,3,FALSE)))</f>
        <v>Email</v>
      </c>
      <c r="F4793" s="4" t="str">
        <f>IF(OR(A4793="",E4793="","",A4793="?",E4793="?"),"duplicate?",IF(COUNTIFS($A:A,A4793,E:E,E4793)&gt;1,"yes","no"))</f>
        <v>duplicate?</v>
      </c>
      <c r="K4793" s="97" t="str">
        <f t="shared" ca="1" si="1"/>
        <v>Date</v>
      </c>
    </row>
    <row r="4794" spans="2:11">
      <c r="B4794" s="97" t="str">
        <f t="shared" ca="1" si="0"/>
        <v>Date</v>
      </c>
      <c r="C4794" s="19" t="str">
        <f>IF(ISBLANK(A4794),"Name",IF(ISNA(VLOOKUP(A4794,'Master List'!A:C,2,FALSE)), "Not Found", VLOOKUP(A4794,'Master List'!A:C,2,FALSE)))</f>
        <v>Name</v>
      </c>
      <c r="D4794" s="19" t="str">
        <f>IF(ISBLANK(A4794), "Email",IF(ISNA(VLOOKUP(A4794,'Master List'!A:C,3,FALSE)), "Not Found", VLOOKUP(A4794,'Master List'!A:C,3,FALSE)))</f>
        <v>Email</v>
      </c>
      <c r="F4794" s="4" t="str">
        <f>IF(OR(A4794="",E4794="","",A4794="?",E4794="?"),"duplicate?",IF(COUNTIFS($A:A,A4794,E:E,E4794)&gt;1,"yes","no"))</f>
        <v>duplicate?</v>
      </c>
      <c r="K4794" s="97" t="str">
        <f t="shared" ca="1" si="1"/>
        <v>Date</v>
      </c>
    </row>
    <row r="4795" spans="2:11">
      <c r="B4795" s="97" t="str">
        <f t="shared" ca="1" si="0"/>
        <v>Date</v>
      </c>
      <c r="C4795" s="19" t="str">
        <f>IF(ISBLANK(A4795),"Name",IF(ISNA(VLOOKUP(A4795,'Master List'!A:C,2,FALSE)), "Not Found", VLOOKUP(A4795,'Master List'!A:C,2,FALSE)))</f>
        <v>Name</v>
      </c>
      <c r="D4795" s="19" t="str">
        <f>IF(ISBLANK(A4795), "Email",IF(ISNA(VLOOKUP(A4795,'Master List'!A:C,3,FALSE)), "Not Found", VLOOKUP(A4795,'Master List'!A:C,3,FALSE)))</f>
        <v>Email</v>
      </c>
      <c r="F4795" s="4" t="str">
        <f>IF(OR(A4795="",E4795="","",A4795="?",E4795="?"),"duplicate?",IF(COUNTIFS($A:A,A4795,E:E,E4795)&gt;1,"yes","no"))</f>
        <v>duplicate?</v>
      </c>
      <c r="K4795" s="97" t="str">
        <f t="shared" ca="1" si="1"/>
        <v>Date</v>
      </c>
    </row>
    <row r="4796" spans="2:11">
      <c r="B4796" s="97" t="str">
        <f t="shared" ca="1" si="0"/>
        <v>Date</v>
      </c>
      <c r="C4796" s="19" t="str">
        <f>IF(ISBLANK(A4796),"Name",IF(ISNA(VLOOKUP(A4796,'Master List'!A:C,2,FALSE)), "Not Found", VLOOKUP(A4796,'Master List'!A:C,2,FALSE)))</f>
        <v>Name</v>
      </c>
      <c r="D4796" s="19" t="str">
        <f>IF(ISBLANK(A4796), "Email",IF(ISNA(VLOOKUP(A4796,'Master List'!A:C,3,FALSE)), "Not Found", VLOOKUP(A4796,'Master List'!A:C,3,FALSE)))</f>
        <v>Email</v>
      </c>
      <c r="F4796" s="4" t="str">
        <f>IF(OR(A4796="",E4796="","",A4796="?",E4796="?"),"duplicate?",IF(COUNTIFS($A:A,A4796,E:E,E4796)&gt;1,"yes","no"))</f>
        <v>duplicate?</v>
      </c>
      <c r="K4796" s="97" t="str">
        <f t="shared" ca="1" si="1"/>
        <v>Date</v>
      </c>
    </row>
    <row r="4797" spans="2:11">
      <c r="B4797" s="97" t="str">
        <f t="shared" ca="1" si="0"/>
        <v>Date</v>
      </c>
      <c r="C4797" s="19" t="str">
        <f>IF(ISBLANK(A4797),"Name",IF(ISNA(VLOOKUP(A4797,'Master List'!A:C,2,FALSE)), "Not Found", VLOOKUP(A4797,'Master List'!A:C,2,FALSE)))</f>
        <v>Name</v>
      </c>
      <c r="D4797" s="19" t="str">
        <f>IF(ISBLANK(A4797), "Email",IF(ISNA(VLOOKUP(A4797,'Master List'!A:C,3,FALSE)), "Not Found", VLOOKUP(A4797,'Master List'!A:C,3,FALSE)))</f>
        <v>Email</v>
      </c>
      <c r="F4797" s="4" t="str">
        <f>IF(OR(A4797="",E4797="","",A4797="?",E4797="?"),"duplicate?",IF(COUNTIFS($A:A,A4797,E:E,E4797)&gt;1,"yes","no"))</f>
        <v>duplicate?</v>
      </c>
      <c r="K4797" s="97" t="str">
        <f t="shared" ca="1" si="1"/>
        <v>Date</v>
      </c>
    </row>
    <row r="4798" spans="2:11">
      <c r="B4798" s="97" t="str">
        <f t="shared" ca="1" si="0"/>
        <v>Date</v>
      </c>
      <c r="C4798" s="19" t="str">
        <f>IF(ISBLANK(A4798),"Name",IF(ISNA(VLOOKUP(A4798,'Master List'!A:C,2,FALSE)), "Not Found", VLOOKUP(A4798,'Master List'!A:C,2,FALSE)))</f>
        <v>Name</v>
      </c>
      <c r="D4798" s="19" t="str">
        <f>IF(ISBLANK(A4798), "Email",IF(ISNA(VLOOKUP(A4798,'Master List'!A:C,3,FALSE)), "Not Found", VLOOKUP(A4798,'Master List'!A:C,3,FALSE)))</f>
        <v>Email</v>
      </c>
      <c r="F4798" s="4" t="str">
        <f>IF(OR(A4798="",E4798="","",A4798="?",E4798="?"),"duplicate?",IF(COUNTIFS($A:A,A4798,E:E,E4798)&gt;1,"yes","no"))</f>
        <v>duplicate?</v>
      </c>
      <c r="K4798" s="97" t="str">
        <f t="shared" ca="1" si="1"/>
        <v>Date</v>
      </c>
    </row>
    <row r="4799" spans="2:11">
      <c r="B4799" s="97" t="str">
        <f t="shared" ca="1" si="0"/>
        <v>Date</v>
      </c>
      <c r="C4799" s="19" t="str">
        <f>IF(ISBLANK(A4799),"Name",IF(ISNA(VLOOKUP(A4799,'Master List'!A:C,2,FALSE)), "Not Found", VLOOKUP(A4799,'Master List'!A:C,2,FALSE)))</f>
        <v>Name</v>
      </c>
      <c r="D4799" s="19" t="str">
        <f>IF(ISBLANK(A4799), "Email",IF(ISNA(VLOOKUP(A4799,'Master List'!A:C,3,FALSE)), "Not Found", VLOOKUP(A4799,'Master List'!A:C,3,FALSE)))</f>
        <v>Email</v>
      </c>
      <c r="F4799" s="4" t="str">
        <f>IF(OR(A4799="",E4799="","",A4799="?",E4799="?"),"duplicate?",IF(COUNTIFS($A:A,A4799,E:E,E4799)&gt;1,"yes","no"))</f>
        <v>duplicate?</v>
      </c>
      <c r="K4799" s="97" t="str">
        <f t="shared" ca="1" si="1"/>
        <v>Date</v>
      </c>
    </row>
    <row r="4800" spans="2:11">
      <c r="B4800" s="97" t="str">
        <f t="shared" ca="1" si="0"/>
        <v>Date</v>
      </c>
      <c r="C4800" s="19" t="str">
        <f>IF(ISBLANK(A4800),"Name",IF(ISNA(VLOOKUP(A4800,'Master List'!A:C,2,FALSE)), "Not Found", VLOOKUP(A4800,'Master List'!A:C,2,FALSE)))</f>
        <v>Name</v>
      </c>
      <c r="D4800" s="19" t="str">
        <f>IF(ISBLANK(A4800), "Email",IF(ISNA(VLOOKUP(A4800,'Master List'!A:C,3,FALSE)), "Not Found", VLOOKUP(A4800,'Master List'!A:C,3,FALSE)))</f>
        <v>Email</v>
      </c>
      <c r="F4800" s="4" t="str">
        <f>IF(OR(A4800="",E4800="","",A4800="?",E4800="?"),"duplicate?",IF(COUNTIFS($A:A,A4800,E:E,E4800)&gt;1,"yes","no"))</f>
        <v>duplicate?</v>
      </c>
      <c r="K4800" s="97" t="str">
        <f t="shared" ca="1" si="1"/>
        <v>Date</v>
      </c>
    </row>
    <row r="4801" spans="2:11">
      <c r="B4801" s="97" t="str">
        <f t="shared" ca="1" si="0"/>
        <v>Date</v>
      </c>
      <c r="C4801" s="19" t="str">
        <f>IF(ISBLANK(A4801),"Name",IF(ISNA(VLOOKUP(A4801,'Master List'!A:C,2,FALSE)), "Not Found", VLOOKUP(A4801,'Master List'!A:C,2,FALSE)))</f>
        <v>Name</v>
      </c>
      <c r="D4801" s="19" t="str">
        <f>IF(ISBLANK(A4801), "Email",IF(ISNA(VLOOKUP(A4801,'Master List'!A:C,3,FALSE)), "Not Found", VLOOKUP(A4801,'Master List'!A:C,3,FALSE)))</f>
        <v>Email</v>
      </c>
      <c r="F4801" s="4" t="str">
        <f>IF(OR(A4801="",E4801="","",A4801="?",E4801="?"),"duplicate?",IF(COUNTIFS($A:A,A4801,E:E,E4801)&gt;1,"yes","no"))</f>
        <v>duplicate?</v>
      </c>
      <c r="K4801" s="97" t="str">
        <f t="shared" ca="1" si="1"/>
        <v>Date</v>
      </c>
    </row>
    <row r="4802" spans="2:11">
      <c r="B4802" s="97" t="str">
        <f t="shared" ca="1" si="0"/>
        <v>Date</v>
      </c>
      <c r="C4802" s="19" t="str">
        <f>IF(ISBLANK(A4802),"Name",IF(ISNA(VLOOKUP(A4802,'Master List'!A:C,2,FALSE)), "Not Found", VLOOKUP(A4802,'Master List'!A:C,2,FALSE)))</f>
        <v>Name</v>
      </c>
      <c r="D4802" s="19" t="str">
        <f>IF(ISBLANK(A4802), "Email",IF(ISNA(VLOOKUP(A4802,'Master List'!A:C,3,FALSE)), "Not Found", VLOOKUP(A4802,'Master List'!A:C,3,FALSE)))</f>
        <v>Email</v>
      </c>
      <c r="F4802" s="4" t="str">
        <f>IF(OR(A4802="",E4802="","",A4802="?",E4802="?"),"duplicate?",IF(COUNTIFS($A:A,A4802,E:E,E4802)&gt;1,"yes","no"))</f>
        <v>duplicate?</v>
      </c>
      <c r="K4802" s="97" t="str">
        <f t="shared" ca="1" si="1"/>
        <v>Date</v>
      </c>
    </row>
    <row r="4803" spans="2:11">
      <c r="B4803" s="97" t="str">
        <f t="shared" ca="1" si="0"/>
        <v>Date</v>
      </c>
      <c r="C4803" s="19" t="str">
        <f>IF(ISBLANK(A4803),"Name",IF(ISNA(VLOOKUP(A4803,'Master List'!A:C,2,FALSE)), "Not Found", VLOOKUP(A4803,'Master List'!A:C,2,FALSE)))</f>
        <v>Name</v>
      </c>
      <c r="D4803" s="19" t="str">
        <f>IF(ISBLANK(A4803), "Email",IF(ISNA(VLOOKUP(A4803,'Master List'!A:C,3,FALSE)), "Not Found", VLOOKUP(A4803,'Master List'!A:C,3,FALSE)))</f>
        <v>Email</v>
      </c>
      <c r="F4803" s="4" t="str">
        <f>IF(OR(A4803="",E4803="","",A4803="?",E4803="?"),"duplicate?",IF(COUNTIFS($A:A,A4803,E:E,E4803)&gt;1,"yes","no"))</f>
        <v>duplicate?</v>
      </c>
      <c r="K4803" s="97" t="str">
        <f t="shared" ca="1" si="1"/>
        <v>Date</v>
      </c>
    </row>
    <row r="4804" spans="2:11">
      <c r="B4804" s="97" t="str">
        <f t="shared" ca="1" si="0"/>
        <v>Date</v>
      </c>
      <c r="C4804" s="19" t="str">
        <f>IF(ISBLANK(A4804),"Name",IF(ISNA(VLOOKUP(A4804,'Master List'!A:C,2,FALSE)), "Not Found", VLOOKUP(A4804,'Master List'!A:C,2,FALSE)))</f>
        <v>Name</v>
      </c>
      <c r="D4804" s="19" t="str">
        <f>IF(ISBLANK(A4804), "Email",IF(ISNA(VLOOKUP(A4804,'Master List'!A:C,3,FALSE)), "Not Found", VLOOKUP(A4804,'Master List'!A:C,3,FALSE)))</f>
        <v>Email</v>
      </c>
      <c r="F4804" s="4" t="str">
        <f>IF(OR(A4804="",E4804="","",A4804="?",E4804="?"),"duplicate?",IF(COUNTIFS($A:A,A4804,E:E,E4804)&gt;1,"yes","no"))</f>
        <v>duplicate?</v>
      </c>
      <c r="K4804" s="97" t="str">
        <f t="shared" ca="1" si="1"/>
        <v>Date</v>
      </c>
    </row>
    <row r="4805" spans="2:11">
      <c r="B4805" s="97" t="str">
        <f t="shared" ca="1" si="0"/>
        <v>Date</v>
      </c>
      <c r="C4805" s="19" t="str">
        <f>IF(ISBLANK(A4805),"Name",IF(ISNA(VLOOKUP(A4805,'Master List'!A:C,2,FALSE)), "Not Found", VLOOKUP(A4805,'Master List'!A:C,2,FALSE)))</f>
        <v>Name</v>
      </c>
      <c r="D4805" s="19" t="str">
        <f>IF(ISBLANK(A4805), "Email",IF(ISNA(VLOOKUP(A4805,'Master List'!A:C,3,FALSE)), "Not Found", VLOOKUP(A4805,'Master List'!A:C,3,FALSE)))</f>
        <v>Email</v>
      </c>
      <c r="F4805" s="4" t="str">
        <f>IF(OR(A4805="",E4805="","",A4805="?",E4805="?"),"duplicate?",IF(COUNTIFS($A:A,A4805,E:E,E4805)&gt;1,"yes","no"))</f>
        <v>duplicate?</v>
      </c>
      <c r="K4805" s="97" t="str">
        <f t="shared" ca="1" si="1"/>
        <v>Date</v>
      </c>
    </row>
    <row r="4806" spans="2:11">
      <c r="B4806" s="97" t="str">
        <f t="shared" ca="1" si="0"/>
        <v>Date</v>
      </c>
      <c r="C4806" s="19" t="str">
        <f>IF(ISBLANK(A4806),"Name",IF(ISNA(VLOOKUP(A4806,'Master List'!A:C,2,FALSE)), "Not Found", VLOOKUP(A4806,'Master List'!A:C,2,FALSE)))</f>
        <v>Name</v>
      </c>
      <c r="D4806" s="19" t="str">
        <f>IF(ISBLANK(A4806), "Email",IF(ISNA(VLOOKUP(A4806,'Master List'!A:C,3,FALSE)), "Not Found", VLOOKUP(A4806,'Master List'!A:C,3,FALSE)))</f>
        <v>Email</v>
      </c>
      <c r="F4806" s="4" t="str">
        <f>IF(OR(A4806="",E4806="","",A4806="?",E4806="?"),"duplicate?",IF(COUNTIFS($A:A,A4806,E:E,E4806)&gt;1,"yes","no"))</f>
        <v>duplicate?</v>
      </c>
      <c r="K4806" s="97" t="str">
        <f t="shared" ca="1" si="1"/>
        <v>Date</v>
      </c>
    </row>
    <row r="4807" spans="2:11">
      <c r="B4807" s="97" t="str">
        <f t="shared" ca="1" si="0"/>
        <v>Date</v>
      </c>
      <c r="C4807" s="19" t="str">
        <f>IF(ISBLANK(A4807),"Name",IF(ISNA(VLOOKUP(A4807,'Master List'!A:C,2,FALSE)), "Not Found", VLOOKUP(A4807,'Master List'!A:C,2,FALSE)))</f>
        <v>Name</v>
      </c>
      <c r="D4807" s="19" t="str">
        <f>IF(ISBLANK(A4807), "Email",IF(ISNA(VLOOKUP(A4807,'Master List'!A:C,3,FALSE)), "Not Found", VLOOKUP(A4807,'Master List'!A:C,3,FALSE)))</f>
        <v>Email</v>
      </c>
      <c r="F4807" s="4" t="str">
        <f>IF(OR(A4807="",E4807="","",A4807="?",E4807="?"),"duplicate?",IF(COUNTIFS($A:A,A4807,E:E,E4807)&gt;1,"yes","no"))</f>
        <v>duplicate?</v>
      </c>
      <c r="K4807" s="97" t="str">
        <f t="shared" ca="1" si="1"/>
        <v>Date</v>
      </c>
    </row>
    <row r="4814" spans="2:11">
      <c r="B4814" s="97" t="str">
        <f t="shared" ref="B4814:B4821" ca="1" si="2">IF(A4814="","Date",IF(A4814&lt;&gt;"",IF(B4814="Date",NOW(),B4814),""))</f>
        <v>Date</v>
      </c>
      <c r="C4814" s="19" t="str">
        <f>IF(ISBLANK(A4814),"Name",IF(ISNA(VLOOKUP(A4814,'Master List'!A:C,2,FALSE)), "Not Found", VLOOKUP(A4814,'Master List'!A:C,2,FALSE)))</f>
        <v>Name</v>
      </c>
      <c r="D4814" s="19" t="str">
        <f>IF(ISBLANK(A4814), "Email",IF(ISNA(VLOOKUP(A4814,'Master List'!A:C,3,FALSE)), "Not Found", VLOOKUP(A4814,'Master List'!A:C,3,FALSE)))</f>
        <v>Email</v>
      </c>
      <c r="F4814" s="4" t="str">
        <f>IF(OR(A4814="",E4814="","",A4814="?",E4814="?"),"duplicate?",IF(COUNTIFS($A:A,A4814,E:E,E4814)&gt;1,"yes","no"))</f>
        <v>duplicate?</v>
      </c>
      <c r="K4814" s="97" t="str">
        <f t="shared" ref="K4814:K4821" ca="1" si="3">IF(J4814="","Date",IF(J4814&lt;&gt;"",IF(K4814="Date",NOW(),K4814),""))</f>
        <v>Date</v>
      </c>
    </row>
    <row r="4815" spans="2:11">
      <c r="B4815" s="97" t="str">
        <f t="shared" ca="1" si="2"/>
        <v>Date</v>
      </c>
      <c r="C4815" s="19" t="str">
        <f>IF(ISBLANK(A4815),"Name",IF(ISNA(VLOOKUP(A4815,'Master List'!A:C,2,FALSE)), "Not Found", VLOOKUP(A4815,'Master List'!A:C,2,FALSE)))</f>
        <v>Name</v>
      </c>
      <c r="D4815" s="19" t="str">
        <f>IF(ISBLANK(A4815), "Email",IF(ISNA(VLOOKUP(A4815,'Master List'!A:C,3,FALSE)), "Not Found", VLOOKUP(A4815,'Master List'!A:C,3,FALSE)))</f>
        <v>Email</v>
      </c>
      <c r="F4815" s="4" t="str">
        <f>IF(OR(A4815="",E4815="","",A4815="?",E4815="?"),"duplicate?",IF(COUNTIFS($A:A,A4815,E:E,E4815)&gt;1,"yes","no"))</f>
        <v>duplicate?</v>
      </c>
      <c r="K4815" s="97" t="str">
        <f t="shared" ca="1" si="3"/>
        <v>Date</v>
      </c>
    </row>
    <row r="4816" spans="2:11">
      <c r="B4816" s="97" t="str">
        <f t="shared" ca="1" si="2"/>
        <v>Date</v>
      </c>
      <c r="C4816" s="19" t="str">
        <f>IF(ISBLANK(A4816),"Name",IF(ISNA(VLOOKUP(A4816,'Master List'!A:C,2,FALSE)), "Not Found", VLOOKUP(A4816,'Master List'!A:C,2,FALSE)))</f>
        <v>Name</v>
      </c>
      <c r="D4816" s="19" t="str">
        <f>IF(ISBLANK(A4816), "Email",IF(ISNA(VLOOKUP(A4816,'Master List'!A:C,3,FALSE)), "Not Found", VLOOKUP(A4816,'Master List'!A:C,3,FALSE)))</f>
        <v>Email</v>
      </c>
      <c r="F4816" s="4" t="str">
        <f>IF(OR(A4816="",E4816="","",A4816="?",E4816="?"),"duplicate?",IF(COUNTIFS($A:A,A4816,E:E,E4816)&gt;1,"yes","no"))</f>
        <v>duplicate?</v>
      </c>
      <c r="K4816" s="97" t="str">
        <f t="shared" ca="1" si="3"/>
        <v>Date</v>
      </c>
    </row>
    <row r="4817" spans="2:11">
      <c r="B4817" s="97" t="str">
        <f t="shared" ca="1" si="2"/>
        <v>Date</v>
      </c>
      <c r="C4817" s="19" t="str">
        <f>IF(ISBLANK(A4817),"Name",IF(ISNA(VLOOKUP(A4817,'Master List'!A:C,2,FALSE)), "Not Found", VLOOKUP(A4817,'Master List'!A:C,2,FALSE)))</f>
        <v>Name</v>
      </c>
      <c r="D4817" s="19" t="str">
        <f>IF(ISBLANK(A4817), "Email",IF(ISNA(VLOOKUP(A4817,'Master List'!A:C,3,FALSE)), "Not Found", VLOOKUP(A4817,'Master List'!A:C,3,FALSE)))</f>
        <v>Email</v>
      </c>
      <c r="F4817" s="4" t="str">
        <f>IF(OR(A4817="",E4817="","",A4817="?",E4817="?"),"duplicate?",IF(COUNTIFS($A:A,A4817,E:E,E4817)&gt;1,"yes","no"))</f>
        <v>duplicate?</v>
      </c>
      <c r="K4817" s="97" t="str">
        <f t="shared" ca="1" si="3"/>
        <v>Date</v>
      </c>
    </row>
    <row r="4818" spans="2:11">
      <c r="B4818" s="97" t="str">
        <f t="shared" ca="1" si="2"/>
        <v>Date</v>
      </c>
      <c r="C4818" s="19" t="str">
        <f>IF(ISBLANK(A4818),"Name",IF(ISNA(VLOOKUP(A4818,'Master List'!A:C,2,FALSE)), "Not Found", VLOOKUP(A4818,'Master List'!A:C,2,FALSE)))</f>
        <v>Name</v>
      </c>
      <c r="D4818" s="19" t="str">
        <f>IF(ISBLANK(A4818), "Email",IF(ISNA(VLOOKUP(A4818,'Master List'!A:C,3,FALSE)), "Not Found", VLOOKUP(A4818,'Master List'!A:C,3,FALSE)))</f>
        <v>Email</v>
      </c>
      <c r="F4818" s="4" t="str">
        <f>IF(OR(A4818="",E4818="","",A4818="?",E4818="?"),"duplicate?",IF(COUNTIFS($A:A,A4818,E:E,E4818)&gt;1,"yes","no"))</f>
        <v>duplicate?</v>
      </c>
      <c r="K4818" s="97" t="str">
        <f t="shared" ca="1" si="3"/>
        <v>Date</v>
      </c>
    </row>
    <row r="4819" spans="2:11">
      <c r="B4819" s="97" t="str">
        <f t="shared" ca="1" si="2"/>
        <v>Date</v>
      </c>
      <c r="C4819" s="19" t="str">
        <f>IF(ISBLANK(A4819),"Name",IF(ISNA(VLOOKUP(A4819,'Master List'!A:C,2,FALSE)), "Not Found", VLOOKUP(A4819,'Master List'!A:C,2,FALSE)))</f>
        <v>Name</v>
      </c>
      <c r="D4819" s="19" t="str">
        <f>IF(ISBLANK(A4819), "Email",IF(ISNA(VLOOKUP(A4819,'Master List'!A:C,3,FALSE)), "Not Found", VLOOKUP(A4819,'Master List'!A:C,3,FALSE)))</f>
        <v>Email</v>
      </c>
      <c r="F4819" s="4" t="str">
        <f>IF(OR(A4819="",E4819="","",A4819="?",E4819="?"),"duplicate?",IF(COUNTIFS($A:A,A4819,E:E,E4819)&gt;1,"yes","no"))</f>
        <v>duplicate?</v>
      </c>
      <c r="K4819" s="97" t="str">
        <f t="shared" ca="1" si="3"/>
        <v>Date</v>
      </c>
    </row>
    <row r="4820" spans="2:11">
      <c r="B4820" s="97" t="str">
        <f t="shared" ca="1" si="2"/>
        <v>Date</v>
      </c>
      <c r="C4820" s="19" t="str">
        <f>IF(ISBLANK(A4820),"Name",IF(ISNA(VLOOKUP(A4820,'Master List'!A:C,2,FALSE)), "Not Found", VLOOKUP(A4820,'Master List'!A:C,2,FALSE)))</f>
        <v>Name</v>
      </c>
      <c r="D4820" s="19" t="str">
        <f>IF(ISBLANK(A4820), "Email",IF(ISNA(VLOOKUP(A4820,'Master List'!A:C,3,FALSE)), "Not Found", VLOOKUP(A4820,'Master List'!A:C,3,FALSE)))</f>
        <v>Email</v>
      </c>
      <c r="F4820" s="4" t="str">
        <f>IF(OR(A4820="",E4820="","",A4820="?",E4820="?"),"duplicate?",IF(COUNTIFS($A:A,A4820,E:E,E4820)&gt;1,"yes","no"))</f>
        <v>duplicate?</v>
      </c>
      <c r="K4820" s="97" t="str">
        <f t="shared" ca="1" si="3"/>
        <v>Date</v>
      </c>
    </row>
    <row r="4821" spans="2:11">
      <c r="B4821" s="97" t="str">
        <f t="shared" ca="1" si="2"/>
        <v>Date</v>
      </c>
      <c r="C4821" s="19" t="str">
        <f>IF(ISBLANK(A4821),"Name",IF(ISNA(VLOOKUP(A4821,'Master List'!A:C,2,FALSE)), "Not Found", VLOOKUP(A4821,'Master List'!A:C,2,FALSE)))</f>
        <v>Name</v>
      </c>
      <c r="D4821" s="19" t="str">
        <f>IF(ISBLANK(A4821), "Email",IF(ISNA(VLOOKUP(A4821,'Master List'!A:C,3,FALSE)), "Not Found", VLOOKUP(A4821,'Master List'!A:C,3,FALSE)))</f>
        <v>Email</v>
      </c>
      <c r="F4821" s="4" t="str">
        <f>IF(OR(A4821="",E4821="","",A4821="?",E4821="?"),"duplicate?",IF(COUNTIFS($A:A,A4821,E:E,E4821)&gt;1,"yes","no"))</f>
        <v>duplicate?</v>
      </c>
      <c r="K4821" s="97" t="str">
        <f t="shared" ca="1" si="3"/>
        <v>Date</v>
      </c>
    </row>
  </sheetData>
  <protectedRanges>
    <protectedRange sqref="H502:H503 H505 I502:J505 A475:A495 A338:A385 A470:A472 A279:A334 H470:J501 G470:G491 H601:I605 G607:I624 J601:J624 G588:G605 A585:A598 A497:A582 G493:G586 H506:J600 A1:A277 E1:E385 L1:L385 G1:J385 H387 A4814:A1047573 A600:A646 G4814:J1047573 E4814:E1047573 E470:E4812 L4814:L1047573 L470:L4812 G625:J4812 A648:A4812" name="Range1"/>
  </protectedRanges>
  <autoFilter ref="A1:L4813" xr:uid="{2287FE15-0B4C-4D66-8DC3-900F37BD7667}">
    <filterColumn colId="7">
      <filters>
        <filter val="2 Weeks"/>
        <filter val="End of semester"/>
        <filter val="end of the sementer"/>
        <filter val="Today"/>
        <dateGroupItem year="2025" dateTimeGrouping="year"/>
        <dateGroupItem year="2024" dateTimeGrouping="year"/>
        <dateGroupItem year="2023" dateTimeGrouping="year"/>
        <dateGroupItem year="2022" dateTimeGrouping="year"/>
      </filters>
    </filterColumn>
  </autoFilter>
  <conditionalFormatting sqref="C4814:D1048576 C1:D4807">
    <cfRule type="cellIs" dxfId="71" priority="66" operator="equal">
      <formula>"Not Found"</formula>
    </cfRule>
  </conditionalFormatting>
  <conditionalFormatting sqref="C4814:D1048576 C2:D4807">
    <cfRule type="cellIs" dxfId="70" priority="64" operator="equal">
      <formula>"Email"</formula>
    </cfRule>
    <cfRule type="cellIs" dxfId="69" priority="65" operator="equal">
      <formula>"Name"</formula>
    </cfRule>
  </conditionalFormatting>
  <conditionalFormatting sqref="F4814:F1048576 F1:F4807">
    <cfRule type="containsText" dxfId="68" priority="47" operator="containsText" text="yes">
      <formula>NOT(ISERROR(SEARCH("yes",F1)))</formula>
    </cfRule>
    <cfRule type="cellIs" dxfId="67" priority="59" operator="equal">
      <formula>"YES"</formula>
    </cfRule>
  </conditionalFormatting>
  <conditionalFormatting sqref="E470:E475 B470:D511 E481 E483:E511 E625:E1291 B512:F624 C2:D469 F2:F511 F625:F638 F4814:F1048576 F645:F4807 B625:D638 B645:D4807 K4814:K1048576 K2:K4807 B4814:E4821 B639:F644">
    <cfRule type="cellIs" dxfId="66" priority="53" operator="equal">
      <formula>"Date"</formula>
    </cfRule>
  </conditionalFormatting>
  <conditionalFormatting sqref="F4814:F1048576 F2:F4807">
    <cfRule type="cellIs" dxfId="65" priority="58" operator="equal">
      <formula>"Duplicate?"</formula>
    </cfRule>
  </conditionalFormatting>
  <dataValidations count="2">
    <dataValidation showDropDown="1" showInputMessage="1" showErrorMessage="1" sqref="G1" xr:uid="{B6952793-A3EE-4553-8C58-70EF0CE39C35}"/>
    <dataValidation type="custom" operator="greaterThan" allowBlank="1" showInputMessage="1" showErrorMessage="1" prompt="Enter a specific date or &quot;Indefinite&quot;" sqref="H1" xr:uid="{5819DFC5-810A-4633-B376-F5D207999117}">
      <formula1>OR(ISNUMBER(H2), H2="Indefinite")</formula1>
    </dataValidation>
  </dataValidations>
  <hyperlinks>
    <hyperlink ref="D502" r:id="rId1" xr:uid="{C161DC35-A131-4775-A55F-D373F8F09816}"/>
    <hyperlink ref="L572" r:id="rId2" xr:uid="{E77A68FE-40CA-406C-8451-44CC7CDB9C7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F383FD-94CC-488C-8A05-72567E1A4AA9}">
          <x14:formula1>
            <xm:f>Inventory!$B:$B</xm:f>
          </x14:formula1>
          <xm:sqref>E481 E470:E475 E483:E1291 E4814:E4821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BC5C-0C55-4CA2-8BE1-4D92FF0E1441}">
  <dimension ref="A1:L97"/>
  <sheetViews>
    <sheetView workbookViewId="0">
      <pane ySplit="1" topLeftCell="J53" activePane="bottomLeft" state="frozen"/>
      <selection pane="bottomLeft" activeCell="L84" sqref="L84"/>
    </sheetView>
  </sheetViews>
  <sheetFormatPr defaultColWidth="9.140625" defaultRowHeight="15"/>
  <cols>
    <col min="1" max="1" width="15.42578125" style="68" bestFit="1" customWidth="1"/>
    <col min="2" max="2" width="11.42578125" style="68" bestFit="1" customWidth="1"/>
    <col min="3" max="3" width="26.7109375" style="68" bestFit="1" customWidth="1"/>
    <col min="4" max="4" width="27.42578125" style="68" bestFit="1" customWidth="1"/>
    <col min="5" max="5" width="42.42578125" style="68" bestFit="1" customWidth="1"/>
    <col min="6" max="6" width="18.140625" style="68" bestFit="1" customWidth="1"/>
    <col min="7" max="7" width="30.140625" style="68" customWidth="1"/>
    <col min="8" max="8" width="32.28515625" style="68" bestFit="1" customWidth="1"/>
    <col min="9" max="9" width="15" style="68" bestFit="1" customWidth="1"/>
    <col min="10" max="10" width="15.85546875" style="68" bestFit="1" customWidth="1"/>
    <col min="11" max="11" width="14.28515625" style="68" bestFit="1" customWidth="1"/>
    <col min="12" max="12" width="168.85546875" style="68" bestFit="1" customWidth="1"/>
    <col min="13" max="14" width="10.85546875" style="67" bestFit="1" customWidth="1"/>
    <col min="15" max="18" width="9.140625" style="67"/>
    <col min="19" max="21" width="9.140625" style="67" bestFit="1" customWidth="1"/>
    <col min="22" max="16384" width="9.140625" style="67"/>
  </cols>
  <sheetData>
    <row r="1" spans="1:12" s="78" customFormat="1">
      <c r="A1" s="72" t="s">
        <v>0</v>
      </c>
      <c r="B1" s="73" t="s">
        <v>1</v>
      </c>
      <c r="C1" s="74" t="s">
        <v>2</v>
      </c>
      <c r="D1" s="74" t="s">
        <v>3</v>
      </c>
      <c r="E1" s="75" t="s">
        <v>4</v>
      </c>
      <c r="F1" s="76" t="s">
        <v>5</v>
      </c>
      <c r="G1" s="75" t="s">
        <v>275</v>
      </c>
      <c r="H1" s="73" t="s">
        <v>7</v>
      </c>
      <c r="I1" s="75" t="s">
        <v>8</v>
      </c>
      <c r="J1" s="77" t="s">
        <v>9</v>
      </c>
      <c r="K1" s="73" t="s">
        <v>10</v>
      </c>
      <c r="L1" s="77" t="s">
        <v>11</v>
      </c>
    </row>
    <row r="2" spans="1:12">
      <c r="A2" s="68">
        <v>916490346</v>
      </c>
      <c r="B2" s="69">
        <f t="shared" ref="B2:B33" ca="1" si="0">IF(A2="","Date",IF(A2&lt;&gt;"",IF(B2="Date",NOW(),B2),""))</f>
        <v>45329.68250949074</v>
      </c>
      <c r="C2" s="99" t="s">
        <v>276</v>
      </c>
      <c r="D2" s="70" t="s">
        <v>277</v>
      </c>
      <c r="E2" s="68" t="s">
        <v>278</v>
      </c>
      <c r="F2" s="71" t="str">
        <f>IF(OR(A2="",E2="","",A2="?",E2="?"),"duplicate?",IF(COUNTIFS($A:A,A2,E:E,E2)&gt;1,"yes","no"))</f>
        <v>no</v>
      </c>
      <c r="G2" s="68" t="s">
        <v>279</v>
      </c>
      <c r="H2" s="69">
        <v>45384</v>
      </c>
      <c r="I2" s="68" t="s">
        <v>66</v>
      </c>
      <c r="J2" s="68" t="s">
        <v>153</v>
      </c>
      <c r="K2" s="69">
        <f t="shared" ref="K2:K8" ca="1" si="1">IF(J2="","Date",IF(J2&lt;&gt;"",IF(K2="Date",NOW(),K2),""))</f>
        <v>45372.657248958334</v>
      </c>
    </row>
    <row r="3" spans="1:12">
      <c r="A3" s="68">
        <v>923240510</v>
      </c>
      <c r="B3" s="69">
        <f t="shared" ca="1" si="0"/>
        <v>45336.636819907406</v>
      </c>
      <c r="C3" s="99" t="str">
        <f>IF(ISBLANK(A3),"Name",IF(ISNA(VLOOKUP(A3,'Master List'!A:C,2,FALSE)), "Not Found", VLOOKUP(A3,'Master List'!A:C,2,FALSE)))</f>
        <v>Kunie Kikunaga</v>
      </c>
      <c r="D3" s="99" t="str">
        <f>IF(ISBLANK(A3), "Email",IF(ISNA(VLOOKUP(A3,'Master List'!A:C,3,FALSE)), "Not Found", VLOOKUP(A3,'Master List'!A:C,3,FALSE)))</f>
        <v>kkikunaga@sfsu.edu</v>
      </c>
      <c r="E3" s="68" t="s">
        <v>280</v>
      </c>
      <c r="F3" s="71" t="str">
        <f>IF(OR(A3="",E3="","",A3="?",E3="?"),"duplicate?",IF(COUNTIFS($A:A,A3,E:E,E3)&gt;1,"yes","no"))</f>
        <v>yes</v>
      </c>
      <c r="G3" s="68" t="s">
        <v>281</v>
      </c>
      <c r="H3" s="69">
        <v>45356</v>
      </c>
      <c r="I3" s="68" t="s">
        <v>190</v>
      </c>
      <c r="J3" s="68" t="s">
        <v>71</v>
      </c>
      <c r="K3" s="69">
        <f t="shared" ca="1" si="1"/>
        <v>45363.774012731483</v>
      </c>
      <c r="L3" s="68" t="s">
        <v>282</v>
      </c>
    </row>
    <row r="4" spans="1:12">
      <c r="A4" s="68">
        <v>920938353</v>
      </c>
      <c r="B4" s="69">
        <f t="shared" ca="1" si="0"/>
        <v>45337.55981770833</v>
      </c>
      <c r="C4" s="99" t="str">
        <f>IF(ISBLANK(A4),"Name",IF(ISNA(VLOOKUP(A4,'Master List'!A:C,2,FALSE)), "Not Found", VLOOKUP(A4,'Master List'!A:C,2,FALSE)))</f>
        <v>Maelynn Le</v>
      </c>
      <c r="D4" s="99" t="str">
        <f>IF(ISBLANK(A4), "Email",IF(ISNA(VLOOKUP(A4,'Master List'!A:C,3,FALSE)), "Not Found", VLOOKUP(A4,'Master List'!A:C,3,FALSE)))</f>
        <v>mle12@mail.sfsu.edu</v>
      </c>
      <c r="E4" s="68" t="s">
        <v>280</v>
      </c>
      <c r="F4" s="71" t="str">
        <f>IF(OR(A4="",E4="","",A4="?",E4="?"),"duplicate?",IF(COUNTIFS($A:A,A4,E:E,E4)&gt;1,"yes","no"))</f>
        <v>no</v>
      </c>
      <c r="G4" s="68" t="s">
        <v>283</v>
      </c>
      <c r="H4" s="69">
        <v>45379</v>
      </c>
      <c r="I4" s="68" t="s">
        <v>190</v>
      </c>
      <c r="J4" s="68" t="s">
        <v>190</v>
      </c>
      <c r="K4" s="69">
        <f t="shared" ca="1" si="1"/>
        <v>45378.688438425925</v>
      </c>
      <c r="L4" s="68" t="s">
        <v>284</v>
      </c>
    </row>
    <row r="5" spans="1:12">
      <c r="A5" s="68">
        <v>923240510</v>
      </c>
      <c r="B5" s="69">
        <f t="shared" ca="1" si="0"/>
        <v>45341.500584027781</v>
      </c>
      <c r="C5" s="99" t="str">
        <f>IF(ISBLANK(A5),"Name",IF(ISNA(VLOOKUP(A5,'Master List'!A:C,2,FALSE)), "Not Found", VLOOKUP(A5,'Master List'!A:C,2,FALSE)))</f>
        <v>Kunie Kikunaga</v>
      </c>
      <c r="D5" s="99" t="str">
        <f>IF(ISBLANK(A5), "Email",IF(ISNA(VLOOKUP(A5,'Master List'!A:C,3,FALSE)), "Not Found", VLOOKUP(A5,'Master List'!A:C,3,FALSE)))</f>
        <v>kkikunaga@sfsu.edu</v>
      </c>
      <c r="E5" s="68" t="s">
        <v>285</v>
      </c>
      <c r="F5" s="71" t="str">
        <f>IF(OR(A5="",E5="","",A5="?",E5="?"),"duplicate?",IF(COUNTIFS($A:A,A5,E:E,E5)&gt;1,"yes","no"))</f>
        <v>yes</v>
      </c>
      <c r="G5" s="68" t="s">
        <v>14</v>
      </c>
      <c r="H5" s="69">
        <v>45356</v>
      </c>
      <c r="I5" s="68" t="s">
        <v>176</v>
      </c>
      <c r="J5" s="68" t="s">
        <v>71</v>
      </c>
      <c r="K5" s="69">
        <f t="shared" ca="1" si="1"/>
        <v>45363.774058564813</v>
      </c>
    </row>
    <row r="6" spans="1:12">
      <c r="A6" s="68">
        <v>911104394</v>
      </c>
      <c r="B6" s="69">
        <f t="shared" ca="1" si="0"/>
        <v>45343.671770138892</v>
      </c>
      <c r="C6" s="99" t="str">
        <f>IF(ISBLANK(A6),"Name",IF(ISNA(VLOOKUP(A6,'Master List'!A:C,2,FALSE)), "Not Found", VLOOKUP(A6,'Master List'!A:C,2,FALSE)))</f>
        <v>Natalie Ayala</v>
      </c>
      <c r="D6" s="99" t="str">
        <f>IF(ISBLANK(A6), "Email",IF(ISNA(VLOOKUP(A6,'Master List'!A:C,3,FALSE)), "Not Found", VLOOKUP(A6,'Master List'!A:C,3,FALSE)))</f>
        <v>nayala@sfsu.edu</v>
      </c>
      <c r="E6" s="68" t="s">
        <v>280</v>
      </c>
      <c r="F6" s="71" t="str">
        <f>IF(OR(A6="",E6="","",A6="?",E6="?"),"duplicate?",IF(COUNTIFS($A:A,A6,E:E,E6)&gt;1,"yes","no"))</f>
        <v>no</v>
      </c>
      <c r="G6" s="68" t="s">
        <v>286</v>
      </c>
      <c r="H6" s="69">
        <v>46818</v>
      </c>
      <c r="I6" s="68" t="s">
        <v>66</v>
      </c>
      <c r="J6" s="68" t="s">
        <v>190</v>
      </c>
      <c r="K6" s="69">
        <f t="shared" ca="1" si="1"/>
        <v>45357.607070833335</v>
      </c>
      <c r="L6" s="68" t="s">
        <v>287</v>
      </c>
    </row>
    <row r="7" spans="1:12">
      <c r="A7" s="68">
        <v>923660943</v>
      </c>
      <c r="B7" s="69">
        <f t="shared" ca="1" si="0"/>
        <v>45350.366632754631</v>
      </c>
      <c r="C7" s="99" t="str">
        <f>IF(ISBLANK(A7),"Name",IF(ISNA(VLOOKUP(A7,'Master List'!A:C,2,FALSE)), "Not Found", VLOOKUP(A7,'Master List'!A:C,2,FALSE)))</f>
        <v>Shufen Ma</v>
      </c>
      <c r="D7" s="99" t="str">
        <f>IF(ISBLANK(A7), "Email",IF(ISNA(VLOOKUP(A7,'Master List'!A:C,3,FALSE)), "Not Found", VLOOKUP(A7,'Master List'!A:C,3,FALSE)))</f>
        <v>sma@sfsu.edu</v>
      </c>
      <c r="E7" s="68" t="s">
        <v>280</v>
      </c>
      <c r="F7" s="71" t="str">
        <f>IF(OR(A7="",E7="","",A7="?",E7="?"),"duplicate?",IF(COUNTIFS($A:A,A7,E:E,E7)&gt;1,"yes","no"))</f>
        <v>no</v>
      </c>
      <c r="G7" s="68" t="s">
        <v>288</v>
      </c>
      <c r="H7" s="69">
        <v>45357</v>
      </c>
      <c r="I7" s="68" t="s">
        <v>155</v>
      </c>
      <c r="J7" s="68" t="s">
        <v>66</v>
      </c>
      <c r="K7" s="69">
        <f t="shared" ca="1" si="1"/>
        <v>45422.653352314817</v>
      </c>
    </row>
    <row r="8" spans="1:12">
      <c r="A8" s="68">
        <v>923660943</v>
      </c>
      <c r="B8" s="69">
        <f t="shared" ca="1" si="0"/>
        <v>45350.367393981483</v>
      </c>
      <c r="C8" s="99" t="str">
        <f>IF(ISBLANK(A8),"Name",IF(ISNA(VLOOKUP(A8,'Master List'!A:C,2,FALSE)), "Not Found", VLOOKUP(A8,'Master List'!A:C,2,FALSE)))</f>
        <v>Shufen Ma</v>
      </c>
      <c r="D8" s="99" t="str">
        <f>IF(ISBLANK(A8), "Email",IF(ISNA(VLOOKUP(A8,'Master List'!A:C,3,FALSE)), "Not Found", VLOOKUP(A8,'Master List'!A:C,3,FALSE)))</f>
        <v>sma@sfsu.edu</v>
      </c>
      <c r="E8" s="68" t="s">
        <v>285</v>
      </c>
      <c r="F8" s="71" t="str">
        <f>IF(OR(A8="",E8="","",A8="?",E8="?"),"duplicate?",IF(COUNTIFS($A:A,A8,E:E,E8)&gt;1,"yes","no"))</f>
        <v>no</v>
      </c>
      <c r="H8" s="69">
        <v>45357</v>
      </c>
      <c r="I8" s="68" t="s">
        <v>155</v>
      </c>
      <c r="J8" s="68" t="s">
        <v>66</v>
      </c>
      <c r="K8" s="69">
        <f t="shared" ca="1" si="1"/>
        <v>45422.65337083333</v>
      </c>
    </row>
    <row r="9" spans="1:12">
      <c r="A9" s="68">
        <v>920743353</v>
      </c>
      <c r="B9" s="69">
        <f t="shared" ca="1" si="0"/>
        <v>45350.368031134261</v>
      </c>
      <c r="C9" s="99" t="str">
        <f>IF(ISBLANK(A9),"Name",IF(ISNA(VLOOKUP(A9,'Master List'!A:C,2,FALSE)), "Not Found", VLOOKUP(A9,'Master List'!A:C,2,FALSE)))</f>
        <v>Eli Dinkelspiel</v>
      </c>
      <c r="D9" s="99" t="str">
        <f>IF(ISBLANK(A9), "Email",IF(ISNA(VLOOKUP(A9,'Master List'!A:C,3,FALSE)), "Not Found", VLOOKUP(A9,'Master List'!A:C,3,FALSE)))</f>
        <v>edinkelspiel@sfsu.edu</v>
      </c>
      <c r="E9" s="68" t="s">
        <v>289</v>
      </c>
      <c r="F9" s="71" t="str">
        <f>IF(OR(A9="",E9="","",A9="?",E9="?"),"duplicate?",IF(COUNTIFS($A:A,A9,E:E,E9)&gt;1,"yes","no"))</f>
        <v>no</v>
      </c>
      <c r="G9" s="68" t="s">
        <v>290</v>
      </c>
      <c r="H9" s="69">
        <v>45357</v>
      </c>
      <c r="I9" s="68" t="s">
        <v>155</v>
      </c>
      <c r="J9" s="68" t="s">
        <v>99</v>
      </c>
      <c r="K9" s="69" t="e">
        <f ca="1">IF(#REF!="","Date",IF(#REF!&lt;&gt;"",IF(K9="Date",NOW(),K9),""))</f>
        <v>#REF!</v>
      </c>
    </row>
    <row r="10" spans="1:12">
      <c r="A10" s="68">
        <v>920743353</v>
      </c>
      <c r="B10" s="69">
        <f t="shared" ca="1" si="0"/>
        <v>45350.369354629627</v>
      </c>
      <c r="C10" s="99" t="str">
        <f>IF(ISBLANK(A10),"Name",IF(ISNA(VLOOKUP(A10,'Master List'!A:C,2,FALSE)), "Not Found", VLOOKUP(A10,'Master List'!A:C,2,FALSE)))</f>
        <v>Eli Dinkelspiel</v>
      </c>
      <c r="D10" s="99" t="str">
        <f>IF(ISBLANK(A10), "Email",IF(ISNA(VLOOKUP(A10,'Master List'!A:C,3,FALSE)), "Not Found", VLOOKUP(A10,'Master List'!A:C,3,FALSE)))</f>
        <v>edinkelspiel@sfsu.edu</v>
      </c>
      <c r="E10" s="68" t="s">
        <v>285</v>
      </c>
      <c r="F10" s="71" t="str">
        <f>IF(OR(A10="",E10="","",A10="?",E10="?"),"duplicate?",IF(COUNTIFS($A:A,A10,E:E,E10)&gt;1,"yes","no"))</f>
        <v>no</v>
      </c>
      <c r="G10" s="68" t="s">
        <v>291</v>
      </c>
      <c r="H10" s="69">
        <v>45357</v>
      </c>
      <c r="I10" s="68" t="s">
        <v>155</v>
      </c>
      <c r="J10" s="68" t="s">
        <v>99</v>
      </c>
      <c r="K10" s="69">
        <f ca="1">IF(J9="","Date",IF(J9&lt;&gt;"",IF(K10="Date",NOW(),K10),""))</f>
        <v>45429.670183449074</v>
      </c>
    </row>
    <row r="11" spans="1:12">
      <c r="A11" s="68">
        <v>913060374</v>
      </c>
      <c r="B11" s="69">
        <f t="shared" ca="1" si="0"/>
        <v>45350.370234837967</v>
      </c>
      <c r="C11" s="99" t="str">
        <f>IF(ISBLANK(A11),"Name",IF(ISNA(VLOOKUP(A11,'Master List'!A:C,2,FALSE)), "Not Found", VLOOKUP(A11,'Master List'!A:C,2,FALSE)))</f>
        <v>Paul Medeiros</v>
      </c>
      <c r="D11" s="99" t="str">
        <f>IF(ISBLANK(A11), "Email",IF(ISNA(VLOOKUP(A11,'Master List'!A:C,3,FALSE)), "Not Found", VLOOKUP(A11,'Master List'!A:C,3,FALSE)))</f>
        <v>pauljmed@mail.sfsu.edu</v>
      </c>
      <c r="E11" s="68" t="s">
        <v>289</v>
      </c>
      <c r="F11" s="71" t="str">
        <f>IF(OR(A11="",E11="","",A11="?",E11="?"),"duplicate?",IF(COUNTIFS($A:A,A11,E:E,E11)&gt;1,"yes","no"))</f>
        <v>no</v>
      </c>
      <c r="G11" s="68" t="s">
        <v>292</v>
      </c>
      <c r="H11" s="69">
        <v>45357</v>
      </c>
      <c r="I11" s="68" t="s">
        <v>153</v>
      </c>
      <c r="J11" s="68" t="s">
        <v>153</v>
      </c>
      <c r="K11" s="69">
        <f t="shared" ref="K11:K53" ca="1" si="2">IF(J11="","Date",IF(J11&lt;&gt;"",IF(K11="Date",NOW(),K11),""))</f>
        <v>45358.695525000003</v>
      </c>
      <c r="L11" s="68" t="s">
        <v>293</v>
      </c>
    </row>
    <row r="12" spans="1:12">
      <c r="A12" s="68">
        <v>913060374</v>
      </c>
      <c r="B12" s="69">
        <f t="shared" ca="1" si="0"/>
        <v>45350.370953935184</v>
      </c>
      <c r="C12" s="99" t="str">
        <f>IF(ISBLANK(A12),"Name",IF(ISNA(VLOOKUP(A12,'Master List'!A:C,2,FALSE)), "Not Found", VLOOKUP(A12,'Master List'!A:C,2,FALSE)))</f>
        <v>Paul Medeiros</v>
      </c>
      <c r="D12" s="99" t="str">
        <f>IF(ISBLANK(A12), "Email",IF(ISNA(VLOOKUP(A12,'Master List'!A:C,3,FALSE)), "Not Found", VLOOKUP(A12,'Master List'!A:C,3,FALSE)))</f>
        <v>pauljmed@mail.sfsu.edu</v>
      </c>
      <c r="E12" s="68" t="s">
        <v>285</v>
      </c>
      <c r="F12" s="71" t="str">
        <f>IF(OR(A12="",E12="","",A12="?",E12="?"),"duplicate?",IF(COUNTIFS($A:A,A12,E:E,E12)&gt;1,"yes","no"))</f>
        <v>no</v>
      </c>
      <c r="H12" s="69">
        <v>45357</v>
      </c>
      <c r="I12" s="68" t="s">
        <v>153</v>
      </c>
      <c r="J12" s="68" t="s">
        <v>153</v>
      </c>
      <c r="K12" s="69">
        <f t="shared" ca="1" si="2"/>
        <v>45358.695703472222</v>
      </c>
    </row>
    <row r="13" spans="1:12">
      <c r="A13" s="68">
        <v>900016746</v>
      </c>
      <c r="B13" s="69">
        <f t="shared" ca="1" si="0"/>
        <v>45350.704480439817</v>
      </c>
      <c r="C13" s="99" t="str">
        <f>IF(ISBLANK(A13),"Name",IF(ISNA(VLOOKUP(A13,'Master List'!A:C,2,FALSE)), "Not Found", VLOOKUP(A13,'Master List'!A:C,2,FALSE)))</f>
        <v>Kurt Nutting</v>
      </c>
      <c r="D13" s="99" t="str">
        <f>IF(ISBLANK(A13), "Email",IF(ISNA(VLOOKUP(A13,'Master List'!A:C,3,FALSE)), "Not Found", VLOOKUP(A13,'Master List'!A:C,3,FALSE)))</f>
        <v>knutting@sfsu.edu</v>
      </c>
      <c r="E13" s="68" t="s">
        <v>140</v>
      </c>
      <c r="F13" s="71" t="str">
        <f>IF(OR(A13="",E13="","",A13="?",E13="?"),"duplicate?",IF(COUNTIFS($A:A,A13,E:E,E13)&gt;1,"yes","no"))</f>
        <v>no</v>
      </c>
      <c r="H13" s="68" t="s">
        <v>294</v>
      </c>
      <c r="I13" s="68" t="s">
        <v>153</v>
      </c>
      <c r="K13" s="69" t="str">
        <f t="shared" ca="1" si="2"/>
        <v>Date</v>
      </c>
    </row>
    <row r="14" spans="1:12">
      <c r="A14" s="68">
        <v>923658993</v>
      </c>
      <c r="B14" s="69">
        <f t="shared" ca="1" si="0"/>
        <v>45351.798423842592</v>
      </c>
      <c r="C14" s="99" t="str">
        <f>IF(ISBLANK(A14),"Name",IF(ISNA(VLOOKUP(A14,'Master List'!A:C,2,FALSE)), "Not Found", VLOOKUP(A14,'Master List'!A:C,2,FALSE)))</f>
        <v>Colin Schildhauer</v>
      </c>
      <c r="D14" s="99" t="str">
        <f>IF(ISBLANK(A14), "Email",IF(ISNA(VLOOKUP(A14,'Master List'!A:C,3,FALSE)), "Not Found", VLOOKUP(A14,'Master List'!A:C,3,FALSE)))</f>
        <v>SchildhauerC@sfsu.edu</v>
      </c>
      <c r="E14" s="99" t="s">
        <v>280</v>
      </c>
      <c r="F14" s="71" t="str">
        <f>IF(OR(A14="",E14="","",A14="?",E14="?"),"duplicate?",IF(COUNTIFS($A:A,A14,E:E,E14)&gt;1,"yes","no"))</f>
        <v>no</v>
      </c>
      <c r="G14" s="68" t="s">
        <v>295</v>
      </c>
      <c r="H14" s="69">
        <v>45365</v>
      </c>
      <c r="I14" s="68" t="s">
        <v>178</v>
      </c>
      <c r="J14" s="68" t="s">
        <v>99</v>
      </c>
      <c r="K14" s="69">
        <f t="shared" ca="1" si="2"/>
        <v>45421.685645717589</v>
      </c>
    </row>
    <row r="15" spans="1:12">
      <c r="A15" s="68">
        <v>911104394</v>
      </c>
      <c r="B15" s="69">
        <f t="shared" ca="1" si="0"/>
        <v>45357.602117592593</v>
      </c>
      <c r="C15" s="99" t="str">
        <f>IF(ISBLANK(A15),"Name",IF(ISNA(VLOOKUP(A15,'Master List'!A:C,2,FALSE)), "Not Found", VLOOKUP(A15,'Master List'!A:C,2,FALSE)))</f>
        <v>Natalie Ayala</v>
      </c>
      <c r="D15" s="99" t="str">
        <f>IF(ISBLANK(A15), "Email",IF(ISNA(VLOOKUP(A15,'Master List'!A:C,3,FALSE)), "Not Found", VLOOKUP(A15,'Master List'!A:C,3,FALSE)))</f>
        <v>nayala@sfsu.edu</v>
      </c>
      <c r="E15" s="68" t="s">
        <v>278</v>
      </c>
      <c r="F15" s="71" t="str">
        <f>IF(OR(A15="",E15="","",A15="?",E15="?"),"duplicate?",IF(COUNTIFS($A:A,A15,E:E,E15)&gt;1,"yes","no"))</f>
        <v>yes</v>
      </c>
      <c r="G15" s="68" t="s">
        <v>296</v>
      </c>
      <c r="H15" s="69">
        <v>45371</v>
      </c>
      <c r="I15" s="68" t="s">
        <v>190</v>
      </c>
      <c r="J15" s="68" t="s">
        <v>153</v>
      </c>
      <c r="K15" s="69">
        <f t="shared" ca="1" si="2"/>
        <v>45371.666351157408</v>
      </c>
      <c r="L15" s="68" t="s">
        <v>297</v>
      </c>
    </row>
    <row r="16" spans="1:12">
      <c r="A16" s="68">
        <v>923661671</v>
      </c>
      <c r="B16" s="69">
        <f t="shared" ca="1" si="0"/>
        <v>45362.615987500001</v>
      </c>
      <c r="C16" s="99" t="s">
        <v>298</v>
      </c>
      <c r="D16" s="70" t="s">
        <v>299</v>
      </c>
      <c r="E16" s="68" t="s">
        <v>280</v>
      </c>
      <c r="F16" s="71" t="str">
        <f>IF(OR(A16="",E16="","",A16="?",E16="?"),"duplicate?",IF(COUNTIFS($A:A,A16,E:E,E16)&gt;1,"yes","no"))</f>
        <v>no</v>
      </c>
      <c r="G16" s="68" t="s">
        <v>300</v>
      </c>
      <c r="H16" s="69">
        <v>45377</v>
      </c>
      <c r="I16" s="68" t="s">
        <v>301</v>
      </c>
      <c r="J16" s="68" t="s">
        <v>190</v>
      </c>
      <c r="K16" s="69">
        <f t="shared" ca="1" si="2"/>
        <v>45379.643327430553</v>
      </c>
    </row>
    <row r="17" spans="1:12">
      <c r="A17" s="68">
        <v>923240510</v>
      </c>
      <c r="B17" s="69">
        <f t="shared" ca="1" si="0"/>
        <v>45363.773885763891</v>
      </c>
      <c r="C17" s="99" t="str">
        <f>IF(ISBLANK(A17),"Name",IF(ISNA(VLOOKUP(A17,'Master List'!A:C,2,FALSE)), "Not Found", VLOOKUP(A17,'Master List'!A:C,2,FALSE)))</f>
        <v>Kunie Kikunaga</v>
      </c>
      <c r="D17" s="99" t="str">
        <f>IF(ISBLANK(A17), "Email",IF(ISNA(VLOOKUP(A17,'Master List'!A:C,3,FALSE)), "Not Found", VLOOKUP(A17,'Master List'!A:C,3,FALSE)))</f>
        <v>kkikunaga@sfsu.edu</v>
      </c>
      <c r="E17" s="68" t="s">
        <v>280</v>
      </c>
      <c r="F17" s="71" t="str">
        <f>IF(OR(A17="",E17="","",A17="?",E17="?"),"duplicate?",IF(COUNTIFS($A:A,A17,E:E,E17)&gt;1,"yes","no"))</f>
        <v>yes</v>
      </c>
      <c r="G17" s="68" t="s">
        <v>281</v>
      </c>
      <c r="H17" s="69">
        <v>45377</v>
      </c>
      <c r="I17" s="68" t="s">
        <v>71</v>
      </c>
      <c r="J17" s="68" t="s">
        <v>153</v>
      </c>
      <c r="K17" s="69">
        <f t="shared" ca="1" si="2"/>
        <v>45378.530597916666</v>
      </c>
    </row>
    <row r="18" spans="1:12">
      <c r="A18" s="68">
        <v>923240510</v>
      </c>
      <c r="B18" s="69">
        <f t="shared" ca="1" si="0"/>
        <v>45363.773903009256</v>
      </c>
      <c r="C18" s="99" t="str">
        <f>IF(ISBLANK(A18),"Name",IF(ISNA(VLOOKUP(A18,'Master List'!A:C,2,FALSE)), "Not Found", VLOOKUP(A18,'Master List'!A:C,2,FALSE)))</f>
        <v>Kunie Kikunaga</v>
      </c>
      <c r="D18" s="99" t="str">
        <f>IF(ISBLANK(A18), "Email",IF(ISNA(VLOOKUP(A18,'Master List'!A:C,3,FALSE)), "Not Found", VLOOKUP(A18,'Master List'!A:C,3,FALSE)))</f>
        <v>kkikunaga@sfsu.edu</v>
      </c>
      <c r="E18" s="68" t="s">
        <v>285</v>
      </c>
      <c r="F18" s="71" t="str">
        <f>IF(OR(A18="",E18="","",A18="?",E18="?"),"duplicate?",IF(COUNTIFS($A:A,A18,E:E,E18)&gt;1,"yes","no"))</f>
        <v>yes</v>
      </c>
      <c r="H18" s="69">
        <v>45377</v>
      </c>
      <c r="I18" s="68" t="s">
        <v>71</v>
      </c>
      <c r="J18" s="68" t="s">
        <v>153</v>
      </c>
      <c r="K18" s="69">
        <f t="shared" ca="1" si="2"/>
        <v>45378.530622453705</v>
      </c>
    </row>
    <row r="19" spans="1:12">
      <c r="A19" s="68">
        <v>911104394</v>
      </c>
      <c r="B19" s="69">
        <f t="shared" ca="1" si="0"/>
        <v>45371.665577430555</v>
      </c>
      <c r="C19" s="99" t="str">
        <f>IF(ISBLANK(A19),"Name",IF(ISNA(VLOOKUP(A19,'Master List'!A:C,2,FALSE)), "Not Found", VLOOKUP(A19,'Master List'!A:C,2,FALSE)))</f>
        <v>Natalie Ayala</v>
      </c>
      <c r="D19" s="99" t="str">
        <f>IF(ISBLANK(A19), "Email",IF(ISNA(VLOOKUP(A19,'Master List'!A:C,3,FALSE)), "Not Found", VLOOKUP(A19,'Master List'!A:C,3,FALSE)))</f>
        <v>nayala@sfsu.edu</v>
      </c>
      <c r="E19" s="68" t="s">
        <v>278</v>
      </c>
      <c r="F19" s="71" t="str">
        <f>IF(OR(A19="",E19="","",A19="?",E19="?"),"duplicate?",IF(COUNTIFS($A:A,A19,E:E,E19)&gt;1,"yes","no"))</f>
        <v>yes</v>
      </c>
      <c r="G19" s="68" t="s">
        <v>296</v>
      </c>
      <c r="H19" s="69">
        <v>45385</v>
      </c>
      <c r="I19" s="68" t="s">
        <v>153</v>
      </c>
      <c r="J19" s="68" t="s">
        <v>99</v>
      </c>
      <c r="K19" s="69">
        <f t="shared" ca="1" si="2"/>
        <v>45406.6842875</v>
      </c>
    </row>
    <row r="20" spans="1:12">
      <c r="A20" s="68">
        <v>923864653</v>
      </c>
      <c r="B20" s="69">
        <f t="shared" ca="1" si="0"/>
        <v>45385.639461458333</v>
      </c>
      <c r="C20" s="99" t="str">
        <f>IF(ISBLANK(A20),"Name",IF(ISNA(VLOOKUP(A20,'Master List'!A:C,2,FALSE)), "Not Found", VLOOKUP(A20,'Master List'!A:C,2,FALSE)))</f>
        <v>Nesma Elhizzawi</v>
      </c>
      <c r="D20" s="99" t="str">
        <f>IF(ISBLANK(A20), "Email",IF(ISNA(VLOOKUP(A20,'Master List'!A:C,3,FALSE)), "Not Found", VLOOKUP(A20,'Master List'!A:C,3,FALSE)))</f>
        <v>nelhizzawi@sfsu.edu</v>
      </c>
      <c r="E20" s="68" t="s">
        <v>280</v>
      </c>
      <c r="F20" s="71" t="str">
        <f>IF(OR(A20="",E20="","",A20="?",E20="?"),"duplicate?",IF(COUNTIFS($A:A,A20,E:E,E20)&gt;1,"yes","no"))</f>
        <v>yes</v>
      </c>
      <c r="G20" s="68" t="s">
        <v>302</v>
      </c>
      <c r="H20" s="69">
        <v>45399</v>
      </c>
      <c r="I20" s="68" t="s">
        <v>190</v>
      </c>
      <c r="J20" s="68" t="s">
        <v>99</v>
      </c>
      <c r="K20" s="69">
        <f t="shared" ca="1" si="2"/>
        <v>45397.931585995371</v>
      </c>
    </row>
    <row r="21" spans="1:12">
      <c r="A21" s="68">
        <v>923864653</v>
      </c>
      <c r="B21" s="69">
        <f t="shared" ca="1" si="0"/>
        <v>45397.952095949076</v>
      </c>
      <c r="C21" s="99" t="str">
        <f>IF(ISBLANK(A21),"Name",IF(ISNA(VLOOKUP(A21,'Master List'!A:C,2,FALSE)), "Not Found", VLOOKUP(A21,'Master List'!A:C,2,FALSE)))</f>
        <v>Nesma Elhizzawi</v>
      </c>
      <c r="D21" s="99" t="str">
        <f>IF(ISBLANK(A21), "Email",IF(ISNA(VLOOKUP(A21,'Master List'!A:C,3,FALSE)), "Not Found", VLOOKUP(A21,'Master List'!A:C,3,FALSE)))</f>
        <v>nelhizzawi@sfsu.edu</v>
      </c>
      <c r="E21" s="68" t="s">
        <v>280</v>
      </c>
      <c r="F21" s="71" t="str">
        <f>IF(OR(A21="",E21="","",A21="?",E21="?"),"duplicate?",IF(COUNTIFS($A:A,A21,E:E,E21)&gt;1,"yes","no"))</f>
        <v>yes</v>
      </c>
      <c r="G21" s="68" t="s">
        <v>302</v>
      </c>
      <c r="H21" s="69">
        <v>45411</v>
      </c>
      <c r="I21" s="68" t="s">
        <v>99</v>
      </c>
      <c r="J21" s="68" t="s">
        <v>99</v>
      </c>
      <c r="K21" s="69">
        <f t="shared" ca="1" si="2"/>
        <v>45411.636489930555</v>
      </c>
    </row>
    <row r="22" spans="1:12">
      <c r="A22" s="68">
        <v>911104394</v>
      </c>
      <c r="B22" s="69">
        <f t="shared" ca="1" si="0"/>
        <v>45406.684198726849</v>
      </c>
      <c r="C22" s="99" t="str">
        <f>IF(ISBLANK(A22),"Name",IF(ISNA(VLOOKUP(A22,'Master List'!A:C,2,FALSE)), "Not Found", VLOOKUP(A22,'Master List'!A:C,2,FALSE)))</f>
        <v>Natalie Ayala</v>
      </c>
      <c r="D22" s="99" t="str">
        <f>IF(ISBLANK(A22), "Email",IF(ISNA(VLOOKUP(A22,'Master List'!A:C,3,FALSE)), "Not Found", VLOOKUP(A22,'Master List'!A:C,3,FALSE)))</f>
        <v>nayala@sfsu.edu</v>
      </c>
      <c r="E22" s="68" t="s">
        <v>278</v>
      </c>
      <c r="F22" s="71" t="str">
        <f>IF(OR(A22="",E22="","",A22="?",E22="?"),"duplicate?",IF(COUNTIFS($A:A,A22,E:E,E22)&gt;1,"yes","no"))</f>
        <v>yes</v>
      </c>
      <c r="G22" s="68" t="s">
        <v>296</v>
      </c>
      <c r="H22" s="69">
        <v>45427</v>
      </c>
      <c r="I22" s="68" t="s">
        <v>99</v>
      </c>
      <c r="J22" s="68" t="s">
        <v>155</v>
      </c>
      <c r="K22" s="69">
        <f t="shared" ca="1" si="2"/>
        <v>45426.702869097222</v>
      </c>
    </row>
    <row r="23" spans="1:12">
      <c r="A23" s="68">
        <v>918785600</v>
      </c>
      <c r="B23" s="69">
        <f t="shared" ca="1" si="0"/>
        <v>45560.52572002315</v>
      </c>
      <c r="C23" s="99" t="s">
        <v>303</v>
      </c>
      <c r="D23" s="70" t="s">
        <v>304</v>
      </c>
      <c r="E23" s="68" t="s">
        <v>280</v>
      </c>
      <c r="F23" s="71" t="str">
        <f>IF(OR(A23="",E23="","",A23="?",E23="?"),"duplicate?",IF(COUNTIFS($A:A,A23,E:E,E23)&gt;1,"yes","no"))</f>
        <v>yes</v>
      </c>
      <c r="G23" s="68" t="s">
        <v>305</v>
      </c>
      <c r="H23" s="69">
        <v>45567</v>
      </c>
      <c r="I23" s="68" t="s">
        <v>61</v>
      </c>
      <c r="J23" s="68" t="s">
        <v>99</v>
      </c>
      <c r="K23" s="69">
        <f t="shared" ca="1" si="2"/>
        <v>45567.527036805557</v>
      </c>
    </row>
    <row r="24" spans="1:12">
      <c r="A24" s="68">
        <v>923901885</v>
      </c>
      <c r="B24" s="69">
        <f t="shared" ca="1" si="0"/>
        <v>45567.676464583332</v>
      </c>
      <c r="C24" s="99" t="str">
        <f>IF(ISBLANK(A24),"Name",IF(ISNA(VLOOKUP(A24,'Master List'!A:C,2,FALSE)), "Not Found", VLOOKUP(A24,'Master List'!A:C,2,FALSE)))</f>
        <v>Yasi Martin-Partovi</v>
      </c>
      <c r="D24" s="99" t="str">
        <f>IF(ISBLANK(A24), "Email",IF(ISNA(VLOOKUP(A24,'Master List'!A:C,3,FALSE)), "Not Found", VLOOKUP(A24,'Master List'!A:C,3,FALSE)))</f>
        <v>jmartinpartovi@sfsu.edu</v>
      </c>
      <c r="E24" s="68" t="s">
        <v>280</v>
      </c>
      <c r="F24" s="71" t="str">
        <f>IF(OR(A24="",E24="","",A24="?",E24="?"),"duplicate?",IF(COUNTIFS($A:A,A24,E:E,E24)&gt;1,"yes","no"))</f>
        <v>yes</v>
      </c>
      <c r="G24" s="68" t="s">
        <v>306</v>
      </c>
      <c r="H24" s="69">
        <v>45574</v>
      </c>
      <c r="I24" s="68" t="s">
        <v>99</v>
      </c>
      <c r="J24" s="68" t="s">
        <v>190</v>
      </c>
      <c r="K24" s="69">
        <f t="shared" ca="1" si="2"/>
        <v>45568.674401041666</v>
      </c>
    </row>
    <row r="25" spans="1:12">
      <c r="A25" s="68">
        <v>921051297</v>
      </c>
      <c r="B25" s="69">
        <f t="shared" ca="1" si="0"/>
        <v>45575.599335995372</v>
      </c>
      <c r="C25" s="99" t="str">
        <f>IF(ISBLANK(A25),"Name",IF(ISNA(VLOOKUP(A25,'Master List'!A:C,2,FALSE)), "Not Found", VLOOKUP(A25,'Master List'!A:C,2,FALSE)))</f>
        <v>Samuel Reid</v>
      </c>
      <c r="D25" s="99" t="str">
        <f>IF(ISBLANK(A25), "Email",IF(ISNA(VLOOKUP(A25,'Master List'!A:C,3,FALSE)), "Not Found", VLOOKUP(A25,'Master List'!A:C,3,FALSE)))</f>
        <v>sreid1@mail.sfsu.edu</v>
      </c>
      <c r="E25" s="68" t="s">
        <v>280</v>
      </c>
      <c r="F25" s="71" t="str">
        <f>IF(OR(A25="",E25="","",A25="?",E25="?"),"duplicate?",IF(COUNTIFS($A:A,A25,E:E,E25)&gt;1,"yes","no"))</f>
        <v>yes</v>
      </c>
      <c r="G25" s="68" t="s">
        <v>307</v>
      </c>
      <c r="H25" s="69">
        <v>45589</v>
      </c>
      <c r="I25" s="68" t="s">
        <v>176</v>
      </c>
      <c r="J25" s="68" t="s">
        <v>190</v>
      </c>
      <c r="K25" s="69">
        <f t="shared" ca="1" si="2"/>
        <v>45579.530283796295</v>
      </c>
    </row>
    <row r="26" spans="1:12">
      <c r="A26" s="68">
        <v>920457548</v>
      </c>
      <c r="B26" s="69">
        <f t="shared" ca="1" si="0"/>
        <v>45576.410532175927</v>
      </c>
      <c r="C26" s="99" t="s">
        <v>308</v>
      </c>
      <c r="D26" s="70" t="s">
        <v>309</v>
      </c>
      <c r="E26" s="68" t="s">
        <v>280</v>
      </c>
      <c r="F26" s="71" t="str">
        <f>IF(OR(A26="",E26="","",A26="?",E26="?"),"duplicate?",IF(COUNTIFS($A:A,A26,E:E,E26)&gt;1,"yes","no"))</f>
        <v>no</v>
      </c>
      <c r="G26" s="68" t="s">
        <v>310</v>
      </c>
      <c r="H26" s="69">
        <v>45583</v>
      </c>
      <c r="I26" s="68" t="s">
        <v>178</v>
      </c>
      <c r="J26" s="68" t="s">
        <v>99</v>
      </c>
      <c r="K26" s="69">
        <f t="shared" ca="1" si="2"/>
        <v>45581.655793287035</v>
      </c>
    </row>
    <row r="27" spans="1:12">
      <c r="A27" s="68">
        <v>921051297</v>
      </c>
      <c r="B27" s="69">
        <f t="shared" ca="1" si="0"/>
        <v>45588.595678703707</v>
      </c>
      <c r="C27" s="99" t="str">
        <f>IF(ISBLANK(A27),"Name",IF(ISNA(VLOOKUP(A27,'Master List'!A:C,2,FALSE)), "Not Found", VLOOKUP(A27,'Master List'!A:C,2,FALSE)))</f>
        <v>Samuel Reid</v>
      </c>
      <c r="D27" s="99" t="str">
        <f>IF(ISBLANK(A27), "Email",IF(ISNA(VLOOKUP(A27,'Master List'!A:C,3,FALSE)), "Not Found", VLOOKUP(A27,'Master List'!A:C,3,FALSE)))</f>
        <v>sreid1@mail.sfsu.edu</v>
      </c>
      <c r="E27" s="68" t="s">
        <v>280</v>
      </c>
      <c r="F27" s="71" t="str">
        <f>IF(OR(A27="",E27="","",A27="?",E27="?"),"duplicate?",IF(COUNTIFS($A:A,A27,E:E,E27)&gt;1,"yes","no"))</f>
        <v>yes</v>
      </c>
      <c r="G27" s="68" t="s">
        <v>311</v>
      </c>
      <c r="H27" s="69">
        <v>45610</v>
      </c>
      <c r="I27" s="68" t="s">
        <v>61</v>
      </c>
      <c r="J27" s="68" t="s">
        <v>153</v>
      </c>
      <c r="K27" s="69">
        <f t="shared" ca="1" si="2"/>
        <v>45614.633543750002</v>
      </c>
      <c r="L27" s="68" t="s">
        <v>312</v>
      </c>
    </row>
    <row r="28" spans="1:12">
      <c r="A28" s="68">
        <v>917694887</v>
      </c>
      <c r="B28" s="69">
        <f t="shared" ca="1" si="0"/>
        <v>45590.625893865741</v>
      </c>
      <c r="C28" s="99" t="str">
        <f>IF(ISBLANK(A28),"Name",IF(ISNA(VLOOKUP(A28,'Master List'!A:C,2,FALSE)), "Not Found", VLOOKUP(A28,'Master List'!A:C,2,FALSE)))</f>
        <v>Joey Samuel Ng</v>
      </c>
      <c r="D28" s="70" t="s">
        <v>313</v>
      </c>
      <c r="E28" s="68" t="s">
        <v>280</v>
      </c>
      <c r="F28" s="71" t="str">
        <f>IF(OR(A28="",E28="","",A28="?",E28="?"),"duplicate?",IF(COUNTIFS($A:A,A28,E:E,E28)&gt;1,"yes","no"))</f>
        <v>no</v>
      </c>
      <c r="H28" s="68" t="s">
        <v>127</v>
      </c>
      <c r="I28" s="68" t="s">
        <v>131</v>
      </c>
      <c r="J28" s="68" t="s">
        <v>72</v>
      </c>
      <c r="K28" s="69">
        <f t="shared" ca="1" si="2"/>
        <v>45595.667688425929</v>
      </c>
    </row>
    <row r="29" spans="1:12">
      <c r="A29" s="68">
        <v>923901846</v>
      </c>
      <c r="B29" s="69">
        <f t="shared" ca="1" si="0"/>
        <v>45596.688279629627</v>
      </c>
      <c r="C29" s="99" t="str">
        <f>IF(ISBLANK(A29),"Name",IF(ISNA(VLOOKUP(A29,'Master List'!A:C,2,FALSE)), "Not Found", VLOOKUP(A29,'Master List'!A:C,2,FALSE)))</f>
        <v>Sofia Fulgoni</v>
      </c>
      <c r="D29" s="99" t="str">
        <f>IF(ISBLANK(A29), "Email",IF(ISNA(VLOOKUP(A29,'Master List'!A:C,3,FALSE)), "Not Found", VLOOKUP(A29,'Master List'!A:C,3,FALSE)))</f>
        <v>sfulgoni@sfsu.edu</v>
      </c>
      <c r="E29" s="68" t="s">
        <v>280</v>
      </c>
      <c r="F29" s="71" t="str">
        <f>IF(OR(A29="",E29="","",A29="?",E29="?"),"duplicate?",IF(COUNTIFS($A:A,A29,E:E,E29)&gt;1,"yes","no"))</f>
        <v>yes</v>
      </c>
      <c r="G29" s="68" t="s">
        <v>314</v>
      </c>
      <c r="H29" s="69">
        <v>45610</v>
      </c>
      <c r="I29" s="68" t="s">
        <v>190</v>
      </c>
      <c r="J29" s="68" t="s">
        <v>153</v>
      </c>
      <c r="K29" s="69">
        <f t="shared" ca="1" si="2"/>
        <v>45602.698395254629</v>
      </c>
    </row>
    <row r="30" spans="1:12">
      <c r="A30" s="68">
        <v>922788305</v>
      </c>
      <c r="B30" s="69">
        <f t="shared" ca="1" si="0"/>
        <v>45601.678290972224</v>
      </c>
      <c r="C30" s="99" t="str">
        <f>IF(ISBLANK(A30),"Name",IF(ISNA(VLOOKUP(A30,'Master List'!A:C,2,FALSE)), "Not Found", VLOOKUP(A30,'Master List'!A:C,2,FALSE)))</f>
        <v>Anesu Mupombwa</v>
      </c>
      <c r="D30" s="99" t="str">
        <f>IF(ISBLANK(A30), "Email",IF(ISNA(VLOOKUP(A30,'Master List'!A:C,3,FALSE)), "Not Found", VLOOKUP(A30,'Master List'!A:C,3,FALSE)))</f>
        <v>amupombwa@sfsu.edu</v>
      </c>
      <c r="E30" s="68" t="s">
        <v>280</v>
      </c>
      <c r="F30" s="71" t="str">
        <f>IF(OR(A30="",E30="","",A30="?",E30="?"),"duplicate?",IF(COUNTIFS($A:A,A30,E:E,E30)&gt;1,"yes","no"))</f>
        <v>no</v>
      </c>
      <c r="H30" s="68" t="s">
        <v>127</v>
      </c>
      <c r="I30" s="68" t="s">
        <v>131</v>
      </c>
      <c r="K30" s="69" t="str">
        <f t="shared" ca="1" si="2"/>
        <v>Date</v>
      </c>
    </row>
    <row r="31" spans="1:12">
      <c r="A31" s="68">
        <v>918785600</v>
      </c>
      <c r="B31" s="69">
        <f t="shared" ca="1" si="0"/>
        <v>45604.351459722224</v>
      </c>
      <c r="C31" s="99" t="s">
        <v>303</v>
      </c>
      <c r="D31" s="70" t="s">
        <v>304</v>
      </c>
      <c r="E31" s="68" t="s">
        <v>280</v>
      </c>
      <c r="F31" s="71" t="str">
        <f>IF(OR(A31="",E31="","",A31="?",E31="?"),"duplicate?",IF(COUNTIFS($A:A,A31,E:E,E31)&gt;1,"yes","no"))</f>
        <v>yes</v>
      </c>
      <c r="G31" s="68" t="s">
        <v>310</v>
      </c>
      <c r="H31" s="69">
        <v>45615</v>
      </c>
      <c r="J31" s="68" t="s">
        <v>99</v>
      </c>
      <c r="K31" s="69">
        <f t="shared" ca="1" si="2"/>
        <v>45616.534543402777</v>
      </c>
    </row>
    <row r="32" spans="1:12">
      <c r="A32" s="68">
        <v>924309136</v>
      </c>
      <c r="B32" s="69">
        <f t="shared" ca="1" si="0"/>
        <v>45615.693182870367</v>
      </c>
      <c r="C32" s="99" t="str">
        <f>IF(ISBLANK(A32),"Name",IF(ISNA(VLOOKUP(A32,'Master List'!A:C,2,FALSE)), "Not Found", VLOOKUP(A32,'Master List'!A:C,2,FALSE)))</f>
        <v>Lewis Haidt</v>
      </c>
      <c r="D32" s="99" t="str">
        <f>IF(ISBLANK(A32), "Email",IF(ISNA(VLOOKUP(A32,'Master List'!A:C,3,FALSE)), "Not Found", VLOOKUP(A32,'Master List'!A:C,3,FALSE)))</f>
        <v>lhaidt@sfsu.edu</v>
      </c>
      <c r="E32" s="68" t="s">
        <v>280</v>
      </c>
      <c r="F32" s="71" t="str">
        <f>IF(OR(A32="",E32="","",A32="?",E32="?"),"duplicate?",IF(COUNTIFS($A:A,A32,E:E,E32)&gt;1,"yes","no"))</f>
        <v>yes</v>
      </c>
      <c r="G32" s="68" t="s">
        <v>311</v>
      </c>
      <c r="H32" s="69">
        <v>45629</v>
      </c>
      <c r="I32" s="68" t="s">
        <v>131</v>
      </c>
      <c r="J32" s="68" t="s">
        <v>190</v>
      </c>
      <c r="K32" s="69">
        <f t="shared" ca="1" si="2"/>
        <v>45638.670406712961</v>
      </c>
    </row>
    <row r="33" spans="1:12">
      <c r="A33" s="11">
        <v>921782430</v>
      </c>
      <c r="B33" s="69">
        <f t="shared" ca="1" si="0"/>
        <v>45631.52133171296</v>
      </c>
      <c r="C33" s="99" t="str">
        <f>IF(ISBLANK(A33),"Name",IF(ISNA(VLOOKUP(A33,'Master List'!A:C,2,FALSE)), "Not Found", VLOOKUP(A33,'Master List'!A:C,2,FALSE)))</f>
        <v>Raymond Hernandez</v>
      </c>
      <c r="D33" s="99" t="str">
        <f>IF(ISBLANK(A33), "Email",IF(ISNA(VLOOKUP(A33,'Master List'!A:C,3,FALSE)), "Not Found", VLOOKUP(A33,'Master List'!A:C,3,FALSE)))</f>
        <v>rhernandez15@sfsu.edu</v>
      </c>
      <c r="E33" s="68" t="s">
        <v>280</v>
      </c>
      <c r="F33" s="71" t="str">
        <f>IF(OR(A33="",E33="","",A33="?",E33="?"),"duplicate?",IF(COUNTIFS($A:A,A33,E:E,E33)&gt;1,"yes","no"))</f>
        <v>no</v>
      </c>
      <c r="G33" s="68" t="s">
        <v>315</v>
      </c>
      <c r="H33" s="69" t="s">
        <v>316</v>
      </c>
      <c r="I33" s="68" t="s">
        <v>190</v>
      </c>
      <c r="J33" s="68" t="s">
        <v>131</v>
      </c>
      <c r="K33" s="69">
        <f t="shared" ca="1" si="2"/>
        <v>45772.371714004628</v>
      </c>
    </row>
    <row r="34" spans="1:12">
      <c r="A34" s="68">
        <v>924307290</v>
      </c>
      <c r="B34" s="69">
        <f t="shared" ref="B34:B53" ca="1" si="3">IF(A34="","Date",IF(A34&lt;&gt;"",IF(B34="Date",NOW(),B34),""))</f>
        <v>45692.75771435185</v>
      </c>
      <c r="C34" s="99" t="str">
        <f>IF(ISBLANK(A34),"Name",IF(ISNA(VLOOKUP(A34,'Master List'!A:C,2,FALSE)), "Not Found", VLOOKUP(A34,'Master List'!A:C,2,FALSE)))</f>
        <v>Tyler Berkson</v>
      </c>
      <c r="D34" s="99" t="str">
        <f>IF(ISBLANK(A34), "Email",IF(ISNA(VLOOKUP(A34,'Master List'!A:C,3,FALSE)), "Not Found", VLOOKUP(A34,'Master List'!A:C,3,FALSE)))</f>
        <v>tberkson@sfsu.edu</v>
      </c>
      <c r="E34" s="68" t="s">
        <v>280</v>
      </c>
      <c r="F34" s="71" t="str">
        <f>IF(OR(A34="",E34="","",A34="?",E34="?"),"duplicate?",IF(COUNTIFS($A:A,A34,E:E,E34)&gt;1,"yes","no"))</f>
        <v>no</v>
      </c>
      <c r="G34" s="68" t="s">
        <v>317</v>
      </c>
      <c r="H34" s="95">
        <v>45706</v>
      </c>
      <c r="I34" s="68" t="s">
        <v>153</v>
      </c>
      <c r="J34" s="68" t="s">
        <v>196</v>
      </c>
      <c r="K34" s="69">
        <f t="shared" ca="1" si="2"/>
        <v>45727.789698611108</v>
      </c>
      <c r="L34" s="68" t="s">
        <v>318</v>
      </c>
    </row>
    <row r="35" spans="1:12">
      <c r="A35" s="68">
        <v>923901885</v>
      </c>
      <c r="B35" s="69">
        <f t="shared" ca="1" si="3"/>
        <v>45699.797648032407</v>
      </c>
      <c r="C35" s="99" t="str">
        <f>IF(ISBLANK(A35),"Name",IF(ISNA(VLOOKUP(A35,'Master List'!A:C,2,FALSE)), "Not Found", VLOOKUP(A35,'Master List'!A:C,2,FALSE)))</f>
        <v>Yasi Martin-Partovi</v>
      </c>
      <c r="D35" s="99" t="str">
        <f>IF(ISBLANK(A35), "Email",IF(ISNA(VLOOKUP(A35,'Master List'!A:C,3,FALSE)), "Not Found", VLOOKUP(A35,'Master List'!A:C,3,FALSE)))</f>
        <v>jmartinpartovi@sfsu.edu</v>
      </c>
      <c r="E35" s="68" t="s">
        <v>280</v>
      </c>
      <c r="F35" s="71" t="str">
        <f>IF(OR(A35="",E35="","",A35="?",E35="?"),"duplicate?",IF(COUNTIFS($A:A,A35,E:E,E35)&gt;1,"yes","no"))</f>
        <v>yes</v>
      </c>
      <c r="G35" s="68" t="s">
        <v>319</v>
      </c>
      <c r="H35" s="95">
        <v>45712</v>
      </c>
      <c r="I35" s="68" t="s">
        <v>196</v>
      </c>
      <c r="J35" s="68" t="s">
        <v>153</v>
      </c>
      <c r="K35" s="69">
        <f t="shared" ca="1" si="2"/>
        <v>45783.697296527775</v>
      </c>
    </row>
    <row r="36" spans="1:12">
      <c r="A36" s="68">
        <v>921051297</v>
      </c>
      <c r="B36" s="69">
        <f t="shared" ca="1" si="3"/>
        <v>45701.639554629626</v>
      </c>
      <c r="C36" s="99" t="str">
        <f>IF(ISBLANK(A36),"Name",IF(ISNA(VLOOKUP(A36,'Master List'!A:C,2,FALSE)), "Not Found", VLOOKUP(A36,'Master List'!A:C,2,FALSE)))</f>
        <v>Samuel Reid</v>
      </c>
      <c r="D36" s="99" t="str">
        <f>IF(ISBLANK(A36), "Email",IF(ISNA(VLOOKUP(A36,'Master List'!A:C,3,FALSE)), "Not Found", VLOOKUP(A36,'Master List'!A:C,3,FALSE)))</f>
        <v>sreid1@mail.sfsu.edu</v>
      </c>
      <c r="E36" s="68" t="s">
        <v>280</v>
      </c>
      <c r="F36" s="71" t="str">
        <f>IF(OR(A36="",E36="","",A36="?",E36="?"),"duplicate?",IF(COUNTIFS($A:A,A36,E:E,E36)&gt;1,"yes","no"))</f>
        <v>yes</v>
      </c>
      <c r="G36" s="68" t="s">
        <v>320</v>
      </c>
      <c r="H36" s="95">
        <v>45722</v>
      </c>
      <c r="I36" s="68" t="s">
        <v>196</v>
      </c>
      <c r="J36" s="68" t="s">
        <v>131</v>
      </c>
      <c r="K36" s="69">
        <f t="shared" ca="1" si="2"/>
        <v>45765.041702662034</v>
      </c>
      <c r="L36" s="68" t="s">
        <v>321</v>
      </c>
    </row>
    <row r="37" spans="1:12">
      <c r="A37" s="68">
        <v>916125371</v>
      </c>
      <c r="B37" s="69">
        <f t="shared" ca="1" si="3"/>
        <v>45705.641107523152</v>
      </c>
      <c r="C37" s="99" t="str">
        <f>IF(ISBLANK(A37),"Name",IF(ISNA(VLOOKUP(A37,'Master List'!A:C,2,FALSE)), "Not Found", VLOOKUP(A37,'Master List'!A:C,2,FALSE)))</f>
        <v>Mayra Torres</v>
      </c>
      <c r="D37" s="99" t="str">
        <f>IF(ISBLANK(A37), "Email",IF(ISNA(VLOOKUP(A37,'Master List'!A:C,3,FALSE)), "Not Found", VLOOKUP(A37,'Master List'!A:C,3,FALSE)))</f>
        <v>mtorres5@sfsu.edu</v>
      </c>
      <c r="E37" s="68" t="s">
        <v>280</v>
      </c>
      <c r="F37" s="71" t="str">
        <f>IF(OR(A37="",E37="","",A37="?",E37="?"),"duplicate?",IF(COUNTIFS($A:A,A37,E:E,E37)&gt;1,"yes","no"))</f>
        <v>yes</v>
      </c>
      <c r="G37" s="68" t="s">
        <v>288</v>
      </c>
      <c r="H37" s="95">
        <v>45713</v>
      </c>
      <c r="I37" s="68" t="s">
        <v>99</v>
      </c>
      <c r="J37" s="68" t="s">
        <v>99</v>
      </c>
      <c r="K37" s="69">
        <f t="shared" ca="1" si="2"/>
        <v>45723.690470023146</v>
      </c>
      <c r="L37" s="68" t="s">
        <v>322</v>
      </c>
    </row>
    <row r="38" spans="1:12">
      <c r="A38" s="68">
        <v>922838524</v>
      </c>
      <c r="B38" s="69">
        <f t="shared" ca="1" si="3"/>
        <v>45706.685733101855</v>
      </c>
      <c r="C38" s="99" t="str">
        <f>IF(ISBLANK(A38),"Name",IF(ISNA(VLOOKUP(A38,'Master List'!A:C,2,FALSE)), "Not Found", VLOOKUP(A38,'Master List'!A:C,2,FALSE)))</f>
        <v>Nicholas Knight</v>
      </c>
      <c r="D38" s="99" t="str">
        <f>IF(ISBLANK(A38), "Email",IF(ISNA(VLOOKUP(A38,'Master List'!A:C,3,FALSE)), "Not Found", VLOOKUP(A38,'Master List'!A:C,3,FALSE)))</f>
        <v>nknight2@sfsu.edu</v>
      </c>
      <c r="E38" s="68" t="s">
        <v>280</v>
      </c>
      <c r="F38" s="71" t="str">
        <f>IF(OR(A38="",E38="","",A38="?",E38="?"),"duplicate?",IF(COUNTIFS($A:A,A38,E:E,E38)&gt;1,"yes","no"))</f>
        <v>no</v>
      </c>
      <c r="G38" s="68" t="s">
        <v>323</v>
      </c>
      <c r="H38" s="68" t="s">
        <v>324</v>
      </c>
      <c r="I38" s="68" t="s">
        <v>153</v>
      </c>
      <c r="J38" s="68" t="s">
        <v>153</v>
      </c>
      <c r="K38" s="69">
        <f t="shared" ca="1" si="2"/>
        <v>45748.681544444444</v>
      </c>
      <c r="L38" s="68" t="s">
        <v>325</v>
      </c>
    </row>
    <row r="39" spans="1:12">
      <c r="A39" s="68">
        <v>921219673</v>
      </c>
      <c r="B39" s="69">
        <f t="shared" ca="1" si="3"/>
        <v>45708.788603935187</v>
      </c>
      <c r="C39" s="99" t="str">
        <f>IF(ISBLANK(A39),"Name",IF(ISNA(VLOOKUP(A39,'Master List'!A:C,2,FALSE)), "Not Found", VLOOKUP(A39,'Master List'!A:C,2,FALSE)))</f>
        <v>Erik Malagon-Leon</v>
      </c>
      <c r="D39" s="99" t="str">
        <f>IF(ISBLANK(A39), "Email",IF(ISNA(VLOOKUP(A39,'Master List'!A:C,3,FALSE)), "Not Found", VLOOKUP(A39,'Master List'!A:C,3,FALSE)))</f>
        <v>emalagonleon@sfsu.edu</v>
      </c>
      <c r="E39" s="68" t="s">
        <v>280</v>
      </c>
      <c r="F39" s="71" t="str">
        <f>IF(OR(A39="",E39="","",A39="?",E39="?"),"duplicate?",IF(COUNTIFS($A:A,A39,E:E,E39)&gt;1,"yes","no"))</f>
        <v>no</v>
      </c>
      <c r="G39" s="68" t="s">
        <v>326</v>
      </c>
      <c r="H39" s="68" t="s">
        <v>327</v>
      </c>
      <c r="I39" s="68" t="s">
        <v>196</v>
      </c>
      <c r="J39" s="68" t="s">
        <v>196</v>
      </c>
      <c r="K39" s="69">
        <f t="shared" ca="1" si="2"/>
        <v>45722.628006250001</v>
      </c>
      <c r="L39" s="68" t="s">
        <v>328</v>
      </c>
    </row>
    <row r="40" spans="1:12">
      <c r="A40" s="68">
        <v>921345149</v>
      </c>
      <c r="B40" s="69">
        <f t="shared" ca="1" si="3"/>
        <v>45709.392231365739</v>
      </c>
      <c r="C40" s="99" t="str">
        <f>IF(ISBLANK(A40),"Name",IF(ISNA(VLOOKUP(A40,'Master List'!A:C,2,FALSE)), "Not Found", VLOOKUP(A40,'Master List'!A:C,2,FALSE)))</f>
        <v>Ryan Pearce</v>
      </c>
      <c r="D40" s="70" t="s">
        <v>329</v>
      </c>
      <c r="E40" s="68" t="s">
        <v>280</v>
      </c>
      <c r="F40" s="71" t="str">
        <f>IF(OR(A40="",E40="","",A40="?",E40="?"),"duplicate?",IF(COUNTIFS($A:A,A40,E:E,E40)&gt;1,"yes","no"))</f>
        <v>no</v>
      </c>
      <c r="G40" s="68" t="s">
        <v>330</v>
      </c>
      <c r="H40" s="69">
        <v>45716</v>
      </c>
      <c r="I40" s="68" t="s">
        <v>331</v>
      </c>
      <c r="K40" s="69" t="str">
        <f t="shared" ca="1" si="2"/>
        <v>Date</v>
      </c>
    </row>
    <row r="41" spans="1:12">
      <c r="A41" s="68">
        <v>918785600</v>
      </c>
      <c r="B41" s="69">
        <f t="shared" ca="1" si="3"/>
        <v>45712.658244328704</v>
      </c>
      <c r="C41" s="99" t="str">
        <f>IF(ISBLANK(A41),"Name",IF(ISNA(VLOOKUP(A41,'Master List'!A:C,2,FALSE)), "Not Found", VLOOKUP(A41,'Master List'!A:C,2,FALSE)))</f>
        <v>Keren Nichole Zendejas</v>
      </c>
      <c r="D41" s="99" t="str">
        <f>IF(ISBLANK(A41), "Email",IF(ISNA(VLOOKUP(A41,'Master List'!A:C,3,FALSE)), "Not Found", VLOOKUP(A41,'Master List'!A:C,3,FALSE)))</f>
        <v>kzendejas@sfsu.edu</v>
      </c>
      <c r="E41" s="68" t="s">
        <v>280</v>
      </c>
      <c r="F41" s="71" t="str">
        <f>IF(OR(A41="",E41="","",A41="?",E41="?"),"duplicate?",IF(COUNTIFS($A:A,A41,E:E,E41)&gt;1,"yes","no"))</f>
        <v>yes</v>
      </c>
      <c r="G41" s="68" t="s">
        <v>332</v>
      </c>
      <c r="H41" s="69">
        <v>45726</v>
      </c>
      <c r="I41" s="68" t="s">
        <v>333</v>
      </c>
      <c r="J41" s="68" t="s">
        <v>99</v>
      </c>
      <c r="K41" s="69">
        <f t="shared" ca="1" si="2"/>
        <v>45726.623793981482</v>
      </c>
      <c r="L41" s="68" t="s">
        <v>334</v>
      </c>
    </row>
    <row r="42" spans="1:12">
      <c r="A42" s="68">
        <v>921219673</v>
      </c>
      <c r="B42" s="69">
        <f t="shared" ca="1" si="3"/>
        <v>45712.684250231483</v>
      </c>
      <c r="C42" s="99" t="str">
        <f>IF(ISBLANK(A42),"Name",IF(ISNA(VLOOKUP(A42,'Master List'!A:C,2,FALSE)), "Not Found", VLOOKUP(A42,'Master List'!A:C,2,FALSE)))</f>
        <v>Erik Malagon-Leon</v>
      </c>
      <c r="D42" s="99" t="str">
        <f>IF(ISBLANK(A42), "Email",IF(ISNA(VLOOKUP(A42,'Master List'!A:C,3,FALSE)), "Not Found", VLOOKUP(A42,'Master List'!A:C,3,FALSE)))</f>
        <v>emalagonleon@sfsu.edu</v>
      </c>
      <c r="E42" s="68" t="s">
        <v>285</v>
      </c>
      <c r="F42" s="71" t="str">
        <f>IF(OR(A42="",E42="","",A42="?",E42="?"),"duplicate?",IF(COUNTIFS($A:A,A42,E:E,E42)&gt;1,"yes","no"))</f>
        <v>no</v>
      </c>
      <c r="G42" s="68" t="s">
        <v>335</v>
      </c>
      <c r="H42" s="68" t="s">
        <v>327</v>
      </c>
      <c r="I42" s="68" t="s">
        <v>99</v>
      </c>
      <c r="J42" s="68" t="s">
        <v>196</v>
      </c>
      <c r="K42" s="69">
        <f t="shared" ca="1" si="2"/>
        <v>45722.627535300926</v>
      </c>
    </row>
    <row r="43" spans="1:12">
      <c r="A43" s="68">
        <v>924309136</v>
      </c>
      <c r="B43" s="69">
        <f t="shared" ca="1" si="3"/>
        <v>45714.67032326389</v>
      </c>
      <c r="C43" s="99" t="str">
        <f>IF(ISBLANK(A43),"Name",IF(ISNA(VLOOKUP(A43,'Master List'!A:C,2,FALSE)), "Not Found", VLOOKUP(A43,'Master List'!A:C,2,FALSE)))</f>
        <v>Lewis Haidt</v>
      </c>
      <c r="D43" s="99" t="str">
        <f>IF(ISBLANK(A43), "Email",IF(ISNA(VLOOKUP(A43,'Master List'!A:C,3,FALSE)), "Not Found", VLOOKUP(A43,'Master List'!A:C,3,FALSE)))</f>
        <v>lhaidt@sfsu.edu</v>
      </c>
      <c r="E43" s="68" t="s">
        <v>280</v>
      </c>
      <c r="F43" s="71" t="str">
        <f>IF(OR(A43="",E43="","",A43="?",E43="?"),"duplicate?",IF(COUNTIFS($A:A,A43,E:E,E43)&gt;1,"yes","no"))</f>
        <v>yes</v>
      </c>
      <c r="G43" s="68" t="s">
        <v>288</v>
      </c>
      <c r="H43" s="68" t="s">
        <v>336</v>
      </c>
      <c r="I43" s="68" t="s">
        <v>333</v>
      </c>
      <c r="J43" s="68" t="s">
        <v>99</v>
      </c>
      <c r="K43" s="69">
        <f t="shared" ca="1" si="2"/>
        <v>45742.703980208331</v>
      </c>
      <c r="L43" s="68" t="s">
        <v>337</v>
      </c>
    </row>
    <row r="44" spans="1:12">
      <c r="A44" s="68">
        <v>924326062</v>
      </c>
      <c r="B44" s="69">
        <f t="shared" ca="1" si="3"/>
        <v>45720.678988541666</v>
      </c>
      <c r="C44" s="99" t="str">
        <f>IF(ISBLANK(A44),"Name",IF(ISNA(VLOOKUP(A44,'Master List'!A:C,2,FALSE)), "Not Found", VLOOKUP(A44,'Master List'!A:C,2,FALSE)))</f>
        <v>Celia Xinyu Wei</v>
      </c>
      <c r="D44" s="99" t="str">
        <f>IF(ISBLANK(A44), "Email",IF(ISNA(VLOOKUP(A44,'Master List'!A:C,3,FALSE)), "Not Found", VLOOKUP(A44,'Master List'!A:C,3,FALSE)))</f>
        <v>xwei@sfsu.edu</v>
      </c>
      <c r="E44" s="68" t="s">
        <v>278</v>
      </c>
      <c r="F44" s="71" t="str">
        <f>IF(OR(A44="",E44="","",A44="?",E44="?"),"duplicate?",IF(COUNTIFS($A:A,A44,E:E,E44)&gt;1,"yes","no"))</f>
        <v>no</v>
      </c>
      <c r="G44" s="68" t="s">
        <v>338</v>
      </c>
      <c r="H44" s="95">
        <v>45734</v>
      </c>
      <c r="I44" s="68" t="s">
        <v>196</v>
      </c>
      <c r="J44" s="68" t="s">
        <v>196</v>
      </c>
      <c r="K44" s="69">
        <f t="shared" ca="1" si="2"/>
        <v>45734.692162268519</v>
      </c>
      <c r="L44" s="68" t="s">
        <v>339</v>
      </c>
    </row>
    <row r="45" spans="1:12">
      <c r="A45" s="68">
        <v>924326062</v>
      </c>
      <c r="B45" s="69">
        <f t="shared" ca="1" si="3"/>
        <v>45720.680984259256</v>
      </c>
      <c r="C45" s="99" t="str">
        <f>IF(ISBLANK(A45),"Name",IF(ISNA(VLOOKUP(A45,'Master List'!A:C,2,FALSE)), "Not Found", VLOOKUP(A45,'Master List'!A:C,2,FALSE)))</f>
        <v>Celia Xinyu Wei</v>
      </c>
      <c r="D45" s="99" t="str">
        <f>IF(ISBLANK(A45), "Email",IF(ISNA(VLOOKUP(A45,'Master List'!A:C,3,FALSE)), "Not Found", VLOOKUP(A45,'Master List'!A:C,3,FALSE)))</f>
        <v>xwei@sfsu.edu</v>
      </c>
      <c r="E45" s="68" t="s">
        <v>285</v>
      </c>
      <c r="F45" s="71" t="str">
        <f>IF(OR(A45="",E45="","",A45="?",E45="?"),"duplicate?",IF(COUNTIFS($A:A,A45,E:E,E45)&gt;1,"yes","no"))</f>
        <v>no</v>
      </c>
      <c r="G45" s="68" t="s">
        <v>340</v>
      </c>
      <c r="H45" s="69">
        <v>45734</v>
      </c>
      <c r="I45" s="68" t="s">
        <v>196</v>
      </c>
      <c r="J45" s="68" t="s">
        <v>196</v>
      </c>
      <c r="K45" s="69">
        <f t="shared" ca="1" si="2"/>
        <v>45734.692162268519</v>
      </c>
    </row>
    <row r="46" spans="1:12">
      <c r="A46" s="68">
        <v>912474867</v>
      </c>
      <c r="B46" s="69">
        <f t="shared" ca="1" si="3"/>
        <v>45720.793269791669</v>
      </c>
      <c r="C46" s="99" t="str">
        <f>IF(ISBLANK(A46),"Name",IF(ISNA(VLOOKUP(A46,'Master List'!A:C,2,FALSE)), "Not Found", VLOOKUP(A46,'Master List'!A:C,2,FALSE)))</f>
        <v>Kyle Liu</v>
      </c>
      <c r="D46" s="99" t="str">
        <f>IF(ISBLANK(A46), "Email",IF(ISNA(VLOOKUP(A46,'Master List'!A:C,3,FALSE)), "Not Found", VLOOKUP(A46,'Master List'!A:C,3,FALSE)))</f>
        <v>kliu17@sfsu.edu</v>
      </c>
      <c r="E46" s="68" t="s">
        <v>278</v>
      </c>
      <c r="F46" s="71" t="str">
        <f>IF(OR(A46="",E46="","",A46="?",E46="?"),"duplicate?",IF(COUNTIFS($A:A,A46,E:E,E46)&gt;1,"yes","no"))</f>
        <v>no</v>
      </c>
      <c r="G46" s="68" t="s">
        <v>341</v>
      </c>
      <c r="H46" s="69" t="s">
        <v>342</v>
      </c>
      <c r="I46" s="68" t="s">
        <v>333</v>
      </c>
      <c r="J46" s="68" t="s">
        <v>131</v>
      </c>
      <c r="K46" s="69">
        <f t="shared" ca="1" si="2"/>
        <v>45785.693340740741</v>
      </c>
      <c r="L46" s="68" t="s">
        <v>343</v>
      </c>
    </row>
    <row r="47" spans="1:12">
      <c r="A47" s="68">
        <v>917572414</v>
      </c>
      <c r="B47" s="69">
        <f t="shared" ca="1" si="3"/>
        <v>45723.594279166668</v>
      </c>
      <c r="C47" s="99" t="str">
        <f>IF(ISBLANK(A47),"Name",IF(ISNA(VLOOKUP(A47,'Master List'!A:C,2,FALSE)), "Not Found", VLOOKUP(A47,'Master List'!A:C,2,FALSE)))</f>
        <v>Angelica Joy Alberti</v>
      </c>
      <c r="D47" s="70" t="s">
        <v>344</v>
      </c>
      <c r="E47" s="68" t="s">
        <v>280</v>
      </c>
      <c r="F47" s="71" t="str">
        <f>IF(OR(A47="",E47="","",A47="?",E47="?"),"duplicate?",IF(COUNTIFS($A:A,A47,E:E,E47)&gt;1,"yes","no"))</f>
        <v>no</v>
      </c>
      <c r="G47" s="68" t="s">
        <v>345</v>
      </c>
      <c r="H47" s="68" t="s">
        <v>346</v>
      </c>
      <c r="I47" s="68" t="s">
        <v>131</v>
      </c>
      <c r="K47" s="69" t="str">
        <f t="shared" ca="1" si="2"/>
        <v>Date</v>
      </c>
    </row>
    <row r="48" spans="1:12">
      <c r="A48" s="68">
        <v>916125371</v>
      </c>
      <c r="B48" s="69">
        <f t="shared" ca="1" si="3"/>
        <v>45723.687940972224</v>
      </c>
      <c r="C48" s="99" t="str">
        <f>IF(ISBLANK(A48),"Name",IF(ISNA(VLOOKUP(A48,'Master List'!A:C,2,FALSE)), "Not Found", VLOOKUP(A48,'Master List'!A:C,2,FALSE)))</f>
        <v>Mayra Torres</v>
      </c>
      <c r="D48" s="99" t="str">
        <f>IF(ISBLANK(A48), "Email",IF(ISNA(VLOOKUP(A48,'Master List'!A:C,3,FALSE)), "Not Found", VLOOKUP(A48,'Master List'!A:C,3,FALSE)))</f>
        <v>mtorres5@sfsu.edu</v>
      </c>
      <c r="E48" s="68" t="s">
        <v>280</v>
      </c>
      <c r="F48" s="71" t="str">
        <f>IF(OR(A48="",E48="","",A48="?",E48="?"),"duplicate?",IF(COUNTIFS($A:A,A48,E:E,E48)&gt;1,"yes","no"))</f>
        <v>yes</v>
      </c>
      <c r="G48" s="68" t="s">
        <v>347</v>
      </c>
      <c r="H48" s="95">
        <v>45737</v>
      </c>
      <c r="I48" s="68" t="s">
        <v>99</v>
      </c>
      <c r="J48" s="68" t="s">
        <v>66</v>
      </c>
      <c r="K48" s="69">
        <f t="shared" ca="1" si="2"/>
        <v>45748.54556608796</v>
      </c>
    </row>
    <row r="49" spans="1:12">
      <c r="A49" s="68">
        <v>916125371</v>
      </c>
      <c r="B49" s="69">
        <f t="shared" ca="1" si="3"/>
        <v>45723.688008912039</v>
      </c>
      <c r="C49" s="99" t="str">
        <f>IF(ISBLANK(A49),"Name",IF(ISNA(VLOOKUP(A49,'Master List'!A:C,2,FALSE)), "Not Found", VLOOKUP(A49,'Master List'!A:C,2,FALSE)))</f>
        <v>Mayra Torres</v>
      </c>
      <c r="D49" s="99" t="str">
        <f>IF(ISBLANK(A49), "Email",IF(ISNA(VLOOKUP(A49,'Master List'!A:C,3,FALSE)), "Not Found", VLOOKUP(A49,'Master List'!A:C,3,FALSE)))</f>
        <v>mtorres5@sfsu.edu</v>
      </c>
      <c r="E49" s="68" t="s">
        <v>285</v>
      </c>
      <c r="F49" s="71" t="str">
        <f>IF(OR(A49="",E49="","",A49="?",E49="?"),"duplicate?",IF(COUNTIFS($A:A,A49,E:E,E49)&gt;1,"yes","no"))</f>
        <v>no</v>
      </c>
      <c r="G49" s="68" t="s">
        <v>335</v>
      </c>
      <c r="H49" s="95">
        <v>45737</v>
      </c>
      <c r="I49" s="68" t="s">
        <v>99</v>
      </c>
      <c r="J49" s="68" t="s">
        <v>66</v>
      </c>
      <c r="K49" s="69">
        <f t="shared" ca="1" si="2"/>
        <v>45748.545593750001</v>
      </c>
    </row>
    <row r="50" spans="1:12">
      <c r="A50" s="68">
        <v>921103479</v>
      </c>
      <c r="B50" s="69">
        <f t="shared" ca="1" si="3"/>
        <v>45726.705059027779</v>
      </c>
      <c r="C50" s="99" t="str">
        <f>IF(ISBLANK(A50),"Name",IF(ISNA(VLOOKUP(A50,'Master List'!A:C,2,FALSE)), "Not Found", VLOOKUP(A50,'Master List'!A:C,2,FALSE)))</f>
        <v>Patrick JieJun Xiong</v>
      </c>
      <c r="D50" s="99" t="str">
        <f>IF(ISBLANK(A50), "Email",IF(ISNA(VLOOKUP(A50,'Master List'!A:C,3,FALSE)), "Not Found", VLOOKUP(A50,'Master List'!A:C,3,FALSE)))</f>
        <v>jxiong4@mail.sfsu.edu</v>
      </c>
      <c r="E50" s="68" t="s">
        <v>280</v>
      </c>
      <c r="F50" s="71" t="str">
        <f>IF(OR(A50="",E50="","",A50="?",E50="?"),"duplicate?",IF(COUNTIFS($A:A,A50,E:E,E50)&gt;1,"yes","no"))</f>
        <v>no</v>
      </c>
      <c r="G50" s="68" t="s">
        <v>348</v>
      </c>
      <c r="H50" s="69">
        <v>45740</v>
      </c>
      <c r="I50" s="68" t="s">
        <v>99</v>
      </c>
      <c r="J50" s="68" t="s">
        <v>178</v>
      </c>
      <c r="K50" s="69">
        <f t="shared" ca="1" si="2"/>
        <v>45740.40119074074</v>
      </c>
    </row>
    <row r="51" spans="1:12">
      <c r="A51" s="68">
        <v>920434915</v>
      </c>
      <c r="B51" s="69">
        <f t="shared" ca="1" si="3"/>
        <v>45726.705614467595</v>
      </c>
      <c r="C51" s="99" t="str">
        <f>IF(ISBLANK(A51),"Name",IF(ISNA(VLOOKUP(A51,'Master List'!A:C,2,FALSE)), "Not Found", VLOOKUP(A51,'Master List'!A:C,2,FALSE)))</f>
        <v>Yuneng Tan</v>
      </c>
      <c r="D51" s="99" t="str">
        <f>IF(ISBLANK(A51), "Email",IF(ISNA(VLOOKUP(A51,'Master List'!A:C,3,FALSE)), "Not Found", VLOOKUP(A51,'Master List'!A:C,3,FALSE)))</f>
        <v>ytan12@mail.sfsu.edu</v>
      </c>
      <c r="E51" s="68" t="s">
        <v>280</v>
      </c>
      <c r="F51" s="71" t="str">
        <f>IF(OR(A51="",E51="","",A51="?",E51="?"),"duplicate?",IF(COUNTIFS($A:A,A51,E:E,E51)&gt;1,"yes","no"))</f>
        <v>no</v>
      </c>
      <c r="G51" s="68" t="s">
        <v>349</v>
      </c>
      <c r="H51" s="69">
        <v>45740</v>
      </c>
      <c r="I51" s="68" t="s">
        <v>333</v>
      </c>
      <c r="J51" s="68" t="s">
        <v>178</v>
      </c>
      <c r="K51" s="69">
        <f t="shared" ca="1" si="2"/>
        <v>45740.401009374997</v>
      </c>
      <c r="L51" s="68" t="s">
        <v>350</v>
      </c>
    </row>
    <row r="52" spans="1:12">
      <c r="A52" s="68">
        <v>917308228</v>
      </c>
      <c r="B52" s="69">
        <f t="shared" ca="1" si="3"/>
        <v>45733.400125925924</v>
      </c>
      <c r="C52" s="99" t="str">
        <f>IF(ISBLANK(A52),"Name",IF(ISNA(VLOOKUP(A52,'Master List'!A:C,2,FALSE)), "Not Found", VLOOKUP(A52,'Master List'!A:C,2,FALSE)))</f>
        <v>Paige Reilly</v>
      </c>
      <c r="D52" s="99" t="str">
        <f>IF(ISBLANK(A52), "Email",IF(ISNA(VLOOKUP(A52,'Master List'!A:C,3,FALSE)), "Not Found", VLOOKUP(A52,'Master List'!A:C,3,FALSE)))</f>
        <v>preilly@sfsu.edu</v>
      </c>
      <c r="E52" s="68" t="s">
        <v>280</v>
      </c>
      <c r="F52" s="71" t="str">
        <f>IF(OR(A52="",E52="","",A52="?",E52="?"),"duplicate?",IF(COUNTIFS($A:A,A52,E:E,E52)&gt;1,"yes","no"))</f>
        <v>no</v>
      </c>
      <c r="H52" s="69">
        <v>45748</v>
      </c>
      <c r="I52" s="68" t="s">
        <v>176</v>
      </c>
      <c r="J52" s="68" t="s">
        <v>131</v>
      </c>
      <c r="K52" s="69">
        <f t="shared" ca="1" si="2"/>
        <v>45798.442153472221</v>
      </c>
    </row>
    <row r="53" spans="1:12">
      <c r="A53" s="68">
        <v>917308228</v>
      </c>
      <c r="B53" s="69">
        <f t="shared" ca="1" si="3"/>
        <v>45733.406636805557</v>
      </c>
      <c r="C53" s="99" t="str">
        <f>IF(ISBLANK(A53),"Name",IF(ISNA(VLOOKUP(A53,'Master List'!A:C,2,FALSE)), "Not Found", VLOOKUP(A53,'Master List'!A:C,2,FALSE)))</f>
        <v>Paige Reilly</v>
      </c>
      <c r="D53" s="99" t="str">
        <f>IF(ISBLANK(A53), "Email",IF(ISNA(VLOOKUP(A53,'Master List'!A:C,3,FALSE)), "Not Found", VLOOKUP(A53,'Master List'!A:C,3,FALSE)))</f>
        <v>preilly@sfsu.edu</v>
      </c>
      <c r="E53" s="68" t="s">
        <v>285</v>
      </c>
      <c r="F53" s="71" t="str">
        <f>IF(OR(A53="",E53="","",A53="?",E53="?"),"duplicate?",IF(COUNTIFS($A:A,A53,E:E,E53)&gt;1,"yes","no"))</f>
        <v>no</v>
      </c>
      <c r="H53" s="69">
        <v>45748</v>
      </c>
      <c r="I53" s="68" t="s">
        <v>176</v>
      </c>
      <c r="J53" s="68" t="s">
        <v>131</v>
      </c>
      <c r="K53" s="69">
        <f t="shared" ca="1" si="2"/>
        <v>45798.443161689815</v>
      </c>
    </row>
    <row r="54" spans="1:12">
      <c r="A54" s="68">
        <v>923901846</v>
      </c>
      <c r="B54" s="69">
        <f t="shared" ref="B54:B97" ca="1" si="4">IF(A54="","Date",IF(A54&lt;&gt;"",IF(B54="Date",NOW(),B54),""))</f>
        <v>45733.687205324073</v>
      </c>
      <c r="C54" s="99" t="str">
        <f>IF(ISBLANK(A54),"Name",IF(ISNA(VLOOKUP(A54,'Master List'!A:C,2,FALSE)), "Not Found", VLOOKUP(A54,'Master List'!A:C,2,FALSE)))</f>
        <v>Sofia Fulgoni</v>
      </c>
      <c r="D54" s="99" t="str">
        <f>IF(ISBLANK(A54), "Email",IF(ISNA(VLOOKUP(A54,'Master List'!A:C,3,FALSE)), "Not Found", VLOOKUP(A54,'Master List'!A:C,3,FALSE)))</f>
        <v>sfulgoni@sfsu.edu</v>
      </c>
      <c r="E54" s="68" t="s">
        <v>280</v>
      </c>
      <c r="F54" s="71" t="str">
        <f>IF(OR(A54="",E54="","",A54="?",E54="?"),"duplicate?",IF(COUNTIFS($A:A,A54,E:E,E54)&gt;1,"yes","no"))</f>
        <v>yes</v>
      </c>
      <c r="G54" s="68" t="s">
        <v>351</v>
      </c>
      <c r="H54" s="69">
        <v>45754</v>
      </c>
      <c r="I54" s="68" t="s">
        <v>333</v>
      </c>
      <c r="J54" s="68" t="s">
        <v>153</v>
      </c>
      <c r="K54" s="69">
        <f t="shared" ref="K54:K97" ca="1" si="5">IF(J54="","Date",IF(J54&lt;&gt;"",IF(K54="Date",NOW(),K54),""))</f>
        <v>45754.678629745373</v>
      </c>
      <c r="L54" s="68" t="s">
        <v>352</v>
      </c>
    </row>
    <row r="55" spans="1:12">
      <c r="A55" s="68">
        <v>924309136</v>
      </c>
      <c r="B55" s="69">
        <f t="shared" ca="1" si="4"/>
        <v>45733.708260416664</v>
      </c>
      <c r="C55" s="99" t="str">
        <f>IF(ISBLANK(A55),"Name",IF(ISNA(VLOOKUP(A55,'Master List'!A:C,2,FALSE)), "Not Found", VLOOKUP(A55,'Master List'!A:C,2,FALSE)))</f>
        <v>Lewis Haidt</v>
      </c>
      <c r="D55" s="99" t="str">
        <f>IF(ISBLANK(A55), "Email",IF(ISNA(VLOOKUP(A55,'Master List'!A:C,3,FALSE)), "Not Found", VLOOKUP(A55,'Master List'!A:C,3,FALSE)))</f>
        <v>lhaidt@sfsu.edu</v>
      </c>
      <c r="E55" s="68" t="s">
        <v>285</v>
      </c>
      <c r="F55" s="71" t="str">
        <f>IF(OR(A55="",E55="","",A55="?",E55="?"),"duplicate?",IF(COUNTIFS($A:A,A55,E:E,E55)&gt;1,"yes","no"))</f>
        <v>no</v>
      </c>
      <c r="G55" s="68" t="s">
        <v>340</v>
      </c>
      <c r="H55" s="68" t="s">
        <v>353</v>
      </c>
      <c r="I55" s="68" t="s">
        <v>333</v>
      </c>
      <c r="J55" s="68" t="s">
        <v>66</v>
      </c>
      <c r="K55" s="69">
        <f t="shared" ca="1" si="5"/>
        <v>45740.709813078705</v>
      </c>
    </row>
    <row r="56" spans="1:12">
      <c r="A56" s="68">
        <v>912474867</v>
      </c>
      <c r="B56" s="69">
        <f t="shared" ca="1" si="4"/>
        <v>45736.679462037035</v>
      </c>
      <c r="C56" s="99" t="str">
        <f>IF(ISBLANK(A56),"Name",IF(ISNA(VLOOKUP(A56,'Master List'!A:C,2,FALSE)), "Not Found", VLOOKUP(A56,'Master List'!A:C,2,FALSE)))</f>
        <v>Kyle Liu</v>
      </c>
      <c r="D56" s="99" t="str">
        <f>IF(ISBLANK(A56), "Email",IF(ISNA(VLOOKUP(A56,'Master List'!A:C,3,FALSE)), "Not Found", VLOOKUP(A56,'Master List'!A:C,3,FALSE)))</f>
        <v>kliu17@sfsu.edu</v>
      </c>
      <c r="E56" s="68" t="s">
        <v>285</v>
      </c>
      <c r="F56" s="71" t="str">
        <f>IF(OR(A56="",E56="","",A56="?",E56="?"),"duplicate?",IF(COUNTIFS($A:A,A56,E:E,E56)&gt;1,"yes","no"))</f>
        <v>no</v>
      </c>
      <c r="G56" s="68" t="s">
        <v>354</v>
      </c>
      <c r="H56" s="68" t="s">
        <v>342</v>
      </c>
      <c r="I56" s="68" t="s">
        <v>333</v>
      </c>
      <c r="J56" s="68" t="s">
        <v>131</v>
      </c>
      <c r="K56" s="69">
        <f t="shared" ca="1" si="5"/>
        <v>45785.693236805557</v>
      </c>
    </row>
    <row r="57" spans="1:12">
      <c r="A57" s="68">
        <v>924309136</v>
      </c>
      <c r="B57" s="69">
        <f t="shared" ca="1" si="4"/>
        <v>45740.709915856482</v>
      </c>
      <c r="C57" s="99" t="str">
        <f>IF(ISBLANK(A57),"Name",IF(ISNA(VLOOKUP(A57,'Master List'!A:C,2,FALSE)), "Not Found", VLOOKUP(A57,'Master List'!A:C,2,FALSE)))</f>
        <v>Lewis Haidt</v>
      </c>
      <c r="D57" s="99" t="str">
        <f>IF(ISBLANK(A57), "Email",IF(ISNA(VLOOKUP(A57,'Master List'!A:C,3,FALSE)), "Not Found", VLOOKUP(A57,'Master List'!A:C,3,FALSE)))</f>
        <v>lhaidt@sfsu.edu</v>
      </c>
      <c r="E57" s="68" t="s">
        <v>355</v>
      </c>
      <c r="F57" s="71" t="str">
        <f>IF(OR(A57="",E57="","",A57="?",E57="?"),"duplicate?",IF(COUNTIFS($A:A,A57,E:E,E57)&gt;1,"yes","no"))</f>
        <v>no</v>
      </c>
      <c r="H57" s="69">
        <v>45728</v>
      </c>
      <c r="I57" s="68" t="s">
        <v>66</v>
      </c>
      <c r="J57" s="68" t="s">
        <v>99</v>
      </c>
      <c r="K57" s="69">
        <f t="shared" ca="1" si="5"/>
        <v>45742.703670486109</v>
      </c>
      <c r="L57" s="103" t="s">
        <v>356</v>
      </c>
    </row>
    <row r="58" spans="1:12">
      <c r="A58" s="68">
        <v>920557531</v>
      </c>
      <c r="B58" s="69">
        <f t="shared" ca="1" si="4"/>
        <v>45770.337872222219</v>
      </c>
      <c r="C58" s="99" t="s">
        <v>357</v>
      </c>
      <c r="D58" s="99" t="str">
        <f>IF(ISBLANK(A58), "Email",IF(ISNA(VLOOKUP(A58,'Master List'!A:C,3,FALSE)), "Not Found", VLOOKUP(A58,'Master List'!A:C,3,FALSE)))</f>
        <v>jhernandez70@mail.sfsu.edu</v>
      </c>
      <c r="E58" s="68" t="s">
        <v>285</v>
      </c>
      <c r="F58" s="71" t="str">
        <f>IF(OR(A58="",E58="","",A58="?",E58="?"),"duplicate?",IF(COUNTIFS($A:A,A58,E:E,E58)&gt;1,"yes","no"))</f>
        <v>no</v>
      </c>
      <c r="G58" s="68">
        <v>12</v>
      </c>
      <c r="H58" s="69">
        <v>45777</v>
      </c>
      <c r="I58" s="68" t="s">
        <v>176</v>
      </c>
      <c r="J58" s="68" t="s">
        <v>99</v>
      </c>
      <c r="K58" s="69">
        <f t="shared" ca="1" si="5"/>
        <v>45772.989650925927</v>
      </c>
    </row>
    <row r="59" spans="1:12">
      <c r="A59" s="105">
        <v>920557531</v>
      </c>
      <c r="B59" s="69">
        <f t="shared" ca="1" si="4"/>
        <v>45770.343989120367</v>
      </c>
      <c r="C59" s="99" t="str">
        <f>IF(ISBLANK(A59),"Name",IF(ISNA(VLOOKUP(A59,'Master List'!A:C,2,FALSE)), "Not Found", VLOOKUP(A59,'Master List'!A:C,2,FALSE)))</f>
        <v>Jose Hernandez</v>
      </c>
      <c r="D59" s="99" t="str">
        <f>IF(ISBLANK(A59), "Email",IF(ISNA(VLOOKUP(A59,'Master List'!A:C,3,FALSE)), "Not Found", VLOOKUP(A59,'Master List'!A:C,3,FALSE)))</f>
        <v>jhernandez70@mail.sfsu.edu</v>
      </c>
      <c r="E59" s="68" t="s">
        <v>280</v>
      </c>
      <c r="F59" s="71" t="str">
        <f>IF(OR(A59="",E59="","",A59="?",E59="?"),"duplicate?",IF(COUNTIFS($A:A,A59,E:E,E59)&gt;1,"yes","no"))</f>
        <v>no</v>
      </c>
      <c r="G59" s="68" t="s">
        <v>358</v>
      </c>
      <c r="H59" s="69">
        <v>45777</v>
      </c>
      <c r="I59" s="68" t="s">
        <v>176</v>
      </c>
      <c r="J59" s="68" t="s">
        <v>99</v>
      </c>
      <c r="K59" s="69">
        <f t="shared" ca="1" si="5"/>
        <v>45772.991711342591</v>
      </c>
    </row>
    <row r="60" spans="1:12">
      <c r="B60" s="69" t="str">
        <f t="shared" ca="1" si="4"/>
        <v>Date</v>
      </c>
      <c r="C60" s="99" t="str">
        <f>IF(ISBLANK(A60),"Name",IF(ISNA(VLOOKUP(A60,'Master List'!A:C,2,FALSE)), "Not Found", VLOOKUP(A60,'Master List'!A:C,2,FALSE)))</f>
        <v>Name</v>
      </c>
      <c r="D60" s="99" t="str">
        <f>IF(ISBLANK(A60), "Email",IF(ISNA(VLOOKUP(A60,'Master List'!A:C,3,FALSE)), "Not Found", VLOOKUP(A60,'Master List'!A:C,3,FALSE)))</f>
        <v>Email</v>
      </c>
      <c r="F60" s="71" t="str">
        <f>IF(OR(A60="",E60="","",A60="?",E60="?"),"duplicate?",IF(COUNTIFS($A:A,A60,E:E,E60)&gt;1,"yes","no"))</f>
        <v>duplicate?</v>
      </c>
      <c r="K60" s="69" t="str">
        <f t="shared" ca="1" si="5"/>
        <v>Date</v>
      </c>
    </row>
    <row r="61" spans="1:12">
      <c r="B61" s="69" t="str">
        <f t="shared" ca="1" si="4"/>
        <v>Date</v>
      </c>
      <c r="C61" s="99" t="str">
        <f>IF(ISBLANK(A61),"Name",IF(ISNA(VLOOKUP(A61,'Master List'!A:C,2,FALSE)), "Not Found", VLOOKUP(A61,'Master List'!A:C,2,FALSE)))</f>
        <v>Name</v>
      </c>
      <c r="D61" s="99" t="str">
        <f>IF(ISBLANK(A61), "Email",IF(ISNA(VLOOKUP(A61,'Master List'!A:C,3,FALSE)), "Not Found", VLOOKUP(A61,'Master List'!A:C,3,FALSE)))</f>
        <v>Email</v>
      </c>
      <c r="F61" s="71" t="str">
        <f>IF(OR(A61="",E61="","",A61="?",E61="?"),"duplicate?",IF(COUNTIFS($A:A,A61,E:E,E61)&gt;1,"yes","no"))</f>
        <v>duplicate?</v>
      </c>
      <c r="K61" s="69" t="str">
        <f t="shared" ca="1" si="5"/>
        <v>Date</v>
      </c>
    </row>
    <row r="62" spans="1:12">
      <c r="B62" s="69" t="str">
        <f t="shared" ca="1" si="4"/>
        <v>Date</v>
      </c>
      <c r="C62" s="99" t="str">
        <f>IF(ISBLANK(A62),"Name",IF(ISNA(VLOOKUP(A62,'Master List'!A:C,2,FALSE)), "Not Found", VLOOKUP(A62,'Master List'!A:C,2,FALSE)))</f>
        <v>Name</v>
      </c>
      <c r="D62" s="99" t="str">
        <f>IF(ISBLANK(A62), "Email",IF(ISNA(VLOOKUP(A62,'Master List'!A:C,3,FALSE)), "Not Found", VLOOKUP(A62,'Master List'!A:C,3,FALSE)))</f>
        <v>Email</v>
      </c>
      <c r="F62" s="71" t="str">
        <f>IF(OR(A62="",E62="","",A62="?",E62="?"),"duplicate?",IF(COUNTIFS($A:A,A62,E:E,E62)&gt;1,"yes","no"))</f>
        <v>duplicate?</v>
      </c>
      <c r="K62" s="69" t="str">
        <f t="shared" ca="1" si="5"/>
        <v>Date</v>
      </c>
    </row>
    <row r="63" spans="1:12">
      <c r="B63" s="69" t="str">
        <f t="shared" ca="1" si="4"/>
        <v>Date</v>
      </c>
      <c r="C63" s="99" t="str">
        <f>IF(ISBLANK(A63),"Name",IF(ISNA(VLOOKUP(A63,'Master List'!A:C,2,FALSE)), "Not Found", VLOOKUP(A63,'Master List'!A:C,2,FALSE)))</f>
        <v>Name</v>
      </c>
      <c r="D63" s="99" t="str">
        <f>IF(ISBLANK(A63), "Email",IF(ISNA(VLOOKUP(A63,'Master List'!A:C,3,FALSE)), "Not Found", VLOOKUP(A63,'Master List'!A:C,3,FALSE)))</f>
        <v>Email</v>
      </c>
      <c r="F63" s="71" t="str">
        <f>IF(OR(A63="",E63="","",A63="?",E63="?"),"duplicate?",IF(COUNTIFS($A:A,A63,E:E,E63)&gt;1,"yes","no"))</f>
        <v>duplicate?</v>
      </c>
      <c r="K63" s="69" t="str">
        <f t="shared" ca="1" si="5"/>
        <v>Date</v>
      </c>
    </row>
    <row r="64" spans="1:12">
      <c r="B64" s="69" t="str">
        <f t="shared" ca="1" si="4"/>
        <v>Date</v>
      </c>
      <c r="C64" s="99" t="str">
        <f>IF(ISBLANK(A64),"Name",IF(ISNA(VLOOKUP(A64,'Master List'!A:C,2,FALSE)), "Not Found", VLOOKUP(A64,'Master List'!A:C,2,FALSE)))</f>
        <v>Name</v>
      </c>
      <c r="D64" s="99" t="str">
        <f>IF(ISBLANK(A64), "Email",IF(ISNA(VLOOKUP(A64,'Master List'!A:C,3,FALSE)), "Not Found", VLOOKUP(A64,'Master List'!A:C,3,FALSE)))</f>
        <v>Email</v>
      </c>
      <c r="F64" s="71" t="str">
        <f>IF(OR(A64="",E64="","",A64="?",E64="?"),"duplicate?",IF(COUNTIFS($A:A,A64,E:E,E64)&gt;1,"yes","no"))</f>
        <v>duplicate?</v>
      </c>
      <c r="K64" s="69" t="str">
        <f t="shared" ca="1" si="5"/>
        <v>Date</v>
      </c>
    </row>
    <row r="65" spans="2:11">
      <c r="B65" s="69" t="str">
        <f t="shared" ca="1" si="4"/>
        <v>Date</v>
      </c>
      <c r="C65" s="99" t="str">
        <f>IF(ISBLANK(A65),"Name",IF(ISNA(VLOOKUP(A65,'Master List'!A:C,2,FALSE)), "Not Found", VLOOKUP(A65,'Master List'!A:C,2,FALSE)))</f>
        <v>Name</v>
      </c>
      <c r="D65" s="99" t="str">
        <f>IF(ISBLANK(A65), "Email",IF(ISNA(VLOOKUP(A65,'Master List'!A:C,3,FALSE)), "Not Found", VLOOKUP(A65,'Master List'!A:C,3,FALSE)))</f>
        <v>Email</v>
      </c>
      <c r="F65" s="71" t="str">
        <f>IF(OR(A65="",E65="","",A65="?",E65="?"),"duplicate?",IF(COUNTIFS($A:A,A65,E:E,E65)&gt;1,"yes","no"))</f>
        <v>duplicate?</v>
      </c>
      <c r="K65" s="69" t="str">
        <f t="shared" ca="1" si="5"/>
        <v>Date</v>
      </c>
    </row>
    <row r="66" spans="2:11">
      <c r="B66" s="69" t="str">
        <f t="shared" ca="1" si="4"/>
        <v>Date</v>
      </c>
      <c r="C66" s="99" t="str">
        <f>IF(ISBLANK(A66),"Name",IF(ISNA(VLOOKUP(A66,'Master List'!A:C,2,FALSE)), "Not Found", VLOOKUP(A66,'Master List'!A:C,2,FALSE)))</f>
        <v>Name</v>
      </c>
      <c r="D66" s="99" t="str">
        <f>IF(ISBLANK(A66), "Email",IF(ISNA(VLOOKUP(A66,'Master List'!A:C,3,FALSE)), "Not Found", VLOOKUP(A66,'Master List'!A:C,3,FALSE)))</f>
        <v>Email</v>
      </c>
      <c r="F66" s="71" t="str">
        <f>IF(OR(A66="",E66="","",A66="?",E66="?"),"duplicate?",IF(COUNTIFS($A:A,A66,E:E,E66)&gt;1,"yes","no"))</f>
        <v>duplicate?</v>
      </c>
      <c r="K66" s="69" t="str">
        <f t="shared" ca="1" si="5"/>
        <v>Date</v>
      </c>
    </row>
    <row r="67" spans="2:11">
      <c r="B67" s="69" t="str">
        <f t="shared" ca="1" si="4"/>
        <v>Date</v>
      </c>
      <c r="C67" s="99" t="str">
        <f>IF(ISBLANK(A67),"Name",IF(ISNA(VLOOKUP(A67,'Master List'!A:C,2,FALSE)), "Not Found", VLOOKUP(A67,'Master List'!A:C,2,FALSE)))</f>
        <v>Name</v>
      </c>
      <c r="D67" s="99" t="str">
        <f>IF(ISBLANK(A67), "Email",IF(ISNA(VLOOKUP(A67,'Master List'!A:C,3,FALSE)), "Not Found", VLOOKUP(A67,'Master List'!A:C,3,FALSE)))</f>
        <v>Email</v>
      </c>
      <c r="F67" s="71" t="str">
        <f>IF(OR(A67="",E67="","",A67="?",E67="?"),"duplicate?",IF(COUNTIFS($A:A,A67,E:E,E67)&gt;1,"yes","no"))</f>
        <v>duplicate?</v>
      </c>
      <c r="K67" s="69" t="str">
        <f t="shared" ca="1" si="5"/>
        <v>Date</v>
      </c>
    </row>
    <row r="68" spans="2:11">
      <c r="B68" s="69" t="str">
        <f t="shared" ca="1" si="4"/>
        <v>Date</v>
      </c>
      <c r="C68" s="99" t="str">
        <f>IF(ISBLANK(A68),"Name",IF(ISNA(VLOOKUP(A68,'Master List'!A:C,2,FALSE)), "Not Found", VLOOKUP(A68,'Master List'!A:C,2,FALSE)))</f>
        <v>Name</v>
      </c>
      <c r="D68" s="99" t="str">
        <f>IF(ISBLANK(A68), "Email",IF(ISNA(VLOOKUP(A68,'Master List'!A:C,3,FALSE)), "Not Found", VLOOKUP(A68,'Master List'!A:C,3,FALSE)))</f>
        <v>Email</v>
      </c>
      <c r="F68" s="71" t="str">
        <f>IF(OR(A68="",E68="","",A68="?",E68="?"),"duplicate?",IF(COUNTIFS($A:A,A68,E:E,E68)&gt;1,"yes","no"))</f>
        <v>duplicate?</v>
      </c>
      <c r="K68" s="69" t="str">
        <f t="shared" ca="1" si="5"/>
        <v>Date</v>
      </c>
    </row>
    <row r="69" spans="2:11">
      <c r="B69" s="69" t="str">
        <f t="shared" ca="1" si="4"/>
        <v>Date</v>
      </c>
      <c r="C69" s="99" t="str">
        <f>IF(ISBLANK(A69),"Name",IF(ISNA(VLOOKUP(A69,'Master List'!A:C,2,FALSE)), "Not Found", VLOOKUP(A69,'Master List'!A:C,2,FALSE)))</f>
        <v>Name</v>
      </c>
      <c r="D69" s="99" t="str">
        <f>IF(ISBLANK(A69), "Email",IF(ISNA(VLOOKUP(A69,'Master List'!A:C,3,FALSE)), "Not Found", VLOOKUP(A69,'Master List'!A:C,3,FALSE)))</f>
        <v>Email</v>
      </c>
      <c r="F69" s="71" t="str">
        <f>IF(OR(A69="",E69="","",A69="?",E69="?"),"duplicate?",IF(COUNTIFS($A:A,A69,E:E,E69)&gt;1,"yes","no"))</f>
        <v>duplicate?</v>
      </c>
      <c r="K69" s="69" t="str">
        <f t="shared" ca="1" si="5"/>
        <v>Date</v>
      </c>
    </row>
    <row r="70" spans="2:11">
      <c r="B70" s="69" t="str">
        <f t="shared" ca="1" si="4"/>
        <v>Date</v>
      </c>
      <c r="C70" s="99" t="str">
        <f>IF(ISBLANK(A70),"Name",IF(ISNA(VLOOKUP(A70,'Master List'!A:C,2,FALSE)), "Not Found", VLOOKUP(A70,'Master List'!A:C,2,FALSE)))</f>
        <v>Name</v>
      </c>
      <c r="D70" s="99" t="str">
        <f>IF(ISBLANK(A70), "Email",IF(ISNA(VLOOKUP(A70,'Master List'!A:C,3,FALSE)), "Not Found", VLOOKUP(A70,'Master List'!A:C,3,FALSE)))</f>
        <v>Email</v>
      </c>
      <c r="F70" s="71" t="str">
        <f>IF(OR(A70="",E70="","",A70="?",E70="?"),"duplicate?",IF(COUNTIFS($A:A,A70,E:E,E70)&gt;1,"yes","no"))</f>
        <v>duplicate?</v>
      </c>
      <c r="K70" s="69" t="str">
        <f t="shared" ca="1" si="5"/>
        <v>Date</v>
      </c>
    </row>
    <row r="71" spans="2:11">
      <c r="B71" s="69" t="str">
        <f t="shared" ca="1" si="4"/>
        <v>Date</v>
      </c>
      <c r="C71" s="99" t="str">
        <f>IF(ISBLANK(A71),"Name",IF(ISNA(VLOOKUP(A71,'Master List'!A:C,2,FALSE)), "Not Found", VLOOKUP(A71,'Master List'!A:C,2,FALSE)))</f>
        <v>Name</v>
      </c>
      <c r="D71" s="99" t="str">
        <f>IF(ISBLANK(A71), "Email",IF(ISNA(VLOOKUP(A71,'Master List'!A:C,3,FALSE)), "Not Found", VLOOKUP(A71,'Master List'!A:C,3,FALSE)))</f>
        <v>Email</v>
      </c>
      <c r="F71" s="71" t="str">
        <f>IF(OR(A71="",E71="","",A71="?",E71="?"),"duplicate?",IF(COUNTIFS($A:A,A71,E:E,E71)&gt;1,"yes","no"))</f>
        <v>duplicate?</v>
      </c>
      <c r="K71" s="69" t="str">
        <f t="shared" ca="1" si="5"/>
        <v>Date</v>
      </c>
    </row>
    <row r="72" spans="2:11">
      <c r="B72" s="69" t="str">
        <f t="shared" ca="1" si="4"/>
        <v>Date</v>
      </c>
      <c r="C72" s="99" t="str">
        <f>IF(ISBLANK(A72),"Name",IF(ISNA(VLOOKUP(A72,'Master List'!A:C,2,FALSE)), "Not Found", VLOOKUP(A72,'Master List'!A:C,2,FALSE)))</f>
        <v>Name</v>
      </c>
      <c r="D72" s="99" t="str">
        <f>IF(ISBLANK(A72), "Email",IF(ISNA(VLOOKUP(A72,'Master List'!A:C,3,FALSE)), "Not Found", VLOOKUP(A72,'Master List'!A:C,3,FALSE)))</f>
        <v>Email</v>
      </c>
      <c r="F72" s="71" t="str">
        <f>IF(OR(A72="",E72="","",A72="?",E72="?"),"duplicate?",IF(COUNTIFS($A:A,A72,E:E,E72)&gt;1,"yes","no"))</f>
        <v>duplicate?</v>
      </c>
      <c r="K72" s="69" t="str">
        <f t="shared" ca="1" si="5"/>
        <v>Date</v>
      </c>
    </row>
    <row r="73" spans="2:11">
      <c r="B73" s="69" t="str">
        <f t="shared" ca="1" si="4"/>
        <v>Date</v>
      </c>
      <c r="C73" s="99" t="str">
        <f>IF(ISBLANK(A73),"Name",IF(ISNA(VLOOKUP(A73,'Master List'!A:C,2,FALSE)), "Not Found", VLOOKUP(A73,'Master List'!A:C,2,FALSE)))</f>
        <v>Name</v>
      </c>
      <c r="D73" s="99" t="str">
        <f>IF(ISBLANK(A73), "Email",IF(ISNA(VLOOKUP(A73,'Master List'!A:C,3,FALSE)), "Not Found", VLOOKUP(A73,'Master List'!A:C,3,FALSE)))</f>
        <v>Email</v>
      </c>
      <c r="F73" s="71" t="str">
        <f>IF(OR(A73="",E73="","",A73="?",E73="?"),"duplicate?",IF(COUNTIFS($A:A,A73,E:E,E73)&gt;1,"yes","no"))</f>
        <v>duplicate?</v>
      </c>
      <c r="K73" s="69" t="str">
        <f t="shared" ca="1" si="5"/>
        <v>Date</v>
      </c>
    </row>
    <row r="74" spans="2:11">
      <c r="B74" s="69" t="str">
        <f t="shared" ca="1" si="4"/>
        <v>Date</v>
      </c>
      <c r="C74" s="99" t="str">
        <f>IF(ISBLANK(A74),"Name",IF(ISNA(VLOOKUP(A74,'Master List'!A:C,2,FALSE)), "Not Found", VLOOKUP(A74,'Master List'!A:C,2,FALSE)))</f>
        <v>Name</v>
      </c>
      <c r="D74" s="99" t="str">
        <f>IF(ISBLANK(A74), "Email",IF(ISNA(VLOOKUP(A74,'Master List'!A:C,3,FALSE)), "Not Found", VLOOKUP(A74,'Master List'!A:C,3,FALSE)))</f>
        <v>Email</v>
      </c>
      <c r="F74" s="71" t="str">
        <f>IF(OR(A74="",E74="","",A74="?",E74="?"),"duplicate?",IF(COUNTIFS($A:A,A74,E:E,E74)&gt;1,"yes","no"))</f>
        <v>duplicate?</v>
      </c>
      <c r="K74" s="69" t="str">
        <f t="shared" ca="1" si="5"/>
        <v>Date</v>
      </c>
    </row>
    <row r="75" spans="2:11">
      <c r="B75" s="69" t="str">
        <f t="shared" ca="1" si="4"/>
        <v>Date</v>
      </c>
      <c r="C75" s="99" t="str">
        <f>IF(ISBLANK(A75),"Name",IF(ISNA(VLOOKUP(A75,'Master List'!A:C,2,FALSE)), "Not Found", VLOOKUP(A75,'Master List'!A:C,2,FALSE)))</f>
        <v>Name</v>
      </c>
      <c r="D75" s="99" t="str">
        <f>IF(ISBLANK(A75), "Email",IF(ISNA(VLOOKUP(A75,'Master List'!A:C,3,FALSE)), "Not Found", VLOOKUP(A75,'Master List'!A:C,3,FALSE)))</f>
        <v>Email</v>
      </c>
      <c r="F75" s="71" t="str">
        <f>IF(OR(A75="",E75="","",A75="?",E75="?"),"duplicate?",IF(COUNTIFS($A:A,A75,E:E,E75)&gt;1,"yes","no"))</f>
        <v>duplicate?</v>
      </c>
      <c r="K75" s="69" t="str">
        <f t="shared" ca="1" si="5"/>
        <v>Date</v>
      </c>
    </row>
    <row r="76" spans="2:11">
      <c r="B76" s="69" t="str">
        <f t="shared" ca="1" si="4"/>
        <v>Date</v>
      </c>
      <c r="C76" s="99" t="str">
        <f>IF(ISBLANK(A76),"Name",IF(ISNA(VLOOKUP(A76,'Master List'!A:C,2,FALSE)), "Not Found", VLOOKUP(A76,'Master List'!A:C,2,FALSE)))</f>
        <v>Name</v>
      </c>
      <c r="D76" s="99" t="str">
        <f>IF(ISBLANK(A76), "Email",IF(ISNA(VLOOKUP(A76,'Master List'!A:C,3,FALSE)), "Not Found", VLOOKUP(A76,'Master List'!A:C,3,FALSE)))</f>
        <v>Email</v>
      </c>
      <c r="F76" s="71" t="str">
        <f>IF(OR(A76="",E76="","",A76="?",E76="?"),"duplicate?",IF(COUNTIFS($A:A,A76,E:E,E76)&gt;1,"yes","no"))</f>
        <v>duplicate?</v>
      </c>
      <c r="K76" s="69" t="str">
        <f t="shared" ca="1" si="5"/>
        <v>Date</v>
      </c>
    </row>
    <row r="77" spans="2:11">
      <c r="B77" s="69" t="str">
        <f t="shared" ca="1" si="4"/>
        <v>Date</v>
      </c>
      <c r="C77" s="99" t="str">
        <f>IF(ISBLANK(A77),"Name",IF(ISNA(VLOOKUP(A77,'Master List'!A:C,2,FALSE)), "Not Found", VLOOKUP(A77,'Master List'!A:C,2,FALSE)))</f>
        <v>Name</v>
      </c>
      <c r="D77" s="99" t="str">
        <f>IF(ISBLANK(A77), "Email",IF(ISNA(VLOOKUP(A77,'Master List'!A:C,3,FALSE)), "Not Found", VLOOKUP(A77,'Master List'!A:C,3,FALSE)))</f>
        <v>Email</v>
      </c>
      <c r="F77" s="71" t="str">
        <f>IF(OR(A77="",E77="","",A77="?",E77="?"),"duplicate?",IF(COUNTIFS($A:A,A77,E:E,E77)&gt;1,"yes","no"))</f>
        <v>duplicate?</v>
      </c>
      <c r="K77" s="69" t="str">
        <f t="shared" ca="1" si="5"/>
        <v>Date</v>
      </c>
    </row>
    <row r="78" spans="2:11">
      <c r="B78" s="69" t="str">
        <f t="shared" ca="1" si="4"/>
        <v>Date</v>
      </c>
      <c r="C78" s="99" t="str">
        <f>IF(ISBLANK(A78),"Name",IF(ISNA(VLOOKUP(A78,'Master List'!A:C,2,FALSE)), "Not Found", VLOOKUP(A78,'Master List'!A:C,2,FALSE)))</f>
        <v>Name</v>
      </c>
      <c r="D78" s="99" t="str">
        <f>IF(ISBLANK(A78), "Email",IF(ISNA(VLOOKUP(A78,'Master List'!A:C,3,FALSE)), "Not Found", VLOOKUP(A78,'Master List'!A:C,3,FALSE)))</f>
        <v>Email</v>
      </c>
      <c r="F78" s="71" t="str">
        <f>IF(OR(A78="",E78="","",A78="?",E78="?"),"duplicate?",IF(COUNTIFS($A:A,A78,E:E,E78)&gt;1,"yes","no"))</f>
        <v>duplicate?</v>
      </c>
      <c r="K78" s="69" t="str">
        <f t="shared" ca="1" si="5"/>
        <v>Date</v>
      </c>
    </row>
    <row r="79" spans="2:11">
      <c r="B79" s="69" t="str">
        <f t="shared" ca="1" si="4"/>
        <v>Date</v>
      </c>
      <c r="C79" s="99" t="str">
        <f>IF(ISBLANK(A79),"Name",IF(ISNA(VLOOKUP(A79,'Master List'!A:C,2,FALSE)), "Not Found", VLOOKUP(A79,'Master List'!A:C,2,FALSE)))</f>
        <v>Name</v>
      </c>
      <c r="D79" s="99" t="str">
        <f>IF(ISBLANK(A79), "Email",IF(ISNA(VLOOKUP(A79,'Master List'!A:C,3,FALSE)), "Not Found", VLOOKUP(A79,'Master List'!A:C,3,FALSE)))</f>
        <v>Email</v>
      </c>
      <c r="F79" s="71" t="str">
        <f>IF(OR(A79="",E79="","",A79="?",E79="?"),"duplicate?",IF(COUNTIFS($A:A,A79,E:E,E79)&gt;1,"yes","no"))</f>
        <v>duplicate?</v>
      </c>
      <c r="K79" s="69" t="str">
        <f t="shared" ca="1" si="5"/>
        <v>Date</v>
      </c>
    </row>
    <row r="80" spans="2:11">
      <c r="B80" s="69" t="str">
        <f t="shared" ca="1" si="4"/>
        <v>Date</v>
      </c>
      <c r="C80" s="99" t="str">
        <f>IF(ISBLANK(A80),"Name",IF(ISNA(VLOOKUP(A80,'Master List'!A:C,2,FALSE)), "Not Found", VLOOKUP(A80,'Master List'!A:C,2,FALSE)))</f>
        <v>Name</v>
      </c>
      <c r="D80" s="99" t="str">
        <f>IF(ISBLANK(A80), "Email",IF(ISNA(VLOOKUP(A80,'Master List'!A:C,3,FALSE)), "Not Found", VLOOKUP(A80,'Master List'!A:C,3,FALSE)))</f>
        <v>Email</v>
      </c>
      <c r="F80" s="71" t="str">
        <f>IF(OR(A80="",E80="","",A80="?",E80="?"),"duplicate?",IF(COUNTIFS($A:A,A80,E:E,E80)&gt;1,"yes","no"))</f>
        <v>duplicate?</v>
      </c>
      <c r="K80" s="69" t="str">
        <f t="shared" ca="1" si="5"/>
        <v>Date</v>
      </c>
    </row>
    <row r="81" spans="2:11">
      <c r="B81" s="69" t="str">
        <f t="shared" ca="1" si="4"/>
        <v>Date</v>
      </c>
      <c r="C81" s="99" t="str">
        <f>IF(ISBLANK(A81),"Name",IF(ISNA(VLOOKUP(A81,'Master List'!A:C,2,FALSE)), "Not Found", VLOOKUP(A81,'Master List'!A:C,2,FALSE)))</f>
        <v>Name</v>
      </c>
      <c r="D81" s="99" t="str">
        <f>IF(ISBLANK(A81), "Email",IF(ISNA(VLOOKUP(A81,'Master List'!A:C,3,FALSE)), "Not Found", VLOOKUP(A81,'Master List'!A:C,3,FALSE)))</f>
        <v>Email</v>
      </c>
      <c r="F81" s="71" t="str">
        <f>IF(OR(A81="",E81="","",A81="?",E81="?"),"duplicate?",IF(COUNTIFS($A:A,A81,E:E,E81)&gt;1,"yes","no"))</f>
        <v>duplicate?</v>
      </c>
      <c r="K81" s="69" t="str">
        <f t="shared" ca="1" si="5"/>
        <v>Date</v>
      </c>
    </row>
    <row r="82" spans="2:11">
      <c r="B82" s="69" t="str">
        <f t="shared" ca="1" si="4"/>
        <v>Date</v>
      </c>
      <c r="C82" s="99" t="str">
        <f>IF(ISBLANK(A82),"Name",IF(ISNA(VLOOKUP(A82,'Master List'!A:C,2,FALSE)), "Not Found", VLOOKUP(A82,'Master List'!A:C,2,FALSE)))</f>
        <v>Name</v>
      </c>
      <c r="D82" s="99" t="str">
        <f>IF(ISBLANK(A82), "Email",IF(ISNA(VLOOKUP(A82,'Master List'!A:C,3,FALSE)), "Not Found", VLOOKUP(A82,'Master List'!A:C,3,FALSE)))</f>
        <v>Email</v>
      </c>
      <c r="F82" s="71" t="str">
        <f>IF(OR(A82="",E82="","",A82="?",E82="?"),"duplicate?",IF(COUNTIFS($A:A,A82,E:E,E82)&gt;1,"yes","no"))</f>
        <v>duplicate?</v>
      </c>
      <c r="K82" s="69" t="str">
        <f t="shared" ca="1" si="5"/>
        <v>Date</v>
      </c>
    </row>
    <row r="83" spans="2:11">
      <c r="B83" s="69" t="str">
        <f t="shared" ca="1" si="4"/>
        <v>Date</v>
      </c>
      <c r="C83" s="99" t="str">
        <f>IF(ISBLANK(A83),"Name",IF(ISNA(VLOOKUP(A83,'Master List'!A:C,2,FALSE)), "Not Found", VLOOKUP(A83,'Master List'!A:C,2,FALSE)))</f>
        <v>Name</v>
      </c>
      <c r="D83" s="99" t="str">
        <f>IF(ISBLANK(A83), "Email",IF(ISNA(VLOOKUP(A83,'Master List'!A:C,3,FALSE)), "Not Found", VLOOKUP(A83,'Master List'!A:C,3,FALSE)))</f>
        <v>Email</v>
      </c>
      <c r="F83" s="71" t="str">
        <f>IF(OR(A83="",E83="","",A83="?",E83="?"),"duplicate?",IF(COUNTIFS($A:A,A83,E:E,E83)&gt;1,"yes","no"))</f>
        <v>duplicate?</v>
      </c>
      <c r="K83" s="69" t="str">
        <f t="shared" ca="1" si="5"/>
        <v>Date</v>
      </c>
    </row>
    <row r="84" spans="2:11">
      <c r="B84" s="69" t="str">
        <f t="shared" ca="1" si="4"/>
        <v>Date</v>
      </c>
      <c r="C84" s="99" t="str">
        <f>IF(ISBLANK(A84),"Name",IF(ISNA(VLOOKUP(A84,'Master List'!A:C,2,FALSE)), "Not Found", VLOOKUP(A84,'Master List'!A:C,2,FALSE)))</f>
        <v>Name</v>
      </c>
      <c r="D84" s="99" t="str">
        <f>IF(ISBLANK(A84), "Email",IF(ISNA(VLOOKUP(A84,'Master List'!A:C,3,FALSE)), "Not Found", VLOOKUP(A84,'Master List'!A:C,3,FALSE)))</f>
        <v>Email</v>
      </c>
      <c r="F84" s="71" t="str">
        <f>IF(OR(A84="",E84="","",A84="?",E84="?"),"duplicate?",IF(COUNTIFS($A:A,A84,E:E,E84)&gt;1,"yes","no"))</f>
        <v>duplicate?</v>
      </c>
      <c r="K84" s="69" t="str">
        <f t="shared" ca="1" si="5"/>
        <v>Date</v>
      </c>
    </row>
    <row r="85" spans="2:11">
      <c r="B85" s="69" t="str">
        <f t="shared" ca="1" si="4"/>
        <v>Date</v>
      </c>
      <c r="C85" s="99" t="str">
        <f>IF(ISBLANK(A85),"Name",IF(ISNA(VLOOKUP(A85,'Master List'!A:C,2,FALSE)), "Not Found", VLOOKUP(A85,'Master List'!A:C,2,FALSE)))</f>
        <v>Name</v>
      </c>
      <c r="D85" s="99" t="str">
        <f>IF(ISBLANK(A85), "Email",IF(ISNA(VLOOKUP(A85,'Master List'!A:C,3,FALSE)), "Not Found", VLOOKUP(A85,'Master List'!A:C,3,FALSE)))</f>
        <v>Email</v>
      </c>
      <c r="F85" s="71" t="str">
        <f>IF(OR(A85="",E85="","",A85="?",E85="?"),"duplicate?",IF(COUNTIFS($A:A,A85,E:E,E85)&gt;1,"yes","no"))</f>
        <v>duplicate?</v>
      </c>
      <c r="K85" s="69" t="str">
        <f t="shared" ca="1" si="5"/>
        <v>Date</v>
      </c>
    </row>
    <row r="86" spans="2:11">
      <c r="B86" s="69" t="str">
        <f t="shared" ca="1" si="4"/>
        <v>Date</v>
      </c>
      <c r="C86" s="99" t="str">
        <f>IF(ISBLANK(A86),"Name",IF(ISNA(VLOOKUP(A86,'Master List'!A:C,2,FALSE)), "Not Found", VLOOKUP(A86,'Master List'!A:C,2,FALSE)))</f>
        <v>Name</v>
      </c>
      <c r="D86" s="99" t="str">
        <f>IF(ISBLANK(A86), "Email",IF(ISNA(VLOOKUP(A86,'Master List'!A:C,3,FALSE)), "Not Found", VLOOKUP(A86,'Master List'!A:C,3,FALSE)))</f>
        <v>Email</v>
      </c>
      <c r="F86" s="71" t="str">
        <f>IF(OR(A86="",E86="","",A86="?",E86="?"),"duplicate?",IF(COUNTIFS($A:A,A86,E:E,E86)&gt;1,"yes","no"))</f>
        <v>duplicate?</v>
      </c>
      <c r="K86" s="69" t="str">
        <f t="shared" ca="1" si="5"/>
        <v>Date</v>
      </c>
    </row>
    <row r="87" spans="2:11">
      <c r="B87" s="69" t="str">
        <f t="shared" ca="1" si="4"/>
        <v>Date</v>
      </c>
      <c r="C87" s="99" t="str">
        <f>IF(ISBLANK(A87),"Name",IF(ISNA(VLOOKUP(A87,'Master List'!A:C,2,FALSE)), "Not Found", VLOOKUP(A87,'Master List'!A:C,2,FALSE)))</f>
        <v>Name</v>
      </c>
      <c r="D87" s="99" t="str">
        <f>IF(ISBLANK(A87), "Email",IF(ISNA(VLOOKUP(A87,'Master List'!A:C,3,FALSE)), "Not Found", VLOOKUP(A87,'Master List'!A:C,3,FALSE)))</f>
        <v>Email</v>
      </c>
      <c r="F87" s="71" t="str">
        <f>IF(OR(A87="",E87="","",A87="?",E87="?"),"duplicate?",IF(COUNTIFS($A:A,A87,E:E,E87)&gt;1,"yes","no"))</f>
        <v>duplicate?</v>
      </c>
      <c r="K87" s="69" t="str">
        <f t="shared" ca="1" si="5"/>
        <v>Date</v>
      </c>
    </row>
    <row r="88" spans="2:11">
      <c r="B88" s="69" t="str">
        <f t="shared" ca="1" si="4"/>
        <v>Date</v>
      </c>
      <c r="C88" s="99" t="str">
        <f>IF(ISBLANK(A88),"Name",IF(ISNA(VLOOKUP(A88,'Master List'!A:C,2,FALSE)), "Not Found", VLOOKUP(A88,'Master List'!A:C,2,FALSE)))</f>
        <v>Name</v>
      </c>
      <c r="D88" s="99" t="str">
        <f>IF(ISBLANK(A88), "Email",IF(ISNA(VLOOKUP(A88,'Master List'!A:C,3,FALSE)), "Not Found", VLOOKUP(A88,'Master List'!A:C,3,FALSE)))</f>
        <v>Email</v>
      </c>
      <c r="F88" s="71" t="str">
        <f>IF(OR(A88="",E88="","",A88="?",E88="?"),"duplicate?",IF(COUNTIFS($A:A,A88,E:E,E88)&gt;1,"yes","no"))</f>
        <v>duplicate?</v>
      </c>
      <c r="K88" s="69" t="str">
        <f t="shared" ca="1" si="5"/>
        <v>Date</v>
      </c>
    </row>
    <row r="89" spans="2:11">
      <c r="B89" s="69" t="str">
        <f t="shared" ca="1" si="4"/>
        <v>Date</v>
      </c>
      <c r="C89" s="99" t="str">
        <f>IF(ISBLANK(A89),"Name",IF(ISNA(VLOOKUP(A89,'Master List'!A:C,2,FALSE)), "Not Found", VLOOKUP(A89,'Master List'!A:C,2,FALSE)))</f>
        <v>Name</v>
      </c>
      <c r="D89" s="99" t="str">
        <f>IF(ISBLANK(A89), "Email",IF(ISNA(VLOOKUP(A89,'Master List'!A:C,3,FALSE)), "Not Found", VLOOKUP(A89,'Master List'!A:C,3,FALSE)))</f>
        <v>Email</v>
      </c>
      <c r="F89" s="71" t="str">
        <f>IF(OR(A89="",E89="","",A89="?",E89="?"),"duplicate?",IF(COUNTIFS($A:A,A89,E:E,E89)&gt;1,"yes","no"))</f>
        <v>duplicate?</v>
      </c>
      <c r="K89" s="69" t="str">
        <f t="shared" ca="1" si="5"/>
        <v>Date</v>
      </c>
    </row>
    <row r="90" spans="2:11">
      <c r="B90" s="69" t="str">
        <f t="shared" ca="1" si="4"/>
        <v>Date</v>
      </c>
      <c r="C90" s="99" t="str">
        <f>IF(ISBLANK(A90),"Name",IF(ISNA(VLOOKUP(A90,'Master List'!A:C,2,FALSE)), "Not Found", VLOOKUP(A90,'Master List'!A:C,2,FALSE)))</f>
        <v>Name</v>
      </c>
      <c r="D90" s="99" t="str">
        <f>IF(ISBLANK(A90), "Email",IF(ISNA(VLOOKUP(A90,'Master List'!A:C,3,FALSE)), "Not Found", VLOOKUP(A90,'Master List'!A:C,3,FALSE)))</f>
        <v>Email</v>
      </c>
      <c r="F90" s="71" t="str">
        <f>IF(OR(A90="",E90="","",A90="?",E90="?"),"duplicate?",IF(COUNTIFS($A:A,A90,E:E,E90)&gt;1,"yes","no"))</f>
        <v>duplicate?</v>
      </c>
      <c r="K90" s="69" t="str">
        <f t="shared" ca="1" si="5"/>
        <v>Date</v>
      </c>
    </row>
    <row r="91" spans="2:11">
      <c r="B91" s="69" t="str">
        <f t="shared" ca="1" si="4"/>
        <v>Date</v>
      </c>
      <c r="C91" s="99" t="str">
        <f>IF(ISBLANK(A91),"Name",IF(ISNA(VLOOKUP(A91,'Master List'!A:C,2,FALSE)), "Not Found", VLOOKUP(A91,'Master List'!A:C,2,FALSE)))</f>
        <v>Name</v>
      </c>
      <c r="D91" s="99" t="str">
        <f>IF(ISBLANK(A91), "Email",IF(ISNA(VLOOKUP(A91,'Master List'!A:C,3,FALSE)), "Not Found", VLOOKUP(A91,'Master List'!A:C,3,FALSE)))</f>
        <v>Email</v>
      </c>
      <c r="F91" s="71" t="str">
        <f>IF(OR(A91="",E91="","",A91="?",E91="?"),"duplicate?",IF(COUNTIFS($A:A,A91,E:E,E91)&gt;1,"yes","no"))</f>
        <v>duplicate?</v>
      </c>
      <c r="K91" s="69" t="str">
        <f t="shared" ca="1" si="5"/>
        <v>Date</v>
      </c>
    </row>
    <row r="92" spans="2:11">
      <c r="B92" s="69" t="str">
        <f t="shared" ca="1" si="4"/>
        <v>Date</v>
      </c>
      <c r="C92" s="99" t="str">
        <f>IF(ISBLANK(A92),"Name",IF(ISNA(VLOOKUP(A92,'Master List'!A:C,2,FALSE)), "Not Found", VLOOKUP(A92,'Master List'!A:C,2,FALSE)))</f>
        <v>Name</v>
      </c>
      <c r="D92" s="99" t="str">
        <f>IF(ISBLANK(A92), "Email",IF(ISNA(VLOOKUP(A92,'Master List'!A:C,3,FALSE)), "Not Found", VLOOKUP(A92,'Master List'!A:C,3,FALSE)))</f>
        <v>Email</v>
      </c>
      <c r="F92" s="71" t="str">
        <f>IF(OR(A92="",E92="","",A92="?",E92="?"),"duplicate?",IF(COUNTIFS($A:A,A92,E:E,E92)&gt;1,"yes","no"))</f>
        <v>duplicate?</v>
      </c>
      <c r="K92" s="69" t="str">
        <f t="shared" ca="1" si="5"/>
        <v>Date</v>
      </c>
    </row>
    <row r="93" spans="2:11">
      <c r="B93" s="69" t="str">
        <f t="shared" ca="1" si="4"/>
        <v>Date</v>
      </c>
      <c r="C93" s="99" t="str">
        <f>IF(ISBLANK(A93),"Name",IF(ISNA(VLOOKUP(A93,'Master List'!A:C,2,FALSE)), "Not Found", VLOOKUP(A93,'Master List'!A:C,2,FALSE)))</f>
        <v>Name</v>
      </c>
      <c r="D93" s="99" t="str">
        <f>IF(ISBLANK(A93), "Email",IF(ISNA(VLOOKUP(A93,'Master List'!A:C,3,FALSE)), "Not Found", VLOOKUP(A93,'Master List'!A:C,3,FALSE)))</f>
        <v>Email</v>
      </c>
      <c r="F93" s="71" t="str">
        <f>IF(OR(A93="",E93="","",A93="?",E93="?"),"duplicate?",IF(COUNTIFS($A:A,A93,E:E,E93)&gt;1,"yes","no"))</f>
        <v>duplicate?</v>
      </c>
      <c r="K93" s="69" t="str">
        <f t="shared" ca="1" si="5"/>
        <v>Date</v>
      </c>
    </row>
    <row r="94" spans="2:11">
      <c r="B94" s="69" t="str">
        <f t="shared" ca="1" si="4"/>
        <v>Date</v>
      </c>
      <c r="C94" s="99" t="str">
        <f>IF(ISBLANK(A94),"Name",IF(ISNA(VLOOKUP(A94,'Master List'!A:C,2,FALSE)), "Not Found", VLOOKUP(A94,'Master List'!A:C,2,FALSE)))</f>
        <v>Name</v>
      </c>
      <c r="D94" s="99" t="str">
        <f>IF(ISBLANK(A94), "Email",IF(ISNA(VLOOKUP(A94,'Master List'!A:C,3,FALSE)), "Not Found", VLOOKUP(A94,'Master List'!A:C,3,FALSE)))</f>
        <v>Email</v>
      </c>
      <c r="F94" s="71" t="str">
        <f>IF(OR(A94="",E94="","",A94="?",E94="?"),"duplicate?",IF(COUNTIFS($A:A,A94,E:E,E94)&gt;1,"yes","no"))</f>
        <v>duplicate?</v>
      </c>
      <c r="K94" s="69" t="str">
        <f t="shared" ca="1" si="5"/>
        <v>Date</v>
      </c>
    </row>
    <row r="95" spans="2:11">
      <c r="B95" s="69" t="str">
        <f t="shared" ca="1" si="4"/>
        <v>Date</v>
      </c>
      <c r="C95" s="99" t="str">
        <f>IF(ISBLANK(A95),"Name",IF(ISNA(VLOOKUP(A95,'Master List'!A:C,2,FALSE)), "Not Found", VLOOKUP(A95,'Master List'!A:C,2,FALSE)))</f>
        <v>Name</v>
      </c>
      <c r="D95" s="99" t="str">
        <f>IF(ISBLANK(A95), "Email",IF(ISNA(VLOOKUP(A95,'Master List'!A:C,3,FALSE)), "Not Found", VLOOKUP(A95,'Master List'!A:C,3,FALSE)))</f>
        <v>Email</v>
      </c>
      <c r="F95" s="71" t="str">
        <f>IF(OR(A95="",E95="","",A95="?",E95="?"),"duplicate?",IF(COUNTIFS($A:A,A95,E:E,E95)&gt;1,"yes","no"))</f>
        <v>duplicate?</v>
      </c>
      <c r="K95" s="69" t="str">
        <f t="shared" ca="1" si="5"/>
        <v>Date</v>
      </c>
    </row>
    <row r="96" spans="2:11">
      <c r="B96" s="69" t="str">
        <f t="shared" ca="1" si="4"/>
        <v>Date</v>
      </c>
      <c r="C96" s="99" t="str">
        <f>IF(ISBLANK(A96),"Name",IF(ISNA(VLOOKUP(A96,'Master List'!A:C,2,FALSE)), "Not Found", VLOOKUP(A96,'Master List'!A:C,2,FALSE)))</f>
        <v>Name</v>
      </c>
      <c r="D96" s="99" t="str">
        <f>IF(ISBLANK(A96), "Email",IF(ISNA(VLOOKUP(A96,'Master List'!A:C,3,FALSE)), "Not Found", VLOOKUP(A96,'Master List'!A:C,3,FALSE)))</f>
        <v>Email</v>
      </c>
      <c r="F96" s="71" t="str">
        <f>IF(OR(A96="",E96="","",A96="?",E96="?"),"duplicate?",IF(COUNTIFS($A:A,A96,E:E,E96)&gt;1,"yes","no"))</f>
        <v>duplicate?</v>
      </c>
      <c r="K96" s="69" t="str">
        <f t="shared" ca="1" si="5"/>
        <v>Date</v>
      </c>
    </row>
    <row r="97" spans="2:11">
      <c r="B97" s="69" t="str">
        <f t="shared" ca="1" si="4"/>
        <v>Date</v>
      </c>
      <c r="C97" s="99" t="str">
        <f>IF(ISBLANK(A97),"Name",IF(ISNA(VLOOKUP(A97,'Master List'!A:C,2,FALSE)), "Not Found", VLOOKUP(A97,'Master List'!A:C,2,FALSE)))</f>
        <v>Name</v>
      </c>
      <c r="D97" s="99" t="str">
        <f>IF(ISBLANK(A97), "Email",IF(ISNA(VLOOKUP(A97,'Master List'!A:C,3,FALSE)), "Not Found", VLOOKUP(A97,'Master List'!A:C,3,FALSE)))</f>
        <v>Email</v>
      </c>
      <c r="F97" s="71" t="str">
        <f>IF(OR(A97="",E97="","",A97="?",E97="?"),"duplicate?",IF(COUNTIFS($A:A,A97,E:E,E97)&gt;1,"yes","no"))</f>
        <v>duplicate?</v>
      </c>
      <c r="K97" s="69" t="str">
        <f t="shared" ca="1" si="5"/>
        <v>Date</v>
      </c>
    </row>
  </sheetData>
  <protectedRanges>
    <protectedRange sqref="E103:E1048576 A1:A19 A22:A23 J1:J9 A26:A32 A34:A40 J11:J54 G1:I54 E1:E101 G55:J1048576 L1:L1048576 A42:A1048576" name="Range1"/>
    <protectedRange sqref="A24" name="Range1_2"/>
    <protectedRange sqref="A25" name="Range1_1"/>
  </protectedRanges>
  <autoFilter ref="A1:L97" xr:uid="{2287FE15-0B4C-4D66-8DC3-900F37BD7667}"/>
  <conditionalFormatting sqref="B2:F13 F14 B14:D14 B15:F97 K2:K97">
    <cfRule type="cellIs" dxfId="64" priority="10" operator="equal">
      <formula>"Date"</formula>
    </cfRule>
  </conditionalFormatting>
  <conditionalFormatting sqref="C1:D97">
    <cfRule type="cellIs" dxfId="63" priority="15" operator="equal">
      <formula>"Not Found"</formula>
    </cfRule>
  </conditionalFormatting>
  <conditionalFormatting sqref="C2:D97">
    <cfRule type="cellIs" dxfId="62" priority="13" operator="equal">
      <formula>"Email"</formula>
    </cfRule>
    <cfRule type="cellIs" dxfId="61" priority="14" operator="equal">
      <formula>"Name"</formula>
    </cfRule>
  </conditionalFormatting>
  <conditionalFormatting sqref="F1:F97">
    <cfRule type="containsText" dxfId="60" priority="9" operator="containsText" text="yes">
      <formula>NOT(ISERROR(SEARCH("yes",F1)))</formula>
    </cfRule>
    <cfRule type="cellIs" dxfId="59" priority="12" operator="equal">
      <formula>"YES"</formula>
    </cfRule>
  </conditionalFormatting>
  <conditionalFormatting sqref="F2:F97">
    <cfRule type="cellIs" dxfId="58" priority="11" operator="equal">
      <formula>"Duplicate?"</formula>
    </cfRule>
  </conditionalFormatting>
  <dataValidations count="2">
    <dataValidation showDropDown="1" showInputMessage="1" showErrorMessage="1" sqref="G1" xr:uid="{601EDF65-8559-48B5-87E8-E489FEBB7B43}"/>
    <dataValidation type="custom" operator="greaterThan" allowBlank="1" showInputMessage="1" showErrorMessage="1" prompt="Enter a specific date or &quot;Indefinite&quot;" sqref="H1" xr:uid="{268AAF1D-2AA7-4E76-B55C-27126FFA6521}">
      <formula1>OR(ISNUMBER(#REF!), #REF!="Indefinite")</formula1>
    </dataValidation>
  </dataValidations>
  <hyperlinks>
    <hyperlink ref="D2" r:id="rId1" xr:uid="{09509FE8-2B3F-4DA1-91B8-4386AF9F2ABF}"/>
    <hyperlink ref="D16" r:id="rId2" xr:uid="{52258394-2CAF-464F-9039-CF211DE15784}"/>
    <hyperlink ref="D23" r:id="rId3" xr:uid="{72C1FD98-EF10-4DEB-BE6E-A1448D80A5F5}"/>
    <hyperlink ref="D26" r:id="rId4" xr:uid="{6980C938-9A90-46FA-BEC3-7126DD2FE052}"/>
    <hyperlink ref="D28" r:id="rId5" xr:uid="{14506B95-B9A8-4D73-88C3-19EE3AC66CAE}"/>
    <hyperlink ref="D31" r:id="rId6" xr:uid="{74D4ADAD-1247-4DAC-9330-5A0B4FAA11AB}"/>
    <hyperlink ref="D40" r:id="rId7" xr:uid="{D98FD0E8-F68B-4505-BC84-2A03E287D9FC}"/>
    <hyperlink ref="D47" r:id="rId8" xr:uid="{E51ABB59-31DC-4973-AC08-FD39807D053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390B73-DDB8-4188-82F9-2FD75DC11D4D}">
          <x14:formula1>
            <xm:f>Inventory!$B:$B</xm:f>
          </x14:formula1>
          <xm:sqref>E2:E13 E15:E97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2592-10F7-461E-B1E3-9AE519ECE7CC}">
  <sheetPr codeName="Sheet4"/>
  <dimension ref="A1:H2958"/>
  <sheetViews>
    <sheetView topLeftCell="A505" workbookViewId="0">
      <selection activeCell="A537" sqref="A537"/>
    </sheetView>
  </sheetViews>
  <sheetFormatPr defaultColWidth="8.85546875" defaultRowHeight="15"/>
  <cols>
    <col min="1" max="1" width="12" style="11" bestFit="1" customWidth="1"/>
    <col min="2" max="2" width="37.85546875" style="11" bestFit="1" customWidth="1"/>
    <col min="3" max="3" width="31.7109375" style="18" bestFit="1" customWidth="1"/>
  </cols>
  <sheetData>
    <row r="1" spans="1:3">
      <c r="A1" s="11">
        <v>922374775</v>
      </c>
      <c r="B1" s="11" t="s">
        <v>359</v>
      </c>
      <c r="C1" s="18" t="s">
        <v>360</v>
      </c>
    </row>
    <row r="2" spans="1:3">
      <c r="A2" s="19">
        <v>900000197</v>
      </c>
      <c r="B2" s="19" t="s">
        <v>361</v>
      </c>
      <c r="C2" s="17" t="s">
        <v>362</v>
      </c>
    </row>
    <row r="3" spans="1:3">
      <c r="A3" s="19">
        <v>900000249</v>
      </c>
      <c r="B3" s="19" t="s">
        <v>363</v>
      </c>
      <c r="C3" s="17" t="s">
        <v>364</v>
      </c>
    </row>
    <row r="4" spans="1:3">
      <c r="A4" s="19">
        <v>900000340</v>
      </c>
      <c r="B4" s="19" t="s">
        <v>365</v>
      </c>
      <c r="C4" s="17" t="s">
        <v>366</v>
      </c>
    </row>
    <row r="5" spans="1:3">
      <c r="A5" s="19">
        <v>900000431</v>
      </c>
      <c r="B5" s="19" t="s">
        <v>367</v>
      </c>
      <c r="C5" s="17" t="s">
        <v>368</v>
      </c>
    </row>
    <row r="6" spans="1:3">
      <c r="A6" s="19">
        <v>900000483</v>
      </c>
      <c r="B6" s="19" t="s">
        <v>369</v>
      </c>
      <c r="C6" s="17" t="s">
        <v>370</v>
      </c>
    </row>
    <row r="7" spans="1:3">
      <c r="A7" s="19">
        <v>900000574</v>
      </c>
      <c r="B7" s="19" t="s">
        <v>371</v>
      </c>
      <c r="C7" s="17" t="s">
        <v>372</v>
      </c>
    </row>
    <row r="8" spans="1:3">
      <c r="A8" s="19">
        <v>900000808</v>
      </c>
      <c r="B8" s="19" t="s">
        <v>373</v>
      </c>
      <c r="C8" s="17" t="s">
        <v>374</v>
      </c>
    </row>
    <row r="9" spans="1:3">
      <c r="A9" s="19">
        <v>900000821</v>
      </c>
      <c r="B9" s="19" t="s">
        <v>375</v>
      </c>
      <c r="C9" s="17" t="s">
        <v>376</v>
      </c>
    </row>
    <row r="10" spans="1:3">
      <c r="A10" s="19">
        <v>900000951</v>
      </c>
      <c r="B10" s="19" t="s">
        <v>377</v>
      </c>
      <c r="C10" s="17" t="s">
        <v>378</v>
      </c>
    </row>
    <row r="11" spans="1:3">
      <c r="A11" s="19">
        <v>900001003</v>
      </c>
      <c r="B11" s="19" t="s">
        <v>379</v>
      </c>
      <c r="C11" s="17" t="s">
        <v>380</v>
      </c>
    </row>
    <row r="12" spans="1:3">
      <c r="A12" s="19">
        <v>900001042</v>
      </c>
      <c r="B12" s="19" t="s">
        <v>381</v>
      </c>
      <c r="C12" s="17" t="s">
        <v>382</v>
      </c>
    </row>
    <row r="13" spans="1:3">
      <c r="A13" s="19">
        <v>900001172</v>
      </c>
      <c r="B13" s="19" t="s">
        <v>383</v>
      </c>
      <c r="C13" s="17" t="s">
        <v>384</v>
      </c>
    </row>
    <row r="14" spans="1:3">
      <c r="A14" s="19">
        <v>900001276</v>
      </c>
      <c r="B14" s="19" t="s">
        <v>385</v>
      </c>
      <c r="C14" s="17" t="s">
        <v>386</v>
      </c>
    </row>
    <row r="15" spans="1:3">
      <c r="A15" s="19">
        <v>900001406</v>
      </c>
      <c r="B15" s="19" t="s">
        <v>387</v>
      </c>
      <c r="C15" s="17" t="s">
        <v>388</v>
      </c>
    </row>
    <row r="16" spans="1:3">
      <c r="A16" s="19">
        <v>900001432</v>
      </c>
      <c r="B16" s="19" t="s">
        <v>389</v>
      </c>
      <c r="C16" s="17" t="s">
        <v>390</v>
      </c>
    </row>
    <row r="17" spans="1:3">
      <c r="A17" s="19">
        <v>900001458</v>
      </c>
      <c r="B17" s="19" t="s">
        <v>391</v>
      </c>
      <c r="C17" s="17" t="s">
        <v>392</v>
      </c>
    </row>
    <row r="18" spans="1:3">
      <c r="A18" s="19">
        <v>900001484</v>
      </c>
      <c r="B18" s="19" t="s">
        <v>393</v>
      </c>
      <c r="C18" s="17" t="s">
        <v>394</v>
      </c>
    </row>
    <row r="19" spans="1:3">
      <c r="A19" s="19">
        <v>900001523</v>
      </c>
      <c r="B19" s="19" t="s">
        <v>395</v>
      </c>
      <c r="C19" s="17" t="s">
        <v>396</v>
      </c>
    </row>
    <row r="20" spans="1:3">
      <c r="A20" s="19">
        <v>900001575</v>
      </c>
      <c r="B20" s="19" t="s">
        <v>397</v>
      </c>
      <c r="C20" s="17" t="s">
        <v>398</v>
      </c>
    </row>
    <row r="21" spans="1:3">
      <c r="A21" s="19">
        <v>900001614</v>
      </c>
      <c r="B21" s="19" t="s">
        <v>399</v>
      </c>
      <c r="C21" s="17" t="s">
        <v>400</v>
      </c>
    </row>
    <row r="22" spans="1:3">
      <c r="A22" s="19">
        <v>900001679</v>
      </c>
      <c r="B22" s="19" t="s">
        <v>401</v>
      </c>
      <c r="C22" s="17" t="s">
        <v>402</v>
      </c>
    </row>
    <row r="23" spans="1:3">
      <c r="A23" s="19">
        <v>900001770</v>
      </c>
      <c r="B23" s="19" t="s">
        <v>403</v>
      </c>
      <c r="C23" s="17" t="s">
        <v>404</v>
      </c>
    </row>
    <row r="24" spans="1:3">
      <c r="A24" s="19">
        <v>900002004</v>
      </c>
      <c r="B24" s="19" t="s">
        <v>405</v>
      </c>
      <c r="C24" s="17" t="s">
        <v>406</v>
      </c>
    </row>
    <row r="25" spans="1:3">
      <c r="A25" s="19">
        <v>900002121</v>
      </c>
      <c r="B25" s="19" t="s">
        <v>407</v>
      </c>
      <c r="C25" s="17" t="s">
        <v>408</v>
      </c>
    </row>
    <row r="26" spans="1:3">
      <c r="A26" s="19">
        <v>900002173</v>
      </c>
      <c r="B26" s="19" t="s">
        <v>409</v>
      </c>
      <c r="C26" s="17" t="s">
        <v>410</v>
      </c>
    </row>
    <row r="27" spans="1:3">
      <c r="A27" s="19">
        <v>900002433</v>
      </c>
      <c r="B27" s="19" t="s">
        <v>411</v>
      </c>
      <c r="C27" s="17" t="s">
        <v>412</v>
      </c>
    </row>
    <row r="28" spans="1:3">
      <c r="A28" s="19">
        <v>900002446</v>
      </c>
      <c r="B28" s="19" t="s">
        <v>413</v>
      </c>
      <c r="C28" s="17" t="s">
        <v>414</v>
      </c>
    </row>
    <row r="29" spans="1:3">
      <c r="A29" s="19">
        <v>900002654</v>
      </c>
      <c r="B29" s="19" t="s">
        <v>415</v>
      </c>
      <c r="C29" s="17" t="s">
        <v>416</v>
      </c>
    </row>
    <row r="30" spans="1:3">
      <c r="A30" s="19">
        <v>900002836</v>
      </c>
      <c r="B30" s="19" t="s">
        <v>417</v>
      </c>
      <c r="C30" s="17" t="s">
        <v>418</v>
      </c>
    </row>
    <row r="31" spans="1:3">
      <c r="A31" s="19">
        <v>900002875</v>
      </c>
      <c r="B31" s="19" t="s">
        <v>419</v>
      </c>
      <c r="C31" s="17" t="s">
        <v>420</v>
      </c>
    </row>
    <row r="32" spans="1:3">
      <c r="A32" s="19">
        <v>900003096</v>
      </c>
      <c r="B32" s="19" t="s">
        <v>421</v>
      </c>
      <c r="C32" s="17" t="s">
        <v>422</v>
      </c>
    </row>
    <row r="33" spans="1:3">
      <c r="A33" s="19">
        <v>900003109</v>
      </c>
      <c r="B33" s="19" t="s">
        <v>423</v>
      </c>
      <c r="C33" s="18" t="s">
        <v>424</v>
      </c>
    </row>
    <row r="34" spans="1:3">
      <c r="A34" s="19">
        <v>900003148</v>
      </c>
      <c r="B34" s="19" t="s">
        <v>425</v>
      </c>
      <c r="C34" s="17" t="s">
        <v>426</v>
      </c>
    </row>
    <row r="35" spans="1:3">
      <c r="A35" s="19">
        <v>900003187</v>
      </c>
      <c r="B35" s="19" t="s">
        <v>427</v>
      </c>
      <c r="C35" s="17" t="s">
        <v>428</v>
      </c>
    </row>
    <row r="36" spans="1:3">
      <c r="A36" s="19">
        <v>900003200</v>
      </c>
      <c r="B36" s="19" t="s">
        <v>429</v>
      </c>
      <c r="C36" s="17" t="s">
        <v>430</v>
      </c>
    </row>
    <row r="37" spans="1:3">
      <c r="A37" s="19">
        <v>900003304</v>
      </c>
      <c r="B37" s="19" t="s">
        <v>431</v>
      </c>
      <c r="C37" s="17" t="s">
        <v>432</v>
      </c>
    </row>
    <row r="38" spans="1:3">
      <c r="A38" s="19">
        <v>900003317</v>
      </c>
      <c r="B38" s="19" t="s">
        <v>433</v>
      </c>
      <c r="C38" s="17" t="s">
        <v>434</v>
      </c>
    </row>
    <row r="39" spans="1:3">
      <c r="A39" s="19">
        <v>900003343</v>
      </c>
      <c r="B39" s="19" t="s">
        <v>435</v>
      </c>
      <c r="C39" s="17" t="s">
        <v>436</v>
      </c>
    </row>
    <row r="40" spans="1:3">
      <c r="A40" s="19">
        <v>900003382</v>
      </c>
      <c r="B40" s="19" t="s">
        <v>437</v>
      </c>
      <c r="C40" s="17" t="s">
        <v>438</v>
      </c>
    </row>
    <row r="41" spans="1:3">
      <c r="A41" s="19">
        <v>900003421</v>
      </c>
      <c r="B41" s="19" t="s">
        <v>439</v>
      </c>
      <c r="C41" s="17" t="s">
        <v>440</v>
      </c>
    </row>
    <row r="42" spans="1:3">
      <c r="A42" s="19">
        <v>900003551</v>
      </c>
      <c r="B42" s="19" t="s">
        <v>441</v>
      </c>
      <c r="C42" s="17" t="s">
        <v>442</v>
      </c>
    </row>
    <row r="43" spans="1:3">
      <c r="A43" s="19">
        <v>900003590</v>
      </c>
      <c r="B43" s="19" t="s">
        <v>443</v>
      </c>
      <c r="C43" s="17" t="s">
        <v>444</v>
      </c>
    </row>
    <row r="44" spans="1:3">
      <c r="A44" s="19">
        <v>900003629</v>
      </c>
      <c r="B44" s="19" t="s">
        <v>445</v>
      </c>
      <c r="C44" s="17" t="s">
        <v>446</v>
      </c>
    </row>
    <row r="45" spans="1:3">
      <c r="A45" s="19">
        <v>900003720</v>
      </c>
      <c r="B45" s="19" t="s">
        <v>447</v>
      </c>
      <c r="C45" s="17" t="s">
        <v>448</v>
      </c>
    </row>
    <row r="46" spans="1:3">
      <c r="A46" s="19">
        <v>900003824</v>
      </c>
      <c r="B46" s="19" t="s">
        <v>449</v>
      </c>
      <c r="C46" s="17" t="s">
        <v>450</v>
      </c>
    </row>
    <row r="47" spans="1:3">
      <c r="A47" s="19">
        <v>900003837</v>
      </c>
      <c r="B47" s="19" t="s">
        <v>451</v>
      </c>
      <c r="C47" s="17" t="s">
        <v>452</v>
      </c>
    </row>
    <row r="48" spans="1:3">
      <c r="A48" s="19">
        <v>900003876</v>
      </c>
      <c r="B48" s="19" t="s">
        <v>453</v>
      </c>
      <c r="C48" s="17" t="s">
        <v>454</v>
      </c>
    </row>
    <row r="49" spans="1:3">
      <c r="A49" s="19">
        <v>900003889</v>
      </c>
      <c r="B49" s="19" t="s">
        <v>455</v>
      </c>
      <c r="C49" s="17" t="s">
        <v>456</v>
      </c>
    </row>
    <row r="50" spans="1:3">
      <c r="A50" s="19">
        <v>900003928</v>
      </c>
      <c r="B50" s="19" t="s">
        <v>457</v>
      </c>
      <c r="C50" s="17" t="s">
        <v>458</v>
      </c>
    </row>
    <row r="51" spans="1:3">
      <c r="A51" s="19">
        <v>900003993</v>
      </c>
      <c r="B51" s="19" t="s">
        <v>459</v>
      </c>
      <c r="C51" s="17" t="s">
        <v>460</v>
      </c>
    </row>
    <row r="52" spans="1:3">
      <c r="A52" s="19">
        <v>900004318</v>
      </c>
      <c r="B52" s="19" t="s">
        <v>461</v>
      </c>
      <c r="C52" s="17" t="s">
        <v>462</v>
      </c>
    </row>
    <row r="53" spans="1:3">
      <c r="A53" s="19">
        <v>900004500</v>
      </c>
      <c r="B53" s="19" t="s">
        <v>463</v>
      </c>
      <c r="C53" s="17" t="s">
        <v>464</v>
      </c>
    </row>
    <row r="54" spans="1:3">
      <c r="A54" s="19">
        <v>900004513</v>
      </c>
      <c r="B54" s="19" t="s">
        <v>465</v>
      </c>
      <c r="C54" s="17" t="s">
        <v>466</v>
      </c>
    </row>
    <row r="55" spans="1:3">
      <c r="A55" s="19">
        <v>900004526</v>
      </c>
      <c r="B55" s="19" t="s">
        <v>467</v>
      </c>
      <c r="C55" s="17" t="s">
        <v>468</v>
      </c>
    </row>
    <row r="56" spans="1:3">
      <c r="A56" s="19">
        <v>900004578</v>
      </c>
      <c r="B56" s="19" t="s">
        <v>469</v>
      </c>
      <c r="C56" s="17" t="s">
        <v>470</v>
      </c>
    </row>
    <row r="57" spans="1:3">
      <c r="A57" s="19">
        <v>900004630</v>
      </c>
      <c r="B57" s="19" t="s">
        <v>471</v>
      </c>
      <c r="C57" s="17" t="s">
        <v>472</v>
      </c>
    </row>
    <row r="58" spans="1:3">
      <c r="A58" s="19">
        <v>900004643</v>
      </c>
      <c r="B58" s="19" t="s">
        <v>473</v>
      </c>
      <c r="C58" s="17" t="s">
        <v>474</v>
      </c>
    </row>
    <row r="59" spans="1:3">
      <c r="A59" s="19">
        <v>900004669</v>
      </c>
      <c r="B59" s="19" t="s">
        <v>475</v>
      </c>
      <c r="C59" s="17" t="s">
        <v>476</v>
      </c>
    </row>
    <row r="60" spans="1:3">
      <c r="A60" s="19">
        <v>900004760</v>
      </c>
      <c r="B60" s="19" t="s">
        <v>477</v>
      </c>
      <c r="C60" s="17" t="s">
        <v>478</v>
      </c>
    </row>
    <row r="61" spans="1:3">
      <c r="A61" s="19">
        <v>900004812</v>
      </c>
      <c r="B61" s="19" t="s">
        <v>479</v>
      </c>
      <c r="C61" s="17" t="s">
        <v>480</v>
      </c>
    </row>
    <row r="62" spans="1:3">
      <c r="A62" s="19">
        <v>900004890</v>
      </c>
      <c r="B62" s="19" t="s">
        <v>481</v>
      </c>
      <c r="C62" s="17" t="s">
        <v>482</v>
      </c>
    </row>
    <row r="63" spans="1:3">
      <c r="A63" s="19">
        <v>900004942</v>
      </c>
      <c r="B63" s="19" t="s">
        <v>483</v>
      </c>
      <c r="C63" s="17" t="s">
        <v>484</v>
      </c>
    </row>
    <row r="64" spans="1:3">
      <c r="A64" s="19">
        <v>900004955</v>
      </c>
      <c r="B64" s="19" t="s">
        <v>485</v>
      </c>
      <c r="C64" s="17" t="s">
        <v>486</v>
      </c>
    </row>
    <row r="65" spans="1:3">
      <c r="A65" s="19">
        <v>900005176</v>
      </c>
      <c r="B65" s="19" t="s">
        <v>487</v>
      </c>
      <c r="C65" s="17" t="s">
        <v>488</v>
      </c>
    </row>
    <row r="66" spans="1:3">
      <c r="A66" s="19">
        <v>900005319</v>
      </c>
      <c r="B66" s="19" t="s">
        <v>489</v>
      </c>
      <c r="C66" s="17" t="s">
        <v>490</v>
      </c>
    </row>
    <row r="67" spans="1:3">
      <c r="A67" s="19">
        <v>900005410</v>
      </c>
      <c r="B67" s="19" t="s">
        <v>491</v>
      </c>
      <c r="C67" s="17" t="s">
        <v>492</v>
      </c>
    </row>
    <row r="68" spans="1:3">
      <c r="A68" s="19">
        <v>900005527</v>
      </c>
      <c r="B68" s="19" t="s">
        <v>493</v>
      </c>
      <c r="C68" s="17" t="s">
        <v>494</v>
      </c>
    </row>
    <row r="69" spans="1:3">
      <c r="A69" s="19">
        <v>900005709</v>
      </c>
      <c r="B69" s="19" t="s">
        <v>495</v>
      </c>
      <c r="C69" s="17" t="s">
        <v>496</v>
      </c>
    </row>
    <row r="70" spans="1:3">
      <c r="A70" s="19">
        <v>900005774</v>
      </c>
      <c r="B70" s="19" t="s">
        <v>497</v>
      </c>
      <c r="C70" s="17" t="s">
        <v>498</v>
      </c>
    </row>
    <row r="71" spans="1:3">
      <c r="A71" s="19">
        <v>900005904</v>
      </c>
      <c r="B71" s="19" t="s">
        <v>499</v>
      </c>
      <c r="C71" s="17" t="s">
        <v>500</v>
      </c>
    </row>
    <row r="72" spans="1:3">
      <c r="A72" s="19">
        <v>900005930</v>
      </c>
      <c r="B72" s="19" t="s">
        <v>501</v>
      </c>
      <c r="C72" s="17" t="s">
        <v>502</v>
      </c>
    </row>
    <row r="73" spans="1:3">
      <c r="A73" s="19">
        <v>900006034</v>
      </c>
      <c r="B73" s="19" t="s">
        <v>503</v>
      </c>
      <c r="C73" s="17" t="s">
        <v>504</v>
      </c>
    </row>
    <row r="74" spans="1:3">
      <c r="A74" s="19">
        <v>900006047</v>
      </c>
      <c r="B74" s="19" t="s">
        <v>505</v>
      </c>
      <c r="C74" s="17" t="s">
        <v>506</v>
      </c>
    </row>
    <row r="75" spans="1:3">
      <c r="A75" s="19">
        <v>900006099</v>
      </c>
      <c r="B75" s="19" t="s">
        <v>507</v>
      </c>
      <c r="C75" s="17" t="s">
        <v>508</v>
      </c>
    </row>
    <row r="76" spans="1:3">
      <c r="A76" s="19">
        <v>900006151</v>
      </c>
      <c r="B76" s="19" t="s">
        <v>509</v>
      </c>
      <c r="C76" s="17" t="s">
        <v>510</v>
      </c>
    </row>
    <row r="77" spans="1:3">
      <c r="A77" s="19">
        <v>900006359</v>
      </c>
      <c r="B77" s="19" t="s">
        <v>511</v>
      </c>
      <c r="C77" s="17" t="s">
        <v>512</v>
      </c>
    </row>
    <row r="78" spans="1:3">
      <c r="A78" s="19">
        <v>900006398</v>
      </c>
      <c r="B78" s="19" t="s">
        <v>513</v>
      </c>
      <c r="C78" s="17" t="s">
        <v>514</v>
      </c>
    </row>
    <row r="79" spans="1:3">
      <c r="A79" s="19">
        <v>900006424</v>
      </c>
      <c r="B79" s="19" t="s">
        <v>515</v>
      </c>
      <c r="C79" s="17" t="s">
        <v>516</v>
      </c>
    </row>
    <row r="80" spans="1:3">
      <c r="A80" s="19">
        <v>900006463</v>
      </c>
      <c r="B80" s="19" t="s">
        <v>517</v>
      </c>
      <c r="C80" s="17" t="s">
        <v>518</v>
      </c>
    </row>
    <row r="81" spans="1:3">
      <c r="A81" s="19">
        <v>900006567</v>
      </c>
      <c r="B81" s="19" t="s">
        <v>519</v>
      </c>
      <c r="C81" s="17" t="s">
        <v>520</v>
      </c>
    </row>
    <row r="82" spans="1:3">
      <c r="A82" s="19">
        <v>900006697</v>
      </c>
      <c r="B82" s="19" t="s">
        <v>521</v>
      </c>
      <c r="C82" s="17" t="s">
        <v>522</v>
      </c>
    </row>
    <row r="83" spans="1:3">
      <c r="A83" s="19">
        <v>900006710</v>
      </c>
      <c r="B83" s="19" t="s">
        <v>523</v>
      </c>
      <c r="C83" s="17" t="s">
        <v>524</v>
      </c>
    </row>
    <row r="84" spans="1:3">
      <c r="A84" s="19">
        <v>900006957</v>
      </c>
      <c r="B84" s="19" t="s">
        <v>525</v>
      </c>
      <c r="C84" s="17" t="s">
        <v>526</v>
      </c>
    </row>
    <row r="85" spans="1:3">
      <c r="A85" s="19">
        <v>900006996</v>
      </c>
      <c r="B85" s="19" t="s">
        <v>527</v>
      </c>
      <c r="C85" s="17" t="s">
        <v>528</v>
      </c>
    </row>
    <row r="86" spans="1:3">
      <c r="A86" s="19">
        <v>900007009</v>
      </c>
      <c r="B86" s="19" t="s">
        <v>529</v>
      </c>
      <c r="C86" s="17" t="s">
        <v>530</v>
      </c>
    </row>
    <row r="87" spans="1:3">
      <c r="A87" s="19">
        <v>900007022</v>
      </c>
      <c r="B87" s="19" t="s">
        <v>531</v>
      </c>
      <c r="C87" s="17" t="s">
        <v>532</v>
      </c>
    </row>
    <row r="88" spans="1:3">
      <c r="A88" s="19">
        <v>900007074</v>
      </c>
      <c r="B88" s="19" t="s">
        <v>533</v>
      </c>
      <c r="C88" s="17" t="s">
        <v>534</v>
      </c>
    </row>
    <row r="89" spans="1:3">
      <c r="A89" s="19">
        <v>900007139</v>
      </c>
      <c r="B89" s="19" t="s">
        <v>535</v>
      </c>
      <c r="C89" s="17" t="s">
        <v>536</v>
      </c>
    </row>
    <row r="90" spans="1:3">
      <c r="A90" s="19">
        <v>900007178</v>
      </c>
      <c r="B90" s="19" t="s">
        <v>537</v>
      </c>
      <c r="C90" s="17" t="s">
        <v>538</v>
      </c>
    </row>
    <row r="91" spans="1:3">
      <c r="A91" s="19">
        <v>900007217</v>
      </c>
      <c r="B91" s="19" t="s">
        <v>539</v>
      </c>
      <c r="C91" s="17" t="s">
        <v>540</v>
      </c>
    </row>
    <row r="92" spans="1:3">
      <c r="A92" s="19">
        <v>900007360</v>
      </c>
      <c r="B92" s="19" t="s">
        <v>541</v>
      </c>
      <c r="C92" s="17" t="s">
        <v>542</v>
      </c>
    </row>
    <row r="93" spans="1:3">
      <c r="A93" s="19">
        <v>900007373</v>
      </c>
      <c r="B93" s="19" t="s">
        <v>543</v>
      </c>
      <c r="C93" s="17" t="s">
        <v>544</v>
      </c>
    </row>
    <row r="94" spans="1:3">
      <c r="A94" s="19">
        <v>900007477</v>
      </c>
      <c r="B94" s="19" t="s">
        <v>545</v>
      </c>
      <c r="C94" s="17" t="s">
        <v>546</v>
      </c>
    </row>
    <row r="95" spans="1:3">
      <c r="A95" s="19">
        <v>900007490</v>
      </c>
      <c r="B95" s="19" t="s">
        <v>547</v>
      </c>
      <c r="C95" s="17" t="s">
        <v>548</v>
      </c>
    </row>
    <row r="96" spans="1:3">
      <c r="A96" s="19">
        <v>900007529</v>
      </c>
      <c r="B96" s="19" t="s">
        <v>549</v>
      </c>
      <c r="C96" s="17" t="s">
        <v>550</v>
      </c>
    </row>
    <row r="97" spans="1:3">
      <c r="A97" s="19">
        <v>900007633</v>
      </c>
      <c r="B97" s="19" t="s">
        <v>551</v>
      </c>
      <c r="C97" s="17" t="s">
        <v>552</v>
      </c>
    </row>
    <row r="98" spans="1:3">
      <c r="A98" s="19">
        <v>900008049</v>
      </c>
      <c r="B98" s="19" t="s">
        <v>553</v>
      </c>
      <c r="C98" s="17" t="s">
        <v>554</v>
      </c>
    </row>
    <row r="99" spans="1:3">
      <c r="A99" s="19">
        <v>900008127</v>
      </c>
      <c r="B99" s="19" t="s">
        <v>555</v>
      </c>
      <c r="C99" s="17" t="s">
        <v>556</v>
      </c>
    </row>
    <row r="100" spans="1:3">
      <c r="A100" s="19">
        <v>900008179</v>
      </c>
      <c r="B100" s="19" t="s">
        <v>557</v>
      </c>
      <c r="C100" s="17" t="s">
        <v>558</v>
      </c>
    </row>
    <row r="101" spans="1:3">
      <c r="A101" s="19">
        <v>900008257</v>
      </c>
      <c r="B101" s="19" t="s">
        <v>559</v>
      </c>
      <c r="C101" s="17" t="s">
        <v>560</v>
      </c>
    </row>
    <row r="102" spans="1:3">
      <c r="A102" s="19">
        <v>900008322</v>
      </c>
      <c r="B102" s="19" t="s">
        <v>561</v>
      </c>
      <c r="C102" s="17" t="s">
        <v>562</v>
      </c>
    </row>
    <row r="103" spans="1:3">
      <c r="A103" s="19">
        <v>900008335</v>
      </c>
      <c r="B103" s="19" t="s">
        <v>563</v>
      </c>
      <c r="C103" s="17" t="s">
        <v>564</v>
      </c>
    </row>
    <row r="104" spans="1:3">
      <c r="A104" s="19">
        <v>900008387</v>
      </c>
      <c r="B104" s="19" t="s">
        <v>565</v>
      </c>
      <c r="C104" s="17" t="s">
        <v>566</v>
      </c>
    </row>
    <row r="105" spans="1:3">
      <c r="A105" s="19">
        <v>900008426</v>
      </c>
      <c r="B105" s="19" t="s">
        <v>567</v>
      </c>
      <c r="C105" s="17" t="s">
        <v>568</v>
      </c>
    </row>
    <row r="106" spans="1:3">
      <c r="A106" s="19">
        <v>900008439</v>
      </c>
      <c r="B106" s="19" t="s">
        <v>569</v>
      </c>
      <c r="C106" s="17" t="s">
        <v>570</v>
      </c>
    </row>
    <row r="107" spans="1:3">
      <c r="A107" s="19">
        <v>900008452</v>
      </c>
      <c r="B107" s="19" t="s">
        <v>571</v>
      </c>
      <c r="C107" s="17" t="s">
        <v>572</v>
      </c>
    </row>
    <row r="108" spans="1:3">
      <c r="A108" s="19">
        <v>900008478</v>
      </c>
      <c r="B108" s="19" t="s">
        <v>573</v>
      </c>
      <c r="C108" s="17" t="s">
        <v>574</v>
      </c>
    </row>
    <row r="109" spans="1:3">
      <c r="A109" s="15">
        <v>900008491</v>
      </c>
      <c r="B109" s="1" t="s">
        <v>575</v>
      </c>
      <c r="C109" s="18" t="s">
        <v>576</v>
      </c>
    </row>
    <row r="110" spans="1:3">
      <c r="A110" s="19">
        <v>900008556</v>
      </c>
      <c r="B110" s="19" t="s">
        <v>577</v>
      </c>
      <c r="C110" s="17" t="s">
        <v>578</v>
      </c>
    </row>
    <row r="111" spans="1:3">
      <c r="A111" s="19">
        <v>900008582</v>
      </c>
      <c r="B111" s="19" t="s">
        <v>579</v>
      </c>
      <c r="C111" s="17" t="s">
        <v>580</v>
      </c>
    </row>
    <row r="112" spans="1:3">
      <c r="A112" s="19">
        <v>900008699</v>
      </c>
      <c r="B112" s="19" t="s">
        <v>581</v>
      </c>
      <c r="C112" s="17" t="s">
        <v>582</v>
      </c>
    </row>
    <row r="113" spans="1:3">
      <c r="A113" s="19">
        <v>900008712</v>
      </c>
      <c r="B113" s="19" t="s">
        <v>583</v>
      </c>
      <c r="C113" s="17" t="s">
        <v>584</v>
      </c>
    </row>
    <row r="114" spans="1:3">
      <c r="A114" s="19">
        <v>900008868</v>
      </c>
      <c r="B114" s="19" t="s">
        <v>585</v>
      </c>
      <c r="C114" s="17" t="s">
        <v>586</v>
      </c>
    </row>
    <row r="115" spans="1:3">
      <c r="A115" s="19">
        <v>900008933</v>
      </c>
      <c r="B115" s="19" t="s">
        <v>587</v>
      </c>
      <c r="C115" s="17" t="s">
        <v>588</v>
      </c>
    </row>
    <row r="116" spans="1:3">
      <c r="A116" s="19">
        <v>900009024</v>
      </c>
      <c r="B116" s="19" t="s">
        <v>589</v>
      </c>
      <c r="C116" s="17" t="s">
        <v>590</v>
      </c>
    </row>
    <row r="117" spans="1:3">
      <c r="A117" s="19">
        <v>900009063</v>
      </c>
      <c r="B117" s="19" t="s">
        <v>591</v>
      </c>
      <c r="C117" s="17" t="s">
        <v>592</v>
      </c>
    </row>
    <row r="118" spans="1:3">
      <c r="A118" s="19">
        <v>900009115</v>
      </c>
      <c r="B118" s="19" t="s">
        <v>593</v>
      </c>
      <c r="C118" s="17" t="s">
        <v>594</v>
      </c>
    </row>
    <row r="119" spans="1:3">
      <c r="A119" s="19">
        <v>900009128</v>
      </c>
      <c r="B119" s="19" t="s">
        <v>595</v>
      </c>
      <c r="C119" s="17" t="s">
        <v>596</v>
      </c>
    </row>
    <row r="120" spans="1:3">
      <c r="A120" s="19">
        <v>900009206</v>
      </c>
      <c r="B120" s="19" t="s">
        <v>597</v>
      </c>
      <c r="C120" s="17" t="s">
        <v>598</v>
      </c>
    </row>
    <row r="121" spans="1:3">
      <c r="A121" s="19">
        <v>900009323</v>
      </c>
      <c r="B121" s="19" t="s">
        <v>599</v>
      </c>
      <c r="C121" s="17" t="s">
        <v>600</v>
      </c>
    </row>
    <row r="122" spans="1:3">
      <c r="A122" s="19">
        <v>900009362</v>
      </c>
      <c r="B122" s="19" t="s">
        <v>601</v>
      </c>
      <c r="C122" s="17" t="s">
        <v>602</v>
      </c>
    </row>
    <row r="123" spans="1:3">
      <c r="A123" s="19">
        <v>900009414</v>
      </c>
      <c r="B123" s="19" t="s">
        <v>603</v>
      </c>
      <c r="C123" s="17" t="s">
        <v>604</v>
      </c>
    </row>
    <row r="124" spans="1:3">
      <c r="A124" s="19">
        <v>900009661</v>
      </c>
      <c r="B124" s="19" t="s">
        <v>605</v>
      </c>
      <c r="C124" s="17" t="s">
        <v>606</v>
      </c>
    </row>
    <row r="125" spans="1:3">
      <c r="A125" s="19">
        <v>900009687</v>
      </c>
      <c r="B125" s="19" t="s">
        <v>607</v>
      </c>
      <c r="C125" s="17" t="s">
        <v>608</v>
      </c>
    </row>
    <row r="126" spans="1:3">
      <c r="A126" s="19">
        <v>900009713</v>
      </c>
      <c r="B126" s="19" t="s">
        <v>609</v>
      </c>
      <c r="C126" s="17" t="s">
        <v>610</v>
      </c>
    </row>
    <row r="127" spans="1:3">
      <c r="A127" s="19">
        <v>900010142</v>
      </c>
      <c r="B127" s="19" t="s">
        <v>611</v>
      </c>
      <c r="C127" s="17" t="s">
        <v>612</v>
      </c>
    </row>
    <row r="128" spans="1:3">
      <c r="A128" s="19">
        <v>900010168</v>
      </c>
      <c r="B128" s="19" t="s">
        <v>613</v>
      </c>
      <c r="C128" s="17" t="s">
        <v>614</v>
      </c>
    </row>
    <row r="129" spans="1:3">
      <c r="A129" s="19">
        <v>900010220</v>
      </c>
      <c r="B129" s="19" t="s">
        <v>615</v>
      </c>
      <c r="C129" s="17" t="s">
        <v>616</v>
      </c>
    </row>
    <row r="130" spans="1:3">
      <c r="A130" s="19">
        <v>900010415</v>
      </c>
      <c r="B130" s="19" t="s">
        <v>617</v>
      </c>
      <c r="C130" s="17" t="s">
        <v>618</v>
      </c>
    </row>
    <row r="131" spans="1:3">
      <c r="A131" s="19">
        <v>900010441</v>
      </c>
      <c r="B131" s="19" t="s">
        <v>619</v>
      </c>
      <c r="C131" s="17" t="s">
        <v>620</v>
      </c>
    </row>
    <row r="132" spans="1:3">
      <c r="A132" s="19">
        <v>900010532</v>
      </c>
      <c r="B132" s="19" t="s">
        <v>621</v>
      </c>
      <c r="C132" s="17" t="s">
        <v>622</v>
      </c>
    </row>
    <row r="133" spans="1:3">
      <c r="A133" s="19">
        <v>900010909</v>
      </c>
      <c r="B133" s="19" t="s">
        <v>623</v>
      </c>
      <c r="C133" s="17" t="s">
        <v>624</v>
      </c>
    </row>
    <row r="134" spans="1:3">
      <c r="A134" s="19">
        <v>900010948</v>
      </c>
      <c r="B134" s="19" t="s">
        <v>625</v>
      </c>
      <c r="C134" s="17" t="s">
        <v>626</v>
      </c>
    </row>
    <row r="135" spans="1:3">
      <c r="A135" s="19">
        <v>900010987</v>
      </c>
      <c r="B135" s="19" t="s">
        <v>627</v>
      </c>
      <c r="C135" s="17" t="s">
        <v>628</v>
      </c>
    </row>
    <row r="136" spans="1:3">
      <c r="A136" s="19">
        <v>900011039</v>
      </c>
      <c r="B136" s="19" t="s">
        <v>629</v>
      </c>
      <c r="C136" s="17" t="s">
        <v>630</v>
      </c>
    </row>
    <row r="137" spans="1:3">
      <c r="A137" s="19">
        <v>900011065</v>
      </c>
      <c r="B137" s="19" t="s">
        <v>631</v>
      </c>
      <c r="C137" s="17" t="s">
        <v>632</v>
      </c>
    </row>
    <row r="138" spans="1:3">
      <c r="A138" s="19">
        <v>900011130</v>
      </c>
      <c r="B138" s="19" t="s">
        <v>633</v>
      </c>
      <c r="C138" s="17" t="s">
        <v>634</v>
      </c>
    </row>
    <row r="139" spans="1:3">
      <c r="A139" s="19">
        <v>900011208</v>
      </c>
      <c r="B139" s="19" t="s">
        <v>635</v>
      </c>
      <c r="C139" s="17" t="s">
        <v>636</v>
      </c>
    </row>
    <row r="140" spans="1:3">
      <c r="A140" s="19">
        <v>900011273</v>
      </c>
      <c r="B140" s="19" t="s">
        <v>637</v>
      </c>
      <c r="C140" s="17" t="s">
        <v>638</v>
      </c>
    </row>
    <row r="141" spans="1:3">
      <c r="A141" s="19">
        <v>900011403</v>
      </c>
      <c r="B141" s="19" t="s">
        <v>639</v>
      </c>
      <c r="C141" s="17" t="s">
        <v>640</v>
      </c>
    </row>
    <row r="142" spans="1:3">
      <c r="A142" s="19">
        <v>900011533</v>
      </c>
      <c r="B142" s="19" t="s">
        <v>641</v>
      </c>
      <c r="C142" s="17" t="s">
        <v>642</v>
      </c>
    </row>
    <row r="143" spans="1:3">
      <c r="A143" s="19">
        <v>900011585</v>
      </c>
      <c r="B143" s="19" t="s">
        <v>643</v>
      </c>
      <c r="C143" s="17" t="s">
        <v>644</v>
      </c>
    </row>
    <row r="144" spans="1:3">
      <c r="A144" s="19">
        <v>900011598</v>
      </c>
      <c r="B144" s="19" t="s">
        <v>645</v>
      </c>
      <c r="C144" s="17" t="s">
        <v>646</v>
      </c>
    </row>
    <row r="145" spans="1:3">
      <c r="A145" s="19">
        <v>900011715</v>
      </c>
      <c r="B145" s="19" t="s">
        <v>647</v>
      </c>
      <c r="C145" s="17" t="s">
        <v>648</v>
      </c>
    </row>
    <row r="146" spans="1:3">
      <c r="A146" s="19">
        <v>900011793</v>
      </c>
      <c r="B146" s="19" t="s">
        <v>649</v>
      </c>
      <c r="C146" s="17" t="s">
        <v>650</v>
      </c>
    </row>
    <row r="147" spans="1:3">
      <c r="A147" s="19">
        <v>900011806</v>
      </c>
      <c r="B147" s="19" t="s">
        <v>651</v>
      </c>
      <c r="C147" s="17" t="s">
        <v>652</v>
      </c>
    </row>
    <row r="148" spans="1:3">
      <c r="A148" s="19">
        <v>900011845</v>
      </c>
      <c r="B148" s="19" t="s">
        <v>653</v>
      </c>
      <c r="C148" s="17" t="s">
        <v>654</v>
      </c>
    </row>
    <row r="149" spans="1:3">
      <c r="A149" s="19">
        <v>900011897</v>
      </c>
      <c r="B149" s="19" t="s">
        <v>655</v>
      </c>
      <c r="C149" s="17" t="s">
        <v>656</v>
      </c>
    </row>
    <row r="150" spans="1:3">
      <c r="A150" s="19">
        <v>900011936</v>
      </c>
      <c r="B150" s="19" t="s">
        <v>657</v>
      </c>
      <c r="C150" s="17" t="s">
        <v>658</v>
      </c>
    </row>
    <row r="151" spans="1:3">
      <c r="A151" s="19">
        <v>900011962</v>
      </c>
      <c r="B151" s="19" t="s">
        <v>659</v>
      </c>
      <c r="C151" s="17" t="s">
        <v>660</v>
      </c>
    </row>
    <row r="152" spans="1:3">
      <c r="A152" s="19">
        <v>900012001</v>
      </c>
      <c r="B152" s="19" t="s">
        <v>661</v>
      </c>
      <c r="C152" s="17" t="s">
        <v>662</v>
      </c>
    </row>
    <row r="153" spans="1:3">
      <c r="A153" s="19">
        <v>900012040</v>
      </c>
      <c r="B153" s="19" t="s">
        <v>663</v>
      </c>
      <c r="C153" s="17" t="s">
        <v>664</v>
      </c>
    </row>
    <row r="154" spans="1:3">
      <c r="A154" s="19">
        <v>900012131</v>
      </c>
      <c r="B154" s="19" t="s">
        <v>665</v>
      </c>
      <c r="C154" s="17" t="s">
        <v>666</v>
      </c>
    </row>
    <row r="155" spans="1:3">
      <c r="A155" s="19">
        <v>900012352</v>
      </c>
      <c r="B155" s="19" t="s">
        <v>667</v>
      </c>
      <c r="C155" s="17" t="s">
        <v>668</v>
      </c>
    </row>
    <row r="156" spans="1:3">
      <c r="A156" s="19">
        <v>900012495</v>
      </c>
      <c r="B156" s="19" t="s">
        <v>669</v>
      </c>
      <c r="C156" s="17" t="s">
        <v>670</v>
      </c>
    </row>
    <row r="157" spans="1:3">
      <c r="A157" s="19">
        <v>900012612</v>
      </c>
      <c r="B157" s="19" t="s">
        <v>671</v>
      </c>
      <c r="C157" s="17" t="s">
        <v>672</v>
      </c>
    </row>
    <row r="158" spans="1:3">
      <c r="A158" s="19">
        <v>900012690</v>
      </c>
      <c r="B158" s="19" t="s">
        <v>673</v>
      </c>
      <c r="C158" s="17" t="s">
        <v>674</v>
      </c>
    </row>
    <row r="159" spans="1:3">
      <c r="A159" s="19">
        <v>900012755</v>
      </c>
      <c r="B159" s="19" t="s">
        <v>675</v>
      </c>
      <c r="C159" s="17" t="s">
        <v>676</v>
      </c>
    </row>
    <row r="160" spans="1:3">
      <c r="A160" s="19">
        <v>900012768</v>
      </c>
      <c r="B160" s="19" t="s">
        <v>677</v>
      </c>
      <c r="C160" s="17" t="s">
        <v>678</v>
      </c>
    </row>
    <row r="161" spans="1:3">
      <c r="A161" s="19">
        <v>900012885</v>
      </c>
      <c r="B161" s="19" t="s">
        <v>679</v>
      </c>
      <c r="C161" s="17" t="s">
        <v>680</v>
      </c>
    </row>
    <row r="162" spans="1:3">
      <c r="A162" s="19">
        <v>900012911</v>
      </c>
      <c r="B162" s="19" t="s">
        <v>681</v>
      </c>
      <c r="C162" s="17" t="s">
        <v>682</v>
      </c>
    </row>
    <row r="163" spans="1:3">
      <c r="A163" s="19">
        <v>900012924</v>
      </c>
      <c r="B163" s="19" t="s">
        <v>683</v>
      </c>
      <c r="C163" s="17" t="s">
        <v>684</v>
      </c>
    </row>
    <row r="164" spans="1:3">
      <c r="A164" s="19">
        <v>900012937</v>
      </c>
      <c r="B164" s="19" t="s">
        <v>685</v>
      </c>
      <c r="C164" s="17" t="s">
        <v>686</v>
      </c>
    </row>
    <row r="165" spans="1:3">
      <c r="A165" s="19">
        <v>900013041</v>
      </c>
      <c r="B165" s="19" t="s">
        <v>687</v>
      </c>
      <c r="C165" s="17" t="s">
        <v>688</v>
      </c>
    </row>
    <row r="166" spans="1:3">
      <c r="A166" s="19">
        <v>900013171</v>
      </c>
      <c r="B166" s="19" t="s">
        <v>689</v>
      </c>
      <c r="C166" s="17" t="s">
        <v>690</v>
      </c>
    </row>
    <row r="167" spans="1:3">
      <c r="A167" s="19">
        <v>900013184</v>
      </c>
      <c r="B167" s="19" t="s">
        <v>691</v>
      </c>
      <c r="C167" s="17" t="s">
        <v>692</v>
      </c>
    </row>
    <row r="168" spans="1:3">
      <c r="A168" s="19">
        <v>900013223</v>
      </c>
      <c r="B168" s="19" t="s">
        <v>693</v>
      </c>
      <c r="C168" s="17" t="s">
        <v>694</v>
      </c>
    </row>
    <row r="169" spans="1:3">
      <c r="A169" s="19">
        <v>900013379</v>
      </c>
      <c r="B169" s="19" t="s">
        <v>695</v>
      </c>
      <c r="C169" s="17" t="s">
        <v>696</v>
      </c>
    </row>
    <row r="170" spans="1:3">
      <c r="A170" s="19">
        <v>900013457</v>
      </c>
      <c r="B170" s="19" t="s">
        <v>697</v>
      </c>
      <c r="C170" s="17" t="s">
        <v>698</v>
      </c>
    </row>
    <row r="171" spans="1:3">
      <c r="A171" s="19">
        <v>900013509</v>
      </c>
      <c r="B171" s="19" t="s">
        <v>699</v>
      </c>
      <c r="C171" s="17" t="s">
        <v>700</v>
      </c>
    </row>
    <row r="172" spans="1:3">
      <c r="A172" s="19">
        <v>900013522</v>
      </c>
      <c r="B172" s="19" t="s">
        <v>701</v>
      </c>
      <c r="C172" s="17" t="s">
        <v>702</v>
      </c>
    </row>
    <row r="173" spans="1:3">
      <c r="A173" s="19">
        <v>900013652</v>
      </c>
      <c r="B173" s="19" t="s">
        <v>703</v>
      </c>
      <c r="C173" s="17" t="s">
        <v>704</v>
      </c>
    </row>
    <row r="174" spans="1:3">
      <c r="A174" s="19">
        <v>900014055</v>
      </c>
      <c r="B174" s="19" t="s">
        <v>705</v>
      </c>
      <c r="C174" s="17" t="s">
        <v>706</v>
      </c>
    </row>
    <row r="175" spans="1:3">
      <c r="A175" s="19">
        <v>900014094</v>
      </c>
      <c r="B175" s="19" t="s">
        <v>707</v>
      </c>
      <c r="C175" s="17" t="s">
        <v>708</v>
      </c>
    </row>
    <row r="176" spans="1:3">
      <c r="A176" s="19">
        <v>900014133</v>
      </c>
      <c r="B176" s="19" t="s">
        <v>709</v>
      </c>
      <c r="C176" s="17" t="s">
        <v>710</v>
      </c>
    </row>
    <row r="177" spans="1:3">
      <c r="A177" s="19">
        <v>900014159</v>
      </c>
      <c r="B177" s="19" t="s">
        <v>711</v>
      </c>
      <c r="C177" s="17" t="s">
        <v>712</v>
      </c>
    </row>
    <row r="178" spans="1:3">
      <c r="A178" s="19">
        <v>900014341</v>
      </c>
      <c r="B178" s="19" t="s">
        <v>713</v>
      </c>
      <c r="C178" s="17" t="s">
        <v>714</v>
      </c>
    </row>
    <row r="179" spans="1:3">
      <c r="A179" s="19">
        <v>900014445</v>
      </c>
      <c r="B179" s="19" t="s">
        <v>715</v>
      </c>
      <c r="C179" s="17" t="s">
        <v>716</v>
      </c>
    </row>
    <row r="180" spans="1:3">
      <c r="A180" s="19">
        <v>900014523</v>
      </c>
      <c r="B180" s="19" t="s">
        <v>717</v>
      </c>
      <c r="C180" s="17" t="s">
        <v>718</v>
      </c>
    </row>
    <row r="181" spans="1:3">
      <c r="A181" s="19">
        <v>900014679</v>
      </c>
      <c r="B181" s="19" t="s">
        <v>719</v>
      </c>
      <c r="C181" s="17" t="s">
        <v>720</v>
      </c>
    </row>
    <row r="182" spans="1:3">
      <c r="A182" s="15">
        <v>900014679</v>
      </c>
      <c r="B182" s="16" t="s">
        <v>721</v>
      </c>
      <c r="C182" s="18" t="s">
        <v>720</v>
      </c>
    </row>
    <row r="183" spans="1:3">
      <c r="A183" s="19">
        <v>900014718</v>
      </c>
      <c r="B183" s="19" t="s">
        <v>722</v>
      </c>
      <c r="C183" s="17" t="s">
        <v>723</v>
      </c>
    </row>
    <row r="184" spans="1:3">
      <c r="A184" s="19">
        <v>900014783</v>
      </c>
      <c r="B184" s="19" t="s">
        <v>724</v>
      </c>
      <c r="C184" s="17" t="s">
        <v>725</v>
      </c>
    </row>
    <row r="185" spans="1:3">
      <c r="A185" s="19">
        <v>900014939</v>
      </c>
      <c r="B185" s="19" t="s">
        <v>726</v>
      </c>
      <c r="C185" s="17" t="s">
        <v>727</v>
      </c>
    </row>
    <row r="186" spans="1:3">
      <c r="A186" s="19">
        <v>900015056</v>
      </c>
      <c r="B186" s="19" t="s">
        <v>728</v>
      </c>
      <c r="C186" s="17" t="s">
        <v>729</v>
      </c>
    </row>
    <row r="187" spans="1:3">
      <c r="A187" s="19">
        <v>900015082</v>
      </c>
      <c r="B187" s="19" t="s">
        <v>730</v>
      </c>
      <c r="C187" s="17" t="s">
        <v>731</v>
      </c>
    </row>
    <row r="188" spans="1:3">
      <c r="A188" s="19">
        <v>900015108</v>
      </c>
      <c r="B188" s="19" t="s">
        <v>732</v>
      </c>
      <c r="C188" s="17" t="s">
        <v>733</v>
      </c>
    </row>
    <row r="189" spans="1:3">
      <c r="A189" s="19">
        <v>900015160</v>
      </c>
      <c r="B189" s="19" t="s">
        <v>734</v>
      </c>
      <c r="C189" s="17" t="s">
        <v>735</v>
      </c>
    </row>
    <row r="190" spans="1:3">
      <c r="A190" s="19">
        <v>900015173</v>
      </c>
      <c r="B190" s="19" t="s">
        <v>736</v>
      </c>
      <c r="C190" s="17" t="s">
        <v>737</v>
      </c>
    </row>
    <row r="191" spans="1:3">
      <c r="A191" s="19">
        <v>900015212</v>
      </c>
      <c r="B191" s="19" t="s">
        <v>738</v>
      </c>
      <c r="C191" s="17" t="s">
        <v>739</v>
      </c>
    </row>
    <row r="192" spans="1:3">
      <c r="A192" s="19">
        <v>900015433</v>
      </c>
      <c r="B192" s="19" t="s">
        <v>740</v>
      </c>
      <c r="C192" s="17" t="s">
        <v>741</v>
      </c>
    </row>
    <row r="193" spans="1:3">
      <c r="A193" s="19">
        <v>900015485</v>
      </c>
      <c r="B193" s="19" t="s">
        <v>742</v>
      </c>
      <c r="C193" s="17" t="s">
        <v>743</v>
      </c>
    </row>
    <row r="194" spans="1:3">
      <c r="A194" s="19">
        <v>900015498</v>
      </c>
      <c r="B194" s="19" t="s">
        <v>744</v>
      </c>
      <c r="C194" s="17" t="s">
        <v>745</v>
      </c>
    </row>
    <row r="195" spans="1:3">
      <c r="A195" s="19">
        <v>900015524</v>
      </c>
      <c r="B195" s="19" t="s">
        <v>746</v>
      </c>
      <c r="C195" s="17" t="s">
        <v>747</v>
      </c>
    </row>
    <row r="196" spans="1:3">
      <c r="A196" s="19">
        <v>900015602</v>
      </c>
      <c r="B196" s="19" t="s">
        <v>748</v>
      </c>
      <c r="C196" s="17" t="s">
        <v>749</v>
      </c>
    </row>
    <row r="197" spans="1:3">
      <c r="A197" s="19">
        <v>900015823</v>
      </c>
      <c r="B197" s="19" t="s">
        <v>750</v>
      </c>
      <c r="C197" s="17" t="s">
        <v>751</v>
      </c>
    </row>
    <row r="198" spans="1:3">
      <c r="A198" s="19">
        <v>900015836</v>
      </c>
      <c r="B198" s="19" t="s">
        <v>752</v>
      </c>
      <c r="C198" s="17" t="s">
        <v>753</v>
      </c>
    </row>
    <row r="199" spans="1:3">
      <c r="A199" s="19">
        <v>900016031</v>
      </c>
      <c r="B199" s="19" t="s">
        <v>754</v>
      </c>
      <c r="C199" s="17" t="s">
        <v>755</v>
      </c>
    </row>
    <row r="200" spans="1:3">
      <c r="A200" s="19">
        <v>900016174</v>
      </c>
      <c r="B200" s="19" t="s">
        <v>756</v>
      </c>
      <c r="C200" s="17" t="s">
        <v>757</v>
      </c>
    </row>
    <row r="201" spans="1:3">
      <c r="A201" s="19">
        <v>900016265</v>
      </c>
      <c r="B201" s="19" t="s">
        <v>758</v>
      </c>
      <c r="C201" s="17" t="s">
        <v>759</v>
      </c>
    </row>
    <row r="202" spans="1:3">
      <c r="A202" s="19">
        <v>900016317</v>
      </c>
      <c r="B202" s="19" t="s">
        <v>760</v>
      </c>
      <c r="C202" s="17" t="s">
        <v>761</v>
      </c>
    </row>
    <row r="203" spans="1:3">
      <c r="A203" s="15">
        <v>900016486</v>
      </c>
      <c r="B203" s="1" t="s">
        <v>762</v>
      </c>
      <c r="C203" s="21" t="s">
        <v>763</v>
      </c>
    </row>
    <row r="204" spans="1:3">
      <c r="A204" s="19">
        <v>900016499</v>
      </c>
      <c r="B204" s="19" t="s">
        <v>764</v>
      </c>
      <c r="C204" s="17" t="s">
        <v>765</v>
      </c>
    </row>
    <row r="205" spans="1:3">
      <c r="A205" s="19">
        <v>900016551</v>
      </c>
      <c r="B205" s="19" t="s">
        <v>766</v>
      </c>
      <c r="C205" s="17" t="s">
        <v>767</v>
      </c>
    </row>
    <row r="206" spans="1:3">
      <c r="A206" s="19">
        <v>900016707</v>
      </c>
      <c r="B206" s="19" t="s">
        <v>768</v>
      </c>
      <c r="C206" s="17" t="s">
        <v>769</v>
      </c>
    </row>
    <row r="207" spans="1:3">
      <c r="A207" s="19">
        <v>900016746</v>
      </c>
      <c r="B207" s="19" t="s">
        <v>770</v>
      </c>
      <c r="C207" s="17" t="s">
        <v>771</v>
      </c>
    </row>
    <row r="208" spans="1:3">
      <c r="A208" s="19">
        <v>900016772</v>
      </c>
      <c r="B208" s="19" t="s">
        <v>772</v>
      </c>
      <c r="C208" s="17" t="s">
        <v>773</v>
      </c>
    </row>
    <row r="209" spans="1:3">
      <c r="A209" s="19">
        <v>900016837</v>
      </c>
      <c r="B209" s="19" t="s">
        <v>774</v>
      </c>
      <c r="C209" s="17" t="s">
        <v>775</v>
      </c>
    </row>
    <row r="210" spans="1:3">
      <c r="A210" s="19">
        <v>900016915</v>
      </c>
      <c r="B210" s="19" t="s">
        <v>776</v>
      </c>
      <c r="C210" s="17" t="s">
        <v>777</v>
      </c>
    </row>
    <row r="211" spans="1:3">
      <c r="A211" s="19">
        <v>900016928</v>
      </c>
      <c r="B211" s="19" t="s">
        <v>778</v>
      </c>
      <c r="C211" s="17" t="s">
        <v>779</v>
      </c>
    </row>
    <row r="212" spans="1:3">
      <c r="A212" s="19">
        <v>900016967</v>
      </c>
      <c r="B212" s="19" t="s">
        <v>780</v>
      </c>
      <c r="C212" s="17" t="s">
        <v>781</v>
      </c>
    </row>
    <row r="213" spans="1:3">
      <c r="A213" s="19">
        <v>900017110</v>
      </c>
      <c r="B213" s="19" t="s">
        <v>782</v>
      </c>
      <c r="C213" s="17" t="s">
        <v>783</v>
      </c>
    </row>
    <row r="214" spans="1:3">
      <c r="A214" s="19">
        <v>900017149</v>
      </c>
      <c r="B214" s="19" t="s">
        <v>784</v>
      </c>
      <c r="C214" s="17" t="s">
        <v>785</v>
      </c>
    </row>
    <row r="215" spans="1:3">
      <c r="A215" s="19">
        <v>900017305</v>
      </c>
      <c r="B215" s="19" t="s">
        <v>786</v>
      </c>
      <c r="C215" s="17" t="s">
        <v>787</v>
      </c>
    </row>
    <row r="216" spans="1:3">
      <c r="A216" s="19">
        <v>900017409</v>
      </c>
      <c r="B216" s="19" t="s">
        <v>788</v>
      </c>
      <c r="C216" s="17" t="s">
        <v>789</v>
      </c>
    </row>
    <row r="217" spans="1:3">
      <c r="A217" s="19">
        <v>900017448</v>
      </c>
      <c r="B217" s="19" t="s">
        <v>790</v>
      </c>
      <c r="C217" s="17" t="s">
        <v>791</v>
      </c>
    </row>
    <row r="218" spans="1:3">
      <c r="A218" s="19">
        <v>900017656</v>
      </c>
      <c r="B218" s="19" t="s">
        <v>792</v>
      </c>
      <c r="C218" s="17" t="s">
        <v>793</v>
      </c>
    </row>
    <row r="219" spans="1:3">
      <c r="A219" s="19">
        <v>900017747</v>
      </c>
      <c r="B219" s="19" t="s">
        <v>794</v>
      </c>
      <c r="C219" s="17" t="s">
        <v>795</v>
      </c>
    </row>
    <row r="220" spans="1:3">
      <c r="A220" s="19">
        <v>900017838</v>
      </c>
      <c r="B220" s="19" t="s">
        <v>796</v>
      </c>
      <c r="C220" s="17" t="s">
        <v>797</v>
      </c>
    </row>
    <row r="221" spans="1:3">
      <c r="A221" s="19">
        <v>900017916</v>
      </c>
      <c r="B221" s="19" t="s">
        <v>798</v>
      </c>
      <c r="C221" s="17" t="s">
        <v>799</v>
      </c>
    </row>
    <row r="222" spans="1:3">
      <c r="A222" s="19">
        <v>900017994</v>
      </c>
      <c r="B222" s="19" t="s">
        <v>800</v>
      </c>
      <c r="C222" s="17" t="s">
        <v>801</v>
      </c>
    </row>
    <row r="223" spans="1:3">
      <c r="A223" s="19">
        <v>900018007</v>
      </c>
      <c r="B223" s="19" t="s">
        <v>802</v>
      </c>
      <c r="C223" s="17" t="s">
        <v>803</v>
      </c>
    </row>
    <row r="224" spans="1:3">
      <c r="A224" s="19">
        <v>900018033</v>
      </c>
      <c r="B224" s="19" t="s">
        <v>804</v>
      </c>
      <c r="C224" s="17" t="s">
        <v>805</v>
      </c>
    </row>
    <row r="225" spans="1:3">
      <c r="A225" s="19">
        <v>900018046</v>
      </c>
      <c r="B225" s="19" t="s">
        <v>806</v>
      </c>
      <c r="C225" s="17" t="s">
        <v>807</v>
      </c>
    </row>
    <row r="226" spans="1:3">
      <c r="A226" s="19">
        <v>900018150</v>
      </c>
      <c r="B226" s="19" t="s">
        <v>808</v>
      </c>
      <c r="C226" s="17" t="s">
        <v>809</v>
      </c>
    </row>
    <row r="227" spans="1:3">
      <c r="A227" s="19">
        <v>900018215</v>
      </c>
      <c r="B227" s="19" t="s">
        <v>810</v>
      </c>
      <c r="C227" s="17" t="s">
        <v>811</v>
      </c>
    </row>
    <row r="228" spans="1:3">
      <c r="A228" s="19">
        <v>900018228</v>
      </c>
      <c r="B228" s="19" t="s">
        <v>812</v>
      </c>
      <c r="C228" s="17" t="s">
        <v>813</v>
      </c>
    </row>
    <row r="229" spans="1:3">
      <c r="A229" s="19">
        <v>900018319</v>
      </c>
      <c r="B229" s="19" t="s">
        <v>814</v>
      </c>
      <c r="C229" s="17" t="s">
        <v>815</v>
      </c>
    </row>
    <row r="230" spans="1:3">
      <c r="A230" s="19">
        <v>900018332</v>
      </c>
      <c r="B230" s="19" t="s">
        <v>816</v>
      </c>
      <c r="C230" s="17" t="s">
        <v>817</v>
      </c>
    </row>
    <row r="231" spans="1:3">
      <c r="A231" s="19">
        <v>900018566</v>
      </c>
      <c r="B231" s="19" t="s">
        <v>818</v>
      </c>
      <c r="C231" s="17" t="s">
        <v>819</v>
      </c>
    </row>
    <row r="232" spans="1:3">
      <c r="A232" s="19">
        <v>900018592</v>
      </c>
      <c r="B232" s="19" t="s">
        <v>820</v>
      </c>
      <c r="C232" s="17" t="s">
        <v>821</v>
      </c>
    </row>
    <row r="233" spans="1:3">
      <c r="A233" s="19">
        <v>900018683</v>
      </c>
      <c r="B233" s="19" t="s">
        <v>822</v>
      </c>
      <c r="C233" s="17" t="s">
        <v>823</v>
      </c>
    </row>
    <row r="234" spans="1:3">
      <c r="A234" s="19">
        <v>900018709</v>
      </c>
      <c r="B234" s="19" t="s">
        <v>824</v>
      </c>
      <c r="C234" s="17" t="s">
        <v>825</v>
      </c>
    </row>
    <row r="235" spans="1:3">
      <c r="A235" s="19">
        <v>900018930</v>
      </c>
      <c r="B235" s="19" t="s">
        <v>826</v>
      </c>
      <c r="C235" s="17" t="s">
        <v>827</v>
      </c>
    </row>
    <row r="236" spans="1:3">
      <c r="A236" s="19">
        <v>900019151</v>
      </c>
      <c r="B236" s="19" t="s">
        <v>828</v>
      </c>
      <c r="C236" s="17" t="s">
        <v>829</v>
      </c>
    </row>
    <row r="237" spans="1:3">
      <c r="A237" s="19">
        <v>900019268</v>
      </c>
      <c r="B237" s="19" t="s">
        <v>830</v>
      </c>
      <c r="C237" s="17" t="s">
        <v>831</v>
      </c>
    </row>
    <row r="238" spans="1:3">
      <c r="A238" s="19">
        <v>900019359</v>
      </c>
      <c r="B238" s="19" t="s">
        <v>832</v>
      </c>
      <c r="C238" s="17" t="s">
        <v>833</v>
      </c>
    </row>
    <row r="239" spans="1:3">
      <c r="A239" s="19">
        <v>900019684</v>
      </c>
      <c r="B239" s="19" t="s">
        <v>834</v>
      </c>
      <c r="C239" s="17" t="s">
        <v>835</v>
      </c>
    </row>
    <row r="240" spans="1:3">
      <c r="A240" s="19">
        <v>900019736</v>
      </c>
      <c r="B240" s="19" t="s">
        <v>836</v>
      </c>
      <c r="C240" s="18" t="s">
        <v>837</v>
      </c>
    </row>
    <row r="241" spans="1:3">
      <c r="A241" s="19">
        <v>900019762</v>
      </c>
      <c r="B241" s="19" t="s">
        <v>838</v>
      </c>
      <c r="C241" s="17" t="s">
        <v>839</v>
      </c>
    </row>
    <row r="242" spans="1:3">
      <c r="A242" s="19">
        <v>900019788</v>
      </c>
      <c r="B242" s="19" t="s">
        <v>840</v>
      </c>
      <c r="C242" s="17" t="s">
        <v>841</v>
      </c>
    </row>
    <row r="243" spans="1:3">
      <c r="A243" s="19">
        <v>900019801</v>
      </c>
      <c r="B243" s="19" t="s">
        <v>842</v>
      </c>
      <c r="C243" s="17" t="s">
        <v>843</v>
      </c>
    </row>
    <row r="244" spans="1:3">
      <c r="A244" s="19">
        <v>900019892</v>
      </c>
      <c r="B244" s="19" t="s">
        <v>844</v>
      </c>
      <c r="C244" s="17" t="s">
        <v>845</v>
      </c>
    </row>
    <row r="245" spans="1:3">
      <c r="A245" s="19">
        <v>900020048</v>
      </c>
      <c r="B245" s="19" t="s">
        <v>846</v>
      </c>
      <c r="C245" s="17" t="s">
        <v>847</v>
      </c>
    </row>
    <row r="246" spans="1:3">
      <c r="A246" s="19">
        <v>900020178</v>
      </c>
      <c r="B246" s="19" t="s">
        <v>848</v>
      </c>
      <c r="C246" s="17" t="s">
        <v>849</v>
      </c>
    </row>
    <row r="247" spans="1:3">
      <c r="A247" s="19">
        <v>900020334</v>
      </c>
      <c r="B247" s="19" t="s">
        <v>850</v>
      </c>
      <c r="C247" s="17" t="s">
        <v>851</v>
      </c>
    </row>
    <row r="248" spans="1:3">
      <c r="A248" s="19">
        <v>900020386</v>
      </c>
      <c r="B248" s="19" t="s">
        <v>852</v>
      </c>
      <c r="C248" s="17" t="s">
        <v>853</v>
      </c>
    </row>
    <row r="249" spans="1:3">
      <c r="A249" s="19">
        <v>900020659</v>
      </c>
      <c r="B249" s="19" t="s">
        <v>854</v>
      </c>
      <c r="C249" s="17" t="s">
        <v>855</v>
      </c>
    </row>
    <row r="250" spans="1:3">
      <c r="A250" s="19">
        <v>900020711</v>
      </c>
      <c r="B250" s="19" t="s">
        <v>856</v>
      </c>
      <c r="C250" s="17" t="s">
        <v>857</v>
      </c>
    </row>
    <row r="251" spans="1:3">
      <c r="A251" s="19">
        <v>900020724</v>
      </c>
      <c r="B251" s="19" t="s">
        <v>858</v>
      </c>
      <c r="C251" s="17" t="s">
        <v>859</v>
      </c>
    </row>
    <row r="252" spans="1:3">
      <c r="A252" s="19">
        <v>900020737</v>
      </c>
      <c r="B252" s="19" t="s">
        <v>860</v>
      </c>
      <c r="C252" s="17" t="s">
        <v>861</v>
      </c>
    </row>
    <row r="253" spans="1:3">
      <c r="A253" s="19">
        <v>900020789</v>
      </c>
      <c r="B253" s="19" t="s">
        <v>862</v>
      </c>
      <c r="C253" s="17" t="s">
        <v>863</v>
      </c>
    </row>
    <row r="254" spans="1:3">
      <c r="A254" s="19">
        <v>900021088</v>
      </c>
      <c r="B254" s="19" t="s">
        <v>864</v>
      </c>
      <c r="C254" s="17" t="s">
        <v>865</v>
      </c>
    </row>
    <row r="255" spans="1:3">
      <c r="A255" s="19">
        <v>900021270</v>
      </c>
      <c r="B255" s="19" t="s">
        <v>866</v>
      </c>
      <c r="C255" s="17" t="s">
        <v>867</v>
      </c>
    </row>
    <row r="256" spans="1:3">
      <c r="A256" s="19">
        <v>900021361</v>
      </c>
      <c r="B256" s="19" t="s">
        <v>868</v>
      </c>
      <c r="C256" s="17" t="s">
        <v>869</v>
      </c>
    </row>
    <row r="257" spans="1:3">
      <c r="A257" s="19">
        <v>900021621</v>
      </c>
      <c r="B257" s="19" t="s">
        <v>870</v>
      </c>
      <c r="C257" s="17" t="s">
        <v>871</v>
      </c>
    </row>
    <row r="258" spans="1:3">
      <c r="A258" s="19">
        <v>900021790</v>
      </c>
      <c r="B258" s="19" t="s">
        <v>872</v>
      </c>
      <c r="C258" s="17" t="s">
        <v>873</v>
      </c>
    </row>
    <row r="259" spans="1:3">
      <c r="A259" s="19">
        <v>900021816</v>
      </c>
      <c r="B259" s="19" t="s">
        <v>874</v>
      </c>
      <c r="C259" s="17" t="s">
        <v>875</v>
      </c>
    </row>
    <row r="260" spans="1:3">
      <c r="A260" s="19">
        <v>900021959</v>
      </c>
      <c r="B260" s="19" t="s">
        <v>876</v>
      </c>
      <c r="C260" s="17" t="s">
        <v>877</v>
      </c>
    </row>
    <row r="261" spans="1:3">
      <c r="A261" s="19">
        <v>900021972</v>
      </c>
      <c r="B261" s="19" t="s">
        <v>878</v>
      </c>
      <c r="C261" s="17" t="s">
        <v>879</v>
      </c>
    </row>
    <row r="262" spans="1:3">
      <c r="A262" s="19">
        <v>900021998</v>
      </c>
      <c r="B262" s="19" t="s">
        <v>880</v>
      </c>
      <c r="C262" s="17" t="s">
        <v>881</v>
      </c>
    </row>
    <row r="263" spans="1:3">
      <c r="A263" s="19">
        <v>900022206</v>
      </c>
      <c r="B263" s="19" t="s">
        <v>882</v>
      </c>
      <c r="C263" s="17" t="s">
        <v>883</v>
      </c>
    </row>
    <row r="264" spans="1:3">
      <c r="A264" s="19">
        <v>900022219</v>
      </c>
      <c r="B264" s="19" t="s">
        <v>884</v>
      </c>
      <c r="C264" s="17" t="s">
        <v>885</v>
      </c>
    </row>
    <row r="265" spans="1:3">
      <c r="A265" s="19">
        <v>900022310</v>
      </c>
      <c r="B265" s="19" t="s">
        <v>886</v>
      </c>
      <c r="C265" s="17" t="s">
        <v>887</v>
      </c>
    </row>
    <row r="266" spans="1:3">
      <c r="A266" s="19">
        <v>900022453</v>
      </c>
      <c r="B266" s="19" t="s">
        <v>888</v>
      </c>
      <c r="C266" s="17" t="s">
        <v>889</v>
      </c>
    </row>
    <row r="267" spans="1:3">
      <c r="A267" s="19">
        <v>900022804</v>
      </c>
      <c r="B267" s="19" t="s">
        <v>890</v>
      </c>
      <c r="C267" s="17" t="s">
        <v>891</v>
      </c>
    </row>
    <row r="268" spans="1:3">
      <c r="A268" s="19">
        <v>900022947</v>
      </c>
      <c r="B268" s="19" t="s">
        <v>892</v>
      </c>
      <c r="C268" s="17" t="s">
        <v>893</v>
      </c>
    </row>
    <row r="269" spans="1:3">
      <c r="A269" s="19">
        <v>900023012</v>
      </c>
      <c r="B269" s="19" t="s">
        <v>894</v>
      </c>
      <c r="C269" s="17" t="s">
        <v>895</v>
      </c>
    </row>
    <row r="270" spans="1:3">
      <c r="A270" s="19">
        <v>900023064</v>
      </c>
      <c r="B270" s="19" t="s">
        <v>896</v>
      </c>
      <c r="C270" s="17" t="s">
        <v>897</v>
      </c>
    </row>
    <row r="271" spans="1:3">
      <c r="A271" s="19">
        <v>900023142</v>
      </c>
      <c r="B271" s="19" t="s">
        <v>898</v>
      </c>
      <c r="C271" s="18" t="s">
        <v>899</v>
      </c>
    </row>
    <row r="272" spans="1:3">
      <c r="A272" s="19">
        <v>900023168</v>
      </c>
      <c r="B272" s="19" t="s">
        <v>900</v>
      </c>
      <c r="C272" s="17" t="s">
        <v>901</v>
      </c>
    </row>
    <row r="273" spans="1:3">
      <c r="A273" s="19">
        <v>900023428</v>
      </c>
      <c r="B273" s="19" t="s">
        <v>902</v>
      </c>
      <c r="C273" s="17" t="s">
        <v>903</v>
      </c>
    </row>
    <row r="274" spans="1:3">
      <c r="A274" s="19">
        <v>900023727</v>
      </c>
      <c r="B274" s="19" t="s">
        <v>904</v>
      </c>
      <c r="C274" s="17" t="s">
        <v>905</v>
      </c>
    </row>
    <row r="275" spans="1:3">
      <c r="A275" s="19">
        <v>900023857</v>
      </c>
      <c r="B275" s="19" t="s">
        <v>906</v>
      </c>
      <c r="C275" s="17" t="s">
        <v>907</v>
      </c>
    </row>
    <row r="276" spans="1:3">
      <c r="A276" s="19">
        <v>900024013</v>
      </c>
      <c r="B276" s="19" t="s">
        <v>908</v>
      </c>
      <c r="C276" s="17" t="s">
        <v>909</v>
      </c>
    </row>
    <row r="277" spans="1:3">
      <c r="A277" s="19">
        <v>900024195</v>
      </c>
      <c r="B277" s="19" t="s">
        <v>910</v>
      </c>
      <c r="C277" s="17" t="s">
        <v>911</v>
      </c>
    </row>
    <row r="278" spans="1:3">
      <c r="A278" s="19">
        <v>900024273</v>
      </c>
      <c r="B278" s="19" t="s">
        <v>912</v>
      </c>
      <c r="C278" s="17" t="s">
        <v>913</v>
      </c>
    </row>
    <row r="279" spans="1:3">
      <c r="A279" s="19">
        <v>900024845</v>
      </c>
      <c r="B279" s="19" t="s">
        <v>914</v>
      </c>
      <c r="C279" s="17" t="s">
        <v>915</v>
      </c>
    </row>
    <row r="280" spans="1:3">
      <c r="A280" s="19">
        <v>900024871</v>
      </c>
      <c r="B280" s="19" t="s">
        <v>916</v>
      </c>
      <c r="C280" s="17" t="s">
        <v>917</v>
      </c>
    </row>
    <row r="281" spans="1:3">
      <c r="A281" s="19">
        <v>900025404</v>
      </c>
      <c r="B281" s="19" t="s">
        <v>918</v>
      </c>
      <c r="C281" s="17" t="s">
        <v>919</v>
      </c>
    </row>
    <row r="282" spans="1:3">
      <c r="A282" s="19">
        <v>900025508</v>
      </c>
      <c r="B282" s="19" t="s">
        <v>920</v>
      </c>
      <c r="C282" s="17" t="s">
        <v>921</v>
      </c>
    </row>
    <row r="283" spans="1:3">
      <c r="A283" s="19">
        <v>900025534</v>
      </c>
      <c r="B283" s="19" t="s">
        <v>922</v>
      </c>
      <c r="C283" s="17" t="s">
        <v>923</v>
      </c>
    </row>
    <row r="284" spans="1:3">
      <c r="A284" s="19">
        <v>900025729</v>
      </c>
      <c r="B284" s="19" t="s">
        <v>924</v>
      </c>
      <c r="C284" s="17" t="s">
        <v>925</v>
      </c>
    </row>
    <row r="285" spans="1:3">
      <c r="A285" s="19">
        <v>900025911</v>
      </c>
      <c r="B285" s="19" t="s">
        <v>926</v>
      </c>
      <c r="C285" s="17" t="s">
        <v>927</v>
      </c>
    </row>
    <row r="286" spans="1:3">
      <c r="A286" s="19">
        <v>900025950</v>
      </c>
      <c r="B286" s="19" t="s">
        <v>928</v>
      </c>
      <c r="C286" s="17" t="s">
        <v>929</v>
      </c>
    </row>
    <row r="287" spans="1:3">
      <c r="A287" s="19">
        <v>900026015</v>
      </c>
      <c r="B287" s="19" t="s">
        <v>930</v>
      </c>
      <c r="C287" s="17" t="s">
        <v>931</v>
      </c>
    </row>
    <row r="288" spans="1:3">
      <c r="A288" s="19">
        <v>900026054</v>
      </c>
      <c r="B288" s="19" t="s">
        <v>932</v>
      </c>
      <c r="C288" s="17" t="s">
        <v>933</v>
      </c>
    </row>
    <row r="289" spans="1:3">
      <c r="A289" s="19">
        <v>900026145</v>
      </c>
      <c r="B289" s="19" t="s">
        <v>934</v>
      </c>
      <c r="C289" s="18" t="s">
        <v>935</v>
      </c>
    </row>
    <row r="290" spans="1:3">
      <c r="A290" s="19">
        <v>900026171</v>
      </c>
      <c r="B290" s="19" t="s">
        <v>936</v>
      </c>
      <c r="C290" s="17" t="s">
        <v>937</v>
      </c>
    </row>
    <row r="291" spans="1:3">
      <c r="A291" s="19">
        <v>900026288</v>
      </c>
      <c r="B291" s="19" t="s">
        <v>938</v>
      </c>
      <c r="C291" s="17" t="s">
        <v>939</v>
      </c>
    </row>
    <row r="292" spans="1:3">
      <c r="A292" s="19">
        <v>900026574</v>
      </c>
      <c r="B292" s="19" t="s">
        <v>940</v>
      </c>
      <c r="C292" s="17" t="s">
        <v>941</v>
      </c>
    </row>
    <row r="293" spans="1:3">
      <c r="A293" s="19">
        <v>900026717</v>
      </c>
      <c r="B293" s="19" t="s">
        <v>942</v>
      </c>
      <c r="C293" s="17" t="s">
        <v>943</v>
      </c>
    </row>
    <row r="294" spans="1:3">
      <c r="A294" s="19">
        <v>900026730</v>
      </c>
      <c r="B294" s="19" t="s">
        <v>944</v>
      </c>
      <c r="C294" s="17" t="s">
        <v>945</v>
      </c>
    </row>
    <row r="295" spans="1:3">
      <c r="A295" s="19">
        <v>900026769</v>
      </c>
      <c r="B295" s="19" t="s">
        <v>946</v>
      </c>
      <c r="C295" s="17" t="s">
        <v>947</v>
      </c>
    </row>
    <row r="296" spans="1:3">
      <c r="A296" s="19">
        <v>900026847</v>
      </c>
      <c r="B296" s="19" t="s">
        <v>948</v>
      </c>
      <c r="C296" s="17" t="s">
        <v>949</v>
      </c>
    </row>
    <row r="297" spans="1:3">
      <c r="A297" s="19">
        <v>900027120</v>
      </c>
      <c r="B297" s="19" t="s">
        <v>950</v>
      </c>
      <c r="C297" s="17" t="s">
        <v>951</v>
      </c>
    </row>
    <row r="298" spans="1:3">
      <c r="A298" s="19">
        <v>900027159</v>
      </c>
      <c r="B298" s="19" t="s">
        <v>952</v>
      </c>
      <c r="C298" s="17" t="s">
        <v>953</v>
      </c>
    </row>
    <row r="299" spans="1:3">
      <c r="A299" s="19">
        <v>900027328</v>
      </c>
      <c r="B299" s="19" t="s">
        <v>954</v>
      </c>
      <c r="C299" s="18" t="s">
        <v>955</v>
      </c>
    </row>
    <row r="300" spans="1:3">
      <c r="A300" s="19">
        <v>900027523</v>
      </c>
      <c r="B300" s="19" t="s">
        <v>956</v>
      </c>
      <c r="C300" s="17" t="s">
        <v>957</v>
      </c>
    </row>
    <row r="301" spans="1:3">
      <c r="A301" s="19">
        <v>900027796</v>
      </c>
      <c r="B301" s="19" t="s">
        <v>958</v>
      </c>
      <c r="C301" s="17" t="s">
        <v>959</v>
      </c>
    </row>
    <row r="302" spans="1:3">
      <c r="A302" s="19">
        <v>900027887</v>
      </c>
      <c r="B302" s="19" t="s">
        <v>960</v>
      </c>
      <c r="C302" s="17" t="s">
        <v>961</v>
      </c>
    </row>
    <row r="303" spans="1:3">
      <c r="A303" s="19">
        <v>900027965</v>
      </c>
      <c r="B303" s="19" t="s">
        <v>962</v>
      </c>
      <c r="C303" s="17" t="s">
        <v>963</v>
      </c>
    </row>
    <row r="304" spans="1:3">
      <c r="A304" s="19">
        <v>900027978</v>
      </c>
      <c r="B304" s="19" t="s">
        <v>964</v>
      </c>
      <c r="C304" s="17" t="s">
        <v>965</v>
      </c>
    </row>
    <row r="305" spans="1:3">
      <c r="A305" s="19">
        <v>900027991</v>
      </c>
      <c r="B305" s="19" t="s">
        <v>966</v>
      </c>
      <c r="C305" s="17" t="s">
        <v>967</v>
      </c>
    </row>
    <row r="306" spans="1:3">
      <c r="A306" s="19">
        <v>900028147</v>
      </c>
      <c r="B306" s="19" t="s">
        <v>968</v>
      </c>
      <c r="C306" s="17" t="s">
        <v>969</v>
      </c>
    </row>
    <row r="307" spans="1:3">
      <c r="A307" s="15">
        <v>900028160</v>
      </c>
      <c r="B307" s="1" t="s">
        <v>970</v>
      </c>
      <c r="C307" s="21" t="s">
        <v>971</v>
      </c>
    </row>
    <row r="308" spans="1:3">
      <c r="A308" s="19">
        <v>900028316</v>
      </c>
      <c r="B308" s="19" t="s">
        <v>972</v>
      </c>
      <c r="C308" s="17" t="s">
        <v>973</v>
      </c>
    </row>
    <row r="309" spans="1:3">
      <c r="A309" s="19">
        <v>900028524</v>
      </c>
      <c r="B309" s="19" t="s">
        <v>974</v>
      </c>
      <c r="C309" s="17" t="s">
        <v>975</v>
      </c>
    </row>
    <row r="310" spans="1:3">
      <c r="A310" s="19">
        <v>900028641</v>
      </c>
      <c r="B310" s="19" t="s">
        <v>976</v>
      </c>
      <c r="C310" s="17" t="s">
        <v>977</v>
      </c>
    </row>
    <row r="311" spans="1:3">
      <c r="A311" s="19">
        <v>900028654</v>
      </c>
      <c r="B311" s="19" t="s">
        <v>978</v>
      </c>
      <c r="C311" s="17" t="s">
        <v>979</v>
      </c>
    </row>
    <row r="312" spans="1:3">
      <c r="A312" s="19">
        <v>900028680</v>
      </c>
      <c r="B312" s="19" t="s">
        <v>980</v>
      </c>
      <c r="C312" s="17" t="s">
        <v>981</v>
      </c>
    </row>
    <row r="313" spans="1:3">
      <c r="A313" s="19">
        <v>900028693</v>
      </c>
      <c r="B313" s="19" t="s">
        <v>982</v>
      </c>
      <c r="C313" s="17" t="s">
        <v>983</v>
      </c>
    </row>
    <row r="314" spans="1:3">
      <c r="A314" s="19">
        <v>900028706</v>
      </c>
      <c r="B314" s="19" t="s">
        <v>984</v>
      </c>
      <c r="C314" s="17" t="s">
        <v>985</v>
      </c>
    </row>
    <row r="315" spans="1:3">
      <c r="A315" s="19">
        <v>900028758</v>
      </c>
      <c r="B315" s="19" t="s">
        <v>986</v>
      </c>
      <c r="C315" s="17" t="s">
        <v>987</v>
      </c>
    </row>
    <row r="316" spans="1:3">
      <c r="A316" s="19">
        <v>900028849</v>
      </c>
      <c r="B316" s="19" t="s">
        <v>988</v>
      </c>
      <c r="C316" s="17" t="s">
        <v>989</v>
      </c>
    </row>
    <row r="317" spans="1:3">
      <c r="A317" s="19">
        <v>900028979</v>
      </c>
      <c r="B317" s="19" t="s">
        <v>990</v>
      </c>
      <c r="C317" s="17" t="s">
        <v>991</v>
      </c>
    </row>
    <row r="318" spans="1:3">
      <c r="A318" s="19">
        <v>900029018</v>
      </c>
      <c r="B318" s="19" t="s">
        <v>992</v>
      </c>
      <c r="C318" s="17" t="s">
        <v>993</v>
      </c>
    </row>
    <row r="319" spans="1:3">
      <c r="A319" s="19">
        <v>900029057</v>
      </c>
      <c r="B319" s="19" t="s">
        <v>994</v>
      </c>
      <c r="C319" s="17" t="s">
        <v>995</v>
      </c>
    </row>
    <row r="320" spans="1:3">
      <c r="A320" s="19">
        <v>900029148</v>
      </c>
      <c r="B320" s="19" t="s">
        <v>996</v>
      </c>
      <c r="C320" s="17" t="s">
        <v>997</v>
      </c>
    </row>
    <row r="321" spans="1:3">
      <c r="A321" s="19">
        <v>900029187</v>
      </c>
      <c r="B321" s="19" t="s">
        <v>998</v>
      </c>
      <c r="C321" s="17" t="s">
        <v>999</v>
      </c>
    </row>
    <row r="322" spans="1:3">
      <c r="A322" s="19">
        <v>900029252</v>
      </c>
      <c r="B322" s="19" t="s">
        <v>1000</v>
      </c>
      <c r="C322" s="17" t="s">
        <v>1001</v>
      </c>
    </row>
    <row r="323" spans="1:3">
      <c r="A323" s="19">
        <v>900029278</v>
      </c>
      <c r="B323" s="19" t="s">
        <v>1002</v>
      </c>
      <c r="C323" s="17" t="s">
        <v>1003</v>
      </c>
    </row>
    <row r="324" spans="1:3">
      <c r="A324" s="19">
        <v>900029408</v>
      </c>
      <c r="B324" s="19" t="s">
        <v>1004</v>
      </c>
      <c r="C324" s="17" t="s">
        <v>1005</v>
      </c>
    </row>
    <row r="325" spans="1:3">
      <c r="A325" s="19">
        <v>900029681</v>
      </c>
      <c r="B325" s="19" t="s">
        <v>1006</v>
      </c>
      <c r="C325" s="17" t="s">
        <v>1007</v>
      </c>
    </row>
    <row r="326" spans="1:3">
      <c r="A326" s="15">
        <v>900029746</v>
      </c>
      <c r="B326" s="1" t="s">
        <v>1008</v>
      </c>
      <c r="C326" s="20" t="s">
        <v>1009</v>
      </c>
    </row>
    <row r="327" spans="1:3">
      <c r="A327" s="19">
        <v>900029928</v>
      </c>
      <c r="B327" s="19" t="s">
        <v>1010</v>
      </c>
      <c r="C327" s="17" t="s">
        <v>1011</v>
      </c>
    </row>
    <row r="328" spans="1:3">
      <c r="A328" s="19">
        <v>900030032</v>
      </c>
      <c r="B328" s="19" t="s">
        <v>1012</v>
      </c>
      <c r="C328" s="17" t="s">
        <v>1013</v>
      </c>
    </row>
    <row r="329" spans="1:3">
      <c r="A329" s="19">
        <v>900030045</v>
      </c>
      <c r="B329" s="19" t="s">
        <v>1014</v>
      </c>
      <c r="C329" s="17" t="s">
        <v>1015</v>
      </c>
    </row>
    <row r="330" spans="1:3">
      <c r="A330" s="19">
        <v>900030214</v>
      </c>
      <c r="B330" s="19" t="s">
        <v>1016</v>
      </c>
      <c r="C330" s="17" t="s">
        <v>1017</v>
      </c>
    </row>
    <row r="331" spans="1:3">
      <c r="A331" s="19">
        <v>900030500</v>
      </c>
      <c r="B331" s="19" t="s">
        <v>1018</v>
      </c>
      <c r="C331" s="17" t="s">
        <v>1019</v>
      </c>
    </row>
    <row r="332" spans="1:3">
      <c r="A332" s="19">
        <v>900030539</v>
      </c>
      <c r="B332" s="19" t="s">
        <v>1020</v>
      </c>
      <c r="C332" s="17" t="s">
        <v>1021</v>
      </c>
    </row>
    <row r="333" spans="1:3">
      <c r="A333" s="19">
        <v>900030552</v>
      </c>
      <c r="B333" s="19" t="s">
        <v>1022</v>
      </c>
      <c r="C333" s="17" t="s">
        <v>1023</v>
      </c>
    </row>
    <row r="334" spans="1:3">
      <c r="A334" s="19">
        <v>900030656</v>
      </c>
      <c r="B334" s="19" t="s">
        <v>1024</v>
      </c>
      <c r="C334" s="17" t="s">
        <v>1025</v>
      </c>
    </row>
    <row r="335" spans="1:3">
      <c r="A335" s="15">
        <v>900030734</v>
      </c>
      <c r="B335" s="1" t="s">
        <v>1026</v>
      </c>
      <c r="C335" s="20" t="s">
        <v>1027</v>
      </c>
    </row>
    <row r="336" spans="1:3">
      <c r="A336" s="19">
        <v>900030838</v>
      </c>
      <c r="B336" s="19" t="s">
        <v>1028</v>
      </c>
      <c r="C336" s="17" t="s">
        <v>1029</v>
      </c>
    </row>
    <row r="337" spans="1:3">
      <c r="A337" s="19">
        <v>900030903</v>
      </c>
      <c r="B337" s="19" t="s">
        <v>1030</v>
      </c>
      <c r="C337" s="18" t="s">
        <v>1031</v>
      </c>
    </row>
    <row r="338" spans="1:3">
      <c r="A338" s="19">
        <v>900030916</v>
      </c>
      <c r="B338" s="19" t="s">
        <v>1032</v>
      </c>
      <c r="C338" s="17" t="s">
        <v>1033</v>
      </c>
    </row>
    <row r="339" spans="1:3">
      <c r="A339" s="19">
        <v>900031202</v>
      </c>
      <c r="B339" s="19" t="s">
        <v>1034</v>
      </c>
      <c r="C339" s="17" t="s">
        <v>1035</v>
      </c>
    </row>
    <row r="340" spans="1:3">
      <c r="A340" s="11">
        <v>900031306</v>
      </c>
      <c r="B340" s="11" t="s">
        <v>1036</v>
      </c>
      <c r="C340" s="23" t="s">
        <v>1037</v>
      </c>
    </row>
    <row r="341" spans="1:3">
      <c r="A341" s="19">
        <v>900031345</v>
      </c>
      <c r="B341" s="19" t="s">
        <v>1038</v>
      </c>
      <c r="C341" s="17" t="s">
        <v>1039</v>
      </c>
    </row>
    <row r="342" spans="1:3">
      <c r="A342" s="19">
        <v>900031384</v>
      </c>
      <c r="B342" s="19" t="s">
        <v>1040</v>
      </c>
      <c r="C342" s="17" t="s">
        <v>1041</v>
      </c>
    </row>
    <row r="343" spans="1:3">
      <c r="A343" s="19">
        <v>900031514</v>
      </c>
      <c r="B343" s="19" t="s">
        <v>1042</v>
      </c>
      <c r="C343" s="17" t="s">
        <v>1043</v>
      </c>
    </row>
    <row r="344" spans="1:3">
      <c r="A344" s="19">
        <v>900031995</v>
      </c>
      <c r="B344" s="19" t="s">
        <v>1044</v>
      </c>
      <c r="C344" s="17" t="s">
        <v>1045</v>
      </c>
    </row>
    <row r="345" spans="1:3">
      <c r="A345" s="19">
        <v>900032008</v>
      </c>
      <c r="B345" s="19" t="s">
        <v>1046</v>
      </c>
      <c r="C345" s="17" t="s">
        <v>1047</v>
      </c>
    </row>
    <row r="346" spans="1:3">
      <c r="A346" s="19">
        <v>900032060</v>
      </c>
      <c r="B346" s="19" t="s">
        <v>1048</v>
      </c>
      <c r="C346" s="17" t="s">
        <v>1049</v>
      </c>
    </row>
    <row r="347" spans="1:3">
      <c r="A347" s="19">
        <v>900032099</v>
      </c>
      <c r="B347" s="19" t="s">
        <v>1050</v>
      </c>
      <c r="C347" s="17" t="s">
        <v>1051</v>
      </c>
    </row>
    <row r="348" spans="1:3">
      <c r="A348" s="19">
        <v>900032307</v>
      </c>
      <c r="B348" s="19" t="s">
        <v>1052</v>
      </c>
      <c r="C348" s="17" t="s">
        <v>1053</v>
      </c>
    </row>
    <row r="349" spans="1:3">
      <c r="A349" s="19">
        <v>900032450</v>
      </c>
      <c r="B349" s="19" t="s">
        <v>1054</v>
      </c>
      <c r="C349" s="17" t="s">
        <v>1055</v>
      </c>
    </row>
    <row r="350" spans="1:3">
      <c r="A350" s="19">
        <v>900032567</v>
      </c>
      <c r="B350" s="19" t="s">
        <v>1056</v>
      </c>
      <c r="C350" s="17" t="s">
        <v>1057</v>
      </c>
    </row>
    <row r="351" spans="1:3">
      <c r="A351" s="19">
        <v>900032580</v>
      </c>
      <c r="B351" s="19" t="s">
        <v>1058</v>
      </c>
      <c r="C351" s="17" t="s">
        <v>1059</v>
      </c>
    </row>
    <row r="352" spans="1:3">
      <c r="A352" s="19">
        <v>900032671</v>
      </c>
      <c r="B352" s="19" t="s">
        <v>1060</v>
      </c>
      <c r="C352" s="17" t="s">
        <v>1061</v>
      </c>
    </row>
    <row r="353" spans="1:3">
      <c r="A353" s="19">
        <v>900033204</v>
      </c>
      <c r="B353" s="19" t="s">
        <v>1062</v>
      </c>
      <c r="C353" s="17" t="s">
        <v>1063</v>
      </c>
    </row>
    <row r="354" spans="1:3">
      <c r="A354" s="19">
        <v>900033360</v>
      </c>
      <c r="B354" s="19" t="s">
        <v>1064</v>
      </c>
      <c r="C354" s="17" t="s">
        <v>1065</v>
      </c>
    </row>
    <row r="355" spans="1:3">
      <c r="A355" s="19">
        <v>900033373</v>
      </c>
      <c r="B355" s="19" t="s">
        <v>1066</v>
      </c>
      <c r="C355" s="17" t="s">
        <v>1067</v>
      </c>
    </row>
    <row r="356" spans="1:3">
      <c r="A356" s="19">
        <v>900033555</v>
      </c>
      <c r="B356" s="19" t="s">
        <v>1068</v>
      </c>
      <c r="C356" s="17" t="s">
        <v>1069</v>
      </c>
    </row>
    <row r="357" spans="1:3">
      <c r="A357" s="19">
        <v>900033698</v>
      </c>
      <c r="B357" s="19" t="s">
        <v>1070</v>
      </c>
      <c r="C357" s="17" t="s">
        <v>1071</v>
      </c>
    </row>
    <row r="358" spans="1:3">
      <c r="A358" s="19">
        <v>900033750</v>
      </c>
      <c r="B358" s="19" t="s">
        <v>1072</v>
      </c>
      <c r="C358" s="17" t="s">
        <v>1073</v>
      </c>
    </row>
    <row r="359" spans="1:3">
      <c r="A359" s="19">
        <v>900033932</v>
      </c>
      <c r="B359" s="19" t="s">
        <v>1074</v>
      </c>
      <c r="C359" s="17" t="s">
        <v>1075</v>
      </c>
    </row>
    <row r="360" spans="1:3">
      <c r="A360" s="19">
        <v>900033958</v>
      </c>
      <c r="B360" s="19" t="s">
        <v>1076</v>
      </c>
      <c r="C360" s="17" t="s">
        <v>1077</v>
      </c>
    </row>
    <row r="361" spans="1:3">
      <c r="A361" s="19">
        <v>900033971</v>
      </c>
      <c r="B361" s="19" t="s">
        <v>1078</v>
      </c>
      <c r="C361" s="17" t="s">
        <v>1079</v>
      </c>
    </row>
    <row r="362" spans="1:3">
      <c r="A362" s="19">
        <v>900033984</v>
      </c>
      <c r="B362" s="19" t="s">
        <v>1080</v>
      </c>
      <c r="C362" s="17" t="s">
        <v>1081</v>
      </c>
    </row>
    <row r="363" spans="1:3">
      <c r="A363" s="19">
        <v>900034166</v>
      </c>
      <c r="B363" s="19" t="s">
        <v>1082</v>
      </c>
      <c r="C363" s="17" t="s">
        <v>1083</v>
      </c>
    </row>
    <row r="364" spans="1:3">
      <c r="A364" s="19">
        <v>900034257</v>
      </c>
      <c r="B364" s="19" t="s">
        <v>1084</v>
      </c>
      <c r="C364" s="17" t="s">
        <v>1085</v>
      </c>
    </row>
    <row r="365" spans="1:3">
      <c r="A365" s="19">
        <v>900034348</v>
      </c>
      <c r="B365" s="19" t="s">
        <v>1086</v>
      </c>
      <c r="C365" s="17" t="s">
        <v>1087</v>
      </c>
    </row>
    <row r="366" spans="1:3">
      <c r="A366" s="19">
        <v>900034881</v>
      </c>
      <c r="B366" s="19" t="s">
        <v>1088</v>
      </c>
      <c r="C366" s="17" t="s">
        <v>1089</v>
      </c>
    </row>
    <row r="367" spans="1:3">
      <c r="A367" s="19">
        <v>900034920</v>
      </c>
      <c r="B367" s="19" t="s">
        <v>1090</v>
      </c>
      <c r="C367" s="17" t="s">
        <v>1091</v>
      </c>
    </row>
    <row r="368" spans="1:3">
      <c r="A368" s="19">
        <v>900034998</v>
      </c>
      <c r="B368" s="19" t="s">
        <v>1092</v>
      </c>
      <c r="C368" s="18" t="s">
        <v>1093</v>
      </c>
    </row>
    <row r="369" spans="1:3">
      <c r="A369" s="19">
        <v>900035427</v>
      </c>
      <c r="B369" s="19" t="s">
        <v>1094</v>
      </c>
      <c r="C369" s="17" t="s">
        <v>1095</v>
      </c>
    </row>
    <row r="370" spans="1:3">
      <c r="A370" s="19">
        <v>900035466</v>
      </c>
      <c r="B370" s="19" t="s">
        <v>1096</v>
      </c>
      <c r="C370" s="17" t="s">
        <v>1097</v>
      </c>
    </row>
    <row r="371" spans="1:3">
      <c r="A371" s="19">
        <v>900035492</v>
      </c>
      <c r="B371" s="19" t="s">
        <v>1098</v>
      </c>
      <c r="C371" s="17" t="s">
        <v>1099</v>
      </c>
    </row>
    <row r="372" spans="1:3">
      <c r="A372" s="19">
        <v>900035518</v>
      </c>
      <c r="B372" s="19" t="s">
        <v>1100</v>
      </c>
      <c r="C372" s="17" t="s">
        <v>1101</v>
      </c>
    </row>
    <row r="373" spans="1:3">
      <c r="A373" s="19">
        <v>900035804</v>
      </c>
      <c r="B373" s="19" t="s">
        <v>1102</v>
      </c>
      <c r="C373" s="17" t="s">
        <v>1103</v>
      </c>
    </row>
    <row r="374" spans="1:3">
      <c r="A374" s="19">
        <v>900035817</v>
      </c>
      <c r="B374" s="19" t="s">
        <v>1104</v>
      </c>
      <c r="C374" s="17" t="s">
        <v>1105</v>
      </c>
    </row>
    <row r="375" spans="1:3">
      <c r="A375" s="19">
        <v>900035856</v>
      </c>
      <c r="B375" s="19" t="s">
        <v>1106</v>
      </c>
      <c r="C375" s="17" t="s">
        <v>1107</v>
      </c>
    </row>
    <row r="376" spans="1:3">
      <c r="A376" s="19">
        <v>900036038</v>
      </c>
      <c r="B376" s="19" t="s">
        <v>1108</v>
      </c>
      <c r="C376" s="17" t="s">
        <v>1109</v>
      </c>
    </row>
    <row r="377" spans="1:3">
      <c r="A377" s="19">
        <v>900036220</v>
      </c>
      <c r="B377" s="19" t="s">
        <v>1110</v>
      </c>
      <c r="C377" s="17" t="s">
        <v>1111</v>
      </c>
    </row>
    <row r="378" spans="1:3">
      <c r="A378" s="19">
        <v>900036246</v>
      </c>
      <c r="B378" s="19" t="s">
        <v>1112</v>
      </c>
      <c r="C378" s="17" t="s">
        <v>1113</v>
      </c>
    </row>
    <row r="379" spans="1:3">
      <c r="A379" s="19">
        <v>900036597</v>
      </c>
      <c r="B379" s="19" t="s">
        <v>1114</v>
      </c>
      <c r="C379" s="18" t="s">
        <v>1115</v>
      </c>
    </row>
    <row r="380" spans="1:3">
      <c r="A380" s="19">
        <v>900036636</v>
      </c>
      <c r="B380" s="19" t="s">
        <v>1116</v>
      </c>
      <c r="C380" s="17" t="s">
        <v>1117</v>
      </c>
    </row>
    <row r="381" spans="1:3">
      <c r="A381" s="19">
        <v>900036714</v>
      </c>
      <c r="B381" s="19" t="s">
        <v>1118</v>
      </c>
      <c r="C381" s="17" t="s">
        <v>1119</v>
      </c>
    </row>
    <row r="382" spans="1:3">
      <c r="A382" s="19">
        <v>900036727</v>
      </c>
      <c r="B382" s="19" t="s">
        <v>1120</v>
      </c>
      <c r="C382" s="17" t="s">
        <v>1121</v>
      </c>
    </row>
    <row r="383" spans="1:3">
      <c r="A383" s="19">
        <v>900036792</v>
      </c>
      <c r="B383" s="19" t="s">
        <v>1122</v>
      </c>
      <c r="C383" s="17" t="s">
        <v>1123</v>
      </c>
    </row>
    <row r="384" spans="1:3">
      <c r="A384" s="19">
        <v>900036844</v>
      </c>
      <c r="B384" s="19" t="s">
        <v>1124</v>
      </c>
      <c r="C384" s="17" t="s">
        <v>1125</v>
      </c>
    </row>
    <row r="385" spans="1:3">
      <c r="A385" s="19">
        <v>900037065</v>
      </c>
      <c r="B385" s="19" t="s">
        <v>1126</v>
      </c>
      <c r="C385" s="17" t="s">
        <v>1127</v>
      </c>
    </row>
    <row r="386" spans="1:3">
      <c r="A386" s="19">
        <v>900037091</v>
      </c>
      <c r="B386" s="19" t="s">
        <v>1128</v>
      </c>
      <c r="C386" s="17" t="s">
        <v>1129</v>
      </c>
    </row>
    <row r="387" spans="1:3">
      <c r="A387" s="19">
        <v>900037325</v>
      </c>
      <c r="B387" s="19" t="s">
        <v>1130</v>
      </c>
      <c r="C387" s="17" t="s">
        <v>1131</v>
      </c>
    </row>
    <row r="388" spans="1:3">
      <c r="A388" s="19">
        <v>900037676</v>
      </c>
      <c r="B388" s="19" t="s">
        <v>1132</v>
      </c>
      <c r="C388" s="17" t="s">
        <v>1133</v>
      </c>
    </row>
    <row r="389" spans="1:3">
      <c r="A389" s="19">
        <v>900038027</v>
      </c>
      <c r="B389" s="19" t="s">
        <v>1134</v>
      </c>
      <c r="C389" s="17" t="s">
        <v>1135</v>
      </c>
    </row>
    <row r="390" spans="1:3">
      <c r="A390" s="19">
        <v>900038079</v>
      </c>
      <c r="B390" s="19" t="s">
        <v>1136</v>
      </c>
      <c r="C390" s="17" t="s">
        <v>1137</v>
      </c>
    </row>
    <row r="391" spans="1:3">
      <c r="A391" s="19">
        <v>900038183</v>
      </c>
      <c r="B391" s="19" t="s">
        <v>1138</v>
      </c>
      <c r="C391" s="17" t="s">
        <v>1139</v>
      </c>
    </row>
    <row r="392" spans="1:3">
      <c r="A392" s="19">
        <v>900038209</v>
      </c>
      <c r="B392" s="19" t="s">
        <v>1140</v>
      </c>
      <c r="C392" s="17" t="s">
        <v>1141</v>
      </c>
    </row>
    <row r="393" spans="1:3">
      <c r="A393" s="19">
        <v>900038222</v>
      </c>
      <c r="B393" s="19" t="s">
        <v>1142</v>
      </c>
      <c r="C393" s="17" t="s">
        <v>1143</v>
      </c>
    </row>
    <row r="394" spans="1:3">
      <c r="A394" s="19">
        <v>900038248</v>
      </c>
      <c r="B394" s="19" t="s">
        <v>1144</v>
      </c>
      <c r="C394" s="17" t="s">
        <v>1145</v>
      </c>
    </row>
    <row r="395" spans="1:3">
      <c r="A395" s="19">
        <v>900038430</v>
      </c>
      <c r="B395" s="19" t="s">
        <v>1146</v>
      </c>
      <c r="C395" s="17" t="s">
        <v>1147</v>
      </c>
    </row>
    <row r="396" spans="1:3">
      <c r="A396" s="19">
        <v>900038625</v>
      </c>
      <c r="B396" s="19" t="s">
        <v>1148</v>
      </c>
      <c r="C396" s="17" t="s">
        <v>1149</v>
      </c>
    </row>
    <row r="397" spans="1:3">
      <c r="A397" s="19">
        <v>900038716</v>
      </c>
      <c r="B397" s="19" t="s">
        <v>1150</v>
      </c>
      <c r="C397" s="17" t="s">
        <v>1151</v>
      </c>
    </row>
    <row r="398" spans="1:3">
      <c r="A398" s="19">
        <v>900038755</v>
      </c>
      <c r="B398" s="19" t="s">
        <v>1152</v>
      </c>
      <c r="C398" s="17" t="s">
        <v>1153</v>
      </c>
    </row>
    <row r="399" spans="1:3">
      <c r="A399" s="19">
        <v>900038898</v>
      </c>
      <c r="B399" s="19" t="s">
        <v>1154</v>
      </c>
      <c r="C399" s="17" t="s">
        <v>1155</v>
      </c>
    </row>
    <row r="400" spans="1:3">
      <c r="A400" s="19">
        <v>900038911</v>
      </c>
      <c r="B400" s="19" t="s">
        <v>1156</v>
      </c>
      <c r="C400" s="17" t="s">
        <v>1157</v>
      </c>
    </row>
    <row r="401" spans="1:3">
      <c r="A401" s="19">
        <v>900038937</v>
      </c>
      <c r="B401" s="19" t="s">
        <v>1158</v>
      </c>
      <c r="C401" s="17" t="s">
        <v>1159</v>
      </c>
    </row>
    <row r="402" spans="1:3">
      <c r="A402" s="19">
        <v>900038963</v>
      </c>
      <c r="B402" s="19" t="s">
        <v>1160</v>
      </c>
      <c r="C402" s="17" t="s">
        <v>1161</v>
      </c>
    </row>
    <row r="403" spans="1:3">
      <c r="A403" s="19">
        <v>900038989</v>
      </c>
      <c r="B403" s="19" t="s">
        <v>1162</v>
      </c>
      <c r="C403" s="17" t="s">
        <v>1163</v>
      </c>
    </row>
    <row r="404" spans="1:3">
      <c r="A404" s="19">
        <v>900039197</v>
      </c>
      <c r="B404" s="19" t="s">
        <v>1164</v>
      </c>
      <c r="C404" s="17" t="s">
        <v>1165</v>
      </c>
    </row>
    <row r="405" spans="1:3">
      <c r="A405" s="19">
        <v>900039366</v>
      </c>
      <c r="B405" s="19" t="s">
        <v>1166</v>
      </c>
      <c r="C405" s="17" t="s">
        <v>1167</v>
      </c>
    </row>
    <row r="406" spans="1:3">
      <c r="A406" s="19">
        <v>900039483</v>
      </c>
      <c r="B406" s="19" t="s">
        <v>1168</v>
      </c>
      <c r="C406" s="17" t="s">
        <v>1169</v>
      </c>
    </row>
    <row r="407" spans="1:3">
      <c r="A407" s="19">
        <v>900039639</v>
      </c>
      <c r="B407" s="19" t="s">
        <v>1170</v>
      </c>
      <c r="C407" s="17" t="s">
        <v>1171</v>
      </c>
    </row>
    <row r="408" spans="1:3">
      <c r="A408" s="19">
        <v>900039808</v>
      </c>
      <c r="B408" s="19" t="s">
        <v>1172</v>
      </c>
      <c r="C408" s="17" t="s">
        <v>1173</v>
      </c>
    </row>
    <row r="409" spans="1:3">
      <c r="A409" s="19">
        <v>900039860</v>
      </c>
      <c r="B409" s="19" t="s">
        <v>1174</v>
      </c>
      <c r="C409" s="17" t="s">
        <v>1175</v>
      </c>
    </row>
    <row r="410" spans="1:3">
      <c r="A410" s="19">
        <v>900040185</v>
      </c>
      <c r="B410" s="19" t="s">
        <v>1176</v>
      </c>
      <c r="C410" s="17" t="s">
        <v>1177</v>
      </c>
    </row>
    <row r="411" spans="1:3">
      <c r="A411" s="19">
        <v>900040510</v>
      </c>
      <c r="B411" s="19" t="s">
        <v>1178</v>
      </c>
      <c r="C411" s="17" t="s">
        <v>1179</v>
      </c>
    </row>
    <row r="412" spans="1:3">
      <c r="A412" s="19">
        <v>900040562</v>
      </c>
      <c r="B412" s="19" t="s">
        <v>1180</v>
      </c>
      <c r="C412" s="17" t="s">
        <v>1181</v>
      </c>
    </row>
    <row r="413" spans="1:3">
      <c r="A413" s="19">
        <v>900040705</v>
      </c>
      <c r="B413" s="19" t="s">
        <v>1182</v>
      </c>
      <c r="C413" s="17" t="s">
        <v>1183</v>
      </c>
    </row>
    <row r="414" spans="1:3">
      <c r="A414" s="19">
        <v>900040744</v>
      </c>
      <c r="B414" s="19" t="s">
        <v>1184</v>
      </c>
      <c r="C414" s="17" t="s">
        <v>1185</v>
      </c>
    </row>
    <row r="415" spans="1:3">
      <c r="A415" s="19">
        <v>900040796</v>
      </c>
      <c r="B415" s="19" t="s">
        <v>1186</v>
      </c>
      <c r="C415" s="17" t="s">
        <v>1187</v>
      </c>
    </row>
    <row r="416" spans="1:3">
      <c r="A416" s="19">
        <v>900040822</v>
      </c>
      <c r="B416" s="19" t="s">
        <v>1188</v>
      </c>
      <c r="C416" s="18" t="s">
        <v>1189</v>
      </c>
    </row>
    <row r="417" spans="1:3">
      <c r="A417" s="19">
        <v>900040926</v>
      </c>
      <c r="B417" s="19" t="s">
        <v>1190</v>
      </c>
      <c r="C417" s="17" t="s">
        <v>1191</v>
      </c>
    </row>
    <row r="418" spans="1:3">
      <c r="A418" s="19">
        <v>900041108</v>
      </c>
      <c r="B418" s="19" t="s">
        <v>1192</v>
      </c>
      <c r="C418" s="17" t="s">
        <v>1193</v>
      </c>
    </row>
    <row r="419" spans="1:3">
      <c r="A419" s="19">
        <v>900041147</v>
      </c>
      <c r="B419" s="19" t="s">
        <v>1194</v>
      </c>
      <c r="C419" s="17" t="s">
        <v>1195</v>
      </c>
    </row>
    <row r="420" spans="1:3">
      <c r="A420" s="19">
        <v>900041173</v>
      </c>
      <c r="B420" s="19" t="s">
        <v>1196</v>
      </c>
      <c r="C420" s="17" t="s">
        <v>1197</v>
      </c>
    </row>
    <row r="421" spans="1:3">
      <c r="A421" s="19">
        <v>900041264</v>
      </c>
      <c r="B421" s="19" t="s">
        <v>1198</v>
      </c>
      <c r="C421" s="17" t="s">
        <v>1199</v>
      </c>
    </row>
    <row r="422" spans="1:3">
      <c r="A422" s="19">
        <v>900041329</v>
      </c>
      <c r="B422" s="19" t="s">
        <v>1200</v>
      </c>
      <c r="C422" s="17" t="s">
        <v>1201</v>
      </c>
    </row>
    <row r="423" spans="1:3">
      <c r="A423" s="19">
        <v>900041407</v>
      </c>
      <c r="B423" s="19" t="s">
        <v>1202</v>
      </c>
      <c r="C423" s="17" t="s">
        <v>1203</v>
      </c>
    </row>
    <row r="424" spans="1:3">
      <c r="A424" s="19">
        <v>900041654</v>
      </c>
      <c r="B424" s="19" t="s">
        <v>1204</v>
      </c>
      <c r="C424" s="17" t="s">
        <v>1205</v>
      </c>
    </row>
    <row r="425" spans="1:3">
      <c r="A425" s="19">
        <v>900041771</v>
      </c>
      <c r="B425" s="19" t="s">
        <v>1206</v>
      </c>
      <c r="C425" s="17" t="s">
        <v>1207</v>
      </c>
    </row>
    <row r="426" spans="1:3">
      <c r="A426" s="19">
        <v>900041836</v>
      </c>
      <c r="B426" s="19" t="s">
        <v>1208</v>
      </c>
      <c r="C426" s="17" t="s">
        <v>1209</v>
      </c>
    </row>
    <row r="427" spans="1:3">
      <c r="A427" s="19">
        <v>900041940</v>
      </c>
      <c r="B427" s="19" t="s">
        <v>1210</v>
      </c>
      <c r="C427" s="17" t="s">
        <v>1211</v>
      </c>
    </row>
    <row r="428" spans="1:3">
      <c r="A428" s="19">
        <v>900042018</v>
      </c>
      <c r="B428" s="19" t="s">
        <v>1212</v>
      </c>
      <c r="C428" s="17" t="s">
        <v>1213</v>
      </c>
    </row>
    <row r="429" spans="1:3">
      <c r="A429" s="19">
        <v>900042291</v>
      </c>
      <c r="B429" s="19" t="s">
        <v>1214</v>
      </c>
      <c r="C429" s="17" t="s">
        <v>1215</v>
      </c>
    </row>
    <row r="430" spans="1:3">
      <c r="A430" s="19">
        <v>900042499</v>
      </c>
      <c r="B430" s="19" t="s">
        <v>1216</v>
      </c>
      <c r="C430" s="17" t="s">
        <v>1217</v>
      </c>
    </row>
    <row r="431" spans="1:3">
      <c r="A431" s="19">
        <v>900042551</v>
      </c>
      <c r="B431" s="19" t="s">
        <v>1218</v>
      </c>
      <c r="C431" s="17" t="s">
        <v>1219</v>
      </c>
    </row>
    <row r="432" spans="1:3">
      <c r="A432" s="19">
        <v>900042655</v>
      </c>
      <c r="B432" s="19" t="s">
        <v>1220</v>
      </c>
      <c r="C432" s="17" t="s">
        <v>1221</v>
      </c>
    </row>
    <row r="433" spans="1:3">
      <c r="A433" s="19">
        <v>900042720</v>
      </c>
      <c r="B433" s="19" t="s">
        <v>1222</v>
      </c>
      <c r="C433" s="17" t="s">
        <v>1223</v>
      </c>
    </row>
    <row r="434" spans="1:3">
      <c r="A434" s="19">
        <v>900043162</v>
      </c>
      <c r="B434" s="19" t="s">
        <v>1224</v>
      </c>
      <c r="C434" s="17" t="s">
        <v>1225</v>
      </c>
    </row>
    <row r="435" spans="1:3">
      <c r="A435" s="19">
        <v>900043409</v>
      </c>
      <c r="B435" s="19" t="s">
        <v>1226</v>
      </c>
      <c r="C435" s="17" t="s">
        <v>1227</v>
      </c>
    </row>
    <row r="436" spans="1:3">
      <c r="A436" s="19">
        <v>900043578</v>
      </c>
      <c r="B436" s="19" t="s">
        <v>1228</v>
      </c>
      <c r="C436" s="17" t="s">
        <v>1229</v>
      </c>
    </row>
    <row r="437" spans="1:3">
      <c r="A437" s="19">
        <v>900043734</v>
      </c>
      <c r="B437" s="19" t="s">
        <v>1230</v>
      </c>
      <c r="C437" s="17" t="s">
        <v>1231</v>
      </c>
    </row>
    <row r="438" spans="1:3">
      <c r="A438" s="19">
        <v>900043773</v>
      </c>
      <c r="B438" s="19" t="s">
        <v>1232</v>
      </c>
      <c r="C438" s="17" t="s">
        <v>1233</v>
      </c>
    </row>
    <row r="439" spans="1:3">
      <c r="A439" s="19">
        <v>900044085</v>
      </c>
      <c r="B439" s="19" t="s">
        <v>1234</v>
      </c>
      <c r="C439" s="17" t="s">
        <v>1235</v>
      </c>
    </row>
    <row r="440" spans="1:3">
      <c r="A440" s="19">
        <v>900044124</v>
      </c>
      <c r="B440" s="19" t="s">
        <v>1236</v>
      </c>
      <c r="C440" s="17" t="s">
        <v>1237</v>
      </c>
    </row>
    <row r="441" spans="1:3">
      <c r="A441" s="19">
        <v>900044228</v>
      </c>
      <c r="B441" s="19" t="s">
        <v>1238</v>
      </c>
      <c r="C441" s="17" t="s">
        <v>1239</v>
      </c>
    </row>
    <row r="442" spans="1:3">
      <c r="A442" s="19">
        <v>900044462</v>
      </c>
      <c r="B442" s="19" t="s">
        <v>1240</v>
      </c>
      <c r="C442" s="17" t="s">
        <v>1241</v>
      </c>
    </row>
    <row r="443" spans="1:3">
      <c r="A443" s="19">
        <v>900044488</v>
      </c>
      <c r="B443" s="19" t="s">
        <v>1242</v>
      </c>
      <c r="C443" s="17" t="s">
        <v>1243</v>
      </c>
    </row>
    <row r="444" spans="1:3">
      <c r="A444" s="19">
        <v>900044501</v>
      </c>
      <c r="B444" s="19" t="s">
        <v>1244</v>
      </c>
      <c r="C444" s="17" t="s">
        <v>1245</v>
      </c>
    </row>
    <row r="445" spans="1:3">
      <c r="A445" s="19">
        <v>900044579</v>
      </c>
      <c r="B445" s="19" t="s">
        <v>1246</v>
      </c>
      <c r="C445" s="17" t="s">
        <v>1247</v>
      </c>
    </row>
    <row r="446" spans="1:3">
      <c r="A446" s="19">
        <v>900044605</v>
      </c>
      <c r="B446" s="19" t="s">
        <v>1248</v>
      </c>
      <c r="C446" s="17" t="s">
        <v>1249</v>
      </c>
    </row>
    <row r="447" spans="1:3">
      <c r="A447" s="19">
        <v>900044683</v>
      </c>
      <c r="B447" s="19" t="s">
        <v>1250</v>
      </c>
      <c r="C447" s="17" t="s">
        <v>1251</v>
      </c>
    </row>
    <row r="448" spans="1:3">
      <c r="A448" s="19">
        <v>900045502</v>
      </c>
      <c r="B448" s="19" t="s">
        <v>1252</v>
      </c>
      <c r="C448" s="17" t="s">
        <v>1253</v>
      </c>
    </row>
    <row r="449" spans="1:3">
      <c r="A449" s="19">
        <v>900045593</v>
      </c>
      <c r="B449" s="19" t="s">
        <v>1254</v>
      </c>
      <c r="C449" s="17" t="s">
        <v>1255</v>
      </c>
    </row>
    <row r="450" spans="1:3">
      <c r="A450" s="19">
        <v>900045658</v>
      </c>
      <c r="B450" s="19" t="s">
        <v>1256</v>
      </c>
      <c r="C450" s="17" t="s">
        <v>1257</v>
      </c>
    </row>
    <row r="451" spans="1:3">
      <c r="A451" s="19">
        <v>900045762</v>
      </c>
      <c r="B451" s="19" t="s">
        <v>1258</v>
      </c>
      <c r="C451" s="17" t="s">
        <v>1259</v>
      </c>
    </row>
    <row r="452" spans="1:3">
      <c r="A452" s="19">
        <v>900045853</v>
      </c>
      <c r="B452" s="19" t="s">
        <v>1260</v>
      </c>
      <c r="C452" s="17" t="s">
        <v>1261</v>
      </c>
    </row>
    <row r="453" spans="1:3">
      <c r="A453" s="15">
        <v>900045866</v>
      </c>
      <c r="B453" s="1" t="s">
        <v>1262</v>
      </c>
      <c r="C453" s="20" t="s">
        <v>1263</v>
      </c>
    </row>
    <row r="454" spans="1:3">
      <c r="A454" s="19">
        <v>900046165</v>
      </c>
      <c r="B454" s="19" t="s">
        <v>1264</v>
      </c>
      <c r="C454" s="17" t="s">
        <v>1265</v>
      </c>
    </row>
    <row r="455" spans="1:3">
      <c r="A455" s="19">
        <v>900046269</v>
      </c>
      <c r="B455" s="19" t="s">
        <v>1266</v>
      </c>
      <c r="C455" s="17" t="s">
        <v>1267</v>
      </c>
    </row>
    <row r="456" spans="1:3">
      <c r="A456" s="19">
        <v>900046542</v>
      </c>
      <c r="B456" s="19" t="s">
        <v>1268</v>
      </c>
      <c r="C456" s="17" t="s">
        <v>1269</v>
      </c>
    </row>
    <row r="457" spans="1:3">
      <c r="A457" s="19">
        <v>900046555</v>
      </c>
      <c r="B457" s="19" t="s">
        <v>1270</v>
      </c>
      <c r="C457" s="17" t="s">
        <v>1271</v>
      </c>
    </row>
    <row r="458" spans="1:3">
      <c r="A458" s="19">
        <v>900046659</v>
      </c>
      <c r="B458" s="19" t="s">
        <v>1272</v>
      </c>
      <c r="C458" s="17" t="s">
        <v>1273</v>
      </c>
    </row>
    <row r="459" spans="1:3">
      <c r="A459" s="19">
        <v>900047049</v>
      </c>
      <c r="B459" s="19" t="s">
        <v>1274</v>
      </c>
      <c r="C459" s="17" t="s">
        <v>1275</v>
      </c>
    </row>
    <row r="460" spans="1:3">
      <c r="A460" s="19">
        <v>900047621</v>
      </c>
      <c r="B460" s="19" t="s">
        <v>1276</v>
      </c>
      <c r="C460" s="17" t="s">
        <v>1277</v>
      </c>
    </row>
    <row r="461" spans="1:3">
      <c r="A461" s="19">
        <v>900047634</v>
      </c>
      <c r="B461" s="19" t="s">
        <v>1278</v>
      </c>
      <c r="C461" s="17" t="s">
        <v>1279</v>
      </c>
    </row>
    <row r="462" spans="1:3">
      <c r="A462" s="19">
        <v>900048206</v>
      </c>
      <c r="B462" s="19" t="s">
        <v>1280</v>
      </c>
      <c r="C462" s="17" t="s">
        <v>1281</v>
      </c>
    </row>
    <row r="463" spans="1:3">
      <c r="A463" s="19">
        <v>900048544</v>
      </c>
      <c r="B463" s="19" t="s">
        <v>1282</v>
      </c>
      <c r="C463" s="17" t="s">
        <v>1283</v>
      </c>
    </row>
    <row r="464" spans="1:3">
      <c r="A464" s="19">
        <v>900048687</v>
      </c>
      <c r="B464" s="19" t="s">
        <v>1284</v>
      </c>
      <c r="C464" s="17" t="s">
        <v>1285</v>
      </c>
    </row>
    <row r="465" spans="1:3">
      <c r="A465" s="19">
        <v>900048752</v>
      </c>
      <c r="B465" s="19" t="s">
        <v>1286</v>
      </c>
      <c r="C465" s="17" t="s">
        <v>1287</v>
      </c>
    </row>
    <row r="466" spans="1:3">
      <c r="A466" s="19">
        <v>900049181</v>
      </c>
      <c r="B466" s="19" t="s">
        <v>1288</v>
      </c>
      <c r="C466" s="17" t="s">
        <v>1289</v>
      </c>
    </row>
    <row r="467" spans="1:3">
      <c r="A467" s="19">
        <v>900049597</v>
      </c>
      <c r="B467" s="19" t="s">
        <v>1290</v>
      </c>
      <c r="C467" s="17" t="s">
        <v>1291</v>
      </c>
    </row>
    <row r="468" spans="1:3">
      <c r="A468" s="19">
        <v>900049610</v>
      </c>
      <c r="B468" s="19" t="s">
        <v>1292</v>
      </c>
      <c r="C468" s="17" t="s">
        <v>1293</v>
      </c>
    </row>
    <row r="469" spans="1:3">
      <c r="A469" s="19">
        <v>900049727</v>
      </c>
      <c r="B469" s="19" t="s">
        <v>1294</v>
      </c>
      <c r="C469" s="17" t="s">
        <v>1295</v>
      </c>
    </row>
    <row r="470" spans="1:3">
      <c r="A470" s="19">
        <v>900049779</v>
      </c>
      <c r="B470" s="19" t="s">
        <v>1296</v>
      </c>
      <c r="C470" s="17" t="s">
        <v>1297</v>
      </c>
    </row>
    <row r="471" spans="1:3">
      <c r="A471" s="19">
        <v>900049792</v>
      </c>
      <c r="B471" s="19" t="s">
        <v>1298</v>
      </c>
      <c r="C471" s="17" t="s">
        <v>1299</v>
      </c>
    </row>
    <row r="472" spans="1:3">
      <c r="A472" s="19">
        <v>900049987</v>
      </c>
      <c r="B472" s="19" t="s">
        <v>1300</v>
      </c>
      <c r="C472" s="17" t="s">
        <v>1301</v>
      </c>
    </row>
    <row r="473" spans="1:3">
      <c r="A473" s="19">
        <v>900050325</v>
      </c>
      <c r="B473" s="19" t="s">
        <v>1302</v>
      </c>
      <c r="C473" s="17" t="s">
        <v>1303</v>
      </c>
    </row>
    <row r="474" spans="1:3">
      <c r="A474" s="19">
        <v>900050377</v>
      </c>
      <c r="B474" s="19" t="s">
        <v>1304</v>
      </c>
      <c r="C474" s="17" t="s">
        <v>1305</v>
      </c>
    </row>
    <row r="475" spans="1:3">
      <c r="A475" s="19">
        <v>900050494</v>
      </c>
      <c r="B475" s="19" t="s">
        <v>1306</v>
      </c>
      <c r="C475" s="17" t="s">
        <v>1307</v>
      </c>
    </row>
    <row r="476" spans="1:3">
      <c r="A476" s="19">
        <v>900051209</v>
      </c>
      <c r="B476" s="19" t="s">
        <v>1308</v>
      </c>
      <c r="C476" s="17" t="s">
        <v>1309</v>
      </c>
    </row>
    <row r="477" spans="1:3">
      <c r="A477" s="19">
        <v>900051664</v>
      </c>
      <c r="B477" s="19" t="s">
        <v>1310</v>
      </c>
      <c r="C477" s="17" t="s">
        <v>1311</v>
      </c>
    </row>
    <row r="478" spans="1:3">
      <c r="A478" s="19">
        <v>900052054</v>
      </c>
      <c r="B478" s="19" t="s">
        <v>1312</v>
      </c>
      <c r="C478" s="17" t="s">
        <v>1313</v>
      </c>
    </row>
    <row r="479" spans="1:3">
      <c r="A479" s="19">
        <v>900052093</v>
      </c>
      <c r="B479" s="19" t="s">
        <v>1314</v>
      </c>
      <c r="C479" s="17" t="s">
        <v>1315</v>
      </c>
    </row>
    <row r="480" spans="1:3">
      <c r="A480" s="19">
        <v>900052353</v>
      </c>
      <c r="B480" s="19" t="s">
        <v>1316</v>
      </c>
      <c r="C480" s="18" t="s">
        <v>1317</v>
      </c>
    </row>
    <row r="481" spans="1:3">
      <c r="A481" s="19">
        <v>900052483</v>
      </c>
      <c r="B481" s="19" t="s">
        <v>1318</v>
      </c>
      <c r="C481" s="17" t="s">
        <v>1319</v>
      </c>
    </row>
    <row r="482" spans="1:3">
      <c r="A482" s="19">
        <v>900052496</v>
      </c>
      <c r="B482" s="19" t="s">
        <v>1320</v>
      </c>
      <c r="C482" s="17" t="s">
        <v>1321</v>
      </c>
    </row>
    <row r="483" spans="1:3">
      <c r="A483" s="19">
        <v>900053159</v>
      </c>
      <c r="B483" s="19" t="s">
        <v>1322</v>
      </c>
      <c r="C483" s="17" t="s">
        <v>1323</v>
      </c>
    </row>
    <row r="484" spans="1:3">
      <c r="A484" s="19">
        <v>900053679</v>
      </c>
      <c r="B484" s="19" t="s">
        <v>1324</v>
      </c>
      <c r="C484" s="17" t="s">
        <v>1325</v>
      </c>
    </row>
    <row r="485" spans="1:3">
      <c r="A485" s="19">
        <v>900053861</v>
      </c>
      <c r="B485" s="19" t="s">
        <v>1326</v>
      </c>
      <c r="C485" s="17" t="s">
        <v>1327</v>
      </c>
    </row>
    <row r="486" spans="1:3">
      <c r="A486" s="19">
        <v>900054043</v>
      </c>
      <c r="B486" s="19" t="s">
        <v>1328</v>
      </c>
      <c r="C486" s="18" t="s">
        <v>1329</v>
      </c>
    </row>
    <row r="487" spans="1:3">
      <c r="A487" s="19">
        <v>900054394</v>
      </c>
      <c r="B487" s="19" t="s">
        <v>1330</v>
      </c>
      <c r="C487" s="17" t="s">
        <v>1331</v>
      </c>
    </row>
    <row r="488" spans="1:3">
      <c r="A488" s="19">
        <v>900054719</v>
      </c>
      <c r="B488" s="19" t="s">
        <v>1332</v>
      </c>
      <c r="C488" s="17" t="s">
        <v>1333</v>
      </c>
    </row>
    <row r="489" spans="1:3">
      <c r="A489" s="19">
        <v>900054862</v>
      </c>
      <c r="B489" s="19" t="s">
        <v>1334</v>
      </c>
      <c r="C489" s="17" t="s">
        <v>1335</v>
      </c>
    </row>
    <row r="490" spans="1:3">
      <c r="A490" s="19">
        <v>900055148</v>
      </c>
      <c r="B490" s="19" t="s">
        <v>1336</v>
      </c>
      <c r="C490" s="17" t="s">
        <v>1337</v>
      </c>
    </row>
    <row r="491" spans="1:3">
      <c r="A491" s="19">
        <v>900055707</v>
      </c>
      <c r="B491" s="19" t="s">
        <v>1338</v>
      </c>
      <c r="C491" s="17" t="s">
        <v>1339</v>
      </c>
    </row>
    <row r="492" spans="1:3">
      <c r="A492" s="19">
        <v>900056019</v>
      </c>
      <c r="B492" s="19" t="s">
        <v>1340</v>
      </c>
      <c r="C492" s="17" t="s">
        <v>1341</v>
      </c>
    </row>
    <row r="493" spans="1:3">
      <c r="A493" s="19">
        <v>900057410</v>
      </c>
      <c r="B493" s="19" t="s">
        <v>1342</v>
      </c>
      <c r="C493" s="17" t="s">
        <v>1343</v>
      </c>
    </row>
    <row r="494" spans="1:3">
      <c r="A494" s="19">
        <v>900058125</v>
      </c>
      <c r="B494" s="19" t="s">
        <v>1344</v>
      </c>
      <c r="C494" s="17" t="s">
        <v>1345</v>
      </c>
    </row>
    <row r="495" spans="1:3">
      <c r="A495" s="19">
        <v>900058281</v>
      </c>
      <c r="B495" s="19" t="s">
        <v>1346</v>
      </c>
      <c r="C495" s="17" t="s">
        <v>1347</v>
      </c>
    </row>
    <row r="496" spans="1:3">
      <c r="A496" s="19">
        <v>900060582</v>
      </c>
      <c r="B496" s="19" t="s">
        <v>1348</v>
      </c>
      <c r="C496" s="17" t="s">
        <v>1349</v>
      </c>
    </row>
    <row r="497" spans="1:3">
      <c r="A497" s="19">
        <v>900060920</v>
      </c>
      <c r="B497" s="19" t="s">
        <v>1350</v>
      </c>
      <c r="C497" s="17" t="s">
        <v>1351</v>
      </c>
    </row>
    <row r="498" spans="1:3">
      <c r="A498" s="19">
        <v>900061284</v>
      </c>
      <c r="B498" s="19" t="s">
        <v>1352</v>
      </c>
      <c r="C498" s="17" t="s">
        <v>1353</v>
      </c>
    </row>
    <row r="499" spans="1:3">
      <c r="A499" s="19">
        <v>900063390</v>
      </c>
      <c r="B499" s="19" t="s">
        <v>1354</v>
      </c>
      <c r="C499" s="17" t="s">
        <v>1355</v>
      </c>
    </row>
    <row r="500" spans="1:3">
      <c r="A500" s="19">
        <v>900064287</v>
      </c>
      <c r="B500" s="19" t="s">
        <v>1356</v>
      </c>
      <c r="C500" s="17" t="s">
        <v>1357</v>
      </c>
    </row>
    <row r="501" spans="1:3">
      <c r="A501" s="19">
        <v>900064846</v>
      </c>
      <c r="B501" s="19" t="s">
        <v>1358</v>
      </c>
      <c r="C501" s="17" t="s">
        <v>1359</v>
      </c>
    </row>
    <row r="502" spans="1:3">
      <c r="A502" s="19">
        <v>900065730</v>
      </c>
      <c r="B502" s="19" t="s">
        <v>1360</v>
      </c>
      <c r="C502" s="17" t="s">
        <v>1361</v>
      </c>
    </row>
    <row r="503" spans="1:3">
      <c r="A503" s="19">
        <v>900065977</v>
      </c>
      <c r="B503" s="19" t="s">
        <v>1362</v>
      </c>
      <c r="C503" s="17" t="s">
        <v>1363</v>
      </c>
    </row>
    <row r="504" spans="1:3">
      <c r="A504" s="19">
        <v>900066835</v>
      </c>
      <c r="B504" s="19" t="s">
        <v>1364</v>
      </c>
      <c r="C504" s="17" t="s">
        <v>1365</v>
      </c>
    </row>
    <row r="505" spans="1:3">
      <c r="A505" s="19">
        <v>900067420</v>
      </c>
      <c r="B505" s="19" t="s">
        <v>1366</v>
      </c>
      <c r="C505" s="17" t="s">
        <v>1367</v>
      </c>
    </row>
    <row r="506" spans="1:3">
      <c r="A506" s="19">
        <v>900067667</v>
      </c>
      <c r="B506" s="19" t="s">
        <v>1368</v>
      </c>
      <c r="C506" s="17" t="s">
        <v>1369</v>
      </c>
    </row>
    <row r="507" spans="1:3">
      <c r="A507" s="19">
        <v>900069006</v>
      </c>
      <c r="B507" s="19" t="s">
        <v>1370</v>
      </c>
      <c r="C507" s="17" t="s">
        <v>1371</v>
      </c>
    </row>
    <row r="508" spans="1:3">
      <c r="A508" s="19">
        <v>900069188</v>
      </c>
      <c r="B508" s="19" t="s">
        <v>1372</v>
      </c>
      <c r="C508" s="17" t="s">
        <v>1373</v>
      </c>
    </row>
    <row r="509" spans="1:3">
      <c r="A509" s="19">
        <v>900071359</v>
      </c>
      <c r="B509" s="19" t="s">
        <v>1374</v>
      </c>
      <c r="C509" s="17" t="s">
        <v>1375</v>
      </c>
    </row>
    <row r="510" spans="1:3">
      <c r="A510" s="19">
        <v>900073114</v>
      </c>
      <c r="B510" s="19" t="s">
        <v>1376</v>
      </c>
      <c r="C510" s="17" t="s">
        <v>1377</v>
      </c>
    </row>
    <row r="511" spans="1:3">
      <c r="A511" s="19">
        <v>900074219</v>
      </c>
      <c r="B511" s="19" t="s">
        <v>1378</v>
      </c>
      <c r="C511" s="17" t="s">
        <v>1379</v>
      </c>
    </row>
    <row r="512" spans="1:3">
      <c r="A512" s="19">
        <v>900076520</v>
      </c>
      <c r="B512" s="19" t="s">
        <v>1380</v>
      </c>
      <c r="C512" s="17" t="s">
        <v>1381</v>
      </c>
    </row>
    <row r="513" spans="1:3">
      <c r="A513" s="19">
        <v>900091054</v>
      </c>
      <c r="B513" s="19" t="s">
        <v>1382</v>
      </c>
      <c r="C513" s="17" t="s">
        <v>1383</v>
      </c>
    </row>
    <row r="514" spans="1:3">
      <c r="A514" s="19">
        <v>900130093</v>
      </c>
      <c r="B514" s="19" t="s">
        <v>1384</v>
      </c>
      <c r="C514" s="17" t="s">
        <v>1385</v>
      </c>
    </row>
    <row r="515" spans="1:3">
      <c r="A515" s="19">
        <v>900168430</v>
      </c>
      <c r="B515" s="19" t="s">
        <v>1386</v>
      </c>
      <c r="C515" s="17" t="s">
        <v>1387</v>
      </c>
    </row>
    <row r="516" spans="1:3">
      <c r="A516" s="19">
        <v>900171602</v>
      </c>
      <c r="B516" s="19" t="s">
        <v>1388</v>
      </c>
      <c r="C516" s="17" t="s">
        <v>1389</v>
      </c>
    </row>
    <row r="517" spans="1:3">
      <c r="A517" s="19">
        <v>900180741</v>
      </c>
      <c r="B517" s="19" t="s">
        <v>1390</v>
      </c>
      <c r="C517" s="17" t="s">
        <v>1391</v>
      </c>
    </row>
    <row r="518" spans="1:3">
      <c r="A518" s="19">
        <v>900204037</v>
      </c>
      <c r="B518" s="19" t="s">
        <v>1392</v>
      </c>
      <c r="C518" s="17" t="s">
        <v>1393</v>
      </c>
    </row>
    <row r="519" spans="1:3">
      <c r="A519" s="19">
        <v>900208977</v>
      </c>
      <c r="B519" s="19" t="s">
        <v>1394</v>
      </c>
      <c r="C519" s="17" t="s">
        <v>1395</v>
      </c>
    </row>
    <row r="520" spans="1:3">
      <c r="A520" s="19">
        <v>900271988</v>
      </c>
      <c r="B520" s="19" t="s">
        <v>1396</v>
      </c>
      <c r="C520" s="17" t="s">
        <v>1397</v>
      </c>
    </row>
    <row r="521" spans="1:3">
      <c r="A521" s="19">
        <v>900293620</v>
      </c>
      <c r="B521" s="19" t="s">
        <v>1398</v>
      </c>
      <c r="C521" s="17" t="s">
        <v>1399</v>
      </c>
    </row>
    <row r="522" spans="1:3">
      <c r="A522" s="19">
        <v>900300640</v>
      </c>
      <c r="B522" s="19" t="s">
        <v>1400</v>
      </c>
      <c r="C522" s="18" t="s">
        <v>1401</v>
      </c>
    </row>
    <row r="523" spans="1:3">
      <c r="A523" s="19">
        <v>900354317</v>
      </c>
      <c r="B523" s="19" t="s">
        <v>1402</v>
      </c>
      <c r="C523" s="17" t="s">
        <v>1403</v>
      </c>
    </row>
    <row r="524" spans="1:3">
      <c r="A524" s="11">
        <v>900663886</v>
      </c>
      <c r="B524" s="19" t="s">
        <v>1404</v>
      </c>
      <c r="C524" s="23" t="s">
        <v>1405</v>
      </c>
    </row>
    <row r="525" spans="1:3">
      <c r="A525" s="19">
        <v>900388260</v>
      </c>
      <c r="B525" s="19" t="s">
        <v>1406</v>
      </c>
      <c r="C525" s="17" t="s">
        <v>1407</v>
      </c>
    </row>
    <row r="526" spans="1:3">
      <c r="A526" s="19">
        <v>900399297</v>
      </c>
      <c r="B526" s="19" t="s">
        <v>1408</v>
      </c>
      <c r="C526" s="17" t="s">
        <v>1409</v>
      </c>
    </row>
    <row r="527" spans="1:3">
      <c r="A527" s="19">
        <v>900399466</v>
      </c>
      <c r="B527" s="19" t="s">
        <v>1410</v>
      </c>
      <c r="C527" s="17" t="s">
        <v>1411</v>
      </c>
    </row>
    <row r="528" spans="1:3">
      <c r="A528" s="19">
        <v>900438843</v>
      </c>
      <c r="B528" s="19" t="s">
        <v>1412</v>
      </c>
      <c r="C528" s="17" t="s">
        <v>1413</v>
      </c>
    </row>
    <row r="529" spans="1:3">
      <c r="A529" s="19">
        <v>900472162</v>
      </c>
      <c r="B529" s="19" t="s">
        <v>1414</v>
      </c>
      <c r="C529" s="17" t="s">
        <v>1415</v>
      </c>
    </row>
    <row r="530" spans="1:3">
      <c r="A530" s="19">
        <v>900474060</v>
      </c>
      <c r="B530" s="19" t="s">
        <v>1416</v>
      </c>
      <c r="C530" s="17" t="s">
        <v>1417</v>
      </c>
    </row>
    <row r="531" spans="1:3">
      <c r="A531" s="19">
        <v>900503830</v>
      </c>
      <c r="B531" s="19" t="s">
        <v>1418</v>
      </c>
      <c r="C531" s="17" t="s">
        <v>1419</v>
      </c>
    </row>
    <row r="532" spans="1:3">
      <c r="A532" s="19">
        <v>900520457</v>
      </c>
      <c r="B532" s="19" t="s">
        <v>1420</v>
      </c>
      <c r="C532" s="17" t="s">
        <v>1421</v>
      </c>
    </row>
    <row r="533" spans="1:3">
      <c r="A533" s="19">
        <v>900548108</v>
      </c>
      <c r="B533" s="19" t="s">
        <v>1422</v>
      </c>
      <c r="C533" s="17" t="s">
        <v>1423</v>
      </c>
    </row>
    <row r="534" spans="1:3">
      <c r="A534" s="19">
        <v>900561537</v>
      </c>
      <c r="B534" s="19" t="s">
        <v>1424</v>
      </c>
      <c r="C534" s="17" t="s">
        <v>1425</v>
      </c>
    </row>
    <row r="535" spans="1:3">
      <c r="A535" s="19">
        <v>900570611</v>
      </c>
      <c r="B535" s="19" t="s">
        <v>1426</v>
      </c>
      <c r="C535" s="17" t="s">
        <v>1427</v>
      </c>
    </row>
    <row r="536" spans="1:3">
      <c r="A536" s="19">
        <v>900572431</v>
      </c>
      <c r="B536" s="19" t="s">
        <v>1428</v>
      </c>
      <c r="C536" s="17" t="s">
        <v>1429</v>
      </c>
    </row>
    <row r="537" spans="1:3">
      <c r="A537" s="19">
        <v>900599042</v>
      </c>
      <c r="B537" s="19" t="s">
        <v>1430</v>
      </c>
      <c r="C537" s="17" t="s">
        <v>1431</v>
      </c>
    </row>
    <row r="538" spans="1:3">
      <c r="A538" s="19">
        <v>900601343</v>
      </c>
      <c r="B538" s="19" t="s">
        <v>1432</v>
      </c>
      <c r="C538" s="17" t="s">
        <v>1433</v>
      </c>
    </row>
    <row r="539" spans="1:3">
      <c r="A539" s="19">
        <v>900611353</v>
      </c>
      <c r="B539" s="19" t="s">
        <v>1434</v>
      </c>
      <c r="C539" s="17" t="s">
        <v>1435</v>
      </c>
    </row>
    <row r="540" spans="1:3">
      <c r="A540" s="19">
        <v>900657893</v>
      </c>
      <c r="B540" s="19" t="s">
        <v>1436</v>
      </c>
      <c r="C540" s="17" t="s">
        <v>1437</v>
      </c>
    </row>
    <row r="541" spans="1:3">
      <c r="A541" s="19">
        <v>900661702</v>
      </c>
      <c r="B541" s="19" t="s">
        <v>1438</v>
      </c>
      <c r="C541" s="17" t="s">
        <v>1439</v>
      </c>
    </row>
    <row r="542" spans="1:3">
      <c r="A542" s="19">
        <v>900663886</v>
      </c>
      <c r="B542" s="19" t="s">
        <v>1440</v>
      </c>
      <c r="C542" s="17" t="s">
        <v>1405</v>
      </c>
    </row>
    <row r="543" spans="1:3">
      <c r="A543" s="19">
        <v>900689782</v>
      </c>
      <c r="B543" s="19" t="s">
        <v>1441</v>
      </c>
      <c r="C543" s="17" t="s">
        <v>1442</v>
      </c>
    </row>
    <row r="544" spans="1:3">
      <c r="A544" s="19">
        <v>900727417</v>
      </c>
      <c r="B544" s="19" t="s">
        <v>1443</v>
      </c>
      <c r="C544" s="17" t="s">
        <v>1444</v>
      </c>
    </row>
    <row r="545" spans="1:3">
      <c r="A545" s="19">
        <v>900749309</v>
      </c>
      <c r="B545" s="19" t="s">
        <v>1445</v>
      </c>
      <c r="C545" s="17" t="s">
        <v>1446</v>
      </c>
    </row>
    <row r="546" spans="1:3">
      <c r="A546" s="19">
        <v>900763336</v>
      </c>
      <c r="B546" s="19" t="s">
        <v>1447</v>
      </c>
      <c r="C546" s="17" t="s">
        <v>1448</v>
      </c>
    </row>
    <row r="547" spans="1:3">
      <c r="A547" s="19">
        <v>900815960</v>
      </c>
      <c r="B547" s="19" t="s">
        <v>1449</v>
      </c>
      <c r="C547" s="17" t="s">
        <v>1450</v>
      </c>
    </row>
    <row r="548" spans="1:3">
      <c r="A548" s="19">
        <v>900821212</v>
      </c>
      <c r="B548" s="19" t="s">
        <v>1451</v>
      </c>
      <c r="C548" s="17" t="s">
        <v>1452</v>
      </c>
    </row>
    <row r="549" spans="1:3">
      <c r="A549" s="19">
        <v>900856403</v>
      </c>
      <c r="B549" s="19" t="s">
        <v>1453</v>
      </c>
      <c r="C549" s="17" t="s">
        <v>1454</v>
      </c>
    </row>
    <row r="550" spans="1:3">
      <c r="A550" s="19">
        <v>900857053</v>
      </c>
      <c r="B550" s="19" t="s">
        <v>1455</v>
      </c>
      <c r="C550" s="17" t="s">
        <v>1456</v>
      </c>
    </row>
    <row r="551" spans="1:3">
      <c r="A551" s="19">
        <v>900915527</v>
      </c>
      <c r="B551" s="19" t="s">
        <v>1457</v>
      </c>
      <c r="C551" s="17" t="s">
        <v>1458</v>
      </c>
    </row>
    <row r="552" spans="1:3">
      <c r="A552" s="19">
        <v>900926096</v>
      </c>
      <c r="B552" s="19" t="s">
        <v>1459</v>
      </c>
      <c r="C552" s="17" t="s">
        <v>1460</v>
      </c>
    </row>
    <row r="553" spans="1:3">
      <c r="A553" s="19">
        <v>900951771</v>
      </c>
      <c r="B553" s="19" t="s">
        <v>1461</v>
      </c>
      <c r="C553" s="18" t="s">
        <v>1462</v>
      </c>
    </row>
    <row r="554" spans="1:3">
      <c r="A554" s="19">
        <v>900982399</v>
      </c>
      <c r="B554" s="19" t="s">
        <v>1463</v>
      </c>
      <c r="C554" s="17" t="s">
        <v>1464</v>
      </c>
    </row>
    <row r="555" spans="1:3">
      <c r="A555" s="19">
        <v>900987456</v>
      </c>
      <c r="B555" s="19" t="s">
        <v>1465</v>
      </c>
      <c r="C555" s="17" t="s">
        <v>1466</v>
      </c>
    </row>
    <row r="556" spans="1:3">
      <c r="A556" s="19">
        <v>901022595</v>
      </c>
      <c r="B556" s="19" t="s">
        <v>1467</v>
      </c>
      <c r="C556" s="17" t="s">
        <v>1468</v>
      </c>
    </row>
    <row r="557" spans="1:3">
      <c r="A557" s="19">
        <v>901042342</v>
      </c>
      <c r="B557" s="19" t="s">
        <v>1469</v>
      </c>
      <c r="C557" s="17" t="s">
        <v>1470</v>
      </c>
    </row>
    <row r="558" spans="1:3">
      <c r="A558" s="19">
        <v>901055511</v>
      </c>
      <c r="B558" s="19" t="s">
        <v>1471</v>
      </c>
      <c r="C558" s="17" t="s">
        <v>1472</v>
      </c>
    </row>
    <row r="559" spans="1:3">
      <c r="A559" s="19">
        <v>901063220</v>
      </c>
      <c r="B559" s="19" t="s">
        <v>1473</v>
      </c>
      <c r="C559" s="17" t="s">
        <v>1474</v>
      </c>
    </row>
    <row r="560" spans="1:3">
      <c r="A560" s="19">
        <v>901073074</v>
      </c>
      <c r="B560" s="19" t="s">
        <v>1475</v>
      </c>
      <c r="C560" s="17" t="s">
        <v>1476</v>
      </c>
    </row>
    <row r="561" spans="1:3">
      <c r="A561" s="19">
        <v>901083812</v>
      </c>
      <c r="B561" s="19" t="s">
        <v>1477</v>
      </c>
      <c r="C561" s="18" t="s">
        <v>1478</v>
      </c>
    </row>
    <row r="562" spans="1:3">
      <c r="A562" s="19">
        <v>901103221</v>
      </c>
      <c r="B562" s="19" t="s">
        <v>1479</v>
      </c>
      <c r="C562" s="17" t="s">
        <v>1480</v>
      </c>
    </row>
    <row r="563" spans="1:3">
      <c r="A563" s="19">
        <v>901110709</v>
      </c>
      <c r="B563" s="19" t="s">
        <v>1481</v>
      </c>
      <c r="C563" s="17" t="s">
        <v>1482</v>
      </c>
    </row>
    <row r="564" spans="1:3">
      <c r="A564" s="19">
        <v>901118496</v>
      </c>
      <c r="B564" s="19" t="s">
        <v>1483</v>
      </c>
      <c r="C564" s="17" t="s">
        <v>1484</v>
      </c>
    </row>
    <row r="565" spans="1:3">
      <c r="A565" s="19">
        <v>901122578</v>
      </c>
      <c r="B565" s="19" t="s">
        <v>1485</v>
      </c>
      <c r="C565" s="17" t="s">
        <v>1486</v>
      </c>
    </row>
    <row r="566" spans="1:3">
      <c r="A566" s="19">
        <v>901130898</v>
      </c>
      <c r="B566" s="19" t="s">
        <v>1487</v>
      </c>
      <c r="C566" s="17" t="s">
        <v>1488</v>
      </c>
    </row>
    <row r="567" spans="1:3">
      <c r="A567" s="19">
        <v>901163333</v>
      </c>
      <c r="B567" s="19" t="s">
        <v>1489</v>
      </c>
      <c r="C567" s="17" t="s">
        <v>1490</v>
      </c>
    </row>
    <row r="568" spans="1:3">
      <c r="A568" s="19">
        <v>901196704</v>
      </c>
      <c r="B568" s="19" t="s">
        <v>1491</v>
      </c>
      <c r="C568" s="17" t="s">
        <v>1492</v>
      </c>
    </row>
    <row r="569" spans="1:3">
      <c r="A569" s="19">
        <v>901196912</v>
      </c>
      <c r="B569" s="19" t="s">
        <v>1493</v>
      </c>
      <c r="C569" s="17" t="s">
        <v>1494</v>
      </c>
    </row>
    <row r="570" spans="1:3">
      <c r="A570" s="19">
        <v>901218128</v>
      </c>
      <c r="B570" s="19" t="s">
        <v>1495</v>
      </c>
      <c r="C570" s="17" t="s">
        <v>1496</v>
      </c>
    </row>
    <row r="571" spans="1:3">
      <c r="A571" s="19">
        <v>901281061</v>
      </c>
      <c r="B571" s="19" t="s">
        <v>1497</v>
      </c>
      <c r="C571" s="17" t="s">
        <v>1498</v>
      </c>
    </row>
    <row r="572" spans="1:3">
      <c r="A572" s="19">
        <v>901316044</v>
      </c>
      <c r="B572" s="19" t="s">
        <v>1499</v>
      </c>
      <c r="C572" s="17" t="s">
        <v>1500</v>
      </c>
    </row>
    <row r="573" spans="1:3">
      <c r="A573" s="19">
        <v>901333659</v>
      </c>
      <c r="B573" s="19" t="s">
        <v>1501</v>
      </c>
      <c r="C573" s="17" t="s">
        <v>1502</v>
      </c>
    </row>
    <row r="574" spans="1:3">
      <c r="A574" s="19">
        <v>901361804</v>
      </c>
      <c r="B574" s="19" t="s">
        <v>1503</v>
      </c>
      <c r="C574" s="17" t="s">
        <v>1504</v>
      </c>
    </row>
    <row r="575" spans="1:3">
      <c r="A575" s="19">
        <v>901377677</v>
      </c>
      <c r="B575" s="19" t="s">
        <v>1505</v>
      </c>
      <c r="C575" s="17" t="s">
        <v>1506</v>
      </c>
    </row>
    <row r="576" spans="1:3">
      <c r="A576" s="19">
        <v>901405952</v>
      </c>
      <c r="B576" s="19" t="s">
        <v>1507</v>
      </c>
      <c r="C576" s="17" t="s">
        <v>1508</v>
      </c>
    </row>
    <row r="577" spans="1:3">
      <c r="A577" s="19">
        <v>901409592</v>
      </c>
      <c r="B577" s="19" t="s">
        <v>1509</v>
      </c>
      <c r="C577" s="17" t="s">
        <v>1510</v>
      </c>
    </row>
    <row r="578" spans="1:3">
      <c r="A578" s="19">
        <v>901414142</v>
      </c>
      <c r="B578" s="19" t="s">
        <v>1511</v>
      </c>
      <c r="C578" s="17" t="s">
        <v>1512</v>
      </c>
    </row>
    <row r="579" spans="1:3">
      <c r="A579" s="19">
        <v>901414363</v>
      </c>
      <c r="B579" s="19" t="s">
        <v>1513</v>
      </c>
      <c r="C579" s="17" t="s">
        <v>1514</v>
      </c>
    </row>
    <row r="580" spans="1:3">
      <c r="A580" s="19">
        <v>901442430</v>
      </c>
      <c r="B580" s="19" t="s">
        <v>1515</v>
      </c>
      <c r="C580" s="17" t="s">
        <v>1516</v>
      </c>
    </row>
    <row r="581" spans="1:3">
      <c r="A581" s="19">
        <v>901455560</v>
      </c>
      <c r="B581" s="19" t="s">
        <v>1517</v>
      </c>
      <c r="C581" s="17" t="s">
        <v>1518</v>
      </c>
    </row>
    <row r="582" spans="1:3">
      <c r="A582" s="19">
        <v>901460331</v>
      </c>
      <c r="B582" s="19" t="s">
        <v>1519</v>
      </c>
      <c r="C582" s="17" t="s">
        <v>1520</v>
      </c>
    </row>
    <row r="583" spans="1:3">
      <c r="A583" s="19">
        <v>901466649</v>
      </c>
      <c r="B583" s="19" t="s">
        <v>1521</v>
      </c>
      <c r="C583" s="17" t="s">
        <v>1522</v>
      </c>
    </row>
    <row r="584" spans="1:3">
      <c r="A584" s="19">
        <v>901500254</v>
      </c>
      <c r="B584" s="19" t="s">
        <v>1523</v>
      </c>
      <c r="C584" s="17" t="s">
        <v>1524</v>
      </c>
    </row>
    <row r="585" spans="1:3">
      <c r="A585" s="19">
        <v>901513865</v>
      </c>
      <c r="B585" s="19" t="s">
        <v>1525</v>
      </c>
      <c r="C585" s="17" t="s">
        <v>1526</v>
      </c>
    </row>
    <row r="586" spans="1:3">
      <c r="A586" s="19">
        <v>901516816</v>
      </c>
      <c r="B586" s="19" t="s">
        <v>1527</v>
      </c>
      <c r="C586" s="18" t="s">
        <v>1528</v>
      </c>
    </row>
    <row r="587" spans="1:3">
      <c r="A587" s="19">
        <v>901528763</v>
      </c>
      <c r="B587" s="19" t="s">
        <v>1529</v>
      </c>
      <c r="C587" s="17" t="s">
        <v>1530</v>
      </c>
    </row>
    <row r="588" spans="1:3">
      <c r="A588" s="19">
        <v>901537850</v>
      </c>
      <c r="B588" s="19" t="s">
        <v>1531</v>
      </c>
      <c r="C588" s="17" t="s">
        <v>1532</v>
      </c>
    </row>
    <row r="589" spans="1:3">
      <c r="A589" s="19">
        <v>901583701</v>
      </c>
      <c r="B589" s="19" t="s">
        <v>1533</v>
      </c>
      <c r="C589" s="17" t="s">
        <v>1534</v>
      </c>
    </row>
    <row r="590" spans="1:3">
      <c r="A590" s="19">
        <v>901604423</v>
      </c>
      <c r="B590" s="19" t="s">
        <v>1535</v>
      </c>
      <c r="C590" s="17" t="s">
        <v>1536</v>
      </c>
    </row>
    <row r="591" spans="1:3">
      <c r="A591" s="19">
        <v>901610000</v>
      </c>
      <c r="B591" s="19" t="s">
        <v>1537</v>
      </c>
      <c r="C591" s="17" t="s">
        <v>1538</v>
      </c>
    </row>
    <row r="592" spans="1:3">
      <c r="A592" s="19">
        <v>901615733</v>
      </c>
      <c r="B592" s="19" t="s">
        <v>1539</v>
      </c>
      <c r="C592" s="17" t="s">
        <v>1540</v>
      </c>
    </row>
    <row r="593" spans="1:3">
      <c r="A593" s="19">
        <v>901639185</v>
      </c>
      <c r="B593" s="19" t="s">
        <v>1541</v>
      </c>
      <c r="C593" s="17" t="s">
        <v>1542</v>
      </c>
    </row>
    <row r="594" spans="1:3">
      <c r="A594" s="19">
        <v>901640082</v>
      </c>
      <c r="B594" s="19" t="s">
        <v>1543</v>
      </c>
      <c r="C594" s="17" t="s">
        <v>1544</v>
      </c>
    </row>
    <row r="595" spans="1:3">
      <c r="A595" s="19">
        <v>901676508</v>
      </c>
      <c r="B595" s="19" t="s">
        <v>1545</v>
      </c>
      <c r="C595" s="17" t="s">
        <v>1546</v>
      </c>
    </row>
    <row r="596" spans="1:3">
      <c r="A596" s="19">
        <v>901695020</v>
      </c>
      <c r="B596" s="19" t="s">
        <v>1547</v>
      </c>
      <c r="C596" s="17" t="s">
        <v>1548</v>
      </c>
    </row>
    <row r="597" spans="1:3">
      <c r="A597" s="19">
        <v>901706681</v>
      </c>
      <c r="B597" s="19" t="s">
        <v>1549</v>
      </c>
      <c r="C597" s="17" t="s">
        <v>1550</v>
      </c>
    </row>
    <row r="598" spans="1:3">
      <c r="A598" s="19">
        <v>901718056</v>
      </c>
      <c r="B598" s="19" t="s">
        <v>1551</v>
      </c>
      <c r="C598" s="17" t="s">
        <v>1552</v>
      </c>
    </row>
    <row r="599" spans="1:3">
      <c r="A599" s="19">
        <v>901727858</v>
      </c>
      <c r="B599" s="19" t="s">
        <v>1553</v>
      </c>
      <c r="C599" s="17" t="s">
        <v>1554</v>
      </c>
    </row>
    <row r="600" spans="1:3">
      <c r="A600" s="19">
        <v>901790713</v>
      </c>
      <c r="B600" s="19" t="s">
        <v>1555</v>
      </c>
      <c r="C600" s="17" t="s">
        <v>1556</v>
      </c>
    </row>
    <row r="601" spans="1:3">
      <c r="A601" s="19">
        <v>901801828</v>
      </c>
      <c r="B601" s="19" t="s">
        <v>1557</v>
      </c>
      <c r="C601" s="17" t="s">
        <v>1558</v>
      </c>
    </row>
    <row r="602" spans="1:3">
      <c r="A602" s="19">
        <v>901809134</v>
      </c>
      <c r="B602" s="19" t="s">
        <v>1559</v>
      </c>
      <c r="C602" s="17" t="s">
        <v>1560</v>
      </c>
    </row>
    <row r="603" spans="1:3">
      <c r="A603" s="19">
        <v>901830610</v>
      </c>
      <c r="B603" s="19" t="s">
        <v>1561</v>
      </c>
      <c r="C603" s="17" t="s">
        <v>1562</v>
      </c>
    </row>
    <row r="604" spans="1:3">
      <c r="A604" s="19">
        <v>901833353</v>
      </c>
      <c r="B604" s="19" t="s">
        <v>1563</v>
      </c>
      <c r="C604" s="17" t="s">
        <v>1564</v>
      </c>
    </row>
    <row r="605" spans="1:3">
      <c r="A605" s="19">
        <v>901848901</v>
      </c>
      <c r="B605" s="19" t="s">
        <v>1565</v>
      </c>
      <c r="C605" s="17" t="s">
        <v>1566</v>
      </c>
    </row>
    <row r="606" spans="1:3">
      <c r="A606" s="19">
        <v>901886575</v>
      </c>
      <c r="B606" s="19" t="s">
        <v>1567</v>
      </c>
      <c r="C606" s="17" t="s">
        <v>1568</v>
      </c>
    </row>
    <row r="607" spans="1:3">
      <c r="A607" s="19">
        <v>901902084</v>
      </c>
      <c r="B607" s="19" t="s">
        <v>1569</v>
      </c>
      <c r="C607" s="17" t="s">
        <v>1570</v>
      </c>
    </row>
    <row r="608" spans="1:3">
      <c r="A608" s="19">
        <v>901935637</v>
      </c>
      <c r="B608" s="19" t="s">
        <v>1571</v>
      </c>
      <c r="C608" s="18" t="s">
        <v>1572</v>
      </c>
    </row>
    <row r="609" spans="1:3">
      <c r="A609" s="19">
        <v>901949378</v>
      </c>
      <c r="B609" s="19" t="s">
        <v>1573</v>
      </c>
      <c r="C609" s="17" t="s">
        <v>1574</v>
      </c>
    </row>
    <row r="610" spans="1:3">
      <c r="A610" s="19">
        <v>901971218</v>
      </c>
      <c r="B610" s="19" t="s">
        <v>1575</v>
      </c>
      <c r="C610" s="17" t="s">
        <v>1576</v>
      </c>
    </row>
    <row r="611" spans="1:3">
      <c r="A611" s="19">
        <v>901973987</v>
      </c>
      <c r="B611" s="19" t="s">
        <v>1577</v>
      </c>
      <c r="C611" s="17" t="s">
        <v>1578</v>
      </c>
    </row>
    <row r="612" spans="1:3">
      <c r="A612" s="19">
        <v>901978797</v>
      </c>
      <c r="B612" s="19" t="s">
        <v>1579</v>
      </c>
      <c r="C612" s="17" t="s">
        <v>1580</v>
      </c>
    </row>
    <row r="613" spans="1:3">
      <c r="A613" s="19">
        <v>902032760</v>
      </c>
      <c r="B613" s="19" t="s">
        <v>1581</v>
      </c>
      <c r="C613" s="17" t="s">
        <v>1582</v>
      </c>
    </row>
    <row r="614" spans="1:3">
      <c r="A614" s="19">
        <v>902036348</v>
      </c>
      <c r="B614" s="19" t="s">
        <v>1583</v>
      </c>
      <c r="C614" s="17" t="s">
        <v>1584</v>
      </c>
    </row>
    <row r="615" spans="1:3">
      <c r="A615" s="19">
        <v>902056368</v>
      </c>
      <c r="B615" s="19" t="s">
        <v>1585</v>
      </c>
      <c r="C615" s="17" t="s">
        <v>1586</v>
      </c>
    </row>
    <row r="616" spans="1:3">
      <c r="A616" s="19">
        <v>902083668</v>
      </c>
      <c r="B616" s="19" t="s">
        <v>1587</v>
      </c>
      <c r="C616" s="17" t="s">
        <v>1588</v>
      </c>
    </row>
    <row r="617" spans="1:3">
      <c r="A617" s="19">
        <v>902096785</v>
      </c>
      <c r="B617" s="19" t="s">
        <v>1589</v>
      </c>
      <c r="C617" s="17" t="s">
        <v>1590</v>
      </c>
    </row>
    <row r="618" spans="1:3">
      <c r="A618" s="19">
        <v>902103441</v>
      </c>
      <c r="B618" s="19" t="s">
        <v>1591</v>
      </c>
      <c r="C618" s="17" t="s">
        <v>1592</v>
      </c>
    </row>
    <row r="619" spans="1:3">
      <c r="A619" s="19">
        <v>902112255</v>
      </c>
      <c r="B619" s="19" t="s">
        <v>1593</v>
      </c>
      <c r="C619" s="17" t="s">
        <v>1594</v>
      </c>
    </row>
    <row r="620" spans="1:3">
      <c r="A620" s="19">
        <v>902113035</v>
      </c>
      <c r="B620" s="19" t="s">
        <v>1595</v>
      </c>
      <c r="C620" s="17" t="s">
        <v>1596</v>
      </c>
    </row>
    <row r="621" spans="1:3">
      <c r="A621" s="19">
        <v>902117442</v>
      </c>
      <c r="B621" s="19" t="s">
        <v>1597</v>
      </c>
      <c r="C621" s="17" t="s">
        <v>1598</v>
      </c>
    </row>
    <row r="622" spans="1:3">
      <c r="A622" s="19">
        <v>902136201</v>
      </c>
      <c r="B622" s="19" t="s">
        <v>1599</v>
      </c>
      <c r="C622" s="18" t="s">
        <v>1600</v>
      </c>
    </row>
    <row r="623" spans="1:3">
      <c r="A623" s="19">
        <v>902137293</v>
      </c>
      <c r="B623" s="19" t="s">
        <v>1601</v>
      </c>
      <c r="C623" s="17" t="s">
        <v>1602</v>
      </c>
    </row>
    <row r="624" spans="1:3">
      <c r="A624" s="19">
        <v>902147186</v>
      </c>
      <c r="B624" s="19" t="s">
        <v>1603</v>
      </c>
      <c r="C624" s="17" t="s">
        <v>1604</v>
      </c>
    </row>
    <row r="625" spans="1:3">
      <c r="A625" s="19">
        <v>902150358</v>
      </c>
      <c r="B625" s="19" t="s">
        <v>1605</v>
      </c>
      <c r="C625" s="17" t="s">
        <v>1606</v>
      </c>
    </row>
    <row r="626" spans="1:3">
      <c r="A626" s="19">
        <v>902155623</v>
      </c>
      <c r="B626" s="19" t="s">
        <v>1607</v>
      </c>
      <c r="C626" s="17" t="s">
        <v>1608</v>
      </c>
    </row>
    <row r="627" spans="1:3">
      <c r="A627" s="19">
        <v>902163644</v>
      </c>
      <c r="B627" s="19" t="s">
        <v>1609</v>
      </c>
      <c r="C627" s="17" t="s">
        <v>1610</v>
      </c>
    </row>
    <row r="628" spans="1:3">
      <c r="A628" s="19">
        <v>902185380</v>
      </c>
      <c r="B628" s="19" t="s">
        <v>1611</v>
      </c>
      <c r="C628" s="17" t="s">
        <v>1612</v>
      </c>
    </row>
    <row r="629" spans="1:3">
      <c r="A629" s="19">
        <v>902186147</v>
      </c>
      <c r="B629" s="19" t="s">
        <v>1613</v>
      </c>
      <c r="C629" s="17" t="s">
        <v>1614</v>
      </c>
    </row>
    <row r="630" spans="1:3">
      <c r="A630" s="19">
        <v>902186745</v>
      </c>
      <c r="B630" s="19" t="s">
        <v>1615</v>
      </c>
      <c r="C630" s="18" t="s">
        <v>1616</v>
      </c>
    </row>
    <row r="631" spans="1:3">
      <c r="A631" s="19">
        <v>902216450</v>
      </c>
      <c r="B631" s="19" t="s">
        <v>1617</v>
      </c>
      <c r="C631" s="17" t="s">
        <v>1618</v>
      </c>
    </row>
    <row r="632" spans="1:3">
      <c r="A632" s="19">
        <v>902221312</v>
      </c>
      <c r="B632" s="19" t="s">
        <v>1619</v>
      </c>
      <c r="C632" s="17" t="s">
        <v>1620</v>
      </c>
    </row>
    <row r="633" spans="1:3">
      <c r="A633" s="19">
        <v>902222066</v>
      </c>
      <c r="B633" s="19" t="s">
        <v>1621</v>
      </c>
      <c r="C633" s="17" t="s">
        <v>1622</v>
      </c>
    </row>
    <row r="634" spans="1:3">
      <c r="A634" s="19">
        <v>902248859</v>
      </c>
      <c r="B634" s="19" t="s">
        <v>1623</v>
      </c>
      <c r="C634" s="17" t="s">
        <v>1624</v>
      </c>
    </row>
    <row r="635" spans="1:3">
      <c r="A635" s="19">
        <v>902254956</v>
      </c>
      <c r="B635" s="19" t="s">
        <v>1625</v>
      </c>
      <c r="C635" s="17" t="s">
        <v>1626</v>
      </c>
    </row>
    <row r="636" spans="1:3">
      <c r="A636" s="19">
        <v>902289562</v>
      </c>
      <c r="B636" s="19" t="s">
        <v>1627</v>
      </c>
      <c r="C636" s="17" t="s">
        <v>1628</v>
      </c>
    </row>
    <row r="637" spans="1:3">
      <c r="A637" s="19">
        <v>902354978</v>
      </c>
      <c r="B637" s="19" t="s">
        <v>1629</v>
      </c>
      <c r="C637" s="17" t="s">
        <v>1630</v>
      </c>
    </row>
    <row r="638" spans="1:3">
      <c r="A638" s="19">
        <v>902365599</v>
      </c>
      <c r="B638" s="19" t="s">
        <v>1631</v>
      </c>
      <c r="C638" s="18" t="s">
        <v>1632</v>
      </c>
    </row>
    <row r="639" spans="1:3">
      <c r="A639" s="19">
        <v>902366275</v>
      </c>
      <c r="B639" s="19" t="s">
        <v>1633</v>
      </c>
      <c r="C639" s="17" t="s">
        <v>1634</v>
      </c>
    </row>
    <row r="640" spans="1:3">
      <c r="A640" s="19">
        <v>902393978</v>
      </c>
      <c r="B640" s="19" t="s">
        <v>1635</v>
      </c>
      <c r="C640" s="17" t="s">
        <v>1636</v>
      </c>
    </row>
    <row r="641" spans="1:3">
      <c r="A641" s="19">
        <v>902408382</v>
      </c>
      <c r="B641" s="19" t="s">
        <v>1637</v>
      </c>
      <c r="C641" s="18" t="s">
        <v>1638</v>
      </c>
    </row>
    <row r="642" spans="1:3">
      <c r="A642" s="19">
        <v>902442988</v>
      </c>
      <c r="B642" s="19" t="s">
        <v>1639</v>
      </c>
      <c r="C642" s="17" t="s">
        <v>1640</v>
      </c>
    </row>
    <row r="643" spans="1:3">
      <c r="A643" s="19">
        <v>902444262</v>
      </c>
      <c r="B643" s="19" t="s">
        <v>1641</v>
      </c>
      <c r="C643" s="17" t="s">
        <v>1642</v>
      </c>
    </row>
    <row r="644" spans="1:3">
      <c r="A644" s="19">
        <v>902449995</v>
      </c>
      <c r="B644" s="19" t="s">
        <v>1643</v>
      </c>
      <c r="C644" s="17" t="s">
        <v>1644</v>
      </c>
    </row>
    <row r="645" spans="1:3">
      <c r="A645" s="19">
        <v>902457847</v>
      </c>
      <c r="B645" s="19" t="s">
        <v>1645</v>
      </c>
      <c r="C645" s="17" t="s">
        <v>1646</v>
      </c>
    </row>
    <row r="646" spans="1:3">
      <c r="A646" s="19">
        <v>902469378</v>
      </c>
      <c r="B646" s="19" t="s">
        <v>1647</v>
      </c>
      <c r="C646" s="17" t="s">
        <v>1648</v>
      </c>
    </row>
    <row r="647" spans="1:3">
      <c r="A647" s="19">
        <v>902476632</v>
      </c>
      <c r="B647" s="19" t="s">
        <v>1649</v>
      </c>
      <c r="C647" s="17" t="s">
        <v>1650</v>
      </c>
    </row>
    <row r="648" spans="1:3">
      <c r="A648" s="19">
        <v>902493350</v>
      </c>
      <c r="B648" s="19" t="s">
        <v>1651</v>
      </c>
      <c r="C648" s="17" t="s">
        <v>1652</v>
      </c>
    </row>
    <row r="649" spans="1:3">
      <c r="A649" s="19">
        <v>902536445</v>
      </c>
      <c r="B649" s="19" t="s">
        <v>1653</v>
      </c>
      <c r="C649" s="17" t="s">
        <v>1654</v>
      </c>
    </row>
    <row r="650" spans="1:3">
      <c r="A650" s="19">
        <v>902558376</v>
      </c>
      <c r="B650" s="19" t="s">
        <v>1655</v>
      </c>
      <c r="C650" s="17" t="s">
        <v>1656</v>
      </c>
    </row>
    <row r="651" spans="1:3">
      <c r="A651" s="19">
        <v>902575432</v>
      </c>
      <c r="B651" s="19" t="s">
        <v>1657</v>
      </c>
      <c r="C651" s="17" t="s">
        <v>1658</v>
      </c>
    </row>
    <row r="652" spans="1:3">
      <c r="A652" s="19">
        <v>902628810</v>
      </c>
      <c r="B652" s="19" t="s">
        <v>1659</v>
      </c>
      <c r="C652" s="17" t="s">
        <v>1660</v>
      </c>
    </row>
    <row r="653" spans="1:3">
      <c r="A653" s="19">
        <v>902630825</v>
      </c>
      <c r="B653" s="19" t="s">
        <v>1661</v>
      </c>
      <c r="C653" s="17" t="s">
        <v>1662</v>
      </c>
    </row>
    <row r="654" spans="1:3">
      <c r="A654" s="19">
        <v>902638118</v>
      </c>
      <c r="B654" s="19" t="s">
        <v>1663</v>
      </c>
      <c r="C654" s="17" t="s">
        <v>1664</v>
      </c>
    </row>
    <row r="655" spans="1:3">
      <c r="A655" s="19">
        <v>902688220</v>
      </c>
      <c r="B655" s="19" t="s">
        <v>1665</v>
      </c>
      <c r="C655" s="17" t="s">
        <v>1666</v>
      </c>
    </row>
    <row r="656" spans="1:3">
      <c r="A656" s="19">
        <v>902771381</v>
      </c>
      <c r="B656" s="19" t="s">
        <v>1667</v>
      </c>
      <c r="C656" s="17" t="s">
        <v>1668</v>
      </c>
    </row>
    <row r="657" spans="1:3">
      <c r="A657" s="19">
        <v>902774735</v>
      </c>
      <c r="B657" s="19" t="s">
        <v>1669</v>
      </c>
      <c r="C657" s="17" t="s">
        <v>1670</v>
      </c>
    </row>
    <row r="658" spans="1:3">
      <c r="A658" s="19">
        <v>902788619</v>
      </c>
      <c r="B658" s="19" t="s">
        <v>1671</v>
      </c>
      <c r="C658" s="17" t="s">
        <v>1672</v>
      </c>
    </row>
    <row r="659" spans="1:3">
      <c r="A659" s="19">
        <v>902805870</v>
      </c>
      <c r="B659" s="19" t="s">
        <v>1673</v>
      </c>
      <c r="C659" s="18" t="s">
        <v>1674</v>
      </c>
    </row>
    <row r="660" spans="1:3">
      <c r="A660" s="19">
        <v>902847704</v>
      </c>
      <c r="B660" s="19" t="s">
        <v>1675</v>
      </c>
      <c r="C660" s="17" t="s">
        <v>1676</v>
      </c>
    </row>
    <row r="661" spans="1:3">
      <c r="A661" s="19">
        <v>902851305</v>
      </c>
      <c r="B661" s="19" t="s">
        <v>1677</v>
      </c>
      <c r="C661" s="17" t="s">
        <v>1678</v>
      </c>
    </row>
    <row r="662" spans="1:3">
      <c r="A662" s="19">
        <v>902858104</v>
      </c>
      <c r="B662" s="19" t="s">
        <v>1679</v>
      </c>
      <c r="C662" s="17" t="s">
        <v>1680</v>
      </c>
    </row>
    <row r="663" spans="1:3">
      <c r="A663" s="19">
        <v>902862550</v>
      </c>
      <c r="B663" s="19" t="s">
        <v>1681</v>
      </c>
      <c r="C663" s="17" t="s">
        <v>1682</v>
      </c>
    </row>
    <row r="664" spans="1:3">
      <c r="A664" s="19">
        <v>902863915</v>
      </c>
      <c r="B664" s="19" t="s">
        <v>1683</v>
      </c>
      <c r="C664" s="17" t="s">
        <v>1684</v>
      </c>
    </row>
    <row r="665" spans="1:3">
      <c r="A665" s="19">
        <v>902883376</v>
      </c>
      <c r="B665" s="19" t="s">
        <v>1685</v>
      </c>
      <c r="C665" s="17" t="s">
        <v>1686</v>
      </c>
    </row>
    <row r="666" spans="1:3">
      <c r="A666" s="19">
        <v>902884286</v>
      </c>
      <c r="B666" s="19" t="s">
        <v>1687</v>
      </c>
      <c r="C666" s="17" t="s">
        <v>1688</v>
      </c>
    </row>
    <row r="667" spans="1:3">
      <c r="A667" s="19">
        <v>902895648</v>
      </c>
      <c r="B667" s="19" t="s">
        <v>1689</v>
      </c>
      <c r="C667" s="17" t="s">
        <v>1690</v>
      </c>
    </row>
    <row r="668" spans="1:3">
      <c r="A668" s="19">
        <v>902933465</v>
      </c>
      <c r="B668" s="19" t="s">
        <v>1691</v>
      </c>
      <c r="C668" s="17" t="s">
        <v>1692</v>
      </c>
    </row>
    <row r="669" spans="1:3">
      <c r="A669" s="19">
        <v>902935155</v>
      </c>
      <c r="B669" s="19" t="s">
        <v>1693</v>
      </c>
      <c r="C669" s="17" t="s">
        <v>1694</v>
      </c>
    </row>
    <row r="670" spans="1:3">
      <c r="A670" s="19">
        <v>902967798</v>
      </c>
      <c r="B670" s="19" t="s">
        <v>1695</v>
      </c>
      <c r="C670" s="17" t="s">
        <v>1696</v>
      </c>
    </row>
    <row r="671" spans="1:3">
      <c r="A671" s="19">
        <v>902969189</v>
      </c>
      <c r="B671" s="19" t="s">
        <v>1697</v>
      </c>
      <c r="C671" s="17" t="s">
        <v>1698</v>
      </c>
    </row>
    <row r="672" spans="1:3">
      <c r="A672" s="19">
        <v>902969722</v>
      </c>
      <c r="B672" s="19" t="s">
        <v>1699</v>
      </c>
      <c r="C672" s="18" t="s">
        <v>1700</v>
      </c>
    </row>
    <row r="673" spans="1:3">
      <c r="A673" s="19">
        <v>902975767</v>
      </c>
      <c r="B673" s="19" t="s">
        <v>1701</v>
      </c>
      <c r="C673" s="17" t="s">
        <v>1702</v>
      </c>
    </row>
    <row r="674" spans="1:3">
      <c r="A674" s="19">
        <v>902976066</v>
      </c>
      <c r="B674" s="19" t="s">
        <v>1703</v>
      </c>
      <c r="C674" s="17" t="s">
        <v>1704</v>
      </c>
    </row>
    <row r="675" spans="1:3">
      <c r="A675" s="19">
        <v>902977002</v>
      </c>
      <c r="B675" s="19" t="s">
        <v>1705</v>
      </c>
      <c r="C675" s="17" t="s">
        <v>1706</v>
      </c>
    </row>
    <row r="676" spans="1:3">
      <c r="A676" s="19">
        <v>903044355</v>
      </c>
      <c r="B676" s="19" t="s">
        <v>1707</v>
      </c>
      <c r="C676" s="17" t="s">
        <v>1708</v>
      </c>
    </row>
    <row r="677" spans="1:3">
      <c r="A677" s="19">
        <v>903044628</v>
      </c>
      <c r="B677" s="19" t="s">
        <v>1709</v>
      </c>
      <c r="C677" s="17" t="s">
        <v>1710</v>
      </c>
    </row>
    <row r="678" spans="1:3">
      <c r="A678" s="19">
        <v>903066858</v>
      </c>
      <c r="B678" s="19" t="s">
        <v>1711</v>
      </c>
      <c r="C678" s="17" t="s">
        <v>1712</v>
      </c>
    </row>
    <row r="679" spans="1:3">
      <c r="A679" s="19">
        <v>903103804</v>
      </c>
      <c r="B679" s="19" t="s">
        <v>1713</v>
      </c>
      <c r="C679" s="17" t="s">
        <v>1714</v>
      </c>
    </row>
    <row r="680" spans="1:3">
      <c r="A680" s="19">
        <v>903110603</v>
      </c>
      <c r="B680" s="19" t="s">
        <v>1715</v>
      </c>
      <c r="C680" s="18" t="s">
        <v>1716</v>
      </c>
    </row>
    <row r="681" spans="1:3">
      <c r="A681" s="19">
        <v>903114854</v>
      </c>
      <c r="B681" s="19" t="s">
        <v>1717</v>
      </c>
      <c r="C681" s="17" t="s">
        <v>1718</v>
      </c>
    </row>
    <row r="682" spans="1:3">
      <c r="A682" s="19">
        <v>903120782</v>
      </c>
      <c r="B682" s="19" t="s">
        <v>1719</v>
      </c>
      <c r="C682" s="17" t="s">
        <v>1720</v>
      </c>
    </row>
    <row r="683" spans="1:3">
      <c r="A683" s="19">
        <v>903127919</v>
      </c>
      <c r="B683" s="19" t="s">
        <v>1721</v>
      </c>
      <c r="C683" s="17" t="s">
        <v>1722</v>
      </c>
    </row>
    <row r="684" spans="1:3">
      <c r="A684" s="19">
        <v>903162642</v>
      </c>
      <c r="B684" s="19" t="s">
        <v>1723</v>
      </c>
      <c r="C684" s="17" t="s">
        <v>1724</v>
      </c>
    </row>
    <row r="685" spans="1:3">
      <c r="A685" s="19">
        <v>903171066</v>
      </c>
      <c r="B685" s="19" t="s">
        <v>1725</v>
      </c>
      <c r="C685" s="17" t="s">
        <v>1726</v>
      </c>
    </row>
    <row r="686" spans="1:3">
      <c r="A686" s="19">
        <v>903185119</v>
      </c>
      <c r="B686" s="19" t="s">
        <v>1727</v>
      </c>
      <c r="C686" s="17" t="s">
        <v>1728</v>
      </c>
    </row>
    <row r="687" spans="1:3">
      <c r="A687" s="19">
        <v>903261884</v>
      </c>
      <c r="B687" s="19" t="s">
        <v>1729</v>
      </c>
      <c r="C687" s="17" t="s">
        <v>1730</v>
      </c>
    </row>
    <row r="688" spans="1:3">
      <c r="A688" s="19">
        <v>903321879</v>
      </c>
      <c r="B688" s="19" t="s">
        <v>1731</v>
      </c>
      <c r="C688" s="17" t="s">
        <v>1732</v>
      </c>
    </row>
    <row r="689" spans="1:3">
      <c r="A689" s="19">
        <v>903340807</v>
      </c>
      <c r="B689" s="19" t="s">
        <v>1733</v>
      </c>
      <c r="C689" s="17" t="s">
        <v>1734</v>
      </c>
    </row>
    <row r="690" spans="1:3">
      <c r="A690" s="19">
        <v>903345955</v>
      </c>
      <c r="B690" s="19" t="s">
        <v>1735</v>
      </c>
      <c r="C690" s="17" t="s">
        <v>1736</v>
      </c>
    </row>
    <row r="691" spans="1:3">
      <c r="A691" s="19">
        <v>903352624</v>
      </c>
      <c r="B691" s="19" t="s">
        <v>1737</v>
      </c>
      <c r="C691" s="17" t="s">
        <v>1738</v>
      </c>
    </row>
    <row r="692" spans="1:3">
      <c r="A692" s="19">
        <v>903375829</v>
      </c>
      <c r="B692" s="19" t="s">
        <v>1739</v>
      </c>
      <c r="C692" s="17" t="s">
        <v>1740</v>
      </c>
    </row>
    <row r="693" spans="1:3">
      <c r="A693" s="19">
        <v>903377662</v>
      </c>
      <c r="B693" s="19" t="s">
        <v>1741</v>
      </c>
      <c r="C693" s="17" t="s">
        <v>1742</v>
      </c>
    </row>
    <row r="694" spans="1:3">
      <c r="A694" s="19">
        <v>903407003</v>
      </c>
      <c r="B694" s="19" t="s">
        <v>1743</v>
      </c>
      <c r="C694" s="17" t="s">
        <v>1744</v>
      </c>
    </row>
    <row r="695" spans="1:3">
      <c r="A695" s="19">
        <v>903413464</v>
      </c>
      <c r="B695" s="19" t="s">
        <v>1745</v>
      </c>
      <c r="C695" s="17" t="s">
        <v>1746</v>
      </c>
    </row>
    <row r="696" spans="1:3">
      <c r="A696" s="19">
        <v>903420536</v>
      </c>
      <c r="B696" s="19" t="s">
        <v>1747</v>
      </c>
      <c r="C696" s="17" t="s">
        <v>1748</v>
      </c>
    </row>
    <row r="697" spans="1:3">
      <c r="A697" s="19">
        <v>903469650</v>
      </c>
      <c r="B697" s="19" t="s">
        <v>1749</v>
      </c>
      <c r="C697" s="17" t="s">
        <v>1750</v>
      </c>
    </row>
    <row r="698" spans="1:3">
      <c r="A698" s="19">
        <v>903471756</v>
      </c>
      <c r="B698" s="19" t="s">
        <v>1751</v>
      </c>
      <c r="C698" s="17" t="s">
        <v>1752</v>
      </c>
    </row>
    <row r="699" spans="1:3">
      <c r="A699" s="19">
        <v>903472029</v>
      </c>
      <c r="B699" s="19" t="s">
        <v>1753</v>
      </c>
      <c r="C699" s="17" t="s">
        <v>1754</v>
      </c>
    </row>
    <row r="700" spans="1:3">
      <c r="A700" s="19">
        <v>903473914</v>
      </c>
      <c r="B700" s="19" t="s">
        <v>1755</v>
      </c>
      <c r="C700" s="17" t="s">
        <v>1756</v>
      </c>
    </row>
    <row r="701" spans="1:3">
      <c r="A701" s="19">
        <v>903478763</v>
      </c>
      <c r="B701" s="19" t="s">
        <v>1757</v>
      </c>
      <c r="C701" s="17" t="s">
        <v>1758</v>
      </c>
    </row>
    <row r="702" spans="1:3">
      <c r="A702" s="19">
        <v>903480466</v>
      </c>
      <c r="B702" s="19" t="s">
        <v>1759</v>
      </c>
      <c r="C702" s="17" t="s">
        <v>1760</v>
      </c>
    </row>
    <row r="703" spans="1:3">
      <c r="A703" s="19">
        <v>903489982</v>
      </c>
      <c r="B703" s="19" t="s">
        <v>1761</v>
      </c>
      <c r="C703" s="17" t="s">
        <v>1762</v>
      </c>
    </row>
    <row r="704" spans="1:3">
      <c r="A704" s="19">
        <v>903502631</v>
      </c>
      <c r="B704" s="19" t="s">
        <v>1763</v>
      </c>
      <c r="C704" s="17" t="s">
        <v>1764</v>
      </c>
    </row>
    <row r="705" spans="1:3">
      <c r="A705" s="19">
        <v>903503086</v>
      </c>
      <c r="B705" s="19" t="s">
        <v>1765</v>
      </c>
      <c r="C705" s="17" t="s">
        <v>1766</v>
      </c>
    </row>
    <row r="706" spans="1:3">
      <c r="A706" s="19">
        <v>903505439</v>
      </c>
      <c r="B706" s="19" t="s">
        <v>1767</v>
      </c>
      <c r="C706" s="17" t="s">
        <v>1768</v>
      </c>
    </row>
    <row r="707" spans="1:3">
      <c r="A707" s="19">
        <v>903548820</v>
      </c>
      <c r="B707" s="19" t="s">
        <v>1769</v>
      </c>
      <c r="C707" s="17" t="s">
        <v>1770</v>
      </c>
    </row>
    <row r="708" spans="1:3">
      <c r="A708" s="19">
        <v>903581658</v>
      </c>
      <c r="B708" s="19" t="s">
        <v>1771</v>
      </c>
      <c r="C708" s="17" t="s">
        <v>1772</v>
      </c>
    </row>
    <row r="709" spans="1:3">
      <c r="A709" s="19">
        <v>903605500</v>
      </c>
      <c r="B709" s="19" t="s">
        <v>1773</v>
      </c>
      <c r="C709" s="17" t="s">
        <v>1774</v>
      </c>
    </row>
    <row r="710" spans="1:3">
      <c r="A710" s="19">
        <v>903635400</v>
      </c>
      <c r="B710" s="19" t="s">
        <v>1775</v>
      </c>
      <c r="C710" s="17" t="s">
        <v>1776</v>
      </c>
    </row>
    <row r="711" spans="1:3">
      <c r="A711" s="19">
        <v>903637493</v>
      </c>
      <c r="B711" s="19" t="s">
        <v>1777</v>
      </c>
      <c r="C711" s="17" t="s">
        <v>1778</v>
      </c>
    </row>
    <row r="712" spans="1:3">
      <c r="A712" s="19">
        <v>903650337</v>
      </c>
      <c r="B712" s="19" t="s">
        <v>1779</v>
      </c>
      <c r="C712" s="17" t="s">
        <v>1780</v>
      </c>
    </row>
    <row r="713" spans="1:3">
      <c r="A713" s="19">
        <v>903664468</v>
      </c>
      <c r="B713" s="19" t="s">
        <v>1781</v>
      </c>
      <c r="C713" s="17" t="s">
        <v>1782</v>
      </c>
    </row>
    <row r="714" spans="1:3">
      <c r="A714" s="19">
        <v>903710930</v>
      </c>
      <c r="B714" s="19" t="s">
        <v>1783</v>
      </c>
      <c r="C714" s="17" t="s">
        <v>1784</v>
      </c>
    </row>
    <row r="715" spans="1:3">
      <c r="A715" s="19">
        <v>903716598</v>
      </c>
      <c r="B715" s="19" t="s">
        <v>1785</v>
      </c>
      <c r="C715" s="17" t="s">
        <v>1786</v>
      </c>
    </row>
    <row r="716" spans="1:3">
      <c r="A716" s="19">
        <v>903725308</v>
      </c>
      <c r="B716" s="19" t="s">
        <v>1787</v>
      </c>
      <c r="C716" s="17" t="s">
        <v>1788</v>
      </c>
    </row>
    <row r="717" spans="1:3">
      <c r="A717" s="19">
        <v>903763073</v>
      </c>
      <c r="B717" s="19" t="s">
        <v>1789</v>
      </c>
      <c r="C717" s="17" t="s">
        <v>1790</v>
      </c>
    </row>
    <row r="718" spans="1:3">
      <c r="A718" s="19">
        <v>903776879</v>
      </c>
      <c r="B718" s="19" t="s">
        <v>1791</v>
      </c>
      <c r="C718" s="17" t="s">
        <v>1792</v>
      </c>
    </row>
    <row r="719" spans="1:3">
      <c r="A719" s="19">
        <v>903783977</v>
      </c>
      <c r="B719" s="19" t="s">
        <v>1793</v>
      </c>
      <c r="C719" s="17" t="s">
        <v>1794</v>
      </c>
    </row>
    <row r="720" spans="1:3">
      <c r="A720" s="19">
        <v>903794884</v>
      </c>
      <c r="B720" s="19" t="s">
        <v>1795</v>
      </c>
      <c r="C720" s="18" t="s">
        <v>1796</v>
      </c>
    </row>
    <row r="721" spans="1:3">
      <c r="A721" s="19">
        <v>903815099</v>
      </c>
      <c r="B721" s="19" t="s">
        <v>1797</v>
      </c>
      <c r="C721" s="17" t="s">
        <v>1798</v>
      </c>
    </row>
    <row r="722" spans="1:3">
      <c r="A722" s="19">
        <v>903815112</v>
      </c>
      <c r="B722" s="19" t="s">
        <v>1799</v>
      </c>
      <c r="C722" s="17" t="s">
        <v>1800</v>
      </c>
    </row>
    <row r="723" spans="1:3">
      <c r="A723" s="19">
        <v>903818388</v>
      </c>
      <c r="B723" s="19" t="s">
        <v>1801</v>
      </c>
      <c r="C723" s="17" t="s">
        <v>1802</v>
      </c>
    </row>
    <row r="724" spans="1:3">
      <c r="A724" s="19">
        <v>903881828</v>
      </c>
      <c r="B724" s="19" t="s">
        <v>1803</v>
      </c>
      <c r="C724" s="17" t="s">
        <v>1804</v>
      </c>
    </row>
    <row r="725" spans="1:3">
      <c r="A725" s="19">
        <v>903897493</v>
      </c>
      <c r="B725" s="19" t="s">
        <v>1805</v>
      </c>
      <c r="C725" s="17" t="s">
        <v>1806</v>
      </c>
    </row>
    <row r="726" spans="1:3">
      <c r="A726" s="19">
        <v>903901653</v>
      </c>
      <c r="B726" s="19" t="s">
        <v>1807</v>
      </c>
      <c r="C726" s="17" t="s">
        <v>1808</v>
      </c>
    </row>
    <row r="727" spans="1:3">
      <c r="A727" s="19">
        <v>903914367</v>
      </c>
      <c r="B727" s="19" t="s">
        <v>1809</v>
      </c>
      <c r="C727" s="17" t="s">
        <v>1810</v>
      </c>
    </row>
    <row r="728" spans="1:3">
      <c r="A728" s="19">
        <v>903918488</v>
      </c>
      <c r="B728" s="19" t="s">
        <v>1811</v>
      </c>
      <c r="C728" s="17" t="s">
        <v>1812</v>
      </c>
    </row>
    <row r="729" spans="1:3">
      <c r="A729" s="19">
        <v>903924546</v>
      </c>
      <c r="B729" s="19" t="s">
        <v>1813</v>
      </c>
      <c r="C729" s="17" t="s">
        <v>1814</v>
      </c>
    </row>
    <row r="730" spans="1:3">
      <c r="A730" s="19">
        <v>903927809</v>
      </c>
      <c r="B730" s="19" t="s">
        <v>1815</v>
      </c>
      <c r="C730" s="17" t="s">
        <v>1816</v>
      </c>
    </row>
    <row r="731" spans="1:3">
      <c r="A731" s="19">
        <v>903931332</v>
      </c>
      <c r="B731" s="19" t="s">
        <v>1817</v>
      </c>
      <c r="C731" s="17" t="s">
        <v>1818</v>
      </c>
    </row>
    <row r="732" spans="1:3">
      <c r="A732" s="19">
        <v>903934192</v>
      </c>
      <c r="B732" s="19" t="s">
        <v>1819</v>
      </c>
      <c r="C732" s="17" t="s">
        <v>1820</v>
      </c>
    </row>
    <row r="733" spans="1:3">
      <c r="A733" s="19">
        <v>903938131</v>
      </c>
      <c r="B733" s="19" t="s">
        <v>1821</v>
      </c>
      <c r="C733" s="17" t="s">
        <v>1822</v>
      </c>
    </row>
    <row r="734" spans="1:3">
      <c r="A734" s="19">
        <v>903993784</v>
      </c>
      <c r="B734" s="19" t="s">
        <v>1823</v>
      </c>
      <c r="C734" s="17" t="s">
        <v>1824</v>
      </c>
    </row>
    <row r="735" spans="1:3">
      <c r="A735" s="19">
        <v>904001012</v>
      </c>
      <c r="B735" s="19" t="s">
        <v>1825</v>
      </c>
      <c r="C735" s="17" t="s">
        <v>1826</v>
      </c>
    </row>
    <row r="736" spans="1:3">
      <c r="A736" s="19">
        <v>904023398</v>
      </c>
      <c r="B736" s="19" t="s">
        <v>1827</v>
      </c>
      <c r="C736" s="17" t="s">
        <v>1828</v>
      </c>
    </row>
    <row r="737" spans="1:3">
      <c r="A737" s="19">
        <v>904050685</v>
      </c>
      <c r="B737" s="19" t="s">
        <v>1829</v>
      </c>
      <c r="C737" s="17" t="s">
        <v>1830</v>
      </c>
    </row>
    <row r="738" spans="1:3">
      <c r="A738" s="19">
        <v>904053649</v>
      </c>
      <c r="B738" s="19" t="s">
        <v>1831</v>
      </c>
      <c r="C738" s="17" t="s">
        <v>1832</v>
      </c>
    </row>
    <row r="739" spans="1:3">
      <c r="A739" s="19">
        <v>904063269</v>
      </c>
      <c r="B739" s="19" t="s">
        <v>1833</v>
      </c>
      <c r="C739" s="17" t="s">
        <v>1834</v>
      </c>
    </row>
    <row r="740" spans="1:3">
      <c r="A740" s="19">
        <v>904066129</v>
      </c>
      <c r="B740" s="19" t="s">
        <v>1835</v>
      </c>
      <c r="C740" s="17" t="s">
        <v>1836</v>
      </c>
    </row>
    <row r="741" spans="1:3">
      <c r="A741" s="19">
        <v>904081729</v>
      </c>
      <c r="B741" s="19" t="s">
        <v>1837</v>
      </c>
      <c r="C741" s="17" t="s">
        <v>1838</v>
      </c>
    </row>
    <row r="742" spans="1:3">
      <c r="A742" s="19">
        <v>904100410</v>
      </c>
      <c r="B742" s="19" t="s">
        <v>1839</v>
      </c>
      <c r="C742" s="17" t="s">
        <v>1840</v>
      </c>
    </row>
    <row r="743" spans="1:3">
      <c r="A743" s="19">
        <v>904119858</v>
      </c>
      <c r="B743" s="19" t="s">
        <v>1841</v>
      </c>
      <c r="C743" s="17" t="s">
        <v>1842</v>
      </c>
    </row>
    <row r="744" spans="1:3">
      <c r="A744" s="19">
        <v>904129413</v>
      </c>
      <c r="B744" s="19" t="s">
        <v>1843</v>
      </c>
      <c r="C744" s="17" t="s">
        <v>1844</v>
      </c>
    </row>
    <row r="745" spans="1:3">
      <c r="A745" s="19">
        <v>904159157</v>
      </c>
      <c r="B745" s="19" t="s">
        <v>1845</v>
      </c>
      <c r="C745" s="17" t="s">
        <v>1846</v>
      </c>
    </row>
    <row r="746" spans="1:3">
      <c r="A746" s="19">
        <v>904174796</v>
      </c>
      <c r="B746" s="19" t="s">
        <v>1847</v>
      </c>
      <c r="C746" s="17" t="s">
        <v>1848</v>
      </c>
    </row>
    <row r="747" spans="1:3">
      <c r="A747" s="19">
        <v>904176213</v>
      </c>
      <c r="B747" s="19" t="s">
        <v>1849</v>
      </c>
      <c r="C747" s="17" t="s">
        <v>1850</v>
      </c>
    </row>
    <row r="748" spans="1:3">
      <c r="A748" s="19">
        <v>904204995</v>
      </c>
      <c r="B748" s="19" t="s">
        <v>1851</v>
      </c>
      <c r="C748" s="17" t="s">
        <v>1852</v>
      </c>
    </row>
    <row r="749" spans="1:3">
      <c r="A749" s="19">
        <v>904208830</v>
      </c>
      <c r="B749" s="19" t="s">
        <v>1853</v>
      </c>
      <c r="C749" s="17" t="s">
        <v>1854</v>
      </c>
    </row>
    <row r="750" spans="1:3">
      <c r="A750" s="19">
        <v>904212782</v>
      </c>
      <c r="B750" s="19" t="s">
        <v>1855</v>
      </c>
      <c r="C750" s="17" t="s">
        <v>1856</v>
      </c>
    </row>
    <row r="751" spans="1:3">
      <c r="A751" s="19">
        <v>904218463</v>
      </c>
      <c r="B751" s="19" t="s">
        <v>1857</v>
      </c>
      <c r="C751" s="17" t="s">
        <v>1858</v>
      </c>
    </row>
    <row r="752" spans="1:3">
      <c r="A752" s="19">
        <v>904221193</v>
      </c>
      <c r="B752" s="19" t="s">
        <v>1859</v>
      </c>
      <c r="C752" s="17" t="s">
        <v>1860</v>
      </c>
    </row>
    <row r="753" spans="1:3">
      <c r="A753" s="19">
        <v>904229435</v>
      </c>
      <c r="B753" s="19" t="s">
        <v>1861</v>
      </c>
      <c r="C753" s="17" t="s">
        <v>1862</v>
      </c>
    </row>
    <row r="754" spans="1:3">
      <c r="A754" s="19">
        <v>904234037</v>
      </c>
      <c r="B754" s="19" t="s">
        <v>1863</v>
      </c>
      <c r="C754" s="17" t="s">
        <v>1864</v>
      </c>
    </row>
    <row r="755" spans="1:3">
      <c r="A755" s="19">
        <v>904239211</v>
      </c>
      <c r="B755" s="19" t="s">
        <v>1865</v>
      </c>
      <c r="C755" s="17" t="s">
        <v>1866</v>
      </c>
    </row>
    <row r="756" spans="1:3">
      <c r="A756" s="19">
        <v>904251327</v>
      </c>
      <c r="B756" s="19" t="s">
        <v>1867</v>
      </c>
      <c r="C756" s="17" t="s">
        <v>1868</v>
      </c>
    </row>
    <row r="757" spans="1:3">
      <c r="A757" s="19">
        <v>904255045</v>
      </c>
      <c r="B757" s="19" t="s">
        <v>1869</v>
      </c>
      <c r="C757" s="17" t="s">
        <v>1870</v>
      </c>
    </row>
    <row r="758" spans="1:3">
      <c r="A758" s="15">
        <v>904261844</v>
      </c>
      <c r="B758" s="2" t="s">
        <v>1871</v>
      </c>
      <c r="C758" s="21" t="s">
        <v>1872</v>
      </c>
    </row>
    <row r="759" spans="1:3">
      <c r="A759" s="19">
        <v>904284243</v>
      </c>
      <c r="B759" s="19" t="s">
        <v>1873</v>
      </c>
      <c r="C759" s="17" t="s">
        <v>1874</v>
      </c>
    </row>
    <row r="760" spans="1:3">
      <c r="A760" s="19">
        <v>904319811</v>
      </c>
      <c r="B760" s="19" t="s">
        <v>1875</v>
      </c>
      <c r="C760" s="18" t="s">
        <v>1876</v>
      </c>
    </row>
    <row r="761" spans="1:3">
      <c r="A761" s="19">
        <v>904343380</v>
      </c>
      <c r="B761" s="19" t="s">
        <v>1877</v>
      </c>
      <c r="C761" s="17" t="s">
        <v>1878</v>
      </c>
    </row>
    <row r="762" spans="1:3">
      <c r="A762" s="19">
        <v>904358629</v>
      </c>
      <c r="B762" s="19" t="s">
        <v>1879</v>
      </c>
      <c r="C762" s="17" t="s">
        <v>1880</v>
      </c>
    </row>
    <row r="763" spans="1:3">
      <c r="A763" s="19">
        <v>904386865</v>
      </c>
      <c r="B763" s="19" t="s">
        <v>1881</v>
      </c>
      <c r="C763" s="17" t="s">
        <v>1882</v>
      </c>
    </row>
    <row r="764" spans="1:3">
      <c r="A764" s="19">
        <v>904417987</v>
      </c>
      <c r="B764" s="19" t="s">
        <v>1883</v>
      </c>
      <c r="C764" s="17" t="s">
        <v>1884</v>
      </c>
    </row>
    <row r="765" spans="1:3">
      <c r="A765" s="19">
        <v>904421185</v>
      </c>
      <c r="B765" s="19" t="s">
        <v>1885</v>
      </c>
      <c r="C765" s="17" t="s">
        <v>1886</v>
      </c>
    </row>
    <row r="766" spans="1:3">
      <c r="A766" s="19">
        <v>904439320</v>
      </c>
      <c r="B766" s="19" t="s">
        <v>1887</v>
      </c>
      <c r="C766" s="17" t="s">
        <v>1888</v>
      </c>
    </row>
    <row r="767" spans="1:3">
      <c r="A767" s="19">
        <v>904440672</v>
      </c>
      <c r="B767" s="19" t="s">
        <v>1889</v>
      </c>
      <c r="C767" s="18" t="s">
        <v>1890</v>
      </c>
    </row>
    <row r="768" spans="1:3">
      <c r="A768" s="19">
        <v>904440880</v>
      </c>
      <c r="B768" s="19" t="s">
        <v>1891</v>
      </c>
      <c r="C768" s="17" t="s">
        <v>1892</v>
      </c>
    </row>
    <row r="769" spans="1:3">
      <c r="A769" s="19">
        <v>904486120</v>
      </c>
      <c r="B769" s="19" t="s">
        <v>1893</v>
      </c>
      <c r="C769" s="17" t="s">
        <v>1894</v>
      </c>
    </row>
    <row r="770" spans="1:3">
      <c r="A770" s="19">
        <v>904495610</v>
      </c>
      <c r="B770" s="19" t="s">
        <v>1895</v>
      </c>
      <c r="C770" s="17" t="s">
        <v>1896</v>
      </c>
    </row>
    <row r="771" spans="1:3">
      <c r="A771" s="19">
        <v>904499757</v>
      </c>
      <c r="B771" s="19" t="s">
        <v>1897</v>
      </c>
      <c r="C771" s="17" t="s">
        <v>1898</v>
      </c>
    </row>
    <row r="772" spans="1:3">
      <c r="A772" s="19">
        <v>904506257</v>
      </c>
      <c r="B772" s="19" t="s">
        <v>1899</v>
      </c>
      <c r="C772" s="17" t="s">
        <v>1900</v>
      </c>
    </row>
    <row r="773" spans="1:3">
      <c r="A773" s="19">
        <v>904519673</v>
      </c>
      <c r="B773" s="19" t="s">
        <v>1901</v>
      </c>
      <c r="C773" s="17" t="s">
        <v>1902</v>
      </c>
    </row>
    <row r="774" spans="1:3">
      <c r="A774" s="19">
        <v>904532322</v>
      </c>
      <c r="B774" s="19" t="s">
        <v>1903</v>
      </c>
      <c r="C774" s="17" t="s">
        <v>1904</v>
      </c>
    </row>
    <row r="775" spans="1:3">
      <c r="A775" s="19">
        <v>904535338</v>
      </c>
      <c r="B775" s="19" t="s">
        <v>1905</v>
      </c>
      <c r="C775" s="17" t="s">
        <v>1906</v>
      </c>
    </row>
    <row r="776" spans="1:3">
      <c r="A776" s="19">
        <v>904544048</v>
      </c>
      <c r="B776" s="19" t="s">
        <v>1907</v>
      </c>
      <c r="C776" s="17" t="s">
        <v>1908</v>
      </c>
    </row>
    <row r="777" spans="1:3">
      <c r="A777" s="19">
        <v>904547350</v>
      </c>
      <c r="B777" s="19" t="s">
        <v>1909</v>
      </c>
      <c r="C777" s="17" t="s">
        <v>1910</v>
      </c>
    </row>
    <row r="778" spans="1:3">
      <c r="A778" s="19">
        <v>904564822</v>
      </c>
      <c r="B778" s="19" t="s">
        <v>1911</v>
      </c>
      <c r="C778" s="17" t="s">
        <v>1912</v>
      </c>
    </row>
    <row r="779" spans="1:3">
      <c r="A779" s="19">
        <v>904565264</v>
      </c>
      <c r="B779" s="19" t="s">
        <v>1913</v>
      </c>
      <c r="C779" s="17" t="s">
        <v>1914</v>
      </c>
    </row>
    <row r="780" spans="1:3">
      <c r="A780" s="19">
        <v>904566057</v>
      </c>
      <c r="B780" s="19" t="s">
        <v>1915</v>
      </c>
      <c r="C780" s="17" t="s">
        <v>1916</v>
      </c>
    </row>
    <row r="781" spans="1:3">
      <c r="A781" s="19">
        <v>904574156</v>
      </c>
      <c r="B781" s="19" t="s">
        <v>1917</v>
      </c>
      <c r="C781" s="17" t="s">
        <v>1918</v>
      </c>
    </row>
    <row r="782" spans="1:3">
      <c r="A782" s="19">
        <v>904578940</v>
      </c>
      <c r="B782" s="19" t="s">
        <v>1919</v>
      </c>
      <c r="C782" s="17" t="s">
        <v>1920</v>
      </c>
    </row>
    <row r="783" spans="1:3">
      <c r="A783" s="19">
        <v>904585453</v>
      </c>
      <c r="B783" s="19" t="s">
        <v>1921</v>
      </c>
      <c r="C783" s="17" t="s">
        <v>1922</v>
      </c>
    </row>
    <row r="784" spans="1:3">
      <c r="A784" s="19">
        <v>904618629</v>
      </c>
      <c r="B784" s="19" t="s">
        <v>1923</v>
      </c>
      <c r="C784" s="17" t="s">
        <v>1924</v>
      </c>
    </row>
    <row r="785" spans="1:3">
      <c r="A785" s="19">
        <v>904622178</v>
      </c>
      <c r="B785" s="19" t="s">
        <v>1925</v>
      </c>
      <c r="C785" s="17" t="s">
        <v>1926</v>
      </c>
    </row>
    <row r="786" spans="1:3">
      <c r="A786" s="19">
        <v>904622893</v>
      </c>
      <c r="B786" s="19" t="s">
        <v>1927</v>
      </c>
      <c r="C786" s="17" t="s">
        <v>1928</v>
      </c>
    </row>
    <row r="787" spans="1:3">
      <c r="A787" s="19">
        <v>904634580</v>
      </c>
      <c r="B787" s="19" t="s">
        <v>1929</v>
      </c>
      <c r="C787" s="17" t="s">
        <v>1930</v>
      </c>
    </row>
    <row r="788" spans="1:3">
      <c r="A788" s="19">
        <v>904647684</v>
      </c>
      <c r="B788" s="19" t="s">
        <v>1931</v>
      </c>
      <c r="C788" s="17" t="s">
        <v>1932</v>
      </c>
    </row>
    <row r="789" spans="1:3">
      <c r="A789" s="19">
        <v>904660268</v>
      </c>
      <c r="B789" s="19" t="s">
        <v>1933</v>
      </c>
      <c r="C789" s="17" t="s">
        <v>1934</v>
      </c>
    </row>
    <row r="790" spans="1:3">
      <c r="A790" s="19">
        <v>904717429</v>
      </c>
      <c r="B790" s="19" t="s">
        <v>1935</v>
      </c>
      <c r="C790" s="17" t="s">
        <v>1936</v>
      </c>
    </row>
    <row r="791" spans="1:3">
      <c r="A791" s="19">
        <v>904731404</v>
      </c>
      <c r="B791" s="19" t="s">
        <v>1937</v>
      </c>
      <c r="C791" s="17" t="s">
        <v>1938</v>
      </c>
    </row>
    <row r="792" spans="1:3">
      <c r="A792" s="19">
        <v>904768597</v>
      </c>
      <c r="B792" s="19" t="s">
        <v>1939</v>
      </c>
      <c r="C792" s="17" t="s">
        <v>1940</v>
      </c>
    </row>
    <row r="793" spans="1:3">
      <c r="A793" s="19">
        <v>904778581</v>
      </c>
      <c r="B793" s="19" t="s">
        <v>1941</v>
      </c>
      <c r="C793" s="17" t="s">
        <v>1942</v>
      </c>
    </row>
    <row r="794" spans="1:3">
      <c r="A794" s="19">
        <v>904796651</v>
      </c>
      <c r="B794" s="19" t="s">
        <v>1943</v>
      </c>
      <c r="C794" s="17" t="s">
        <v>1944</v>
      </c>
    </row>
    <row r="795" spans="1:3">
      <c r="A795" s="19">
        <v>904803086</v>
      </c>
      <c r="B795" s="19" t="s">
        <v>1945</v>
      </c>
      <c r="C795" s="17" t="s">
        <v>1946</v>
      </c>
    </row>
    <row r="796" spans="1:3">
      <c r="A796" s="19">
        <v>904813421</v>
      </c>
      <c r="B796" s="19" t="s">
        <v>1947</v>
      </c>
      <c r="C796" s="17" t="s">
        <v>1948</v>
      </c>
    </row>
    <row r="797" spans="1:3">
      <c r="A797" s="19">
        <v>904824354</v>
      </c>
      <c r="B797" s="19" t="s">
        <v>1949</v>
      </c>
      <c r="C797" s="17" t="s">
        <v>1950</v>
      </c>
    </row>
    <row r="798" spans="1:3">
      <c r="A798" s="19">
        <v>904825602</v>
      </c>
      <c r="B798" s="19" t="s">
        <v>1951</v>
      </c>
      <c r="C798" s="17" t="s">
        <v>1952</v>
      </c>
    </row>
    <row r="799" spans="1:3">
      <c r="A799" s="19">
        <v>904827266</v>
      </c>
      <c r="B799" s="19" t="s">
        <v>1953</v>
      </c>
      <c r="C799" s="17" t="s">
        <v>1954</v>
      </c>
    </row>
    <row r="800" spans="1:3">
      <c r="A800" s="19">
        <v>904849457</v>
      </c>
      <c r="B800" s="19" t="s">
        <v>1955</v>
      </c>
      <c r="C800" s="17" t="s">
        <v>1956</v>
      </c>
    </row>
    <row r="801" spans="1:3">
      <c r="A801" s="19">
        <v>904859987</v>
      </c>
      <c r="B801" s="19" t="s">
        <v>1957</v>
      </c>
      <c r="C801" s="17" t="s">
        <v>1958</v>
      </c>
    </row>
    <row r="802" spans="1:3">
      <c r="A802" s="19">
        <v>904874768</v>
      </c>
      <c r="B802" s="19" t="s">
        <v>1959</v>
      </c>
      <c r="C802" s="17" t="s">
        <v>1960</v>
      </c>
    </row>
    <row r="803" spans="1:3">
      <c r="A803" s="19">
        <v>904940977</v>
      </c>
      <c r="B803" s="19" t="s">
        <v>1961</v>
      </c>
      <c r="C803" s="17" t="s">
        <v>1962</v>
      </c>
    </row>
    <row r="804" spans="1:3">
      <c r="A804" s="19">
        <v>904959762</v>
      </c>
      <c r="B804" s="19" t="s">
        <v>1963</v>
      </c>
      <c r="C804" s="17" t="s">
        <v>1964</v>
      </c>
    </row>
    <row r="805" spans="1:3">
      <c r="A805" s="19">
        <v>904980679</v>
      </c>
      <c r="B805" s="19" t="s">
        <v>1965</v>
      </c>
      <c r="C805" s="17" t="s">
        <v>1966</v>
      </c>
    </row>
    <row r="806" spans="1:3">
      <c r="A806" s="19">
        <v>904983682</v>
      </c>
      <c r="B806" s="19" t="s">
        <v>1967</v>
      </c>
      <c r="C806" s="17" t="s">
        <v>1968</v>
      </c>
    </row>
    <row r="807" spans="1:3">
      <c r="A807" s="19">
        <v>905005834</v>
      </c>
      <c r="B807" s="19" t="s">
        <v>1969</v>
      </c>
      <c r="C807" s="17" t="s">
        <v>1970</v>
      </c>
    </row>
    <row r="808" spans="1:3">
      <c r="A808" s="19">
        <v>905015903</v>
      </c>
      <c r="B808" s="19" t="s">
        <v>1971</v>
      </c>
      <c r="C808" s="17" t="s">
        <v>1972</v>
      </c>
    </row>
    <row r="809" spans="1:3">
      <c r="A809" s="19">
        <v>905017170</v>
      </c>
      <c r="B809" s="19" t="s">
        <v>1973</v>
      </c>
      <c r="C809" s="17" t="s">
        <v>1974</v>
      </c>
    </row>
    <row r="810" spans="1:3">
      <c r="A810" s="19">
        <v>905019120</v>
      </c>
      <c r="B810" s="19" t="s">
        <v>1975</v>
      </c>
      <c r="C810" s="17" t="s">
        <v>1976</v>
      </c>
    </row>
    <row r="811" spans="1:3">
      <c r="A811" s="19">
        <v>905044808</v>
      </c>
      <c r="B811" s="19" t="s">
        <v>1977</v>
      </c>
      <c r="C811" s="17" t="s">
        <v>1978</v>
      </c>
    </row>
    <row r="812" spans="1:3">
      <c r="A812" s="19">
        <v>905051971</v>
      </c>
      <c r="B812" s="19" t="s">
        <v>1979</v>
      </c>
      <c r="C812" s="18" t="s">
        <v>1980</v>
      </c>
    </row>
    <row r="813" spans="1:3">
      <c r="A813" s="19">
        <v>905062527</v>
      </c>
      <c r="B813" s="19" t="s">
        <v>1981</v>
      </c>
      <c r="C813" s="17" t="s">
        <v>1982</v>
      </c>
    </row>
    <row r="814" spans="1:3">
      <c r="A814" s="19">
        <v>905071627</v>
      </c>
      <c r="B814" s="19" t="s">
        <v>1983</v>
      </c>
      <c r="C814" s="18" t="s">
        <v>1984</v>
      </c>
    </row>
    <row r="815" spans="1:3">
      <c r="A815" s="19">
        <v>905072420</v>
      </c>
      <c r="B815" s="19" t="s">
        <v>1985</v>
      </c>
      <c r="C815" s="17" t="s">
        <v>1986</v>
      </c>
    </row>
    <row r="816" spans="1:3">
      <c r="A816" s="19">
        <v>905077230</v>
      </c>
      <c r="B816" s="19" t="s">
        <v>1987</v>
      </c>
      <c r="C816" s="17" t="s">
        <v>1988</v>
      </c>
    </row>
    <row r="817" spans="1:3">
      <c r="A817" s="19">
        <v>905086460</v>
      </c>
      <c r="B817" s="19" t="s">
        <v>1989</v>
      </c>
      <c r="C817" s="17" t="s">
        <v>1990</v>
      </c>
    </row>
    <row r="818" spans="1:3">
      <c r="A818" s="19">
        <v>905091153</v>
      </c>
      <c r="B818" s="19" t="s">
        <v>1991</v>
      </c>
      <c r="C818" s="17" t="s">
        <v>1992</v>
      </c>
    </row>
    <row r="819" spans="1:3">
      <c r="A819" s="19">
        <v>905128151</v>
      </c>
      <c r="B819" s="19" t="s">
        <v>1993</v>
      </c>
      <c r="C819" s="17" t="s">
        <v>1994</v>
      </c>
    </row>
    <row r="820" spans="1:3">
      <c r="A820" s="19">
        <v>905152045</v>
      </c>
      <c r="B820" s="19" t="s">
        <v>1995</v>
      </c>
      <c r="C820" s="17" t="s">
        <v>1996</v>
      </c>
    </row>
    <row r="821" spans="1:3">
      <c r="A821" s="19">
        <v>905185260</v>
      </c>
      <c r="B821" s="19" t="s">
        <v>1997</v>
      </c>
      <c r="C821" s="17" t="s">
        <v>1998</v>
      </c>
    </row>
    <row r="822" spans="1:3">
      <c r="A822" s="19">
        <v>905200743</v>
      </c>
      <c r="B822" s="19" t="s">
        <v>1999</v>
      </c>
      <c r="C822" s="17" t="s">
        <v>2000</v>
      </c>
    </row>
    <row r="823" spans="1:3">
      <c r="A823" s="19">
        <v>905218917</v>
      </c>
      <c r="B823" s="19" t="s">
        <v>2001</v>
      </c>
      <c r="C823" s="17" t="s">
        <v>2002</v>
      </c>
    </row>
    <row r="824" spans="1:3">
      <c r="A824" s="19">
        <v>905252535</v>
      </c>
      <c r="B824" s="19" t="s">
        <v>2003</v>
      </c>
      <c r="C824" s="17" t="s">
        <v>2004</v>
      </c>
    </row>
    <row r="825" spans="1:3">
      <c r="A825" s="19">
        <v>905256890</v>
      </c>
      <c r="B825" s="19" t="s">
        <v>2005</v>
      </c>
      <c r="C825" s="17" t="s">
        <v>2006</v>
      </c>
    </row>
    <row r="826" spans="1:3">
      <c r="A826" s="19">
        <v>905284034</v>
      </c>
      <c r="B826" s="19" t="s">
        <v>2007</v>
      </c>
      <c r="C826" s="17" t="s">
        <v>2008</v>
      </c>
    </row>
    <row r="827" spans="1:3">
      <c r="A827" s="19">
        <v>905299595</v>
      </c>
      <c r="B827" s="19" t="s">
        <v>2009</v>
      </c>
      <c r="C827" s="17" t="s">
        <v>2010</v>
      </c>
    </row>
    <row r="828" spans="1:3">
      <c r="A828" s="19">
        <v>905306316</v>
      </c>
      <c r="B828" s="19" t="s">
        <v>2011</v>
      </c>
      <c r="C828" s="17" t="s">
        <v>2012</v>
      </c>
    </row>
    <row r="829" spans="1:3">
      <c r="A829" s="19">
        <v>905317041</v>
      </c>
      <c r="B829" s="19" t="s">
        <v>2013</v>
      </c>
      <c r="C829" s="17" t="s">
        <v>2014</v>
      </c>
    </row>
    <row r="830" spans="1:3">
      <c r="A830" s="19">
        <v>905323229</v>
      </c>
      <c r="B830" s="19" t="s">
        <v>2015</v>
      </c>
      <c r="C830" s="17" t="s">
        <v>2016</v>
      </c>
    </row>
    <row r="831" spans="1:3">
      <c r="A831" s="19">
        <v>905343990</v>
      </c>
      <c r="B831" s="19" t="s">
        <v>2017</v>
      </c>
      <c r="C831" s="18" t="s">
        <v>2018</v>
      </c>
    </row>
    <row r="832" spans="1:3">
      <c r="A832" s="19">
        <v>905344757</v>
      </c>
      <c r="B832" s="19" t="s">
        <v>2019</v>
      </c>
      <c r="C832" s="17" t="s">
        <v>2020</v>
      </c>
    </row>
    <row r="833" spans="1:3">
      <c r="A833" s="19">
        <v>905362125</v>
      </c>
      <c r="B833" s="19" t="s">
        <v>2021</v>
      </c>
      <c r="C833" s="17" t="s">
        <v>2022</v>
      </c>
    </row>
    <row r="834" spans="1:3">
      <c r="A834" s="19">
        <v>905377270</v>
      </c>
      <c r="B834" s="19" t="s">
        <v>2023</v>
      </c>
      <c r="C834" s="17" t="s">
        <v>2024</v>
      </c>
    </row>
    <row r="835" spans="1:3">
      <c r="A835" s="19">
        <v>905377413</v>
      </c>
      <c r="B835" s="19" t="s">
        <v>2025</v>
      </c>
      <c r="C835" s="17" t="s">
        <v>2026</v>
      </c>
    </row>
    <row r="836" spans="1:3">
      <c r="A836" s="19">
        <v>905377959</v>
      </c>
      <c r="B836" s="19" t="s">
        <v>2027</v>
      </c>
      <c r="C836" s="17" t="s">
        <v>2028</v>
      </c>
    </row>
    <row r="837" spans="1:3">
      <c r="A837" s="19">
        <v>905387124</v>
      </c>
      <c r="B837" s="19" t="s">
        <v>2029</v>
      </c>
      <c r="C837" s="17" t="s">
        <v>2030</v>
      </c>
    </row>
    <row r="838" spans="1:3">
      <c r="A838" s="19">
        <v>905387982</v>
      </c>
      <c r="B838" s="19" t="s">
        <v>2031</v>
      </c>
      <c r="C838" s="17" t="s">
        <v>2032</v>
      </c>
    </row>
    <row r="839" spans="1:3">
      <c r="A839" s="19">
        <v>905451799</v>
      </c>
      <c r="B839" s="19" t="s">
        <v>2033</v>
      </c>
      <c r="C839" s="17" t="s">
        <v>2034</v>
      </c>
    </row>
    <row r="840" spans="1:3">
      <c r="A840" s="19">
        <v>905475251</v>
      </c>
      <c r="B840" s="19" t="s">
        <v>2035</v>
      </c>
      <c r="C840" s="18" t="s">
        <v>2036</v>
      </c>
    </row>
    <row r="841" spans="1:3">
      <c r="A841" s="19">
        <v>905495453</v>
      </c>
      <c r="B841" s="19" t="s">
        <v>2037</v>
      </c>
      <c r="C841" s="17" t="s">
        <v>2038</v>
      </c>
    </row>
    <row r="842" spans="1:3">
      <c r="A842" s="19">
        <v>905508258</v>
      </c>
      <c r="B842" s="19" t="s">
        <v>2039</v>
      </c>
      <c r="C842" s="17" t="s">
        <v>2040</v>
      </c>
    </row>
    <row r="843" spans="1:3">
      <c r="A843" s="19">
        <v>905518593</v>
      </c>
      <c r="B843" s="19" t="s">
        <v>2041</v>
      </c>
      <c r="C843" s="17" t="s">
        <v>2042</v>
      </c>
    </row>
    <row r="844" spans="1:3">
      <c r="A844" s="19">
        <v>905538964</v>
      </c>
      <c r="B844" s="19" t="s">
        <v>2043</v>
      </c>
      <c r="C844" s="17" t="s">
        <v>2044</v>
      </c>
    </row>
    <row r="845" spans="1:3">
      <c r="A845" s="19">
        <v>905547557</v>
      </c>
      <c r="B845" s="19" t="s">
        <v>2045</v>
      </c>
      <c r="C845" s="17" t="s">
        <v>2046</v>
      </c>
    </row>
    <row r="846" spans="1:3">
      <c r="A846" s="19">
        <v>905588312</v>
      </c>
      <c r="B846" s="19" t="s">
        <v>2047</v>
      </c>
      <c r="C846" s="17" t="s">
        <v>2048</v>
      </c>
    </row>
    <row r="847" spans="1:3">
      <c r="A847" s="19">
        <v>905596684</v>
      </c>
      <c r="B847" s="19" t="s">
        <v>2049</v>
      </c>
      <c r="C847" s="17" t="s">
        <v>2050</v>
      </c>
    </row>
    <row r="848" spans="1:3">
      <c r="A848" s="19">
        <v>905639480</v>
      </c>
      <c r="B848" s="19" t="s">
        <v>2051</v>
      </c>
      <c r="C848" s="17" t="s">
        <v>2052</v>
      </c>
    </row>
    <row r="849" spans="1:3">
      <c r="A849" s="19">
        <v>905646383</v>
      </c>
      <c r="B849" s="19" t="s">
        <v>2053</v>
      </c>
      <c r="C849" s="17" t="s">
        <v>2054</v>
      </c>
    </row>
    <row r="850" spans="1:3">
      <c r="A850" s="19">
        <v>905685162</v>
      </c>
      <c r="B850" s="19" t="s">
        <v>2055</v>
      </c>
      <c r="C850" s="17" t="s">
        <v>2056</v>
      </c>
    </row>
    <row r="851" spans="1:3">
      <c r="A851" s="19">
        <v>905723135</v>
      </c>
      <c r="B851" s="19" t="s">
        <v>2057</v>
      </c>
      <c r="C851" s="17" t="s">
        <v>2058</v>
      </c>
    </row>
    <row r="852" spans="1:3">
      <c r="A852" s="19">
        <v>905751436</v>
      </c>
      <c r="B852" s="19" t="s">
        <v>2059</v>
      </c>
      <c r="C852" s="17" t="s">
        <v>2060</v>
      </c>
    </row>
    <row r="853" spans="1:3">
      <c r="A853" s="19">
        <v>905760796</v>
      </c>
      <c r="B853" s="19" t="s">
        <v>2061</v>
      </c>
      <c r="C853" s="17" t="s">
        <v>2062</v>
      </c>
    </row>
    <row r="854" spans="1:3">
      <c r="A854" s="19">
        <v>905787095</v>
      </c>
      <c r="B854" s="19" t="s">
        <v>2063</v>
      </c>
      <c r="C854" s="18" t="s">
        <v>2064</v>
      </c>
    </row>
    <row r="855" spans="1:3">
      <c r="A855" s="19">
        <v>905800108</v>
      </c>
      <c r="B855" s="19" t="s">
        <v>2065</v>
      </c>
      <c r="C855" s="17" t="s">
        <v>2066</v>
      </c>
    </row>
    <row r="856" spans="1:3">
      <c r="A856" s="19">
        <v>905815903</v>
      </c>
      <c r="B856" s="19" t="s">
        <v>1971</v>
      </c>
      <c r="C856" s="17" t="s">
        <v>1972</v>
      </c>
    </row>
    <row r="857" spans="1:3">
      <c r="A857" s="19">
        <v>905826745</v>
      </c>
      <c r="B857" s="19" t="s">
        <v>2067</v>
      </c>
      <c r="C857" s="17" t="s">
        <v>2068</v>
      </c>
    </row>
    <row r="858" spans="1:3">
      <c r="A858" s="19">
        <v>905828604</v>
      </c>
      <c r="B858" s="19" t="s">
        <v>2069</v>
      </c>
      <c r="C858" s="17" t="s">
        <v>2070</v>
      </c>
    </row>
    <row r="859" spans="1:3">
      <c r="A859" s="19">
        <v>905851432</v>
      </c>
      <c r="B859" s="19" t="s">
        <v>2071</v>
      </c>
      <c r="C859" s="17" t="s">
        <v>2072</v>
      </c>
    </row>
    <row r="860" spans="1:3">
      <c r="A860" s="11">
        <v>905907800</v>
      </c>
      <c r="B860" s="11" t="s">
        <v>2073</v>
      </c>
      <c r="C860" s="20" t="s">
        <v>2074</v>
      </c>
    </row>
    <row r="861" spans="1:3">
      <c r="A861" s="19">
        <v>905928262</v>
      </c>
      <c r="B861" s="19" t="s">
        <v>2075</v>
      </c>
      <c r="C861" s="17" t="s">
        <v>2076</v>
      </c>
    </row>
    <row r="862" spans="1:3">
      <c r="A862" s="19">
        <v>905943706</v>
      </c>
      <c r="B862" s="19" t="s">
        <v>2077</v>
      </c>
      <c r="C862" s="17" t="s">
        <v>2078</v>
      </c>
    </row>
    <row r="863" spans="1:3">
      <c r="A863" s="19">
        <v>905951571</v>
      </c>
      <c r="B863" s="19" t="s">
        <v>2079</v>
      </c>
      <c r="C863" s="17" t="s">
        <v>2080</v>
      </c>
    </row>
    <row r="864" spans="1:3">
      <c r="A864" s="19">
        <v>905954340</v>
      </c>
      <c r="B864" s="19" t="s">
        <v>2081</v>
      </c>
      <c r="C864" s="17" t="s">
        <v>2082</v>
      </c>
    </row>
    <row r="865" spans="1:3">
      <c r="A865" s="19">
        <v>905958448</v>
      </c>
      <c r="B865" s="19" t="s">
        <v>2083</v>
      </c>
      <c r="C865" s="17" t="s">
        <v>2084</v>
      </c>
    </row>
    <row r="866" spans="1:3">
      <c r="A866" s="15">
        <v>905965819</v>
      </c>
      <c r="B866" s="1" t="s">
        <v>2085</v>
      </c>
      <c r="C866" s="18" t="s">
        <v>2086</v>
      </c>
    </row>
    <row r="867" spans="1:3">
      <c r="A867" s="19">
        <v>906003571</v>
      </c>
      <c r="B867" s="19" t="s">
        <v>2087</v>
      </c>
      <c r="C867" s="17" t="s">
        <v>2088</v>
      </c>
    </row>
    <row r="868" spans="1:3">
      <c r="A868" s="19">
        <v>906013217</v>
      </c>
      <c r="B868" s="19" t="s">
        <v>2089</v>
      </c>
      <c r="C868" s="17" t="s">
        <v>2090</v>
      </c>
    </row>
    <row r="869" spans="1:3">
      <c r="A869" s="19">
        <v>906015011</v>
      </c>
      <c r="B869" s="19" t="s">
        <v>2091</v>
      </c>
      <c r="C869" s="17" t="s">
        <v>2092</v>
      </c>
    </row>
    <row r="870" spans="1:3">
      <c r="A870" s="19">
        <v>906065308</v>
      </c>
      <c r="B870" s="19" t="s">
        <v>2093</v>
      </c>
      <c r="C870" s="17" t="s">
        <v>2094</v>
      </c>
    </row>
    <row r="871" spans="1:3">
      <c r="A871" s="19">
        <v>906088188</v>
      </c>
      <c r="B871" s="19" t="s">
        <v>2095</v>
      </c>
      <c r="C871" s="18" t="s">
        <v>2096</v>
      </c>
    </row>
    <row r="872" spans="1:3">
      <c r="A872" s="19">
        <v>906090853</v>
      </c>
      <c r="B872" s="19" t="s">
        <v>2097</v>
      </c>
      <c r="C872" s="17" t="s">
        <v>2098</v>
      </c>
    </row>
    <row r="873" spans="1:3">
      <c r="A873" s="19">
        <v>906149938</v>
      </c>
      <c r="B873" s="19" t="s">
        <v>2099</v>
      </c>
      <c r="C873" s="17" t="s">
        <v>2100</v>
      </c>
    </row>
    <row r="874" spans="1:3">
      <c r="A874" s="19">
        <v>906166279</v>
      </c>
      <c r="B874" s="19" t="s">
        <v>2101</v>
      </c>
      <c r="C874" s="17" t="s">
        <v>2102</v>
      </c>
    </row>
    <row r="875" spans="1:3">
      <c r="A875" s="19">
        <v>906177628</v>
      </c>
      <c r="B875" s="19" t="s">
        <v>2103</v>
      </c>
      <c r="C875" s="17" t="s">
        <v>2104</v>
      </c>
    </row>
    <row r="876" spans="1:3">
      <c r="A876" s="19">
        <v>906178421</v>
      </c>
      <c r="B876" s="19" t="s">
        <v>2105</v>
      </c>
      <c r="C876" s="17" t="s">
        <v>2106</v>
      </c>
    </row>
    <row r="877" spans="1:3">
      <c r="A877" s="19">
        <v>906197869</v>
      </c>
      <c r="B877" s="19" t="s">
        <v>2107</v>
      </c>
      <c r="C877" s="17" t="s">
        <v>2108</v>
      </c>
    </row>
    <row r="878" spans="1:3">
      <c r="A878" s="19">
        <v>906207684</v>
      </c>
      <c r="B878" s="19" t="s">
        <v>2109</v>
      </c>
      <c r="C878" s="17" t="s">
        <v>2110</v>
      </c>
    </row>
    <row r="879" spans="1:3">
      <c r="A879" s="19">
        <v>906216641</v>
      </c>
      <c r="B879" s="19" t="s">
        <v>2111</v>
      </c>
      <c r="C879" s="17" t="s">
        <v>2112</v>
      </c>
    </row>
    <row r="880" spans="1:3">
      <c r="A880" s="19">
        <v>906232501</v>
      </c>
      <c r="B880" s="19" t="s">
        <v>2113</v>
      </c>
      <c r="C880" s="17" t="s">
        <v>2114</v>
      </c>
    </row>
    <row r="881" spans="1:3">
      <c r="A881" s="19">
        <v>906233866</v>
      </c>
      <c r="B881" s="19" t="s">
        <v>2115</v>
      </c>
      <c r="C881" s="17" t="s">
        <v>2116</v>
      </c>
    </row>
    <row r="882" spans="1:3">
      <c r="A882" s="19">
        <v>906244903</v>
      </c>
      <c r="B882" s="19" t="s">
        <v>2117</v>
      </c>
      <c r="C882" s="17" t="s">
        <v>2118</v>
      </c>
    </row>
    <row r="883" spans="1:3">
      <c r="A883" s="19">
        <v>906269434</v>
      </c>
      <c r="B883" s="19" t="s">
        <v>2119</v>
      </c>
      <c r="C883" s="17" t="s">
        <v>2120</v>
      </c>
    </row>
    <row r="884" spans="1:3">
      <c r="A884" s="19">
        <v>906280055</v>
      </c>
      <c r="B884" s="19" t="s">
        <v>2121</v>
      </c>
      <c r="C884" s="17" t="s">
        <v>2122</v>
      </c>
    </row>
    <row r="885" spans="1:3">
      <c r="A885" s="19">
        <v>906296630</v>
      </c>
      <c r="B885" s="19" t="s">
        <v>2123</v>
      </c>
      <c r="C885" s="17" t="s">
        <v>2124</v>
      </c>
    </row>
    <row r="886" spans="1:3">
      <c r="A886" s="19">
        <v>906306367</v>
      </c>
      <c r="B886" s="19" t="s">
        <v>2125</v>
      </c>
      <c r="C886" s="17" t="s">
        <v>2126</v>
      </c>
    </row>
    <row r="887" spans="1:3">
      <c r="A887" s="19">
        <v>906345575</v>
      </c>
      <c r="B887" s="19" t="s">
        <v>2127</v>
      </c>
      <c r="C887" s="17" t="s">
        <v>2128</v>
      </c>
    </row>
    <row r="888" spans="1:3">
      <c r="A888" s="19">
        <v>906347512</v>
      </c>
      <c r="B888" s="19" t="s">
        <v>2129</v>
      </c>
      <c r="C888" s="17" t="s">
        <v>2130</v>
      </c>
    </row>
    <row r="889" spans="1:3">
      <c r="A889" s="19">
        <v>906392557</v>
      </c>
      <c r="B889" s="19" t="s">
        <v>2131</v>
      </c>
      <c r="C889" s="17" t="s">
        <v>2132</v>
      </c>
    </row>
    <row r="890" spans="1:3">
      <c r="A890" s="19">
        <v>906399616</v>
      </c>
      <c r="B890" s="19" t="s">
        <v>2133</v>
      </c>
      <c r="C890" s="17" t="s">
        <v>2134</v>
      </c>
    </row>
    <row r="891" spans="1:3">
      <c r="A891" s="19">
        <v>906402736</v>
      </c>
      <c r="B891" s="19" t="s">
        <v>2135</v>
      </c>
      <c r="C891" s="17" t="s">
        <v>2136</v>
      </c>
    </row>
    <row r="892" spans="1:3">
      <c r="A892" s="19">
        <v>906407286</v>
      </c>
      <c r="B892" s="19" t="s">
        <v>2137</v>
      </c>
      <c r="C892" s="17" t="s">
        <v>2138</v>
      </c>
    </row>
    <row r="893" spans="1:3">
      <c r="A893" s="19">
        <v>906408430</v>
      </c>
      <c r="B893" s="19" t="s">
        <v>2139</v>
      </c>
      <c r="C893" s="17" t="s">
        <v>2140</v>
      </c>
    </row>
    <row r="894" spans="1:3">
      <c r="A894" s="19">
        <v>906408833</v>
      </c>
      <c r="B894" s="19" t="s">
        <v>2141</v>
      </c>
      <c r="C894" s="17" t="s">
        <v>2142</v>
      </c>
    </row>
    <row r="895" spans="1:3">
      <c r="A895" s="19">
        <v>906445246</v>
      </c>
      <c r="B895" s="19" t="s">
        <v>2143</v>
      </c>
      <c r="C895" s="17" t="s">
        <v>2144</v>
      </c>
    </row>
    <row r="896" spans="1:3">
      <c r="A896" s="19">
        <v>906467879</v>
      </c>
      <c r="B896" s="19" t="s">
        <v>2145</v>
      </c>
      <c r="C896" s="17" t="s">
        <v>2146</v>
      </c>
    </row>
    <row r="897" spans="1:3">
      <c r="A897" s="19">
        <v>906487509</v>
      </c>
      <c r="B897" s="19" t="s">
        <v>2147</v>
      </c>
      <c r="C897" s="17" t="s">
        <v>2148</v>
      </c>
    </row>
    <row r="898" spans="1:3">
      <c r="A898" s="19">
        <v>906495374</v>
      </c>
      <c r="B898" s="19" t="s">
        <v>2149</v>
      </c>
      <c r="C898" s="17" t="s">
        <v>2150</v>
      </c>
    </row>
    <row r="899" spans="1:3">
      <c r="A899" s="19">
        <v>906514913</v>
      </c>
      <c r="B899" s="19" t="s">
        <v>2151</v>
      </c>
      <c r="C899" s="18" t="s">
        <v>2152</v>
      </c>
    </row>
    <row r="900" spans="1:3">
      <c r="A900" s="11">
        <v>906520763</v>
      </c>
      <c r="B900" s="11" t="s">
        <v>2153</v>
      </c>
      <c r="C900" s="18" t="s">
        <v>2154</v>
      </c>
    </row>
    <row r="901" spans="1:3">
      <c r="A901" s="19">
        <v>906530331</v>
      </c>
      <c r="B901" s="19" t="s">
        <v>2155</v>
      </c>
      <c r="C901" s="17" t="s">
        <v>2156</v>
      </c>
    </row>
    <row r="902" spans="1:3">
      <c r="A902" s="19">
        <v>906532606</v>
      </c>
      <c r="B902" s="19" t="s">
        <v>2157</v>
      </c>
      <c r="C902" s="17" t="s">
        <v>2158</v>
      </c>
    </row>
    <row r="903" spans="1:3">
      <c r="A903" s="19">
        <v>906533594</v>
      </c>
      <c r="B903" s="19" t="s">
        <v>2159</v>
      </c>
      <c r="C903" s="17" t="s">
        <v>2160</v>
      </c>
    </row>
    <row r="904" spans="1:3">
      <c r="A904" s="19">
        <v>906533763</v>
      </c>
      <c r="B904" s="19" t="s">
        <v>2161</v>
      </c>
      <c r="C904" s="17" t="s">
        <v>2162</v>
      </c>
    </row>
    <row r="905" spans="1:3">
      <c r="A905" s="19">
        <v>906551690</v>
      </c>
      <c r="B905" s="19" t="s">
        <v>2163</v>
      </c>
      <c r="C905" s="17" t="s">
        <v>2164</v>
      </c>
    </row>
    <row r="906" spans="1:3">
      <c r="A906" s="19">
        <v>906574479</v>
      </c>
      <c r="B906" s="19" t="s">
        <v>2165</v>
      </c>
      <c r="C906" s="17" t="s">
        <v>2166</v>
      </c>
    </row>
    <row r="907" spans="1:3">
      <c r="A907" s="19">
        <v>906903977</v>
      </c>
      <c r="B907" s="19" t="s">
        <v>2167</v>
      </c>
      <c r="C907" s="17" t="s">
        <v>2168</v>
      </c>
    </row>
    <row r="908" spans="1:3">
      <c r="A908" s="19">
        <v>906915066</v>
      </c>
      <c r="B908" s="19" t="s">
        <v>2169</v>
      </c>
      <c r="C908" s="17" t="s">
        <v>2170</v>
      </c>
    </row>
    <row r="909" spans="1:3">
      <c r="A909" s="19">
        <v>906921566</v>
      </c>
      <c r="B909" s="19" t="s">
        <v>2171</v>
      </c>
      <c r="C909" s="17" t="s">
        <v>2172</v>
      </c>
    </row>
    <row r="910" spans="1:3">
      <c r="A910" s="19">
        <v>906926610</v>
      </c>
      <c r="B910" s="19" t="s">
        <v>2173</v>
      </c>
      <c r="C910" s="17" t="s">
        <v>2174</v>
      </c>
    </row>
    <row r="911" spans="1:3">
      <c r="A911" s="19">
        <v>906988737</v>
      </c>
      <c r="B911" s="19" t="s">
        <v>2175</v>
      </c>
      <c r="C911" s="17" t="s">
        <v>2176</v>
      </c>
    </row>
    <row r="912" spans="1:3">
      <c r="A912" s="19">
        <v>906989478</v>
      </c>
      <c r="B912" s="19" t="s">
        <v>2177</v>
      </c>
      <c r="C912" s="17" t="s">
        <v>2178</v>
      </c>
    </row>
    <row r="913" spans="1:3">
      <c r="A913" s="19">
        <v>906992260</v>
      </c>
      <c r="B913" s="19" t="s">
        <v>2179</v>
      </c>
      <c r="C913" s="17" t="s">
        <v>2180</v>
      </c>
    </row>
    <row r="914" spans="1:3">
      <c r="A914" s="19">
        <v>906992832</v>
      </c>
      <c r="B914" s="19" t="s">
        <v>2181</v>
      </c>
      <c r="C914" s="17" t="s">
        <v>2182</v>
      </c>
    </row>
    <row r="915" spans="1:3">
      <c r="A915" s="19">
        <v>906992949</v>
      </c>
      <c r="B915" s="19" t="s">
        <v>2183</v>
      </c>
      <c r="C915" s="17" t="s">
        <v>2184</v>
      </c>
    </row>
    <row r="916" spans="1:3">
      <c r="A916" s="19">
        <v>906992962</v>
      </c>
      <c r="B916" s="19" t="s">
        <v>2185</v>
      </c>
      <c r="C916" s="17" t="s">
        <v>2186</v>
      </c>
    </row>
    <row r="917" spans="1:3">
      <c r="A917" s="19">
        <v>906993053</v>
      </c>
      <c r="B917" s="19" t="s">
        <v>2187</v>
      </c>
      <c r="C917" s="17" t="s">
        <v>2188</v>
      </c>
    </row>
    <row r="918" spans="1:3">
      <c r="A918" s="19">
        <v>906993131</v>
      </c>
      <c r="B918" s="19" t="s">
        <v>2189</v>
      </c>
      <c r="C918" s="17" t="s">
        <v>2190</v>
      </c>
    </row>
    <row r="919" spans="1:3">
      <c r="A919" s="19">
        <v>906993196</v>
      </c>
      <c r="B919" s="19" t="s">
        <v>2191</v>
      </c>
      <c r="C919" s="17" t="s">
        <v>2192</v>
      </c>
    </row>
    <row r="920" spans="1:3">
      <c r="A920" s="19">
        <v>906993222</v>
      </c>
      <c r="B920" s="19" t="s">
        <v>2193</v>
      </c>
      <c r="C920" s="17" t="s">
        <v>2194</v>
      </c>
    </row>
    <row r="921" spans="1:3">
      <c r="A921" s="19">
        <v>906993443</v>
      </c>
      <c r="B921" s="19" t="s">
        <v>2195</v>
      </c>
      <c r="C921" s="17" t="s">
        <v>2196</v>
      </c>
    </row>
    <row r="922" spans="1:3">
      <c r="A922" s="19">
        <v>906996784</v>
      </c>
      <c r="B922" s="19" t="s">
        <v>2197</v>
      </c>
      <c r="C922" s="17" t="s">
        <v>2198</v>
      </c>
    </row>
    <row r="923" spans="1:3">
      <c r="A923" s="19">
        <v>906999384</v>
      </c>
      <c r="B923" s="19" t="s">
        <v>2199</v>
      </c>
      <c r="C923" s="17" t="s">
        <v>2200</v>
      </c>
    </row>
    <row r="924" spans="1:3">
      <c r="A924" s="19">
        <v>907007808</v>
      </c>
      <c r="B924" s="19" t="s">
        <v>2201</v>
      </c>
      <c r="C924" s="17" t="s">
        <v>2202</v>
      </c>
    </row>
    <row r="925" spans="1:3">
      <c r="A925" s="19">
        <v>907013840</v>
      </c>
      <c r="B925" s="19" t="s">
        <v>2203</v>
      </c>
      <c r="C925" s="17" t="s">
        <v>2204</v>
      </c>
    </row>
    <row r="926" spans="1:3">
      <c r="A926" s="19">
        <v>907020067</v>
      </c>
      <c r="B926" s="19" t="s">
        <v>2205</v>
      </c>
      <c r="C926" s="18" t="s">
        <v>2206</v>
      </c>
    </row>
    <row r="927" spans="1:3">
      <c r="A927" s="19">
        <v>907022680</v>
      </c>
      <c r="B927" s="19" t="s">
        <v>2207</v>
      </c>
      <c r="C927" s="17" t="s">
        <v>2208</v>
      </c>
    </row>
    <row r="928" spans="1:3">
      <c r="A928" s="19">
        <v>907042284</v>
      </c>
      <c r="B928" s="19" t="s">
        <v>2209</v>
      </c>
      <c r="C928" s="18" t="s">
        <v>2210</v>
      </c>
    </row>
    <row r="929" spans="1:3">
      <c r="A929" s="19">
        <v>907044715</v>
      </c>
      <c r="B929" s="19" t="s">
        <v>2211</v>
      </c>
      <c r="C929" s="17" t="s">
        <v>2212</v>
      </c>
    </row>
    <row r="930" spans="1:3">
      <c r="A930" s="19">
        <v>907056168</v>
      </c>
      <c r="B930" s="19" t="s">
        <v>2213</v>
      </c>
      <c r="C930" s="17" t="s">
        <v>2214</v>
      </c>
    </row>
    <row r="931" spans="1:3">
      <c r="A931" s="19">
        <v>907057377</v>
      </c>
      <c r="B931" s="19" t="s">
        <v>2215</v>
      </c>
      <c r="C931" s="17" t="s">
        <v>2216</v>
      </c>
    </row>
    <row r="932" spans="1:3">
      <c r="A932" s="19">
        <v>907060016</v>
      </c>
      <c r="B932" s="19" t="s">
        <v>2217</v>
      </c>
      <c r="C932" s="17" t="s">
        <v>2218</v>
      </c>
    </row>
    <row r="933" spans="1:3">
      <c r="A933" s="19">
        <v>907073497</v>
      </c>
      <c r="B933" s="19" t="s">
        <v>2219</v>
      </c>
      <c r="C933" s="17" t="s">
        <v>2220</v>
      </c>
    </row>
    <row r="934" spans="1:3">
      <c r="A934" s="19">
        <v>907077280</v>
      </c>
      <c r="B934" s="19" t="s">
        <v>2221</v>
      </c>
      <c r="C934" s="18" t="s">
        <v>2222</v>
      </c>
    </row>
    <row r="935" spans="1:3">
      <c r="A935" s="19">
        <v>907081791</v>
      </c>
      <c r="B935" s="19" t="s">
        <v>2223</v>
      </c>
      <c r="C935" s="18" t="s">
        <v>2224</v>
      </c>
    </row>
    <row r="936" spans="1:3">
      <c r="A936" s="19">
        <v>907085106</v>
      </c>
      <c r="B936" s="19" t="s">
        <v>2225</v>
      </c>
      <c r="C936" s="17" t="s">
        <v>2226</v>
      </c>
    </row>
    <row r="937" spans="1:3">
      <c r="A937" s="19">
        <v>907089825</v>
      </c>
      <c r="B937" s="19" t="s">
        <v>2227</v>
      </c>
      <c r="C937" s="17" t="s">
        <v>2228</v>
      </c>
    </row>
    <row r="938" spans="1:3">
      <c r="A938" s="19">
        <v>907090514</v>
      </c>
      <c r="B938" s="19" t="s">
        <v>2229</v>
      </c>
      <c r="C938" s="17" t="s">
        <v>2230</v>
      </c>
    </row>
    <row r="939" spans="1:3">
      <c r="A939" s="19">
        <v>907092828</v>
      </c>
      <c r="B939" s="19" t="s">
        <v>2231</v>
      </c>
      <c r="C939" s="17" t="s">
        <v>2232</v>
      </c>
    </row>
    <row r="940" spans="1:3">
      <c r="A940" s="19">
        <v>907097365</v>
      </c>
      <c r="B940" s="19" t="s">
        <v>2233</v>
      </c>
      <c r="C940" s="17" t="s">
        <v>2234</v>
      </c>
    </row>
    <row r="941" spans="1:3">
      <c r="A941" s="19">
        <v>907097677</v>
      </c>
      <c r="B941" s="19" t="s">
        <v>2235</v>
      </c>
      <c r="C941" s="17" t="s">
        <v>2236</v>
      </c>
    </row>
    <row r="942" spans="1:3">
      <c r="A942" s="19">
        <v>907118828</v>
      </c>
      <c r="B942" s="19" t="s">
        <v>2237</v>
      </c>
      <c r="C942" s="17" t="s">
        <v>2238</v>
      </c>
    </row>
    <row r="943" spans="1:3">
      <c r="A943" s="19">
        <v>907133817</v>
      </c>
      <c r="B943" s="19" t="s">
        <v>2239</v>
      </c>
      <c r="C943" s="17" t="s">
        <v>2240</v>
      </c>
    </row>
    <row r="944" spans="1:3">
      <c r="A944" s="19">
        <v>907142579</v>
      </c>
      <c r="B944" s="19" t="s">
        <v>2241</v>
      </c>
      <c r="C944" s="17" t="s">
        <v>2242</v>
      </c>
    </row>
    <row r="945" spans="1:3">
      <c r="A945" s="19">
        <v>907144412</v>
      </c>
      <c r="B945" s="19" t="s">
        <v>2243</v>
      </c>
      <c r="C945" s="18" t="s">
        <v>2244</v>
      </c>
    </row>
    <row r="946" spans="1:3">
      <c r="A946" s="19">
        <v>907156957</v>
      </c>
      <c r="B946" s="19" t="s">
        <v>2245</v>
      </c>
      <c r="C946" s="17" t="s">
        <v>2246</v>
      </c>
    </row>
    <row r="947" spans="1:3">
      <c r="A947" s="19">
        <v>907162820</v>
      </c>
      <c r="B947" s="19" t="s">
        <v>2247</v>
      </c>
      <c r="C947" s="17" t="s">
        <v>2248</v>
      </c>
    </row>
    <row r="948" spans="1:3">
      <c r="A948" s="19">
        <v>907180578</v>
      </c>
      <c r="B948" s="19" t="s">
        <v>2249</v>
      </c>
      <c r="C948" s="17" t="s">
        <v>2250</v>
      </c>
    </row>
    <row r="949" spans="1:3">
      <c r="A949" s="19">
        <v>907184049</v>
      </c>
      <c r="B949" s="19" t="s">
        <v>2251</v>
      </c>
      <c r="C949" s="17" t="s">
        <v>2252</v>
      </c>
    </row>
    <row r="950" spans="1:3">
      <c r="A950" s="19">
        <v>907192876</v>
      </c>
      <c r="B950" s="19" t="s">
        <v>2253</v>
      </c>
      <c r="C950" s="17" t="s">
        <v>2254</v>
      </c>
    </row>
    <row r="951" spans="1:3">
      <c r="A951" s="19">
        <v>907203965</v>
      </c>
      <c r="B951" s="19" t="s">
        <v>2255</v>
      </c>
      <c r="C951" s="18" t="s">
        <v>2256</v>
      </c>
    </row>
    <row r="952" spans="1:3">
      <c r="A952" s="19">
        <v>907219318</v>
      </c>
      <c r="B952" s="19" t="s">
        <v>2257</v>
      </c>
      <c r="C952" s="17" t="s">
        <v>2258</v>
      </c>
    </row>
    <row r="953" spans="1:3">
      <c r="A953" s="19">
        <v>907234788</v>
      </c>
      <c r="B953" s="19" t="s">
        <v>2259</v>
      </c>
      <c r="C953" s="17" t="s">
        <v>2260</v>
      </c>
    </row>
    <row r="954" spans="1:3">
      <c r="A954" s="19">
        <v>907268276</v>
      </c>
      <c r="B954" s="19" t="s">
        <v>2261</v>
      </c>
      <c r="C954" s="18" t="s">
        <v>2262</v>
      </c>
    </row>
    <row r="955" spans="1:3">
      <c r="A955" s="19">
        <v>907272410</v>
      </c>
      <c r="B955" s="19" t="s">
        <v>2263</v>
      </c>
      <c r="C955" s="17" t="s">
        <v>2264</v>
      </c>
    </row>
    <row r="956" spans="1:3">
      <c r="A956" s="19">
        <v>907273866</v>
      </c>
      <c r="B956" s="19" t="s">
        <v>2265</v>
      </c>
      <c r="C956" s="17" t="s">
        <v>2266</v>
      </c>
    </row>
    <row r="957" spans="1:3">
      <c r="A957" s="19">
        <v>907303662</v>
      </c>
      <c r="B957" s="19" t="s">
        <v>2267</v>
      </c>
      <c r="C957" s="18" t="s">
        <v>2268</v>
      </c>
    </row>
    <row r="958" spans="1:3">
      <c r="A958" s="19">
        <v>907328700</v>
      </c>
      <c r="B958" s="19" t="s">
        <v>2269</v>
      </c>
      <c r="C958" s="17" t="s">
        <v>2270</v>
      </c>
    </row>
    <row r="959" spans="1:3">
      <c r="A959" s="19">
        <v>907346601</v>
      </c>
      <c r="B959" s="19" t="s">
        <v>2271</v>
      </c>
      <c r="C959" s="17" t="s">
        <v>2272</v>
      </c>
    </row>
    <row r="960" spans="1:3">
      <c r="A960" s="19">
        <v>907384821</v>
      </c>
      <c r="B960" s="19" t="s">
        <v>2273</v>
      </c>
      <c r="C960" s="17" t="s">
        <v>2274</v>
      </c>
    </row>
    <row r="961" spans="1:3">
      <c r="A961" s="19">
        <v>907429294</v>
      </c>
      <c r="B961" s="19" t="s">
        <v>2275</v>
      </c>
      <c r="C961" s="17" t="s">
        <v>2276</v>
      </c>
    </row>
    <row r="962" spans="1:3">
      <c r="A962" s="19">
        <v>907438056</v>
      </c>
      <c r="B962" s="19" t="s">
        <v>2277</v>
      </c>
      <c r="C962" s="17" t="s">
        <v>2278</v>
      </c>
    </row>
    <row r="963" spans="1:3">
      <c r="A963" s="19">
        <v>907438212</v>
      </c>
      <c r="B963" s="19" t="s">
        <v>2279</v>
      </c>
      <c r="C963" s="17" t="s">
        <v>2280</v>
      </c>
    </row>
    <row r="964" spans="1:3">
      <c r="A964" s="19">
        <v>907441085</v>
      </c>
      <c r="B964" s="19" t="s">
        <v>2281</v>
      </c>
      <c r="C964" s="17" t="s">
        <v>2282</v>
      </c>
    </row>
    <row r="965" spans="1:3">
      <c r="A965" s="19">
        <v>907444010</v>
      </c>
      <c r="B965" s="19" t="s">
        <v>2283</v>
      </c>
      <c r="C965" s="17" t="s">
        <v>2284</v>
      </c>
    </row>
    <row r="966" spans="1:3">
      <c r="A966" s="19">
        <v>907469061</v>
      </c>
      <c r="B966" s="19" t="s">
        <v>2285</v>
      </c>
      <c r="C966" s="17" t="s">
        <v>2286</v>
      </c>
    </row>
    <row r="967" spans="1:3">
      <c r="A967" s="19">
        <v>907487079</v>
      </c>
      <c r="B967" s="19" t="s">
        <v>2287</v>
      </c>
      <c r="C967" s="17" t="s">
        <v>2288</v>
      </c>
    </row>
    <row r="968" spans="1:3">
      <c r="A968" s="19">
        <v>907490082</v>
      </c>
      <c r="B968" s="19" t="s">
        <v>2289</v>
      </c>
      <c r="C968" s="17" t="s">
        <v>2290</v>
      </c>
    </row>
    <row r="969" spans="1:3">
      <c r="A969" s="19">
        <v>907490173</v>
      </c>
      <c r="B969" s="19" t="s">
        <v>2291</v>
      </c>
      <c r="C969" s="17" t="s">
        <v>2292</v>
      </c>
    </row>
    <row r="970" spans="1:3">
      <c r="A970" s="19">
        <v>907491356</v>
      </c>
      <c r="B970" s="19" t="s">
        <v>2293</v>
      </c>
      <c r="C970" s="17" t="s">
        <v>2294</v>
      </c>
    </row>
    <row r="971" spans="1:3">
      <c r="A971" s="19">
        <v>907493683</v>
      </c>
      <c r="B971" s="19" t="s">
        <v>2295</v>
      </c>
      <c r="C971" s="17" t="s">
        <v>2296</v>
      </c>
    </row>
    <row r="972" spans="1:3">
      <c r="A972" s="19">
        <v>907507294</v>
      </c>
      <c r="B972" s="19" t="s">
        <v>2297</v>
      </c>
      <c r="C972" s="17" t="s">
        <v>2298</v>
      </c>
    </row>
    <row r="973" spans="1:3">
      <c r="A973" s="19">
        <v>907521178</v>
      </c>
      <c r="B973" s="19" t="s">
        <v>2299</v>
      </c>
      <c r="C973" s="17" t="s">
        <v>2300</v>
      </c>
    </row>
    <row r="974" spans="1:3">
      <c r="A974" s="19">
        <v>907539989</v>
      </c>
      <c r="B974" s="19" t="s">
        <v>2301</v>
      </c>
      <c r="C974" s="17" t="s">
        <v>2302</v>
      </c>
    </row>
    <row r="975" spans="1:3">
      <c r="A975" s="19">
        <v>907547997</v>
      </c>
      <c r="B975" s="19" t="s">
        <v>2303</v>
      </c>
      <c r="C975" s="17" t="s">
        <v>2304</v>
      </c>
    </row>
    <row r="976" spans="1:3">
      <c r="A976" s="19">
        <v>907551312</v>
      </c>
      <c r="B976" s="19" t="s">
        <v>2305</v>
      </c>
      <c r="C976" s="17" t="s">
        <v>2306</v>
      </c>
    </row>
    <row r="977" spans="1:3">
      <c r="A977" s="19">
        <v>907556512</v>
      </c>
      <c r="B977" s="19" t="s">
        <v>2307</v>
      </c>
      <c r="C977" s="17" t="s">
        <v>2308</v>
      </c>
    </row>
    <row r="978" spans="1:3">
      <c r="A978" s="19">
        <v>907563324</v>
      </c>
      <c r="B978" s="19" t="s">
        <v>2309</v>
      </c>
      <c r="C978" s="17" t="s">
        <v>2310</v>
      </c>
    </row>
    <row r="979" spans="1:3">
      <c r="A979" s="19">
        <v>907563337</v>
      </c>
      <c r="B979" s="19" t="s">
        <v>2311</v>
      </c>
      <c r="C979" s="17" t="s">
        <v>2312</v>
      </c>
    </row>
    <row r="980" spans="1:3">
      <c r="A980" s="19">
        <v>907566626</v>
      </c>
      <c r="B980" s="19" t="s">
        <v>2313</v>
      </c>
      <c r="C980" s="17" t="s">
        <v>2314</v>
      </c>
    </row>
    <row r="981" spans="1:3">
      <c r="A981" s="19">
        <v>907569408</v>
      </c>
      <c r="B981" s="19" t="s">
        <v>2315</v>
      </c>
      <c r="C981" s="17" t="s">
        <v>2316</v>
      </c>
    </row>
    <row r="982" spans="1:3">
      <c r="A982" s="19">
        <v>907570981</v>
      </c>
      <c r="B982" s="19" t="s">
        <v>2317</v>
      </c>
      <c r="C982" s="17" t="s">
        <v>2318</v>
      </c>
    </row>
    <row r="983" spans="1:3">
      <c r="A983" s="19">
        <v>907571683</v>
      </c>
      <c r="B983" s="19" t="s">
        <v>2319</v>
      </c>
      <c r="C983" s="17" t="s">
        <v>2320</v>
      </c>
    </row>
    <row r="984" spans="1:3">
      <c r="A984" s="19">
        <v>907575466</v>
      </c>
      <c r="B984" s="19" t="s">
        <v>2321</v>
      </c>
      <c r="C984" s="17" t="s">
        <v>2322</v>
      </c>
    </row>
    <row r="985" spans="1:3">
      <c r="A985" s="19">
        <v>907580289</v>
      </c>
      <c r="B985" s="19" t="s">
        <v>2323</v>
      </c>
      <c r="C985" s="17" t="s">
        <v>2324</v>
      </c>
    </row>
    <row r="986" spans="1:3">
      <c r="A986" s="19">
        <v>907585580</v>
      </c>
      <c r="B986" s="19" t="s">
        <v>2325</v>
      </c>
      <c r="C986" s="17" t="s">
        <v>2326</v>
      </c>
    </row>
    <row r="987" spans="1:3">
      <c r="A987" s="19">
        <v>907599984</v>
      </c>
      <c r="B987" s="19" t="s">
        <v>2327</v>
      </c>
      <c r="C987" s="17" t="s">
        <v>2328</v>
      </c>
    </row>
    <row r="988" spans="1:3">
      <c r="A988" s="19">
        <v>907603689</v>
      </c>
      <c r="B988" s="19" t="s">
        <v>2329</v>
      </c>
      <c r="C988" s="17" t="s">
        <v>2330</v>
      </c>
    </row>
    <row r="989" spans="1:3">
      <c r="A989" s="19">
        <v>907603858</v>
      </c>
      <c r="B989" s="19" t="s">
        <v>2331</v>
      </c>
      <c r="C989" s="17" t="s">
        <v>2332</v>
      </c>
    </row>
    <row r="990" spans="1:3">
      <c r="A990" s="19">
        <v>907606965</v>
      </c>
      <c r="B990" s="19" t="s">
        <v>2333</v>
      </c>
      <c r="C990" s="18" t="s">
        <v>2334</v>
      </c>
    </row>
    <row r="991" spans="1:3">
      <c r="A991" s="19">
        <v>907607212</v>
      </c>
      <c r="B991" s="19" t="s">
        <v>2335</v>
      </c>
      <c r="C991" s="17" t="s">
        <v>2336</v>
      </c>
    </row>
    <row r="992" spans="1:3">
      <c r="A992" s="19">
        <v>907607277</v>
      </c>
      <c r="B992" s="19" t="s">
        <v>2337</v>
      </c>
      <c r="C992" s="17" t="s">
        <v>2338</v>
      </c>
    </row>
    <row r="993" spans="1:3">
      <c r="A993" s="19">
        <v>907608499</v>
      </c>
      <c r="B993" s="19" t="s">
        <v>2339</v>
      </c>
      <c r="C993" s="17" t="s">
        <v>2340</v>
      </c>
    </row>
    <row r="994" spans="1:3">
      <c r="A994" s="19">
        <v>907608824</v>
      </c>
      <c r="B994" s="19" t="s">
        <v>2341</v>
      </c>
      <c r="C994" s="17" t="s">
        <v>2342</v>
      </c>
    </row>
    <row r="995" spans="1:3">
      <c r="A995" s="19">
        <v>907608837</v>
      </c>
      <c r="B995" s="19" t="s">
        <v>2343</v>
      </c>
      <c r="C995" s="17" t="s">
        <v>2344</v>
      </c>
    </row>
    <row r="996" spans="1:3">
      <c r="A996" s="19">
        <v>907608850</v>
      </c>
      <c r="B996" s="19" t="s">
        <v>2345</v>
      </c>
      <c r="C996" s="17" t="s">
        <v>2346</v>
      </c>
    </row>
    <row r="997" spans="1:3">
      <c r="A997" s="19">
        <v>907608863</v>
      </c>
      <c r="B997" s="19" t="s">
        <v>2347</v>
      </c>
      <c r="C997" s="17" t="s">
        <v>2348</v>
      </c>
    </row>
    <row r="998" spans="1:3">
      <c r="A998" s="19">
        <v>907608876</v>
      </c>
      <c r="B998" s="19" t="s">
        <v>2349</v>
      </c>
      <c r="C998" s="17" t="s">
        <v>2350</v>
      </c>
    </row>
    <row r="999" spans="1:3">
      <c r="A999" s="19">
        <v>907608902</v>
      </c>
      <c r="B999" s="19" t="s">
        <v>2351</v>
      </c>
      <c r="C999" s="17" t="s">
        <v>2352</v>
      </c>
    </row>
    <row r="1000" spans="1:3">
      <c r="A1000" s="19">
        <v>907608915</v>
      </c>
      <c r="B1000" s="19" t="s">
        <v>2353</v>
      </c>
      <c r="C1000" s="17" t="s">
        <v>2354</v>
      </c>
    </row>
    <row r="1001" spans="1:3">
      <c r="A1001" s="19">
        <v>907609006</v>
      </c>
      <c r="B1001" s="19" t="s">
        <v>2355</v>
      </c>
      <c r="C1001" s="17" t="s">
        <v>2356</v>
      </c>
    </row>
    <row r="1002" spans="1:3">
      <c r="A1002" s="19">
        <v>907609019</v>
      </c>
      <c r="B1002" s="19" t="s">
        <v>2357</v>
      </c>
      <c r="C1002" s="17" t="s">
        <v>2358</v>
      </c>
    </row>
    <row r="1003" spans="1:3">
      <c r="A1003" s="19">
        <v>907609045</v>
      </c>
      <c r="B1003" s="19" t="s">
        <v>2359</v>
      </c>
      <c r="C1003" s="17" t="s">
        <v>2360</v>
      </c>
    </row>
    <row r="1004" spans="1:3">
      <c r="A1004" s="19">
        <v>907640297</v>
      </c>
      <c r="B1004" s="19" t="s">
        <v>2361</v>
      </c>
      <c r="C1004" s="17" t="s">
        <v>2362</v>
      </c>
    </row>
    <row r="1005" spans="1:3">
      <c r="A1005" s="19">
        <v>907641610</v>
      </c>
      <c r="B1005" s="19" t="s">
        <v>2363</v>
      </c>
      <c r="C1005" s="17" t="s">
        <v>2364</v>
      </c>
    </row>
    <row r="1006" spans="1:3">
      <c r="A1006" s="19">
        <v>907696795</v>
      </c>
      <c r="B1006" s="19" t="s">
        <v>2365</v>
      </c>
      <c r="C1006" s="17" t="s">
        <v>2366</v>
      </c>
    </row>
    <row r="1007" spans="1:3">
      <c r="A1007" s="19">
        <v>907717647</v>
      </c>
      <c r="B1007" s="19" t="s">
        <v>2367</v>
      </c>
      <c r="C1007" s="17" t="s">
        <v>2368</v>
      </c>
    </row>
    <row r="1008" spans="1:3">
      <c r="A1008" s="19">
        <v>907744427</v>
      </c>
      <c r="B1008" s="19" t="s">
        <v>2369</v>
      </c>
      <c r="C1008" s="17" t="s">
        <v>2370</v>
      </c>
    </row>
    <row r="1009" spans="1:3">
      <c r="A1009" s="19">
        <v>907771077</v>
      </c>
      <c r="B1009" s="19" t="s">
        <v>2371</v>
      </c>
      <c r="C1009" s="17" t="s">
        <v>2372</v>
      </c>
    </row>
    <row r="1010" spans="1:3">
      <c r="A1010" s="19">
        <v>907880758</v>
      </c>
      <c r="B1010" s="19" t="s">
        <v>2373</v>
      </c>
      <c r="C1010" s="18" t="s">
        <v>2374</v>
      </c>
    </row>
    <row r="1011" spans="1:3">
      <c r="A1011" s="19">
        <v>907881720</v>
      </c>
      <c r="B1011" s="19" t="s">
        <v>2375</v>
      </c>
      <c r="C1011" s="17" t="s">
        <v>2376</v>
      </c>
    </row>
    <row r="1012" spans="1:3">
      <c r="A1012" s="19">
        <v>907893823</v>
      </c>
      <c r="B1012" s="19" t="s">
        <v>2377</v>
      </c>
      <c r="C1012" s="17" t="s">
        <v>2378</v>
      </c>
    </row>
    <row r="1013" spans="1:3">
      <c r="A1013" s="19">
        <v>907896059</v>
      </c>
      <c r="B1013" s="19" t="s">
        <v>2379</v>
      </c>
      <c r="C1013" s="17" t="s">
        <v>2380</v>
      </c>
    </row>
    <row r="1014" spans="1:3">
      <c r="A1014" s="19">
        <v>907897775</v>
      </c>
      <c r="B1014" s="19" t="s">
        <v>2381</v>
      </c>
      <c r="C1014" s="17" t="s">
        <v>2382</v>
      </c>
    </row>
    <row r="1015" spans="1:3">
      <c r="A1015" s="19">
        <v>907899023</v>
      </c>
      <c r="B1015" s="19" t="s">
        <v>2383</v>
      </c>
      <c r="C1015" s="17" t="s">
        <v>2384</v>
      </c>
    </row>
    <row r="1016" spans="1:3">
      <c r="A1016" s="19">
        <v>907918666</v>
      </c>
      <c r="B1016" s="19" t="s">
        <v>2385</v>
      </c>
      <c r="C1016" s="18" t="s">
        <v>2386</v>
      </c>
    </row>
    <row r="1017" spans="1:3">
      <c r="A1017" s="19">
        <v>907968547</v>
      </c>
      <c r="B1017" s="19" t="s">
        <v>2387</v>
      </c>
      <c r="C1017" s="17" t="s">
        <v>2388</v>
      </c>
    </row>
    <row r="1018" spans="1:3">
      <c r="A1018" s="19">
        <v>907985252</v>
      </c>
      <c r="B1018" s="19" t="s">
        <v>2389</v>
      </c>
      <c r="C1018" s="17" t="s">
        <v>2390</v>
      </c>
    </row>
    <row r="1019" spans="1:3">
      <c r="A1019" s="19">
        <v>908006637</v>
      </c>
      <c r="B1019" s="19" t="s">
        <v>2391</v>
      </c>
      <c r="C1019" s="17" t="s">
        <v>2392</v>
      </c>
    </row>
    <row r="1020" spans="1:3">
      <c r="A1020" s="19">
        <v>908026644</v>
      </c>
      <c r="B1020" s="19" t="s">
        <v>2393</v>
      </c>
      <c r="C1020" s="17" t="s">
        <v>2394</v>
      </c>
    </row>
    <row r="1021" spans="1:3">
      <c r="A1021" s="19">
        <v>908090461</v>
      </c>
      <c r="B1021" s="19" t="s">
        <v>2395</v>
      </c>
      <c r="C1021" s="17" t="s">
        <v>2396</v>
      </c>
    </row>
    <row r="1022" spans="1:3">
      <c r="A1022" s="19">
        <v>908101043</v>
      </c>
      <c r="B1022" s="19" t="s">
        <v>2397</v>
      </c>
      <c r="C1022" s="17" t="s">
        <v>2398</v>
      </c>
    </row>
    <row r="1023" spans="1:3">
      <c r="A1023" s="19">
        <v>908131346</v>
      </c>
      <c r="B1023" s="19" t="s">
        <v>2399</v>
      </c>
      <c r="C1023" s="17" t="s">
        <v>2400</v>
      </c>
    </row>
    <row r="1024" spans="1:3">
      <c r="A1024" s="19">
        <v>908134778</v>
      </c>
      <c r="B1024" s="19" t="s">
        <v>2401</v>
      </c>
      <c r="C1024" s="17" t="s">
        <v>2402</v>
      </c>
    </row>
    <row r="1025" spans="1:3">
      <c r="A1025" s="19">
        <v>908135116</v>
      </c>
      <c r="B1025" s="19" t="s">
        <v>2403</v>
      </c>
      <c r="C1025" s="18" t="s">
        <v>2404</v>
      </c>
    </row>
    <row r="1026" spans="1:3">
      <c r="A1026" s="19">
        <v>908144957</v>
      </c>
      <c r="B1026" s="19" t="s">
        <v>2405</v>
      </c>
      <c r="C1026" s="17" t="s">
        <v>2406</v>
      </c>
    </row>
    <row r="1027" spans="1:3">
      <c r="A1027" s="19">
        <v>908170463</v>
      </c>
      <c r="B1027" s="19" t="s">
        <v>2407</v>
      </c>
      <c r="C1027" s="17" t="s">
        <v>2408</v>
      </c>
    </row>
    <row r="1028" spans="1:3">
      <c r="A1028" s="19">
        <v>908174363</v>
      </c>
      <c r="B1028" s="19" t="s">
        <v>2409</v>
      </c>
      <c r="C1028" s="18" t="s">
        <v>2410</v>
      </c>
    </row>
    <row r="1029" spans="1:3">
      <c r="A1029" s="19">
        <v>908206499</v>
      </c>
      <c r="B1029" s="19" t="s">
        <v>2411</v>
      </c>
      <c r="C1029" s="17" t="s">
        <v>2412</v>
      </c>
    </row>
    <row r="1030" spans="1:3">
      <c r="A1030" s="19">
        <v>908223464</v>
      </c>
      <c r="B1030" s="19" t="s">
        <v>2413</v>
      </c>
      <c r="C1030" s="17" t="s">
        <v>2414</v>
      </c>
    </row>
    <row r="1031" spans="1:3">
      <c r="A1031" s="19">
        <v>908258356</v>
      </c>
      <c r="B1031" s="19" t="s">
        <v>2415</v>
      </c>
      <c r="C1031" s="17" t="s">
        <v>2416</v>
      </c>
    </row>
    <row r="1032" spans="1:3">
      <c r="A1032" s="19">
        <v>908278675</v>
      </c>
      <c r="B1032" s="19" t="s">
        <v>2417</v>
      </c>
      <c r="C1032" s="17" t="s">
        <v>2418</v>
      </c>
    </row>
    <row r="1033" spans="1:3">
      <c r="A1033" s="19">
        <v>908333171</v>
      </c>
      <c r="B1033" s="19" t="s">
        <v>2419</v>
      </c>
      <c r="C1033" s="17" t="s">
        <v>2420</v>
      </c>
    </row>
    <row r="1034" spans="1:3">
      <c r="A1034" s="19">
        <v>908338332</v>
      </c>
      <c r="B1034" s="19" t="s">
        <v>2421</v>
      </c>
      <c r="C1034" s="17" t="s">
        <v>2422</v>
      </c>
    </row>
    <row r="1035" spans="1:3">
      <c r="A1035" s="19">
        <v>908342765</v>
      </c>
      <c r="B1035" s="19" t="s">
        <v>2423</v>
      </c>
      <c r="C1035" s="17" t="s">
        <v>2424</v>
      </c>
    </row>
    <row r="1036" spans="1:3">
      <c r="A1036" s="19">
        <v>908358092</v>
      </c>
      <c r="B1036" s="19" t="s">
        <v>2425</v>
      </c>
      <c r="C1036" s="17" t="s">
        <v>2426</v>
      </c>
    </row>
    <row r="1037" spans="1:3">
      <c r="A1037" s="19">
        <v>908362070</v>
      </c>
      <c r="B1037" s="19" t="s">
        <v>2427</v>
      </c>
      <c r="C1037" s="17" t="s">
        <v>2428</v>
      </c>
    </row>
    <row r="1038" spans="1:3">
      <c r="A1038" s="19">
        <v>908372340</v>
      </c>
      <c r="B1038" s="19" t="s">
        <v>2429</v>
      </c>
      <c r="C1038" s="17" t="s">
        <v>2430</v>
      </c>
    </row>
    <row r="1039" spans="1:3">
      <c r="A1039" s="19">
        <v>908377085</v>
      </c>
      <c r="B1039" s="19" t="s">
        <v>2431</v>
      </c>
      <c r="C1039" s="17" t="s">
        <v>2432</v>
      </c>
    </row>
    <row r="1040" spans="1:3">
      <c r="A1040" s="19">
        <v>908379035</v>
      </c>
      <c r="B1040" s="19" t="s">
        <v>2433</v>
      </c>
      <c r="C1040" s="17" t="s">
        <v>2434</v>
      </c>
    </row>
    <row r="1041" spans="1:3">
      <c r="A1041" s="19">
        <v>908379087</v>
      </c>
      <c r="B1041" s="19" t="s">
        <v>2435</v>
      </c>
      <c r="C1041" s="17" t="s">
        <v>2436</v>
      </c>
    </row>
    <row r="1042" spans="1:3">
      <c r="A1042" s="19">
        <v>908379295</v>
      </c>
      <c r="B1042" s="19" t="s">
        <v>2437</v>
      </c>
      <c r="C1042" s="17" t="s">
        <v>2438</v>
      </c>
    </row>
    <row r="1043" spans="1:3">
      <c r="A1043" s="19">
        <v>908384456</v>
      </c>
      <c r="B1043" s="19" t="s">
        <v>2439</v>
      </c>
      <c r="C1043" s="17" t="s">
        <v>2440</v>
      </c>
    </row>
    <row r="1044" spans="1:3">
      <c r="A1044" s="19">
        <v>908389123</v>
      </c>
      <c r="B1044" s="19" t="s">
        <v>2441</v>
      </c>
      <c r="C1044" s="17" t="s">
        <v>2442</v>
      </c>
    </row>
    <row r="1045" spans="1:3">
      <c r="A1045" s="19">
        <v>908390527</v>
      </c>
      <c r="B1045" s="19" t="s">
        <v>2443</v>
      </c>
      <c r="C1045" s="17" t="s">
        <v>2444</v>
      </c>
    </row>
    <row r="1046" spans="1:3">
      <c r="A1046" s="19">
        <v>908397196</v>
      </c>
      <c r="B1046" s="19" t="s">
        <v>2445</v>
      </c>
      <c r="C1046" s="17" t="s">
        <v>2446</v>
      </c>
    </row>
    <row r="1047" spans="1:3">
      <c r="A1047" s="19">
        <v>908406920</v>
      </c>
      <c r="B1047" s="19" t="s">
        <v>2447</v>
      </c>
      <c r="C1047" s="17" t="s">
        <v>2448</v>
      </c>
    </row>
    <row r="1048" spans="1:3">
      <c r="A1048" s="19">
        <v>908410820</v>
      </c>
      <c r="B1048" s="19" t="s">
        <v>2449</v>
      </c>
      <c r="C1048" s="17" t="s">
        <v>2450</v>
      </c>
    </row>
    <row r="1049" spans="1:3">
      <c r="A1049" s="19">
        <v>908416891</v>
      </c>
      <c r="B1049" s="19" t="s">
        <v>2451</v>
      </c>
      <c r="C1049" s="17" t="s">
        <v>2452</v>
      </c>
    </row>
    <row r="1050" spans="1:3">
      <c r="A1050" s="19">
        <v>908422143</v>
      </c>
      <c r="B1050" s="19" t="s">
        <v>2453</v>
      </c>
      <c r="C1050" s="17" t="s">
        <v>2454</v>
      </c>
    </row>
    <row r="1051" spans="1:3">
      <c r="A1051" s="19">
        <v>908426745</v>
      </c>
      <c r="B1051" s="19" t="s">
        <v>2455</v>
      </c>
      <c r="C1051" s="17" t="s">
        <v>2456</v>
      </c>
    </row>
    <row r="1052" spans="1:3">
      <c r="A1052" s="19">
        <v>908428474</v>
      </c>
      <c r="B1052" s="19" t="s">
        <v>2457</v>
      </c>
      <c r="C1052" s="17" t="s">
        <v>2458</v>
      </c>
    </row>
    <row r="1053" spans="1:3">
      <c r="A1053" s="19">
        <v>908441448</v>
      </c>
      <c r="B1053" s="19" t="s">
        <v>2459</v>
      </c>
      <c r="C1053" s="17" t="s">
        <v>2460</v>
      </c>
    </row>
    <row r="1054" spans="1:3">
      <c r="A1054" s="19">
        <v>908446271</v>
      </c>
      <c r="B1054" s="19" t="s">
        <v>2461</v>
      </c>
      <c r="C1054" s="17" t="s">
        <v>2462</v>
      </c>
    </row>
    <row r="1055" spans="1:3">
      <c r="A1055" s="19">
        <v>908455553</v>
      </c>
      <c r="B1055" s="19" t="s">
        <v>2463</v>
      </c>
      <c r="C1055" s="17" t="s">
        <v>2464</v>
      </c>
    </row>
    <row r="1056" spans="1:3">
      <c r="A1056" s="19">
        <v>908456905</v>
      </c>
      <c r="B1056" s="19" t="s">
        <v>2465</v>
      </c>
      <c r="C1056" s="17" t="s">
        <v>2466</v>
      </c>
    </row>
    <row r="1057" spans="1:3">
      <c r="A1057" s="19">
        <v>908468943</v>
      </c>
      <c r="B1057" s="19" t="s">
        <v>2467</v>
      </c>
      <c r="C1057" s="17" t="s">
        <v>2468</v>
      </c>
    </row>
    <row r="1058" spans="1:3">
      <c r="A1058" s="19">
        <v>908472141</v>
      </c>
      <c r="B1058" s="19" t="s">
        <v>2469</v>
      </c>
      <c r="C1058" s="17" t="s">
        <v>2470</v>
      </c>
    </row>
    <row r="1059" spans="1:3">
      <c r="A1059" s="19">
        <v>908484335</v>
      </c>
      <c r="B1059" s="19" t="s">
        <v>2471</v>
      </c>
      <c r="C1059" s="17" t="s">
        <v>2472</v>
      </c>
    </row>
    <row r="1060" spans="1:3">
      <c r="A1060" s="19">
        <v>908484751</v>
      </c>
      <c r="B1060" s="19" t="s">
        <v>2473</v>
      </c>
      <c r="C1060" s="17" t="s">
        <v>2474</v>
      </c>
    </row>
    <row r="1061" spans="1:3">
      <c r="A1061" s="19">
        <v>908486883</v>
      </c>
      <c r="B1061" s="19" t="s">
        <v>2475</v>
      </c>
      <c r="C1061" s="17" t="s">
        <v>2476</v>
      </c>
    </row>
    <row r="1062" spans="1:3">
      <c r="A1062" s="19">
        <v>908491758</v>
      </c>
      <c r="B1062" s="19" t="s">
        <v>2477</v>
      </c>
      <c r="C1062" s="17" t="s">
        <v>2478</v>
      </c>
    </row>
    <row r="1063" spans="1:3">
      <c r="A1063" s="19">
        <v>908491810</v>
      </c>
      <c r="B1063" s="19" t="s">
        <v>2479</v>
      </c>
      <c r="C1063" s="17" t="s">
        <v>2480</v>
      </c>
    </row>
    <row r="1064" spans="1:3">
      <c r="A1064" s="19">
        <v>908491836</v>
      </c>
      <c r="B1064" s="19" t="s">
        <v>2481</v>
      </c>
      <c r="C1064" s="17" t="s">
        <v>2482</v>
      </c>
    </row>
    <row r="1065" spans="1:3">
      <c r="A1065" s="19">
        <v>908491849</v>
      </c>
      <c r="B1065" s="19" t="s">
        <v>2483</v>
      </c>
      <c r="C1065" s="17" t="s">
        <v>2484</v>
      </c>
    </row>
    <row r="1066" spans="1:3">
      <c r="A1066" s="19">
        <v>908491901</v>
      </c>
      <c r="B1066" s="19" t="s">
        <v>2485</v>
      </c>
      <c r="C1066" s="17" t="s">
        <v>2486</v>
      </c>
    </row>
    <row r="1067" spans="1:3">
      <c r="A1067" s="19">
        <v>908491914</v>
      </c>
      <c r="B1067" s="19" t="s">
        <v>2487</v>
      </c>
      <c r="C1067" s="17" t="s">
        <v>2488</v>
      </c>
    </row>
    <row r="1068" spans="1:3">
      <c r="A1068" s="19">
        <v>908491992</v>
      </c>
      <c r="B1068" s="19" t="s">
        <v>2489</v>
      </c>
      <c r="C1068" s="17" t="s">
        <v>2490</v>
      </c>
    </row>
    <row r="1069" spans="1:3">
      <c r="A1069" s="19">
        <v>908492005</v>
      </c>
      <c r="B1069" s="19" t="s">
        <v>2491</v>
      </c>
      <c r="C1069" s="17" t="s">
        <v>2492</v>
      </c>
    </row>
    <row r="1070" spans="1:3">
      <c r="A1070" s="19">
        <v>908492018</v>
      </c>
      <c r="B1070" s="19" t="s">
        <v>2493</v>
      </c>
      <c r="C1070" s="17" t="s">
        <v>2494</v>
      </c>
    </row>
    <row r="1071" spans="1:3">
      <c r="A1071" s="19">
        <v>908492044</v>
      </c>
      <c r="B1071" s="19" t="s">
        <v>2495</v>
      </c>
      <c r="C1071" s="17" t="s">
        <v>2496</v>
      </c>
    </row>
    <row r="1072" spans="1:3">
      <c r="A1072" s="19">
        <v>908492083</v>
      </c>
      <c r="B1072" s="19" t="s">
        <v>2497</v>
      </c>
      <c r="C1072" s="17" t="s">
        <v>2498</v>
      </c>
    </row>
    <row r="1073" spans="1:3">
      <c r="A1073" s="19">
        <v>908492096</v>
      </c>
      <c r="B1073" s="19" t="s">
        <v>2499</v>
      </c>
      <c r="C1073" s="17" t="s">
        <v>2500</v>
      </c>
    </row>
    <row r="1074" spans="1:3">
      <c r="A1074" s="19">
        <v>908492148</v>
      </c>
      <c r="B1074" s="19" t="s">
        <v>2501</v>
      </c>
      <c r="C1074" s="17" t="s">
        <v>2502</v>
      </c>
    </row>
    <row r="1075" spans="1:3">
      <c r="A1075" s="19">
        <v>908492161</v>
      </c>
      <c r="B1075" s="19" t="s">
        <v>2503</v>
      </c>
      <c r="C1075" s="17" t="s">
        <v>2504</v>
      </c>
    </row>
    <row r="1076" spans="1:3">
      <c r="A1076" s="19">
        <v>908492174</v>
      </c>
      <c r="B1076" s="19" t="s">
        <v>2505</v>
      </c>
      <c r="C1076" s="17" t="s">
        <v>2506</v>
      </c>
    </row>
    <row r="1077" spans="1:3">
      <c r="A1077" s="19">
        <v>908492187</v>
      </c>
      <c r="B1077" s="19" t="s">
        <v>2507</v>
      </c>
      <c r="C1077" s="17" t="s">
        <v>2508</v>
      </c>
    </row>
    <row r="1078" spans="1:3">
      <c r="A1078" s="19">
        <v>908492564</v>
      </c>
      <c r="B1078" s="19" t="s">
        <v>2509</v>
      </c>
      <c r="C1078" s="17" t="s">
        <v>2510</v>
      </c>
    </row>
    <row r="1079" spans="1:3">
      <c r="A1079" s="19">
        <v>908494384</v>
      </c>
      <c r="B1079" s="19" t="s">
        <v>2511</v>
      </c>
      <c r="C1079" s="17" t="s">
        <v>2512</v>
      </c>
    </row>
    <row r="1080" spans="1:3">
      <c r="A1080" s="19">
        <v>908496477</v>
      </c>
      <c r="B1080" s="19" t="s">
        <v>2513</v>
      </c>
      <c r="C1080" s="17" t="s">
        <v>2514</v>
      </c>
    </row>
    <row r="1081" spans="1:3">
      <c r="A1081" s="19">
        <v>908497608</v>
      </c>
      <c r="B1081" s="19" t="s">
        <v>2515</v>
      </c>
      <c r="C1081" s="17" t="s">
        <v>2516</v>
      </c>
    </row>
    <row r="1082" spans="1:3">
      <c r="A1082" s="19">
        <v>908501365</v>
      </c>
      <c r="B1082" s="19" t="s">
        <v>2517</v>
      </c>
      <c r="C1082" s="18" t="s">
        <v>2518</v>
      </c>
    </row>
    <row r="1083" spans="1:3">
      <c r="A1083" s="19">
        <v>908501378</v>
      </c>
      <c r="B1083" s="19" t="s">
        <v>2519</v>
      </c>
      <c r="C1083" s="17" t="s">
        <v>2520</v>
      </c>
    </row>
    <row r="1084" spans="1:3">
      <c r="A1084" s="19">
        <v>908504797</v>
      </c>
      <c r="B1084" s="19" t="s">
        <v>2521</v>
      </c>
      <c r="C1084" s="17" t="s">
        <v>2522</v>
      </c>
    </row>
    <row r="1085" spans="1:3">
      <c r="A1085" s="19">
        <v>908504810</v>
      </c>
      <c r="B1085" s="19" t="s">
        <v>2523</v>
      </c>
      <c r="C1085" s="17" t="s">
        <v>2524</v>
      </c>
    </row>
    <row r="1086" spans="1:3">
      <c r="A1086" s="19">
        <v>908504823</v>
      </c>
      <c r="B1086" s="19" t="s">
        <v>2525</v>
      </c>
      <c r="C1086" s="17" t="s">
        <v>2526</v>
      </c>
    </row>
    <row r="1087" spans="1:3">
      <c r="A1087" s="19">
        <v>908509685</v>
      </c>
      <c r="B1087" s="19" t="s">
        <v>2527</v>
      </c>
      <c r="C1087" s="17" t="s">
        <v>2528</v>
      </c>
    </row>
    <row r="1088" spans="1:3">
      <c r="A1088" s="19">
        <v>908510036</v>
      </c>
      <c r="B1088" s="19" t="s">
        <v>2529</v>
      </c>
      <c r="C1088" s="17" t="s">
        <v>2530</v>
      </c>
    </row>
    <row r="1089" spans="1:3">
      <c r="A1089" s="19">
        <v>908510621</v>
      </c>
      <c r="B1089" s="19" t="s">
        <v>2531</v>
      </c>
      <c r="C1089" s="17" t="s">
        <v>2532</v>
      </c>
    </row>
    <row r="1090" spans="1:3">
      <c r="A1090" s="19">
        <v>908512220</v>
      </c>
      <c r="B1090" s="19" t="s">
        <v>2533</v>
      </c>
      <c r="C1090" s="17" t="s">
        <v>2534</v>
      </c>
    </row>
    <row r="1091" spans="1:3">
      <c r="A1091" s="19">
        <v>908513416</v>
      </c>
      <c r="B1091" s="19" t="s">
        <v>2535</v>
      </c>
      <c r="C1091" s="17" t="s">
        <v>2536</v>
      </c>
    </row>
    <row r="1092" spans="1:3">
      <c r="A1092" s="19">
        <v>908518642</v>
      </c>
      <c r="B1092" s="19" t="s">
        <v>2537</v>
      </c>
      <c r="C1092" s="17" t="s">
        <v>2538</v>
      </c>
    </row>
    <row r="1093" spans="1:3">
      <c r="A1093" s="19">
        <v>908520345</v>
      </c>
      <c r="B1093" s="19" t="s">
        <v>2539</v>
      </c>
      <c r="C1093" s="17" t="s">
        <v>2540</v>
      </c>
    </row>
    <row r="1094" spans="1:3">
      <c r="A1094" s="19">
        <v>908529887</v>
      </c>
      <c r="B1094" s="19" t="s">
        <v>2541</v>
      </c>
      <c r="C1094" s="17" t="s">
        <v>2542</v>
      </c>
    </row>
    <row r="1095" spans="1:3">
      <c r="A1095" s="11">
        <v>908529887</v>
      </c>
      <c r="B1095" s="11" t="s">
        <v>2543</v>
      </c>
      <c r="C1095" s="18" t="s">
        <v>2542</v>
      </c>
    </row>
    <row r="1096" spans="1:3">
      <c r="A1096" s="19">
        <v>908533956</v>
      </c>
      <c r="B1096" s="19" t="s">
        <v>2544</v>
      </c>
      <c r="C1096" s="17" t="s">
        <v>2545</v>
      </c>
    </row>
    <row r="1097" spans="1:3">
      <c r="A1097" s="19">
        <v>908543108</v>
      </c>
      <c r="B1097" s="19" t="s">
        <v>2546</v>
      </c>
      <c r="C1097" s="17" t="s">
        <v>2547</v>
      </c>
    </row>
    <row r="1098" spans="1:3">
      <c r="A1098" s="19">
        <v>908557499</v>
      </c>
      <c r="B1098" s="19" t="s">
        <v>2548</v>
      </c>
      <c r="C1098" s="17" t="s">
        <v>2549</v>
      </c>
    </row>
    <row r="1099" spans="1:3">
      <c r="A1099" s="19">
        <v>908572553</v>
      </c>
      <c r="B1099" s="19" t="s">
        <v>2550</v>
      </c>
      <c r="C1099" s="17" t="s">
        <v>2551</v>
      </c>
    </row>
    <row r="1100" spans="1:3">
      <c r="A1100" s="19">
        <v>908572943</v>
      </c>
      <c r="B1100" s="19" t="s">
        <v>2552</v>
      </c>
      <c r="C1100" s="17" t="s">
        <v>2553</v>
      </c>
    </row>
    <row r="1101" spans="1:3">
      <c r="A1101" s="19">
        <v>908577883</v>
      </c>
      <c r="B1101" s="19" t="s">
        <v>2554</v>
      </c>
      <c r="C1101" s="17" t="s">
        <v>2555</v>
      </c>
    </row>
    <row r="1102" spans="1:3">
      <c r="A1102" s="19">
        <v>908599112</v>
      </c>
      <c r="B1102" s="19" t="s">
        <v>2556</v>
      </c>
      <c r="C1102" s="17" t="s">
        <v>2557</v>
      </c>
    </row>
    <row r="1103" spans="1:3">
      <c r="A1103" s="19">
        <v>908629766</v>
      </c>
      <c r="B1103" s="19" t="s">
        <v>2558</v>
      </c>
      <c r="C1103" s="17" t="s">
        <v>2559</v>
      </c>
    </row>
    <row r="1104" spans="1:3">
      <c r="A1104" s="19">
        <v>908652438</v>
      </c>
      <c r="B1104" s="19" t="s">
        <v>2560</v>
      </c>
      <c r="C1104" s="18" t="s">
        <v>2561</v>
      </c>
    </row>
    <row r="1105" spans="1:3">
      <c r="A1105" s="19">
        <v>908667505</v>
      </c>
      <c r="B1105" s="19" t="s">
        <v>2562</v>
      </c>
      <c r="C1105" s="17" t="s">
        <v>2563</v>
      </c>
    </row>
    <row r="1106" spans="1:3">
      <c r="A1106" s="19">
        <v>908690060</v>
      </c>
      <c r="B1106" s="19" t="s">
        <v>2564</v>
      </c>
      <c r="C1106" s="17" t="s">
        <v>2565</v>
      </c>
    </row>
    <row r="1107" spans="1:3">
      <c r="A1107" s="19">
        <v>908699732</v>
      </c>
      <c r="B1107" s="19" t="s">
        <v>2566</v>
      </c>
      <c r="C1107" s="17" t="s">
        <v>2567</v>
      </c>
    </row>
    <row r="1108" spans="1:3">
      <c r="A1108" s="19">
        <v>908723522</v>
      </c>
      <c r="B1108" s="19" t="s">
        <v>2568</v>
      </c>
      <c r="C1108" s="17" t="s">
        <v>2569</v>
      </c>
    </row>
    <row r="1109" spans="1:3">
      <c r="A1109" s="19">
        <v>908762977</v>
      </c>
      <c r="B1109" s="19" t="s">
        <v>2570</v>
      </c>
      <c r="C1109" s="17" t="s">
        <v>2571</v>
      </c>
    </row>
    <row r="1110" spans="1:3">
      <c r="A1110" s="19">
        <v>908778356</v>
      </c>
      <c r="B1110" s="19" t="s">
        <v>2572</v>
      </c>
      <c r="C1110" s="17" t="s">
        <v>2573</v>
      </c>
    </row>
    <row r="1111" spans="1:3">
      <c r="A1111" s="19">
        <v>908801522</v>
      </c>
      <c r="B1111" s="19" t="s">
        <v>2574</v>
      </c>
      <c r="C1111" s="17" t="s">
        <v>2575</v>
      </c>
    </row>
    <row r="1112" spans="1:3">
      <c r="A1112" s="19">
        <v>908856213</v>
      </c>
      <c r="B1112" s="19" t="s">
        <v>2576</v>
      </c>
      <c r="C1112" s="17" t="s">
        <v>2577</v>
      </c>
    </row>
    <row r="1113" spans="1:3">
      <c r="A1113" s="19">
        <v>908864988</v>
      </c>
      <c r="B1113" s="19" t="s">
        <v>2578</v>
      </c>
      <c r="C1113" s="17" t="s">
        <v>2579</v>
      </c>
    </row>
    <row r="1114" spans="1:3">
      <c r="A1114" s="19">
        <v>908898372</v>
      </c>
      <c r="B1114" s="19" t="s">
        <v>2580</v>
      </c>
      <c r="C1114" s="17" t="s">
        <v>2581</v>
      </c>
    </row>
    <row r="1115" spans="1:3">
      <c r="A1115" s="19">
        <v>908912633</v>
      </c>
      <c r="B1115" s="19" t="s">
        <v>2582</v>
      </c>
      <c r="C1115" s="17" t="s">
        <v>2583</v>
      </c>
    </row>
    <row r="1116" spans="1:3">
      <c r="A1116" s="19">
        <v>909003438</v>
      </c>
      <c r="B1116" s="19" t="s">
        <v>2584</v>
      </c>
      <c r="C1116" s="17" t="s">
        <v>2585</v>
      </c>
    </row>
    <row r="1117" spans="1:3">
      <c r="A1117" s="15">
        <v>909004140</v>
      </c>
      <c r="B1117" s="1" t="s">
        <v>2586</v>
      </c>
      <c r="C1117" s="21" t="s">
        <v>2587</v>
      </c>
    </row>
    <row r="1118" spans="1:3">
      <c r="A1118" s="19">
        <v>909009756</v>
      </c>
      <c r="B1118" s="19" t="s">
        <v>2588</v>
      </c>
      <c r="C1118" s="17" t="s">
        <v>2589</v>
      </c>
    </row>
    <row r="1119" spans="1:3">
      <c r="A1119" s="19">
        <v>909022990</v>
      </c>
      <c r="B1119" s="19" t="s">
        <v>2590</v>
      </c>
      <c r="C1119" s="17" t="s">
        <v>2591</v>
      </c>
    </row>
    <row r="1120" spans="1:3">
      <c r="A1120" s="15">
        <v>909024589</v>
      </c>
      <c r="B1120" s="1" t="s">
        <v>2592</v>
      </c>
      <c r="C1120" s="18" t="s">
        <v>2593</v>
      </c>
    </row>
    <row r="1121" spans="1:3">
      <c r="A1121" s="19">
        <v>909031609</v>
      </c>
      <c r="B1121" s="19" t="s">
        <v>2594</v>
      </c>
      <c r="C1121" s="17" t="s">
        <v>2595</v>
      </c>
    </row>
    <row r="1122" spans="1:3">
      <c r="A1122" s="19">
        <v>909032246</v>
      </c>
      <c r="B1122" s="19" t="s">
        <v>2596</v>
      </c>
      <c r="C1122" s="17" t="s">
        <v>2597</v>
      </c>
    </row>
    <row r="1123" spans="1:3">
      <c r="A1123" s="19">
        <v>909043101</v>
      </c>
      <c r="B1123" s="19" t="s">
        <v>2598</v>
      </c>
      <c r="C1123" s="17" t="s">
        <v>2599</v>
      </c>
    </row>
    <row r="1124" spans="1:3">
      <c r="A1124" s="19">
        <v>909046117</v>
      </c>
      <c r="B1124" s="19" t="s">
        <v>2600</v>
      </c>
      <c r="C1124" s="17" t="s">
        <v>2601</v>
      </c>
    </row>
    <row r="1125" spans="1:3">
      <c r="A1125" s="19">
        <v>909050030</v>
      </c>
      <c r="B1125" s="19" t="s">
        <v>2602</v>
      </c>
      <c r="C1125" s="17" t="s">
        <v>2603</v>
      </c>
    </row>
    <row r="1126" spans="1:3">
      <c r="A1126" s="19">
        <v>909053124</v>
      </c>
      <c r="B1126" s="19" t="s">
        <v>2604</v>
      </c>
      <c r="C1126" s="17" t="s">
        <v>2605</v>
      </c>
    </row>
    <row r="1127" spans="1:3">
      <c r="A1127" s="19">
        <v>909055373</v>
      </c>
      <c r="B1127" s="19" t="s">
        <v>2606</v>
      </c>
      <c r="C1127" s="18" t="s">
        <v>2607</v>
      </c>
    </row>
    <row r="1128" spans="1:3">
      <c r="A1128" s="19">
        <v>909057531</v>
      </c>
      <c r="B1128" s="19" t="s">
        <v>2608</v>
      </c>
      <c r="C1128" s="17" t="s">
        <v>2609</v>
      </c>
    </row>
    <row r="1129" spans="1:3">
      <c r="A1129" s="19">
        <v>909065799</v>
      </c>
      <c r="B1129" s="19" t="s">
        <v>2610</v>
      </c>
      <c r="C1129" s="17" t="s">
        <v>2611</v>
      </c>
    </row>
    <row r="1130" spans="1:3">
      <c r="A1130" s="19">
        <v>909070076</v>
      </c>
      <c r="B1130" s="19" t="s">
        <v>2612</v>
      </c>
      <c r="C1130" s="17" t="s">
        <v>2613</v>
      </c>
    </row>
    <row r="1131" spans="1:3">
      <c r="A1131" s="19">
        <v>909074093</v>
      </c>
      <c r="B1131" s="19" t="s">
        <v>2614</v>
      </c>
      <c r="C1131" s="17" t="s">
        <v>2615</v>
      </c>
    </row>
    <row r="1132" spans="1:3">
      <c r="A1132" s="19">
        <v>909090512</v>
      </c>
      <c r="B1132" s="19" t="s">
        <v>2616</v>
      </c>
      <c r="C1132" s="17" t="s">
        <v>2617</v>
      </c>
    </row>
    <row r="1133" spans="1:3">
      <c r="A1133" s="19">
        <v>909127614</v>
      </c>
      <c r="B1133" s="19" t="s">
        <v>2618</v>
      </c>
      <c r="C1133" s="17" t="s">
        <v>2619</v>
      </c>
    </row>
    <row r="1134" spans="1:3">
      <c r="A1134" s="19">
        <v>909130175</v>
      </c>
      <c r="B1134" s="19" t="s">
        <v>2620</v>
      </c>
      <c r="C1134" s="17" t="s">
        <v>2621</v>
      </c>
    </row>
    <row r="1135" spans="1:3">
      <c r="A1135" s="19">
        <v>909130903</v>
      </c>
      <c r="B1135" s="19" t="s">
        <v>2622</v>
      </c>
      <c r="C1135" s="17" t="s">
        <v>2623</v>
      </c>
    </row>
    <row r="1136" spans="1:3">
      <c r="A1136" s="19">
        <v>909135271</v>
      </c>
      <c r="B1136" s="19" t="s">
        <v>2624</v>
      </c>
      <c r="C1136" s="17" t="s">
        <v>2625</v>
      </c>
    </row>
    <row r="1137" spans="1:3">
      <c r="A1137" s="19">
        <v>909136948</v>
      </c>
      <c r="B1137" s="19" t="s">
        <v>2626</v>
      </c>
      <c r="C1137" s="17" t="s">
        <v>2627</v>
      </c>
    </row>
    <row r="1138" spans="1:3">
      <c r="A1138" s="19">
        <v>909142798</v>
      </c>
      <c r="B1138" s="19" t="s">
        <v>2628</v>
      </c>
      <c r="C1138" s="17" t="s">
        <v>2629</v>
      </c>
    </row>
    <row r="1139" spans="1:3">
      <c r="A1139" s="19">
        <v>909146490</v>
      </c>
      <c r="B1139" s="19" t="s">
        <v>2630</v>
      </c>
      <c r="C1139" s="17" t="s">
        <v>2631</v>
      </c>
    </row>
    <row r="1140" spans="1:3">
      <c r="A1140" s="19">
        <v>909150325</v>
      </c>
      <c r="B1140" s="19" t="s">
        <v>2632</v>
      </c>
      <c r="C1140" s="17" t="s">
        <v>2633</v>
      </c>
    </row>
    <row r="1141" spans="1:3">
      <c r="A1141" s="19">
        <v>909156799</v>
      </c>
      <c r="B1141" s="19" t="s">
        <v>2634</v>
      </c>
      <c r="C1141" s="17" t="s">
        <v>2635</v>
      </c>
    </row>
    <row r="1142" spans="1:3">
      <c r="A1142" s="19">
        <v>909158255</v>
      </c>
      <c r="B1142" s="19" t="s">
        <v>2636</v>
      </c>
      <c r="C1142" s="17" t="s">
        <v>2637</v>
      </c>
    </row>
    <row r="1143" spans="1:3">
      <c r="A1143" s="19">
        <v>909161765</v>
      </c>
      <c r="B1143" s="19" t="s">
        <v>2638</v>
      </c>
      <c r="C1143" s="17" t="s">
        <v>2639</v>
      </c>
    </row>
    <row r="1144" spans="1:3">
      <c r="A1144" s="19">
        <v>909163273</v>
      </c>
      <c r="B1144" s="19" t="s">
        <v>2640</v>
      </c>
      <c r="C1144" s="17" t="s">
        <v>2641</v>
      </c>
    </row>
    <row r="1145" spans="1:3">
      <c r="A1145" s="19">
        <v>909163299</v>
      </c>
      <c r="B1145" s="19" t="s">
        <v>2642</v>
      </c>
      <c r="C1145" s="17" t="s">
        <v>2643</v>
      </c>
    </row>
    <row r="1146" spans="1:3">
      <c r="A1146" s="19">
        <v>909163351</v>
      </c>
      <c r="B1146" s="19" t="s">
        <v>2644</v>
      </c>
      <c r="C1146" s="18" t="s">
        <v>2645</v>
      </c>
    </row>
    <row r="1147" spans="1:3">
      <c r="A1147" s="19">
        <v>909164521</v>
      </c>
      <c r="B1147" s="19" t="s">
        <v>2646</v>
      </c>
      <c r="C1147" s="17" t="s">
        <v>2647</v>
      </c>
    </row>
    <row r="1148" spans="1:3">
      <c r="A1148" s="19">
        <v>909165340</v>
      </c>
      <c r="B1148" s="19" t="s">
        <v>2648</v>
      </c>
      <c r="C1148" s="18" t="s">
        <v>2649</v>
      </c>
    </row>
    <row r="1149" spans="1:3">
      <c r="A1149" s="19">
        <v>909168824</v>
      </c>
      <c r="B1149" s="19" t="s">
        <v>2650</v>
      </c>
      <c r="C1149" s="17" t="s">
        <v>2651</v>
      </c>
    </row>
    <row r="1150" spans="1:3">
      <c r="A1150" s="19">
        <v>909169006</v>
      </c>
      <c r="B1150" s="19" t="s">
        <v>2652</v>
      </c>
      <c r="C1150" s="17" t="s">
        <v>2653</v>
      </c>
    </row>
    <row r="1151" spans="1:3">
      <c r="A1151" s="19">
        <v>909169032</v>
      </c>
      <c r="B1151" s="19" t="s">
        <v>2654</v>
      </c>
      <c r="C1151" s="17" t="s">
        <v>2655</v>
      </c>
    </row>
    <row r="1152" spans="1:3">
      <c r="A1152" s="19">
        <v>909169058</v>
      </c>
      <c r="B1152" s="19" t="s">
        <v>2656</v>
      </c>
      <c r="C1152" s="17" t="s">
        <v>2657</v>
      </c>
    </row>
    <row r="1153" spans="1:3">
      <c r="A1153" s="19">
        <v>909169071</v>
      </c>
      <c r="B1153" s="19" t="s">
        <v>2658</v>
      </c>
      <c r="C1153" s="17" t="s">
        <v>2659</v>
      </c>
    </row>
    <row r="1154" spans="1:3">
      <c r="A1154" s="19">
        <v>909169084</v>
      </c>
      <c r="B1154" s="19" t="s">
        <v>2660</v>
      </c>
      <c r="C1154" s="17" t="s">
        <v>2661</v>
      </c>
    </row>
    <row r="1155" spans="1:3">
      <c r="A1155" s="19">
        <v>909169097</v>
      </c>
      <c r="B1155" s="19" t="s">
        <v>2662</v>
      </c>
      <c r="C1155" s="17" t="s">
        <v>2663</v>
      </c>
    </row>
    <row r="1156" spans="1:3">
      <c r="A1156" s="19">
        <v>909169123</v>
      </c>
      <c r="B1156" s="19" t="s">
        <v>2664</v>
      </c>
      <c r="C1156" s="17" t="s">
        <v>2665</v>
      </c>
    </row>
    <row r="1157" spans="1:3">
      <c r="A1157" s="19">
        <v>909169136</v>
      </c>
      <c r="B1157" s="19" t="s">
        <v>2666</v>
      </c>
      <c r="C1157" s="17" t="s">
        <v>2667</v>
      </c>
    </row>
    <row r="1158" spans="1:3">
      <c r="A1158" s="19">
        <v>909169162</v>
      </c>
      <c r="B1158" s="19" t="s">
        <v>2668</v>
      </c>
      <c r="C1158" s="17" t="s">
        <v>2669</v>
      </c>
    </row>
    <row r="1159" spans="1:3">
      <c r="A1159" s="19">
        <v>909169188</v>
      </c>
      <c r="B1159" s="19" t="s">
        <v>2670</v>
      </c>
      <c r="C1159" s="17" t="s">
        <v>2671</v>
      </c>
    </row>
    <row r="1160" spans="1:3">
      <c r="A1160" s="19">
        <v>909169201</v>
      </c>
      <c r="B1160" s="19" t="s">
        <v>2672</v>
      </c>
      <c r="C1160" s="17" t="s">
        <v>2673</v>
      </c>
    </row>
    <row r="1161" spans="1:3">
      <c r="A1161" s="19">
        <v>909169266</v>
      </c>
      <c r="B1161" s="19" t="s">
        <v>2674</v>
      </c>
      <c r="C1161" s="17" t="s">
        <v>2675</v>
      </c>
    </row>
    <row r="1162" spans="1:3">
      <c r="A1162" s="19">
        <v>909169318</v>
      </c>
      <c r="B1162" s="19" t="s">
        <v>2676</v>
      </c>
      <c r="C1162" s="17" t="s">
        <v>2677</v>
      </c>
    </row>
    <row r="1163" spans="1:3">
      <c r="A1163" s="19">
        <v>909169344</v>
      </c>
      <c r="B1163" s="19" t="s">
        <v>2678</v>
      </c>
      <c r="C1163" s="17" t="s">
        <v>2679</v>
      </c>
    </row>
    <row r="1164" spans="1:3">
      <c r="A1164" s="19">
        <v>909169357</v>
      </c>
      <c r="B1164" s="19" t="s">
        <v>2680</v>
      </c>
      <c r="C1164" s="17" t="s">
        <v>2681</v>
      </c>
    </row>
    <row r="1165" spans="1:3">
      <c r="A1165" s="19">
        <v>909169370</v>
      </c>
      <c r="B1165" s="19" t="s">
        <v>2682</v>
      </c>
      <c r="C1165" s="17" t="s">
        <v>2683</v>
      </c>
    </row>
    <row r="1166" spans="1:3">
      <c r="A1166" s="19">
        <v>909171385</v>
      </c>
      <c r="B1166" s="19" t="s">
        <v>2684</v>
      </c>
      <c r="C1166" s="17" t="s">
        <v>2685</v>
      </c>
    </row>
    <row r="1167" spans="1:3">
      <c r="A1167" s="19">
        <v>909176858</v>
      </c>
      <c r="B1167" s="19" t="s">
        <v>2686</v>
      </c>
      <c r="C1167" s="17" t="s">
        <v>2687</v>
      </c>
    </row>
    <row r="1168" spans="1:3">
      <c r="A1168" s="19">
        <v>909176871</v>
      </c>
      <c r="B1168" s="19" t="s">
        <v>2688</v>
      </c>
      <c r="C1168" s="17" t="s">
        <v>2689</v>
      </c>
    </row>
    <row r="1169" spans="1:3">
      <c r="A1169" s="19">
        <v>909178041</v>
      </c>
      <c r="B1169" s="19" t="s">
        <v>2690</v>
      </c>
      <c r="C1169" s="17" t="s">
        <v>2691</v>
      </c>
    </row>
    <row r="1170" spans="1:3">
      <c r="A1170" s="19">
        <v>909180381</v>
      </c>
      <c r="B1170" s="19" t="s">
        <v>2692</v>
      </c>
      <c r="C1170" s="17" t="s">
        <v>2693</v>
      </c>
    </row>
    <row r="1171" spans="1:3">
      <c r="A1171" s="19">
        <v>909180849</v>
      </c>
      <c r="B1171" s="19" t="s">
        <v>2694</v>
      </c>
      <c r="C1171" s="17" t="s">
        <v>2695</v>
      </c>
    </row>
    <row r="1172" spans="1:3">
      <c r="A1172" s="19">
        <v>909181174</v>
      </c>
      <c r="B1172" s="19" t="s">
        <v>2696</v>
      </c>
      <c r="C1172" s="17" t="s">
        <v>2697</v>
      </c>
    </row>
    <row r="1173" spans="1:3">
      <c r="A1173" s="11">
        <v>909182513</v>
      </c>
      <c r="B1173" s="11" t="s">
        <v>2698</v>
      </c>
      <c r="C1173" s="23" t="s">
        <v>2699</v>
      </c>
    </row>
    <row r="1174" spans="1:3">
      <c r="A1174" s="19">
        <v>909182747</v>
      </c>
      <c r="B1174" s="19" t="s">
        <v>2700</v>
      </c>
      <c r="C1174" s="17" t="s">
        <v>2701</v>
      </c>
    </row>
    <row r="1175" spans="1:3">
      <c r="A1175" s="19">
        <v>909185074</v>
      </c>
      <c r="B1175" s="19" t="s">
        <v>2702</v>
      </c>
      <c r="C1175" s="17" t="s">
        <v>2703</v>
      </c>
    </row>
    <row r="1176" spans="1:3">
      <c r="A1176" s="19">
        <v>909186933</v>
      </c>
      <c r="B1176" s="19" t="s">
        <v>2704</v>
      </c>
      <c r="C1176" s="17" t="s">
        <v>2705</v>
      </c>
    </row>
    <row r="1177" spans="1:3">
      <c r="A1177" s="19">
        <v>909198074</v>
      </c>
      <c r="B1177" s="19" t="s">
        <v>2706</v>
      </c>
      <c r="C1177" s="17" t="s">
        <v>2707</v>
      </c>
    </row>
    <row r="1178" spans="1:3">
      <c r="A1178" s="19">
        <v>909198100</v>
      </c>
      <c r="B1178" s="19" t="s">
        <v>2708</v>
      </c>
      <c r="C1178" s="17" t="s">
        <v>2709</v>
      </c>
    </row>
    <row r="1179" spans="1:3">
      <c r="A1179" s="19">
        <v>909198113</v>
      </c>
      <c r="B1179" s="19" t="s">
        <v>2710</v>
      </c>
      <c r="C1179" s="17" t="s">
        <v>2711</v>
      </c>
    </row>
    <row r="1180" spans="1:3">
      <c r="A1180" s="19">
        <v>909201389</v>
      </c>
      <c r="B1180" s="19" t="s">
        <v>2712</v>
      </c>
      <c r="C1180" s="17" t="s">
        <v>2713</v>
      </c>
    </row>
    <row r="1181" spans="1:3">
      <c r="A1181" s="19">
        <v>909204002</v>
      </c>
      <c r="B1181" s="19" t="s">
        <v>2714</v>
      </c>
      <c r="C1181" s="17" t="s">
        <v>2715</v>
      </c>
    </row>
    <row r="1182" spans="1:3">
      <c r="A1182" s="19">
        <v>909209033</v>
      </c>
      <c r="B1182" s="19" t="s">
        <v>2716</v>
      </c>
      <c r="C1182" s="17" t="s">
        <v>2717</v>
      </c>
    </row>
    <row r="1183" spans="1:3">
      <c r="A1183" s="19">
        <v>909211724</v>
      </c>
      <c r="B1183" s="19" t="s">
        <v>2718</v>
      </c>
      <c r="C1183" s="17" t="s">
        <v>2719</v>
      </c>
    </row>
    <row r="1184" spans="1:3">
      <c r="A1184" s="19">
        <v>909216482</v>
      </c>
      <c r="B1184" s="19" t="s">
        <v>2720</v>
      </c>
      <c r="C1184" s="17" t="s">
        <v>2721</v>
      </c>
    </row>
    <row r="1185" spans="1:3">
      <c r="A1185" s="19">
        <v>909219589</v>
      </c>
      <c r="B1185" s="19" t="s">
        <v>2722</v>
      </c>
      <c r="C1185" s="17" t="s">
        <v>2723</v>
      </c>
    </row>
    <row r="1186" spans="1:3">
      <c r="A1186" s="19">
        <v>909231276</v>
      </c>
      <c r="B1186" s="19" t="s">
        <v>2724</v>
      </c>
      <c r="C1186" s="17" t="s">
        <v>2725</v>
      </c>
    </row>
    <row r="1187" spans="1:3">
      <c r="A1187" s="19">
        <v>909234734</v>
      </c>
      <c r="B1187" s="19" t="s">
        <v>2726</v>
      </c>
      <c r="C1187" s="17" t="s">
        <v>2727</v>
      </c>
    </row>
    <row r="1188" spans="1:3">
      <c r="A1188" s="19">
        <v>909238361</v>
      </c>
      <c r="B1188" s="19" t="s">
        <v>2728</v>
      </c>
      <c r="C1188" s="17" t="s">
        <v>2729</v>
      </c>
    </row>
    <row r="1189" spans="1:3">
      <c r="A1189" s="19">
        <v>909248683</v>
      </c>
      <c r="B1189" s="19" t="s">
        <v>2730</v>
      </c>
      <c r="C1189" s="17" t="s">
        <v>2731</v>
      </c>
    </row>
    <row r="1190" spans="1:3">
      <c r="A1190" s="19">
        <v>909250269</v>
      </c>
      <c r="B1190" s="19" t="s">
        <v>2732</v>
      </c>
      <c r="C1190" s="17" t="s">
        <v>2733</v>
      </c>
    </row>
    <row r="1191" spans="1:3">
      <c r="A1191" s="19">
        <v>909263828</v>
      </c>
      <c r="B1191" s="19" t="s">
        <v>2734</v>
      </c>
      <c r="C1191" s="17" t="s">
        <v>2735</v>
      </c>
    </row>
    <row r="1192" spans="1:3">
      <c r="A1192" s="19">
        <v>909264075</v>
      </c>
      <c r="B1192" s="19" t="s">
        <v>2736</v>
      </c>
      <c r="C1192" s="17" t="s">
        <v>2737</v>
      </c>
    </row>
    <row r="1193" spans="1:3">
      <c r="A1193" s="19">
        <v>909272291</v>
      </c>
      <c r="B1193" s="19" t="s">
        <v>2738</v>
      </c>
      <c r="C1193" s="17" t="s">
        <v>2739</v>
      </c>
    </row>
    <row r="1194" spans="1:3">
      <c r="A1194" s="19">
        <v>909272551</v>
      </c>
      <c r="B1194" s="19" t="s">
        <v>2740</v>
      </c>
      <c r="C1194" s="17" t="s">
        <v>2741</v>
      </c>
    </row>
    <row r="1195" spans="1:3">
      <c r="A1195" s="19">
        <v>909275697</v>
      </c>
      <c r="B1195" s="19" t="s">
        <v>2742</v>
      </c>
      <c r="C1195" s="17" t="s">
        <v>2743</v>
      </c>
    </row>
    <row r="1196" spans="1:3">
      <c r="A1196" s="19">
        <v>909278141</v>
      </c>
      <c r="B1196" s="19" t="s">
        <v>2744</v>
      </c>
      <c r="C1196" s="17" t="s">
        <v>2745</v>
      </c>
    </row>
    <row r="1197" spans="1:3">
      <c r="A1197" s="19">
        <v>909291284</v>
      </c>
      <c r="B1197" s="19" t="s">
        <v>2746</v>
      </c>
      <c r="C1197" s="17" t="s">
        <v>2747</v>
      </c>
    </row>
    <row r="1198" spans="1:3">
      <c r="A1198" s="19">
        <v>909292597</v>
      </c>
      <c r="B1198" s="19" t="s">
        <v>2748</v>
      </c>
      <c r="C1198" s="17" t="s">
        <v>2749</v>
      </c>
    </row>
    <row r="1199" spans="1:3">
      <c r="A1199" s="19">
        <v>909297823</v>
      </c>
      <c r="B1199" s="19" t="s">
        <v>2750</v>
      </c>
      <c r="C1199" s="17" t="s">
        <v>2751</v>
      </c>
    </row>
    <row r="1200" spans="1:3">
      <c r="A1200" s="19">
        <v>909301957</v>
      </c>
      <c r="B1200" s="19" t="s">
        <v>2752</v>
      </c>
      <c r="C1200" s="17" t="s">
        <v>2753</v>
      </c>
    </row>
    <row r="1201" spans="1:3">
      <c r="A1201" s="19">
        <v>909311460</v>
      </c>
      <c r="B1201" s="19" t="s">
        <v>2754</v>
      </c>
      <c r="C1201" s="18" t="s">
        <v>2755</v>
      </c>
    </row>
    <row r="1202" spans="1:3">
      <c r="A1202" s="19">
        <v>909320690</v>
      </c>
      <c r="B1202" s="19" t="s">
        <v>2756</v>
      </c>
      <c r="C1202" s="17" t="s">
        <v>2757</v>
      </c>
    </row>
    <row r="1203" spans="1:3">
      <c r="A1203" s="19">
        <v>909331792</v>
      </c>
      <c r="B1203" s="19" t="s">
        <v>2758</v>
      </c>
      <c r="C1203" s="17" t="s">
        <v>2759</v>
      </c>
    </row>
    <row r="1204" spans="1:3">
      <c r="A1204" s="19">
        <v>909335185</v>
      </c>
      <c r="B1204" s="19" t="s">
        <v>2760</v>
      </c>
      <c r="C1204" s="17" t="s">
        <v>2761</v>
      </c>
    </row>
    <row r="1205" spans="1:3">
      <c r="A1205" s="19">
        <v>909337135</v>
      </c>
      <c r="B1205" s="19" t="s">
        <v>2762</v>
      </c>
      <c r="C1205" s="17" t="s">
        <v>2763</v>
      </c>
    </row>
    <row r="1206" spans="1:3">
      <c r="A1206" s="19">
        <v>909379814</v>
      </c>
      <c r="B1206" s="19" t="s">
        <v>2764</v>
      </c>
      <c r="C1206" s="17" t="s">
        <v>2765</v>
      </c>
    </row>
    <row r="1207" spans="1:3">
      <c r="A1207" s="19">
        <v>909383402</v>
      </c>
      <c r="B1207" s="19" t="s">
        <v>2766</v>
      </c>
      <c r="C1207" s="17" t="s">
        <v>2767</v>
      </c>
    </row>
    <row r="1208" spans="1:3">
      <c r="A1208" s="19">
        <v>909390175</v>
      </c>
      <c r="B1208" s="19" t="s">
        <v>2768</v>
      </c>
      <c r="C1208" s="17" t="s">
        <v>2769</v>
      </c>
    </row>
    <row r="1209" spans="1:3">
      <c r="A1209" s="19">
        <v>909400484</v>
      </c>
      <c r="B1209" s="19" t="s">
        <v>2770</v>
      </c>
      <c r="C1209" s="17" t="s">
        <v>2771</v>
      </c>
    </row>
    <row r="1210" spans="1:3">
      <c r="A1210" s="19">
        <v>909405736</v>
      </c>
      <c r="B1210" s="19" t="s">
        <v>2772</v>
      </c>
      <c r="C1210" s="17" t="s">
        <v>2773</v>
      </c>
    </row>
    <row r="1211" spans="1:3">
      <c r="A1211" s="19">
        <v>909430592</v>
      </c>
      <c r="B1211" s="19" t="s">
        <v>2774</v>
      </c>
      <c r="C1211" s="17" t="s">
        <v>2775</v>
      </c>
    </row>
    <row r="1212" spans="1:3">
      <c r="A1212" s="19">
        <v>909449650</v>
      </c>
      <c r="B1212" s="19" t="s">
        <v>2776</v>
      </c>
      <c r="C1212" s="17" t="s">
        <v>2777</v>
      </c>
    </row>
    <row r="1213" spans="1:3">
      <c r="A1213" s="19">
        <v>909465445</v>
      </c>
      <c r="B1213" s="19" t="s">
        <v>2778</v>
      </c>
      <c r="C1213" s="18" t="s">
        <v>2779</v>
      </c>
    </row>
    <row r="1214" spans="1:3">
      <c r="A1214" s="19">
        <v>909470190</v>
      </c>
      <c r="B1214" s="19" t="s">
        <v>2780</v>
      </c>
      <c r="C1214" s="17" t="s">
        <v>2781</v>
      </c>
    </row>
    <row r="1215" spans="1:3">
      <c r="A1215" s="19">
        <v>909473362</v>
      </c>
      <c r="B1215" s="19" t="s">
        <v>2782</v>
      </c>
      <c r="C1215" s="17" t="s">
        <v>2783</v>
      </c>
    </row>
    <row r="1216" spans="1:3">
      <c r="A1216" s="19">
        <v>909483242</v>
      </c>
      <c r="B1216" s="19" t="s">
        <v>2784</v>
      </c>
      <c r="C1216" s="17" t="s">
        <v>2785</v>
      </c>
    </row>
    <row r="1217" spans="1:3">
      <c r="A1217" s="19">
        <v>909486973</v>
      </c>
      <c r="B1217" s="19" t="s">
        <v>2786</v>
      </c>
      <c r="C1217" s="17" t="s">
        <v>2787</v>
      </c>
    </row>
    <row r="1218" spans="1:3">
      <c r="A1218" s="19">
        <v>909503444</v>
      </c>
      <c r="B1218" s="19" t="s">
        <v>2788</v>
      </c>
      <c r="C1218" s="17" t="s">
        <v>2789</v>
      </c>
    </row>
    <row r="1219" spans="1:3">
      <c r="A1219" s="19">
        <v>909522229</v>
      </c>
      <c r="B1219" s="19" t="s">
        <v>2790</v>
      </c>
      <c r="C1219" s="17" t="s">
        <v>2791</v>
      </c>
    </row>
    <row r="1220" spans="1:3">
      <c r="A1220" s="19">
        <v>909562542</v>
      </c>
      <c r="B1220" s="19" t="s">
        <v>2792</v>
      </c>
      <c r="C1220" s="17" t="s">
        <v>2793</v>
      </c>
    </row>
    <row r="1221" spans="1:3">
      <c r="A1221" s="19">
        <v>909605702</v>
      </c>
      <c r="B1221" s="19" t="s">
        <v>2794</v>
      </c>
      <c r="C1221" s="17" t="s">
        <v>2795</v>
      </c>
    </row>
    <row r="1222" spans="1:3">
      <c r="A1222" s="19">
        <v>909623785</v>
      </c>
      <c r="B1222" s="19" t="s">
        <v>2796</v>
      </c>
      <c r="C1222" s="17" t="s">
        <v>2797</v>
      </c>
    </row>
    <row r="1223" spans="1:3">
      <c r="A1223" s="19">
        <v>909671157</v>
      </c>
      <c r="B1223" s="19" t="s">
        <v>2798</v>
      </c>
      <c r="C1223" s="17" t="s">
        <v>2799</v>
      </c>
    </row>
    <row r="1224" spans="1:3">
      <c r="A1224" s="19">
        <v>909680361</v>
      </c>
      <c r="B1224" s="19" t="s">
        <v>2800</v>
      </c>
      <c r="C1224" s="17" t="s">
        <v>2801</v>
      </c>
    </row>
    <row r="1225" spans="1:3">
      <c r="A1225" s="19">
        <v>909723313</v>
      </c>
      <c r="B1225" s="19" t="s">
        <v>2802</v>
      </c>
      <c r="C1225" s="18" t="s">
        <v>2803</v>
      </c>
    </row>
    <row r="1226" spans="1:3">
      <c r="A1226" s="19">
        <v>909726381</v>
      </c>
      <c r="B1226" s="19" t="s">
        <v>2804</v>
      </c>
      <c r="C1226" s="17" t="s">
        <v>2805</v>
      </c>
    </row>
    <row r="1227" spans="1:3">
      <c r="A1227" s="19">
        <v>909729085</v>
      </c>
      <c r="B1227" s="19" t="s">
        <v>2806</v>
      </c>
      <c r="C1227" s="17" t="s">
        <v>2807</v>
      </c>
    </row>
    <row r="1228" spans="1:3">
      <c r="A1228" s="15">
        <v>909749144</v>
      </c>
      <c r="B1228" s="1" t="s">
        <v>2808</v>
      </c>
      <c r="C1228" s="20" t="s">
        <v>2809</v>
      </c>
    </row>
    <row r="1229" spans="1:3">
      <c r="A1229" s="19">
        <v>909759518</v>
      </c>
      <c r="B1229" s="19" t="s">
        <v>2810</v>
      </c>
      <c r="C1229" s="17" t="s">
        <v>2811</v>
      </c>
    </row>
    <row r="1230" spans="1:3">
      <c r="A1230" s="19">
        <v>909760896</v>
      </c>
      <c r="B1230" s="19" t="s">
        <v>2812</v>
      </c>
      <c r="C1230" s="17" t="s">
        <v>2813</v>
      </c>
    </row>
    <row r="1231" spans="1:3">
      <c r="A1231" s="19">
        <v>909766486</v>
      </c>
      <c r="B1231" s="19" t="s">
        <v>2814</v>
      </c>
      <c r="C1231" s="17" t="s">
        <v>2815</v>
      </c>
    </row>
    <row r="1232" spans="1:3">
      <c r="A1232" s="19">
        <v>909766681</v>
      </c>
      <c r="B1232" s="19" t="s">
        <v>2816</v>
      </c>
      <c r="C1232" s="17" t="s">
        <v>2817</v>
      </c>
    </row>
    <row r="1233" spans="1:3">
      <c r="A1233" s="19">
        <v>909771790</v>
      </c>
      <c r="B1233" s="19" t="s">
        <v>2818</v>
      </c>
      <c r="C1233" s="17" t="s">
        <v>2819</v>
      </c>
    </row>
    <row r="1234" spans="1:3">
      <c r="A1234" s="19">
        <v>909779902</v>
      </c>
      <c r="B1234" s="19" t="s">
        <v>2820</v>
      </c>
      <c r="C1234" s="17" t="s">
        <v>2821</v>
      </c>
    </row>
    <row r="1235" spans="1:3">
      <c r="A1235" s="19">
        <v>909796815</v>
      </c>
      <c r="B1235" s="19" t="s">
        <v>2822</v>
      </c>
      <c r="C1235" s="17" t="s">
        <v>2823</v>
      </c>
    </row>
    <row r="1236" spans="1:3">
      <c r="A1236" s="19">
        <v>909802080</v>
      </c>
      <c r="B1236" s="19" t="s">
        <v>2824</v>
      </c>
      <c r="C1236" s="17" t="s">
        <v>2825</v>
      </c>
    </row>
    <row r="1237" spans="1:3">
      <c r="A1237" s="19">
        <v>909802743</v>
      </c>
      <c r="B1237" s="19" t="s">
        <v>2826</v>
      </c>
      <c r="C1237" s="17" t="s">
        <v>2827</v>
      </c>
    </row>
    <row r="1238" spans="1:3">
      <c r="A1238" s="19">
        <v>909802821</v>
      </c>
      <c r="B1238" s="19" t="s">
        <v>2828</v>
      </c>
      <c r="C1238" s="17" t="s">
        <v>2829</v>
      </c>
    </row>
    <row r="1239" spans="1:3">
      <c r="A1239" s="19">
        <v>909809243</v>
      </c>
      <c r="B1239" s="19" t="s">
        <v>2830</v>
      </c>
      <c r="C1239" s="17" t="s">
        <v>2831</v>
      </c>
    </row>
    <row r="1240" spans="1:3">
      <c r="A1240" s="19">
        <v>909810114</v>
      </c>
      <c r="B1240" s="19" t="s">
        <v>2832</v>
      </c>
      <c r="C1240" s="17" t="s">
        <v>2833</v>
      </c>
    </row>
    <row r="1241" spans="1:3">
      <c r="A1241" s="19">
        <v>909811245</v>
      </c>
      <c r="B1241" s="19" t="s">
        <v>2834</v>
      </c>
      <c r="C1241" s="17" t="s">
        <v>2835</v>
      </c>
    </row>
    <row r="1242" spans="1:3">
      <c r="A1242" s="19">
        <v>909819539</v>
      </c>
      <c r="B1242" s="19" t="s">
        <v>2836</v>
      </c>
      <c r="C1242" s="17" t="s">
        <v>2837</v>
      </c>
    </row>
    <row r="1243" spans="1:3">
      <c r="A1243" s="19">
        <v>909826143</v>
      </c>
      <c r="B1243" s="19" t="s">
        <v>2838</v>
      </c>
      <c r="C1243" s="17" t="s">
        <v>2839</v>
      </c>
    </row>
    <row r="1244" spans="1:3">
      <c r="A1244" s="19">
        <v>909832331</v>
      </c>
      <c r="B1244" s="19" t="s">
        <v>2840</v>
      </c>
      <c r="C1244" s="17" t="s">
        <v>2841</v>
      </c>
    </row>
    <row r="1245" spans="1:3">
      <c r="A1245" s="19">
        <v>909837531</v>
      </c>
      <c r="B1245" s="19" t="s">
        <v>2842</v>
      </c>
      <c r="C1245" s="17" t="s">
        <v>2843</v>
      </c>
    </row>
    <row r="1246" spans="1:3">
      <c r="A1246" s="19">
        <v>909851038</v>
      </c>
      <c r="B1246" s="19" t="s">
        <v>2844</v>
      </c>
      <c r="C1246" s="17" t="s">
        <v>2845</v>
      </c>
    </row>
    <row r="1247" spans="1:3">
      <c r="A1247" s="19">
        <v>909851649</v>
      </c>
      <c r="B1247" s="19" t="s">
        <v>2846</v>
      </c>
      <c r="C1247" s="17" t="s">
        <v>2847</v>
      </c>
    </row>
    <row r="1248" spans="1:3">
      <c r="A1248" s="19">
        <v>909859644</v>
      </c>
      <c r="B1248" s="19" t="s">
        <v>2848</v>
      </c>
      <c r="C1248" s="17" t="s">
        <v>2849</v>
      </c>
    </row>
    <row r="1249" spans="1:3">
      <c r="A1249" s="19">
        <v>909861191</v>
      </c>
      <c r="B1249" s="19" t="s">
        <v>2850</v>
      </c>
      <c r="C1249" s="17" t="s">
        <v>2851</v>
      </c>
    </row>
    <row r="1250" spans="1:3">
      <c r="A1250" s="19">
        <v>909861620</v>
      </c>
      <c r="B1250" s="19" t="s">
        <v>2852</v>
      </c>
      <c r="C1250" s="17" t="s">
        <v>2853</v>
      </c>
    </row>
    <row r="1251" spans="1:3">
      <c r="A1251" s="19">
        <v>909863934</v>
      </c>
      <c r="B1251" s="19" t="s">
        <v>2854</v>
      </c>
      <c r="C1251" s="17" t="s">
        <v>2855</v>
      </c>
    </row>
    <row r="1252" spans="1:3">
      <c r="A1252" s="19">
        <v>909864350</v>
      </c>
      <c r="B1252" s="19" t="s">
        <v>2856</v>
      </c>
      <c r="C1252" s="17" t="s">
        <v>2857</v>
      </c>
    </row>
    <row r="1253" spans="1:3">
      <c r="A1253" s="19">
        <v>909864454</v>
      </c>
      <c r="B1253" s="19" t="s">
        <v>2858</v>
      </c>
      <c r="C1253" s="17" t="s">
        <v>2859</v>
      </c>
    </row>
    <row r="1254" spans="1:3">
      <c r="A1254" s="19">
        <v>909866469</v>
      </c>
      <c r="B1254" s="19" t="s">
        <v>2860</v>
      </c>
      <c r="C1254" s="17" t="s">
        <v>2861</v>
      </c>
    </row>
    <row r="1255" spans="1:3">
      <c r="A1255" s="19">
        <v>909875335</v>
      </c>
      <c r="B1255" s="19" t="s">
        <v>2862</v>
      </c>
      <c r="C1255" s="17" t="s">
        <v>2863</v>
      </c>
    </row>
    <row r="1256" spans="1:3">
      <c r="A1256" s="19">
        <v>909876011</v>
      </c>
      <c r="B1256" s="19" t="s">
        <v>2864</v>
      </c>
      <c r="C1256" s="17" t="s">
        <v>2865</v>
      </c>
    </row>
    <row r="1257" spans="1:3">
      <c r="A1257" s="19">
        <v>909889349</v>
      </c>
      <c r="B1257" s="19" t="s">
        <v>2866</v>
      </c>
      <c r="C1257" s="17" t="s">
        <v>2867</v>
      </c>
    </row>
    <row r="1258" spans="1:3">
      <c r="A1258" s="19">
        <v>909889921</v>
      </c>
      <c r="B1258" s="19" t="s">
        <v>2868</v>
      </c>
      <c r="C1258" s="17" t="s">
        <v>2869</v>
      </c>
    </row>
    <row r="1259" spans="1:3">
      <c r="A1259" s="19">
        <v>909890805</v>
      </c>
      <c r="B1259" s="19" t="s">
        <v>2870</v>
      </c>
      <c r="C1259" s="17" t="s">
        <v>2871</v>
      </c>
    </row>
    <row r="1260" spans="1:3">
      <c r="A1260" s="19">
        <v>909891468</v>
      </c>
      <c r="B1260" s="19" t="s">
        <v>2872</v>
      </c>
      <c r="C1260" s="17" t="s">
        <v>2873</v>
      </c>
    </row>
    <row r="1261" spans="1:3">
      <c r="A1261" s="19">
        <v>909891559</v>
      </c>
      <c r="B1261" s="19" t="s">
        <v>2874</v>
      </c>
      <c r="C1261" s="17" t="s">
        <v>2875</v>
      </c>
    </row>
    <row r="1262" spans="1:3">
      <c r="A1262" s="19">
        <v>909893392</v>
      </c>
      <c r="B1262" s="19" t="s">
        <v>2876</v>
      </c>
      <c r="C1262" s="17" t="s">
        <v>2877</v>
      </c>
    </row>
    <row r="1263" spans="1:3">
      <c r="A1263" s="19">
        <v>909895264</v>
      </c>
      <c r="B1263" s="19" t="s">
        <v>2878</v>
      </c>
      <c r="C1263" s="17" t="s">
        <v>2879</v>
      </c>
    </row>
    <row r="1264" spans="1:3">
      <c r="A1264" s="19">
        <v>909896382</v>
      </c>
      <c r="B1264" s="19" t="s">
        <v>2880</v>
      </c>
      <c r="C1264" s="17" t="s">
        <v>2881</v>
      </c>
    </row>
    <row r="1265" spans="1:3">
      <c r="A1265" s="19">
        <v>909896486</v>
      </c>
      <c r="B1265" s="19" t="s">
        <v>2882</v>
      </c>
      <c r="C1265" s="17" t="s">
        <v>2883</v>
      </c>
    </row>
    <row r="1266" spans="1:3">
      <c r="A1266" s="19">
        <v>909898579</v>
      </c>
      <c r="B1266" s="19" t="s">
        <v>2884</v>
      </c>
      <c r="C1266" s="17" t="s">
        <v>2885</v>
      </c>
    </row>
    <row r="1267" spans="1:3">
      <c r="A1267" s="19">
        <v>909899996</v>
      </c>
      <c r="B1267" s="19" t="s">
        <v>2886</v>
      </c>
      <c r="C1267" s="17" t="s">
        <v>2887</v>
      </c>
    </row>
    <row r="1268" spans="1:3">
      <c r="A1268" s="19">
        <v>909900256</v>
      </c>
      <c r="B1268" s="19" t="s">
        <v>2888</v>
      </c>
      <c r="C1268" s="17" t="s">
        <v>2889</v>
      </c>
    </row>
    <row r="1269" spans="1:3">
      <c r="A1269" s="19">
        <v>909901751</v>
      </c>
      <c r="B1269" s="19" t="s">
        <v>2890</v>
      </c>
      <c r="C1269" s="17" t="s">
        <v>2891</v>
      </c>
    </row>
    <row r="1270" spans="1:3">
      <c r="A1270" s="19">
        <v>909902050</v>
      </c>
      <c r="B1270" s="19" t="s">
        <v>2892</v>
      </c>
      <c r="C1270" s="17" t="s">
        <v>2893</v>
      </c>
    </row>
    <row r="1271" spans="1:3">
      <c r="A1271" s="19">
        <v>909902102</v>
      </c>
      <c r="B1271" s="19" t="s">
        <v>2894</v>
      </c>
      <c r="C1271" s="17" t="s">
        <v>2895</v>
      </c>
    </row>
    <row r="1272" spans="1:3">
      <c r="A1272" s="19">
        <v>909904351</v>
      </c>
      <c r="B1272" s="19" t="s">
        <v>2896</v>
      </c>
      <c r="C1272" s="17" t="s">
        <v>2897</v>
      </c>
    </row>
    <row r="1273" spans="1:3">
      <c r="A1273" s="19">
        <v>909905144</v>
      </c>
      <c r="B1273" s="19" t="s">
        <v>2898</v>
      </c>
      <c r="C1273" s="17" t="s">
        <v>2899</v>
      </c>
    </row>
    <row r="1274" spans="1:3">
      <c r="A1274" s="19">
        <v>909906327</v>
      </c>
      <c r="B1274" s="19" t="s">
        <v>2900</v>
      </c>
      <c r="C1274" s="17" t="s">
        <v>2901</v>
      </c>
    </row>
    <row r="1275" spans="1:3">
      <c r="A1275" s="19">
        <v>909907575</v>
      </c>
      <c r="B1275" s="19" t="s">
        <v>2902</v>
      </c>
      <c r="C1275" s="17" t="s">
        <v>2903</v>
      </c>
    </row>
    <row r="1276" spans="1:3">
      <c r="A1276" s="19">
        <v>909909616</v>
      </c>
      <c r="B1276" s="19" t="s">
        <v>2904</v>
      </c>
      <c r="C1276" s="18" t="s">
        <v>2905</v>
      </c>
    </row>
    <row r="1277" spans="1:3">
      <c r="A1277" s="19">
        <v>909910240</v>
      </c>
      <c r="B1277" s="19" t="s">
        <v>2906</v>
      </c>
      <c r="C1277" s="17" t="s">
        <v>2907</v>
      </c>
    </row>
    <row r="1278" spans="1:3">
      <c r="A1278" s="19">
        <v>909912164</v>
      </c>
      <c r="B1278" s="19" t="s">
        <v>2908</v>
      </c>
      <c r="C1278" s="17" t="s">
        <v>2909</v>
      </c>
    </row>
    <row r="1279" spans="1:3">
      <c r="A1279" s="19">
        <v>909918170</v>
      </c>
      <c r="B1279" s="19" t="s">
        <v>2910</v>
      </c>
      <c r="C1279" s="17" t="s">
        <v>2911</v>
      </c>
    </row>
    <row r="1280" spans="1:3">
      <c r="A1280" s="19">
        <v>909919977</v>
      </c>
      <c r="B1280" s="19" t="s">
        <v>2912</v>
      </c>
      <c r="C1280" s="18" t="s">
        <v>2913</v>
      </c>
    </row>
    <row r="1281" spans="1:3">
      <c r="A1281" s="19">
        <v>909923721</v>
      </c>
      <c r="B1281" s="19" t="s">
        <v>2914</v>
      </c>
      <c r="C1281" s="17" t="s">
        <v>2915</v>
      </c>
    </row>
    <row r="1282" spans="1:3">
      <c r="A1282" s="19">
        <v>909926867</v>
      </c>
      <c r="B1282" s="19" t="s">
        <v>2916</v>
      </c>
      <c r="C1282" s="17" t="s">
        <v>2917</v>
      </c>
    </row>
    <row r="1283" spans="1:3">
      <c r="A1283" s="19">
        <v>909927335</v>
      </c>
      <c r="B1283" s="19" t="s">
        <v>2918</v>
      </c>
      <c r="C1283" s="18" t="s">
        <v>2919</v>
      </c>
    </row>
    <row r="1284" spans="1:3">
      <c r="A1284" s="19">
        <v>909931001</v>
      </c>
      <c r="B1284" s="19" t="s">
        <v>2920</v>
      </c>
      <c r="C1284" s="18" t="s">
        <v>2921</v>
      </c>
    </row>
    <row r="1285" spans="1:3">
      <c r="A1285" s="19">
        <v>909935967</v>
      </c>
      <c r="B1285" s="19" t="s">
        <v>2922</v>
      </c>
      <c r="C1285" s="17" t="s">
        <v>2923</v>
      </c>
    </row>
    <row r="1286" spans="1:3">
      <c r="A1286" s="19">
        <v>909942597</v>
      </c>
      <c r="B1286" s="19" t="s">
        <v>2924</v>
      </c>
      <c r="C1286" s="17" t="s">
        <v>2925</v>
      </c>
    </row>
    <row r="1287" spans="1:3">
      <c r="A1287" s="19">
        <v>909946432</v>
      </c>
      <c r="B1287" s="19" t="s">
        <v>2926</v>
      </c>
      <c r="C1287" s="17" t="s">
        <v>2927</v>
      </c>
    </row>
    <row r="1288" spans="1:3">
      <c r="A1288" s="19">
        <v>909965516</v>
      </c>
      <c r="B1288" s="19" t="s">
        <v>2928</v>
      </c>
      <c r="C1288" s="17" t="s">
        <v>2929</v>
      </c>
    </row>
    <row r="1289" spans="1:3">
      <c r="A1289" s="19">
        <v>909965828</v>
      </c>
      <c r="B1289" s="19" t="s">
        <v>2930</v>
      </c>
      <c r="C1289" s="17" t="s">
        <v>2931</v>
      </c>
    </row>
    <row r="1290" spans="1:3">
      <c r="A1290" s="19">
        <v>909975227</v>
      </c>
      <c r="B1290" s="19" t="s">
        <v>2932</v>
      </c>
      <c r="C1290" s="17" t="s">
        <v>2933</v>
      </c>
    </row>
    <row r="1291" spans="1:3">
      <c r="A1291" s="19">
        <v>909979348</v>
      </c>
      <c r="B1291" s="19" t="s">
        <v>2934</v>
      </c>
      <c r="C1291" s="17" t="s">
        <v>2935</v>
      </c>
    </row>
    <row r="1292" spans="1:3">
      <c r="A1292" s="19">
        <v>909986732</v>
      </c>
      <c r="B1292" s="19" t="s">
        <v>2936</v>
      </c>
      <c r="C1292" s="18" t="s">
        <v>2937</v>
      </c>
    </row>
    <row r="1293" spans="1:3">
      <c r="A1293" s="19">
        <v>910001773</v>
      </c>
      <c r="B1293" s="19" t="s">
        <v>2938</v>
      </c>
      <c r="C1293" s="17" t="s">
        <v>2939</v>
      </c>
    </row>
    <row r="1294" spans="1:3">
      <c r="A1294" s="19">
        <v>910008377</v>
      </c>
      <c r="B1294" s="19" t="s">
        <v>2940</v>
      </c>
      <c r="C1294" s="17" t="s">
        <v>2941</v>
      </c>
    </row>
    <row r="1295" spans="1:3">
      <c r="A1295" s="19">
        <v>910013135</v>
      </c>
      <c r="B1295" s="19" t="s">
        <v>2942</v>
      </c>
      <c r="C1295" s="17" t="s">
        <v>2943</v>
      </c>
    </row>
    <row r="1296" spans="1:3">
      <c r="A1296" s="19">
        <v>910028514</v>
      </c>
      <c r="B1296" s="19" t="s">
        <v>2944</v>
      </c>
      <c r="C1296" s="17" t="s">
        <v>2945</v>
      </c>
    </row>
    <row r="1297" spans="1:3">
      <c r="A1297" s="19">
        <v>910056633</v>
      </c>
      <c r="B1297" s="19" t="s">
        <v>2946</v>
      </c>
      <c r="C1297" s="17" t="s">
        <v>2947</v>
      </c>
    </row>
    <row r="1298" spans="1:3">
      <c r="A1298" s="19">
        <v>910070933</v>
      </c>
      <c r="B1298" s="19" t="s">
        <v>2948</v>
      </c>
      <c r="C1298" s="17" t="s">
        <v>2949</v>
      </c>
    </row>
    <row r="1299" spans="1:3">
      <c r="A1299" s="19">
        <v>910108633</v>
      </c>
      <c r="B1299" s="19" t="s">
        <v>2950</v>
      </c>
      <c r="C1299" s="17" t="s">
        <v>2951</v>
      </c>
    </row>
    <row r="1300" spans="1:3">
      <c r="A1300" s="19">
        <v>910110973</v>
      </c>
      <c r="B1300" s="19" t="s">
        <v>2952</v>
      </c>
      <c r="C1300" s="17" t="s">
        <v>2953</v>
      </c>
    </row>
    <row r="1301" spans="1:3">
      <c r="A1301" s="19">
        <v>910121828</v>
      </c>
      <c r="B1301" s="19" t="s">
        <v>2954</v>
      </c>
      <c r="C1301" s="17" t="s">
        <v>2955</v>
      </c>
    </row>
    <row r="1302" spans="1:3">
      <c r="A1302" s="19">
        <v>910125923</v>
      </c>
      <c r="B1302" s="19" t="s">
        <v>2956</v>
      </c>
      <c r="C1302" s="17" t="s">
        <v>2957</v>
      </c>
    </row>
    <row r="1303" spans="1:3">
      <c r="A1303" s="19">
        <v>910134919</v>
      </c>
      <c r="B1303" s="19" t="s">
        <v>2958</v>
      </c>
      <c r="C1303" s="17" t="s">
        <v>2959</v>
      </c>
    </row>
    <row r="1304" spans="1:3">
      <c r="A1304" s="19">
        <v>910158085</v>
      </c>
      <c r="B1304" s="19" t="s">
        <v>2960</v>
      </c>
      <c r="C1304" s="17" t="s">
        <v>2961</v>
      </c>
    </row>
    <row r="1305" spans="1:3">
      <c r="A1305" s="19">
        <v>910180848</v>
      </c>
      <c r="B1305" s="19" t="s">
        <v>2962</v>
      </c>
      <c r="C1305" s="17" t="s">
        <v>2963</v>
      </c>
    </row>
    <row r="1306" spans="1:3">
      <c r="A1306" s="19">
        <v>910198255</v>
      </c>
      <c r="B1306" s="19" t="s">
        <v>2964</v>
      </c>
      <c r="C1306" s="17" t="s">
        <v>2965</v>
      </c>
    </row>
    <row r="1307" spans="1:3">
      <c r="A1307" s="15">
        <v>910202493</v>
      </c>
      <c r="B1307" s="16" t="s">
        <v>2966</v>
      </c>
      <c r="C1307" s="18" t="s">
        <v>2967</v>
      </c>
    </row>
    <row r="1308" spans="1:3">
      <c r="A1308" s="19">
        <v>910229403</v>
      </c>
      <c r="B1308" s="19" t="s">
        <v>2968</v>
      </c>
      <c r="C1308" s="17" t="s">
        <v>2969</v>
      </c>
    </row>
    <row r="1309" spans="1:3">
      <c r="A1309" s="19">
        <v>910232406</v>
      </c>
      <c r="B1309" s="19" t="s">
        <v>2970</v>
      </c>
      <c r="C1309" s="18" t="s">
        <v>2971</v>
      </c>
    </row>
    <row r="1310" spans="1:3">
      <c r="A1310" s="19">
        <v>910240310</v>
      </c>
      <c r="B1310" s="19" t="s">
        <v>2972</v>
      </c>
      <c r="C1310" s="17" t="s">
        <v>2973</v>
      </c>
    </row>
    <row r="1311" spans="1:3">
      <c r="A1311" s="19">
        <v>910264646</v>
      </c>
      <c r="B1311" s="19" t="s">
        <v>2974</v>
      </c>
      <c r="C1311" s="17" t="s">
        <v>2975</v>
      </c>
    </row>
    <row r="1312" spans="1:3">
      <c r="A1312" s="19">
        <v>910275293</v>
      </c>
      <c r="B1312" s="19" t="s">
        <v>2976</v>
      </c>
      <c r="C1312" s="17" t="s">
        <v>2977</v>
      </c>
    </row>
    <row r="1313" spans="1:3">
      <c r="A1313" s="19">
        <v>910318661</v>
      </c>
      <c r="B1313" s="19" t="s">
        <v>2978</v>
      </c>
      <c r="C1313" s="17" t="s">
        <v>2979</v>
      </c>
    </row>
    <row r="1314" spans="1:3">
      <c r="A1314" s="19">
        <v>910347690</v>
      </c>
      <c r="B1314" s="19" t="s">
        <v>2980</v>
      </c>
      <c r="C1314" s="17" t="s">
        <v>2981</v>
      </c>
    </row>
    <row r="1315" spans="1:3">
      <c r="A1315" s="15">
        <v>910371961</v>
      </c>
      <c r="B1315" s="1" t="s">
        <v>2982</v>
      </c>
      <c r="C1315" s="18" t="s">
        <v>2983</v>
      </c>
    </row>
    <row r="1316" spans="1:3">
      <c r="A1316" s="19">
        <v>910407178</v>
      </c>
      <c r="B1316" s="19" t="s">
        <v>2984</v>
      </c>
      <c r="C1316" s="17" t="s">
        <v>2985</v>
      </c>
    </row>
    <row r="1317" spans="1:3">
      <c r="A1317" s="19">
        <v>910414237</v>
      </c>
      <c r="B1317" s="19" t="s">
        <v>2986</v>
      </c>
      <c r="C1317" s="17" t="s">
        <v>2987</v>
      </c>
    </row>
    <row r="1318" spans="1:3">
      <c r="A1318" s="19">
        <v>910425924</v>
      </c>
      <c r="B1318" s="19" t="s">
        <v>2988</v>
      </c>
      <c r="C1318" s="17" t="s">
        <v>2989</v>
      </c>
    </row>
    <row r="1319" spans="1:3">
      <c r="A1319" s="19">
        <v>910435908</v>
      </c>
      <c r="B1319" s="19" t="s">
        <v>2990</v>
      </c>
      <c r="C1319" s="17" t="s">
        <v>2991</v>
      </c>
    </row>
    <row r="1320" spans="1:3">
      <c r="A1320" s="19">
        <v>910443357</v>
      </c>
      <c r="B1320" s="19" t="s">
        <v>2992</v>
      </c>
      <c r="C1320" s="17" t="s">
        <v>2993</v>
      </c>
    </row>
    <row r="1321" spans="1:3">
      <c r="A1321" s="19">
        <v>910467147</v>
      </c>
      <c r="B1321" s="19" t="s">
        <v>2994</v>
      </c>
      <c r="C1321" s="17" t="s">
        <v>2995</v>
      </c>
    </row>
    <row r="1322" spans="1:3">
      <c r="A1322" s="19">
        <v>910478483</v>
      </c>
      <c r="B1322" s="19" t="s">
        <v>2996</v>
      </c>
      <c r="C1322" s="17" t="s">
        <v>2997</v>
      </c>
    </row>
    <row r="1323" spans="1:3">
      <c r="A1323" s="19">
        <v>910481018</v>
      </c>
      <c r="B1323" s="19" t="s">
        <v>2998</v>
      </c>
      <c r="C1323" s="17" t="s">
        <v>2999</v>
      </c>
    </row>
    <row r="1324" spans="1:3">
      <c r="A1324" s="19">
        <v>910484411</v>
      </c>
      <c r="B1324" s="19" t="s">
        <v>3000</v>
      </c>
      <c r="C1324" s="17" t="s">
        <v>3001</v>
      </c>
    </row>
    <row r="1325" spans="1:3">
      <c r="A1325" s="19">
        <v>910495006</v>
      </c>
      <c r="B1325" s="19" t="s">
        <v>3002</v>
      </c>
      <c r="C1325" s="17" t="s">
        <v>3003</v>
      </c>
    </row>
    <row r="1326" spans="1:3">
      <c r="A1326" s="19">
        <v>910497424</v>
      </c>
      <c r="B1326" s="19" t="s">
        <v>3004</v>
      </c>
      <c r="C1326" s="17" t="s">
        <v>3005</v>
      </c>
    </row>
    <row r="1327" spans="1:3">
      <c r="A1327" s="19">
        <v>910500999</v>
      </c>
      <c r="B1327" s="19" t="s">
        <v>3006</v>
      </c>
      <c r="C1327" s="17" t="s">
        <v>3007</v>
      </c>
    </row>
    <row r="1328" spans="1:3">
      <c r="A1328" s="19">
        <v>910501506</v>
      </c>
      <c r="B1328" s="19" t="s">
        <v>3008</v>
      </c>
      <c r="C1328" s="17" t="s">
        <v>3009</v>
      </c>
    </row>
    <row r="1329" spans="1:3">
      <c r="A1329" s="19">
        <v>910506160</v>
      </c>
      <c r="B1329" s="19" t="s">
        <v>3010</v>
      </c>
      <c r="C1329" s="17" t="s">
        <v>3011</v>
      </c>
    </row>
    <row r="1330" spans="1:3">
      <c r="A1330" s="19">
        <v>910506602</v>
      </c>
      <c r="B1330" s="19" t="s">
        <v>3012</v>
      </c>
      <c r="C1330" s="17" t="s">
        <v>3013</v>
      </c>
    </row>
    <row r="1331" spans="1:3">
      <c r="A1331" s="19">
        <v>910507122</v>
      </c>
      <c r="B1331" s="19" t="s">
        <v>3014</v>
      </c>
      <c r="C1331" s="17" t="s">
        <v>3015</v>
      </c>
    </row>
    <row r="1332" spans="1:3">
      <c r="A1332" s="19">
        <v>910507655</v>
      </c>
      <c r="B1332" s="19" t="s">
        <v>3016</v>
      </c>
      <c r="C1332" s="17" t="s">
        <v>3017</v>
      </c>
    </row>
    <row r="1333" spans="1:3">
      <c r="A1333" s="19">
        <v>910554273</v>
      </c>
      <c r="B1333" s="19" t="s">
        <v>3018</v>
      </c>
      <c r="C1333" s="17" t="s">
        <v>3019</v>
      </c>
    </row>
    <row r="1334" spans="1:3">
      <c r="A1334" s="19">
        <v>910558706</v>
      </c>
      <c r="B1334" s="19" t="s">
        <v>3020</v>
      </c>
      <c r="C1334" s="17" t="s">
        <v>3021</v>
      </c>
    </row>
    <row r="1335" spans="1:3">
      <c r="A1335" s="19">
        <v>910569626</v>
      </c>
      <c r="B1335" s="19" t="s">
        <v>3022</v>
      </c>
      <c r="C1335" s="17" t="s">
        <v>3023</v>
      </c>
    </row>
    <row r="1336" spans="1:3">
      <c r="A1336" s="19">
        <v>910586656</v>
      </c>
      <c r="B1336" s="19" t="s">
        <v>3024</v>
      </c>
      <c r="C1336" s="17" t="s">
        <v>3025</v>
      </c>
    </row>
    <row r="1337" spans="1:3">
      <c r="A1337" s="19">
        <v>910589178</v>
      </c>
      <c r="B1337" s="19" t="s">
        <v>3026</v>
      </c>
      <c r="C1337" s="17" t="s">
        <v>3027</v>
      </c>
    </row>
    <row r="1338" spans="1:3">
      <c r="A1338" s="19">
        <v>910598434</v>
      </c>
      <c r="B1338" s="19" t="s">
        <v>3028</v>
      </c>
      <c r="C1338" s="17" t="s">
        <v>3029</v>
      </c>
    </row>
    <row r="1339" spans="1:3">
      <c r="A1339" s="19">
        <v>910598681</v>
      </c>
      <c r="B1339" s="19" t="s">
        <v>3030</v>
      </c>
      <c r="C1339" s="17" t="s">
        <v>3031</v>
      </c>
    </row>
    <row r="1340" spans="1:3">
      <c r="A1340" s="19">
        <v>910598694</v>
      </c>
      <c r="B1340" s="19" t="s">
        <v>3032</v>
      </c>
      <c r="C1340" s="17" t="s">
        <v>3033</v>
      </c>
    </row>
    <row r="1341" spans="1:3">
      <c r="A1341" s="19">
        <v>910600371</v>
      </c>
      <c r="B1341" s="19" t="s">
        <v>3034</v>
      </c>
      <c r="C1341" s="17" t="s">
        <v>3035</v>
      </c>
    </row>
    <row r="1342" spans="1:3">
      <c r="A1342" s="19">
        <v>910603959</v>
      </c>
      <c r="B1342" s="19" t="s">
        <v>3036</v>
      </c>
      <c r="C1342" s="17" t="s">
        <v>3037</v>
      </c>
    </row>
    <row r="1343" spans="1:3">
      <c r="A1343" s="19">
        <v>910605818</v>
      </c>
      <c r="B1343" s="19" t="s">
        <v>3038</v>
      </c>
      <c r="C1343" s="17" t="s">
        <v>3039</v>
      </c>
    </row>
    <row r="1344" spans="1:3">
      <c r="A1344" s="19">
        <v>910606832</v>
      </c>
      <c r="B1344" s="19" t="s">
        <v>3040</v>
      </c>
      <c r="C1344" s="17" t="s">
        <v>3041</v>
      </c>
    </row>
    <row r="1345" spans="1:3">
      <c r="A1345" s="19">
        <v>910606845</v>
      </c>
      <c r="B1345" s="19" t="s">
        <v>3042</v>
      </c>
      <c r="C1345" s="17" t="s">
        <v>3043</v>
      </c>
    </row>
    <row r="1346" spans="1:3">
      <c r="A1346" s="19">
        <v>910609588</v>
      </c>
      <c r="B1346" s="19" t="s">
        <v>3044</v>
      </c>
      <c r="C1346" s="17" t="s">
        <v>3045</v>
      </c>
    </row>
    <row r="1347" spans="1:3">
      <c r="A1347" s="19">
        <v>910609965</v>
      </c>
      <c r="B1347" s="19" t="s">
        <v>3046</v>
      </c>
      <c r="C1347" s="17" t="s">
        <v>3047</v>
      </c>
    </row>
    <row r="1348" spans="1:3">
      <c r="A1348" s="19">
        <v>910624018</v>
      </c>
      <c r="B1348" s="19" t="s">
        <v>3048</v>
      </c>
      <c r="C1348" s="17" t="s">
        <v>3049</v>
      </c>
    </row>
    <row r="1349" spans="1:3">
      <c r="A1349" s="19">
        <v>910624564</v>
      </c>
      <c r="B1349" s="19" t="s">
        <v>3050</v>
      </c>
      <c r="C1349" s="17" t="s">
        <v>3051</v>
      </c>
    </row>
    <row r="1350" spans="1:3">
      <c r="A1350" s="19">
        <v>910625981</v>
      </c>
      <c r="B1350" s="19" t="s">
        <v>3052</v>
      </c>
      <c r="C1350" s="17" t="s">
        <v>3053</v>
      </c>
    </row>
    <row r="1351" spans="1:3">
      <c r="A1351" s="19">
        <v>910626033</v>
      </c>
      <c r="B1351" s="19" t="s">
        <v>3054</v>
      </c>
      <c r="C1351" s="17" t="s">
        <v>3055</v>
      </c>
    </row>
    <row r="1352" spans="1:3">
      <c r="A1352" s="19">
        <v>910626670</v>
      </c>
      <c r="B1352" s="19" t="s">
        <v>3056</v>
      </c>
      <c r="C1352" s="17" t="s">
        <v>3057</v>
      </c>
    </row>
    <row r="1353" spans="1:3">
      <c r="A1353" s="19">
        <v>910627866</v>
      </c>
      <c r="B1353" s="19" t="s">
        <v>3058</v>
      </c>
      <c r="C1353" s="17" t="s">
        <v>3059</v>
      </c>
    </row>
    <row r="1354" spans="1:3">
      <c r="A1354" s="19">
        <v>910630479</v>
      </c>
      <c r="B1354" s="19" t="s">
        <v>3060</v>
      </c>
      <c r="C1354" s="17" t="s">
        <v>3061</v>
      </c>
    </row>
    <row r="1355" spans="1:3">
      <c r="A1355" s="19">
        <v>910631155</v>
      </c>
      <c r="B1355" s="19" t="s">
        <v>3062</v>
      </c>
      <c r="C1355" s="17" t="s">
        <v>3063</v>
      </c>
    </row>
    <row r="1356" spans="1:3">
      <c r="A1356" s="19">
        <v>910631181</v>
      </c>
      <c r="B1356" s="19" t="s">
        <v>3064</v>
      </c>
      <c r="C1356" s="17" t="s">
        <v>3065</v>
      </c>
    </row>
    <row r="1357" spans="1:3">
      <c r="A1357" s="19">
        <v>910631259</v>
      </c>
      <c r="B1357" s="19" t="s">
        <v>3066</v>
      </c>
      <c r="C1357" s="17" t="s">
        <v>3067</v>
      </c>
    </row>
    <row r="1358" spans="1:3">
      <c r="A1358" s="19">
        <v>910631415</v>
      </c>
      <c r="B1358" s="19" t="s">
        <v>3068</v>
      </c>
      <c r="C1358" s="17" t="s">
        <v>3069</v>
      </c>
    </row>
    <row r="1359" spans="1:3">
      <c r="A1359" s="19">
        <v>910631935</v>
      </c>
      <c r="B1359" s="19" t="s">
        <v>3070</v>
      </c>
      <c r="C1359" s="17" t="s">
        <v>3071</v>
      </c>
    </row>
    <row r="1360" spans="1:3">
      <c r="A1360" s="19">
        <v>910647353</v>
      </c>
      <c r="B1360" s="19" t="s">
        <v>3072</v>
      </c>
      <c r="C1360" s="17" t="s">
        <v>3073</v>
      </c>
    </row>
    <row r="1361" spans="1:3">
      <c r="A1361" s="19">
        <v>910647691</v>
      </c>
      <c r="B1361" s="19" t="s">
        <v>3074</v>
      </c>
      <c r="C1361" s="17" t="s">
        <v>3075</v>
      </c>
    </row>
    <row r="1362" spans="1:3">
      <c r="A1362" s="19">
        <v>910654997</v>
      </c>
      <c r="B1362" s="19" t="s">
        <v>3076</v>
      </c>
      <c r="C1362" s="17" t="s">
        <v>3077</v>
      </c>
    </row>
    <row r="1363" spans="1:3">
      <c r="A1363" s="15">
        <v>910658039</v>
      </c>
      <c r="B1363" s="1" t="s">
        <v>3078</v>
      </c>
      <c r="C1363" s="20" t="s">
        <v>3079</v>
      </c>
    </row>
    <row r="1364" spans="1:3">
      <c r="A1364" s="19">
        <v>910660652</v>
      </c>
      <c r="B1364" s="19" t="s">
        <v>3080</v>
      </c>
      <c r="C1364" s="17" t="s">
        <v>3081</v>
      </c>
    </row>
    <row r="1365" spans="1:3">
      <c r="A1365" s="19">
        <v>910666515</v>
      </c>
      <c r="B1365" s="19" t="s">
        <v>3082</v>
      </c>
      <c r="C1365" s="17" t="s">
        <v>3083</v>
      </c>
    </row>
    <row r="1366" spans="1:3">
      <c r="A1366" s="19">
        <v>910675303</v>
      </c>
      <c r="B1366" s="19" t="s">
        <v>3084</v>
      </c>
      <c r="C1366" s="17" t="s">
        <v>3085</v>
      </c>
    </row>
    <row r="1367" spans="1:3">
      <c r="A1367" s="19">
        <v>910679203</v>
      </c>
      <c r="B1367" s="19" t="s">
        <v>3086</v>
      </c>
      <c r="C1367" s="17" t="s">
        <v>3087</v>
      </c>
    </row>
    <row r="1368" spans="1:3">
      <c r="A1368" s="19">
        <v>910711664</v>
      </c>
      <c r="B1368" s="19" t="s">
        <v>3088</v>
      </c>
      <c r="C1368" s="17" t="s">
        <v>3089</v>
      </c>
    </row>
    <row r="1369" spans="1:3">
      <c r="A1369" s="19">
        <v>910761558</v>
      </c>
      <c r="B1369" s="19" t="s">
        <v>3090</v>
      </c>
      <c r="C1369" s="17" t="s">
        <v>3091</v>
      </c>
    </row>
    <row r="1370" spans="1:3">
      <c r="A1370" s="19">
        <v>910764275</v>
      </c>
      <c r="B1370" s="19" t="s">
        <v>3092</v>
      </c>
      <c r="C1370" s="17" t="s">
        <v>3093</v>
      </c>
    </row>
    <row r="1371" spans="1:3">
      <c r="A1371" s="19">
        <v>910837751</v>
      </c>
      <c r="B1371" s="19" t="s">
        <v>3094</v>
      </c>
      <c r="C1371" s="17" t="s">
        <v>3095</v>
      </c>
    </row>
    <row r="1372" spans="1:3">
      <c r="A1372" s="19">
        <v>910861177</v>
      </c>
      <c r="B1372" s="19" t="s">
        <v>3096</v>
      </c>
      <c r="C1372" s="17" t="s">
        <v>3097</v>
      </c>
    </row>
    <row r="1373" spans="1:3">
      <c r="A1373" s="19">
        <v>910910759</v>
      </c>
      <c r="B1373" s="19" t="s">
        <v>3098</v>
      </c>
      <c r="C1373" s="18" t="s">
        <v>3099</v>
      </c>
    </row>
    <row r="1374" spans="1:3">
      <c r="A1374" s="19">
        <v>910911864</v>
      </c>
      <c r="B1374" s="19" t="s">
        <v>3100</v>
      </c>
      <c r="C1374" s="17" t="s">
        <v>3101</v>
      </c>
    </row>
    <row r="1375" spans="1:3">
      <c r="A1375" s="19">
        <v>910915796</v>
      </c>
      <c r="B1375" s="19" t="s">
        <v>3102</v>
      </c>
      <c r="C1375" s="17" t="s">
        <v>3103</v>
      </c>
    </row>
    <row r="1376" spans="1:3">
      <c r="A1376" s="19">
        <v>910917532</v>
      </c>
      <c r="B1376" s="19" t="s">
        <v>3104</v>
      </c>
      <c r="C1376" s="18" t="s">
        <v>3105</v>
      </c>
    </row>
    <row r="1377" spans="1:3">
      <c r="A1377" s="19">
        <v>910936460</v>
      </c>
      <c r="B1377" s="19" t="s">
        <v>3106</v>
      </c>
      <c r="C1377" s="17" t="s">
        <v>3107</v>
      </c>
    </row>
    <row r="1378" spans="1:3">
      <c r="A1378" s="19">
        <v>910952853</v>
      </c>
      <c r="B1378" s="19" t="s">
        <v>3108</v>
      </c>
      <c r="C1378" s="17" t="s">
        <v>3109</v>
      </c>
    </row>
    <row r="1379" spans="1:3">
      <c r="A1379" s="19">
        <v>910965645</v>
      </c>
      <c r="B1379" s="19" t="s">
        <v>3110</v>
      </c>
      <c r="C1379" s="17" t="s">
        <v>3111</v>
      </c>
    </row>
    <row r="1380" spans="1:3">
      <c r="A1380" s="19">
        <v>911054903</v>
      </c>
      <c r="B1380" s="19" t="s">
        <v>3112</v>
      </c>
      <c r="C1380" s="17" t="s">
        <v>3113</v>
      </c>
    </row>
    <row r="1381" spans="1:3">
      <c r="A1381" s="19">
        <v>911131265</v>
      </c>
      <c r="B1381" s="19" t="s">
        <v>3114</v>
      </c>
      <c r="C1381" s="17" t="s">
        <v>3115</v>
      </c>
    </row>
    <row r="1382" spans="1:3">
      <c r="A1382" s="19">
        <v>911188985</v>
      </c>
      <c r="B1382" s="19" t="s">
        <v>3116</v>
      </c>
      <c r="C1382" s="17" t="s">
        <v>3117</v>
      </c>
    </row>
    <row r="1383" spans="1:3">
      <c r="A1383" s="19">
        <v>911215765</v>
      </c>
      <c r="B1383" s="19" t="s">
        <v>3118</v>
      </c>
      <c r="C1383" s="17" t="s">
        <v>3119</v>
      </c>
    </row>
    <row r="1384" spans="1:3">
      <c r="A1384" s="19">
        <v>911216610</v>
      </c>
      <c r="B1384" s="19" t="s">
        <v>3120</v>
      </c>
      <c r="C1384" s="17" t="s">
        <v>3121</v>
      </c>
    </row>
    <row r="1385" spans="1:3">
      <c r="A1385" s="19">
        <v>911222447</v>
      </c>
      <c r="B1385" s="19" t="s">
        <v>3122</v>
      </c>
      <c r="C1385" s="17" t="s">
        <v>3123</v>
      </c>
    </row>
    <row r="1386" spans="1:3">
      <c r="A1386" s="19">
        <v>911228986</v>
      </c>
      <c r="B1386" s="19" t="s">
        <v>3124</v>
      </c>
      <c r="C1386" s="17" t="s">
        <v>3125</v>
      </c>
    </row>
    <row r="1387" spans="1:3">
      <c r="A1387" s="19">
        <v>911229961</v>
      </c>
      <c r="B1387" s="19" t="s">
        <v>3126</v>
      </c>
      <c r="C1387" s="17" t="s">
        <v>3127</v>
      </c>
    </row>
    <row r="1388" spans="1:3">
      <c r="A1388" s="19">
        <v>911233952</v>
      </c>
      <c r="B1388" s="19" t="s">
        <v>3128</v>
      </c>
      <c r="C1388" s="17" t="s">
        <v>3129</v>
      </c>
    </row>
    <row r="1389" spans="1:3">
      <c r="A1389" s="19">
        <v>911238515</v>
      </c>
      <c r="B1389" s="19" t="s">
        <v>3130</v>
      </c>
      <c r="C1389" s="17" t="s">
        <v>3131</v>
      </c>
    </row>
    <row r="1390" spans="1:3">
      <c r="A1390" s="19">
        <v>911239321</v>
      </c>
      <c r="B1390" s="19" t="s">
        <v>3132</v>
      </c>
      <c r="C1390" s="17" t="s">
        <v>3133</v>
      </c>
    </row>
    <row r="1391" spans="1:3">
      <c r="A1391" s="19">
        <v>911242415</v>
      </c>
      <c r="B1391" s="19" t="s">
        <v>3134</v>
      </c>
      <c r="C1391" s="17" t="s">
        <v>3135</v>
      </c>
    </row>
    <row r="1392" spans="1:3">
      <c r="A1392" s="19">
        <v>911245314</v>
      </c>
      <c r="B1392" s="19" t="s">
        <v>3136</v>
      </c>
      <c r="C1392" s="17" t="s">
        <v>3137</v>
      </c>
    </row>
    <row r="1393" spans="1:3">
      <c r="A1393" s="19">
        <v>911249201</v>
      </c>
      <c r="B1393" s="19" t="s">
        <v>3138</v>
      </c>
      <c r="C1393" s="17" t="s">
        <v>3139</v>
      </c>
    </row>
    <row r="1394" spans="1:3">
      <c r="A1394" s="19">
        <v>911251762</v>
      </c>
      <c r="B1394" s="19" t="s">
        <v>3140</v>
      </c>
      <c r="C1394" s="17" t="s">
        <v>3141</v>
      </c>
    </row>
    <row r="1395" spans="1:3">
      <c r="A1395" s="19">
        <v>911280778</v>
      </c>
      <c r="B1395" s="19" t="s">
        <v>3142</v>
      </c>
      <c r="C1395" s="17" t="s">
        <v>3143</v>
      </c>
    </row>
    <row r="1396" spans="1:3">
      <c r="A1396" s="19">
        <v>911308819</v>
      </c>
      <c r="B1396" s="19" t="s">
        <v>3144</v>
      </c>
      <c r="C1396" s="17" t="s">
        <v>3145</v>
      </c>
    </row>
    <row r="1397" spans="1:3">
      <c r="A1397" s="19">
        <v>911309352</v>
      </c>
      <c r="B1397" s="19" t="s">
        <v>3146</v>
      </c>
      <c r="C1397" s="18" t="s">
        <v>3147</v>
      </c>
    </row>
    <row r="1398" spans="1:3">
      <c r="A1398" s="19">
        <v>911332895</v>
      </c>
      <c r="B1398" s="19" t="s">
        <v>3148</v>
      </c>
      <c r="C1398" s="17" t="s">
        <v>3149</v>
      </c>
    </row>
    <row r="1399" spans="1:3">
      <c r="A1399" s="19">
        <v>911333844</v>
      </c>
      <c r="B1399" s="19" t="s">
        <v>3150</v>
      </c>
      <c r="C1399" s="17" t="s">
        <v>3151</v>
      </c>
    </row>
    <row r="1400" spans="1:3">
      <c r="A1400" s="19">
        <v>911338576</v>
      </c>
      <c r="B1400" s="19" t="s">
        <v>3152</v>
      </c>
      <c r="C1400" s="17" t="s">
        <v>3153</v>
      </c>
    </row>
    <row r="1401" spans="1:3">
      <c r="A1401" s="19">
        <v>911348352</v>
      </c>
      <c r="B1401" s="19" t="s">
        <v>3154</v>
      </c>
      <c r="C1401" s="17" t="s">
        <v>3155</v>
      </c>
    </row>
    <row r="1402" spans="1:3">
      <c r="A1402" s="19">
        <v>911351953</v>
      </c>
      <c r="B1402" s="19" t="s">
        <v>3156</v>
      </c>
      <c r="C1402" s="17" t="s">
        <v>3157</v>
      </c>
    </row>
    <row r="1403" spans="1:3">
      <c r="A1403" s="19">
        <v>911357335</v>
      </c>
      <c r="B1403" s="19" t="s">
        <v>3158</v>
      </c>
      <c r="C1403" s="18" t="s">
        <v>3159</v>
      </c>
    </row>
    <row r="1404" spans="1:3">
      <c r="A1404" s="19">
        <v>911357738</v>
      </c>
      <c r="B1404" s="19" t="s">
        <v>3160</v>
      </c>
      <c r="C1404" s="17" t="s">
        <v>3161</v>
      </c>
    </row>
    <row r="1405" spans="1:3">
      <c r="A1405" s="19">
        <v>911369841</v>
      </c>
      <c r="B1405" s="19" t="s">
        <v>3162</v>
      </c>
      <c r="C1405" s="17" t="s">
        <v>3163</v>
      </c>
    </row>
    <row r="1406" spans="1:3">
      <c r="A1406" s="19">
        <v>911377251</v>
      </c>
      <c r="B1406" s="19" t="s">
        <v>3164</v>
      </c>
      <c r="C1406" s="17" t="s">
        <v>3165</v>
      </c>
    </row>
    <row r="1407" spans="1:3">
      <c r="A1407" s="19">
        <v>911383868</v>
      </c>
      <c r="B1407" s="19" t="s">
        <v>3166</v>
      </c>
      <c r="C1407" s="17" t="s">
        <v>3167</v>
      </c>
    </row>
    <row r="1408" spans="1:3">
      <c r="A1408" s="19">
        <v>911397466</v>
      </c>
      <c r="B1408" s="19" t="s">
        <v>3168</v>
      </c>
      <c r="C1408" s="17" t="s">
        <v>3169</v>
      </c>
    </row>
    <row r="1409" spans="1:3">
      <c r="A1409" s="19">
        <v>911398493</v>
      </c>
      <c r="B1409" s="19" t="s">
        <v>3170</v>
      </c>
      <c r="C1409" s="17" t="s">
        <v>3171</v>
      </c>
    </row>
    <row r="1410" spans="1:3">
      <c r="A1410" s="19">
        <v>911406735</v>
      </c>
      <c r="B1410" s="19" t="s">
        <v>3172</v>
      </c>
      <c r="C1410" s="17" t="s">
        <v>3173</v>
      </c>
    </row>
    <row r="1411" spans="1:3">
      <c r="A1411" s="19">
        <v>911407775</v>
      </c>
      <c r="B1411" s="19" t="s">
        <v>3174</v>
      </c>
      <c r="C1411" s="17" t="s">
        <v>3175</v>
      </c>
    </row>
    <row r="1412" spans="1:3">
      <c r="A1412" s="19">
        <v>911411363</v>
      </c>
      <c r="B1412" s="19" t="s">
        <v>3176</v>
      </c>
      <c r="C1412" s="17" t="s">
        <v>3177</v>
      </c>
    </row>
    <row r="1413" spans="1:3">
      <c r="A1413" s="19">
        <v>911415185</v>
      </c>
      <c r="B1413" s="19" t="s">
        <v>3178</v>
      </c>
      <c r="C1413" s="17" t="s">
        <v>3179</v>
      </c>
    </row>
    <row r="1414" spans="1:3">
      <c r="A1414" s="19">
        <v>911435660</v>
      </c>
      <c r="B1414" s="19" t="s">
        <v>3180</v>
      </c>
      <c r="C1414" s="17" t="s">
        <v>3181</v>
      </c>
    </row>
    <row r="1415" spans="1:3">
      <c r="A1415" s="19">
        <v>911449271</v>
      </c>
      <c r="B1415" s="19" t="s">
        <v>3182</v>
      </c>
      <c r="C1415" s="17" t="s">
        <v>3183</v>
      </c>
    </row>
    <row r="1416" spans="1:3">
      <c r="A1416" s="19">
        <v>911469876</v>
      </c>
      <c r="B1416" s="19" t="s">
        <v>3184</v>
      </c>
      <c r="C1416" s="17" t="s">
        <v>3185</v>
      </c>
    </row>
    <row r="1417" spans="1:3">
      <c r="A1417" s="19">
        <v>911516546</v>
      </c>
      <c r="B1417" s="19" t="s">
        <v>3186</v>
      </c>
      <c r="C1417" s="18" t="s">
        <v>3187</v>
      </c>
    </row>
    <row r="1418" spans="1:3">
      <c r="A1418" s="19">
        <v>911529325</v>
      </c>
      <c r="B1418" s="19" t="s">
        <v>3188</v>
      </c>
      <c r="C1418" s="17" t="s">
        <v>3189</v>
      </c>
    </row>
    <row r="1419" spans="1:3">
      <c r="A1419" s="19">
        <v>911538607</v>
      </c>
      <c r="B1419" s="19" t="s">
        <v>3190</v>
      </c>
      <c r="C1419" s="17" t="s">
        <v>3191</v>
      </c>
    </row>
    <row r="1420" spans="1:3">
      <c r="A1420" s="19">
        <v>911540466</v>
      </c>
      <c r="B1420" s="19" t="s">
        <v>3192</v>
      </c>
      <c r="C1420" s="18" t="s">
        <v>3193</v>
      </c>
    </row>
    <row r="1421" spans="1:3">
      <c r="A1421" s="19">
        <v>911546290</v>
      </c>
      <c r="B1421" s="19" t="s">
        <v>3194</v>
      </c>
      <c r="C1421" s="17" t="s">
        <v>3195</v>
      </c>
    </row>
    <row r="1422" spans="1:3">
      <c r="A1422" s="19">
        <v>911551607</v>
      </c>
      <c r="B1422" s="19" t="s">
        <v>3196</v>
      </c>
      <c r="C1422" s="17" t="s">
        <v>3197</v>
      </c>
    </row>
    <row r="1423" spans="1:3">
      <c r="A1423" s="19">
        <v>911560655</v>
      </c>
      <c r="B1423" s="19" t="s">
        <v>3198</v>
      </c>
      <c r="C1423" s="17" t="s">
        <v>3199</v>
      </c>
    </row>
    <row r="1424" spans="1:3">
      <c r="A1424" s="19">
        <v>911582664</v>
      </c>
      <c r="B1424" s="19" t="s">
        <v>3200</v>
      </c>
      <c r="C1424" s="17" t="s">
        <v>3201</v>
      </c>
    </row>
    <row r="1425" spans="1:3">
      <c r="A1425" s="19">
        <v>911608365</v>
      </c>
      <c r="B1425" s="19" t="s">
        <v>3202</v>
      </c>
      <c r="C1425" s="17" t="s">
        <v>3203</v>
      </c>
    </row>
    <row r="1426" spans="1:3">
      <c r="A1426" s="19">
        <v>911652864</v>
      </c>
      <c r="B1426" s="19" t="s">
        <v>3204</v>
      </c>
      <c r="C1426" s="17" t="s">
        <v>3205</v>
      </c>
    </row>
    <row r="1427" spans="1:3">
      <c r="A1427" s="19">
        <v>911661691</v>
      </c>
      <c r="B1427" s="19" t="s">
        <v>3206</v>
      </c>
      <c r="C1427" s="17" t="s">
        <v>3207</v>
      </c>
    </row>
    <row r="1428" spans="1:3">
      <c r="A1428" s="19">
        <v>911680086</v>
      </c>
      <c r="B1428" s="19" t="s">
        <v>3208</v>
      </c>
      <c r="C1428" s="17" t="s">
        <v>3209</v>
      </c>
    </row>
    <row r="1429" spans="1:3">
      <c r="A1429" s="19">
        <v>911688107</v>
      </c>
      <c r="B1429" s="19" t="s">
        <v>3210</v>
      </c>
      <c r="C1429" s="17" t="s">
        <v>3211</v>
      </c>
    </row>
    <row r="1430" spans="1:3">
      <c r="A1430" s="19">
        <v>911704552</v>
      </c>
      <c r="B1430" s="19" t="s">
        <v>3212</v>
      </c>
      <c r="C1430" s="17" t="s">
        <v>3213</v>
      </c>
    </row>
    <row r="1431" spans="1:3">
      <c r="A1431" s="19">
        <v>911747634</v>
      </c>
      <c r="B1431" s="19" t="s">
        <v>3214</v>
      </c>
      <c r="C1431" s="17" t="s">
        <v>3215</v>
      </c>
    </row>
    <row r="1432" spans="1:3">
      <c r="A1432" s="19">
        <v>911752496</v>
      </c>
      <c r="B1432" s="19" t="s">
        <v>3216</v>
      </c>
      <c r="C1432" s="17" t="s">
        <v>3217</v>
      </c>
    </row>
    <row r="1433" spans="1:3">
      <c r="A1433" s="19">
        <v>911761414</v>
      </c>
      <c r="B1433" s="19" t="s">
        <v>3218</v>
      </c>
      <c r="C1433" s="17" t="s">
        <v>3219</v>
      </c>
    </row>
    <row r="1434" spans="1:3">
      <c r="A1434" s="19">
        <v>911766354</v>
      </c>
      <c r="B1434" s="19" t="s">
        <v>3220</v>
      </c>
      <c r="C1434" s="17" t="s">
        <v>3221</v>
      </c>
    </row>
    <row r="1435" spans="1:3">
      <c r="A1435" s="19">
        <v>911776663</v>
      </c>
      <c r="B1435" s="19" t="s">
        <v>3222</v>
      </c>
      <c r="C1435" s="18" t="s">
        <v>3223</v>
      </c>
    </row>
    <row r="1436" spans="1:3">
      <c r="A1436" s="19">
        <v>911786127</v>
      </c>
      <c r="B1436" s="19" t="s">
        <v>3224</v>
      </c>
      <c r="C1436" s="17" t="s">
        <v>3225</v>
      </c>
    </row>
    <row r="1437" spans="1:3">
      <c r="A1437" s="19">
        <v>911795136</v>
      </c>
      <c r="B1437" s="19" t="s">
        <v>3226</v>
      </c>
      <c r="C1437" s="17" t="s">
        <v>3227</v>
      </c>
    </row>
    <row r="1438" spans="1:3">
      <c r="A1438" s="19">
        <v>911800518</v>
      </c>
      <c r="B1438" s="19" t="s">
        <v>3228</v>
      </c>
      <c r="C1438" s="17" t="s">
        <v>3229</v>
      </c>
    </row>
    <row r="1439" spans="1:3">
      <c r="A1439" s="19">
        <v>911810125</v>
      </c>
      <c r="B1439" s="19" t="s">
        <v>3230</v>
      </c>
      <c r="C1439" s="17" t="s">
        <v>3231</v>
      </c>
    </row>
    <row r="1440" spans="1:3">
      <c r="A1440" s="19">
        <v>911833109</v>
      </c>
      <c r="B1440" s="19" t="s">
        <v>3232</v>
      </c>
      <c r="C1440" s="17" t="s">
        <v>3233</v>
      </c>
    </row>
    <row r="1441" spans="1:3">
      <c r="A1441" s="19">
        <v>911838101</v>
      </c>
      <c r="B1441" s="19" t="s">
        <v>3234</v>
      </c>
      <c r="C1441" s="17" t="s">
        <v>3235</v>
      </c>
    </row>
    <row r="1442" spans="1:3">
      <c r="A1442" s="19">
        <v>911848540</v>
      </c>
      <c r="B1442" s="19" t="s">
        <v>3236</v>
      </c>
      <c r="C1442" s="17" t="s">
        <v>3237</v>
      </c>
    </row>
    <row r="1443" spans="1:3">
      <c r="A1443" s="19">
        <v>911964773</v>
      </c>
      <c r="B1443" s="19" t="s">
        <v>3238</v>
      </c>
      <c r="C1443" s="17" t="s">
        <v>3239</v>
      </c>
    </row>
    <row r="1444" spans="1:3">
      <c r="A1444" s="19">
        <v>911966333</v>
      </c>
      <c r="B1444" s="19" t="s">
        <v>3240</v>
      </c>
      <c r="C1444" s="17" t="s">
        <v>3241</v>
      </c>
    </row>
    <row r="1445" spans="1:3">
      <c r="A1445" s="19">
        <v>911975472</v>
      </c>
      <c r="B1445" s="19" t="s">
        <v>3242</v>
      </c>
      <c r="C1445" s="17" t="s">
        <v>3243</v>
      </c>
    </row>
    <row r="1446" spans="1:3">
      <c r="A1446" s="19">
        <v>911982427</v>
      </c>
      <c r="B1446" s="19" t="s">
        <v>3244</v>
      </c>
      <c r="C1446" s="17" t="s">
        <v>3245</v>
      </c>
    </row>
    <row r="1447" spans="1:3">
      <c r="A1447" s="19">
        <v>911983363</v>
      </c>
      <c r="B1447" s="19" t="s">
        <v>3246</v>
      </c>
      <c r="C1447" s="17" t="s">
        <v>3247</v>
      </c>
    </row>
    <row r="1448" spans="1:3">
      <c r="A1448" s="19">
        <v>911987354</v>
      </c>
      <c r="B1448" s="19" t="s">
        <v>3248</v>
      </c>
      <c r="C1448" s="17" t="s">
        <v>3249</v>
      </c>
    </row>
    <row r="1449" spans="1:3">
      <c r="A1449" s="19">
        <v>911992359</v>
      </c>
      <c r="B1449" s="19" t="s">
        <v>3250</v>
      </c>
      <c r="C1449" s="17" t="s">
        <v>3251</v>
      </c>
    </row>
    <row r="1450" spans="1:3">
      <c r="A1450" s="19">
        <v>911994296</v>
      </c>
      <c r="B1450" s="19" t="s">
        <v>3252</v>
      </c>
      <c r="C1450" s="17" t="s">
        <v>3253</v>
      </c>
    </row>
    <row r="1451" spans="1:3">
      <c r="A1451" s="19">
        <v>911994569</v>
      </c>
      <c r="B1451" s="19" t="s">
        <v>3254</v>
      </c>
      <c r="C1451" s="17" t="s">
        <v>3255</v>
      </c>
    </row>
    <row r="1452" spans="1:3">
      <c r="A1452" s="19">
        <v>912001017</v>
      </c>
      <c r="B1452" s="19" t="s">
        <v>3256</v>
      </c>
      <c r="C1452" s="17" t="s">
        <v>3257</v>
      </c>
    </row>
    <row r="1453" spans="1:3">
      <c r="A1453" s="19">
        <v>912001030</v>
      </c>
      <c r="B1453" s="19" t="s">
        <v>3258</v>
      </c>
      <c r="C1453" s="17" t="s">
        <v>3259</v>
      </c>
    </row>
    <row r="1454" spans="1:3">
      <c r="A1454" s="19">
        <v>912011092</v>
      </c>
      <c r="B1454" s="19" t="s">
        <v>3260</v>
      </c>
      <c r="C1454" s="17" t="s">
        <v>3261</v>
      </c>
    </row>
    <row r="1455" spans="1:3">
      <c r="A1455" s="19">
        <v>912017566</v>
      </c>
      <c r="B1455" s="19" t="s">
        <v>3262</v>
      </c>
      <c r="C1455" s="17" t="s">
        <v>3263</v>
      </c>
    </row>
    <row r="1456" spans="1:3">
      <c r="A1456" s="19">
        <v>912022363</v>
      </c>
      <c r="B1456" s="19" t="s">
        <v>3264</v>
      </c>
      <c r="C1456" s="17" t="s">
        <v>3265</v>
      </c>
    </row>
    <row r="1457" spans="1:3">
      <c r="A1457" s="19">
        <v>912028616</v>
      </c>
      <c r="B1457" s="19" t="s">
        <v>3266</v>
      </c>
      <c r="C1457" s="17" t="s">
        <v>3267</v>
      </c>
    </row>
    <row r="1458" spans="1:3">
      <c r="A1458" s="19">
        <v>912032074</v>
      </c>
      <c r="B1458" s="19" t="s">
        <v>3268</v>
      </c>
      <c r="C1458" s="17" t="s">
        <v>3269</v>
      </c>
    </row>
    <row r="1459" spans="1:3">
      <c r="A1459" s="19">
        <v>912032659</v>
      </c>
      <c r="B1459" s="19" t="s">
        <v>3270</v>
      </c>
      <c r="C1459" s="17" t="s">
        <v>3271</v>
      </c>
    </row>
    <row r="1460" spans="1:3">
      <c r="A1460" s="19">
        <v>912103561</v>
      </c>
      <c r="B1460" s="19" t="s">
        <v>3272</v>
      </c>
      <c r="C1460" s="17" t="s">
        <v>3273</v>
      </c>
    </row>
    <row r="1461" spans="1:3">
      <c r="A1461" s="19">
        <v>912122307</v>
      </c>
      <c r="B1461" s="19" t="s">
        <v>3274</v>
      </c>
      <c r="C1461" s="17" t="s">
        <v>3275</v>
      </c>
    </row>
    <row r="1462" spans="1:3">
      <c r="A1462" s="19">
        <v>912126220</v>
      </c>
      <c r="B1462" s="19" t="s">
        <v>3276</v>
      </c>
      <c r="C1462" s="17" t="s">
        <v>3277</v>
      </c>
    </row>
    <row r="1463" spans="1:3">
      <c r="A1463" s="19">
        <v>912138999</v>
      </c>
      <c r="B1463" s="19" t="s">
        <v>3278</v>
      </c>
      <c r="C1463" s="17" t="s">
        <v>3279</v>
      </c>
    </row>
    <row r="1464" spans="1:3">
      <c r="A1464" s="19">
        <v>912141768</v>
      </c>
      <c r="B1464" s="19" t="s">
        <v>3280</v>
      </c>
      <c r="C1464" s="17" t="s">
        <v>3281</v>
      </c>
    </row>
    <row r="1465" spans="1:3">
      <c r="A1465" s="19">
        <v>912144940</v>
      </c>
      <c r="B1465" s="19" t="s">
        <v>3282</v>
      </c>
      <c r="C1465" s="17" t="s">
        <v>3283</v>
      </c>
    </row>
    <row r="1466" spans="1:3">
      <c r="A1466" s="19">
        <v>912150426</v>
      </c>
      <c r="B1466" s="19" t="s">
        <v>3284</v>
      </c>
      <c r="C1466" s="17" t="s">
        <v>3285</v>
      </c>
    </row>
    <row r="1467" spans="1:3">
      <c r="A1467" s="19">
        <v>912150452</v>
      </c>
      <c r="B1467" s="19" t="s">
        <v>3286</v>
      </c>
      <c r="C1467" s="17" t="s">
        <v>3287</v>
      </c>
    </row>
    <row r="1468" spans="1:3">
      <c r="A1468" s="19">
        <v>912152883</v>
      </c>
      <c r="B1468" s="19" t="s">
        <v>3288</v>
      </c>
      <c r="C1468" s="17" t="s">
        <v>3289</v>
      </c>
    </row>
    <row r="1469" spans="1:3">
      <c r="A1469" s="19">
        <v>912153715</v>
      </c>
      <c r="B1469" s="19" t="s">
        <v>3290</v>
      </c>
      <c r="C1469" s="17" t="s">
        <v>3291</v>
      </c>
    </row>
    <row r="1470" spans="1:3">
      <c r="A1470" s="19">
        <v>912159396</v>
      </c>
      <c r="B1470" s="19" t="s">
        <v>3292</v>
      </c>
      <c r="C1470" s="17" t="s">
        <v>3293</v>
      </c>
    </row>
    <row r="1471" spans="1:3">
      <c r="A1471" s="19">
        <v>912159565</v>
      </c>
      <c r="B1471" s="19" t="s">
        <v>3294</v>
      </c>
      <c r="C1471" s="17" t="s">
        <v>3295</v>
      </c>
    </row>
    <row r="1472" spans="1:3">
      <c r="A1472" s="19">
        <v>912159942</v>
      </c>
      <c r="B1472" s="19" t="s">
        <v>3296</v>
      </c>
      <c r="C1472" s="17" t="s">
        <v>3297</v>
      </c>
    </row>
    <row r="1473" spans="1:3">
      <c r="A1473" s="19">
        <v>912160150</v>
      </c>
      <c r="B1473" s="19" t="s">
        <v>3298</v>
      </c>
      <c r="C1473" s="17" t="s">
        <v>3299</v>
      </c>
    </row>
    <row r="1474" spans="1:3">
      <c r="A1474" s="19">
        <v>912171759</v>
      </c>
      <c r="B1474" s="19" t="s">
        <v>3300</v>
      </c>
      <c r="C1474" s="17" t="s">
        <v>3301</v>
      </c>
    </row>
    <row r="1475" spans="1:3">
      <c r="A1475" s="19">
        <v>912174801</v>
      </c>
      <c r="B1475" s="19" t="s">
        <v>3302</v>
      </c>
      <c r="C1475" s="17" t="s">
        <v>3303</v>
      </c>
    </row>
    <row r="1476" spans="1:3">
      <c r="A1476" s="19">
        <v>912188217</v>
      </c>
      <c r="B1476" s="19" t="s">
        <v>3304</v>
      </c>
      <c r="C1476" s="17" t="s">
        <v>3305</v>
      </c>
    </row>
    <row r="1477" spans="1:3">
      <c r="A1477" s="19">
        <v>912188334</v>
      </c>
      <c r="B1477" s="19" t="s">
        <v>3306</v>
      </c>
      <c r="C1477" s="17" t="s">
        <v>3307</v>
      </c>
    </row>
    <row r="1478" spans="1:3">
      <c r="A1478" s="19">
        <v>912196056</v>
      </c>
      <c r="B1478" s="19" t="s">
        <v>3308</v>
      </c>
      <c r="C1478" s="17" t="s">
        <v>3309</v>
      </c>
    </row>
    <row r="1479" spans="1:3">
      <c r="A1479" s="19">
        <v>912200515</v>
      </c>
      <c r="B1479" s="19" t="s">
        <v>3310</v>
      </c>
      <c r="C1479" s="17" t="s">
        <v>3311</v>
      </c>
    </row>
    <row r="1480" spans="1:3">
      <c r="A1480" s="19">
        <v>912214256</v>
      </c>
      <c r="B1480" s="19" t="s">
        <v>3312</v>
      </c>
      <c r="C1480" s="17" t="s">
        <v>3313</v>
      </c>
    </row>
    <row r="1481" spans="1:3">
      <c r="A1481" s="19">
        <v>912214646</v>
      </c>
      <c r="B1481" s="19" t="s">
        <v>3314</v>
      </c>
      <c r="C1481" s="17" t="s">
        <v>3315</v>
      </c>
    </row>
    <row r="1482" spans="1:3">
      <c r="A1482" s="19">
        <v>912217220</v>
      </c>
      <c r="B1482" s="19" t="s">
        <v>3316</v>
      </c>
      <c r="C1482" s="18" t="s">
        <v>3317</v>
      </c>
    </row>
    <row r="1483" spans="1:3">
      <c r="A1483" s="15">
        <v>912222407</v>
      </c>
      <c r="B1483" s="1" t="s">
        <v>3318</v>
      </c>
      <c r="C1483" s="21" t="s">
        <v>3319</v>
      </c>
    </row>
    <row r="1484" spans="1:3">
      <c r="A1484" s="19">
        <v>912236837</v>
      </c>
      <c r="B1484" s="19" t="s">
        <v>3320</v>
      </c>
      <c r="C1484" s="17" t="s">
        <v>3321</v>
      </c>
    </row>
    <row r="1485" spans="1:3">
      <c r="A1485" s="19">
        <v>912243389</v>
      </c>
      <c r="B1485" s="19" t="s">
        <v>3322</v>
      </c>
      <c r="C1485" s="17" t="s">
        <v>3323</v>
      </c>
    </row>
    <row r="1486" spans="1:3">
      <c r="A1486" s="19">
        <v>912258794</v>
      </c>
      <c r="B1486" s="19" t="s">
        <v>3324</v>
      </c>
      <c r="C1486" s="17" t="s">
        <v>3325</v>
      </c>
    </row>
    <row r="1487" spans="1:3">
      <c r="A1487" s="19">
        <v>912265632</v>
      </c>
      <c r="B1487" s="19" t="s">
        <v>3326</v>
      </c>
      <c r="C1487" s="17" t="s">
        <v>3327</v>
      </c>
    </row>
    <row r="1488" spans="1:3">
      <c r="A1488" s="19">
        <v>912284092</v>
      </c>
      <c r="B1488" s="19" t="s">
        <v>3328</v>
      </c>
      <c r="C1488" s="18" t="s">
        <v>3329</v>
      </c>
    </row>
    <row r="1489" spans="1:3">
      <c r="A1489" s="19">
        <v>912298795</v>
      </c>
      <c r="B1489" s="19" t="s">
        <v>3330</v>
      </c>
      <c r="C1489" s="17" t="s">
        <v>3331</v>
      </c>
    </row>
    <row r="1490" spans="1:3">
      <c r="A1490" s="19">
        <v>912307076</v>
      </c>
      <c r="B1490" s="19" t="s">
        <v>3332</v>
      </c>
      <c r="C1490" s="17" t="s">
        <v>3333</v>
      </c>
    </row>
    <row r="1491" spans="1:3">
      <c r="A1491" s="19">
        <v>912311353</v>
      </c>
      <c r="B1491" s="19" t="s">
        <v>3334</v>
      </c>
      <c r="C1491" s="18" t="s">
        <v>3335</v>
      </c>
    </row>
    <row r="1492" spans="1:3">
      <c r="A1492" s="19">
        <v>912333934</v>
      </c>
      <c r="B1492" s="19" t="s">
        <v>3336</v>
      </c>
      <c r="C1492" s="17" t="s">
        <v>3337</v>
      </c>
    </row>
    <row r="1493" spans="1:3">
      <c r="A1493" s="19">
        <v>912361195</v>
      </c>
      <c r="B1493" s="19" t="s">
        <v>3338</v>
      </c>
      <c r="C1493" s="17" t="s">
        <v>3339</v>
      </c>
    </row>
    <row r="1494" spans="1:3">
      <c r="A1494" s="19">
        <v>912416549</v>
      </c>
      <c r="B1494" s="19" t="s">
        <v>3340</v>
      </c>
      <c r="C1494" s="17" t="s">
        <v>3341</v>
      </c>
    </row>
    <row r="1495" spans="1:3">
      <c r="A1495" s="19">
        <v>912453703</v>
      </c>
      <c r="B1495" s="19" t="s">
        <v>3342</v>
      </c>
      <c r="C1495" s="17" t="s">
        <v>3343</v>
      </c>
    </row>
    <row r="1496" spans="1:3">
      <c r="A1496" s="19">
        <v>912456004</v>
      </c>
      <c r="B1496" s="19" t="s">
        <v>3344</v>
      </c>
      <c r="C1496" s="17" t="s">
        <v>3345</v>
      </c>
    </row>
    <row r="1497" spans="1:3">
      <c r="A1497" s="19">
        <v>912456641</v>
      </c>
      <c r="B1497" s="19" t="s">
        <v>3346</v>
      </c>
      <c r="C1497" s="17" t="s">
        <v>3347</v>
      </c>
    </row>
    <row r="1498" spans="1:3">
      <c r="A1498" s="19">
        <v>912461828</v>
      </c>
      <c r="B1498" s="19" t="s">
        <v>3348</v>
      </c>
      <c r="C1498" s="17" t="s">
        <v>3349</v>
      </c>
    </row>
    <row r="1499" spans="1:3">
      <c r="A1499" s="19">
        <v>912503558</v>
      </c>
      <c r="B1499" s="19" t="s">
        <v>3350</v>
      </c>
      <c r="C1499" s="17" t="s">
        <v>3351</v>
      </c>
    </row>
    <row r="1500" spans="1:3">
      <c r="A1500" s="19">
        <v>912543364</v>
      </c>
      <c r="B1500" s="19" t="s">
        <v>3352</v>
      </c>
      <c r="C1500" s="17" t="s">
        <v>3353</v>
      </c>
    </row>
    <row r="1501" spans="1:3">
      <c r="A1501" s="19">
        <v>912551671</v>
      </c>
      <c r="B1501" s="19" t="s">
        <v>3354</v>
      </c>
      <c r="C1501" s="17" t="s">
        <v>3355</v>
      </c>
    </row>
    <row r="1502" spans="1:3">
      <c r="A1502" s="19">
        <v>912622651</v>
      </c>
      <c r="B1502" s="19" t="s">
        <v>3356</v>
      </c>
      <c r="C1502" s="17" t="s">
        <v>3357</v>
      </c>
    </row>
    <row r="1503" spans="1:3">
      <c r="A1503" s="19">
        <v>912654605</v>
      </c>
      <c r="B1503" s="19" t="s">
        <v>3358</v>
      </c>
      <c r="C1503" s="17" t="s">
        <v>3359</v>
      </c>
    </row>
    <row r="1504" spans="1:3">
      <c r="A1504" s="19">
        <v>912659701</v>
      </c>
      <c r="B1504" s="19" t="s">
        <v>3360</v>
      </c>
      <c r="C1504" s="17" t="s">
        <v>3361</v>
      </c>
    </row>
    <row r="1505" spans="1:3">
      <c r="A1505" s="19">
        <v>912666227</v>
      </c>
      <c r="B1505" s="19" t="s">
        <v>3362</v>
      </c>
      <c r="C1505" s="17" t="s">
        <v>3363</v>
      </c>
    </row>
    <row r="1506" spans="1:3">
      <c r="A1506" s="19">
        <v>912695035</v>
      </c>
      <c r="B1506" s="19" t="s">
        <v>3364</v>
      </c>
      <c r="C1506" s="17" t="s">
        <v>3365</v>
      </c>
    </row>
    <row r="1507" spans="1:3">
      <c r="A1507" s="19">
        <v>912721971</v>
      </c>
      <c r="B1507" s="19" t="s">
        <v>3366</v>
      </c>
      <c r="C1507" s="17" t="s">
        <v>3367</v>
      </c>
    </row>
    <row r="1508" spans="1:3">
      <c r="A1508" s="19">
        <v>912783630</v>
      </c>
      <c r="B1508" s="19" t="s">
        <v>3368</v>
      </c>
      <c r="C1508" s="17" t="s">
        <v>3369</v>
      </c>
    </row>
    <row r="1509" spans="1:3">
      <c r="A1509" s="19">
        <v>912783721</v>
      </c>
      <c r="B1509" s="19" t="s">
        <v>3370</v>
      </c>
      <c r="C1509" s="17" t="s">
        <v>3371</v>
      </c>
    </row>
    <row r="1510" spans="1:3">
      <c r="A1510" s="19">
        <v>912797826</v>
      </c>
      <c r="B1510" s="19" t="s">
        <v>3372</v>
      </c>
      <c r="C1510" s="17" t="s">
        <v>3373</v>
      </c>
    </row>
    <row r="1511" spans="1:3">
      <c r="A1511" s="19">
        <v>912802467</v>
      </c>
      <c r="B1511" s="19" t="s">
        <v>3374</v>
      </c>
      <c r="C1511" s="17" t="s">
        <v>3375</v>
      </c>
    </row>
    <row r="1512" spans="1:3">
      <c r="A1512" s="19">
        <v>912802805</v>
      </c>
      <c r="B1512" s="19" t="s">
        <v>3376</v>
      </c>
      <c r="C1512" s="17" t="s">
        <v>3377</v>
      </c>
    </row>
    <row r="1513" spans="1:3">
      <c r="A1513" s="19">
        <v>912806198</v>
      </c>
      <c r="B1513" s="19" t="s">
        <v>3378</v>
      </c>
      <c r="C1513" s="17" t="s">
        <v>3379</v>
      </c>
    </row>
    <row r="1514" spans="1:3">
      <c r="A1514" s="19">
        <v>912812308</v>
      </c>
      <c r="B1514" s="19" t="s">
        <v>3380</v>
      </c>
      <c r="C1514" s="17" t="s">
        <v>3381</v>
      </c>
    </row>
    <row r="1515" spans="1:3">
      <c r="A1515" s="19">
        <v>912814193</v>
      </c>
      <c r="B1515" s="19" t="s">
        <v>3382</v>
      </c>
      <c r="C1515" s="17" t="s">
        <v>3383</v>
      </c>
    </row>
    <row r="1516" spans="1:3">
      <c r="A1516" s="19">
        <v>912816910</v>
      </c>
      <c r="B1516" s="19" t="s">
        <v>3384</v>
      </c>
      <c r="C1516" s="18" t="s">
        <v>3385</v>
      </c>
    </row>
    <row r="1517" spans="1:3">
      <c r="A1517" s="19">
        <v>912816949</v>
      </c>
      <c r="B1517" s="19" t="s">
        <v>3386</v>
      </c>
      <c r="C1517" s="17" t="s">
        <v>3387</v>
      </c>
    </row>
    <row r="1518" spans="1:3">
      <c r="A1518" s="19">
        <v>912817092</v>
      </c>
      <c r="B1518" s="19" t="s">
        <v>3388</v>
      </c>
      <c r="C1518" s="17" t="s">
        <v>3389</v>
      </c>
    </row>
    <row r="1519" spans="1:3">
      <c r="A1519" s="19">
        <v>912823176</v>
      </c>
      <c r="B1519" s="19" t="s">
        <v>3390</v>
      </c>
      <c r="C1519" s="17" t="s">
        <v>3391</v>
      </c>
    </row>
    <row r="1520" spans="1:3">
      <c r="A1520" s="19">
        <v>912823514</v>
      </c>
      <c r="B1520" s="19" t="s">
        <v>3392</v>
      </c>
      <c r="C1520" s="17" t="s">
        <v>3393</v>
      </c>
    </row>
    <row r="1521" spans="1:3">
      <c r="A1521" s="19">
        <v>912828324</v>
      </c>
      <c r="B1521" s="19" t="s">
        <v>3394</v>
      </c>
      <c r="C1521" s="17" t="s">
        <v>3395</v>
      </c>
    </row>
    <row r="1522" spans="1:3">
      <c r="A1522" s="19">
        <v>912832120</v>
      </c>
      <c r="B1522" s="19" t="s">
        <v>3396</v>
      </c>
      <c r="C1522" s="17" t="s">
        <v>3397</v>
      </c>
    </row>
    <row r="1523" spans="1:3">
      <c r="A1523" s="19">
        <v>912832965</v>
      </c>
      <c r="B1523" s="19" t="s">
        <v>3398</v>
      </c>
      <c r="C1523" s="17" t="s">
        <v>3399</v>
      </c>
    </row>
    <row r="1524" spans="1:3">
      <c r="A1524" s="19">
        <v>912836683</v>
      </c>
      <c r="B1524" s="19" t="s">
        <v>3400</v>
      </c>
      <c r="C1524" s="17" t="s">
        <v>3401</v>
      </c>
    </row>
    <row r="1525" spans="1:3">
      <c r="A1525" s="19">
        <v>912893961</v>
      </c>
      <c r="B1525" s="19" t="s">
        <v>3402</v>
      </c>
      <c r="C1525" s="17" t="s">
        <v>3403</v>
      </c>
    </row>
    <row r="1526" spans="1:3">
      <c r="A1526" s="19">
        <v>912925837</v>
      </c>
      <c r="B1526" s="19" t="s">
        <v>3404</v>
      </c>
      <c r="C1526" s="17" t="s">
        <v>3405</v>
      </c>
    </row>
    <row r="1527" spans="1:3">
      <c r="A1527" s="19">
        <v>912930504</v>
      </c>
      <c r="B1527" s="19" t="s">
        <v>3406</v>
      </c>
      <c r="C1527" s="17" t="s">
        <v>3407</v>
      </c>
    </row>
    <row r="1528" spans="1:3">
      <c r="A1528" s="19">
        <v>912931323</v>
      </c>
      <c r="B1528" s="19" t="s">
        <v>3408</v>
      </c>
      <c r="C1528" s="17" t="s">
        <v>3409</v>
      </c>
    </row>
    <row r="1529" spans="1:3">
      <c r="A1529" s="19">
        <v>912934638</v>
      </c>
      <c r="B1529" s="19" t="s">
        <v>3410</v>
      </c>
      <c r="C1529" s="17" t="s">
        <v>3411</v>
      </c>
    </row>
    <row r="1530" spans="1:3">
      <c r="A1530" s="19">
        <v>912935028</v>
      </c>
      <c r="B1530" s="19" t="s">
        <v>3412</v>
      </c>
      <c r="C1530" s="17" t="s">
        <v>3413</v>
      </c>
    </row>
    <row r="1531" spans="1:3">
      <c r="A1531" s="19">
        <v>912936016</v>
      </c>
      <c r="B1531" s="19" t="s">
        <v>3414</v>
      </c>
      <c r="C1531" s="17" t="s">
        <v>3415</v>
      </c>
    </row>
    <row r="1532" spans="1:3">
      <c r="A1532" s="19">
        <v>912939487</v>
      </c>
      <c r="B1532" s="19" t="s">
        <v>3416</v>
      </c>
      <c r="C1532" s="17" t="s">
        <v>3417</v>
      </c>
    </row>
    <row r="1533" spans="1:3">
      <c r="A1533" s="19">
        <v>912946819</v>
      </c>
      <c r="B1533" s="19" t="s">
        <v>3418</v>
      </c>
      <c r="C1533" s="17" t="s">
        <v>3419</v>
      </c>
    </row>
    <row r="1534" spans="1:3">
      <c r="A1534" s="19">
        <v>912951694</v>
      </c>
      <c r="B1534" s="19" t="s">
        <v>3420</v>
      </c>
      <c r="C1534" s="17" t="s">
        <v>3421</v>
      </c>
    </row>
    <row r="1535" spans="1:3">
      <c r="A1535" s="19">
        <v>912953605</v>
      </c>
      <c r="B1535" s="19" t="s">
        <v>3422</v>
      </c>
      <c r="C1535" s="17" t="s">
        <v>3423</v>
      </c>
    </row>
    <row r="1536" spans="1:3">
      <c r="A1536" s="19">
        <v>912953670</v>
      </c>
      <c r="B1536" s="19" t="s">
        <v>3424</v>
      </c>
      <c r="C1536" s="17" t="s">
        <v>3425</v>
      </c>
    </row>
    <row r="1537" spans="1:3">
      <c r="A1537" s="19">
        <v>912957245</v>
      </c>
      <c r="B1537" s="19" t="s">
        <v>3426</v>
      </c>
      <c r="C1537" s="18" t="s">
        <v>3427</v>
      </c>
    </row>
    <row r="1538" spans="1:3">
      <c r="A1538" s="19">
        <v>912957856</v>
      </c>
      <c r="B1538" s="19" t="s">
        <v>3428</v>
      </c>
      <c r="C1538" s="17" t="s">
        <v>3429</v>
      </c>
    </row>
    <row r="1539" spans="1:3">
      <c r="A1539" s="19">
        <v>912960625</v>
      </c>
      <c r="B1539" s="19" t="s">
        <v>3430</v>
      </c>
      <c r="C1539" s="17" t="s">
        <v>3431</v>
      </c>
    </row>
    <row r="1540" spans="1:3">
      <c r="A1540" s="19">
        <v>912960638</v>
      </c>
      <c r="B1540" s="19" t="s">
        <v>3432</v>
      </c>
      <c r="C1540" s="17" t="s">
        <v>3433</v>
      </c>
    </row>
    <row r="1541" spans="1:3">
      <c r="A1541" s="19">
        <v>912970895</v>
      </c>
      <c r="B1541" s="19" t="s">
        <v>3434</v>
      </c>
      <c r="C1541" s="17" t="s">
        <v>3435</v>
      </c>
    </row>
    <row r="1542" spans="1:3">
      <c r="A1542" s="19">
        <v>912971740</v>
      </c>
      <c r="B1542" s="19" t="s">
        <v>3436</v>
      </c>
      <c r="C1542" s="17" t="s">
        <v>3437</v>
      </c>
    </row>
    <row r="1543" spans="1:3">
      <c r="A1543" s="19">
        <v>912971883</v>
      </c>
      <c r="B1543" s="19" t="s">
        <v>3438</v>
      </c>
      <c r="C1543" s="17" t="s">
        <v>3439</v>
      </c>
    </row>
    <row r="1544" spans="1:3">
      <c r="A1544" s="19">
        <v>912971948</v>
      </c>
      <c r="B1544" s="19" t="s">
        <v>3440</v>
      </c>
      <c r="C1544" s="17" t="s">
        <v>3441</v>
      </c>
    </row>
    <row r="1545" spans="1:3">
      <c r="A1545" s="19">
        <v>912972078</v>
      </c>
      <c r="B1545" s="19" t="s">
        <v>3442</v>
      </c>
      <c r="C1545" s="17" t="s">
        <v>3443</v>
      </c>
    </row>
    <row r="1546" spans="1:3">
      <c r="A1546" s="19">
        <v>912975029</v>
      </c>
      <c r="B1546" s="19" t="s">
        <v>3444</v>
      </c>
      <c r="C1546" s="17" t="s">
        <v>3445</v>
      </c>
    </row>
    <row r="1547" spans="1:3">
      <c r="A1547" s="19">
        <v>912978422</v>
      </c>
      <c r="B1547" s="19" t="s">
        <v>3446</v>
      </c>
      <c r="C1547" s="17" t="s">
        <v>3447</v>
      </c>
    </row>
    <row r="1548" spans="1:3">
      <c r="A1548" s="19">
        <v>912978604</v>
      </c>
      <c r="B1548" s="19" t="s">
        <v>3448</v>
      </c>
      <c r="C1548" s="17" t="s">
        <v>3449</v>
      </c>
    </row>
    <row r="1549" spans="1:3">
      <c r="A1549" s="19">
        <v>912978890</v>
      </c>
      <c r="B1549" s="19" t="s">
        <v>3450</v>
      </c>
      <c r="C1549" s="17" t="s">
        <v>3451</v>
      </c>
    </row>
    <row r="1550" spans="1:3">
      <c r="A1550" s="19">
        <v>912980788</v>
      </c>
      <c r="B1550" s="19" t="s">
        <v>3452</v>
      </c>
      <c r="C1550" s="17" t="s">
        <v>3453</v>
      </c>
    </row>
    <row r="1551" spans="1:3">
      <c r="A1551" s="19">
        <v>912980983</v>
      </c>
      <c r="B1551" s="19" t="s">
        <v>3454</v>
      </c>
      <c r="C1551" s="17" t="s">
        <v>3455</v>
      </c>
    </row>
    <row r="1552" spans="1:3">
      <c r="A1552" s="19">
        <v>912985559</v>
      </c>
      <c r="B1552" s="19" t="s">
        <v>3456</v>
      </c>
      <c r="C1552" s="17" t="s">
        <v>3457</v>
      </c>
    </row>
    <row r="1553" spans="1:3">
      <c r="A1553" s="19">
        <v>912986183</v>
      </c>
      <c r="B1553" s="19" t="s">
        <v>3458</v>
      </c>
      <c r="C1553" s="17" t="s">
        <v>3459</v>
      </c>
    </row>
    <row r="1554" spans="1:3">
      <c r="A1554" s="19">
        <v>912991357</v>
      </c>
      <c r="B1554" s="19" t="s">
        <v>3460</v>
      </c>
      <c r="C1554" s="17" t="s">
        <v>3461</v>
      </c>
    </row>
    <row r="1555" spans="1:3">
      <c r="A1555" s="19">
        <v>912993567</v>
      </c>
      <c r="B1555" s="19" t="s">
        <v>3462</v>
      </c>
      <c r="C1555" s="18" t="s">
        <v>3463</v>
      </c>
    </row>
    <row r="1556" spans="1:3">
      <c r="A1556" s="19">
        <v>912993814</v>
      </c>
      <c r="B1556" s="19" t="s">
        <v>3464</v>
      </c>
      <c r="C1556" s="17" t="s">
        <v>3465</v>
      </c>
    </row>
    <row r="1557" spans="1:3">
      <c r="A1557" s="19">
        <v>912996037</v>
      </c>
      <c r="B1557" s="19" t="s">
        <v>3466</v>
      </c>
      <c r="C1557" s="17" t="s">
        <v>3467</v>
      </c>
    </row>
    <row r="1558" spans="1:3">
      <c r="A1558" s="19">
        <v>913002225</v>
      </c>
      <c r="B1558" s="19" t="s">
        <v>3468</v>
      </c>
      <c r="C1558" s="17" t="s">
        <v>3469</v>
      </c>
    </row>
    <row r="1559" spans="1:3">
      <c r="A1559" s="19">
        <v>913002407</v>
      </c>
      <c r="B1559" s="19" t="s">
        <v>3470</v>
      </c>
      <c r="C1559" s="17" t="s">
        <v>3471</v>
      </c>
    </row>
    <row r="1560" spans="1:3">
      <c r="A1560" s="19">
        <v>913006125</v>
      </c>
      <c r="B1560" s="19" t="s">
        <v>3472</v>
      </c>
      <c r="C1560" s="17" t="s">
        <v>3473</v>
      </c>
    </row>
    <row r="1561" spans="1:3">
      <c r="A1561" s="19">
        <v>913008127</v>
      </c>
      <c r="B1561" s="19" t="s">
        <v>3474</v>
      </c>
      <c r="C1561" s="17" t="s">
        <v>3475</v>
      </c>
    </row>
    <row r="1562" spans="1:3">
      <c r="A1562" s="19">
        <v>913014016</v>
      </c>
      <c r="B1562" s="19" t="s">
        <v>3476</v>
      </c>
      <c r="C1562" s="17" t="s">
        <v>3477</v>
      </c>
    </row>
    <row r="1563" spans="1:3">
      <c r="A1563" s="19">
        <v>913015706</v>
      </c>
      <c r="B1563" s="19" t="s">
        <v>3478</v>
      </c>
      <c r="C1563" s="17" t="s">
        <v>3479</v>
      </c>
    </row>
    <row r="1564" spans="1:3">
      <c r="A1564" s="19">
        <v>913027653</v>
      </c>
      <c r="B1564" s="19" t="s">
        <v>3480</v>
      </c>
      <c r="C1564" s="17" t="s">
        <v>3481</v>
      </c>
    </row>
    <row r="1565" spans="1:3">
      <c r="A1565" s="15">
        <v>913032515</v>
      </c>
      <c r="B1565" s="1" t="s">
        <v>3482</v>
      </c>
      <c r="C1565" s="20" t="s">
        <v>3483</v>
      </c>
    </row>
    <row r="1566" spans="1:3">
      <c r="A1566" s="19">
        <v>913062116</v>
      </c>
      <c r="B1566" s="19" t="s">
        <v>3484</v>
      </c>
      <c r="C1566" s="17" t="s">
        <v>3485</v>
      </c>
    </row>
    <row r="1567" spans="1:3">
      <c r="A1567" s="19">
        <v>913082227</v>
      </c>
      <c r="B1567" s="19" t="s">
        <v>3486</v>
      </c>
      <c r="C1567" s="17" t="s">
        <v>3487</v>
      </c>
    </row>
    <row r="1568" spans="1:3">
      <c r="A1568" s="19">
        <v>913110697</v>
      </c>
      <c r="B1568" s="19" t="s">
        <v>3488</v>
      </c>
      <c r="C1568" s="17" t="s">
        <v>3489</v>
      </c>
    </row>
    <row r="1569" spans="1:3">
      <c r="A1569" s="19">
        <v>913136476</v>
      </c>
      <c r="B1569" s="19" t="s">
        <v>3490</v>
      </c>
      <c r="C1569" s="17" t="s">
        <v>3491</v>
      </c>
    </row>
    <row r="1570" spans="1:3">
      <c r="A1570" s="19">
        <v>913156951</v>
      </c>
      <c r="B1570" s="19" t="s">
        <v>3492</v>
      </c>
      <c r="C1570" s="17" t="s">
        <v>3493</v>
      </c>
    </row>
    <row r="1571" spans="1:3">
      <c r="A1571" s="19">
        <v>913169418</v>
      </c>
      <c r="B1571" s="19" t="s">
        <v>3494</v>
      </c>
      <c r="C1571" s="17" t="s">
        <v>3495</v>
      </c>
    </row>
    <row r="1572" spans="1:3">
      <c r="A1572" s="19">
        <v>913176035</v>
      </c>
      <c r="B1572" s="19" t="s">
        <v>3496</v>
      </c>
      <c r="C1572" s="17" t="s">
        <v>3497</v>
      </c>
    </row>
    <row r="1573" spans="1:3">
      <c r="A1573" s="19">
        <v>913214723</v>
      </c>
      <c r="B1573" s="19" t="s">
        <v>3498</v>
      </c>
      <c r="C1573" s="17" t="s">
        <v>3499</v>
      </c>
    </row>
    <row r="1574" spans="1:3">
      <c r="A1574" s="19">
        <v>913237317</v>
      </c>
      <c r="B1574" s="19" t="s">
        <v>3500</v>
      </c>
      <c r="C1574" s="17" t="s">
        <v>3501</v>
      </c>
    </row>
    <row r="1575" spans="1:3">
      <c r="A1575" s="19">
        <v>913245754</v>
      </c>
      <c r="B1575" s="19" t="s">
        <v>3502</v>
      </c>
      <c r="C1575" s="18" t="s">
        <v>3503</v>
      </c>
    </row>
    <row r="1576" spans="1:3">
      <c r="A1576" s="19">
        <v>913253996</v>
      </c>
      <c r="B1576" s="19" t="s">
        <v>3504</v>
      </c>
      <c r="C1576" s="17" t="s">
        <v>3505</v>
      </c>
    </row>
    <row r="1577" spans="1:3">
      <c r="A1577" s="19">
        <v>913256115</v>
      </c>
      <c r="B1577" s="19" t="s">
        <v>3506</v>
      </c>
      <c r="C1577" s="18" t="s">
        <v>3507</v>
      </c>
    </row>
    <row r="1578" spans="1:3">
      <c r="A1578" s="19">
        <v>913259287</v>
      </c>
      <c r="B1578" s="19" t="s">
        <v>3508</v>
      </c>
      <c r="C1578" s="17" t="s">
        <v>3509</v>
      </c>
    </row>
    <row r="1579" spans="1:3">
      <c r="A1579" s="19">
        <v>913283194</v>
      </c>
      <c r="B1579" s="19" t="s">
        <v>3510</v>
      </c>
      <c r="C1579" s="17" t="s">
        <v>3511</v>
      </c>
    </row>
    <row r="1580" spans="1:3">
      <c r="A1580" s="19">
        <v>913289928</v>
      </c>
      <c r="B1580" s="19" t="s">
        <v>3512</v>
      </c>
      <c r="C1580" s="17" t="s">
        <v>3513</v>
      </c>
    </row>
    <row r="1581" spans="1:3">
      <c r="A1581" s="19">
        <v>913290422</v>
      </c>
      <c r="B1581" s="19" t="s">
        <v>3514</v>
      </c>
      <c r="C1581" s="17" t="s">
        <v>3515</v>
      </c>
    </row>
    <row r="1582" spans="1:3">
      <c r="A1582" s="19">
        <v>913291644</v>
      </c>
      <c r="B1582" s="19" t="s">
        <v>3516</v>
      </c>
      <c r="C1582" s="17" t="s">
        <v>3517</v>
      </c>
    </row>
    <row r="1583" spans="1:3">
      <c r="A1583" s="19">
        <v>913293802</v>
      </c>
      <c r="B1583" s="19" t="s">
        <v>3518</v>
      </c>
      <c r="C1583" s="17" t="s">
        <v>3519</v>
      </c>
    </row>
    <row r="1584" spans="1:3">
      <c r="A1584" s="19">
        <v>913295089</v>
      </c>
      <c r="B1584" s="19" t="s">
        <v>3520</v>
      </c>
      <c r="C1584" s="17" t="s">
        <v>3521</v>
      </c>
    </row>
    <row r="1585" spans="1:3">
      <c r="A1585" s="19">
        <v>913302252</v>
      </c>
      <c r="B1585" s="19" t="s">
        <v>3522</v>
      </c>
      <c r="C1585" s="17" t="s">
        <v>3523</v>
      </c>
    </row>
    <row r="1586" spans="1:3">
      <c r="A1586" s="19">
        <v>913391783</v>
      </c>
      <c r="B1586" s="19" t="s">
        <v>3524</v>
      </c>
      <c r="C1586" s="17" t="s">
        <v>3525</v>
      </c>
    </row>
    <row r="1587" spans="1:3">
      <c r="A1587" s="19">
        <v>913400467</v>
      </c>
      <c r="B1587" s="19" t="s">
        <v>3526</v>
      </c>
      <c r="C1587" s="17" t="s">
        <v>3527</v>
      </c>
    </row>
    <row r="1588" spans="1:3">
      <c r="A1588" s="19">
        <v>913405212</v>
      </c>
      <c r="B1588" s="19" t="s">
        <v>3528</v>
      </c>
      <c r="C1588" s="17" t="s">
        <v>3529</v>
      </c>
    </row>
    <row r="1589" spans="1:3">
      <c r="A1589" s="19">
        <v>913413441</v>
      </c>
      <c r="B1589" s="19" t="s">
        <v>3530</v>
      </c>
      <c r="C1589" s="17" t="s">
        <v>3531</v>
      </c>
    </row>
    <row r="1590" spans="1:3">
      <c r="A1590" s="19">
        <v>913427520</v>
      </c>
      <c r="B1590" s="19" t="s">
        <v>3532</v>
      </c>
      <c r="C1590" s="17" t="s">
        <v>3533</v>
      </c>
    </row>
    <row r="1591" spans="1:3">
      <c r="A1591" s="19">
        <v>913428677</v>
      </c>
      <c r="B1591" s="19" t="s">
        <v>3534</v>
      </c>
      <c r="C1591" s="17" t="s">
        <v>3535</v>
      </c>
    </row>
    <row r="1592" spans="1:3">
      <c r="A1592" s="19">
        <v>913444134</v>
      </c>
      <c r="B1592" s="19" t="s">
        <v>3536</v>
      </c>
      <c r="C1592" s="17" t="s">
        <v>3537</v>
      </c>
    </row>
    <row r="1593" spans="1:3">
      <c r="A1593" s="19">
        <v>913469406</v>
      </c>
      <c r="B1593" s="19" t="s">
        <v>3538</v>
      </c>
      <c r="C1593" s="17" t="s">
        <v>3539</v>
      </c>
    </row>
    <row r="1594" spans="1:3">
      <c r="A1594" s="19">
        <v>913477349</v>
      </c>
      <c r="B1594" s="19" t="s">
        <v>3540</v>
      </c>
      <c r="C1594" s="17" t="s">
        <v>3541</v>
      </c>
    </row>
    <row r="1595" spans="1:3">
      <c r="A1595" s="19">
        <v>913477401</v>
      </c>
      <c r="B1595" s="19" t="s">
        <v>3542</v>
      </c>
      <c r="C1595" s="17" t="s">
        <v>3543</v>
      </c>
    </row>
    <row r="1596" spans="1:3">
      <c r="A1596" s="19">
        <v>913562174</v>
      </c>
      <c r="B1596" s="19" t="s">
        <v>3544</v>
      </c>
      <c r="C1596" s="17" t="s">
        <v>3545</v>
      </c>
    </row>
    <row r="1597" spans="1:3">
      <c r="A1597" s="19">
        <v>913586731</v>
      </c>
      <c r="B1597" s="19" t="s">
        <v>3546</v>
      </c>
      <c r="C1597" s="17" t="s">
        <v>3547</v>
      </c>
    </row>
    <row r="1598" spans="1:3">
      <c r="A1598" s="19">
        <v>913602916</v>
      </c>
      <c r="B1598" s="19" t="s">
        <v>3548</v>
      </c>
      <c r="C1598" s="17" t="s">
        <v>3549</v>
      </c>
    </row>
    <row r="1599" spans="1:3">
      <c r="A1599" s="19">
        <v>913625549</v>
      </c>
      <c r="B1599" s="19" t="s">
        <v>3550</v>
      </c>
      <c r="C1599" s="17" t="s">
        <v>3551</v>
      </c>
    </row>
    <row r="1600" spans="1:3">
      <c r="A1600" s="19">
        <v>913664458</v>
      </c>
      <c r="B1600" s="19" t="s">
        <v>3552</v>
      </c>
      <c r="C1600" s="17" t="s">
        <v>3553</v>
      </c>
    </row>
    <row r="1601" spans="1:3">
      <c r="A1601" s="19">
        <v>913667968</v>
      </c>
      <c r="B1601" s="19" t="s">
        <v>3554</v>
      </c>
      <c r="C1601" s="17" t="s">
        <v>3555</v>
      </c>
    </row>
    <row r="1602" spans="1:3">
      <c r="A1602" s="19">
        <v>913669190</v>
      </c>
      <c r="B1602" s="19" t="s">
        <v>3556</v>
      </c>
      <c r="C1602" s="17" t="s">
        <v>3557</v>
      </c>
    </row>
    <row r="1603" spans="1:3">
      <c r="A1603" s="19">
        <v>913672804</v>
      </c>
      <c r="B1603" s="19" t="s">
        <v>3558</v>
      </c>
      <c r="C1603" s="17" t="s">
        <v>3559</v>
      </c>
    </row>
    <row r="1604" spans="1:3">
      <c r="A1604" s="19">
        <v>913672843</v>
      </c>
      <c r="B1604" s="19" t="s">
        <v>3560</v>
      </c>
      <c r="C1604" s="17" t="s">
        <v>3561</v>
      </c>
    </row>
    <row r="1605" spans="1:3">
      <c r="A1605" s="19">
        <v>913676808</v>
      </c>
      <c r="B1605" s="19" t="s">
        <v>3562</v>
      </c>
      <c r="C1605" s="17" t="s">
        <v>3563</v>
      </c>
    </row>
    <row r="1606" spans="1:3">
      <c r="A1606" s="19">
        <v>913676925</v>
      </c>
      <c r="B1606" s="19" t="s">
        <v>3564</v>
      </c>
      <c r="C1606" s="17" t="s">
        <v>3565</v>
      </c>
    </row>
    <row r="1607" spans="1:3">
      <c r="A1607" s="19">
        <v>913678186</v>
      </c>
      <c r="B1607" s="19" t="s">
        <v>3566</v>
      </c>
      <c r="C1607" s="17" t="s">
        <v>3567</v>
      </c>
    </row>
    <row r="1608" spans="1:3">
      <c r="A1608" s="19">
        <v>913678576</v>
      </c>
      <c r="B1608" s="19" t="s">
        <v>3568</v>
      </c>
      <c r="C1608" s="17" t="s">
        <v>3569</v>
      </c>
    </row>
    <row r="1609" spans="1:3">
      <c r="A1609" s="19">
        <v>913683035</v>
      </c>
      <c r="B1609" s="19" t="s">
        <v>3570</v>
      </c>
      <c r="C1609" s="17" t="s">
        <v>3571</v>
      </c>
    </row>
    <row r="1610" spans="1:3">
      <c r="A1610" s="19">
        <v>913683854</v>
      </c>
      <c r="B1610" s="19" t="s">
        <v>3572</v>
      </c>
      <c r="C1610" s="17" t="s">
        <v>3573</v>
      </c>
    </row>
    <row r="1611" spans="1:3">
      <c r="A1611" s="19">
        <v>913683958</v>
      </c>
      <c r="B1611" s="19" t="s">
        <v>3574</v>
      </c>
      <c r="C1611" s="17" t="s">
        <v>3575</v>
      </c>
    </row>
    <row r="1612" spans="1:3">
      <c r="A1612" s="19">
        <v>913692057</v>
      </c>
      <c r="B1612" s="19" t="s">
        <v>3576</v>
      </c>
      <c r="C1612" s="17" t="s">
        <v>3577</v>
      </c>
    </row>
    <row r="1613" spans="1:3">
      <c r="A1613" s="19">
        <v>913694033</v>
      </c>
      <c r="B1613" s="19" t="s">
        <v>3578</v>
      </c>
      <c r="C1613" s="17" t="s">
        <v>3579</v>
      </c>
    </row>
    <row r="1614" spans="1:3">
      <c r="A1614" s="19">
        <v>913694722</v>
      </c>
      <c r="B1614" s="19" t="s">
        <v>3580</v>
      </c>
      <c r="C1614" s="17" t="s">
        <v>3581</v>
      </c>
    </row>
    <row r="1615" spans="1:3">
      <c r="A1615" s="19">
        <v>913704576</v>
      </c>
      <c r="B1615" s="19" t="s">
        <v>3582</v>
      </c>
      <c r="C1615" s="17" t="s">
        <v>3583</v>
      </c>
    </row>
    <row r="1616" spans="1:3">
      <c r="A1616" s="19">
        <v>913707475</v>
      </c>
      <c r="B1616" s="19" t="s">
        <v>3584</v>
      </c>
      <c r="C1616" s="17" t="s">
        <v>3585</v>
      </c>
    </row>
    <row r="1617" spans="1:3">
      <c r="A1617" s="19">
        <v>913707644</v>
      </c>
      <c r="B1617" s="19" t="s">
        <v>3586</v>
      </c>
      <c r="C1617" s="17" t="s">
        <v>3587</v>
      </c>
    </row>
    <row r="1618" spans="1:3">
      <c r="A1618" s="19">
        <v>913708476</v>
      </c>
      <c r="B1618" s="19" t="s">
        <v>3588</v>
      </c>
      <c r="C1618" s="17" t="s">
        <v>3589</v>
      </c>
    </row>
    <row r="1619" spans="1:3">
      <c r="A1619" s="19">
        <v>913711453</v>
      </c>
      <c r="B1619" s="19" t="s">
        <v>3590</v>
      </c>
      <c r="C1619" s="17" t="s">
        <v>3591</v>
      </c>
    </row>
    <row r="1620" spans="1:3">
      <c r="A1620" s="19">
        <v>913712493</v>
      </c>
      <c r="B1620" s="19" t="s">
        <v>3592</v>
      </c>
      <c r="C1620" s="17" t="s">
        <v>3593</v>
      </c>
    </row>
    <row r="1621" spans="1:3">
      <c r="A1621" s="19">
        <v>913713130</v>
      </c>
      <c r="B1621" s="19" t="s">
        <v>3594</v>
      </c>
      <c r="C1621" s="17" t="s">
        <v>3595</v>
      </c>
    </row>
    <row r="1622" spans="1:3">
      <c r="A1622" s="19">
        <v>913714872</v>
      </c>
      <c r="B1622" s="19" t="s">
        <v>3596</v>
      </c>
      <c r="C1622" s="17" t="s">
        <v>3597</v>
      </c>
    </row>
    <row r="1623" spans="1:3">
      <c r="A1623" s="19">
        <v>913722685</v>
      </c>
      <c r="B1623" s="19" t="s">
        <v>3598</v>
      </c>
      <c r="C1623" s="17" t="s">
        <v>3599</v>
      </c>
    </row>
    <row r="1624" spans="1:3">
      <c r="A1624" s="19">
        <v>913725805</v>
      </c>
      <c r="B1624" s="19" t="s">
        <v>3600</v>
      </c>
      <c r="C1624" s="17" t="s">
        <v>3601</v>
      </c>
    </row>
    <row r="1625" spans="1:3">
      <c r="A1625" s="19">
        <v>913727729</v>
      </c>
      <c r="B1625" s="19" t="s">
        <v>3602</v>
      </c>
      <c r="C1625" s="17" t="s">
        <v>3603</v>
      </c>
    </row>
    <row r="1626" spans="1:3">
      <c r="A1626" s="19">
        <v>913728548</v>
      </c>
      <c r="B1626" s="19" t="s">
        <v>3604</v>
      </c>
      <c r="C1626" s="17" t="s">
        <v>3605</v>
      </c>
    </row>
    <row r="1627" spans="1:3">
      <c r="A1627" s="19">
        <v>913728665</v>
      </c>
      <c r="B1627" s="19" t="s">
        <v>3606</v>
      </c>
      <c r="C1627" s="17" t="s">
        <v>3607</v>
      </c>
    </row>
    <row r="1628" spans="1:3">
      <c r="A1628" s="19">
        <v>913729978</v>
      </c>
      <c r="B1628" s="19" t="s">
        <v>3608</v>
      </c>
      <c r="C1628" s="17" t="s">
        <v>3609</v>
      </c>
    </row>
    <row r="1629" spans="1:3">
      <c r="A1629" s="19">
        <v>913730940</v>
      </c>
      <c r="B1629" s="19" t="s">
        <v>3610</v>
      </c>
      <c r="C1629" s="17" t="s">
        <v>3611</v>
      </c>
    </row>
    <row r="1630" spans="1:3">
      <c r="A1630" s="19">
        <v>913732305</v>
      </c>
      <c r="B1630" s="19" t="s">
        <v>3612</v>
      </c>
      <c r="C1630" s="17" t="s">
        <v>3613</v>
      </c>
    </row>
    <row r="1631" spans="1:3">
      <c r="A1631" s="19">
        <v>913733124</v>
      </c>
      <c r="B1631" s="19" t="s">
        <v>3614</v>
      </c>
      <c r="C1631" s="17" t="s">
        <v>3615</v>
      </c>
    </row>
    <row r="1632" spans="1:3">
      <c r="A1632" s="19">
        <v>913733683</v>
      </c>
      <c r="B1632" s="19" t="s">
        <v>3616</v>
      </c>
      <c r="C1632" s="17" t="s">
        <v>3617</v>
      </c>
    </row>
    <row r="1633" spans="1:3">
      <c r="A1633" s="19">
        <v>913733709</v>
      </c>
      <c r="B1633" s="19" t="s">
        <v>3618</v>
      </c>
      <c r="C1633" s="17" t="s">
        <v>3619</v>
      </c>
    </row>
    <row r="1634" spans="1:3">
      <c r="A1634" s="19">
        <v>913735789</v>
      </c>
      <c r="B1634" s="19" t="s">
        <v>3620</v>
      </c>
      <c r="C1634" s="17" t="s">
        <v>3621</v>
      </c>
    </row>
    <row r="1635" spans="1:3">
      <c r="A1635" s="19">
        <v>913741314</v>
      </c>
      <c r="B1635" s="19" t="s">
        <v>3622</v>
      </c>
      <c r="C1635" s="17" t="s">
        <v>3623</v>
      </c>
    </row>
    <row r="1636" spans="1:3">
      <c r="A1636" s="19">
        <v>913741886</v>
      </c>
      <c r="B1636" s="19" t="s">
        <v>3624</v>
      </c>
      <c r="C1636" s="17" t="s">
        <v>3625</v>
      </c>
    </row>
    <row r="1637" spans="1:3">
      <c r="A1637" s="19">
        <v>913746917</v>
      </c>
      <c r="B1637" s="19" t="s">
        <v>3626</v>
      </c>
      <c r="C1637" s="17" t="s">
        <v>3627</v>
      </c>
    </row>
    <row r="1638" spans="1:3">
      <c r="A1638" s="19">
        <v>913748685</v>
      </c>
      <c r="B1638" s="19" t="s">
        <v>3628</v>
      </c>
      <c r="C1638" s="17" t="s">
        <v>3629</v>
      </c>
    </row>
    <row r="1639" spans="1:3">
      <c r="A1639" s="19">
        <v>913751948</v>
      </c>
      <c r="B1639" s="19" t="s">
        <v>3630</v>
      </c>
      <c r="C1639" s="17" t="s">
        <v>3631</v>
      </c>
    </row>
    <row r="1640" spans="1:3">
      <c r="A1640" s="19">
        <v>913752884</v>
      </c>
      <c r="B1640" s="19" t="s">
        <v>3632</v>
      </c>
      <c r="C1640" s="17" t="s">
        <v>3633</v>
      </c>
    </row>
    <row r="1641" spans="1:3">
      <c r="A1641" s="19">
        <v>913753794</v>
      </c>
      <c r="B1641" s="19" t="s">
        <v>3634</v>
      </c>
      <c r="C1641" s="17" t="s">
        <v>3635</v>
      </c>
    </row>
    <row r="1642" spans="1:3">
      <c r="A1642" s="19">
        <v>913759774</v>
      </c>
      <c r="B1642" s="19" t="s">
        <v>3636</v>
      </c>
      <c r="C1642" s="17" t="s">
        <v>3637</v>
      </c>
    </row>
    <row r="1643" spans="1:3">
      <c r="A1643" s="19">
        <v>913759800</v>
      </c>
      <c r="B1643" s="19" t="s">
        <v>3638</v>
      </c>
      <c r="C1643" s="17" t="s">
        <v>3639</v>
      </c>
    </row>
    <row r="1644" spans="1:3">
      <c r="A1644" s="19">
        <v>913763128</v>
      </c>
      <c r="B1644" s="19" t="s">
        <v>3640</v>
      </c>
      <c r="C1644" s="17" t="s">
        <v>3641</v>
      </c>
    </row>
    <row r="1645" spans="1:3">
      <c r="A1645" s="19">
        <v>913763271</v>
      </c>
      <c r="B1645" s="19" t="s">
        <v>3642</v>
      </c>
      <c r="C1645" s="17" t="s">
        <v>3643</v>
      </c>
    </row>
    <row r="1646" spans="1:3">
      <c r="A1646" s="19">
        <v>913764116</v>
      </c>
      <c r="B1646" s="19" t="s">
        <v>3644</v>
      </c>
      <c r="C1646" s="17" t="s">
        <v>3645</v>
      </c>
    </row>
    <row r="1647" spans="1:3">
      <c r="A1647" s="19">
        <v>913765338</v>
      </c>
      <c r="B1647" s="19" t="s">
        <v>3646</v>
      </c>
      <c r="C1647" s="17" t="s">
        <v>3647</v>
      </c>
    </row>
    <row r="1648" spans="1:3">
      <c r="A1648" s="19">
        <v>913765676</v>
      </c>
      <c r="B1648" s="19" t="s">
        <v>3648</v>
      </c>
      <c r="C1648" s="17" t="s">
        <v>3649</v>
      </c>
    </row>
    <row r="1649" spans="1:3">
      <c r="A1649" s="19">
        <v>913766352</v>
      </c>
      <c r="B1649" s="19" t="s">
        <v>3650</v>
      </c>
      <c r="C1649" s="17" t="s">
        <v>3651</v>
      </c>
    </row>
    <row r="1650" spans="1:3">
      <c r="A1650" s="19">
        <v>913769173</v>
      </c>
      <c r="B1650" s="19" t="s">
        <v>3652</v>
      </c>
      <c r="C1650" s="17" t="s">
        <v>3653</v>
      </c>
    </row>
    <row r="1651" spans="1:3">
      <c r="A1651" s="19">
        <v>913774100</v>
      </c>
      <c r="B1651" s="19" t="s">
        <v>3654</v>
      </c>
      <c r="C1651" s="17" t="s">
        <v>3655</v>
      </c>
    </row>
    <row r="1652" spans="1:3">
      <c r="A1652" s="19">
        <v>913780171</v>
      </c>
      <c r="B1652" s="19" t="s">
        <v>3656</v>
      </c>
      <c r="C1652" s="17" t="s">
        <v>3657</v>
      </c>
    </row>
    <row r="1653" spans="1:3">
      <c r="A1653" s="19">
        <v>913782654</v>
      </c>
      <c r="B1653" s="19" t="s">
        <v>3658</v>
      </c>
      <c r="C1653" s="17" t="s">
        <v>3659</v>
      </c>
    </row>
    <row r="1654" spans="1:3">
      <c r="A1654" s="19">
        <v>913782667</v>
      </c>
      <c r="B1654" s="19" t="s">
        <v>3660</v>
      </c>
      <c r="C1654" s="17" t="s">
        <v>3661</v>
      </c>
    </row>
    <row r="1655" spans="1:3">
      <c r="A1655" s="19">
        <v>913784162</v>
      </c>
      <c r="B1655" s="19" t="s">
        <v>3662</v>
      </c>
      <c r="C1655" s="17" t="s">
        <v>3663</v>
      </c>
    </row>
    <row r="1656" spans="1:3">
      <c r="A1656" s="19">
        <v>913784201</v>
      </c>
      <c r="B1656" s="19" t="s">
        <v>3664</v>
      </c>
      <c r="C1656" s="17" t="s">
        <v>3665</v>
      </c>
    </row>
    <row r="1657" spans="1:3">
      <c r="A1657" s="19">
        <v>913784370</v>
      </c>
      <c r="B1657" s="19" t="s">
        <v>3666</v>
      </c>
      <c r="C1657" s="17" t="s">
        <v>3667</v>
      </c>
    </row>
    <row r="1658" spans="1:3">
      <c r="A1658" s="19">
        <v>913784994</v>
      </c>
      <c r="B1658" s="19" t="s">
        <v>3668</v>
      </c>
      <c r="C1658" s="17" t="s">
        <v>3669</v>
      </c>
    </row>
    <row r="1659" spans="1:3">
      <c r="A1659" s="19">
        <v>913785098</v>
      </c>
      <c r="B1659" s="19" t="s">
        <v>3670</v>
      </c>
      <c r="C1659" s="17" t="s">
        <v>3671</v>
      </c>
    </row>
    <row r="1660" spans="1:3">
      <c r="A1660" s="19">
        <v>913785735</v>
      </c>
      <c r="B1660" s="19" t="s">
        <v>3672</v>
      </c>
      <c r="C1660" s="17" t="s">
        <v>3673</v>
      </c>
    </row>
    <row r="1661" spans="1:3">
      <c r="A1661" s="19">
        <v>913786307</v>
      </c>
      <c r="B1661" s="19" t="s">
        <v>3674</v>
      </c>
      <c r="C1661" s="17" t="s">
        <v>3675</v>
      </c>
    </row>
    <row r="1662" spans="1:3">
      <c r="A1662" s="19">
        <v>913786515</v>
      </c>
      <c r="B1662" s="19" t="s">
        <v>3676</v>
      </c>
      <c r="C1662" s="17" t="s">
        <v>3677</v>
      </c>
    </row>
    <row r="1663" spans="1:3">
      <c r="A1663" s="19">
        <v>913787464</v>
      </c>
      <c r="B1663" s="19" t="s">
        <v>3678</v>
      </c>
      <c r="C1663" s="17" t="s">
        <v>3679</v>
      </c>
    </row>
    <row r="1664" spans="1:3">
      <c r="A1664" s="19">
        <v>913788907</v>
      </c>
      <c r="B1664" s="19" t="s">
        <v>3680</v>
      </c>
      <c r="C1664" s="17" t="s">
        <v>3681</v>
      </c>
    </row>
    <row r="1665" spans="1:3">
      <c r="A1665" s="19">
        <v>913788946</v>
      </c>
      <c r="B1665" s="19" t="s">
        <v>3682</v>
      </c>
      <c r="C1665" s="17" t="s">
        <v>3683</v>
      </c>
    </row>
    <row r="1666" spans="1:3">
      <c r="A1666" s="19">
        <v>913789622</v>
      </c>
      <c r="B1666" s="19" t="s">
        <v>3684</v>
      </c>
      <c r="C1666" s="17" t="s">
        <v>3685</v>
      </c>
    </row>
    <row r="1667" spans="1:3">
      <c r="A1667" s="19">
        <v>913796954</v>
      </c>
      <c r="B1667" s="19" t="s">
        <v>3686</v>
      </c>
      <c r="C1667" s="17" t="s">
        <v>3687</v>
      </c>
    </row>
    <row r="1668" spans="1:3">
      <c r="A1668" s="19">
        <v>913797214</v>
      </c>
      <c r="B1668" s="19" t="s">
        <v>3688</v>
      </c>
      <c r="C1668" s="17" t="s">
        <v>3689</v>
      </c>
    </row>
    <row r="1669" spans="1:3">
      <c r="A1669" s="19">
        <v>913799021</v>
      </c>
      <c r="B1669" s="19" t="s">
        <v>3690</v>
      </c>
      <c r="C1669" s="17" t="s">
        <v>3691</v>
      </c>
    </row>
    <row r="1670" spans="1:3">
      <c r="A1670" s="19">
        <v>913799099</v>
      </c>
      <c r="B1670" s="19" t="s">
        <v>3692</v>
      </c>
      <c r="C1670" s="17" t="s">
        <v>3693</v>
      </c>
    </row>
    <row r="1671" spans="1:3">
      <c r="A1671" s="19">
        <v>913800529</v>
      </c>
      <c r="B1671" s="19" t="s">
        <v>3694</v>
      </c>
      <c r="C1671" s="17" t="s">
        <v>3695</v>
      </c>
    </row>
    <row r="1672" spans="1:3">
      <c r="A1672" s="19">
        <v>913804065</v>
      </c>
      <c r="B1672" s="19" t="s">
        <v>3696</v>
      </c>
      <c r="C1672" s="17" t="s">
        <v>3697</v>
      </c>
    </row>
    <row r="1673" spans="1:3">
      <c r="A1673" s="19">
        <v>913814725</v>
      </c>
      <c r="B1673" s="19" t="s">
        <v>3698</v>
      </c>
      <c r="C1673" s="17" t="s">
        <v>3699</v>
      </c>
    </row>
    <row r="1674" spans="1:3">
      <c r="A1674" s="19">
        <v>913814933</v>
      </c>
      <c r="B1674" s="19" t="s">
        <v>3700</v>
      </c>
      <c r="C1674" s="17" t="s">
        <v>3701</v>
      </c>
    </row>
    <row r="1675" spans="1:3">
      <c r="A1675" s="19">
        <v>913815323</v>
      </c>
      <c r="B1675" s="19" t="s">
        <v>3702</v>
      </c>
      <c r="C1675" s="17" t="s">
        <v>3703</v>
      </c>
    </row>
    <row r="1676" spans="1:3">
      <c r="A1676" s="19">
        <v>913820965</v>
      </c>
      <c r="B1676" s="19" t="s">
        <v>3704</v>
      </c>
      <c r="C1676" s="17" t="s">
        <v>3705</v>
      </c>
    </row>
    <row r="1677" spans="1:3">
      <c r="A1677" s="19">
        <v>913823760</v>
      </c>
      <c r="B1677" s="19" t="s">
        <v>3706</v>
      </c>
      <c r="C1677" s="17" t="s">
        <v>3707</v>
      </c>
    </row>
    <row r="1678" spans="1:3">
      <c r="A1678" s="19">
        <v>913824020</v>
      </c>
      <c r="B1678" s="19" t="s">
        <v>3708</v>
      </c>
      <c r="C1678" s="17" t="s">
        <v>3709</v>
      </c>
    </row>
    <row r="1679" spans="1:3">
      <c r="A1679" s="19">
        <v>913826555</v>
      </c>
      <c r="B1679" s="19" t="s">
        <v>3710</v>
      </c>
      <c r="C1679" s="17" t="s">
        <v>3711</v>
      </c>
    </row>
    <row r="1680" spans="1:3">
      <c r="A1680" s="19">
        <v>913827101</v>
      </c>
      <c r="B1680" s="19" t="s">
        <v>3712</v>
      </c>
      <c r="C1680" s="17" t="s">
        <v>3713</v>
      </c>
    </row>
    <row r="1681" spans="1:3">
      <c r="A1681" s="19">
        <v>913827114</v>
      </c>
      <c r="B1681" s="19" t="s">
        <v>3714</v>
      </c>
      <c r="C1681" s="17" t="s">
        <v>3715</v>
      </c>
    </row>
    <row r="1682" spans="1:3">
      <c r="A1682" s="19">
        <v>913827387</v>
      </c>
      <c r="B1682" s="19" t="s">
        <v>3716</v>
      </c>
      <c r="C1682" s="17" t="s">
        <v>3717</v>
      </c>
    </row>
    <row r="1683" spans="1:3">
      <c r="A1683" s="19">
        <v>913827400</v>
      </c>
      <c r="B1683" s="19" t="s">
        <v>3718</v>
      </c>
      <c r="C1683" s="17" t="s">
        <v>3719</v>
      </c>
    </row>
    <row r="1684" spans="1:3">
      <c r="A1684" s="19">
        <v>913828492</v>
      </c>
      <c r="B1684" s="19" t="s">
        <v>3720</v>
      </c>
      <c r="C1684" s="17" t="s">
        <v>3721</v>
      </c>
    </row>
    <row r="1685" spans="1:3">
      <c r="A1685" s="19">
        <v>913828596</v>
      </c>
      <c r="B1685" s="19" t="s">
        <v>3722</v>
      </c>
      <c r="C1685" s="17" t="s">
        <v>3723</v>
      </c>
    </row>
    <row r="1686" spans="1:3">
      <c r="A1686" s="19">
        <v>913828674</v>
      </c>
      <c r="B1686" s="19" t="s">
        <v>3724</v>
      </c>
      <c r="C1686" s="17" t="s">
        <v>3725</v>
      </c>
    </row>
    <row r="1687" spans="1:3">
      <c r="A1687" s="19">
        <v>913829493</v>
      </c>
      <c r="B1687" s="19" t="s">
        <v>3726</v>
      </c>
      <c r="C1687" s="17" t="s">
        <v>3727</v>
      </c>
    </row>
    <row r="1688" spans="1:3">
      <c r="A1688" s="19">
        <v>913834017</v>
      </c>
      <c r="B1688" s="19" t="s">
        <v>3728</v>
      </c>
      <c r="C1688" s="18" t="s">
        <v>3729</v>
      </c>
    </row>
    <row r="1689" spans="1:3">
      <c r="A1689" s="19">
        <v>913834862</v>
      </c>
      <c r="B1689" s="19" t="s">
        <v>3730</v>
      </c>
      <c r="C1689" s="17" t="s">
        <v>3731</v>
      </c>
    </row>
    <row r="1690" spans="1:3">
      <c r="A1690" s="19">
        <v>913836591</v>
      </c>
      <c r="B1690" s="19" t="s">
        <v>3732</v>
      </c>
      <c r="C1690" s="17" t="s">
        <v>3733</v>
      </c>
    </row>
    <row r="1691" spans="1:3">
      <c r="A1691" s="19">
        <v>913837826</v>
      </c>
      <c r="B1691" s="19" t="s">
        <v>3734</v>
      </c>
      <c r="C1691" s="17" t="s">
        <v>3735</v>
      </c>
    </row>
    <row r="1692" spans="1:3">
      <c r="A1692" s="19">
        <v>913838463</v>
      </c>
      <c r="B1692" s="19" t="s">
        <v>3736</v>
      </c>
      <c r="C1692" s="17" t="s">
        <v>3737</v>
      </c>
    </row>
    <row r="1693" spans="1:3">
      <c r="A1693" s="19">
        <v>913839282</v>
      </c>
      <c r="B1693" s="19" t="s">
        <v>3738</v>
      </c>
      <c r="C1693" s="18" t="s">
        <v>3739</v>
      </c>
    </row>
    <row r="1694" spans="1:3">
      <c r="A1694" s="19">
        <v>913839360</v>
      </c>
      <c r="B1694" s="19" t="s">
        <v>3740</v>
      </c>
      <c r="C1694" s="17" t="s">
        <v>3741</v>
      </c>
    </row>
    <row r="1695" spans="1:3">
      <c r="A1695" s="19">
        <v>913840998</v>
      </c>
      <c r="B1695" s="19" t="s">
        <v>3742</v>
      </c>
      <c r="C1695" s="17" t="s">
        <v>3743</v>
      </c>
    </row>
    <row r="1696" spans="1:3">
      <c r="A1696" s="19">
        <v>913841011</v>
      </c>
      <c r="B1696" s="19" t="s">
        <v>3744</v>
      </c>
      <c r="C1696" s="17" t="s">
        <v>3745</v>
      </c>
    </row>
    <row r="1697" spans="1:3">
      <c r="A1697" s="19">
        <v>913841297</v>
      </c>
      <c r="B1697" s="19" t="s">
        <v>3746</v>
      </c>
      <c r="C1697" s="17" t="s">
        <v>3747</v>
      </c>
    </row>
    <row r="1698" spans="1:3">
      <c r="A1698" s="19">
        <v>913843754</v>
      </c>
      <c r="B1698" s="19" t="s">
        <v>3748</v>
      </c>
      <c r="C1698" s="17" t="s">
        <v>3749</v>
      </c>
    </row>
    <row r="1699" spans="1:3">
      <c r="A1699" s="19">
        <v>913844716</v>
      </c>
      <c r="B1699" s="19" t="s">
        <v>3750</v>
      </c>
      <c r="C1699" s="18" t="s">
        <v>3751</v>
      </c>
    </row>
    <row r="1700" spans="1:3">
      <c r="A1700" s="19">
        <v>913847407</v>
      </c>
      <c r="B1700" s="19" t="s">
        <v>3752</v>
      </c>
      <c r="C1700" s="17" t="s">
        <v>3753</v>
      </c>
    </row>
    <row r="1701" spans="1:3">
      <c r="A1701" s="19">
        <v>913847420</v>
      </c>
      <c r="B1701" s="19" t="s">
        <v>3754</v>
      </c>
      <c r="C1701" s="17" t="s">
        <v>3755</v>
      </c>
    </row>
    <row r="1702" spans="1:3">
      <c r="A1702" s="19">
        <v>913848876</v>
      </c>
      <c r="B1702" s="19" t="s">
        <v>3756</v>
      </c>
      <c r="C1702" s="17" t="s">
        <v>3757</v>
      </c>
    </row>
    <row r="1703" spans="1:3">
      <c r="A1703" s="19">
        <v>913852074</v>
      </c>
      <c r="B1703" s="19" t="s">
        <v>3758</v>
      </c>
      <c r="C1703" s="17" t="s">
        <v>3759</v>
      </c>
    </row>
    <row r="1704" spans="1:3">
      <c r="A1704" s="19">
        <v>913853543</v>
      </c>
      <c r="B1704" s="19" t="s">
        <v>3760</v>
      </c>
      <c r="C1704" s="17" t="s">
        <v>3761</v>
      </c>
    </row>
    <row r="1705" spans="1:3">
      <c r="A1705" s="19">
        <v>913853764</v>
      </c>
      <c r="B1705" s="19" t="s">
        <v>3762</v>
      </c>
      <c r="C1705" s="17" t="s">
        <v>3763</v>
      </c>
    </row>
    <row r="1706" spans="1:3">
      <c r="A1706" s="19">
        <v>913854765</v>
      </c>
      <c r="B1706" s="19" t="s">
        <v>3764</v>
      </c>
      <c r="C1706" s="17" t="s">
        <v>3765</v>
      </c>
    </row>
    <row r="1707" spans="1:3">
      <c r="A1707" s="19">
        <v>913857001</v>
      </c>
      <c r="B1707" s="19" t="s">
        <v>3766</v>
      </c>
      <c r="C1707" s="17" t="s">
        <v>3767</v>
      </c>
    </row>
    <row r="1708" spans="1:3">
      <c r="A1708" s="19">
        <v>913857898</v>
      </c>
      <c r="B1708" s="19" t="s">
        <v>3768</v>
      </c>
      <c r="C1708" s="17" t="s">
        <v>3769</v>
      </c>
    </row>
    <row r="1709" spans="1:3">
      <c r="A1709" s="19">
        <v>913857911</v>
      </c>
      <c r="B1709" s="19" t="s">
        <v>3770</v>
      </c>
      <c r="C1709" s="17" t="s">
        <v>3771</v>
      </c>
    </row>
    <row r="1710" spans="1:3">
      <c r="A1710" s="19">
        <v>913860004</v>
      </c>
      <c r="B1710" s="19" t="s">
        <v>3772</v>
      </c>
      <c r="C1710" s="17" t="s">
        <v>3773</v>
      </c>
    </row>
    <row r="1711" spans="1:3">
      <c r="A1711" s="19">
        <v>913862591</v>
      </c>
      <c r="B1711" s="19" t="s">
        <v>3774</v>
      </c>
      <c r="C1711" s="17" t="s">
        <v>3775</v>
      </c>
    </row>
    <row r="1712" spans="1:3">
      <c r="A1712" s="19">
        <v>913866998</v>
      </c>
      <c r="B1712" s="19" t="s">
        <v>3776</v>
      </c>
      <c r="C1712" s="17" t="s">
        <v>3777</v>
      </c>
    </row>
    <row r="1713" spans="1:3">
      <c r="A1713" s="19">
        <v>913867531</v>
      </c>
      <c r="B1713" s="19" t="s">
        <v>3778</v>
      </c>
      <c r="C1713" s="17" t="s">
        <v>3779</v>
      </c>
    </row>
    <row r="1714" spans="1:3">
      <c r="A1714" s="19">
        <v>913867596</v>
      </c>
      <c r="B1714" s="19" t="s">
        <v>3780</v>
      </c>
      <c r="C1714" s="17" t="s">
        <v>3781</v>
      </c>
    </row>
    <row r="1715" spans="1:3">
      <c r="A1715" s="19">
        <v>913867609</v>
      </c>
      <c r="B1715" s="19" t="s">
        <v>3782</v>
      </c>
      <c r="C1715" s="17" t="s">
        <v>3783</v>
      </c>
    </row>
    <row r="1716" spans="1:3">
      <c r="A1716" s="19">
        <v>913867622</v>
      </c>
      <c r="B1716" s="19" t="s">
        <v>3784</v>
      </c>
      <c r="C1716" s="17" t="s">
        <v>3785</v>
      </c>
    </row>
    <row r="1717" spans="1:3">
      <c r="A1717" s="19">
        <v>913867674</v>
      </c>
      <c r="B1717" s="19" t="s">
        <v>3786</v>
      </c>
      <c r="C1717" s="17" t="s">
        <v>3787</v>
      </c>
    </row>
    <row r="1718" spans="1:3">
      <c r="A1718" s="19">
        <v>913868025</v>
      </c>
      <c r="B1718" s="19" t="s">
        <v>3788</v>
      </c>
      <c r="C1718" s="17" t="s">
        <v>3789</v>
      </c>
    </row>
    <row r="1719" spans="1:3">
      <c r="A1719" s="19">
        <v>913868038</v>
      </c>
      <c r="B1719" s="19" t="s">
        <v>3790</v>
      </c>
      <c r="C1719" s="17" t="s">
        <v>3791</v>
      </c>
    </row>
    <row r="1720" spans="1:3">
      <c r="A1720" s="19">
        <v>913868129</v>
      </c>
      <c r="B1720" s="19" t="s">
        <v>3792</v>
      </c>
      <c r="C1720" s="17" t="s">
        <v>3793</v>
      </c>
    </row>
    <row r="1721" spans="1:3">
      <c r="A1721" s="19">
        <v>913868272</v>
      </c>
      <c r="B1721" s="19" t="s">
        <v>3794</v>
      </c>
      <c r="C1721" s="17" t="s">
        <v>3795</v>
      </c>
    </row>
    <row r="1722" spans="1:3">
      <c r="A1722" s="19">
        <v>913868350</v>
      </c>
      <c r="B1722" s="19" t="s">
        <v>3796</v>
      </c>
      <c r="C1722" s="17" t="s">
        <v>3797</v>
      </c>
    </row>
    <row r="1723" spans="1:3">
      <c r="A1723" s="19">
        <v>913868519</v>
      </c>
      <c r="B1723" s="19" t="s">
        <v>3798</v>
      </c>
      <c r="C1723" s="17" t="s">
        <v>3799</v>
      </c>
    </row>
    <row r="1724" spans="1:3">
      <c r="A1724" s="19">
        <v>913868571</v>
      </c>
      <c r="B1724" s="19" t="s">
        <v>3800</v>
      </c>
      <c r="C1724" s="18" t="s">
        <v>3801</v>
      </c>
    </row>
    <row r="1725" spans="1:3">
      <c r="A1725" s="19">
        <v>913869325</v>
      </c>
      <c r="B1725" s="19" t="s">
        <v>3802</v>
      </c>
      <c r="C1725" s="17" t="s">
        <v>3803</v>
      </c>
    </row>
    <row r="1726" spans="1:3">
      <c r="A1726" s="19">
        <v>913869390</v>
      </c>
      <c r="B1726" s="19" t="s">
        <v>3804</v>
      </c>
      <c r="C1726" s="17" t="s">
        <v>3805</v>
      </c>
    </row>
    <row r="1727" spans="1:3">
      <c r="A1727" s="19">
        <v>913869468</v>
      </c>
      <c r="B1727" s="19" t="s">
        <v>3806</v>
      </c>
      <c r="C1727" s="17" t="s">
        <v>3807</v>
      </c>
    </row>
    <row r="1728" spans="1:3">
      <c r="A1728" s="19">
        <v>913869494</v>
      </c>
      <c r="B1728" s="19" t="s">
        <v>3808</v>
      </c>
      <c r="C1728" s="17" t="s">
        <v>3809</v>
      </c>
    </row>
    <row r="1729" spans="1:3">
      <c r="A1729" s="19">
        <v>913869754</v>
      </c>
      <c r="B1729" s="19" t="s">
        <v>3810</v>
      </c>
      <c r="C1729" s="17" t="s">
        <v>3811</v>
      </c>
    </row>
    <row r="1730" spans="1:3">
      <c r="A1730" s="19">
        <v>913869793</v>
      </c>
      <c r="B1730" s="19" t="s">
        <v>3812</v>
      </c>
      <c r="C1730" s="17" t="s">
        <v>3813</v>
      </c>
    </row>
    <row r="1731" spans="1:3">
      <c r="A1731" s="19">
        <v>913869975</v>
      </c>
      <c r="B1731" s="19" t="s">
        <v>3814</v>
      </c>
      <c r="C1731" s="17" t="s">
        <v>3815</v>
      </c>
    </row>
    <row r="1732" spans="1:3">
      <c r="A1732" s="19">
        <v>913870235</v>
      </c>
      <c r="B1732" s="19" t="s">
        <v>3816</v>
      </c>
      <c r="C1732" s="17" t="s">
        <v>3817</v>
      </c>
    </row>
    <row r="1733" spans="1:3">
      <c r="A1733" s="19">
        <v>913870248</v>
      </c>
      <c r="B1733" s="19" t="s">
        <v>3818</v>
      </c>
      <c r="C1733" s="17" t="s">
        <v>3819</v>
      </c>
    </row>
    <row r="1734" spans="1:3">
      <c r="A1734" s="19">
        <v>913870313</v>
      </c>
      <c r="B1734" s="19" t="s">
        <v>3820</v>
      </c>
      <c r="C1734" s="17" t="s">
        <v>3821</v>
      </c>
    </row>
    <row r="1735" spans="1:3">
      <c r="A1735" s="19">
        <v>915006318</v>
      </c>
      <c r="B1735" s="19" t="s">
        <v>3822</v>
      </c>
      <c r="C1735" s="17" t="s">
        <v>3823</v>
      </c>
    </row>
    <row r="1736" spans="1:3">
      <c r="A1736" s="19">
        <v>915024284</v>
      </c>
      <c r="B1736" s="19" t="s">
        <v>3824</v>
      </c>
      <c r="C1736" s="17" t="s">
        <v>3825</v>
      </c>
    </row>
    <row r="1737" spans="1:3">
      <c r="A1737" s="19">
        <v>915033865</v>
      </c>
      <c r="B1737" s="19" t="s">
        <v>3826</v>
      </c>
      <c r="C1737" s="17" t="s">
        <v>3827</v>
      </c>
    </row>
    <row r="1738" spans="1:3">
      <c r="A1738" s="19">
        <v>915034593</v>
      </c>
      <c r="B1738" s="19" t="s">
        <v>3828</v>
      </c>
      <c r="C1738" s="17" t="s">
        <v>3829</v>
      </c>
    </row>
    <row r="1739" spans="1:3">
      <c r="A1739" s="19">
        <v>915037271</v>
      </c>
      <c r="B1739" s="19" t="s">
        <v>3830</v>
      </c>
      <c r="C1739" s="18" t="s">
        <v>3831</v>
      </c>
    </row>
    <row r="1740" spans="1:3">
      <c r="A1740" s="19">
        <v>915061464</v>
      </c>
      <c r="B1740" s="19" t="s">
        <v>3832</v>
      </c>
      <c r="C1740" s="17" t="s">
        <v>3833</v>
      </c>
    </row>
    <row r="1741" spans="1:3">
      <c r="A1741" s="19">
        <v>915064038</v>
      </c>
      <c r="B1741" s="19" t="s">
        <v>3834</v>
      </c>
      <c r="C1741" s="17" t="s">
        <v>3835</v>
      </c>
    </row>
    <row r="1742" spans="1:3">
      <c r="A1742" s="19">
        <v>915081692</v>
      </c>
      <c r="B1742" s="19" t="s">
        <v>3836</v>
      </c>
      <c r="C1742" s="17" t="s">
        <v>3837</v>
      </c>
    </row>
    <row r="1743" spans="1:3">
      <c r="A1743" s="19">
        <v>915091234</v>
      </c>
      <c r="B1743" s="19" t="s">
        <v>3838</v>
      </c>
      <c r="C1743" s="17" t="s">
        <v>3839</v>
      </c>
    </row>
    <row r="1744" spans="1:3">
      <c r="A1744" s="19">
        <v>915098033</v>
      </c>
      <c r="B1744" s="19" t="s">
        <v>3840</v>
      </c>
      <c r="C1744" s="17" t="s">
        <v>3841</v>
      </c>
    </row>
    <row r="1745" spans="1:3">
      <c r="A1745" s="19">
        <v>915133718</v>
      </c>
      <c r="B1745" s="19" t="s">
        <v>3842</v>
      </c>
      <c r="C1745" s="17" t="s">
        <v>3843</v>
      </c>
    </row>
    <row r="1746" spans="1:3">
      <c r="A1746" s="19">
        <v>915134381</v>
      </c>
      <c r="B1746" s="19" t="s">
        <v>3844</v>
      </c>
      <c r="C1746" s="17" t="s">
        <v>3845</v>
      </c>
    </row>
    <row r="1747" spans="1:3">
      <c r="A1747" s="19">
        <v>915162500</v>
      </c>
      <c r="B1747" s="19" t="s">
        <v>3846</v>
      </c>
      <c r="C1747" s="17" t="s">
        <v>3847</v>
      </c>
    </row>
    <row r="1748" spans="1:3">
      <c r="A1748" s="19">
        <v>915174356</v>
      </c>
      <c r="B1748" s="19" t="s">
        <v>3848</v>
      </c>
      <c r="C1748" s="17" t="s">
        <v>3849</v>
      </c>
    </row>
    <row r="1749" spans="1:3">
      <c r="A1749" s="19">
        <v>915175838</v>
      </c>
      <c r="B1749" s="19" t="s">
        <v>3850</v>
      </c>
      <c r="C1749" s="17" t="s">
        <v>3851</v>
      </c>
    </row>
    <row r="1750" spans="1:3">
      <c r="A1750" s="19">
        <v>915203398</v>
      </c>
      <c r="B1750" s="19" t="s">
        <v>3852</v>
      </c>
      <c r="C1750" s="17" t="s">
        <v>3853</v>
      </c>
    </row>
    <row r="1751" spans="1:3">
      <c r="A1751" s="19">
        <v>915210496</v>
      </c>
      <c r="B1751" s="19" t="s">
        <v>3854</v>
      </c>
      <c r="C1751" s="17" t="s">
        <v>3855</v>
      </c>
    </row>
    <row r="1752" spans="1:3">
      <c r="A1752" s="19">
        <v>915279903</v>
      </c>
      <c r="B1752" s="19" t="s">
        <v>3856</v>
      </c>
      <c r="C1752" s="17" t="s">
        <v>3857</v>
      </c>
    </row>
    <row r="1753" spans="1:3">
      <c r="A1753" s="19">
        <v>915299923</v>
      </c>
      <c r="B1753" s="19" t="s">
        <v>3858</v>
      </c>
      <c r="C1753" s="18" t="s">
        <v>3859</v>
      </c>
    </row>
    <row r="1754" spans="1:3">
      <c r="A1754" s="19">
        <v>915334373</v>
      </c>
      <c r="B1754" s="19" t="s">
        <v>3860</v>
      </c>
      <c r="C1754" s="17" t="s">
        <v>3861</v>
      </c>
    </row>
    <row r="1755" spans="1:3">
      <c r="A1755" s="19">
        <v>915409266</v>
      </c>
      <c r="B1755" s="19" t="s">
        <v>3862</v>
      </c>
      <c r="C1755" s="17" t="s">
        <v>3863</v>
      </c>
    </row>
    <row r="1756" spans="1:3">
      <c r="A1756" s="19">
        <v>915437515</v>
      </c>
      <c r="B1756" s="19" t="s">
        <v>3864</v>
      </c>
      <c r="C1756" s="17" t="s">
        <v>3865</v>
      </c>
    </row>
    <row r="1757" spans="1:3">
      <c r="A1757" s="19">
        <v>915445731</v>
      </c>
      <c r="B1757" s="19" t="s">
        <v>3866</v>
      </c>
      <c r="C1757" s="17" t="s">
        <v>3867</v>
      </c>
    </row>
    <row r="1758" spans="1:3">
      <c r="A1758" s="19">
        <v>915448266</v>
      </c>
      <c r="B1758" s="19" t="s">
        <v>3868</v>
      </c>
      <c r="C1758" s="17" t="s">
        <v>3869</v>
      </c>
    </row>
    <row r="1759" spans="1:3">
      <c r="A1759" s="19">
        <v>915463801</v>
      </c>
      <c r="B1759" s="19" t="s">
        <v>3870</v>
      </c>
      <c r="C1759" s="17" t="s">
        <v>3871</v>
      </c>
    </row>
    <row r="1760" spans="1:3">
      <c r="A1760" s="19">
        <v>915485810</v>
      </c>
      <c r="B1760" s="19" t="s">
        <v>3872</v>
      </c>
      <c r="C1760" s="18" t="s">
        <v>3873</v>
      </c>
    </row>
    <row r="1761" spans="1:3">
      <c r="A1761" s="19">
        <v>915565799</v>
      </c>
      <c r="B1761" s="19" t="s">
        <v>3874</v>
      </c>
      <c r="C1761" s="17" t="s">
        <v>3875</v>
      </c>
    </row>
    <row r="1762" spans="1:3">
      <c r="A1762" s="19">
        <v>915579345</v>
      </c>
      <c r="B1762" s="19" t="s">
        <v>3876</v>
      </c>
      <c r="C1762" s="17" t="s">
        <v>3877</v>
      </c>
    </row>
    <row r="1763" spans="1:3">
      <c r="A1763" s="19">
        <v>915579891</v>
      </c>
      <c r="B1763" s="19" t="s">
        <v>3878</v>
      </c>
      <c r="C1763" s="17" t="s">
        <v>3879</v>
      </c>
    </row>
    <row r="1764" spans="1:3">
      <c r="A1764" s="19">
        <v>915579930</v>
      </c>
      <c r="B1764" s="19" t="s">
        <v>3880</v>
      </c>
      <c r="C1764" s="17" t="s">
        <v>3881</v>
      </c>
    </row>
    <row r="1765" spans="1:3">
      <c r="A1765" s="19">
        <v>915583180</v>
      </c>
      <c r="B1765" s="19" t="s">
        <v>3882</v>
      </c>
      <c r="C1765" s="17" t="s">
        <v>3883</v>
      </c>
    </row>
    <row r="1766" spans="1:3">
      <c r="A1766" s="19">
        <v>915596713</v>
      </c>
      <c r="B1766" s="19" t="s">
        <v>3884</v>
      </c>
      <c r="C1766" s="17" t="s">
        <v>3885</v>
      </c>
    </row>
    <row r="1767" spans="1:3">
      <c r="A1767" s="19">
        <v>915599027</v>
      </c>
      <c r="B1767" s="19" t="s">
        <v>3886</v>
      </c>
      <c r="C1767" s="17" t="s">
        <v>3887</v>
      </c>
    </row>
    <row r="1768" spans="1:3">
      <c r="A1768" s="19">
        <v>915600067</v>
      </c>
      <c r="B1768" s="19" t="s">
        <v>3888</v>
      </c>
      <c r="C1768" s="17" t="s">
        <v>3889</v>
      </c>
    </row>
    <row r="1769" spans="1:3">
      <c r="A1769" s="19">
        <v>915601601</v>
      </c>
      <c r="B1769" s="19" t="s">
        <v>3890</v>
      </c>
      <c r="C1769" s="17" t="s">
        <v>3891</v>
      </c>
    </row>
    <row r="1770" spans="1:3">
      <c r="A1770" s="19">
        <v>915601679</v>
      </c>
      <c r="B1770" s="19" t="s">
        <v>3892</v>
      </c>
      <c r="C1770" s="17" t="s">
        <v>3893</v>
      </c>
    </row>
    <row r="1771" spans="1:3">
      <c r="A1771" s="19">
        <v>915602550</v>
      </c>
      <c r="B1771" s="19" t="s">
        <v>3894</v>
      </c>
      <c r="C1771" s="17" t="s">
        <v>3895</v>
      </c>
    </row>
    <row r="1772" spans="1:3">
      <c r="A1772" s="19">
        <v>915602862</v>
      </c>
      <c r="B1772" s="19" t="s">
        <v>3896</v>
      </c>
      <c r="C1772" s="17" t="s">
        <v>3897</v>
      </c>
    </row>
    <row r="1773" spans="1:3">
      <c r="A1773" s="19">
        <v>915604019</v>
      </c>
      <c r="B1773" s="19" t="s">
        <v>3898</v>
      </c>
      <c r="C1773" s="17" t="s">
        <v>3899</v>
      </c>
    </row>
    <row r="1774" spans="1:3">
      <c r="A1774" s="19">
        <v>915606346</v>
      </c>
      <c r="B1774" s="19" t="s">
        <v>3900</v>
      </c>
      <c r="C1774" s="17" t="s">
        <v>3901</v>
      </c>
    </row>
    <row r="1775" spans="1:3">
      <c r="A1775" s="19">
        <v>915619385</v>
      </c>
      <c r="B1775" s="19" t="s">
        <v>3902</v>
      </c>
      <c r="C1775" s="17" t="s">
        <v>3903</v>
      </c>
    </row>
    <row r="1776" spans="1:3">
      <c r="A1776" s="19">
        <v>915712036</v>
      </c>
      <c r="B1776" s="19" t="s">
        <v>3904</v>
      </c>
      <c r="C1776" s="17" t="s">
        <v>3905</v>
      </c>
    </row>
    <row r="1777" spans="1:3">
      <c r="A1777" s="19">
        <v>915733707</v>
      </c>
      <c r="B1777" s="19" t="s">
        <v>3906</v>
      </c>
      <c r="C1777" s="17" t="s">
        <v>3907</v>
      </c>
    </row>
    <row r="1778" spans="1:3">
      <c r="A1778" s="19">
        <v>915753974</v>
      </c>
      <c r="B1778" s="19" t="s">
        <v>3908</v>
      </c>
      <c r="C1778" s="17" t="s">
        <v>3909</v>
      </c>
    </row>
    <row r="1779" spans="1:3">
      <c r="A1779" s="19">
        <v>915754832</v>
      </c>
      <c r="B1779" s="19" t="s">
        <v>3910</v>
      </c>
      <c r="C1779" s="17" t="s">
        <v>3911</v>
      </c>
    </row>
    <row r="1780" spans="1:3">
      <c r="A1780" s="19">
        <v>915769470</v>
      </c>
      <c r="B1780" s="19" t="s">
        <v>3912</v>
      </c>
      <c r="C1780" s="17" t="s">
        <v>3913</v>
      </c>
    </row>
    <row r="1781" spans="1:3">
      <c r="A1781" s="19">
        <v>915769509</v>
      </c>
      <c r="B1781" s="19" t="s">
        <v>3914</v>
      </c>
      <c r="C1781" s="17" t="s">
        <v>3915</v>
      </c>
    </row>
    <row r="1782" spans="1:3">
      <c r="A1782" s="15">
        <v>915769860</v>
      </c>
      <c r="B1782" s="1" t="s">
        <v>3916</v>
      </c>
      <c r="C1782" s="20" t="s">
        <v>3917</v>
      </c>
    </row>
    <row r="1783" spans="1:3">
      <c r="A1783" s="19">
        <v>915780442</v>
      </c>
      <c r="B1783" s="19" t="s">
        <v>3918</v>
      </c>
      <c r="C1783" s="17" t="s">
        <v>3919</v>
      </c>
    </row>
    <row r="1784" spans="1:3">
      <c r="A1784" s="19">
        <v>915791973</v>
      </c>
      <c r="B1784" s="19" t="s">
        <v>3920</v>
      </c>
      <c r="C1784" s="17" t="s">
        <v>3921</v>
      </c>
    </row>
    <row r="1785" spans="1:3">
      <c r="A1785" s="19">
        <v>915794495</v>
      </c>
      <c r="B1785" s="19" t="s">
        <v>3922</v>
      </c>
      <c r="C1785" s="17" t="s">
        <v>3923</v>
      </c>
    </row>
    <row r="1786" spans="1:3">
      <c r="A1786" s="19">
        <v>915810979</v>
      </c>
      <c r="B1786" s="19" t="s">
        <v>3924</v>
      </c>
      <c r="C1786" s="17" t="s">
        <v>3925</v>
      </c>
    </row>
    <row r="1787" spans="1:3">
      <c r="A1787" s="19">
        <v>915830713</v>
      </c>
      <c r="B1787" s="19" t="s">
        <v>3926</v>
      </c>
      <c r="C1787" s="17" t="s">
        <v>3927</v>
      </c>
    </row>
    <row r="1788" spans="1:3">
      <c r="A1788" s="19">
        <v>915848250</v>
      </c>
      <c r="B1788" s="19" t="s">
        <v>3928</v>
      </c>
      <c r="C1788" s="17" t="s">
        <v>3929</v>
      </c>
    </row>
    <row r="1789" spans="1:3">
      <c r="A1789" s="19">
        <v>915848393</v>
      </c>
      <c r="B1789" s="19" t="s">
        <v>3930</v>
      </c>
      <c r="C1789" s="18" t="s">
        <v>3931</v>
      </c>
    </row>
    <row r="1790" spans="1:3">
      <c r="A1790" s="19">
        <v>915848432</v>
      </c>
      <c r="B1790" s="19" t="s">
        <v>3932</v>
      </c>
      <c r="C1790" s="17" t="s">
        <v>3933</v>
      </c>
    </row>
    <row r="1791" spans="1:3">
      <c r="A1791" s="19">
        <v>915849069</v>
      </c>
      <c r="B1791" s="19" t="s">
        <v>3934</v>
      </c>
      <c r="C1791" s="17" t="s">
        <v>3935</v>
      </c>
    </row>
    <row r="1792" spans="1:3">
      <c r="A1792" s="19">
        <v>915855647</v>
      </c>
      <c r="B1792" s="19" t="s">
        <v>3936</v>
      </c>
      <c r="C1792" s="17" t="s">
        <v>3937</v>
      </c>
    </row>
    <row r="1793" spans="1:3">
      <c r="A1793" s="19">
        <v>915881543</v>
      </c>
      <c r="B1793" s="19" t="s">
        <v>3938</v>
      </c>
      <c r="C1793" s="17" t="s">
        <v>3939</v>
      </c>
    </row>
    <row r="1794" spans="1:3">
      <c r="A1794" s="19">
        <v>915882271</v>
      </c>
      <c r="B1794" s="19" t="s">
        <v>3940</v>
      </c>
      <c r="C1794" s="17" t="s">
        <v>3941</v>
      </c>
    </row>
    <row r="1795" spans="1:3">
      <c r="A1795" s="19">
        <v>915882362</v>
      </c>
      <c r="B1795" s="19" t="s">
        <v>3942</v>
      </c>
      <c r="C1795" s="17" t="s">
        <v>3943</v>
      </c>
    </row>
    <row r="1796" spans="1:3">
      <c r="A1796" s="19">
        <v>915884234</v>
      </c>
      <c r="B1796" s="19" t="s">
        <v>3944</v>
      </c>
      <c r="C1796" s="17" t="s">
        <v>3945</v>
      </c>
    </row>
    <row r="1797" spans="1:3">
      <c r="A1797" s="19">
        <v>915888238</v>
      </c>
      <c r="B1797" s="19" t="s">
        <v>3946</v>
      </c>
      <c r="C1797" s="17" t="s">
        <v>3947</v>
      </c>
    </row>
    <row r="1798" spans="1:3">
      <c r="A1798" s="19">
        <v>915901797</v>
      </c>
      <c r="B1798" s="19" t="s">
        <v>3948</v>
      </c>
      <c r="C1798" s="17" t="s">
        <v>3949</v>
      </c>
    </row>
    <row r="1799" spans="1:3">
      <c r="A1799" s="19">
        <v>915938184</v>
      </c>
      <c r="B1799" s="19" t="s">
        <v>3950</v>
      </c>
      <c r="C1799" s="18" t="s">
        <v>3951</v>
      </c>
    </row>
    <row r="1800" spans="1:3">
      <c r="A1800" s="19">
        <v>915973739</v>
      </c>
      <c r="B1800" s="19" t="s">
        <v>3952</v>
      </c>
      <c r="C1800" s="17" t="s">
        <v>3953</v>
      </c>
    </row>
    <row r="1801" spans="1:3">
      <c r="A1801" s="19">
        <v>916008111</v>
      </c>
      <c r="B1801" s="19" t="s">
        <v>3954</v>
      </c>
      <c r="C1801" s="17" t="s">
        <v>3955</v>
      </c>
    </row>
    <row r="1802" spans="1:3">
      <c r="A1802" s="19">
        <v>916035255</v>
      </c>
      <c r="B1802" s="19" t="s">
        <v>3956</v>
      </c>
      <c r="C1802" s="17" t="s">
        <v>3957</v>
      </c>
    </row>
    <row r="1803" spans="1:3">
      <c r="A1803" s="19">
        <v>916057628</v>
      </c>
      <c r="B1803" s="19" t="s">
        <v>3958</v>
      </c>
      <c r="C1803" s="17" t="s">
        <v>3959</v>
      </c>
    </row>
    <row r="1804" spans="1:3">
      <c r="A1804" s="19">
        <v>916066429</v>
      </c>
      <c r="B1804" s="19" t="s">
        <v>3960</v>
      </c>
      <c r="C1804" s="17" t="s">
        <v>3961</v>
      </c>
    </row>
    <row r="1805" spans="1:3">
      <c r="A1805" s="19">
        <v>916067599</v>
      </c>
      <c r="B1805" s="19" t="s">
        <v>3962</v>
      </c>
      <c r="C1805" s="17" t="s">
        <v>3963</v>
      </c>
    </row>
    <row r="1806" spans="1:3">
      <c r="A1806" s="19">
        <v>916087931</v>
      </c>
      <c r="B1806" s="19" t="s">
        <v>3964</v>
      </c>
      <c r="C1806" s="17" t="s">
        <v>3965</v>
      </c>
    </row>
    <row r="1807" spans="1:3">
      <c r="A1807" s="19">
        <v>916116388</v>
      </c>
      <c r="B1807" s="19" t="s">
        <v>3966</v>
      </c>
      <c r="C1807" s="17" t="s">
        <v>3967</v>
      </c>
    </row>
    <row r="1808" spans="1:3">
      <c r="A1808" s="15">
        <v>916120717</v>
      </c>
      <c r="B1808" s="1" t="s">
        <v>3968</v>
      </c>
      <c r="C1808" s="21" t="s">
        <v>3969</v>
      </c>
    </row>
    <row r="1809" spans="1:3">
      <c r="A1809" s="19">
        <v>916150903</v>
      </c>
      <c r="B1809" s="19" t="s">
        <v>3970</v>
      </c>
      <c r="C1809" s="17" t="s">
        <v>3971</v>
      </c>
    </row>
    <row r="1810" spans="1:3">
      <c r="A1810" s="19">
        <v>916176799</v>
      </c>
      <c r="B1810" s="19" t="s">
        <v>3972</v>
      </c>
      <c r="C1810" s="17" t="s">
        <v>3973</v>
      </c>
    </row>
    <row r="1811" spans="1:3">
      <c r="A1811" s="19">
        <v>916184547</v>
      </c>
      <c r="B1811" s="19" t="s">
        <v>3974</v>
      </c>
      <c r="C1811" s="17" t="s">
        <v>3975</v>
      </c>
    </row>
    <row r="1812" spans="1:3">
      <c r="A1812" s="19">
        <v>916184677</v>
      </c>
      <c r="B1812" s="19" t="s">
        <v>3976</v>
      </c>
      <c r="C1812" s="17" t="s">
        <v>3977</v>
      </c>
    </row>
    <row r="1813" spans="1:3">
      <c r="A1813" s="19">
        <v>916189643</v>
      </c>
      <c r="B1813" s="19" t="s">
        <v>3978</v>
      </c>
      <c r="C1813" s="18" t="s">
        <v>3979</v>
      </c>
    </row>
    <row r="1814" spans="1:3">
      <c r="A1814" s="19">
        <v>916212835</v>
      </c>
      <c r="B1814" s="19" t="s">
        <v>3980</v>
      </c>
      <c r="C1814" s="17" t="s">
        <v>3981</v>
      </c>
    </row>
    <row r="1815" spans="1:3">
      <c r="A1815" s="19">
        <v>916221688</v>
      </c>
      <c r="B1815" s="19" t="s">
        <v>3982</v>
      </c>
      <c r="C1815" s="17" t="s">
        <v>3983</v>
      </c>
    </row>
    <row r="1816" spans="1:3">
      <c r="A1816" s="19">
        <v>916239576</v>
      </c>
      <c r="B1816" s="19" t="s">
        <v>3984</v>
      </c>
      <c r="C1816" s="17" t="s">
        <v>3985</v>
      </c>
    </row>
    <row r="1817" spans="1:3">
      <c r="A1817" s="19">
        <v>916268904</v>
      </c>
      <c r="B1817" s="19" t="s">
        <v>3986</v>
      </c>
      <c r="C1817" s="17" t="s">
        <v>3987</v>
      </c>
    </row>
    <row r="1818" spans="1:3">
      <c r="A1818" s="19">
        <v>916303900</v>
      </c>
      <c r="B1818" s="19" t="s">
        <v>3988</v>
      </c>
      <c r="C1818" s="17" t="s">
        <v>3989</v>
      </c>
    </row>
    <row r="1819" spans="1:3">
      <c r="A1819" s="19">
        <v>916315171</v>
      </c>
      <c r="B1819" s="19" t="s">
        <v>3990</v>
      </c>
      <c r="C1819" s="17" t="s">
        <v>3991</v>
      </c>
    </row>
    <row r="1820" spans="1:3">
      <c r="A1820" s="19">
        <v>916354002</v>
      </c>
      <c r="B1820" s="19" t="s">
        <v>3992</v>
      </c>
      <c r="C1820" s="17" t="s">
        <v>3993</v>
      </c>
    </row>
    <row r="1821" spans="1:3">
      <c r="A1821" s="19">
        <v>916354717</v>
      </c>
      <c r="B1821" s="19" t="s">
        <v>3994</v>
      </c>
      <c r="C1821" s="17" t="s">
        <v>3995</v>
      </c>
    </row>
    <row r="1822" spans="1:3">
      <c r="A1822" s="19">
        <v>916362257</v>
      </c>
      <c r="B1822" s="19" t="s">
        <v>3996</v>
      </c>
      <c r="C1822" s="17" t="s">
        <v>3997</v>
      </c>
    </row>
    <row r="1823" spans="1:3">
      <c r="A1823" s="19">
        <v>916375101</v>
      </c>
      <c r="B1823" s="19" t="s">
        <v>3998</v>
      </c>
      <c r="C1823" s="17" t="s">
        <v>3999</v>
      </c>
    </row>
    <row r="1824" spans="1:3">
      <c r="A1824" s="15">
        <v>916387555</v>
      </c>
      <c r="B1824" s="1" t="s">
        <v>4000</v>
      </c>
      <c r="C1824" s="21" t="s">
        <v>4001</v>
      </c>
    </row>
    <row r="1825" spans="1:3">
      <c r="A1825" s="19">
        <v>916401426</v>
      </c>
      <c r="B1825" s="19" t="s">
        <v>4002</v>
      </c>
      <c r="C1825" s="17" t="s">
        <v>4003</v>
      </c>
    </row>
    <row r="1826" spans="1:3">
      <c r="A1826" s="19">
        <v>916401556</v>
      </c>
      <c r="B1826" s="19" t="s">
        <v>4004</v>
      </c>
      <c r="C1826" s="17" t="s">
        <v>4005</v>
      </c>
    </row>
    <row r="1827" spans="1:3">
      <c r="A1827" s="19">
        <v>916401595</v>
      </c>
      <c r="B1827" s="19" t="s">
        <v>4006</v>
      </c>
      <c r="C1827" s="17" t="s">
        <v>4007</v>
      </c>
    </row>
    <row r="1828" spans="1:3">
      <c r="A1828" s="19">
        <v>916401673</v>
      </c>
      <c r="B1828" s="19" t="s">
        <v>4008</v>
      </c>
      <c r="C1828" s="17" t="s">
        <v>4009</v>
      </c>
    </row>
    <row r="1829" spans="1:3">
      <c r="A1829" s="19">
        <v>916402284</v>
      </c>
      <c r="B1829" s="19" t="s">
        <v>4010</v>
      </c>
      <c r="C1829" s="17" t="s">
        <v>4011</v>
      </c>
    </row>
    <row r="1830" spans="1:3">
      <c r="A1830" s="19">
        <v>916402466</v>
      </c>
      <c r="B1830" s="19" t="s">
        <v>4012</v>
      </c>
      <c r="C1830" s="17" t="s">
        <v>4013</v>
      </c>
    </row>
    <row r="1831" spans="1:3">
      <c r="A1831" s="19">
        <v>916404962</v>
      </c>
      <c r="B1831" s="19" t="s">
        <v>4014</v>
      </c>
      <c r="C1831" s="17" t="s">
        <v>4015</v>
      </c>
    </row>
    <row r="1832" spans="1:3">
      <c r="A1832" s="19">
        <v>916405287</v>
      </c>
      <c r="B1832" s="19" t="s">
        <v>4016</v>
      </c>
      <c r="C1832" s="17" t="s">
        <v>4017</v>
      </c>
    </row>
    <row r="1833" spans="1:3">
      <c r="A1833" s="19">
        <v>916406171</v>
      </c>
      <c r="B1833" s="19" t="s">
        <v>4018</v>
      </c>
      <c r="C1833" s="17" t="s">
        <v>4019</v>
      </c>
    </row>
    <row r="1834" spans="1:3">
      <c r="A1834" s="19">
        <v>916406925</v>
      </c>
      <c r="B1834" s="19" t="s">
        <v>4020</v>
      </c>
      <c r="C1834" s="17" t="s">
        <v>4021</v>
      </c>
    </row>
    <row r="1835" spans="1:3">
      <c r="A1835" s="19">
        <v>916406951</v>
      </c>
      <c r="B1835" s="19" t="s">
        <v>4022</v>
      </c>
      <c r="C1835" s="18" t="s">
        <v>4023</v>
      </c>
    </row>
    <row r="1836" spans="1:3">
      <c r="A1836" s="19">
        <v>916408303</v>
      </c>
      <c r="B1836" s="19" t="s">
        <v>4024</v>
      </c>
      <c r="C1836" s="17" t="s">
        <v>4025</v>
      </c>
    </row>
    <row r="1837" spans="1:3">
      <c r="A1837" s="19">
        <v>916410656</v>
      </c>
      <c r="B1837" s="19" t="s">
        <v>4026</v>
      </c>
      <c r="C1837" s="17" t="s">
        <v>4027</v>
      </c>
    </row>
    <row r="1838" spans="1:3">
      <c r="A1838" s="19">
        <v>916412632</v>
      </c>
      <c r="B1838" s="19" t="s">
        <v>4028</v>
      </c>
      <c r="C1838" s="17" t="s">
        <v>4029</v>
      </c>
    </row>
    <row r="1839" spans="1:3">
      <c r="A1839" s="19">
        <v>916416961</v>
      </c>
      <c r="B1839" s="19" t="s">
        <v>4030</v>
      </c>
      <c r="C1839" s="17" t="s">
        <v>4031</v>
      </c>
    </row>
    <row r="1840" spans="1:3">
      <c r="A1840" s="19">
        <v>916417702</v>
      </c>
      <c r="B1840" s="19" t="s">
        <v>4032</v>
      </c>
      <c r="C1840" s="17" t="s">
        <v>4033</v>
      </c>
    </row>
    <row r="1841" spans="1:3">
      <c r="A1841" s="19">
        <v>916417793</v>
      </c>
      <c r="B1841" s="19" t="s">
        <v>4034</v>
      </c>
      <c r="C1841" s="17" t="s">
        <v>4035</v>
      </c>
    </row>
    <row r="1842" spans="1:3">
      <c r="A1842" s="19">
        <v>916429558</v>
      </c>
      <c r="B1842" s="19" t="s">
        <v>4036</v>
      </c>
      <c r="C1842" s="17" t="s">
        <v>4037</v>
      </c>
    </row>
    <row r="1843" spans="1:3">
      <c r="A1843" s="19">
        <v>916431170</v>
      </c>
      <c r="B1843" s="19" t="s">
        <v>4038</v>
      </c>
      <c r="C1843" s="17" t="s">
        <v>4039</v>
      </c>
    </row>
    <row r="1844" spans="1:3">
      <c r="A1844" s="19">
        <v>916431573</v>
      </c>
      <c r="B1844" s="19" t="s">
        <v>4040</v>
      </c>
      <c r="C1844" s="17" t="s">
        <v>4041</v>
      </c>
    </row>
    <row r="1845" spans="1:3">
      <c r="A1845" s="19">
        <v>916432314</v>
      </c>
      <c r="B1845" s="19" t="s">
        <v>4042</v>
      </c>
      <c r="C1845" s="17" t="s">
        <v>4043</v>
      </c>
    </row>
    <row r="1846" spans="1:3">
      <c r="A1846" s="19">
        <v>916434901</v>
      </c>
      <c r="B1846" s="19" t="s">
        <v>4044</v>
      </c>
      <c r="C1846" s="17" t="s">
        <v>4045</v>
      </c>
    </row>
    <row r="1847" spans="1:3">
      <c r="A1847" s="19">
        <v>916436448</v>
      </c>
      <c r="B1847" s="19" t="s">
        <v>4046</v>
      </c>
      <c r="C1847" s="17" t="s">
        <v>4047</v>
      </c>
    </row>
    <row r="1848" spans="1:3">
      <c r="A1848" s="19">
        <v>916437072</v>
      </c>
      <c r="B1848" s="19" t="s">
        <v>4048</v>
      </c>
      <c r="C1848" s="17" t="s">
        <v>4049</v>
      </c>
    </row>
    <row r="1849" spans="1:3">
      <c r="A1849" s="19">
        <v>916448980</v>
      </c>
      <c r="B1849" s="19" t="s">
        <v>4050</v>
      </c>
      <c r="C1849" s="17" t="s">
        <v>4051</v>
      </c>
    </row>
    <row r="1850" spans="1:3">
      <c r="A1850" s="19">
        <v>916449344</v>
      </c>
      <c r="B1850" s="19" t="s">
        <v>4052</v>
      </c>
      <c r="C1850" s="17" t="s">
        <v>4053</v>
      </c>
    </row>
    <row r="1851" spans="1:3">
      <c r="A1851" s="19">
        <v>916449409</v>
      </c>
      <c r="B1851" s="19" t="s">
        <v>4054</v>
      </c>
      <c r="C1851" s="17" t="s">
        <v>4055</v>
      </c>
    </row>
    <row r="1852" spans="1:3">
      <c r="A1852" s="19">
        <v>916449864</v>
      </c>
      <c r="B1852" s="19" t="s">
        <v>4056</v>
      </c>
      <c r="C1852" s="17" t="s">
        <v>4057</v>
      </c>
    </row>
    <row r="1853" spans="1:3">
      <c r="A1853" s="19">
        <v>916449877</v>
      </c>
      <c r="B1853" s="19" t="s">
        <v>4058</v>
      </c>
      <c r="C1853" s="17" t="s">
        <v>4059</v>
      </c>
    </row>
    <row r="1854" spans="1:3">
      <c r="A1854" s="19">
        <v>916459029</v>
      </c>
      <c r="B1854" s="19" t="s">
        <v>4060</v>
      </c>
      <c r="C1854" s="17" t="s">
        <v>4061</v>
      </c>
    </row>
    <row r="1855" spans="1:3">
      <c r="A1855" s="19">
        <v>916465425</v>
      </c>
      <c r="B1855" s="19" t="s">
        <v>4062</v>
      </c>
      <c r="C1855" s="17" t="s">
        <v>4063</v>
      </c>
    </row>
    <row r="1856" spans="1:3">
      <c r="A1856" s="19">
        <v>916466504</v>
      </c>
      <c r="B1856" s="19" t="s">
        <v>4064</v>
      </c>
      <c r="C1856" s="17" t="s">
        <v>4065</v>
      </c>
    </row>
    <row r="1857" spans="1:3">
      <c r="A1857" s="19">
        <v>916466569</v>
      </c>
      <c r="B1857" s="19" t="s">
        <v>4066</v>
      </c>
      <c r="C1857" s="17" t="s">
        <v>4067</v>
      </c>
    </row>
    <row r="1858" spans="1:3">
      <c r="A1858" s="19">
        <v>916467648</v>
      </c>
      <c r="B1858" s="19" t="s">
        <v>4068</v>
      </c>
      <c r="C1858" s="17" t="s">
        <v>4069</v>
      </c>
    </row>
    <row r="1859" spans="1:3">
      <c r="A1859" s="19">
        <v>916467726</v>
      </c>
      <c r="B1859" s="19" t="s">
        <v>4070</v>
      </c>
      <c r="C1859" s="17" t="s">
        <v>4071</v>
      </c>
    </row>
    <row r="1860" spans="1:3">
      <c r="A1860" s="19">
        <v>916468441</v>
      </c>
      <c r="B1860" s="19" t="s">
        <v>4072</v>
      </c>
      <c r="C1860" s="17" t="s">
        <v>4073</v>
      </c>
    </row>
    <row r="1861" spans="1:3">
      <c r="A1861" s="19">
        <v>916470638</v>
      </c>
      <c r="B1861" s="19" t="s">
        <v>4074</v>
      </c>
      <c r="C1861" s="17" t="s">
        <v>4075</v>
      </c>
    </row>
    <row r="1862" spans="1:3">
      <c r="A1862" s="19">
        <v>916472354</v>
      </c>
      <c r="B1862" s="19" t="s">
        <v>4076</v>
      </c>
      <c r="C1862" s="17" t="s">
        <v>4077</v>
      </c>
    </row>
    <row r="1863" spans="1:3">
      <c r="A1863" s="19">
        <v>916472744</v>
      </c>
      <c r="B1863" s="19" t="s">
        <v>4078</v>
      </c>
      <c r="C1863" s="17" t="s">
        <v>4079</v>
      </c>
    </row>
    <row r="1864" spans="1:3">
      <c r="A1864" s="19">
        <v>916473160</v>
      </c>
      <c r="B1864" s="19" t="s">
        <v>4080</v>
      </c>
      <c r="C1864" s="17" t="s">
        <v>4081</v>
      </c>
    </row>
    <row r="1865" spans="1:3">
      <c r="A1865" s="19">
        <v>916474135</v>
      </c>
      <c r="B1865" s="19" t="s">
        <v>4082</v>
      </c>
      <c r="C1865" s="17" t="s">
        <v>4083</v>
      </c>
    </row>
    <row r="1866" spans="1:3">
      <c r="A1866" s="19">
        <v>916474148</v>
      </c>
      <c r="B1866" s="19" t="s">
        <v>4084</v>
      </c>
      <c r="C1866" s="18" t="s">
        <v>4085</v>
      </c>
    </row>
    <row r="1867" spans="1:3">
      <c r="A1867" s="19">
        <v>916474577</v>
      </c>
      <c r="B1867" s="19" t="s">
        <v>4086</v>
      </c>
      <c r="C1867" s="17" t="s">
        <v>4087</v>
      </c>
    </row>
    <row r="1868" spans="1:3">
      <c r="A1868" s="19">
        <v>916475383</v>
      </c>
      <c r="B1868" s="19" t="s">
        <v>4088</v>
      </c>
      <c r="C1868" s="17" t="s">
        <v>4089</v>
      </c>
    </row>
    <row r="1869" spans="1:3">
      <c r="A1869" s="19">
        <v>916477996</v>
      </c>
      <c r="B1869" s="19" t="s">
        <v>4090</v>
      </c>
      <c r="C1869" s="17" t="s">
        <v>4091</v>
      </c>
    </row>
    <row r="1870" spans="1:3">
      <c r="A1870" s="19">
        <v>916478035</v>
      </c>
      <c r="B1870" s="19" t="s">
        <v>4092</v>
      </c>
      <c r="C1870" s="17" t="s">
        <v>4093</v>
      </c>
    </row>
    <row r="1871" spans="1:3">
      <c r="A1871" s="19">
        <v>916478074</v>
      </c>
      <c r="B1871" s="19" t="s">
        <v>4094</v>
      </c>
      <c r="C1871" s="17" t="s">
        <v>4095</v>
      </c>
    </row>
    <row r="1872" spans="1:3">
      <c r="A1872" s="19">
        <v>916478815</v>
      </c>
      <c r="B1872" s="19" t="s">
        <v>4096</v>
      </c>
      <c r="C1872" s="17" t="s">
        <v>4097</v>
      </c>
    </row>
    <row r="1873" spans="1:3">
      <c r="A1873" s="19">
        <v>916479400</v>
      </c>
      <c r="B1873" s="19" t="s">
        <v>4098</v>
      </c>
      <c r="C1873" s="17" t="s">
        <v>4099</v>
      </c>
    </row>
    <row r="1874" spans="1:3">
      <c r="A1874" s="19">
        <v>916479426</v>
      </c>
      <c r="B1874" s="19" t="s">
        <v>4100</v>
      </c>
      <c r="C1874" s="17" t="s">
        <v>4101</v>
      </c>
    </row>
    <row r="1875" spans="1:3">
      <c r="A1875" s="19">
        <v>916479452</v>
      </c>
      <c r="B1875" s="19" t="s">
        <v>4102</v>
      </c>
      <c r="C1875" s="17" t="s">
        <v>4103</v>
      </c>
    </row>
    <row r="1876" spans="1:3">
      <c r="A1876" s="19">
        <v>916479790</v>
      </c>
      <c r="B1876" s="19" t="s">
        <v>4104</v>
      </c>
      <c r="C1876" s="17" t="s">
        <v>4105</v>
      </c>
    </row>
    <row r="1877" spans="1:3">
      <c r="A1877" s="19">
        <v>916479803</v>
      </c>
      <c r="B1877" s="19" t="s">
        <v>4106</v>
      </c>
      <c r="C1877" s="17" t="s">
        <v>4107</v>
      </c>
    </row>
    <row r="1878" spans="1:3">
      <c r="A1878" s="19">
        <v>916480063</v>
      </c>
      <c r="B1878" s="19" t="s">
        <v>4108</v>
      </c>
      <c r="C1878" s="17" t="s">
        <v>4109</v>
      </c>
    </row>
    <row r="1879" spans="1:3">
      <c r="A1879" s="19">
        <v>916480310</v>
      </c>
      <c r="B1879" s="19" t="s">
        <v>4110</v>
      </c>
      <c r="C1879" s="17" t="s">
        <v>4111</v>
      </c>
    </row>
    <row r="1880" spans="1:3">
      <c r="A1880" s="19">
        <v>916481506</v>
      </c>
      <c r="B1880" s="19" t="s">
        <v>4112</v>
      </c>
      <c r="C1880" s="17" t="s">
        <v>4113</v>
      </c>
    </row>
    <row r="1881" spans="1:3">
      <c r="A1881" s="19">
        <v>916481571</v>
      </c>
      <c r="B1881" s="19" t="s">
        <v>4114</v>
      </c>
      <c r="C1881" s="17" t="s">
        <v>4115</v>
      </c>
    </row>
    <row r="1882" spans="1:3">
      <c r="A1882" s="19">
        <v>916482637</v>
      </c>
      <c r="B1882" s="19" t="s">
        <v>4116</v>
      </c>
      <c r="C1882" s="18" t="s">
        <v>4117</v>
      </c>
    </row>
    <row r="1883" spans="1:3">
      <c r="A1883" s="19">
        <v>916482936</v>
      </c>
      <c r="B1883" s="19" t="s">
        <v>4118</v>
      </c>
      <c r="C1883" s="17" t="s">
        <v>4119</v>
      </c>
    </row>
    <row r="1884" spans="1:3">
      <c r="A1884" s="19">
        <v>916483521</v>
      </c>
      <c r="B1884" s="19" t="s">
        <v>4120</v>
      </c>
      <c r="C1884" s="17" t="s">
        <v>4121</v>
      </c>
    </row>
    <row r="1885" spans="1:3">
      <c r="A1885" s="19">
        <v>916483989</v>
      </c>
      <c r="B1885" s="19" t="s">
        <v>4122</v>
      </c>
      <c r="C1885" s="17" t="s">
        <v>4123</v>
      </c>
    </row>
    <row r="1886" spans="1:3">
      <c r="A1886" s="19">
        <v>916485718</v>
      </c>
      <c r="B1886" s="19" t="s">
        <v>4124</v>
      </c>
      <c r="C1886" s="17" t="s">
        <v>4125</v>
      </c>
    </row>
    <row r="1887" spans="1:3">
      <c r="A1887" s="19">
        <v>916487005</v>
      </c>
      <c r="B1887" s="19" t="s">
        <v>4126</v>
      </c>
      <c r="C1887" s="17" t="s">
        <v>4127</v>
      </c>
    </row>
    <row r="1888" spans="1:3">
      <c r="A1888" s="19">
        <v>916488266</v>
      </c>
      <c r="B1888" s="19" t="s">
        <v>4128</v>
      </c>
      <c r="C1888" s="17" t="s">
        <v>4129</v>
      </c>
    </row>
    <row r="1889" spans="1:3">
      <c r="A1889" s="19">
        <v>916488929</v>
      </c>
      <c r="B1889" s="19" t="s">
        <v>4130</v>
      </c>
      <c r="C1889" s="17" t="s">
        <v>4131</v>
      </c>
    </row>
    <row r="1890" spans="1:3">
      <c r="A1890" s="19">
        <v>916490580</v>
      </c>
      <c r="B1890" s="19" t="s">
        <v>4132</v>
      </c>
      <c r="C1890" s="17" t="s">
        <v>4133</v>
      </c>
    </row>
    <row r="1891" spans="1:3">
      <c r="A1891" s="19">
        <v>916490853</v>
      </c>
      <c r="B1891" s="19" t="s">
        <v>4134</v>
      </c>
      <c r="C1891" s="17" t="s">
        <v>4135</v>
      </c>
    </row>
    <row r="1892" spans="1:3">
      <c r="A1892" s="19">
        <v>916491685</v>
      </c>
      <c r="B1892" s="19" t="s">
        <v>4136</v>
      </c>
      <c r="C1892" s="17" t="s">
        <v>4137</v>
      </c>
    </row>
    <row r="1893" spans="1:3">
      <c r="A1893" s="19">
        <v>916492127</v>
      </c>
      <c r="B1893" s="19" t="s">
        <v>4138</v>
      </c>
      <c r="C1893" s="17" t="s">
        <v>4139</v>
      </c>
    </row>
    <row r="1894" spans="1:3">
      <c r="A1894" s="19">
        <v>916496924</v>
      </c>
      <c r="B1894" s="19" t="s">
        <v>4140</v>
      </c>
      <c r="C1894" s="17" t="s">
        <v>4141</v>
      </c>
    </row>
    <row r="1895" spans="1:3">
      <c r="A1895" s="19">
        <v>916497938</v>
      </c>
      <c r="B1895" s="19" t="s">
        <v>4142</v>
      </c>
      <c r="C1895" s="17" t="s">
        <v>4143</v>
      </c>
    </row>
    <row r="1896" spans="1:3">
      <c r="A1896" s="19">
        <v>916498458</v>
      </c>
      <c r="B1896" s="19" t="s">
        <v>4144</v>
      </c>
      <c r="C1896" s="17" t="s">
        <v>4145</v>
      </c>
    </row>
    <row r="1897" spans="1:3">
      <c r="A1897" s="19">
        <v>916499095</v>
      </c>
      <c r="B1897" s="19" t="s">
        <v>4146</v>
      </c>
      <c r="C1897" s="17" t="s">
        <v>4147</v>
      </c>
    </row>
    <row r="1898" spans="1:3">
      <c r="A1898" s="19">
        <v>916500733</v>
      </c>
      <c r="B1898" s="19" t="s">
        <v>4148</v>
      </c>
      <c r="C1898" s="17" t="s">
        <v>4149</v>
      </c>
    </row>
    <row r="1899" spans="1:3">
      <c r="A1899" s="19">
        <v>916502033</v>
      </c>
      <c r="B1899" s="19" t="s">
        <v>4150</v>
      </c>
      <c r="C1899" s="17" t="s">
        <v>4151</v>
      </c>
    </row>
    <row r="1900" spans="1:3">
      <c r="A1900" s="19">
        <v>916502202</v>
      </c>
      <c r="B1900" s="19" t="s">
        <v>4152</v>
      </c>
      <c r="C1900" s="17" t="s">
        <v>4153</v>
      </c>
    </row>
    <row r="1901" spans="1:3">
      <c r="A1901" s="19">
        <v>916502384</v>
      </c>
      <c r="B1901" s="19" t="s">
        <v>4154</v>
      </c>
      <c r="C1901" s="17" t="s">
        <v>4155</v>
      </c>
    </row>
    <row r="1902" spans="1:3">
      <c r="A1902" s="19">
        <v>916504698</v>
      </c>
      <c r="B1902" s="19" t="s">
        <v>4156</v>
      </c>
      <c r="C1902" s="17" t="s">
        <v>4157</v>
      </c>
    </row>
    <row r="1903" spans="1:3">
      <c r="A1903" s="19">
        <v>916506076</v>
      </c>
      <c r="B1903" s="19" t="s">
        <v>4158</v>
      </c>
      <c r="C1903" s="17" t="s">
        <v>4159</v>
      </c>
    </row>
    <row r="1904" spans="1:3">
      <c r="A1904" s="19">
        <v>916516138</v>
      </c>
      <c r="B1904" s="19" t="s">
        <v>4160</v>
      </c>
      <c r="C1904" s="17" t="s">
        <v>4161</v>
      </c>
    </row>
    <row r="1905" spans="1:3">
      <c r="A1905" s="19">
        <v>916516424</v>
      </c>
      <c r="B1905" s="19" t="s">
        <v>4162</v>
      </c>
      <c r="C1905" s="17" t="s">
        <v>4163</v>
      </c>
    </row>
    <row r="1906" spans="1:3">
      <c r="A1906" s="19">
        <v>916518166</v>
      </c>
      <c r="B1906" s="19" t="s">
        <v>4164</v>
      </c>
      <c r="C1906" s="17" t="s">
        <v>4165</v>
      </c>
    </row>
    <row r="1907" spans="1:3">
      <c r="A1907" s="19">
        <v>916524276</v>
      </c>
      <c r="B1907" s="19" t="s">
        <v>4166</v>
      </c>
      <c r="C1907" s="17" t="s">
        <v>4167</v>
      </c>
    </row>
    <row r="1908" spans="1:3">
      <c r="A1908" s="15">
        <v>916538979</v>
      </c>
      <c r="B1908" s="1" t="s">
        <v>4168</v>
      </c>
      <c r="C1908" s="18" t="s">
        <v>4169</v>
      </c>
    </row>
    <row r="1909" spans="1:3">
      <c r="A1909" s="19">
        <v>916542229</v>
      </c>
      <c r="B1909" s="19" t="s">
        <v>4170</v>
      </c>
      <c r="C1909" s="17" t="s">
        <v>4171</v>
      </c>
    </row>
    <row r="1910" spans="1:3">
      <c r="A1910" s="19">
        <v>916543789</v>
      </c>
      <c r="B1910" s="19" t="s">
        <v>4172</v>
      </c>
      <c r="C1910" s="17" t="s">
        <v>4173</v>
      </c>
    </row>
    <row r="1911" spans="1:3">
      <c r="A1911" s="19">
        <v>916543971</v>
      </c>
      <c r="B1911" s="19" t="s">
        <v>4174</v>
      </c>
      <c r="C1911" s="17" t="s">
        <v>4175</v>
      </c>
    </row>
    <row r="1912" spans="1:3">
      <c r="A1912" s="19">
        <v>916545869</v>
      </c>
      <c r="B1912" s="19" t="s">
        <v>4176</v>
      </c>
      <c r="C1912" s="17" t="s">
        <v>4177</v>
      </c>
    </row>
    <row r="1913" spans="1:3">
      <c r="A1913" s="19">
        <v>916579877</v>
      </c>
      <c r="B1913" s="19" t="s">
        <v>4178</v>
      </c>
      <c r="C1913" s="17" t="s">
        <v>4179</v>
      </c>
    </row>
    <row r="1914" spans="1:3">
      <c r="A1914" s="19">
        <v>916619059</v>
      </c>
      <c r="B1914" s="19" t="s">
        <v>4180</v>
      </c>
      <c r="C1914" s="17" t="s">
        <v>4181</v>
      </c>
    </row>
    <row r="1915" spans="1:3">
      <c r="A1915" s="19">
        <v>916625884</v>
      </c>
      <c r="B1915" s="19" t="s">
        <v>4182</v>
      </c>
      <c r="C1915" s="17" t="s">
        <v>4183</v>
      </c>
    </row>
    <row r="1916" spans="1:3">
      <c r="A1916" s="19">
        <v>916642264</v>
      </c>
      <c r="B1916" s="19" t="s">
        <v>4184</v>
      </c>
      <c r="C1916" s="17" t="s">
        <v>4185</v>
      </c>
    </row>
    <row r="1917" spans="1:3">
      <c r="A1917" s="19">
        <v>916646658</v>
      </c>
      <c r="B1917" s="19" t="s">
        <v>4186</v>
      </c>
      <c r="C1917" s="17" t="s">
        <v>4187</v>
      </c>
    </row>
    <row r="1918" spans="1:3">
      <c r="A1918" s="15">
        <v>916646788</v>
      </c>
      <c r="B1918" s="1" t="s">
        <v>4188</v>
      </c>
      <c r="C1918" s="18" t="s">
        <v>4189</v>
      </c>
    </row>
    <row r="1919" spans="1:3">
      <c r="A1919" s="19">
        <v>916652235</v>
      </c>
      <c r="B1919" s="19" t="s">
        <v>4190</v>
      </c>
      <c r="C1919" s="17" t="s">
        <v>4191</v>
      </c>
    </row>
    <row r="1920" spans="1:3">
      <c r="A1920" s="19">
        <v>916729988</v>
      </c>
      <c r="B1920" s="19" t="s">
        <v>4192</v>
      </c>
      <c r="C1920" s="17" t="s">
        <v>4193</v>
      </c>
    </row>
    <row r="1921" spans="1:3">
      <c r="A1921" s="11">
        <v>916733680</v>
      </c>
      <c r="B1921" s="11" t="s">
        <v>4194</v>
      </c>
      <c r="C1921" s="18" t="s">
        <v>4195</v>
      </c>
    </row>
    <row r="1922" spans="1:3">
      <c r="A1922" s="19">
        <v>916742156</v>
      </c>
      <c r="B1922" s="19" t="s">
        <v>4196</v>
      </c>
      <c r="C1922" s="17" t="s">
        <v>4197</v>
      </c>
    </row>
    <row r="1923" spans="1:3">
      <c r="A1923" s="19">
        <v>916746004</v>
      </c>
      <c r="B1923" s="19" t="s">
        <v>4198</v>
      </c>
      <c r="C1923" s="17" t="s">
        <v>4199</v>
      </c>
    </row>
    <row r="1924" spans="1:3">
      <c r="A1924" s="19">
        <v>916753557</v>
      </c>
      <c r="B1924" s="19" t="s">
        <v>4200</v>
      </c>
      <c r="C1924" s="17" t="s">
        <v>4201</v>
      </c>
    </row>
    <row r="1925" spans="1:3">
      <c r="A1925" s="19">
        <v>916757548</v>
      </c>
      <c r="B1925" s="19" t="s">
        <v>4202</v>
      </c>
      <c r="C1925" s="17" t="s">
        <v>4203</v>
      </c>
    </row>
    <row r="1926" spans="1:3">
      <c r="A1926" s="19">
        <v>916784770</v>
      </c>
      <c r="B1926" s="19" t="s">
        <v>4204</v>
      </c>
      <c r="C1926" s="17" t="s">
        <v>4205</v>
      </c>
    </row>
    <row r="1927" spans="1:3">
      <c r="A1927" s="19">
        <v>916811940</v>
      </c>
      <c r="B1927" s="19" t="s">
        <v>4206</v>
      </c>
      <c r="C1927" s="17" t="s">
        <v>4207</v>
      </c>
    </row>
    <row r="1928" spans="1:3">
      <c r="A1928" s="19">
        <v>916812096</v>
      </c>
      <c r="B1928" s="19" t="s">
        <v>4208</v>
      </c>
      <c r="C1928" s="17" t="s">
        <v>4209</v>
      </c>
    </row>
    <row r="1929" spans="1:3">
      <c r="A1929" s="19">
        <v>916845896</v>
      </c>
      <c r="B1929" s="19" t="s">
        <v>4210</v>
      </c>
      <c r="C1929" s="18" t="s">
        <v>4211</v>
      </c>
    </row>
    <row r="1930" spans="1:3">
      <c r="A1930" s="19">
        <v>916851330</v>
      </c>
      <c r="B1930" s="19" t="s">
        <v>4212</v>
      </c>
      <c r="C1930" s="17" t="s">
        <v>4213</v>
      </c>
    </row>
    <row r="1931" spans="1:3">
      <c r="A1931" s="19">
        <v>916942057</v>
      </c>
      <c r="B1931" s="19" t="s">
        <v>4214</v>
      </c>
      <c r="C1931" s="17" t="s">
        <v>4215</v>
      </c>
    </row>
    <row r="1932" spans="1:3">
      <c r="A1932" s="19">
        <v>916946126</v>
      </c>
      <c r="B1932" s="19" t="s">
        <v>4216</v>
      </c>
      <c r="C1932" s="18" t="s">
        <v>4217</v>
      </c>
    </row>
    <row r="1933" spans="1:3">
      <c r="A1933" s="19">
        <v>916948206</v>
      </c>
      <c r="B1933" s="19" t="s">
        <v>4218</v>
      </c>
      <c r="C1933" s="18" t="s">
        <v>4219</v>
      </c>
    </row>
    <row r="1934" spans="1:3">
      <c r="A1934" s="19">
        <v>916962662</v>
      </c>
      <c r="B1934" s="19" t="s">
        <v>4220</v>
      </c>
      <c r="C1934" s="17" t="s">
        <v>4221</v>
      </c>
    </row>
    <row r="1935" spans="1:3">
      <c r="A1935" s="19">
        <v>917032160</v>
      </c>
      <c r="B1935" s="19" t="s">
        <v>4222</v>
      </c>
      <c r="C1935" s="17" t="s">
        <v>4223</v>
      </c>
    </row>
    <row r="1936" spans="1:3">
      <c r="A1936" s="19">
        <v>917075008</v>
      </c>
      <c r="B1936" s="19" t="s">
        <v>4224</v>
      </c>
      <c r="C1936" s="17" t="s">
        <v>4225</v>
      </c>
    </row>
    <row r="1937" spans="1:3">
      <c r="A1937" s="19">
        <v>917117336</v>
      </c>
      <c r="B1937" s="19" t="s">
        <v>4226</v>
      </c>
      <c r="C1937" s="17" t="s">
        <v>4227</v>
      </c>
    </row>
    <row r="1938" spans="1:3">
      <c r="A1938" s="19">
        <v>917131207</v>
      </c>
      <c r="B1938" s="19" t="s">
        <v>4228</v>
      </c>
      <c r="C1938" s="17" t="s">
        <v>4229</v>
      </c>
    </row>
    <row r="1939" spans="1:3">
      <c r="A1939" s="19">
        <v>917158819</v>
      </c>
      <c r="B1939" s="19" t="s">
        <v>4230</v>
      </c>
      <c r="C1939" s="18" t="s">
        <v>4231</v>
      </c>
    </row>
    <row r="1940" spans="1:3">
      <c r="A1940" s="19">
        <v>917163928</v>
      </c>
      <c r="B1940" s="19" t="s">
        <v>4232</v>
      </c>
      <c r="C1940" s="17" t="s">
        <v>4233</v>
      </c>
    </row>
    <row r="1941" spans="1:3">
      <c r="A1941" s="19">
        <v>917166346</v>
      </c>
      <c r="B1941" s="19" t="s">
        <v>4234</v>
      </c>
      <c r="C1941" s="17" t="s">
        <v>4235</v>
      </c>
    </row>
    <row r="1942" spans="1:3">
      <c r="A1942" s="19">
        <v>917166775</v>
      </c>
      <c r="B1942" s="19" t="s">
        <v>4236</v>
      </c>
      <c r="C1942" s="17" t="s">
        <v>4237</v>
      </c>
    </row>
    <row r="1943" spans="1:3">
      <c r="A1943" s="19">
        <v>917167503</v>
      </c>
      <c r="B1943" s="19" t="s">
        <v>4238</v>
      </c>
      <c r="C1943" s="17" t="s">
        <v>4239</v>
      </c>
    </row>
    <row r="1944" spans="1:3">
      <c r="A1944" s="19">
        <v>917169336</v>
      </c>
      <c r="B1944" s="19" t="s">
        <v>4240</v>
      </c>
      <c r="C1944" s="17" t="s">
        <v>4241</v>
      </c>
    </row>
    <row r="1945" spans="1:3">
      <c r="A1945" s="19">
        <v>917170168</v>
      </c>
      <c r="B1945" s="19" t="s">
        <v>4242</v>
      </c>
      <c r="C1945" s="18" t="s">
        <v>4243</v>
      </c>
    </row>
    <row r="1946" spans="1:3">
      <c r="A1946" s="19">
        <v>917173080</v>
      </c>
      <c r="B1946" s="19" t="s">
        <v>4244</v>
      </c>
      <c r="C1946" s="17" t="s">
        <v>4245</v>
      </c>
    </row>
    <row r="1947" spans="1:3">
      <c r="A1947" s="19">
        <v>917175160</v>
      </c>
      <c r="B1947" s="19" t="s">
        <v>4246</v>
      </c>
      <c r="C1947" s="17" t="s">
        <v>4247</v>
      </c>
    </row>
    <row r="1948" spans="1:3">
      <c r="A1948" s="19">
        <v>917176863</v>
      </c>
      <c r="B1948" s="19" t="s">
        <v>4248</v>
      </c>
      <c r="C1948" s="17" t="s">
        <v>4249</v>
      </c>
    </row>
    <row r="1949" spans="1:3">
      <c r="A1949" s="19">
        <v>917177045</v>
      </c>
      <c r="B1949" s="19" t="s">
        <v>4250</v>
      </c>
      <c r="C1949" s="17" t="s">
        <v>4251</v>
      </c>
    </row>
    <row r="1950" spans="1:3">
      <c r="A1950" s="19">
        <v>917179814</v>
      </c>
      <c r="B1950" s="19" t="s">
        <v>4252</v>
      </c>
      <c r="C1950" s="17" t="s">
        <v>4253</v>
      </c>
    </row>
    <row r="1951" spans="1:3">
      <c r="A1951" s="19">
        <v>917180607</v>
      </c>
      <c r="B1951" s="19" t="s">
        <v>4254</v>
      </c>
      <c r="C1951" s="17" t="s">
        <v>4255</v>
      </c>
    </row>
    <row r="1952" spans="1:3">
      <c r="A1952" s="19">
        <v>917182843</v>
      </c>
      <c r="B1952" s="19" t="s">
        <v>4256</v>
      </c>
      <c r="C1952" s="17" t="s">
        <v>4257</v>
      </c>
    </row>
    <row r="1953" spans="1:3">
      <c r="A1953" s="19">
        <v>917183233</v>
      </c>
      <c r="B1953" s="19" t="s">
        <v>4258</v>
      </c>
      <c r="C1953" s="17" t="s">
        <v>4259</v>
      </c>
    </row>
    <row r="1954" spans="1:3">
      <c r="A1954" s="19">
        <v>917185313</v>
      </c>
      <c r="B1954" s="19" t="s">
        <v>4260</v>
      </c>
      <c r="C1954" s="17" t="s">
        <v>4261</v>
      </c>
    </row>
    <row r="1955" spans="1:3">
      <c r="A1955" s="19">
        <v>917186158</v>
      </c>
      <c r="B1955" s="19" t="s">
        <v>4262</v>
      </c>
      <c r="C1955" s="17" t="s">
        <v>4263</v>
      </c>
    </row>
    <row r="1956" spans="1:3">
      <c r="A1956" s="19">
        <v>917187913</v>
      </c>
      <c r="B1956" s="19" t="s">
        <v>4264</v>
      </c>
      <c r="C1956" s="17" t="s">
        <v>4265</v>
      </c>
    </row>
    <row r="1957" spans="1:3">
      <c r="A1957" s="19">
        <v>917187952</v>
      </c>
      <c r="B1957" s="19" t="s">
        <v>4266</v>
      </c>
      <c r="C1957" s="17" t="s">
        <v>4267</v>
      </c>
    </row>
    <row r="1958" spans="1:3">
      <c r="A1958" s="19">
        <v>917188264</v>
      </c>
      <c r="B1958" s="19" t="s">
        <v>4268</v>
      </c>
      <c r="C1958" s="17" t="s">
        <v>4269</v>
      </c>
    </row>
    <row r="1959" spans="1:3">
      <c r="A1959" s="19">
        <v>917189525</v>
      </c>
      <c r="B1959" s="19" t="s">
        <v>4270</v>
      </c>
      <c r="C1959" s="17" t="s">
        <v>4271</v>
      </c>
    </row>
    <row r="1960" spans="1:3">
      <c r="A1960" s="15">
        <v>917190955</v>
      </c>
      <c r="B1960" s="16" t="s">
        <v>4272</v>
      </c>
      <c r="C1960" s="18" t="s">
        <v>4273</v>
      </c>
    </row>
    <row r="1961" spans="1:3">
      <c r="A1961" s="19">
        <v>917192099</v>
      </c>
      <c r="B1961" s="19" t="s">
        <v>4274</v>
      </c>
      <c r="C1961" s="17" t="s">
        <v>4275</v>
      </c>
    </row>
    <row r="1962" spans="1:3">
      <c r="A1962" s="19">
        <v>917193490</v>
      </c>
      <c r="B1962" s="19" t="s">
        <v>4276</v>
      </c>
      <c r="C1962" s="17" t="s">
        <v>4277</v>
      </c>
    </row>
    <row r="1963" spans="1:3">
      <c r="A1963" s="19">
        <v>917196883</v>
      </c>
      <c r="B1963" s="19" t="s">
        <v>4278</v>
      </c>
      <c r="C1963" s="17" t="s">
        <v>4279</v>
      </c>
    </row>
    <row r="1964" spans="1:3">
      <c r="A1964" s="19">
        <v>917197923</v>
      </c>
      <c r="B1964" s="19" t="s">
        <v>4280</v>
      </c>
      <c r="C1964" s="17" t="s">
        <v>4281</v>
      </c>
    </row>
    <row r="1965" spans="1:3">
      <c r="A1965" s="19">
        <v>917202629</v>
      </c>
      <c r="B1965" s="19" t="s">
        <v>4282</v>
      </c>
      <c r="C1965" s="17" t="s">
        <v>4283</v>
      </c>
    </row>
    <row r="1966" spans="1:3">
      <c r="A1966" s="19">
        <v>917203643</v>
      </c>
      <c r="B1966" s="19" t="s">
        <v>4284</v>
      </c>
      <c r="C1966" s="17" t="s">
        <v>4285</v>
      </c>
    </row>
    <row r="1967" spans="1:3">
      <c r="A1967" s="19">
        <v>917205216</v>
      </c>
      <c r="B1967" s="19" t="s">
        <v>4286</v>
      </c>
      <c r="C1967" s="17" t="s">
        <v>4287</v>
      </c>
    </row>
    <row r="1968" spans="1:3">
      <c r="A1968" s="19">
        <v>917208791</v>
      </c>
      <c r="B1968" s="19" t="s">
        <v>4288</v>
      </c>
      <c r="C1968" s="17" t="s">
        <v>4289</v>
      </c>
    </row>
    <row r="1969" spans="1:3">
      <c r="A1969" s="19">
        <v>917210182</v>
      </c>
      <c r="B1969" s="19" t="s">
        <v>4290</v>
      </c>
      <c r="C1969" s="17" t="s">
        <v>4291</v>
      </c>
    </row>
    <row r="1970" spans="1:3">
      <c r="A1970" s="19">
        <v>917211209</v>
      </c>
      <c r="B1970" s="19" t="s">
        <v>4292</v>
      </c>
      <c r="C1970" s="17" t="s">
        <v>4293</v>
      </c>
    </row>
    <row r="1971" spans="1:3">
      <c r="A1971" s="19">
        <v>917213653</v>
      </c>
      <c r="B1971" s="19" t="s">
        <v>4294</v>
      </c>
      <c r="C1971" s="17" t="s">
        <v>4295</v>
      </c>
    </row>
    <row r="1972" spans="1:3">
      <c r="A1972" s="19">
        <v>917214823</v>
      </c>
      <c r="B1972" s="19" t="s">
        <v>4296</v>
      </c>
      <c r="C1972" s="17" t="s">
        <v>4297</v>
      </c>
    </row>
    <row r="1973" spans="1:3">
      <c r="A1973" s="19">
        <v>917216539</v>
      </c>
      <c r="B1973" s="19" t="s">
        <v>4298</v>
      </c>
      <c r="C1973" s="17" t="s">
        <v>4299</v>
      </c>
    </row>
    <row r="1974" spans="1:3">
      <c r="A1974" s="19">
        <v>917224846</v>
      </c>
      <c r="B1974" s="19" t="s">
        <v>4300</v>
      </c>
      <c r="C1974" s="18" t="s">
        <v>4301</v>
      </c>
    </row>
    <row r="1975" spans="1:3">
      <c r="A1975" s="19">
        <v>917227056</v>
      </c>
      <c r="B1975" s="19" t="s">
        <v>4302</v>
      </c>
      <c r="C1975" s="17" t="s">
        <v>4303</v>
      </c>
    </row>
    <row r="1976" spans="1:3">
      <c r="A1976" s="19">
        <v>917227316</v>
      </c>
      <c r="B1976" s="19" t="s">
        <v>4304</v>
      </c>
      <c r="C1976" s="17" t="s">
        <v>4305</v>
      </c>
    </row>
    <row r="1977" spans="1:3">
      <c r="A1977" s="19">
        <v>917228369</v>
      </c>
      <c r="B1977" s="19" t="s">
        <v>4306</v>
      </c>
      <c r="C1977" s="17" t="s">
        <v>4307</v>
      </c>
    </row>
    <row r="1978" spans="1:3">
      <c r="A1978" s="19">
        <v>917229110</v>
      </c>
      <c r="B1978" s="19" t="s">
        <v>4308</v>
      </c>
      <c r="C1978" s="17" t="s">
        <v>4309</v>
      </c>
    </row>
    <row r="1979" spans="1:3">
      <c r="A1979" s="19">
        <v>917230319</v>
      </c>
      <c r="B1979" s="19" t="s">
        <v>4310</v>
      </c>
      <c r="C1979" s="17" t="s">
        <v>4311</v>
      </c>
    </row>
    <row r="1980" spans="1:3">
      <c r="A1980" s="19">
        <v>917230475</v>
      </c>
      <c r="B1980" s="19" t="s">
        <v>4312</v>
      </c>
      <c r="C1980" s="17" t="s">
        <v>4313</v>
      </c>
    </row>
    <row r="1981" spans="1:3">
      <c r="A1981" s="19">
        <v>917234687</v>
      </c>
      <c r="B1981" s="19" t="s">
        <v>4314</v>
      </c>
      <c r="C1981" s="17" t="s">
        <v>4315</v>
      </c>
    </row>
    <row r="1982" spans="1:3">
      <c r="A1982" s="19">
        <v>917236429</v>
      </c>
      <c r="B1982" s="19" t="s">
        <v>4316</v>
      </c>
      <c r="C1982" s="17" t="s">
        <v>4317</v>
      </c>
    </row>
    <row r="1983" spans="1:3">
      <c r="A1983" s="19">
        <v>917240238</v>
      </c>
      <c r="B1983" s="19" t="s">
        <v>4318</v>
      </c>
      <c r="C1983" s="17" t="s">
        <v>4319</v>
      </c>
    </row>
    <row r="1984" spans="1:3">
      <c r="A1984" s="19">
        <v>917240693</v>
      </c>
      <c r="B1984" s="19" t="s">
        <v>4320</v>
      </c>
      <c r="C1984" s="17" t="s">
        <v>4321</v>
      </c>
    </row>
    <row r="1985" spans="1:3">
      <c r="A1985" s="19">
        <v>917240758</v>
      </c>
      <c r="B1985" s="19" t="s">
        <v>4322</v>
      </c>
      <c r="C1985" s="17" t="s">
        <v>4323</v>
      </c>
    </row>
    <row r="1986" spans="1:3">
      <c r="A1986" s="19">
        <v>917241187</v>
      </c>
      <c r="B1986" s="19" t="s">
        <v>4324</v>
      </c>
      <c r="C1986" s="17" t="s">
        <v>4325</v>
      </c>
    </row>
    <row r="1987" spans="1:3">
      <c r="A1987" s="19">
        <v>917241291</v>
      </c>
      <c r="B1987" s="19" t="s">
        <v>4326</v>
      </c>
      <c r="C1987" s="17" t="s">
        <v>4327</v>
      </c>
    </row>
    <row r="1988" spans="1:3">
      <c r="A1988" s="19">
        <v>917241317</v>
      </c>
      <c r="B1988" s="19" t="s">
        <v>4328</v>
      </c>
      <c r="C1988" s="17" t="s">
        <v>4329</v>
      </c>
    </row>
    <row r="1989" spans="1:3">
      <c r="A1989" s="19">
        <v>917241330</v>
      </c>
      <c r="B1989" s="19" t="s">
        <v>4330</v>
      </c>
      <c r="C1989" s="17" t="s">
        <v>4331</v>
      </c>
    </row>
    <row r="1990" spans="1:3">
      <c r="A1990" s="19">
        <v>917241408</v>
      </c>
      <c r="B1990" s="19" t="s">
        <v>4332</v>
      </c>
      <c r="C1990" s="17" t="s">
        <v>4333</v>
      </c>
    </row>
    <row r="1991" spans="1:3">
      <c r="A1991" s="19">
        <v>917241473</v>
      </c>
      <c r="B1991" s="19" t="s">
        <v>4334</v>
      </c>
      <c r="C1991" s="17" t="s">
        <v>4335</v>
      </c>
    </row>
    <row r="1992" spans="1:3">
      <c r="A1992" s="19">
        <v>917241564</v>
      </c>
      <c r="B1992" s="19" t="s">
        <v>4336</v>
      </c>
      <c r="C1992" s="17" t="s">
        <v>4337</v>
      </c>
    </row>
    <row r="1993" spans="1:3">
      <c r="A1993" s="19">
        <v>917241668</v>
      </c>
      <c r="B1993" s="19" t="s">
        <v>4338</v>
      </c>
      <c r="C1993" s="17" t="s">
        <v>4339</v>
      </c>
    </row>
    <row r="1994" spans="1:3">
      <c r="A1994" s="19">
        <v>917241681</v>
      </c>
      <c r="B1994" s="19" t="s">
        <v>4340</v>
      </c>
      <c r="C1994" s="17" t="s">
        <v>4341</v>
      </c>
    </row>
    <row r="1995" spans="1:3">
      <c r="A1995" s="19">
        <v>917241928</v>
      </c>
      <c r="B1995" s="19" t="s">
        <v>4342</v>
      </c>
      <c r="C1995" s="17" t="s">
        <v>4343</v>
      </c>
    </row>
    <row r="1996" spans="1:3">
      <c r="A1996" s="19">
        <v>917242188</v>
      </c>
      <c r="B1996" s="19" t="s">
        <v>4344</v>
      </c>
      <c r="C1996" s="17" t="s">
        <v>4345</v>
      </c>
    </row>
    <row r="1997" spans="1:3">
      <c r="A1997" s="19">
        <v>917242331</v>
      </c>
      <c r="B1997" s="19" t="s">
        <v>4346</v>
      </c>
      <c r="C1997" s="17" t="s">
        <v>4347</v>
      </c>
    </row>
    <row r="1998" spans="1:3">
      <c r="A1998" s="19">
        <v>917242344</v>
      </c>
      <c r="B1998" s="19" t="s">
        <v>4348</v>
      </c>
      <c r="C1998" s="17" t="s">
        <v>4349</v>
      </c>
    </row>
    <row r="1999" spans="1:3">
      <c r="A1999" s="15">
        <v>917242435</v>
      </c>
      <c r="B1999" s="1" t="s">
        <v>4350</v>
      </c>
      <c r="C1999" s="18" t="s">
        <v>4351</v>
      </c>
    </row>
    <row r="2000" spans="1:3">
      <c r="A2000" s="19">
        <v>917242461</v>
      </c>
      <c r="B2000" s="19" t="s">
        <v>4352</v>
      </c>
      <c r="C2000" s="17" t="s">
        <v>4353</v>
      </c>
    </row>
    <row r="2001" spans="1:3">
      <c r="A2001" s="19">
        <v>917242929</v>
      </c>
      <c r="B2001" s="19" t="s">
        <v>4354</v>
      </c>
      <c r="C2001" s="17" t="s">
        <v>4355</v>
      </c>
    </row>
    <row r="2002" spans="1:3">
      <c r="A2002" s="19">
        <v>917243150</v>
      </c>
      <c r="B2002" s="19" t="s">
        <v>4356</v>
      </c>
      <c r="C2002" s="17" t="s">
        <v>4357</v>
      </c>
    </row>
    <row r="2003" spans="1:3">
      <c r="A2003" s="19">
        <v>917243202</v>
      </c>
      <c r="B2003" s="19" t="s">
        <v>4358</v>
      </c>
      <c r="C2003" s="17" t="s">
        <v>4359</v>
      </c>
    </row>
    <row r="2004" spans="1:3">
      <c r="A2004" s="19">
        <v>917243215</v>
      </c>
      <c r="B2004" s="19" t="s">
        <v>4360</v>
      </c>
      <c r="C2004" s="17" t="s">
        <v>4361</v>
      </c>
    </row>
    <row r="2005" spans="1:3">
      <c r="A2005" s="19">
        <v>917243228</v>
      </c>
      <c r="B2005" s="19" t="s">
        <v>4362</v>
      </c>
      <c r="C2005" s="17" t="s">
        <v>4363</v>
      </c>
    </row>
    <row r="2006" spans="1:3">
      <c r="A2006" s="19">
        <v>917243813</v>
      </c>
      <c r="B2006" s="19" t="s">
        <v>4364</v>
      </c>
      <c r="C2006" s="17" t="s">
        <v>4365</v>
      </c>
    </row>
    <row r="2007" spans="1:3">
      <c r="A2007" s="19">
        <v>917245139</v>
      </c>
      <c r="B2007" s="19" t="s">
        <v>4366</v>
      </c>
      <c r="C2007" s="17" t="s">
        <v>4367</v>
      </c>
    </row>
    <row r="2008" spans="1:3">
      <c r="A2008" s="19">
        <v>917246842</v>
      </c>
      <c r="B2008" s="19" t="s">
        <v>4368</v>
      </c>
      <c r="C2008" s="17" t="s">
        <v>4369</v>
      </c>
    </row>
    <row r="2009" spans="1:3">
      <c r="A2009" s="19">
        <v>917248311</v>
      </c>
      <c r="B2009" s="19" t="s">
        <v>4370</v>
      </c>
      <c r="C2009" s="17" t="s">
        <v>4371</v>
      </c>
    </row>
    <row r="2010" spans="1:3">
      <c r="A2010" s="19">
        <v>917248662</v>
      </c>
      <c r="B2010" s="19" t="s">
        <v>4372</v>
      </c>
      <c r="C2010" s="17" t="s">
        <v>4373</v>
      </c>
    </row>
    <row r="2011" spans="1:3">
      <c r="A2011" s="19">
        <v>917248701</v>
      </c>
      <c r="B2011" s="19" t="s">
        <v>4374</v>
      </c>
      <c r="C2011" s="18" t="s">
        <v>4375</v>
      </c>
    </row>
    <row r="2012" spans="1:3">
      <c r="A2012" s="19">
        <v>917248987</v>
      </c>
      <c r="B2012" s="19" t="s">
        <v>4376</v>
      </c>
      <c r="C2012" s="17" t="s">
        <v>4377</v>
      </c>
    </row>
    <row r="2013" spans="1:3">
      <c r="A2013" s="19">
        <v>917253134</v>
      </c>
      <c r="B2013" s="19" t="s">
        <v>4378</v>
      </c>
      <c r="C2013" s="17" t="s">
        <v>4379</v>
      </c>
    </row>
    <row r="2014" spans="1:3">
      <c r="A2014" s="19">
        <v>917253199</v>
      </c>
      <c r="B2014" s="19" t="s">
        <v>4380</v>
      </c>
      <c r="C2014" s="17" t="s">
        <v>4381</v>
      </c>
    </row>
    <row r="2015" spans="1:3">
      <c r="A2015" s="19">
        <v>917253212</v>
      </c>
      <c r="B2015" s="19" t="s">
        <v>4382</v>
      </c>
      <c r="C2015" s="17" t="s">
        <v>4383</v>
      </c>
    </row>
    <row r="2016" spans="1:3">
      <c r="A2016" s="19">
        <v>917253459</v>
      </c>
      <c r="B2016" s="19" t="s">
        <v>4384</v>
      </c>
      <c r="C2016" s="17" t="s">
        <v>4385</v>
      </c>
    </row>
    <row r="2017" spans="1:3">
      <c r="A2017" s="19">
        <v>917255851</v>
      </c>
      <c r="B2017" s="19" t="s">
        <v>4386</v>
      </c>
      <c r="C2017" s="17" t="s">
        <v>4387</v>
      </c>
    </row>
    <row r="2018" spans="1:3">
      <c r="A2018" s="19">
        <v>917257489</v>
      </c>
      <c r="B2018" s="19" t="s">
        <v>4388</v>
      </c>
      <c r="C2018" s="17" t="s">
        <v>4389</v>
      </c>
    </row>
    <row r="2019" spans="1:3">
      <c r="A2019" s="19">
        <v>917257957</v>
      </c>
      <c r="B2019" s="19" t="s">
        <v>4390</v>
      </c>
      <c r="C2019" s="17" t="s">
        <v>4391</v>
      </c>
    </row>
    <row r="2020" spans="1:3">
      <c r="A2020" s="19">
        <v>917259257</v>
      </c>
      <c r="B2020" s="19" t="s">
        <v>4392</v>
      </c>
      <c r="C2020" s="17" t="s">
        <v>4393</v>
      </c>
    </row>
    <row r="2021" spans="1:3">
      <c r="A2021" s="19">
        <v>917260102</v>
      </c>
      <c r="B2021" s="19" t="s">
        <v>4394</v>
      </c>
      <c r="C2021" s="17" t="s">
        <v>4395</v>
      </c>
    </row>
    <row r="2022" spans="1:3">
      <c r="A2022" s="19">
        <v>917261233</v>
      </c>
      <c r="B2022" s="19" t="s">
        <v>4396</v>
      </c>
      <c r="C2022" s="17" t="s">
        <v>4397</v>
      </c>
    </row>
    <row r="2023" spans="1:3">
      <c r="A2023" s="19">
        <v>917261532</v>
      </c>
      <c r="B2023" s="19" t="s">
        <v>4398</v>
      </c>
      <c r="C2023" s="17" t="s">
        <v>4399</v>
      </c>
    </row>
    <row r="2024" spans="1:3">
      <c r="A2024" s="19">
        <v>917262793</v>
      </c>
      <c r="B2024" s="19" t="s">
        <v>4400</v>
      </c>
      <c r="C2024" s="17" t="s">
        <v>4401</v>
      </c>
    </row>
    <row r="2025" spans="1:3">
      <c r="A2025" s="19">
        <v>917262897</v>
      </c>
      <c r="B2025" s="19" t="s">
        <v>4402</v>
      </c>
      <c r="C2025" s="17" t="s">
        <v>4403</v>
      </c>
    </row>
    <row r="2026" spans="1:3">
      <c r="A2026" s="19">
        <v>917263443</v>
      </c>
      <c r="B2026" s="19" t="s">
        <v>4404</v>
      </c>
      <c r="C2026" s="17" t="s">
        <v>4405</v>
      </c>
    </row>
    <row r="2027" spans="1:3">
      <c r="A2027" s="19">
        <v>917264054</v>
      </c>
      <c r="B2027" s="19" t="s">
        <v>4406</v>
      </c>
      <c r="C2027" s="17" t="s">
        <v>4407</v>
      </c>
    </row>
    <row r="2028" spans="1:3">
      <c r="A2028" s="19">
        <v>917265679</v>
      </c>
      <c r="B2028" s="19" t="s">
        <v>4408</v>
      </c>
      <c r="C2028" s="17" t="s">
        <v>4409</v>
      </c>
    </row>
    <row r="2029" spans="1:3">
      <c r="A2029" s="19">
        <v>917265705</v>
      </c>
      <c r="B2029" s="19" t="s">
        <v>4410</v>
      </c>
      <c r="C2029" s="17" t="s">
        <v>4411</v>
      </c>
    </row>
    <row r="2030" spans="1:3">
      <c r="A2030" s="19">
        <v>917266888</v>
      </c>
      <c r="B2030" s="19" t="s">
        <v>4412</v>
      </c>
      <c r="C2030" s="17" t="s">
        <v>4413</v>
      </c>
    </row>
    <row r="2031" spans="1:3">
      <c r="A2031" s="19">
        <v>917267070</v>
      </c>
      <c r="B2031" s="19" t="s">
        <v>4414</v>
      </c>
      <c r="C2031" s="17" t="s">
        <v>4415</v>
      </c>
    </row>
    <row r="2032" spans="1:3">
      <c r="A2032" s="19">
        <v>917268136</v>
      </c>
      <c r="B2032" s="19" t="s">
        <v>4416</v>
      </c>
      <c r="C2032" s="17" t="s">
        <v>4417</v>
      </c>
    </row>
    <row r="2033" spans="1:3">
      <c r="A2033" s="19">
        <v>917271477</v>
      </c>
      <c r="B2033" s="19" t="s">
        <v>4418</v>
      </c>
      <c r="C2033" s="17" t="s">
        <v>4419</v>
      </c>
    </row>
    <row r="2034" spans="1:3">
      <c r="A2034" s="19">
        <v>917278432</v>
      </c>
      <c r="B2034" s="19" t="s">
        <v>4420</v>
      </c>
      <c r="C2034" s="17" t="s">
        <v>4421</v>
      </c>
    </row>
    <row r="2035" spans="1:3">
      <c r="A2035" s="19">
        <v>917281357</v>
      </c>
      <c r="B2035" s="19" t="s">
        <v>4422</v>
      </c>
      <c r="C2035" s="17" t="s">
        <v>4423</v>
      </c>
    </row>
    <row r="2036" spans="1:3">
      <c r="A2036" s="19">
        <v>917286115</v>
      </c>
      <c r="B2036" s="19" t="s">
        <v>4424</v>
      </c>
      <c r="C2036" s="17" t="s">
        <v>4425</v>
      </c>
    </row>
    <row r="2037" spans="1:3">
      <c r="A2037" s="19">
        <v>917291393</v>
      </c>
      <c r="B2037" s="19" t="s">
        <v>4426</v>
      </c>
      <c r="C2037" s="17" t="s">
        <v>4427</v>
      </c>
    </row>
    <row r="2038" spans="1:3">
      <c r="A2038" s="19">
        <v>917302443</v>
      </c>
      <c r="B2038" s="19" t="s">
        <v>4428</v>
      </c>
      <c r="C2038" s="17" t="s">
        <v>4429</v>
      </c>
    </row>
    <row r="2039" spans="1:3">
      <c r="A2039" s="19">
        <v>917310191</v>
      </c>
      <c r="B2039" s="19" t="s">
        <v>4430</v>
      </c>
      <c r="C2039" s="17" t="s">
        <v>4431</v>
      </c>
    </row>
    <row r="2040" spans="1:3">
      <c r="A2040" s="15">
        <v>917316938</v>
      </c>
      <c r="B2040" s="1" t="s">
        <v>4432</v>
      </c>
      <c r="C2040" s="20" t="s">
        <v>4433</v>
      </c>
    </row>
    <row r="2041" spans="1:3">
      <c r="A2041" s="19">
        <v>917317068</v>
      </c>
      <c r="B2041" s="19" t="s">
        <v>4434</v>
      </c>
      <c r="C2041" s="17" t="s">
        <v>4435</v>
      </c>
    </row>
    <row r="2042" spans="1:3">
      <c r="A2042" s="19">
        <v>917318355</v>
      </c>
      <c r="B2042" s="19" t="s">
        <v>4436</v>
      </c>
      <c r="C2042" s="17" t="s">
        <v>4437</v>
      </c>
    </row>
    <row r="2043" spans="1:3">
      <c r="A2043" s="19">
        <v>917323750</v>
      </c>
      <c r="B2043" s="19" t="s">
        <v>4438</v>
      </c>
      <c r="C2043" s="17" t="s">
        <v>4439</v>
      </c>
    </row>
    <row r="2044" spans="1:3">
      <c r="A2044" s="19">
        <v>917348047</v>
      </c>
      <c r="B2044" s="19" t="s">
        <v>4440</v>
      </c>
      <c r="C2044" s="17" t="s">
        <v>4441</v>
      </c>
    </row>
    <row r="2045" spans="1:3">
      <c r="A2045" s="19">
        <v>917375945</v>
      </c>
      <c r="B2045" s="19" t="s">
        <v>4442</v>
      </c>
      <c r="C2045" s="17" t="s">
        <v>4443</v>
      </c>
    </row>
    <row r="2046" spans="1:3">
      <c r="A2046" s="19">
        <v>917379650</v>
      </c>
      <c r="B2046" s="19" t="s">
        <v>4444</v>
      </c>
      <c r="C2046" s="17" t="s">
        <v>4445</v>
      </c>
    </row>
    <row r="2047" spans="1:3">
      <c r="A2047" s="19">
        <v>917385097</v>
      </c>
      <c r="B2047" s="19" t="s">
        <v>4446</v>
      </c>
      <c r="C2047" s="17" t="s">
        <v>4447</v>
      </c>
    </row>
    <row r="2048" spans="1:3">
      <c r="A2048" s="19">
        <v>917419326</v>
      </c>
      <c r="B2048" s="19" t="s">
        <v>4448</v>
      </c>
      <c r="C2048" s="17" t="s">
        <v>4449</v>
      </c>
    </row>
    <row r="2049" spans="1:3">
      <c r="A2049" s="19">
        <v>917420132</v>
      </c>
      <c r="B2049" s="19" t="s">
        <v>4450</v>
      </c>
      <c r="C2049" s="17" t="s">
        <v>4451</v>
      </c>
    </row>
    <row r="2050" spans="1:3">
      <c r="A2050" s="19">
        <v>917440555</v>
      </c>
      <c r="B2050" s="19" t="s">
        <v>4452</v>
      </c>
      <c r="C2050" s="17" t="s">
        <v>4453</v>
      </c>
    </row>
    <row r="2051" spans="1:3">
      <c r="A2051" s="19">
        <v>917457819</v>
      </c>
      <c r="B2051" s="19" t="s">
        <v>4454</v>
      </c>
      <c r="C2051" s="17" t="s">
        <v>4455</v>
      </c>
    </row>
    <row r="2052" spans="1:3">
      <c r="A2052" s="19">
        <v>917474706</v>
      </c>
      <c r="B2052" s="19" t="s">
        <v>4456</v>
      </c>
      <c r="C2052" s="17" t="s">
        <v>4457</v>
      </c>
    </row>
    <row r="2053" spans="1:3">
      <c r="A2053" s="19">
        <v>917524769</v>
      </c>
      <c r="B2053" s="19" t="s">
        <v>4458</v>
      </c>
      <c r="C2053" s="17" t="s">
        <v>4459</v>
      </c>
    </row>
    <row r="2054" spans="1:3">
      <c r="A2054" s="19">
        <v>917548286</v>
      </c>
      <c r="B2054" s="19" t="s">
        <v>4460</v>
      </c>
      <c r="C2054" s="17" t="s">
        <v>4461</v>
      </c>
    </row>
    <row r="2055" spans="1:3">
      <c r="A2055" s="19">
        <v>917649868</v>
      </c>
      <c r="B2055" s="19" t="s">
        <v>4462</v>
      </c>
      <c r="C2055" s="17" t="s">
        <v>4463</v>
      </c>
    </row>
    <row r="2056" spans="1:3">
      <c r="A2056" s="19">
        <v>917663778</v>
      </c>
      <c r="B2056" s="19" t="s">
        <v>4464</v>
      </c>
      <c r="C2056" s="17" t="s">
        <v>4465</v>
      </c>
    </row>
    <row r="2057" spans="1:3">
      <c r="A2057" s="19">
        <v>917688036</v>
      </c>
      <c r="B2057" s="19" t="s">
        <v>4466</v>
      </c>
      <c r="C2057" s="17" t="s">
        <v>4467</v>
      </c>
    </row>
    <row r="2058" spans="1:3">
      <c r="A2058" s="19">
        <v>917688868</v>
      </c>
      <c r="B2058" s="19" t="s">
        <v>4468</v>
      </c>
      <c r="C2058" s="17" t="s">
        <v>4469</v>
      </c>
    </row>
    <row r="2059" spans="1:3">
      <c r="A2059" s="11">
        <v>917692404</v>
      </c>
      <c r="B2059" s="11" t="s">
        <v>4470</v>
      </c>
      <c r="C2059" s="23" t="s">
        <v>4471</v>
      </c>
    </row>
    <row r="2060" spans="1:3">
      <c r="A2060" s="19">
        <v>917732080</v>
      </c>
      <c r="B2060" s="19" t="s">
        <v>4472</v>
      </c>
      <c r="C2060" s="17" t="s">
        <v>4473</v>
      </c>
    </row>
    <row r="2061" spans="1:3">
      <c r="A2061" s="19">
        <v>917752542</v>
      </c>
      <c r="B2061" s="19" t="s">
        <v>4474</v>
      </c>
      <c r="C2061" s="18" t="s">
        <v>4475</v>
      </c>
    </row>
    <row r="2062" spans="1:3">
      <c r="A2062" s="19">
        <v>917775513</v>
      </c>
      <c r="B2062" s="19" t="s">
        <v>4476</v>
      </c>
      <c r="C2062" s="17" t="s">
        <v>4477</v>
      </c>
    </row>
    <row r="2063" spans="1:3">
      <c r="A2063" s="19">
        <v>917818127</v>
      </c>
      <c r="B2063" s="19" t="s">
        <v>4478</v>
      </c>
      <c r="C2063" s="17" t="s">
        <v>4479</v>
      </c>
    </row>
    <row r="2064" spans="1:3">
      <c r="A2064" s="19">
        <v>917872428</v>
      </c>
      <c r="B2064" s="19" t="s">
        <v>4480</v>
      </c>
      <c r="C2064" s="17" t="s">
        <v>4481</v>
      </c>
    </row>
    <row r="2065" spans="1:3">
      <c r="A2065" s="19">
        <v>917873312</v>
      </c>
      <c r="B2065" s="19" t="s">
        <v>4482</v>
      </c>
      <c r="C2065" s="18" t="s">
        <v>4483</v>
      </c>
    </row>
    <row r="2066" spans="1:3">
      <c r="A2066" s="19">
        <v>917897323</v>
      </c>
      <c r="B2066" s="19" t="s">
        <v>4484</v>
      </c>
      <c r="C2066" s="18" t="s">
        <v>4485</v>
      </c>
    </row>
    <row r="2067" spans="1:3">
      <c r="A2067" s="19">
        <v>917904954</v>
      </c>
      <c r="B2067" s="19" t="s">
        <v>4486</v>
      </c>
      <c r="C2067" s="17" t="s">
        <v>4487</v>
      </c>
    </row>
    <row r="2068" spans="1:3">
      <c r="A2068" s="19">
        <v>917915133</v>
      </c>
      <c r="B2068" s="19" t="s">
        <v>4488</v>
      </c>
      <c r="C2068" s="17" t="s">
        <v>4489</v>
      </c>
    </row>
    <row r="2069" spans="1:3">
      <c r="A2069" s="19">
        <v>917916563</v>
      </c>
      <c r="B2069" s="19" t="s">
        <v>4490</v>
      </c>
      <c r="C2069" s="18" t="s">
        <v>4491</v>
      </c>
    </row>
    <row r="2070" spans="1:3">
      <c r="A2070" s="19">
        <v>917917226</v>
      </c>
      <c r="B2070" s="19" t="s">
        <v>4492</v>
      </c>
      <c r="C2070" s="17" t="s">
        <v>4493</v>
      </c>
    </row>
    <row r="2071" spans="1:3">
      <c r="A2071" s="19">
        <v>917918097</v>
      </c>
      <c r="B2071" s="19" t="s">
        <v>4494</v>
      </c>
      <c r="C2071" s="17" t="s">
        <v>4495</v>
      </c>
    </row>
    <row r="2072" spans="1:3">
      <c r="A2072" s="19">
        <v>917921477</v>
      </c>
      <c r="B2072" s="19" t="s">
        <v>4496</v>
      </c>
      <c r="C2072" s="17" t="s">
        <v>4497</v>
      </c>
    </row>
    <row r="2073" spans="1:3">
      <c r="A2073" s="19">
        <v>917922517</v>
      </c>
      <c r="B2073" s="19" t="s">
        <v>4498</v>
      </c>
      <c r="C2073" s="17" t="s">
        <v>4499</v>
      </c>
    </row>
    <row r="2074" spans="1:3">
      <c r="A2074" s="19">
        <v>917924870</v>
      </c>
      <c r="B2074" s="19" t="s">
        <v>4500</v>
      </c>
      <c r="C2074" s="17" t="s">
        <v>4501</v>
      </c>
    </row>
    <row r="2075" spans="1:3">
      <c r="A2075" s="19">
        <v>917925897</v>
      </c>
      <c r="B2075" s="19" t="s">
        <v>4502</v>
      </c>
      <c r="C2075" s="17" t="s">
        <v>4503</v>
      </c>
    </row>
    <row r="2076" spans="1:3">
      <c r="A2076" s="19">
        <v>917926846</v>
      </c>
      <c r="B2076" s="19" t="s">
        <v>4504</v>
      </c>
      <c r="C2076" s="17" t="s">
        <v>4505</v>
      </c>
    </row>
    <row r="2077" spans="1:3">
      <c r="A2077" s="19">
        <v>917928861</v>
      </c>
      <c r="B2077" s="19" t="s">
        <v>4506</v>
      </c>
      <c r="C2077" s="17" t="s">
        <v>4507</v>
      </c>
    </row>
    <row r="2078" spans="1:3">
      <c r="A2078" s="19">
        <v>917929082</v>
      </c>
      <c r="B2078" s="19" t="s">
        <v>4508</v>
      </c>
      <c r="C2078" s="17" t="s">
        <v>4509</v>
      </c>
    </row>
    <row r="2079" spans="1:3">
      <c r="A2079" s="19">
        <v>917929212</v>
      </c>
      <c r="B2079" s="19" t="s">
        <v>4510</v>
      </c>
      <c r="C2079" s="17" t="s">
        <v>4511</v>
      </c>
    </row>
    <row r="2080" spans="1:3">
      <c r="A2080" s="19">
        <v>917929654</v>
      </c>
      <c r="B2080" s="19" t="s">
        <v>4512</v>
      </c>
      <c r="C2080" s="17" t="s">
        <v>4513</v>
      </c>
    </row>
    <row r="2081" spans="1:3">
      <c r="A2081" s="19">
        <v>917929680</v>
      </c>
      <c r="B2081" s="19" t="s">
        <v>4514</v>
      </c>
      <c r="C2081" s="17" t="s">
        <v>4515</v>
      </c>
    </row>
    <row r="2082" spans="1:3">
      <c r="A2082" s="19">
        <v>917929979</v>
      </c>
      <c r="B2082" s="19" t="s">
        <v>4516</v>
      </c>
      <c r="C2082" s="17" t="s">
        <v>4517</v>
      </c>
    </row>
    <row r="2083" spans="1:3">
      <c r="A2083" s="19">
        <v>917930265</v>
      </c>
      <c r="B2083" s="19" t="s">
        <v>4518</v>
      </c>
      <c r="C2083" s="17" t="s">
        <v>4519</v>
      </c>
    </row>
    <row r="2084" spans="1:3">
      <c r="A2084" s="19">
        <v>917930590</v>
      </c>
      <c r="B2084" s="19" t="s">
        <v>4520</v>
      </c>
      <c r="C2084" s="18" t="s">
        <v>4521</v>
      </c>
    </row>
    <row r="2085" spans="1:3">
      <c r="A2085" s="19">
        <v>917931539</v>
      </c>
      <c r="B2085" s="19" t="s">
        <v>4522</v>
      </c>
      <c r="C2085" s="17" t="s">
        <v>4523</v>
      </c>
    </row>
    <row r="2086" spans="1:3">
      <c r="A2086" s="19">
        <v>917935998</v>
      </c>
      <c r="B2086" s="19" t="s">
        <v>4524</v>
      </c>
      <c r="C2086" s="17" t="s">
        <v>4525</v>
      </c>
    </row>
    <row r="2087" spans="1:3">
      <c r="A2087" s="19">
        <v>917936557</v>
      </c>
      <c r="B2087" s="19" t="s">
        <v>4526</v>
      </c>
      <c r="C2087" s="18" t="s">
        <v>4527</v>
      </c>
    </row>
    <row r="2088" spans="1:3">
      <c r="A2088" s="19">
        <v>917937623</v>
      </c>
      <c r="B2088" s="19" t="s">
        <v>4528</v>
      </c>
      <c r="C2088" s="17" t="s">
        <v>4529</v>
      </c>
    </row>
    <row r="2089" spans="1:3">
      <c r="A2089" s="19">
        <v>917938533</v>
      </c>
      <c r="B2089" s="19" t="s">
        <v>4530</v>
      </c>
      <c r="C2089" s="17" t="s">
        <v>4531</v>
      </c>
    </row>
    <row r="2090" spans="1:3">
      <c r="A2090" s="19">
        <v>917945085</v>
      </c>
      <c r="B2090" s="19" t="s">
        <v>4532</v>
      </c>
      <c r="C2090" s="17" t="s">
        <v>4533</v>
      </c>
    </row>
    <row r="2091" spans="1:3">
      <c r="A2091" s="19">
        <v>917946567</v>
      </c>
      <c r="B2091" s="19" t="s">
        <v>4534</v>
      </c>
      <c r="C2091" s="17" t="s">
        <v>4535</v>
      </c>
    </row>
    <row r="2092" spans="1:3">
      <c r="A2092" s="19">
        <v>917946840</v>
      </c>
      <c r="B2092" s="19" t="s">
        <v>4536</v>
      </c>
      <c r="C2092" s="17" t="s">
        <v>4537</v>
      </c>
    </row>
    <row r="2093" spans="1:3">
      <c r="A2093" s="19">
        <v>917948426</v>
      </c>
      <c r="B2093" s="19" t="s">
        <v>4538</v>
      </c>
      <c r="C2093" s="17" t="s">
        <v>4539</v>
      </c>
    </row>
    <row r="2094" spans="1:3">
      <c r="A2094" s="19">
        <v>917948491</v>
      </c>
      <c r="B2094" s="19" t="s">
        <v>4540</v>
      </c>
      <c r="C2094" s="17" t="s">
        <v>4541</v>
      </c>
    </row>
    <row r="2095" spans="1:3">
      <c r="A2095" s="19">
        <v>917953808</v>
      </c>
      <c r="B2095" s="19" t="s">
        <v>4542</v>
      </c>
      <c r="C2095" s="17" t="s">
        <v>4543</v>
      </c>
    </row>
    <row r="2096" spans="1:3">
      <c r="A2096" s="19">
        <v>917954731</v>
      </c>
      <c r="B2096" s="19" t="s">
        <v>4544</v>
      </c>
      <c r="C2096" s="17" t="s">
        <v>4545</v>
      </c>
    </row>
    <row r="2097" spans="1:3">
      <c r="A2097" s="11">
        <v>917957136</v>
      </c>
      <c r="B2097" s="11" t="s">
        <v>4546</v>
      </c>
      <c r="C2097" s="23" t="s">
        <v>4547</v>
      </c>
    </row>
    <row r="2098" spans="1:3">
      <c r="A2098" s="19">
        <v>918035838</v>
      </c>
      <c r="B2098" s="19" t="s">
        <v>4548</v>
      </c>
      <c r="C2098" s="17" t="s">
        <v>4549</v>
      </c>
    </row>
    <row r="2099" spans="1:3">
      <c r="A2099" s="19">
        <v>918055741</v>
      </c>
      <c r="B2099" s="19" t="s">
        <v>4550</v>
      </c>
      <c r="C2099" s="17" t="s">
        <v>4551</v>
      </c>
    </row>
    <row r="2100" spans="1:3">
      <c r="A2100" s="19">
        <v>918057990</v>
      </c>
      <c r="B2100" s="19" t="s">
        <v>4552</v>
      </c>
      <c r="C2100" s="17" t="s">
        <v>4553</v>
      </c>
    </row>
    <row r="2101" spans="1:3">
      <c r="A2101" s="19">
        <v>918064061</v>
      </c>
      <c r="B2101" s="19" t="s">
        <v>4554</v>
      </c>
      <c r="C2101" s="17" t="s">
        <v>4555</v>
      </c>
    </row>
    <row r="2102" spans="1:3">
      <c r="A2102" s="19">
        <v>918065868</v>
      </c>
      <c r="B2102" s="19" t="s">
        <v>4556</v>
      </c>
      <c r="C2102" s="17" t="s">
        <v>4557</v>
      </c>
    </row>
    <row r="2103" spans="1:3">
      <c r="A2103" s="19">
        <v>918068780</v>
      </c>
      <c r="B2103" s="19" t="s">
        <v>4558</v>
      </c>
      <c r="C2103" s="18" t="s">
        <v>4559</v>
      </c>
    </row>
    <row r="2104" spans="1:3">
      <c r="A2104" s="19">
        <v>918068923</v>
      </c>
      <c r="B2104" s="19" t="s">
        <v>4560</v>
      </c>
      <c r="C2104" s="17" t="s">
        <v>4561</v>
      </c>
    </row>
    <row r="2105" spans="1:3">
      <c r="A2105" s="19">
        <v>918074565</v>
      </c>
      <c r="B2105" s="19" t="s">
        <v>4562</v>
      </c>
      <c r="C2105" s="17" t="s">
        <v>4563</v>
      </c>
    </row>
    <row r="2106" spans="1:3">
      <c r="A2106" s="19">
        <v>918100136</v>
      </c>
      <c r="B2106" s="19" t="s">
        <v>4564</v>
      </c>
      <c r="C2106" s="18" t="s">
        <v>4565</v>
      </c>
    </row>
    <row r="2107" spans="1:3">
      <c r="A2107" s="19">
        <v>918100955</v>
      </c>
      <c r="B2107" s="19" t="s">
        <v>4566</v>
      </c>
      <c r="C2107" s="17" t="s">
        <v>4567</v>
      </c>
    </row>
    <row r="2108" spans="1:3">
      <c r="A2108" s="19">
        <v>918101852</v>
      </c>
      <c r="B2108" s="19" t="s">
        <v>4568</v>
      </c>
      <c r="C2108" s="17" t="s">
        <v>4569</v>
      </c>
    </row>
    <row r="2109" spans="1:3">
      <c r="A2109" s="19">
        <v>918102567</v>
      </c>
      <c r="B2109" s="19" t="s">
        <v>4570</v>
      </c>
      <c r="C2109" s="17" t="s">
        <v>4571</v>
      </c>
    </row>
    <row r="2110" spans="1:3">
      <c r="A2110" s="19">
        <v>918103087</v>
      </c>
      <c r="B2110" s="19" t="s">
        <v>4572</v>
      </c>
      <c r="C2110" s="17" t="s">
        <v>4573</v>
      </c>
    </row>
    <row r="2111" spans="1:3">
      <c r="A2111" s="19">
        <v>918103100</v>
      </c>
      <c r="B2111" s="19" t="s">
        <v>4574</v>
      </c>
      <c r="C2111" s="17" t="s">
        <v>4575</v>
      </c>
    </row>
    <row r="2112" spans="1:3">
      <c r="A2112" s="19">
        <v>918103113</v>
      </c>
      <c r="B2112" s="19" t="s">
        <v>4576</v>
      </c>
      <c r="C2112" s="17" t="s">
        <v>4577</v>
      </c>
    </row>
    <row r="2113" spans="1:3">
      <c r="A2113" s="19">
        <v>918103126</v>
      </c>
      <c r="B2113" s="19" t="s">
        <v>4578</v>
      </c>
      <c r="C2113" s="17" t="s">
        <v>4579</v>
      </c>
    </row>
    <row r="2114" spans="1:3">
      <c r="A2114" s="19">
        <v>918103152</v>
      </c>
      <c r="B2114" s="19" t="s">
        <v>4580</v>
      </c>
      <c r="C2114" s="18" t="s">
        <v>4581</v>
      </c>
    </row>
    <row r="2115" spans="1:3">
      <c r="A2115" s="19">
        <v>918103178</v>
      </c>
      <c r="B2115" s="19" t="s">
        <v>4582</v>
      </c>
      <c r="C2115" s="17" t="s">
        <v>4583</v>
      </c>
    </row>
    <row r="2116" spans="1:3">
      <c r="A2116" s="19">
        <v>918103971</v>
      </c>
      <c r="B2116" s="19" t="s">
        <v>4584</v>
      </c>
      <c r="C2116" s="17" t="s">
        <v>4585</v>
      </c>
    </row>
    <row r="2117" spans="1:3">
      <c r="A2117" s="19">
        <v>918103997</v>
      </c>
      <c r="B2117" s="19" t="s">
        <v>4586</v>
      </c>
      <c r="C2117" s="17" t="s">
        <v>4587</v>
      </c>
    </row>
    <row r="2118" spans="1:3">
      <c r="A2118" s="19">
        <v>918104608</v>
      </c>
      <c r="B2118" s="19" t="s">
        <v>4588</v>
      </c>
      <c r="C2118" s="17" t="s">
        <v>4589</v>
      </c>
    </row>
    <row r="2119" spans="1:3">
      <c r="A2119" s="19">
        <v>918104946</v>
      </c>
      <c r="B2119" s="19" t="s">
        <v>4590</v>
      </c>
      <c r="C2119" s="18" t="s">
        <v>4591</v>
      </c>
    </row>
    <row r="2120" spans="1:3">
      <c r="A2120" s="19">
        <v>918106090</v>
      </c>
      <c r="B2120" s="19" t="s">
        <v>4592</v>
      </c>
      <c r="C2120" s="17" t="s">
        <v>4593</v>
      </c>
    </row>
    <row r="2121" spans="1:3">
      <c r="A2121" s="19">
        <v>918106441</v>
      </c>
      <c r="B2121" s="19" t="s">
        <v>4594</v>
      </c>
      <c r="C2121" s="17" t="s">
        <v>4595</v>
      </c>
    </row>
    <row r="2122" spans="1:3">
      <c r="A2122" s="19">
        <v>918108248</v>
      </c>
      <c r="B2122" s="19" t="s">
        <v>4596</v>
      </c>
      <c r="C2122" s="17" t="s">
        <v>4597</v>
      </c>
    </row>
    <row r="2123" spans="1:3">
      <c r="A2123" s="19">
        <v>918108768</v>
      </c>
      <c r="B2123" s="19" t="s">
        <v>4598</v>
      </c>
      <c r="C2123" s="18" t="s">
        <v>4599</v>
      </c>
    </row>
    <row r="2124" spans="1:3">
      <c r="A2124" s="19">
        <v>918108781</v>
      </c>
      <c r="B2124" s="19" t="s">
        <v>4600</v>
      </c>
      <c r="C2124" s="17" t="s">
        <v>4601</v>
      </c>
    </row>
    <row r="2125" spans="1:3">
      <c r="A2125" s="19">
        <v>918108807</v>
      </c>
      <c r="B2125" s="19" t="s">
        <v>4602</v>
      </c>
      <c r="C2125" s="17" t="s">
        <v>4603</v>
      </c>
    </row>
    <row r="2126" spans="1:3">
      <c r="A2126" s="19">
        <v>918109912</v>
      </c>
      <c r="B2126" s="19" t="s">
        <v>4604</v>
      </c>
      <c r="C2126" s="17" t="s">
        <v>4605</v>
      </c>
    </row>
    <row r="2127" spans="1:3">
      <c r="A2127" s="19">
        <v>918110224</v>
      </c>
      <c r="B2127" s="19" t="s">
        <v>4606</v>
      </c>
      <c r="C2127" s="17" t="s">
        <v>4607</v>
      </c>
    </row>
    <row r="2128" spans="1:3">
      <c r="A2128" s="19">
        <v>918110237</v>
      </c>
      <c r="B2128" s="19" t="s">
        <v>4608</v>
      </c>
      <c r="C2128" s="17" t="s">
        <v>4609</v>
      </c>
    </row>
    <row r="2129" spans="1:3">
      <c r="A2129" s="19">
        <v>918112434</v>
      </c>
      <c r="B2129" s="19" t="s">
        <v>4610</v>
      </c>
      <c r="C2129" s="17" t="s">
        <v>4611</v>
      </c>
    </row>
    <row r="2130" spans="1:3">
      <c r="A2130" s="19">
        <v>918113487</v>
      </c>
      <c r="B2130" s="19" t="s">
        <v>4612</v>
      </c>
      <c r="C2130" s="17" t="s">
        <v>4613</v>
      </c>
    </row>
    <row r="2131" spans="1:3">
      <c r="A2131" s="19">
        <v>918113851</v>
      </c>
      <c r="B2131" s="19" t="s">
        <v>4614</v>
      </c>
      <c r="C2131" s="17" t="s">
        <v>4615</v>
      </c>
    </row>
    <row r="2132" spans="1:3">
      <c r="A2132" s="19">
        <v>918114423</v>
      </c>
      <c r="B2132" s="19" t="s">
        <v>4616</v>
      </c>
      <c r="C2132" s="17" t="s">
        <v>4617</v>
      </c>
    </row>
    <row r="2133" spans="1:3">
      <c r="A2133" s="19">
        <v>918115697</v>
      </c>
      <c r="B2133" s="19" t="s">
        <v>4618</v>
      </c>
      <c r="C2133" s="17" t="s">
        <v>4619</v>
      </c>
    </row>
    <row r="2134" spans="1:3">
      <c r="A2134" s="19">
        <v>918115775</v>
      </c>
      <c r="B2134" s="19" t="s">
        <v>4620</v>
      </c>
      <c r="C2134" s="17" t="s">
        <v>4621</v>
      </c>
    </row>
    <row r="2135" spans="1:3">
      <c r="A2135" s="19">
        <v>918115970</v>
      </c>
      <c r="B2135" s="19" t="s">
        <v>4622</v>
      </c>
      <c r="C2135" s="17" t="s">
        <v>4623</v>
      </c>
    </row>
    <row r="2136" spans="1:3">
      <c r="A2136" s="19">
        <v>918116568</v>
      </c>
      <c r="B2136" s="19" t="s">
        <v>4624</v>
      </c>
      <c r="C2136" s="17" t="s">
        <v>4625</v>
      </c>
    </row>
    <row r="2137" spans="1:3">
      <c r="A2137" s="19">
        <v>918118557</v>
      </c>
      <c r="B2137" s="19" t="s">
        <v>4626</v>
      </c>
      <c r="C2137" s="17" t="s">
        <v>4627</v>
      </c>
    </row>
    <row r="2138" spans="1:3">
      <c r="A2138" s="19">
        <v>918118648</v>
      </c>
      <c r="B2138" s="19" t="s">
        <v>4628</v>
      </c>
      <c r="C2138" s="17" t="s">
        <v>4629</v>
      </c>
    </row>
    <row r="2139" spans="1:3">
      <c r="A2139" s="19">
        <v>918119389</v>
      </c>
      <c r="B2139" s="19" t="s">
        <v>4630</v>
      </c>
      <c r="C2139" s="17" t="s">
        <v>4631</v>
      </c>
    </row>
    <row r="2140" spans="1:3">
      <c r="A2140" s="19">
        <v>918119649</v>
      </c>
      <c r="B2140" s="19" t="s">
        <v>4632</v>
      </c>
      <c r="C2140" s="17" t="s">
        <v>4633</v>
      </c>
    </row>
    <row r="2141" spans="1:3">
      <c r="A2141" s="19">
        <v>918121482</v>
      </c>
      <c r="B2141" s="19" t="s">
        <v>4634</v>
      </c>
      <c r="C2141" s="17" t="s">
        <v>4635</v>
      </c>
    </row>
    <row r="2142" spans="1:3">
      <c r="A2142" s="19">
        <v>918121716</v>
      </c>
      <c r="B2142" s="19" t="s">
        <v>4636</v>
      </c>
      <c r="C2142" s="17" t="s">
        <v>4637</v>
      </c>
    </row>
    <row r="2143" spans="1:3">
      <c r="A2143" s="19">
        <v>918130127</v>
      </c>
      <c r="B2143" s="19" t="s">
        <v>4638</v>
      </c>
      <c r="C2143" s="17" t="s">
        <v>4639</v>
      </c>
    </row>
    <row r="2144" spans="1:3">
      <c r="A2144" s="19">
        <v>918135392</v>
      </c>
      <c r="B2144" s="19" t="s">
        <v>4640</v>
      </c>
      <c r="C2144" s="17" t="s">
        <v>4641</v>
      </c>
    </row>
    <row r="2145" spans="1:3">
      <c r="A2145" s="19">
        <v>918138980</v>
      </c>
      <c r="B2145" s="19" t="s">
        <v>4642</v>
      </c>
      <c r="C2145" s="18" t="s">
        <v>4643</v>
      </c>
    </row>
    <row r="2146" spans="1:3">
      <c r="A2146" s="19">
        <v>918146013</v>
      </c>
      <c r="B2146" s="19" t="s">
        <v>4644</v>
      </c>
      <c r="C2146" s="18" t="s">
        <v>4645</v>
      </c>
    </row>
    <row r="2147" spans="1:3">
      <c r="A2147" s="19">
        <v>918152240</v>
      </c>
      <c r="B2147" s="19" t="s">
        <v>4646</v>
      </c>
      <c r="C2147" s="17" t="s">
        <v>4647</v>
      </c>
    </row>
    <row r="2148" spans="1:3">
      <c r="A2148" s="19">
        <v>918154359</v>
      </c>
      <c r="B2148" s="19" t="s">
        <v>4648</v>
      </c>
      <c r="C2148" s="17" t="s">
        <v>4649</v>
      </c>
    </row>
    <row r="2149" spans="1:3">
      <c r="A2149" s="19">
        <v>918156673</v>
      </c>
      <c r="B2149" s="19" t="s">
        <v>4650</v>
      </c>
      <c r="C2149" s="17" t="s">
        <v>4651</v>
      </c>
    </row>
    <row r="2150" spans="1:3">
      <c r="A2150" s="19">
        <v>918160989</v>
      </c>
      <c r="B2150" s="19" t="s">
        <v>4652</v>
      </c>
      <c r="C2150" s="17" t="s">
        <v>4653</v>
      </c>
    </row>
    <row r="2151" spans="1:3">
      <c r="A2151" s="19">
        <v>918168958</v>
      </c>
      <c r="B2151" s="19" t="s">
        <v>4654</v>
      </c>
      <c r="C2151" s="17" t="s">
        <v>4655</v>
      </c>
    </row>
    <row r="2152" spans="1:3">
      <c r="A2152" s="19">
        <v>918174028</v>
      </c>
      <c r="B2152" s="19" t="s">
        <v>4656</v>
      </c>
      <c r="C2152" s="17" t="s">
        <v>4657</v>
      </c>
    </row>
    <row r="2153" spans="1:3">
      <c r="A2153" s="19">
        <v>918188302</v>
      </c>
      <c r="B2153" s="19" t="s">
        <v>4658</v>
      </c>
      <c r="C2153" s="17" t="s">
        <v>4659</v>
      </c>
    </row>
    <row r="2154" spans="1:3">
      <c r="A2154" s="19">
        <v>918196271</v>
      </c>
      <c r="B2154" s="19" t="s">
        <v>4660</v>
      </c>
      <c r="C2154" s="17" t="s">
        <v>4661</v>
      </c>
    </row>
    <row r="2155" spans="1:3">
      <c r="A2155" s="19">
        <v>918200392</v>
      </c>
      <c r="B2155" s="19" t="s">
        <v>4662</v>
      </c>
      <c r="C2155" s="17" t="s">
        <v>4663</v>
      </c>
    </row>
    <row r="2156" spans="1:3">
      <c r="A2156" s="19">
        <v>918231722</v>
      </c>
      <c r="B2156" s="19" t="s">
        <v>4664</v>
      </c>
      <c r="C2156" s="17" t="s">
        <v>4665</v>
      </c>
    </row>
    <row r="2157" spans="1:3">
      <c r="A2157" s="19">
        <v>918293784</v>
      </c>
      <c r="B2157" s="19" t="s">
        <v>4666</v>
      </c>
      <c r="C2157" s="18" t="s">
        <v>4667</v>
      </c>
    </row>
    <row r="2158" spans="1:3">
      <c r="A2158" s="15">
        <v>918328884</v>
      </c>
      <c r="B2158" s="1" t="s">
        <v>4668</v>
      </c>
      <c r="C2158" s="20" t="s">
        <v>4669</v>
      </c>
    </row>
    <row r="2159" spans="1:3">
      <c r="A2159" s="19">
        <v>918361150</v>
      </c>
      <c r="B2159" s="19" t="s">
        <v>4670</v>
      </c>
      <c r="C2159" s="17" t="s">
        <v>4671</v>
      </c>
    </row>
    <row r="2160" spans="1:3">
      <c r="A2160" s="19">
        <v>918376958</v>
      </c>
      <c r="B2160" s="19" t="s">
        <v>4672</v>
      </c>
      <c r="C2160" s="17" t="s">
        <v>4673</v>
      </c>
    </row>
    <row r="2161" spans="1:3">
      <c r="A2161" s="19">
        <v>918390387</v>
      </c>
      <c r="B2161" s="19" t="s">
        <v>4674</v>
      </c>
      <c r="C2161" s="17" t="s">
        <v>4675</v>
      </c>
    </row>
    <row r="2162" spans="1:3">
      <c r="A2162" s="19">
        <v>918456479</v>
      </c>
      <c r="B2162" s="19" t="s">
        <v>4676</v>
      </c>
      <c r="C2162" s="17" t="s">
        <v>4677</v>
      </c>
    </row>
    <row r="2163" spans="1:3">
      <c r="A2163" s="19">
        <v>918522831</v>
      </c>
      <c r="B2163" s="19" t="s">
        <v>4678</v>
      </c>
      <c r="C2163" s="17" t="s">
        <v>4679</v>
      </c>
    </row>
    <row r="2164" spans="1:3">
      <c r="A2164" s="19">
        <v>918524248</v>
      </c>
      <c r="B2164" s="19" t="s">
        <v>4680</v>
      </c>
      <c r="C2164" s="17" t="s">
        <v>4681</v>
      </c>
    </row>
    <row r="2165" spans="1:3">
      <c r="A2165" s="19">
        <v>918524846</v>
      </c>
      <c r="B2165" s="19" t="s">
        <v>4682</v>
      </c>
      <c r="C2165" s="17" t="s">
        <v>4683</v>
      </c>
    </row>
    <row r="2166" spans="1:3">
      <c r="A2166" s="19">
        <v>918544723</v>
      </c>
      <c r="B2166" s="19" t="s">
        <v>4684</v>
      </c>
      <c r="C2166" s="17" t="s">
        <v>4685</v>
      </c>
    </row>
    <row r="2167" spans="1:3">
      <c r="A2167" s="19">
        <v>918612193</v>
      </c>
      <c r="B2167" s="19" t="s">
        <v>4686</v>
      </c>
      <c r="C2167" s="18" t="s">
        <v>4687</v>
      </c>
    </row>
    <row r="2168" spans="1:3">
      <c r="A2168" s="19">
        <v>918613909</v>
      </c>
      <c r="B2168" s="19" t="s">
        <v>4688</v>
      </c>
      <c r="C2168" s="17" t="s">
        <v>4689</v>
      </c>
    </row>
    <row r="2169" spans="1:3">
      <c r="A2169" s="19">
        <v>918634033</v>
      </c>
      <c r="B2169" s="19" t="s">
        <v>4690</v>
      </c>
      <c r="C2169" s="17" t="s">
        <v>4691</v>
      </c>
    </row>
    <row r="2170" spans="1:3">
      <c r="A2170" s="19">
        <v>918634085</v>
      </c>
      <c r="B2170" s="19" t="s">
        <v>4692</v>
      </c>
      <c r="C2170" s="17" t="s">
        <v>4693</v>
      </c>
    </row>
    <row r="2171" spans="1:3">
      <c r="A2171" s="19">
        <v>918635320</v>
      </c>
      <c r="B2171" s="19" t="s">
        <v>4694</v>
      </c>
      <c r="C2171" s="17" t="s">
        <v>4695</v>
      </c>
    </row>
    <row r="2172" spans="1:3">
      <c r="A2172" s="19">
        <v>918652103</v>
      </c>
      <c r="B2172" s="19" t="s">
        <v>4696</v>
      </c>
      <c r="C2172" s="17" t="s">
        <v>4697</v>
      </c>
    </row>
    <row r="2173" spans="1:3">
      <c r="A2173" s="19">
        <v>918652948</v>
      </c>
      <c r="B2173" s="19" t="s">
        <v>4698</v>
      </c>
      <c r="C2173" s="17" t="s">
        <v>4699</v>
      </c>
    </row>
    <row r="2174" spans="1:3">
      <c r="A2174" s="19">
        <v>918653156</v>
      </c>
      <c r="B2174" s="19" t="s">
        <v>4700</v>
      </c>
      <c r="C2174" s="17" t="s">
        <v>4701</v>
      </c>
    </row>
    <row r="2175" spans="1:3">
      <c r="A2175" s="19">
        <v>918673111</v>
      </c>
      <c r="B2175" s="19" t="s">
        <v>4702</v>
      </c>
      <c r="C2175" s="17" t="s">
        <v>4703</v>
      </c>
    </row>
    <row r="2176" spans="1:3">
      <c r="A2176" s="19">
        <v>918673137</v>
      </c>
      <c r="B2176" s="19" t="s">
        <v>4704</v>
      </c>
      <c r="C2176" s="18" t="s">
        <v>4705</v>
      </c>
    </row>
    <row r="2177" spans="1:3">
      <c r="A2177" s="19">
        <v>918688906</v>
      </c>
      <c r="B2177" s="19" t="s">
        <v>4706</v>
      </c>
      <c r="C2177" s="17" t="s">
        <v>4707</v>
      </c>
    </row>
    <row r="2178" spans="1:3">
      <c r="A2178" s="19">
        <v>918748797</v>
      </c>
      <c r="B2178" s="19" t="s">
        <v>4708</v>
      </c>
      <c r="C2178" s="17" t="s">
        <v>4709</v>
      </c>
    </row>
    <row r="2179" spans="1:3">
      <c r="A2179" s="19">
        <v>918765931</v>
      </c>
      <c r="B2179" s="19" t="s">
        <v>4710</v>
      </c>
      <c r="C2179" s="17" t="s">
        <v>4711</v>
      </c>
    </row>
    <row r="2180" spans="1:3">
      <c r="A2180" s="19">
        <v>918767478</v>
      </c>
      <c r="B2180" s="19" t="s">
        <v>4712</v>
      </c>
      <c r="C2180" s="18" t="s">
        <v>4713</v>
      </c>
    </row>
    <row r="2181" spans="1:3">
      <c r="A2181" s="19">
        <v>918802994</v>
      </c>
      <c r="B2181" s="19" t="s">
        <v>4714</v>
      </c>
      <c r="C2181" s="17" t="s">
        <v>4715</v>
      </c>
    </row>
    <row r="2182" spans="1:3">
      <c r="A2182" s="19">
        <v>918807245</v>
      </c>
      <c r="B2182" s="19" t="s">
        <v>4716</v>
      </c>
      <c r="C2182" s="17" t="s">
        <v>4717</v>
      </c>
    </row>
    <row r="2183" spans="1:3">
      <c r="A2183" s="19">
        <v>918807453</v>
      </c>
      <c r="B2183" s="19" t="s">
        <v>4718</v>
      </c>
      <c r="C2183" s="17" t="s">
        <v>4719</v>
      </c>
    </row>
    <row r="2184" spans="1:3">
      <c r="A2184" s="19">
        <v>918815981</v>
      </c>
      <c r="B2184" s="19" t="s">
        <v>4720</v>
      </c>
      <c r="C2184" s="17" t="s">
        <v>4721</v>
      </c>
    </row>
    <row r="2185" spans="1:3">
      <c r="A2185" s="19">
        <v>918821532</v>
      </c>
      <c r="B2185" s="19" t="s">
        <v>4722</v>
      </c>
      <c r="C2185" s="17" t="s">
        <v>4723</v>
      </c>
    </row>
    <row r="2186" spans="1:3">
      <c r="A2186" s="19">
        <v>918823066</v>
      </c>
      <c r="B2186" s="19" t="s">
        <v>4724</v>
      </c>
      <c r="C2186" s="17" t="s">
        <v>4725</v>
      </c>
    </row>
    <row r="2187" spans="1:3">
      <c r="A2187" s="19">
        <v>918823391</v>
      </c>
      <c r="B2187" s="19" t="s">
        <v>4726</v>
      </c>
      <c r="C2187" s="17" t="s">
        <v>4727</v>
      </c>
    </row>
    <row r="2188" spans="1:3">
      <c r="A2188" s="19">
        <v>918825120</v>
      </c>
      <c r="B2188" s="19" t="s">
        <v>4728</v>
      </c>
      <c r="C2188" s="17" t="s">
        <v>4729</v>
      </c>
    </row>
    <row r="2189" spans="1:3">
      <c r="A2189" s="19">
        <v>918825133</v>
      </c>
      <c r="B2189" s="19" t="s">
        <v>4730</v>
      </c>
      <c r="C2189" s="18" t="s">
        <v>4731</v>
      </c>
    </row>
    <row r="2190" spans="1:3">
      <c r="A2190" s="19">
        <v>918825172</v>
      </c>
      <c r="B2190" s="19" t="s">
        <v>4732</v>
      </c>
      <c r="C2190" s="17" t="s">
        <v>4733</v>
      </c>
    </row>
    <row r="2191" spans="1:3">
      <c r="A2191" s="19">
        <v>918825406</v>
      </c>
      <c r="B2191" s="19" t="s">
        <v>4734</v>
      </c>
      <c r="C2191" s="18" t="s">
        <v>4735</v>
      </c>
    </row>
    <row r="2192" spans="1:3">
      <c r="A2192" s="19">
        <v>918825432</v>
      </c>
      <c r="B2192" s="19" t="s">
        <v>4736</v>
      </c>
      <c r="C2192" s="17" t="s">
        <v>4737</v>
      </c>
    </row>
    <row r="2193" spans="1:3">
      <c r="A2193" s="19">
        <v>918825445</v>
      </c>
      <c r="B2193" s="19" t="s">
        <v>4738</v>
      </c>
      <c r="C2193" s="17" t="s">
        <v>4739</v>
      </c>
    </row>
    <row r="2194" spans="1:3">
      <c r="A2194" s="19">
        <v>918825458</v>
      </c>
      <c r="B2194" s="19" t="s">
        <v>4740</v>
      </c>
      <c r="C2194" s="17" t="s">
        <v>4741</v>
      </c>
    </row>
    <row r="2195" spans="1:3">
      <c r="A2195" s="19">
        <v>918825471</v>
      </c>
      <c r="B2195" s="19" t="s">
        <v>4742</v>
      </c>
      <c r="C2195" s="17" t="s">
        <v>4743</v>
      </c>
    </row>
    <row r="2196" spans="1:3">
      <c r="A2196" s="19">
        <v>918825484</v>
      </c>
      <c r="B2196" s="19" t="s">
        <v>4744</v>
      </c>
      <c r="C2196" s="17" t="s">
        <v>4745</v>
      </c>
    </row>
    <row r="2197" spans="1:3">
      <c r="A2197" s="19">
        <v>918825497</v>
      </c>
      <c r="B2197" s="19" t="s">
        <v>4746</v>
      </c>
      <c r="C2197" s="17" t="s">
        <v>4747</v>
      </c>
    </row>
    <row r="2198" spans="1:3">
      <c r="A2198" s="19">
        <v>918825510</v>
      </c>
      <c r="B2198" s="19" t="s">
        <v>4748</v>
      </c>
      <c r="C2198" s="17" t="s">
        <v>4749</v>
      </c>
    </row>
    <row r="2199" spans="1:3">
      <c r="A2199" s="19">
        <v>918825731</v>
      </c>
      <c r="B2199" s="19" t="s">
        <v>4750</v>
      </c>
      <c r="C2199" s="17" t="s">
        <v>4751</v>
      </c>
    </row>
    <row r="2200" spans="1:3">
      <c r="A2200" s="19">
        <v>918825757</v>
      </c>
      <c r="B2200" s="19" t="s">
        <v>4752</v>
      </c>
      <c r="C2200" s="17" t="s">
        <v>4753</v>
      </c>
    </row>
    <row r="2201" spans="1:3">
      <c r="A2201" s="19">
        <v>918825783</v>
      </c>
      <c r="B2201" s="19" t="s">
        <v>4754</v>
      </c>
      <c r="C2201" s="17" t="s">
        <v>4755</v>
      </c>
    </row>
    <row r="2202" spans="1:3">
      <c r="A2202" s="19">
        <v>918825939</v>
      </c>
      <c r="B2202" s="19" t="s">
        <v>4756</v>
      </c>
      <c r="C2202" s="17" t="s">
        <v>4757</v>
      </c>
    </row>
    <row r="2203" spans="1:3">
      <c r="A2203" s="19">
        <v>918825978</v>
      </c>
      <c r="B2203" s="19" t="s">
        <v>4758</v>
      </c>
      <c r="C2203" s="17" t="s">
        <v>4759</v>
      </c>
    </row>
    <row r="2204" spans="1:3">
      <c r="A2204" s="19">
        <v>918826121</v>
      </c>
      <c r="B2204" s="19" t="s">
        <v>4760</v>
      </c>
      <c r="C2204" s="17" t="s">
        <v>4761</v>
      </c>
    </row>
    <row r="2205" spans="1:3">
      <c r="A2205" s="19">
        <v>918826134</v>
      </c>
      <c r="B2205" s="19" t="s">
        <v>4762</v>
      </c>
      <c r="C2205" s="17" t="s">
        <v>4763</v>
      </c>
    </row>
    <row r="2206" spans="1:3">
      <c r="A2206" s="19">
        <v>918826147</v>
      </c>
      <c r="B2206" s="19" t="s">
        <v>4764</v>
      </c>
      <c r="C2206" s="17" t="s">
        <v>4765</v>
      </c>
    </row>
    <row r="2207" spans="1:3">
      <c r="A2207" s="19">
        <v>918826446</v>
      </c>
      <c r="B2207" s="19" t="s">
        <v>4766</v>
      </c>
      <c r="C2207" s="17" t="s">
        <v>4767</v>
      </c>
    </row>
    <row r="2208" spans="1:3">
      <c r="A2208" s="19">
        <v>918826459</v>
      </c>
      <c r="B2208" s="19" t="s">
        <v>4768</v>
      </c>
      <c r="C2208" s="17" t="s">
        <v>4769</v>
      </c>
    </row>
    <row r="2209" spans="1:3">
      <c r="A2209" s="19">
        <v>918826485</v>
      </c>
      <c r="B2209" s="19" t="s">
        <v>4770</v>
      </c>
      <c r="C2209" s="17" t="s">
        <v>4771</v>
      </c>
    </row>
    <row r="2210" spans="1:3">
      <c r="A2210" s="19">
        <v>918826498</v>
      </c>
      <c r="B2210" s="19" t="s">
        <v>4772</v>
      </c>
      <c r="C2210" s="17" t="s">
        <v>4773</v>
      </c>
    </row>
    <row r="2211" spans="1:3">
      <c r="A2211" s="19">
        <v>918826589</v>
      </c>
      <c r="B2211" s="19" t="s">
        <v>4774</v>
      </c>
      <c r="C2211" s="17" t="s">
        <v>4775</v>
      </c>
    </row>
    <row r="2212" spans="1:3">
      <c r="A2212" s="19">
        <v>918826602</v>
      </c>
      <c r="B2212" s="19" t="s">
        <v>4776</v>
      </c>
      <c r="C2212" s="17" t="s">
        <v>4777</v>
      </c>
    </row>
    <row r="2213" spans="1:3">
      <c r="A2213" s="19">
        <v>918826615</v>
      </c>
      <c r="B2213" s="19" t="s">
        <v>4778</v>
      </c>
      <c r="C2213" s="17" t="s">
        <v>4779</v>
      </c>
    </row>
    <row r="2214" spans="1:3">
      <c r="A2214" s="19">
        <v>918826667</v>
      </c>
      <c r="B2214" s="19" t="s">
        <v>4780</v>
      </c>
      <c r="C2214" s="17" t="s">
        <v>4781</v>
      </c>
    </row>
    <row r="2215" spans="1:3">
      <c r="A2215" s="19">
        <v>918826693</v>
      </c>
      <c r="B2215" s="19" t="s">
        <v>4782</v>
      </c>
      <c r="C2215" s="17" t="s">
        <v>4783</v>
      </c>
    </row>
    <row r="2216" spans="1:3">
      <c r="A2216" s="19">
        <v>918826706</v>
      </c>
      <c r="B2216" s="19" t="s">
        <v>4784</v>
      </c>
      <c r="C2216" s="17" t="s">
        <v>4785</v>
      </c>
    </row>
    <row r="2217" spans="1:3">
      <c r="A2217" s="19">
        <v>918826771</v>
      </c>
      <c r="B2217" s="19" t="s">
        <v>4786</v>
      </c>
      <c r="C2217" s="17" t="s">
        <v>4787</v>
      </c>
    </row>
    <row r="2218" spans="1:3">
      <c r="A2218" s="19">
        <v>918826914</v>
      </c>
      <c r="B2218" s="19" t="s">
        <v>4788</v>
      </c>
      <c r="C2218" s="17" t="s">
        <v>4789</v>
      </c>
    </row>
    <row r="2219" spans="1:3">
      <c r="A2219" s="19">
        <v>918826966</v>
      </c>
      <c r="B2219" s="19" t="s">
        <v>4790</v>
      </c>
      <c r="C2219" s="17" t="s">
        <v>4791</v>
      </c>
    </row>
    <row r="2220" spans="1:3">
      <c r="A2220" s="19">
        <v>918826992</v>
      </c>
      <c r="B2220" s="19" t="s">
        <v>4792</v>
      </c>
      <c r="C2220" s="17" t="s">
        <v>4793</v>
      </c>
    </row>
    <row r="2221" spans="1:3">
      <c r="A2221" s="19">
        <v>918827122</v>
      </c>
      <c r="B2221" s="19" t="s">
        <v>4794</v>
      </c>
      <c r="C2221" s="17" t="s">
        <v>4795</v>
      </c>
    </row>
    <row r="2222" spans="1:3">
      <c r="A2222" s="19">
        <v>918827135</v>
      </c>
      <c r="B2222" s="19" t="s">
        <v>4796</v>
      </c>
      <c r="C2222" s="17" t="s">
        <v>4797</v>
      </c>
    </row>
    <row r="2223" spans="1:3">
      <c r="A2223" s="19">
        <v>918827161</v>
      </c>
      <c r="B2223" s="19" t="s">
        <v>4798</v>
      </c>
      <c r="C2223" s="17" t="s">
        <v>4799</v>
      </c>
    </row>
    <row r="2224" spans="1:3">
      <c r="A2224" s="19">
        <v>918827187</v>
      </c>
      <c r="B2224" s="19" t="s">
        <v>4800</v>
      </c>
      <c r="C2224" s="17" t="s">
        <v>4801</v>
      </c>
    </row>
    <row r="2225" spans="1:3">
      <c r="A2225" s="19">
        <v>918827200</v>
      </c>
      <c r="B2225" s="19" t="s">
        <v>4802</v>
      </c>
      <c r="C2225" s="17" t="s">
        <v>4803</v>
      </c>
    </row>
    <row r="2226" spans="1:3">
      <c r="A2226" s="19">
        <v>918827265</v>
      </c>
      <c r="B2226" s="19" t="s">
        <v>4804</v>
      </c>
      <c r="C2226" s="17" t="s">
        <v>4805</v>
      </c>
    </row>
    <row r="2227" spans="1:3">
      <c r="A2227" s="19">
        <v>918827291</v>
      </c>
      <c r="B2227" s="19" t="s">
        <v>4806</v>
      </c>
      <c r="C2227" s="17" t="s">
        <v>4807</v>
      </c>
    </row>
    <row r="2228" spans="1:3">
      <c r="A2228" s="19">
        <v>918827382</v>
      </c>
      <c r="B2228" s="19" t="s">
        <v>4808</v>
      </c>
      <c r="C2228" s="17" t="s">
        <v>4809</v>
      </c>
    </row>
    <row r="2229" spans="1:3">
      <c r="A2229" s="19">
        <v>918827577</v>
      </c>
      <c r="B2229" s="19" t="s">
        <v>4810</v>
      </c>
      <c r="C2229" s="17" t="s">
        <v>4811</v>
      </c>
    </row>
    <row r="2230" spans="1:3">
      <c r="A2230" s="19">
        <v>918827590</v>
      </c>
      <c r="B2230" s="19" t="s">
        <v>4812</v>
      </c>
      <c r="C2230" s="17" t="s">
        <v>4813</v>
      </c>
    </row>
    <row r="2231" spans="1:3">
      <c r="A2231" s="19">
        <v>918827733</v>
      </c>
      <c r="B2231" s="19" t="s">
        <v>4814</v>
      </c>
      <c r="C2231" s="17" t="s">
        <v>4815</v>
      </c>
    </row>
    <row r="2232" spans="1:3">
      <c r="A2232" s="19">
        <v>918827746</v>
      </c>
      <c r="B2232" s="19" t="s">
        <v>4816</v>
      </c>
      <c r="C2232" s="17" t="s">
        <v>4817</v>
      </c>
    </row>
    <row r="2233" spans="1:3">
      <c r="A2233" s="19">
        <v>918827824</v>
      </c>
      <c r="B2233" s="19" t="s">
        <v>4818</v>
      </c>
      <c r="C2233" s="17" t="s">
        <v>4819</v>
      </c>
    </row>
    <row r="2234" spans="1:3">
      <c r="A2234" s="19">
        <v>918827915</v>
      </c>
      <c r="B2234" s="19" t="s">
        <v>4820</v>
      </c>
      <c r="C2234" s="17" t="s">
        <v>4821</v>
      </c>
    </row>
    <row r="2235" spans="1:3">
      <c r="A2235" s="19">
        <v>918827954</v>
      </c>
      <c r="B2235" s="19" t="s">
        <v>4822</v>
      </c>
      <c r="C2235" s="17" t="s">
        <v>4823</v>
      </c>
    </row>
    <row r="2236" spans="1:3">
      <c r="A2236" s="19">
        <v>918828019</v>
      </c>
      <c r="B2236" s="19" t="s">
        <v>4824</v>
      </c>
      <c r="C2236" s="18" t="s">
        <v>4825</v>
      </c>
    </row>
    <row r="2237" spans="1:3">
      <c r="A2237" s="19">
        <v>918828071</v>
      </c>
      <c r="B2237" s="19" t="s">
        <v>4826</v>
      </c>
      <c r="C2237" s="17" t="s">
        <v>4827</v>
      </c>
    </row>
    <row r="2238" spans="1:3">
      <c r="A2238" s="19">
        <v>918828292</v>
      </c>
      <c r="B2238" s="19" t="s">
        <v>4828</v>
      </c>
      <c r="C2238" s="17" t="s">
        <v>4829</v>
      </c>
    </row>
    <row r="2239" spans="1:3">
      <c r="A2239" s="19">
        <v>918828318</v>
      </c>
      <c r="B2239" s="19" t="s">
        <v>4830</v>
      </c>
      <c r="C2239" s="17" t="s">
        <v>4831</v>
      </c>
    </row>
    <row r="2240" spans="1:3">
      <c r="A2240" s="19">
        <v>918828383</v>
      </c>
      <c r="B2240" s="19" t="s">
        <v>4832</v>
      </c>
      <c r="C2240" s="18" t="s">
        <v>4833</v>
      </c>
    </row>
    <row r="2241" spans="1:3">
      <c r="A2241" s="19">
        <v>918828604</v>
      </c>
      <c r="B2241" s="19" t="s">
        <v>4834</v>
      </c>
      <c r="C2241" s="17" t="s">
        <v>4835</v>
      </c>
    </row>
    <row r="2242" spans="1:3">
      <c r="A2242" s="19">
        <v>918828708</v>
      </c>
      <c r="B2242" s="19" t="s">
        <v>4836</v>
      </c>
      <c r="C2242" s="17" t="s">
        <v>4837</v>
      </c>
    </row>
    <row r="2243" spans="1:3">
      <c r="A2243" s="19">
        <v>918828747</v>
      </c>
      <c r="B2243" s="19" t="s">
        <v>4838</v>
      </c>
      <c r="C2243" s="17" t="s">
        <v>4839</v>
      </c>
    </row>
    <row r="2244" spans="1:3">
      <c r="A2244" s="19">
        <v>918828851</v>
      </c>
      <c r="B2244" s="19" t="s">
        <v>4840</v>
      </c>
      <c r="C2244" s="17" t="s">
        <v>4841</v>
      </c>
    </row>
    <row r="2245" spans="1:3">
      <c r="A2245" s="19">
        <v>918828877</v>
      </c>
      <c r="B2245" s="19" t="s">
        <v>4842</v>
      </c>
      <c r="C2245" s="17" t="s">
        <v>4843</v>
      </c>
    </row>
    <row r="2246" spans="1:3">
      <c r="A2246" s="19">
        <v>918828929</v>
      </c>
      <c r="B2246" s="19" t="s">
        <v>4844</v>
      </c>
      <c r="C2246" s="17" t="s">
        <v>4845</v>
      </c>
    </row>
    <row r="2247" spans="1:3">
      <c r="A2247" s="19">
        <v>918828968</v>
      </c>
      <c r="B2247" s="19" t="s">
        <v>4846</v>
      </c>
      <c r="C2247" s="17" t="s">
        <v>4847</v>
      </c>
    </row>
    <row r="2248" spans="1:3">
      <c r="A2248" s="19">
        <v>918828981</v>
      </c>
      <c r="B2248" s="19" t="s">
        <v>4848</v>
      </c>
      <c r="C2248" s="17" t="s">
        <v>4849</v>
      </c>
    </row>
    <row r="2249" spans="1:3">
      <c r="A2249" s="19">
        <v>918829085</v>
      </c>
      <c r="B2249" s="19" t="s">
        <v>4850</v>
      </c>
      <c r="C2249" s="18" t="s">
        <v>4851</v>
      </c>
    </row>
    <row r="2250" spans="1:3">
      <c r="A2250" s="15">
        <v>918829163</v>
      </c>
      <c r="B2250" s="16" t="s">
        <v>4852</v>
      </c>
      <c r="C2250" s="18" t="s">
        <v>4853</v>
      </c>
    </row>
    <row r="2251" spans="1:3">
      <c r="A2251" s="19">
        <v>918829189</v>
      </c>
      <c r="B2251" s="19" t="s">
        <v>4854</v>
      </c>
      <c r="C2251" s="18" t="s">
        <v>4855</v>
      </c>
    </row>
    <row r="2252" spans="1:3">
      <c r="A2252" s="19">
        <v>918829202</v>
      </c>
      <c r="B2252" s="19" t="s">
        <v>4856</v>
      </c>
      <c r="C2252" s="17" t="s">
        <v>4857</v>
      </c>
    </row>
    <row r="2253" spans="1:3">
      <c r="A2253" s="19">
        <v>918829228</v>
      </c>
      <c r="B2253" s="19" t="s">
        <v>4858</v>
      </c>
      <c r="C2253" s="17" t="s">
        <v>4859</v>
      </c>
    </row>
    <row r="2254" spans="1:3">
      <c r="A2254" s="19">
        <v>918829293</v>
      </c>
      <c r="B2254" s="19" t="s">
        <v>4860</v>
      </c>
      <c r="C2254" s="17" t="s">
        <v>4861</v>
      </c>
    </row>
    <row r="2255" spans="1:3">
      <c r="A2255" s="19">
        <v>918829332</v>
      </c>
      <c r="B2255" s="19" t="s">
        <v>4862</v>
      </c>
      <c r="C2255" s="17" t="s">
        <v>4863</v>
      </c>
    </row>
    <row r="2256" spans="1:3">
      <c r="A2256" s="19">
        <v>918829761</v>
      </c>
      <c r="B2256" s="19" t="s">
        <v>4864</v>
      </c>
      <c r="C2256" s="17" t="s">
        <v>4865</v>
      </c>
    </row>
    <row r="2257" spans="1:3">
      <c r="A2257" s="19">
        <v>918830125</v>
      </c>
      <c r="B2257" s="19" t="s">
        <v>4866</v>
      </c>
      <c r="C2257" s="17" t="s">
        <v>4867</v>
      </c>
    </row>
    <row r="2258" spans="1:3">
      <c r="A2258" s="19">
        <v>918830177</v>
      </c>
      <c r="B2258" s="19" t="s">
        <v>4868</v>
      </c>
      <c r="C2258" s="18" t="s">
        <v>4869</v>
      </c>
    </row>
    <row r="2259" spans="1:3">
      <c r="A2259" s="19">
        <v>918830216</v>
      </c>
      <c r="B2259" s="19" t="s">
        <v>4870</v>
      </c>
      <c r="C2259" s="17" t="s">
        <v>4871</v>
      </c>
    </row>
    <row r="2260" spans="1:3">
      <c r="A2260" s="19">
        <v>918830229</v>
      </c>
      <c r="B2260" s="19" t="s">
        <v>4872</v>
      </c>
      <c r="C2260" s="17" t="s">
        <v>4873</v>
      </c>
    </row>
    <row r="2261" spans="1:3">
      <c r="A2261" s="19">
        <v>918830281</v>
      </c>
      <c r="B2261" s="19" t="s">
        <v>4874</v>
      </c>
      <c r="C2261" s="17" t="s">
        <v>4875</v>
      </c>
    </row>
    <row r="2262" spans="1:3">
      <c r="A2262" s="19">
        <v>918830333</v>
      </c>
      <c r="B2262" s="19" t="s">
        <v>4876</v>
      </c>
      <c r="C2262" s="18" t="s">
        <v>4877</v>
      </c>
    </row>
    <row r="2263" spans="1:3">
      <c r="A2263" s="19">
        <v>918830593</v>
      </c>
      <c r="B2263" s="19" t="s">
        <v>4878</v>
      </c>
      <c r="C2263" s="17" t="s">
        <v>4879</v>
      </c>
    </row>
    <row r="2264" spans="1:3">
      <c r="A2264" s="19">
        <v>918830606</v>
      </c>
      <c r="B2264" s="19" t="s">
        <v>4880</v>
      </c>
      <c r="C2264" s="17" t="s">
        <v>4881</v>
      </c>
    </row>
    <row r="2265" spans="1:3">
      <c r="A2265" s="19">
        <v>918830710</v>
      </c>
      <c r="B2265" s="19" t="s">
        <v>4882</v>
      </c>
      <c r="C2265" s="18" t="s">
        <v>4883</v>
      </c>
    </row>
    <row r="2266" spans="1:3">
      <c r="A2266" s="19">
        <v>918830723</v>
      </c>
      <c r="B2266" s="19" t="s">
        <v>4884</v>
      </c>
      <c r="C2266" s="17" t="s">
        <v>4885</v>
      </c>
    </row>
    <row r="2267" spans="1:3">
      <c r="A2267" s="19">
        <v>918830749</v>
      </c>
      <c r="B2267" s="19" t="s">
        <v>4886</v>
      </c>
      <c r="C2267" s="17" t="s">
        <v>4887</v>
      </c>
    </row>
    <row r="2268" spans="1:3">
      <c r="A2268" s="19">
        <v>918830762</v>
      </c>
      <c r="B2268" s="19" t="s">
        <v>4888</v>
      </c>
      <c r="C2268" s="17" t="s">
        <v>4889</v>
      </c>
    </row>
    <row r="2269" spans="1:3">
      <c r="A2269" s="19">
        <v>918830788</v>
      </c>
      <c r="B2269" s="19" t="s">
        <v>4890</v>
      </c>
      <c r="C2269" s="17" t="s">
        <v>4891</v>
      </c>
    </row>
    <row r="2270" spans="1:3">
      <c r="A2270" s="19">
        <v>918830840</v>
      </c>
      <c r="B2270" s="19" t="s">
        <v>4892</v>
      </c>
      <c r="C2270" s="17" t="s">
        <v>4893</v>
      </c>
    </row>
    <row r="2271" spans="1:3">
      <c r="A2271" s="19">
        <v>918830866</v>
      </c>
      <c r="B2271" s="19" t="s">
        <v>4894</v>
      </c>
      <c r="C2271" s="17" t="s">
        <v>4895</v>
      </c>
    </row>
    <row r="2272" spans="1:3">
      <c r="A2272" s="19">
        <v>918830905</v>
      </c>
      <c r="B2272" s="19" t="s">
        <v>4896</v>
      </c>
      <c r="C2272" s="17" t="s">
        <v>4897</v>
      </c>
    </row>
    <row r="2273" spans="1:3">
      <c r="A2273" s="19">
        <v>918830957</v>
      </c>
      <c r="B2273" s="19" t="s">
        <v>4898</v>
      </c>
      <c r="C2273" s="17" t="s">
        <v>4899</v>
      </c>
    </row>
    <row r="2274" spans="1:3">
      <c r="A2274" s="19">
        <v>918830970</v>
      </c>
      <c r="B2274" s="19" t="s">
        <v>4900</v>
      </c>
      <c r="C2274" s="18" t="s">
        <v>4901</v>
      </c>
    </row>
    <row r="2275" spans="1:3">
      <c r="A2275" s="19">
        <v>918830983</v>
      </c>
      <c r="B2275" s="19" t="s">
        <v>4902</v>
      </c>
      <c r="C2275" s="18" t="s">
        <v>4903</v>
      </c>
    </row>
    <row r="2276" spans="1:3">
      <c r="A2276" s="19">
        <v>918830996</v>
      </c>
      <c r="B2276" s="19" t="s">
        <v>4904</v>
      </c>
      <c r="C2276" s="17" t="s">
        <v>4905</v>
      </c>
    </row>
    <row r="2277" spans="1:3">
      <c r="A2277" s="19">
        <v>918831048</v>
      </c>
      <c r="B2277" s="19" t="s">
        <v>4906</v>
      </c>
      <c r="C2277" s="17" t="s">
        <v>4907</v>
      </c>
    </row>
    <row r="2278" spans="1:3">
      <c r="A2278" s="19">
        <v>918831100</v>
      </c>
      <c r="B2278" s="19" t="s">
        <v>4908</v>
      </c>
      <c r="C2278" s="17" t="s">
        <v>4909</v>
      </c>
    </row>
    <row r="2279" spans="1:3">
      <c r="A2279" s="19">
        <v>918831126</v>
      </c>
      <c r="B2279" s="19" t="s">
        <v>4910</v>
      </c>
      <c r="C2279" s="17" t="s">
        <v>4911</v>
      </c>
    </row>
    <row r="2280" spans="1:3">
      <c r="A2280" s="19">
        <v>918831256</v>
      </c>
      <c r="B2280" s="19" t="s">
        <v>4912</v>
      </c>
      <c r="C2280" s="17" t="s">
        <v>4913</v>
      </c>
    </row>
    <row r="2281" spans="1:3">
      <c r="A2281" s="19">
        <v>918831334</v>
      </c>
      <c r="B2281" s="19" t="s">
        <v>4914</v>
      </c>
      <c r="C2281" s="17" t="s">
        <v>4915</v>
      </c>
    </row>
    <row r="2282" spans="1:3">
      <c r="A2282" s="19">
        <v>918831620</v>
      </c>
      <c r="B2282" s="19" t="s">
        <v>4916</v>
      </c>
      <c r="C2282" s="17" t="s">
        <v>4917</v>
      </c>
    </row>
    <row r="2283" spans="1:3">
      <c r="A2283" s="19">
        <v>918831659</v>
      </c>
      <c r="B2283" s="19" t="s">
        <v>4918</v>
      </c>
      <c r="C2283" s="17" t="s">
        <v>4919</v>
      </c>
    </row>
    <row r="2284" spans="1:3">
      <c r="A2284" s="19">
        <v>918832101</v>
      </c>
      <c r="B2284" s="19" t="s">
        <v>4920</v>
      </c>
      <c r="C2284" s="17" t="s">
        <v>4921</v>
      </c>
    </row>
    <row r="2285" spans="1:3">
      <c r="A2285" s="15">
        <v>918832699</v>
      </c>
      <c r="B2285" s="1" t="s">
        <v>4922</v>
      </c>
      <c r="C2285" s="20" t="s">
        <v>4923</v>
      </c>
    </row>
    <row r="2286" spans="1:3">
      <c r="A2286" s="19">
        <v>918832842</v>
      </c>
      <c r="B2286" s="19" t="s">
        <v>4924</v>
      </c>
      <c r="C2286" s="17" t="s">
        <v>4925</v>
      </c>
    </row>
    <row r="2287" spans="1:3">
      <c r="A2287" s="19">
        <v>918832881</v>
      </c>
      <c r="B2287" s="19" t="s">
        <v>4926</v>
      </c>
      <c r="C2287" s="17" t="s">
        <v>4927</v>
      </c>
    </row>
    <row r="2288" spans="1:3">
      <c r="A2288" s="19">
        <v>918832985</v>
      </c>
      <c r="B2288" s="19" t="s">
        <v>4928</v>
      </c>
      <c r="C2288" s="17" t="s">
        <v>4929</v>
      </c>
    </row>
    <row r="2289" spans="1:3">
      <c r="A2289" s="19">
        <v>918833089</v>
      </c>
      <c r="B2289" s="19" t="s">
        <v>4930</v>
      </c>
      <c r="C2289" s="17" t="s">
        <v>4931</v>
      </c>
    </row>
    <row r="2290" spans="1:3">
      <c r="A2290" s="19">
        <v>918833115</v>
      </c>
      <c r="B2290" s="19" t="s">
        <v>4932</v>
      </c>
      <c r="C2290" s="17" t="s">
        <v>4933</v>
      </c>
    </row>
    <row r="2291" spans="1:3">
      <c r="A2291" s="19">
        <v>918833427</v>
      </c>
      <c r="B2291" s="19" t="s">
        <v>4934</v>
      </c>
      <c r="C2291" s="18" t="s">
        <v>4935</v>
      </c>
    </row>
    <row r="2292" spans="1:3">
      <c r="A2292" s="19">
        <v>918833492</v>
      </c>
      <c r="B2292" s="19" t="s">
        <v>4936</v>
      </c>
      <c r="C2292" s="17" t="s">
        <v>4937</v>
      </c>
    </row>
    <row r="2293" spans="1:3">
      <c r="A2293" s="19">
        <v>918833505</v>
      </c>
      <c r="B2293" s="19" t="s">
        <v>4938</v>
      </c>
      <c r="C2293" s="17" t="s">
        <v>4939</v>
      </c>
    </row>
    <row r="2294" spans="1:3">
      <c r="A2294" s="19">
        <v>918833687</v>
      </c>
      <c r="B2294" s="19" t="s">
        <v>4940</v>
      </c>
      <c r="C2294" s="17" t="s">
        <v>4941</v>
      </c>
    </row>
    <row r="2295" spans="1:3">
      <c r="A2295" s="19">
        <v>918833700</v>
      </c>
      <c r="B2295" s="19" t="s">
        <v>4942</v>
      </c>
      <c r="C2295" s="17" t="s">
        <v>4943</v>
      </c>
    </row>
    <row r="2296" spans="1:3">
      <c r="A2296" s="19">
        <v>918833726</v>
      </c>
      <c r="B2296" s="19" t="s">
        <v>4944</v>
      </c>
      <c r="C2296" s="17" t="s">
        <v>4945</v>
      </c>
    </row>
    <row r="2297" spans="1:3">
      <c r="A2297" s="19">
        <v>918833739</v>
      </c>
      <c r="B2297" s="19" t="s">
        <v>4946</v>
      </c>
      <c r="C2297" s="17" t="s">
        <v>4947</v>
      </c>
    </row>
    <row r="2298" spans="1:3">
      <c r="A2298" s="19">
        <v>918833869</v>
      </c>
      <c r="B2298" s="19" t="s">
        <v>4948</v>
      </c>
      <c r="C2298" s="17" t="s">
        <v>4949</v>
      </c>
    </row>
    <row r="2299" spans="1:3">
      <c r="A2299" s="19">
        <v>918833882</v>
      </c>
      <c r="B2299" s="19" t="s">
        <v>4950</v>
      </c>
      <c r="C2299" s="17" t="s">
        <v>4951</v>
      </c>
    </row>
    <row r="2300" spans="1:3">
      <c r="A2300" s="19">
        <v>918833908</v>
      </c>
      <c r="B2300" s="19" t="s">
        <v>4952</v>
      </c>
      <c r="C2300" s="17" t="s">
        <v>4953</v>
      </c>
    </row>
    <row r="2301" spans="1:3">
      <c r="A2301" s="19">
        <v>918833934</v>
      </c>
      <c r="B2301" s="19" t="s">
        <v>4954</v>
      </c>
      <c r="C2301" s="17" t="s">
        <v>4955</v>
      </c>
    </row>
    <row r="2302" spans="1:3">
      <c r="A2302" s="19">
        <v>918833999</v>
      </c>
      <c r="B2302" s="19" t="s">
        <v>4956</v>
      </c>
      <c r="C2302" s="17" t="s">
        <v>4957</v>
      </c>
    </row>
    <row r="2303" spans="1:3">
      <c r="A2303" s="19">
        <v>918834051</v>
      </c>
      <c r="B2303" s="19" t="s">
        <v>4958</v>
      </c>
      <c r="C2303" s="17" t="s">
        <v>4959</v>
      </c>
    </row>
    <row r="2304" spans="1:3">
      <c r="A2304" s="19">
        <v>918834103</v>
      </c>
      <c r="B2304" s="19" t="s">
        <v>4960</v>
      </c>
      <c r="C2304" s="17" t="s">
        <v>4961</v>
      </c>
    </row>
    <row r="2305" spans="1:3">
      <c r="A2305" s="19">
        <v>918834116</v>
      </c>
      <c r="B2305" s="19" t="s">
        <v>4962</v>
      </c>
      <c r="C2305" s="17" t="s">
        <v>4963</v>
      </c>
    </row>
    <row r="2306" spans="1:3">
      <c r="A2306" s="19">
        <v>918834142</v>
      </c>
      <c r="B2306" s="19" t="s">
        <v>4964</v>
      </c>
      <c r="C2306" s="17" t="s">
        <v>4965</v>
      </c>
    </row>
    <row r="2307" spans="1:3">
      <c r="A2307" s="19">
        <v>918834155</v>
      </c>
      <c r="B2307" s="19" t="s">
        <v>4966</v>
      </c>
      <c r="C2307" s="17" t="s">
        <v>4967</v>
      </c>
    </row>
    <row r="2308" spans="1:3">
      <c r="A2308" s="19">
        <v>918834168</v>
      </c>
      <c r="B2308" s="19" t="s">
        <v>4968</v>
      </c>
      <c r="C2308" s="17" t="s">
        <v>4969</v>
      </c>
    </row>
    <row r="2309" spans="1:3">
      <c r="A2309" s="19">
        <v>918834259</v>
      </c>
      <c r="B2309" s="19" t="s">
        <v>4970</v>
      </c>
      <c r="C2309" s="18" t="s">
        <v>4971</v>
      </c>
    </row>
    <row r="2310" spans="1:3">
      <c r="A2310" s="19">
        <v>918834272</v>
      </c>
      <c r="B2310" s="19" t="s">
        <v>4972</v>
      </c>
      <c r="C2310" s="17" t="s">
        <v>4973</v>
      </c>
    </row>
    <row r="2311" spans="1:3">
      <c r="A2311" s="19">
        <v>918834311</v>
      </c>
      <c r="B2311" s="19" t="s">
        <v>4974</v>
      </c>
      <c r="C2311" s="17" t="s">
        <v>4975</v>
      </c>
    </row>
    <row r="2312" spans="1:3">
      <c r="A2312" s="19">
        <v>918834389</v>
      </c>
      <c r="B2312" s="19" t="s">
        <v>4976</v>
      </c>
      <c r="C2312" s="17" t="s">
        <v>4977</v>
      </c>
    </row>
    <row r="2313" spans="1:3">
      <c r="A2313" s="19">
        <v>918834675</v>
      </c>
      <c r="B2313" s="19" t="s">
        <v>4978</v>
      </c>
      <c r="C2313" s="17" t="s">
        <v>4979</v>
      </c>
    </row>
    <row r="2314" spans="1:3">
      <c r="A2314" s="19">
        <v>918834727</v>
      </c>
      <c r="B2314" s="19" t="s">
        <v>4980</v>
      </c>
      <c r="C2314" s="17" t="s">
        <v>4981</v>
      </c>
    </row>
    <row r="2315" spans="1:3">
      <c r="A2315" s="19">
        <v>918834779</v>
      </c>
      <c r="B2315" s="19" t="s">
        <v>4982</v>
      </c>
      <c r="C2315" s="17" t="s">
        <v>4983</v>
      </c>
    </row>
    <row r="2316" spans="1:3">
      <c r="A2316" s="19">
        <v>918834805</v>
      </c>
      <c r="B2316" s="19" t="s">
        <v>4984</v>
      </c>
      <c r="C2316" s="17" t="s">
        <v>4985</v>
      </c>
    </row>
    <row r="2317" spans="1:3">
      <c r="A2317" s="19">
        <v>918834831</v>
      </c>
      <c r="B2317" s="19" t="s">
        <v>4986</v>
      </c>
      <c r="C2317" s="17" t="s">
        <v>4987</v>
      </c>
    </row>
    <row r="2318" spans="1:3">
      <c r="A2318" s="19">
        <v>918834844</v>
      </c>
      <c r="B2318" s="19" t="s">
        <v>4988</v>
      </c>
      <c r="C2318" s="17" t="s">
        <v>4989</v>
      </c>
    </row>
    <row r="2319" spans="1:3">
      <c r="A2319" s="19">
        <v>918834961</v>
      </c>
      <c r="B2319" s="19" t="s">
        <v>4990</v>
      </c>
      <c r="C2319" s="17" t="s">
        <v>4991</v>
      </c>
    </row>
    <row r="2320" spans="1:3">
      <c r="A2320" s="19">
        <v>918835078</v>
      </c>
      <c r="B2320" s="19" t="s">
        <v>4992</v>
      </c>
      <c r="C2320" s="17" t="s">
        <v>4993</v>
      </c>
    </row>
    <row r="2321" spans="1:3">
      <c r="A2321" s="19">
        <v>918835130</v>
      </c>
      <c r="B2321" s="19" t="s">
        <v>4994</v>
      </c>
      <c r="C2321" s="17" t="s">
        <v>4995</v>
      </c>
    </row>
    <row r="2322" spans="1:3">
      <c r="A2322" s="19">
        <v>918835143</v>
      </c>
      <c r="B2322" s="19" t="s">
        <v>4996</v>
      </c>
      <c r="C2322" s="17" t="s">
        <v>4997</v>
      </c>
    </row>
    <row r="2323" spans="1:3">
      <c r="A2323" s="19">
        <v>918835156</v>
      </c>
      <c r="B2323" s="19" t="s">
        <v>4998</v>
      </c>
      <c r="C2323" s="17" t="s">
        <v>4999</v>
      </c>
    </row>
    <row r="2324" spans="1:3">
      <c r="A2324" s="19">
        <v>918835338</v>
      </c>
      <c r="B2324" s="19" t="s">
        <v>5000</v>
      </c>
      <c r="C2324" s="18" t="s">
        <v>5001</v>
      </c>
    </row>
    <row r="2325" spans="1:3">
      <c r="A2325" s="19">
        <v>918835442</v>
      </c>
      <c r="B2325" s="19" t="s">
        <v>5002</v>
      </c>
      <c r="C2325" s="17" t="s">
        <v>5003</v>
      </c>
    </row>
    <row r="2326" spans="1:3">
      <c r="A2326" s="19">
        <v>918835507</v>
      </c>
      <c r="B2326" s="19" t="s">
        <v>5004</v>
      </c>
      <c r="C2326" s="17" t="s">
        <v>5005</v>
      </c>
    </row>
    <row r="2327" spans="1:3">
      <c r="A2327" s="19">
        <v>918835572</v>
      </c>
      <c r="B2327" s="19" t="s">
        <v>5006</v>
      </c>
      <c r="C2327" s="17" t="s">
        <v>5007</v>
      </c>
    </row>
    <row r="2328" spans="1:3">
      <c r="A2328" s="19">
        <v>918835611</v>
      </c>
      <c r="B2328" s="19" t="s">
        <v>5008</v>
      </c>
      <c r="C2328" s="17" t="s">
        <v>5009</v>
      </c>
    </row>
    <row r="2329" spans="1:3">
      <c r="A2329" s="19">
        <v>918835676</v>
      </c>
      <c r="B2329" s="19" t="s">
        <v>5010</v>
      </c>
      <c r="C2329" s="17" t="s">
        <v>5011</v>
      </c>
    </row>
    <row r="2330" spans="1:3">
      <c r="A2330" s="19">
        <v>918835689</v>
      </c>
      <c r="B2330" s="19" t="s">
        <v>5012</v>
      </c>
      <c r="C2330" s="18" t="s">
        <v>5013</v>
      </c>
    </row>
    <row r="2331" spans="1:3">
      <c r="A2331" s="19">
        <v>918835702</v>
      </c>
      <c r="B2331" s="19" t="s">
        <v>5014</v>
      </c>
      <c r="C2331" s="17" t="s">
        <v>5015</v>
      </c>
    </row>
    <row r="2332" spans="1:3">
      <c r="A2332" s="19">
        <v>918835819</v>
      </c>
      <c r="B2332" s="19" t="s">
        <v>5016</v>
      </c>
      <c r="C2332" s="17" t="s">
        <v>5017</v>
      </c>
    </row>
    <row r="2333" spans="1:3">
      <c r="A2333" s="19">
        <v>918835936</v>
      </c>
      <c r="B2333" s="19" t="s">
        <v>5018</v>
      </c>
      <c r="C2333" s="17" t="s">
        <v>5019</v>
      </c>
    </row>
    <row r="2334" spans="1:3">
      <c r="A2334" s="19">
        <v>918836274</v>
      </c>
      <c r="B2334" s="19" t="s">
        <v>5020</v>
      </c>
      <c r="C2334" s="18" t="s">
        <v>5021</v>
      </c>
    </row>
    <row r="2335" spans="1:3">
      <c r="A2335" s="19">
        <v>918836625</v>
      </c>
      <c r="B2335" s="19" t="s">
        <v>5022</v>
      </c>
      <c r="C2335" s="17" t="s">
        <v>5023</v>
      </c>
    </row>
    <row r="2336" spans="1:3">
      <c r="A2336" s="19">
        <v>918836703</v>
      </c>
      <c r="B2336" s="19" t="s">
        <v>5024</v>
      </c>
      <c r="C2336" s="17" t="s">
        <v>5025</v>
      </c>
    </row>
    <row r="2337" spans="1:3">
      <c r="A2337" s="19">
        <v>918837119</v>
      </c>
      <c r="B2337" s="19" t="s">
        <v>5026</v>
      </c>
      <c r="C2337" s="17" t="s">
        <v>5027</v>
      </c>
    </row>
    <row r="2338" spans="1:3">
      <c r="A2338" s="19">
        <v>918837145</v>
      </c>
      <c r="B2338" s="19" t="s">
        <v>5028</v>
      </c>
      <c r="C2338" s="17" t="s">
        <v>5029</v>
      </c>
    </row>
    <row r="2339" spans="1:3">
      <c r="A2339" s="19">
        <v>918837262</v>
      </c>
      <c r="B2339" s="19" t="s">
        <v>5030</v>
      </c>
      <c r="C2339" s="17" t="s">
        <v>5031</v>
      </c>
    </row>
    <row r="2340" spans="1:3">
      <c r="A2340" s="19">
        <v>918837275</v>
      </c>
      <c r="B2340" s="19" t="s">
        <v>5032</v>
      </c>
      <c r="C2340" s="17" t="s">
        <v>5033</v>
      </c>
    </row>
    <row r="2341" spans="1:3">
      <c r="A2341" s="19">
        <v>918837288</v>
      </c>
      <c r="B2341" s="19" t="s">
        <v>5034</v>
      </c>
      <c r="C2341" s="17" t="s">
        <v>5035</v>
      </c>
    </row>
    <row r="2342" spans="1:3">
      <c r="A2342" s="19">
        <v>918837366</v>
      </c>
      <c r="B2342" s="19" t="s">
        <v>5036</v>
      </c>
      <c r="C2342" s="17" t="s">
        <v>5037</v>
      </c>
    </row>
    <row r="2343" spans="1:3">
      <c r="A2343" s="19">
        <v>918837405</v>
      </c>
      <c r="B2343" s="19" t="s">
        <v>5038</v>
      </c>
      <c r="C2343" s="17" t="s">
        <v>5039</v>
      </c>
    </row>
    <row r="2344" spans="1:3">
      <c r="A2344" s="19">
        <v>918837457</v>
      </c>
      <c r="B2344" s="19" t="s">
        <v>5040</v>
      </c>
      <c r="C2344" s="17" t="s">
        <v>5041</v>
      </c>
    </row>
    <row r="2345" spans="1:3">
      <c r="A2345" s="19">
        <v>918837509</v>
      </c>
      <c r="B2345" s="19" t="s">
        <v>5042</v>
      </c>
      <c r="C2345" s="17" t="s">
        <v>5043</v>
      </c>
    </row>
    <row r="2346" spans="1:3">
      <c r="A2346" s="19">
        <v>918837665</v>
      </c>
      <c r="B2346" s="19" t="s">
        <v>5044</v>
      </c>
      <c r="C2346" s="18" t="s">
        <v>5045</v>
      </c>
    </row>
    <row r="2347" spans="1:3">
      <c r="A2347" s="19">
        <v>918837730</v>
      </c>
      <c r="B2347" s="19" t="s">
        <v>5046</v>
      </c>
      <c r="C2347" s="17" t="s">
        <v>5047</v>
      </c>
    </row>
    <row r="2348" spans="1:3">
      <c r="A2348" s="19">
        <v>918837886</v>
      </c>
      <c r="B2348" s="19" t="s">
        <v>5048</v>
      </c>
      <c r="C2348" s="17" t="s">
        <v>5049</v>
      </c>
    </row>
    <row r="2349" spans="1:3">
      <c r="A2349" s="19">
        <v>918838042</v>
      </c>
      <c r="B2349" s="19" t="s">
        <v>5050</v>
      </c>
      <c r="C2349" s="17" t="s">
        <v>5051</v>
      </c>
    </row>
    <row r="2350" spans="1:3">
      <c r="A2350" s="19">
        <v>918838289</v>
      </c>
      <c r="B2350" s="19" t="s">
        <v>5052</v>
      </c>
      <c r="C2350" s="17" t="s">
        <v>5053</v>
      </c>
    </row>
    <row r="2351" spans="1:3">
      <c r="A2351" s="19">
        <v>918838367</v>
      </c>
      <c r="B2351" s="19" t="s">
        <v>5054</v>
      </c>
      <c r="C2351" s="17" t="s">
        <v>5055</v>
      </c>
    </row>
    <row r="2352" spans="1:3">
      <c r="A2352" s="19">
        <v>918838926</v>
      </c>
      <c r="B2352" s="19" t="s">
        <v>5056</v>
      </c>
      <c r="C2352" s="17" t="s">
        <v>5057</v>
      </c>
    </row>
    <row r="2353" spans="1:3">
      <c r="A2353" s="19">
        <v>918839004</v>
      </c>
      <c r="B2353" s="19" t="s">
        <v>5058</v>
      </c>
      <c r="C2353" s="17" t="s">
        <v>5059</v>
      </c>
    </row>
    <row r="2354" spans="1:3">
      <c r="A2354" s="19">
        <v>918839030</v>
      </c>
      <c r="B2354" s="19" t="s">
        <v>5060</v>
      </c>
      <c r="C2354" s="17" t="s">
        <v>5061</v>
      </c>
    </row>
    <row r="2355" spans="1:3">
      <c r="A2355" s="19">
        <v>918839134</v>
      </c>
      <c r="B2355" s="19" t="s">
        <v>5062</v>
      </c>
      <c r="C2355" s="17" t="s">
        <v>5063</v>
      </c>
    </row>
    <row r="2356" spans="1:3">
      <c r="A2356" s="19">
        <v>918839329</v>
      </c>
      <c r="B2356" s="19" t="s">
        <v>5064</v>
      </c>
      <c r="C2356" s="17" t="s">
        <v>5065</v>
      </c>
    </row>
    <row r="2357" spans="1:3">
      <c r="A2357" s="19">
        <v>918839342</v>
      </c>
      <c r="B2357" s="19" t="s">
        <v>5066</v>
      </c>
      <c r="C2357" s="17" t="s">
        <v>5067</v>
      </c>
    </row>
    <row r="2358" spans="1:3">
      <c r="A2358" s="19">
        <v>918839355</v>
      </c>
      <c r="B2358" s="19" t="s">
        <v>5068</v>
      </c>
      <c r="C2358" s="17" t="s">
        <v>5069</v>
      </c>
    </row>
    <row r="2359" spans="1:3">
      <c r="A2359" s="19">
        <v>918839368</v>
      </c>
      <c r="B2359" s="19" t="s">
        <v>5070</v>
      </c>
      <c r="C2359" s="17" t="s">
        <v>5071</v>
      </c>
    </row>
    <row r="2360" spans="1:3">
      <c r="A2360" s="19">
        <v>918839381</v>
      </c>
      <c r="B2360" s="19" t="s">
        <v>5072</v>
      </c>
      <c r="C2360" s="17" t="s">
        <v>5073</v>
      </c>
    </row>
    <row r="2361" spans="1:3">
      <c r="A2361" s="19">
        <v>918839394</v>
      </c>
      <c r="B2361" s="19" t="s">
        <v>5074</v>
      </c>
      <c r="C2361" s="17" t="s">
        <v>5075</v>
      </c>
    </row>
    <row r="2362" spans="1:3">
      <c r="A2362" s="19">
        <v>918839407</v>
      </c>
      <c r="B2362" s="19" t="s">
        <v>5076</v>
      </c>
      <c r="C2362" s="17" t="s">
        <v>5077</v>
      </c>
    </row>
    <row r="2363" spans="1:3">
      <c r="A2363" s="19">
        <v>918839420</v>
      </c>
      <c r="B2363" s="19" t="s">
        <v>5078</v>
      </c>
      <c r="C2363" s="17" t="s">
        <v>5079</v>
      </c>
    </row>
    <row r="2364" spans="1:3">
      <c r="A2364" s="19">
        <v>918839433</v>
      </c>
      <c r="B2364" s="19" t="s">
        <v>5080</v>
      </c>
      <c r="C2364" s="17" t="s">
        <v>5081</v>
      </c>
    </row>
    <row r="2365" spans="1:3">
      <c r="A2365" s="19">
        <v>918839446</v>
      </c>
      <c r="B2365" s="19" t="s">
        <v>5082</v>
      </c>
      <c r="C2365" s="17" t="s">
        <v>5083</v>
      </c>
    </row>
    <row r="2366" spans="1:3">
      <c r="A2366" s="19">
        <v>918839459</v>
      </c>
      <c r="B2366" s="19" t="s">
        <v>5084</v>
      </c>
      <c r="C2366" s="17" t="s">
        <v>5085</v>
      </c>
    </row>
    <row r="2367" spans="1:3">
      <c r="A2367" s="19">
        <v>918839472</v>
      </c>
      <c r="B2367" s="19" t="s">
        <v>5086</v>
      </c>
      <c r="C2367" s="17" t="s">
        <v>5087</v>
      </c>
    </row>
    <row r="2368" spans="1:3">
      <c r="A2368" s="19">
        <v>918839485</v>
      </c>
      <c r="B2368" s="19" t="s">
        <v>5088</v>
      </c>
      <c r="C2368" s="17" t="s">
        <v>5089</v>
      </c>
    </row>
    <row r="2369" spans="1:3">
      <c r="A2369" s="19">
        <v>918839498</v>
      </c>
      <c r="B2369" s="19" t="s">
        <v>5090</v>
      </c>
      <c r="C2369" s="17" t="s">
        <v>5091</v>
      </c>
    </row>
    <row r="2370" spans="1:3">
      <c r="A2370" s="19">
        <v>918839524</v>
      </c>
      <c r="B2370" s="19" t="s">
        <v>5092</v>
      </c>
      <c r="C2370" s="18" t="s">
        <v>5093</v>
      </c>
    </row>
    <row r="2371" spans="1:3">
      <c r="A2371" s="19">
        <v>918839537</v>
      </c>
      <c r="B2371" s="19" t="s">
        <v>5094</v>
      </c>
      <c r="C2371" s="17" t="s">
        <v>5095</v>
      </c>
    </row>
    <row r="2372" spans="1:3">
      <c r="A2372" s="19">
        <v>918839563</v>
      </c>
      <c r="B2372" s="19" t="s">
        <v>5096</v>
      </c>
      <c r="C2372" s="17" t="s">
        <v>5097</v>
      </c>
    </row>
    <row r="2373" spans="1:3">
      <c r="A2373" s="19">
        <v>918839576</v>
      </c>
      <c r="B2373" s="19" t="s">
        <v>5098</v>
      </c>
      <c r="C2373" s="17" t="s">
        <v>5099</v>
      </c>
    </row>
    <row r="2374" spans="1:3">
      <c r="A2374" s="19">
        <v>918839589</v>
      </c>
      <c r="B2374" s="19" t="s">
        <v>5100</v>
      </c>
      <c r="C2374" s="17" t="s">
        <v>5101</v>
      </c>
    </row>
    <row r="2375" spans="1:3">
      <c r="A2375" s="19">
        <v>918839602</v>
      </c>
      <c r="B2375" s="19" t="s">
        <v>5102</v>
      </c>
      <c r="C2375" s="17" t="s">
        <v>5103</v>
      </c>
    </row>
    <row r="2376" spans="1:3">
      <c r="A2376" s="19">
        <v>918839615</v>
      </c>
      <c r="B2376" s="19" t="s">
        <v>5104</v>
      </c>
      <c r="C2376" s="17" t="s">
        <v>5105</v>
      </c>
    </row>
    <row r="2377" spans="1:3">
      <c r="A2377" s="19">
        <v>918839628</v>
      </c>
      <c r="B2377" s="19" t="s">
        <v>5106</v>
      </c>
      <c r="C2377" s="17" t="s">
        <v>5107</v>
      </c>
    </row>
    <row r="2378" spans="1:3">
      <c r="A2378" s="19">
        <v>918839940</v>
      </c>
      <c r="B2378" s="19" t="s">
        <v>5108</v>
      </c>
      <c r="C2378" s="17" t="s">
        <v>5109</v>
      </c>
    </row>
    <row r="2379" spans="1:3">
      <c r="A2379" s="19">
        <v>918840018</v>
      </c>
      <c r="B2379" s="19" t="s">
        <v>5110</v>
      </c>
      <c r="C2379" s="17" t="s">
        <v>5111</v>
      </c>
    </row>
    <row r="2380" spans="1:3">
      <c r="A2380" s="19">
        <v>918840044</v>
      </c>
      <c r="B2380" s="19" t="s">
        <v>5112</v>
      </c>
      <c r="C2380" s="17" t="s">
        <v>5113</v>
      </c>
    </row>
    <row r="2381" spans="1:3">
      <c r="A2381" s="19">
        <v>918840070</v>
      </c>
      <c r="B2381" s="19" t="s">
        <v>5114</v>
      </c>
      <c r="C2381" s="17" t="s">
        <v>5115</v>
      </c>
    </row>
    <row r="2382" spans="1:3">
      <c r="A2382" s="19">
        <v>918840213</v>
      </c>
      <c r="B2382" s="19" t="s">
        <v>5116</v>
      </c>
      <c r="C2382" s="17" t="s">
        <v>5117</v>
      </c>
    </row>
    <row r="2383" spans="1:3">
      <c r="A2383" s="19">
        <v>918840226</v>
      </c>
      <c r="B2383" s="19" t="s">
        <v>5118</v>
      </c>
      <c r="C2383" s="17" t="s">
        <v>5119</v>
      </c>
    </row>
    <row r="2384" spans="1:3">
      <c r="A2384" s="19">
        <v>918840317</v>
      </c>
      <c r="B2384" s="19" t="s">
        <v>5120</v>
      </c>
      <c r="C2384" s="17" t="s">
        <v>5121</v>
      </c>
    </row>
    <row r="2385" spans="1:3">
      <c r="A2385" s="19">
        <v>918840447</v>
      </c>
      <c r="B2385" s="19" t="s">
        <v>5122</v>
      </c>
      <c r="C2385" s="18" t="s">
        <v>5123</v>
      </c>
    </row>
    <row r="2386" spans="1:3">
      <c r="A2386" s="19">
        <v>918840460</v>
      </c>
      <c r="B2386" s="19" t="s">
        <v>5124</v>
      </c>
      <c r="C2386" s="17" t="s">
        <v>5125</v>
      </c>
    </row>
    <row r="2387" spans="1:3">
      <c r="A2387" s="19">
        <v>918840486</v>
      </c>
      <c r="B2387" s="19" t="s">
        <v>5126</v>
      </c>
      <c r="C2387" s="17" t="s">
        <v>5127</v>
      </c>
    </row>
    <row r="2388" spans="1:3">
      <c r="A2388" s="19">
        <v>918840512</v>
      </c>
      <c r="B2388" s="19" t="s">
        <v>5128</v>
      </c>
      <c r="C2388" s="17" t="s">
        <v>5129</v>
      </c>
    </row>
    <row r="2389" spans="1:3">
      <c r="A2389" s="19">
        <v>918840525</v>
      </c>
      <c r="B2389" s="19" t="s">
        <v>5130</v>
      </c>
      <c r="C2389" s="17" t="s">
        <v>5131</v>
      </c>
    </row>
    <row r="2390" spans="1:3">
      <c r="A2390" s="19">
        <v>918840616</v>
      </c>
      <c r="B2390" s="19" t="s">
        <v>5132</v>
      </c>
      <c r="C2390" s="17" t="s">
        <v>5133</v>
      </c>
    </row>
    <row r="2391" spans="1:3">
      <c r="A2391" s="19">
        <v>918840889</v>
      </c>
      <c r="B2391" s="19" t="s">
        <v>5134</v>
      </c>
      <c r="C2391" s="17" t="s">
        <v>5135</v>
      </c>
    </row>
    <row r="2392" spans="1:3">
      <c r="A2392" s="19">
        <v>918840928</v>
      </c>
      <c r="B2392" s="19" t="s">
        <v>5136</v>
      </c>
      <c r="C2392" s="17" t="s">
        <v>5137</v>
      </c>
    </row>
    <row r="2393" spans="1:3">
      <c r="A2393" s="19">
        <v>918840980</v>
      </c>
      <c r="B2393" s="19" t="s">
        <v>5138</v>
      </c>
      <c r="C2393" s="17" t="s">
        <v>5139</v>
      </c>
    </row>
    <row r="2394" spans="1:3">
      <c r="A2394" s="19">
        <v>918841006</v>
      </c>
      <c r="B2394" s="19" t="s">
        <v>5140</v>
      </c>
      <c r="C2394" s="17" t="s">
        <v>5141</v>
      </c>
    </row>
    <row r="2395" spans="1:3">
      <c r="A2395" s="19">
        <v>918841045</v>
      </c>
      <c r="B2395" s="19" t="s">
        <v>5142</v>
      </c>
      <c r="C2395" s="18" t="s">
        <v>5143</v>
      </c>
    </row>
    <row r="2396" spans="1:3">
      <c r="A2396" s="19">
        <v>918841058</v>
      </c>
      <c r="B2396" s="19" t="s">
        <v>5144</v>
      </c>
      <c r="C2396" s="17" t="s">
        <v>5145</v>
      </c>
    </row>
    <row r="2397" spans="1:3">
      <c r="A2397" s="19">
        <v>918841084</v>
      </c>
      <c r="B2397" s="19" t="s">
        <v>5146</v>
      </c>
      <c r="C2397" s="17" t="s">
        <v>5147</v>
      </c>
    </row>
    <row r="2398" spans="1:3">
      <c r="A2398" s="19">
        <v>918841292</v>
      </c>
      <c r="B2398" s="19" t="s">
        <v>5148</v>
      </c>
      <c r="C2398" s="17" t="s">
        <v>5149</v>
      </c>
    </row>
    <row r="2399" spans="1:3">
      <c r="A2399" s="19">
        <v>918841344</v>
      </c>
      <c r="B2399" s="19" t="s">
        <v>5150</v>
      </c>
      <c r="C2399" s="17" t="s">
        <v>5151</v>
      </c>
    </row>
    <row r="2400" spans="1:3">
      <c r="A2400" s="19">
        <v>918841357</v>
      </c>
      <c r="B2400" s="19" t="s">
        <v>5152</v>
      </c>
      <c r="C2400" s="17" t="s">
        <v>5153</v>
      </c>
    </row>
    <row r="2401" spans="1:3">
      <c r="A2401" s="19">
        <v>918841422</v>
      </c>
      <c r="B2401" s="19" t="s">
        <v>5154</v>
      </c>
      <c r="C2401" s="17" t="s">
        <v>5155</v>
      </c>
    </row>
    <row r="2402" spans="1:3">
      <c r="A2402" s="19">
        <v>918841591</v>
      </c>
      <c r="B2402" s="19" t="s">
        <v>5156</v>
      </c>
      <c r="C2402" s="17" t="s">
        <v>5157</v>
      </c>
    </row>
    <row r="2403" spans="1:3">
      <c r="A2403" s="19">
        <v>918841708</v>
      </c>
      <c r="B2403" s="19" t="s">
        <v>5158</v>
      </c>
      <c r="C2403" s="17" t="s">
        <v>5159</v>
      </c>
    </row>
    <row r="2404" spans="1:3">
      <c r="A2404" s="19">
        <v>918841955</v>
      </c>
      <c r="B2404" s="19" t="s">
        <v>5160</v>
      </c>
      <c r="C2404" s="17" t="s">
        <v>5161</v>
      </c>
    </row>
    <row r="2405" spans="1:3">
      <c r="A2405" s="19">
        <v>918842280</v>
      </c>
      <c r="B2405" s="19" t="s">
        <v>5162</v>
      </c>
      <c r="C2405" s="17" t="s">
        <v>5163</v>
      </c>
    </row>
    <row r="2406" spans="1:3">
      <c r="A2406" s="19">
        <v>918842293</v>
      </c>
      <c r="B2406" s="19" t="s">
        <v>5164</v>
      </c>
      <c r="C2406" s="17" t="s">
        <v>5165</v>
      </c>
    </row>
    <row r="2407" spans="1:3">
      <c r="A2407" s="19">
        <v>918842384</v>
      </c>
      <c r="B2407" s="19" t="s">
        <v>5166</v>
      </c>
      <c r="C2407" s="17" t="s">
        <v>5167</v>
      </c>
    </row>
    <row r="2408" spans="1:3">
      <c r="A2408" s="19">
        <v>918842397</v>
      </c>
      <c r="B2408" s="19" t="s">
        <v>5168</v>
      </c>
      <c r="C2408" s="17" t="s">
        <v>5169</v>
      </c>
    </row>
    <row r="2409" spans="1:3">
      <c r="A2409" s="15">
        <v>918842436</v>
      </c>
      <c r="B2409" s="1" t="s">
        <v>5170</v>
      </c>
      <c r="C2409" s="18" t="s">
        <v>5171</v>
      </c>
    </row>
    <row r="2410" spans="1:3">
      <c r="A2410" s="19">
        <v>918842566</v>
      </c>
      <c r="B2410" s="19" t="s">
        <v>5172</v>
      </c>
      <c r="C2410" s="17" t="s">
        <v>5173</v>
      </c>
    </row>
    <row r="2411" spans="1:3">
      <c r="A2411" s="19">
        <v>918842709</v>
      </c>
      <c r="B2411" s="19" t="s">
        <v>5174</v>
      </c>
      <c r="C2411" s="17" t="s">
        <v>5175</v>
      </c>
    </row>
    <row r="2412" spans="1:3">
      <c r="A2412" s="19">
        <v>918842722</v>
      </c>
      <c r="B2412" s="19" t="s">
        <v>5176</v>
      </c>
      <c r="C2412" s="17" t="s">
        <v>5177</v>
      </c>
    </row>
    <row r="2413" spans="1:3">
      <c r="A2413" s="19">
        <v>918842735</v>
      </c>
      <c r="B2413" s="19" t="s">
        <v>5178</v>
      </c>
      <c r="C2413" s="17" t="s">
        <v>5179</v>
      </c>
    </row>
    <row r="2414" spans="1:3">
      <c r="A2414" s="19">
        <v>918842774</v>
      </c>
      <c r="B2414" s="19" t="s">
        <v>5180</v>
      </c>
      <c r="C2414" s="17" t="s">
        <v>5181</v>
      </c>
    </row>
    <row r="2415" spans="1:3">
      <c r="A2415" s="19">
        <v>918842982</v>
      </c>
      <c r="B2415" s="19" t="s">
        <v>5182</v>
      </c>
      <c r="C2415" s="17" t="s">
        <v>5183</v>
      </c>
    </row>
    <row r="2416" spans="1:3">
      <c r="A2416" s="19">
        <v>918843008</v>
      </c>
      <c r="B2416" s="19" t="s">
        <v>5184</v>
      </c>
      <c r="C2416" s="17" t="s">
        <v>5185</v>
      </c>
    </row>
    <row r="2417" spans="1:3">
      <c r="A2417" s="19">
        <v>918843086</v>
      </c>
      <c r="B2417" s="19" t="s">
        <v>5186</v>
      </c>
      <c r="C2417" s="17" t="s">
        <v>5187</v>
      </c>
    </row>
    <row r="2418" spans="1:3">
      <c r="A2418" s="19">
        <v>918843164</v>
      </c>
      <c r="B2418" s="19" t="s">
        <v>5188</v>
      </c>
      <c r="C2418" s="18" t="s">
        <v>5189</v>
      </c>
    </row>
    <row r="2419" spans="1:3">
      <c r="A2419" s="19">
        <v>918843190</v>
      </c>
      <c r="B2419" s="19" t="s">
        <v>5190</v>
      </c>
      <c r="C2419" s="17" t="s">
        <v>5191</v>
      </c>
    </row>
    <row r="2420" spans="1:3">
      <c r="A2420" s="19">
        <v>918843216</v>
      </c>
      <c r="B2420" s="19" t="s">
        <v>5192</v>
      </c>
      <c r="C2420" s="17" t="s">
        <v>5193</v>
      </c>
    </row>
    <row r="2421" spans="1:3">
      <c r="A2421" s="19">
        <v>918843255</v>
      </c>
      <c r="B2421" s="19" t="s">
        <v>5194</v>
      </c>
      <c r="C2421" s="17" t="s">
        <v>5195</v>
      </c>
    </row>
    <row r="2422" spans="1:3">
      <c r="A2422" s="19">
        <v>918843320</v>
      </c>
      <c r="B2422" s="19" t="s">
        <v>5196</v>
      </c>
      <c r="C2422" s="17" t="s">
        <v>5197</v>
      </c>
    </row>
    <row r="2423" spans="1:3">
      <c r="A2423" s="19">
        <v>918843372</v>
      </c>
      <c r="B2423" s="19" t="s">
        <v>5198</v>
      </c>
      <c r="C2423" s="17" t="s">
        <v>5199</v>
      </c>
    </row>
    <row r="2424" spans="1:3">
      <c r="A2424" s="19">
        <v>918843463</v>
      </c>
      <c r="B2424" s="19" t="s">
        <v>5200</v>
      </c>
      <c r="C2424" s="17" t="s">
        <v>5201</v>
      </c>
    </row>
    <row r="2425" spans="1:3">
      <c r="A2425" s="19">
        <v>918843476</v>
      </c>
      <c r="B2425" s="19" t="s">
        <v>5202</v>
      </c>
      <c r="C2425" s="17" t="s">
        <v>5203</v>
      </c>
    </row>
    <row r="2426" spans="1:3">
      <c r="A2426" s="19">
        <v>918843502</v>
      </c>
      <c r="B2426" s="19" t="s">
        <v>5204</v>
      </c>
      <c r="C2426" s="17" t="s">
        <v>5205</v>
      </c>
    </row>
    <row r="2427" spans="1:3">
      <c r="A2427" s="19">
        <v>918843580</v>
      </c>
      <c r="B2427" s="19" t="s">
        <v>5206</v>
      </c>
      <c r="C2427" s="17" t="s">
        <v>5207</v>
      </c>
    </row>
    <row r="2428" spans="1:3">
      <c r="A2428" s="19">
        <v>918843593</v>
      </c>
      <c r="B2428" s="19" t="s">
        <v>5208</v>
      </c>
      <c r="C2428" s="17" t="s">
        <v>5209</v>
      </c>
    </row>
    <row r="2429" spans="1:3">
      <c r="A2429" s="19">
        <v>918843645</v>
      </c>
      <c r="B2429" s="19" t="s">
        <v>5210</v>
      </c>
      <c r="C2429" s="17" t="s">
        <v>5211</v>
      </c>
    </row>
    <row r="2430" spans="1:3">
      <c r="A2430" s="19">
        <v>918843684</v>
      </c>
      <c r="B2430" s="19" t="s">
        <v>5212</v>
      </c>
      <c r="C2430" s="17" t="s">
        <v>5213</v>
      </c>
    </row>
    <row r="2431" spans="1:3">
      <c r="A2431" s="19">
        <v>918843697</v>
      </c>
      <c r="B2431" s="19" t="s">
        <v>5214</v>
      </c>
      <c r="C2431" s="17" t="s">
        <v>5215</v>
      </c>
    </row>
    <row r="2432" spans="1:3">
      <c r="A2432" s="19">
        <v>918843723</v>
      </c>
      <c r="B2432" s="19" t="s">
        <v>5216</v>
      </c>
      <c r="C2432" s="17" t="s">
        <v>5217</v>
      </c>
    </row>
    <row r="2433" spans="1:3">
      <c r="A2433" s="19">
        <v>918843775</v>
      </c>
      <c r="B2433" s="19" t="s">
        <v>5218</v>
      </c>
      <c r="C2433" s="17" t="s">
        <v>5219</v>
      </c>
    </row>
    <row r="2434" spans="1:3">
      <c r="A2434" s="19">
        <v>918843879</v>
      </c>
      <c r="B2434" s="19" t="s">
        <v>5220</v>
      </c>
      <c r="C2434" s="17" t="s">
        <v>5221</v>
      </c>
    </row>
    <row r="2435" spans="1:3">
      <c r="A2435" s="19">
        <v>918843892</v>
      </c>
      <c r="B2435" s="19" t="s">
        <v>5222</v>
      </c>
      <c r="C2435" s="17" t="s">
        <v>5223</v>
      </c>
    </row>
    <row r="2436" spans="1:3">
      <c r="A2436" s="19">
        <v>918843931</v>
      </c>
      <c r="B2436" s="19" t="s">
        <v>5224</v>
      </c>
      <c r="C2436" s="17" t="s">
        <v>5225</v>
      </c>
    </row>
    <row r="2437" spans="1:3">
      <c r="A2437" s="19">
        <v>918843970</v>
      </c>
      <c r="B2437" s="19" t="s">
        <v>5226</v>
      </c>
      <c r="C2437" s="17" t="s">
        <v>5227</v>
      </c>
    </row>
    <row r="2438" spans="1:3">
      <c r="A2438" s="19">
        <v>918844321</v>
      </c>
      <c r="B2438" s="19" t="s">
        <v>5228</v>
      </c>
      <c r="C2438" s="17" t="s">
        <v>5229</v>
      </c>
    </row>
    <row r="2439" spans="1:3">
      <c r="A2439" s="15">
        <v>918844477</v>
      </c>
      <c r="B2439" s="1" t="s">
        <v>5230</v>
      </c>
      <c r="C2439" s="20" t="s">
        <v>5231</v>
      </c>
    </row>
    <row r="2440" spans="1:3">
      <c r="A2440" s="19">
        <v>918844958</v>
      </c>
      <c r="B2440" s="19" t="s">
        <v>5232</v>
      </c>
      <c r="C2440" s="17" t="s">
        <v>5233</v>
      </c>
    </row>
    <row r="2441" spans="1:3">
      <c r="A2441" s="19">
        <v>918844984</v>
      </c>
      <c r="B2441" s="19" t="s">
        <v>5234</v>
      </c>
      <c r="C2441" s="17" t="s">
        <v>5235</v>
      </c>
    </row>
    <row r="2442" spans="1:3">
      <c r="A2442" s="19">
        <v>918845010</v>
      </c>
      <c r="B2442" s="19" t="s">
        <v>5236</v>
      </c>
      <c r="C2442" s="18" t="s">
        <v>5237</v>
      </c>
    </row>
    <row r="2443" spans="1:3">
      <c r="A2443" s="19">
        <v>918845075</v>
      </c>
      <c r="B2443" s="19" t="s">
        <v>5238</v>
      </c>
      <c r="C2443" s="17" t="s">
        <v>5239</v>
      </c>
    </row>
    <row r="2444" spans="1:3">
      <c r="A2444" s="19">
        <v>918845153</v>
      </c>
      <c r="B2444" s="19" t="s">
        <v>5240</v>
      </c>
      <c r="C2444" s="17" t="s">
        <v>5241</v>
      </c>
    </row>
    <row r="2445" spans="1:3">
      <c r="A2445" s="19">
        <v>918845205</v>
      </c>
      <c r="B2445" s="19" t="s">
        <v>5242</v>
      </c>
      <c r="C2445" s="17" t="s">
        <v>5243</v>
      </c>
    </row>
    <row r="2446" spans="1:3">
      <c r="A2446" s="19">
        <v>918845244</v>
      </c>
      <c r="B2446" s="19" t="s">
        <v>5244</v>
      </c>
      <c r="C2446" s="17" t="s">
        <v>5245</v>
      </c>
    </row>
    <row r="2447" spans="1:3">
      <c r="A2447" s="19">
        <v>918845335</v>
      </c>
      <c r="B2447" s="19" t="s">
        <v>5246</v>
      </c>
      <c r="C2447" s="17" t="s">
        <v>5247</v>
      </c>
    </row>
    <row r="2448" spans="1:3">
      <c r="A2448" s="19">
        <v>918845348</v>
      </c>
      <c r="B2448" s="19" t="s">
        <v>5248</v>
      </c>
      <c r="C2448" s="17" t="s">
        <v>5249</v>
      </c>
    </row>
    <row r="2449" spans="1:3">
      <c r="A2449" s="19">
        <v>918845374</v>
      </c>
      <c r="B2449" s="19" t="s">
        <v>5250</v>
      </c>
      <c r="C2449" s="17" t="s">
        <v>5251</v>
      </c>
    </row>
    <row r="2450" spans="1:3">
      <c r="A2450" s="19">
        <v>918845400</v>
      </c>
      <c r="B2450" s="19" t="s">
        <v>5252</v>
      </c>
      <c r="C2450" s="17" t="s">
        <v>5253</v>
      </c>
    </row>
    <row r="2451" spans="1:3">
      <c r="A2451" s="19">
        <v>918845413</v>
      </c>
      <c r="B2451" s="19" t="s">
        <v>5254</v>
      </c>
      <c r="C2451" s="17" t="s">
        <v>5255</v>
      </c>
    </row>
    <row r="2452" spans="1:3">
      <c r="A2452" s="19">
        <v>918845504</v>
      </c>
      <c r="B2452" s="19" t="s">
        <v>5256</v>
      </c>
      <c r="C2452" s="17" t="s">
        <v>5257</v>
      </c>
    </row>
    <row r="2453" spans="1:3">
      <c r="A2453" s="19">
        <v>918845556</v>
      </c>
      <c r="B2453" s="19" t="s">
        <v>5258</v>
      </c>
      <c r="C2453" s="17" t="s">
        <v>5259</v>
      </c>
    </row>
    <row r="2454" spans="1:3">
      <c r="A2454" s="19">
        <v>918845569</v>
      </c>
      <c r="B2454" s="19" t="s">
        <v>5260</v>
      </c>
      <c r="C2454" s="17" t="s">
        <v>5261</v>
      </c>
    </row>
    <row r="2455" spans="1:3">
      <c r="A2455" s="19">
        <v>918845595</v>
      </c>
      <c r="B2455" s="19" t="s">
        <v>5262</v>
      </c>
      <c r="C2455" s="17" t="s">
        <v>5263</v>
      </c>
    </row>
    <row r="2456" spans="1:3">
      <c r="A2456" s="19">
        <v>918845608</v>
      </c>
      <c r="B2456" s="19" t="s">
        <v>5264</v>
      </c>
      <c r="C2456" s="17" t="s">
        <v>5265</v>
      </c>
    </row>
    <row r="2457" spans="1:3">
      <c r="A2457" s="19">
        <v>918845621</v>
      </c>
      <c r="B2457" s="19" t="s">
        <v>5266</v>
      </c>
      <c r="C2457" s="17" t="s">
        <v>5267</v>
      </c>
    </row>
    <row r="2458" spans="1:3">
      <c r="A2458" s="19">
        <v>918845712</v>
      </c>
      <c r="B2458" s="19" t="s">
        <v>5268</v>
      </c>
      <c r="C2458" s="17" t="s">
        <v>5269</v>
      </c>
    </row>
    <row r="2459" spans="1:3">
      <c r="A2459" s="19">
        <v>918846011</v>
      </c>
      <c r="B2459" s="19" t="s">
        <v>5270</v>
      </c>
      <c r="C2459" s="17" t="s">
        <v>5271</v>
      </c>
    </row>
    <row r="2460" spans="1:3">
      <c r="A2460" s="19">
        <v>918846037</v>
      </c>
      <c r="B2460" s="19" t="s">
        <v>5272</v>
      </c>
      <c r="C2460" s="17" t="s">
        <v>5273</v>
      </c>
    </row>
    <row r="2461" spans="1:3">
      <c r="A2461" s="19">
        <v>918846245</v>
      </c>
      <c r="B2461" s="19" t="s">
        <v>5274</v>
      </c>
      <c r="C2461" s="17" t="s">
        <v>5275</v>
      </c>
    </row>
    <row r="2462" spans="1:3">
      <c r="A2462" s="19">
        <v>918846908</v>
      </c>
      <c r="B2462" s="19" t="s">
        <v>5276</v>
      </c>
      <c r="C2462" s="17" t="s">
        <v>5277</v>
      </c>
    </row>
    <row r="2463" spans="1:3">
      <c r="A2463" s="19">
        <v>918846973</v>
      </c>
      <c r="B2463" s="19" t="s">
        <v>5278</v>
      </c>
      <c r="C2463" s="17" t="s">
        <v>5279</v>
      </c>
    </row>
    <row r="2464" spans="1:3">
      <c r="A2464" s="19">
        <v>918847142</v>
      </c>
      <c r="B2464" s="19" t="s">
        <v>5280</v>
      </c>
      <c r="C2464" s="17" t="s">
        <v>5281</v>
      </c>
    </row>
    <row r="2465" spans="1:3">
      <c r="A2465" s="19">
        <v>918847181</v>
      </c>
      <c r="B2465" s="19" t="s">
        <v>5282</v>
      </c>
      <c r="C2465" s="17" t="s">
        <v>5283</v>
      </c>
    </row>
    <row r="2466" spans="1:3">
      <c r="A2466" s="19">
        <v>918847194</v>
      </c>
      <c r="B2466" s="19" t="s">
        <v>5284</v>
      </c>
      <c r="C2466" s="17" t="s">
        <v>5285</v>
      </c>
    </row>
    <row r="2467" spans="1:3">
      <c r="A2467" s="19">
        <v>918847207</v>
      </c>
      <c r="B2467" s="19" t="s">
        <v>5286</v>
      </c>
      <c r="C2467" s="17" t="s">
        <v>5287</v>
      </c>
    </row>
    <row r="2468" spans="1:3">
      <c r="A2468" s="19">
        <v>918847220</v>
      </c>
      <c r="B2468" s="19" t="s">
        <v>5288</v>
      </c>
      <c r="C2468" s="17" t="s">
        <v>5289</v>
      </c>
    </row>
    <row r="2469" spans="1:3">
      <c r="A2469" s="19">
        <v>918847272</v>
      </c>
      <c r="B2469" s="19" t="s">
        <v>5290</v>
      </c>
      <c r="C2469" s="17" t="s">
        <v>5291</v>
      </c>
    </row>
    <row r="2470" spans="1:3">
      <c r="A2470" s="19">
        <v>918847311</v>
      </c>
      <c r="B2470" s="19" t="s">
        <v>5292</v>
      </c>
      <c r="C2470" s="17" t="s">
        <v>5293</v>
      </c>
    </row>
    <row r="2471" spans="1:3">
      <c r="A2471" s="19">
        <v>918847337</v>
      </c>
      <c r="B2471" s="19" t="s">
        <v>5294</v>
      </c>
      <c r="C2471" s="17" t="s">
        <v>5295</v>
      </c>
    </row>
    <row r="2472" spans="1:3">
      <c r="A2472" s="19">
        <v>918847415</v>
      </c>
      <c r="B2472" s="19" t="s">
        <v>5296</v>
      </c>
      <c r="C2472" s="17" t="s">
        <v>5297</v>
      </c>
    </row>
    <row r="2473" spans="1:3">
      <c r="A2473" s="19">
        <v>918847454</v>
      </c>
      <c r="B2473" s="19" t="s">
        <v>5298</v>
      </c>
      <c r="C2473" s="17" t="s">
        <v>5299</v>
      </c>
    </row>
    <row r="2474" spans="1:3">
      <c r="A2474" s="19">
        <v>918847818</v>
      </c>
      <c r="B2474" s="19" t="s">
        <v>5300</v>
      </c>
      <c r="C2474" s="18" t="s">
        <v>5301</v>
      </c>
    </row>
    <row r="2475" spans="1:3">
      <c r="A2475" s="19">
        <v>918847883</v>
      </c>
      <c r="B2475" s="19" t="s">
        <v>5302</v>
      </c>
      <c r="C2475" s="17" t="s">
        <v>5303</v>
      </c>
    </row>
    <row r="2476" spans="1:3">
      <c r="A2476" s="19">
        <v>918847974</v>
      </c>
      <c r="B2476" s="19" t="s">
        <v>5304</v>
      </c>
      <c r="C2476" s="17" t="s">
        <v>5305</v>
      </c>
    </row>
    <row r="2477" spans="1:3">
      <c r="A2477" s="19">
        <v>918848065</v>
      </c>
      <c r="B2477" s="19" t="s">
        <v>5306</v>
      </c>
      <c r="C2477" s="17" t="s">
        <v>5307</v>
      </c>
    </row>
    <row r="2478" spans="1:3">
      <c r="A2478" s="19">
        <v>918848078</v>
      </c>
      <c r="B2478" s="19" t="s">
        <v>5308</v>
      </c>
      <c r="C2478" s="17" t="s">
        <v>5309</v>
      </c>
    </row>
    <row r="2479" spans="1:3">
      <c r="A2479" s="19">
        <v>918848234</v>
      </c>
      <c r="B2479" s="19" t="s">
        <v>5310</v>
      </c>
      <c r="C2479" s="17" t="s">
        <v>5311</v>
      </c>
    </row>
    <row r="2480" spans="1:3">
      <c r="A2480" s="19">
        <v>918848273</v>
      </c>
      <c r="B2480" s="19" t="s">
        <v>5312</v>
      </c>
      <c r="C2480" s="17" t="s">
        <v>5313</v>
      </c>
    </row>
    <row r="2481" spans="1:3">
      <c r="A2481" s="19">
        <v>918848351</v>
      </c>
      <c r="B2481" s="19" t="s">
        <v>5314</v>
      </c>
      <c r="C2481" s="17" t="s">
        <v>5315</v>
      </c>
    </row>
    <row r="2482" spans="1:3">
      <c r="A2482" s="19">
        <v>918848364</v>
      </c>
      <c r="B2482" s="19" t="s">
        <v>5316</v>
      </c>
      <c r="C2482" s="17" t="s">
        <v>5317</v>
      </c>
    </row>
    <row r="2483" spans="1:3">
      <c r="A2483" s="19">
        <v>918848403</v>
      </c>
      <c r="B2483" s="19" t="s">
        <v>5318</v>
      </c>
      <c r="C2483" s="17" t="s">
        <v>5319</v>
      </c>
    </row>
    <row r="2484" spans="1:3">
      <c r="A2484" s="19">
        <v>918848442</v>
      </c>
      <c r="B2484" s="19" t="s">
        <v>5320</v>
      </c>
      <c r="C2484" s="18" t="s">
        <v>5321</v>
      </c>
    </row>
    <row r="2485" spans="1:3">
      <c r="A2485" s="19">
        <v>918848507</v>
      </c>
      <c r="B2485" s="19" t="s">
        <v>5322</v>
      </c>
      <c r="C2485" s="17" t="s">
        <v>5323</v>
      </c>
    </row>
    <row r="2486" spans="1:3">
      <c r="A2486" s="19">
        <v>918848520</v>
      </c>
      <c r="B2486" s="19" t="s">
        <v>5324</v>
      </c>
      <c r="C2486" s="18" t="s">
        <v>5325</v>
      </c>
    </row>
    <row r="2487" spans="1:3">
      <c r="A2487" s="19">
        <v>918848533</v>
      </c>
      <c r="B2487" s="19" t="s">
        <v>5326</v>
      </c>
      <c r="C2487" s="17" t="s">
        <v>5327</v>
      </c>
    </row>
    <row r="2488" spans="1:3">
      <c r="A2488" s="19">
        <v>918848546</v>
      </c>
      <c r="B2488" s="19" t="s">
        <v>5328</v>
      </c>
      <c r="C2488" s="17" t="s">
        <v>5329</v>
      </c>
    </row>
    <row r="2489" spans="1:3">
      <c r="A2489" s="19">
        <v>918848585</v>
      </c>
      <c r="B2489" s="19" t="s">
        <v>5330</v>
      </c>
      <c r="C2489" s="17" t="s">
        <v>5331</v>
      </c>
    </row>
    <row r="2490" spans="1:3">
      <c r="A2490" s="19">
        <v>918848598</v>
      </c>
      <c r="B2490" s="19" t="s">
        <v>5332</v>
      </c>
      <c r="C2490" s="17" t="s">
        <v>5333</v>
      </c>
    </row>
    <row r="2491" spans="1:3">
      <c r="A2491" s="19">
        <v>918848624</v>
      </c>
      <c r="B2491" s="19" t="s">
        <v>5334</v>
      </c>
      <c r="C2491" s="17" t="s">
        <v>5335</v>
      </c>
    </row>
    <row r="2492" spans="1:3">
      <c r="A2492" s="19">
        <v>918848637</v>
      </c>
      <c r="B2492" s="19" t="s">
        <v>5336</v>
      </c>
      <c r="C2492" s="17" t="s">
        <v>5337</v>
      </c>
    </row>
    <row r="2493" spans="1:3">
      <c r="A2493" s="19">
        <v>918848728</v>
      </c>
      <c r="B2493" s="19" t="s">
        <v>5338</v>
      </c>
      <c r="C2493" s="17" t="s">
        <v>5339</v>
      </c>
    </row>
    <row r="2494" spans="1:3">
      <c r="A2494" s="19">
        <v>918848780</v>
      </c>
      <c r="B2494" s="19" t="s">
        <v>5340</v>
      </c>
      <c r="C2494" s="17" t="s">
        <v>5341</v>
      </c>
    </row>
    <row r="2495" spans="1:3">
      <c r="A2495" s="19">
        <v>918848806</v>
      </c>
      <c r="B2495" s="19" t="s">
        <v>5342</v>
      </c>
      <c r="C2495" s="17" t="s">
        <v>5343</v>
      </c>
    </row>
    <row r="2496" spans="1:3">
      <c r="A2496" s="19">
        <v>918848819</v>
      </c>
      <c r="B2496" s="19" t="s">
        <v>5344</v>
      </c>
      <c r="C2496" s="17" t="s">
        <v>5345</v>
      </c>
    </row>
    <row r="2497" spans="1:3">
      <c r="A2497" s="19">
        <v>918848845</v>
      </c>
      <c r="B2497" s="19" t="s">
        <v>5346</v>
      </c>
      <c r="C2497" s="17" t="s">
        <v>5347</v>
      </c>
    </row>
    <row r="2498" spans="1:3">
      <c r="A2498" s="19">
        <v>918848897</v>
      </c>
      <c r="B2498" s="19" t="s">
        <v>5348</v>
      </c>
      <c r="C2498" s="17" t="s">
        <v>5349</v>
      </c>
    </row>
    <row r="2499" spans="1:3">
      <c r="A2499" s="19">
        <v>918848910</v>
      </c>
      <c r="B2499" s="19" t="s">
        <v>5350</v>
      </c>
      <c r="C2499" s="17" t="s">
        <v>5351</v>
      </c>
    </row>
    <row r="2500" spans="1:3">
      <c r="A2500" s="19">
        <v>918848923</v>
      </c>
      <c r="B2500" s="19" t="s">
        <v>5352</v>
      </c>
      <c r="C2500" s="17" t="s">
        <v>5353</v>
      </c>
    </row>
    <row r="2501" spans="1:3">
      <c r="A2501" s="19">
        <v>918848936</v>
      </c>
      <c r="B2501" s="19" t="s">
        <v>5354</v>
      </c>
      <c r="C2501" s="17" t="s">
        <v>5355</v>
      </c>
    </row>
    <row r="2502" spans="1:3">
      <c r="A2502" s="19">
        <v>918848949</v>
      </c>
      <c r="B2502" s="19" t="s">
        <v>5356</v>
      </c>
      <c r="C2502" s="17" t="s">
        <v>5357</v>
      </c>
    </row>
    <row r="2503" spans="1:3">
      <c r="A2503" s="19">
        <v>918848975</v>
      </c>
      <c r="B2503" s="19" t="s">
        <v>5358</v>
      </c>
      <c r="C2503" s="17" t="s">
        <v>5359</v>
      </c>
    </row>
    <row r="2504" spans="1:3">
      <c r="A2504" s="19">
        <v>918848988</v>
      </c>
      <c r="B2504" s="19" t="s">
        <v>5360</v>
      </c>
      <c r="C2504" s="17" t="s">
        <v>5361</v>
      </c>
    </row>
    <row r="2505" spans="1:3">
      <c r="A2505" s="19">
        <v>918849001</v>
      </c>
      <c r="B2505" s="19" t="s">
        <v>5362</v>
      </c>
      <c r="C2505" s="17" t="s">
        <v>5363</v>
      </c>
    </row>
    <row r="2506" spans="1:3">
      <c r="A2506" s="19">
        <v>918849027</v>
      </c>
      <c r="B2506" s="19" t="s">
        <v>5364</v>
      </c>
      <c r="C2506" s="17" t="s">
        <v>5365</v>
      </c>
    </row>
    <row r="2507" spans="1:3">
      <c r="A2507" s="19">
        <v>918849040</v>
      </c>
      <c r="B2507" s="19" t="s">
        <v>5366</v>
      </c>
      <c r="C2507" s="17" t="s">
        <v>5367</v>
      </c>
    </row>
    <row r="2508" spans="1:3">
      <c r="A2508" s="19">
        <v>918849053</v>
      </c>
      <c r="B2508" s="19" t="s">
        <v>5368</v>
      </c>
      <c r="C2508" s="17" t="s">
        <v>5369</v>
      </c>
    </row>
    <row r="2509" spans="1:3">
      <c r="A2509" s="19">
        <v>918849066</v>
      </c>
      <c r="B2509" s="19" t="s">
        <v>5370</v>
      </c>
      <c r="C2509" s="17" t="s">
        <v>5371</v>
      </c>
    </row>
    <row r="2510" spans="1:3">
      <c r="A2510" s="19">
        <v>918849079</v>
      </c>
      <c r="B2510" s="19" t="s">
        <v>5372</v>
      </c>
      <c r="C2510" s="17" t="s">
        <v>5373</v>
      </c>
    </row>
    <row r="2511" spans="1:3">
      <c r="A2511" s="19">
        <v>918849092</v>
      </c>
      <c r="B2511" s="19" t="s">
        <v>5374</v>
      </c>
      <c r="C2511" s="17" t="s">
        <v>5375</v>
      </c>
    </row>
    <row r="2512" spans="1:3">
      <c r="A2512" s="19">
        <v>918849144</v>
      </c>
      <c r="B2512" s="19" t="s">
        <v>5376</v>
      </c>
      <c r="C2512" s="17" t="s">
        <v>5377</v>
      </c>
    </row>
    <row r="2513" spans="1:3">
      <c r="A2513" s="19">
        <v>918849157</v>
      </c>
      <c r="B2513" s="19" t="s">
        <v>5378</v>
      </c>
      <c r="C2513" s="17" t="s">
        <v>5379</v>
      </c>
    </row>
    <row r="2514" spans="1:3">
      <c r="A2514" s="19">
        <v>918849170</v>
      </c>
      <c r="B2514" s="19" t="s">
        <v>5380</v>
      </c>
      <c r="C2514" s="17" t="s">
        <v>5381</v>
      </c>
    </row>
    <row r="2515" spans="1:3">
      <c r="A2515" s="19">
        <v>918849183</v>
      </c>
      <c r="B2515" s="19" t="s">
        <v>5382</v>
      </c>
      <c r="C2515" s="17" t="s">
        <v>5383</v>
      </c>
    </row>
    <row r="2516" spans="1:3">
      <c r="A2516" s="19">
        <v>918849196</v>
      </c>
      <c r="B2516" s="19" t="s">
        <v>5384</v>
      </c>
      <c r="C2516" s="17" t="s">
        <v>5385</v>
      </c>
    </row>
    <row r="2517" spans="1:3">
      <c r="A2517" s="19">
        <v>918849209</v>
      </c>
      <c r="B2517" s="19" t="s">
        <v>5386</v>
      </c>
      <c r="C2517" s="17" t="s">
        <v>5387</v>
      </c>
    </row>
    <row r="2518" spans="1:3">
      <c r="A2518" s="19">
        <v>918849222</v>
      </c>
      <c r="B2518" s="19" t="s">
        <v>5388</v>
      </c>
      <c r="C2518" s="17" t="s">
        <v>5389</v>
      </c>
    </row>
    <row r="2519" spans="1:3">
      <c r="A2519" s="19">
        <v>918849235</v>
      </c>
      <c r="B2519" s="19" t="s">
        <v>5390</v>
      </c>
      <c r="C2519" s="17" t="s">
        <v>5391</v>
      </c>
    </row>
    <row r="2520" spans="1:3">
      <c r="A2520" s="19">
        <v>918849248</v>
      </c>
      <c r="B2520" s="19" t="s">
        <v>5392</v>
      </c>
      <c r="C2520" s="17" t="s">
        <v>5393</v>
      </c>
    </row>
    <row r="2521" spans="1:3">
      <c r="A2521" s="19">
        <v>918849261</v>
      </c>
      <c r="B2521" s="19" t="s">
        <v>5394</v>
      </c>
      <c r="C2521" s="17" t="s">
        <v>5395</v>
      </c>
    </row>
    <row r="2522" spans="1:3">
      <c r="A2522" s="19">
        <v>918849274</v>
      </c>
      <c r="B2522" s="19" t="s">
        <v>5396</v>
      </c>
      <c r="C2522" s="17" t="s">
        <v>5397</v>
      </c>
    </row>
    <row r="2523" spans="1:3">
      <c r="A2523" s="19">
        <v>918849287</v>
      </c>
      <c r="B2523" s="19" t="s">
        <v>5398</v>
      </c>
      <c r="C2523" s="17" t="s">
        <v>5399</v>
      </c>
    </row>
    <row r="2524" spans="1:3">
      <c r="A2524" s="19">
        <v>918849313</v>
      </c>
      <c r="B2524" s="19" t="s">
        <v>5400</v>
      </c>
      <c r="C2524" s="17" t="s">
        <v>5401</v>
      </c>
    </row>
    <row r="2525" spans="1:3">
      <c r="A2525" s="19">
        <v>918849326</v>
      </c>
      <c r="B2525" s="19" t="s">
        <v>5402</v>
      </c>
      <c r="C2525" s="17" t="s">
        <v>5403</v>
      </c>
    </row>
    <row r="2526" spans="1:3">
      <c r="A2526" s="19">
        <v>918849365</v>
      </c>
      <c r="B2526" s="19" t="s">
        <v>5404</v>
      </c>
      <c r="C2526" s="17" t="s">
        <v>5405</v>
      </c>
    </row>
    <row r="2527" spans="1:3">
      <c r="A2527" s="19">
        <v>918849378</v>
      </c>
      <c r="B2527" s="19" t="s">
        <v>5406</v>
      </c>
      <c r="C2527" s="17" t="s">
        <v>5407</v>
      </c>
    </row>
    <row r="2528" spans="1:3">
      <c r="A2528" s="19">
        <v>918849391</v>
      </c>
      <c r="B2528" s="19" t="s">
        <v>5408</v>
      </c>
      <c r="C2528" s="17" t="s">
        <v>5409</v>
      </c>
    </row>
    <row r="2529" spans="1:3">
      <c r="A2529" s="19">
        <v>918849417</v>
      </c>
      <c r="B2529" s="19" t="s">
        <v>5410</v>
      </c>
      <c r="C2529" s="17" t="s">
        <v>5411</v>
      </c>
    </row>
    <row r="2530" spans="1:3">
      <c r="A2530" s="19">
        <v>918849430</v>
      </c>
      <c r="B2530" s="19" t="s">
        <v>5412</v>
      </c>
      <c r="C2530" s="17" t="s">
        <v>5413</v>
      </c>
    </row>
    <row r="2531" spans="1:3">
      <c r="A2531" s="19">
        <v>918849443</v>
      </c>
      <c r="B2531" s="19" t="s">
        <v>5414</v>
      </c>
      <c r="C2531" s="17" t="s">
        <v>5415</v>
      </c>
    </row>
    <row r="2532" spans="1:3">
      <c r="A2532" s="19">
        <v>918849521</v>
      </c>
      <c r="B2532" s="19" t="s">
        <v>5416</v>
      </c>
      <c r="C2532" s="17" t="s">
        <v>5417</v>
      </c>
    </row>
    <row r="2533" spans="1:3">
      <c r="A2533" s="19">
        <v>918849534</v>
      </c>
      <c r="B2533" s="19" t="s">
        <v>5418</v>
      </c>
      <c r="C2533" s="17" t="s">
        <v>5419</v>
      </c>
    </row>
    <row r="2534" spans="1:3">
      <c r="A2534" s="19">
        <v>918849547</v>
      </c>
      <c r="B2534" s="19" t="s">
        <v>5420</v>
      </c>
      <c r="C2534" s="17" t="s">
        <v>5421</v>
      </c>
    </row>
    <row r="2535" spans="1:3">
      <c r="A2535" s="19">
        <v>918849664</v>
      </c>
      <c r="B2535" s="19" t="s">
        <v>5422</v>
      </c>
      <c r="C2535" s="17" t="s">
        <v>5423</v>
      </c>
    </row>
    <row r="2536" spans="1:3">
      <c r="A2536" s="19">
        <v>918849690</v>
      </c>
      <c r="B2536" s="19" t="s">
        <v>5424</v>
      </c>
      <c r="C2536" s="17" t="s">
        <v>5425</v>
      </c>
    </row>
    <row r="2537" spans="1:3">
      <c r="A2537" s="15">
        <v>918849976</v>
      </c>
      <c r="B2537" s="1" t="s">
        <v>5426</v>
      </c>
      <c r="C2537" s="21" t="s">
        <v>5427</v>
      </c>
    </row>
    <row r="2538" spans="1:3">
      <c r="A2538" s="19">
        <v>918850093</v>
      </c>
      <c r="B2538" s="19" t="s">
        <v>5428</v>
      </c>
      <c r="C2538" s="17" t="s">
        <v>4177</v>
      </c>
    </row>
    <row r="2539" spans="1:3">
      <c r="A2539" s="15">
        <v>918850158</v>
      </c>
      <c r="B2539" s="1" t="s">
        <v>5429</v>
      </c>
      <c r="C2539" s="20" t="s">
        <v>5430</v>
      </c>
    </row>
    <row r="2540" spans="1:3">
      <c r="A2540" s="19">
        <v>918850275</v>
      </c>
      <c r="B2540" s="19" t="s">
        <v>5431</v>
      </c>
      <c r="C2540" s="18" t="s">
        <v>5432</v>
      </c>
    </row>
    <row r="2541" spans="1:3">
      <c r="A2541" s="19">
        <v>918850353</v>
      </c>
      <c r="B2541" s="19" t="s">
        <v>5433</v>
      </c>
      <c r="C2541" s="18" t="s">
        <v>5434</v>
      </c>
    </row>
    <row r="2542" spans="1:3">
      <c r="A2542" s="19">
        <v>918850366</v>
      </c>
      <c r="B2542" s="19" t="s">
        <v>5435</v>
      </c>
      <c r="C2542" s="17" t="s">
        <v>5436</v>
      </c>
    </row>
    <row r="2543" spans="1:3">
      <c r="A2543" s="15">
        <v>918850548</v>
      </c>
      <c r="B2543" s="16" t="s">
        <v>5437</v>
      </c>
      <c r="C2543" s="18" t="s">
        <v>5438</v>
      </c>
    </row>
    <row r="2544" spans="1:3">
      <c r="A2544" s="19">
        <v>918850665</v>
      </c>
      <c r="B2544" s="19" t="s">
        <v>5439</v>
      </c>
      <c r="C2544" s="18" t="s">
        <v>5440</v>
      </c>
    </row>
    <row r="2545" spans="1:3">
      <c r="A2545" s="19">
        <v>918850691</v>
      </c>
      <c r="B2545" s="19" t="s">
        <v>5441</v>
      </c>
      <c r="C2545" s="18" t="s">
        <v>5442</v>
      </c>
    </row>
    <row r="2546" spans="1:3">
      <c r="A2546" s="19">
        <v>918850756</v>
      </c>
      <c r="B2546" s="19" t="s">
        <v>5443</v>
      </c>
      <c r="C2546" s="18" t="s">
        <v>5444</v>
      </c>
    </row>
    <row r="2547" spans="1:3">
      <c r="A2547" s="19">
        <v>918850834</v>
      </c>
      <c r="B2547" s="19" t="s">
        <v>5445</v>
      </c>
      <c r="C2547" s="18" t="s">
        <v>5446</v>
      </c>
    </row>
    <row r="2548" spans="1:3">
      <c r="A2548" s="19">
        <v>918850860</v>
      </c>
      <c r="B2548" s="19" t="s">
        <v>5447</v>
      </c>
      <c r="C2548" s="18" t="s">
        <v>5448</v>
      </c>
    </row>
    <row r="2549" spans="1:3">
      <c r="A2549" s="15">
        <v>918850951</v>
      </c>
      <c r="B2549" s="16" t="s">
        <v>5449</v>
      </c>
      <c r="C2549" s="18" t="s">
        <v>5450</v>
      </c>
    </row>
    <row r="2550" spans="1:3">
      <c r="A2550" s="19">
        <v>918850964</v>
      </c>
      <c r="B2550" s="19" t="s">
        <v>5451</v>
      </c>
      <c r="C2550" s="18" t="s">
        <v>5452</v>
      </c>
    </row>
    <row r="2551" spans="1:3">
      <c r="A2551" s="19">
        <v>918851042</v>
      </c>
      <c r="B2551" s="19" t="s">
        <v>5453</v>
      </c>
      <c r="C2551" s="18" t="s">
        <v>5454</v>
      </c>
    </row>
    <row r="2552" spans="1:3">
      <c r="A2552" s="19">
        <v>918851055</v>
      </c>
      <c r="B2552" s="19" t="s">
        <v>5455</v>
      </c>
      <c r="C2552" s="18" t="s">
        <v>5456</v>
      </c>
    </row>
    <row r="2553" spans="1:3">
      <c r="A2553" s="19">
        <v>918851068</v>
      </c>
      <c r="B2553" s="19" t="s">
        <v>5457</v>
      </c>
      <c r="C2553" s="18" t="s">
        <v>5458</v>
      </c>
    </row>
    <row r="2554" spans="1:3">
      <c r="A2554" s="19">
        <v>918851081</v>
      </c>
      <c r="B2554" s="19" t="s">
        <v>5459</v>
      </c>
      <c r="C2554" s="18" t="s">
        <v>5460</v>
      </c>
    </row>
    <row r="2555" spans="1:3">
      <c r="A2555" s="19">
        <v>918851107</v>
      </c>
      <c r="B2555" s="19" t="s">
        <v>5461</v>
      </c>
      <c r="C2555" s="18" t="s">
        <v>5462</v>
      </c>
    </row>
    <row r="2556" spans="1:3">
      <c r="A2556" s="19">
        <v>918851120</v>
      </c>
      <c r="B2556" s="19" t="s">
        <v>5463</v>
      </c>
      <c r="C2556" s="18" t="s">
        <v>5464</v>
      </c>
    </row>
    <row r="2557" spans="1:3">
      <c r="A2557" s="19">
        <v>918851146</v>
      </c>
      <c r="B2557" s="19" t="s">
        <v>5465</v>
      </c>
      <c r="C2557" s="17" t="s">
        <v>4177</v>
      </c>
    </row>
    <row r="2558" spans="1:3">
      <c r="A2558" s="19">
        <v>918851276</v>
      </c>
      <c r="B2558" s="19" t="s">
        <v>5466</v>
      </c>
      <c r="C2558" s="18" t="s">
        <v>5467</v>
      </c>
    </row>
    <row r="2559" spans="1:3">
      <c r="A2559" s="19">
        <v>920008099</v>
      </c>
      <c r="B2559" s="19" t="s">
        <v>5468</v>
      </c>
      <c r="C2559" s="17" t="s">
        <v>5469</v>
      </c>
    </row>
    <row r="2560" spans="1:3">
      <c r="A2560" s="19">
        <v>920021190</v>
      </c>
      <c r="B2560" s="19" t="s">
        <v>5470</v>
      </c>
      <c r="C2560" s="17" t="s">
        <v>5471</v>
      </c>
    </row>
    <row r="2561" spans="1:3">
      <c r="A2561" s="19">
        <v>920024375</v>
      </c>
      <c r="B2561" s="19" t="s">
        <v>5472</v>
      </c>
      <c r="C2561" s="17" t="s">
        <v>5473</v>
      </c>
    </row>
    <row r="2562" spans="1:3">
      <c r="A2562" s="19">
        <v>920025324</v>
      </c>
      <c r="B2562" s="19" t="s">
        <v>5474</v>
      </c>
      <c r="C2562" s="17" t="s">
        <v>5475</v>
      </c>
    </row>
    <row r="2563" spans="1:3">
      <c r="A2563" s="19">
        <v>920028834</v>
      </c>
      <c r="B2563" s="19" t="s">
        <v>5476</v>
      </c>
      <c r="C2563" s="17" t="s">
        <v>5477</v>
      </c>
    </row>
    <row r="2564" spans="1:3">
      <c r="A2564" s="19">
        <v>920029666</v>
      </c>
      <c r="B2564" s="19" t="s">
        <v>5478</v>
      </c>
      <c r="C2564" s="18" t="s">
        <v>5479</v>
      </c>
    </row>
    <row r="2565" spans="1:3">
      <c r="A2565" s="19">
        <v>920036140</v>
      </c>
      <c r="B2565" s="19" t="s">
        <v>5480</v>
      </c>
      <c r="C2565" s="18" t="s">
        <v>5481</v>
      </c>
    </row>
    <row r="2566" spans="1:3">
      <c r="A2566" s="19">
        <v>920057889</v>
      </c>
      <c r="B2566" s="19" t="s">
        <v>5482</v>
      </c>
      <c r="C2566" s="17" t="s">
        <v>5483</v>
      </c>
    </row>
    <row r="2567" spans="1:3">
      <c r="A2567" s="19">
        <v>920079027</v>
      </c>
      <c r="B2567" s="19" t="s">
        <v>5484</v>
      </c>
      <c r="C2567" s="17" t="s">
        <v>5485</v>
      </c>
    </row>
    <row r="2568" spans="1:3">
      <c r="A2568" s="19">
        <v>920100334</v>
      </c>
      <c r="B2568" s="19" t="s">
        <v>5486</v>
      </c>
      <c r="C2568" s="17" t="s">
        <v>5487</v>
      </c>
    </row>
    <row r="2569" spans="1:3">
      <c r="A2569" s="19">
        <v>920117689</v>
      </c>
      <c r="B2569" s="19" t="s">
        <v>5488</v>
      </c>
      <c r="C2569" s="17" t="s">
        <v>5489</v>
      </c>
    </row>
    <row r="2570" spans="1:3">
      <c r="A2570" s="19">
        <v>920120588</v>
      </c>
      <c r="B2570" s="19" t="s">
        <v>5490</v>
      </c>
      <c r="C2570" s="17" t="s">
        <v>5491</v>
      </c>
    </row>
    <row r="2571" spans="1:3">
      <c r="A2571" s="19">
        <v>920141310</v>
      </c>
      <c r="B2571" s="19" t="s">
        <v>5492</v>
      </c>
      <c r="C2571" s="17" t="s">
        <v>5493</v>
      </c>
    </row>
    <row r="2572" spans="1:3">
      <c r="A2572" s="100">
        <v>920186680</v>
      </c>
      <c r="B2572" s="5" t="s">
        <v>5494</v>
      </c>
      <c r="C2572" s="18" t="s">
        <v>5495</v>
      </c>
    </row>
    <row r="2573" spans="1:3">
      <c r="A2573" s="11">
        <v>920216385</v>
      </c>
      <c r="B2573" s="11" t="s">
        <v>5496</v>
      </c>
      <c r="C2573" s="18" t="s">
        <v>5497</v>
      </c>
    </row>
    <row r="2574" spans="1:3">
      <c r="A2574" s="11">
        <v>920236886</v>
      </c>
      <c r="B2574" s="11" t="s">
        <v>5498</v>
      </c>
      <c r="C2574" s="18" t="s">
        <v>5499</v>
      </c>
    </row>
    <row r="2575" spans="1:3">
      <c r="A2575" s="19">
        <v>920244088</v>
      </c>
      <c r="B2575" s="19" t="s">
        <v>5500</v>
      </c>
      <c r="C2575" s="17" t="s">
        <v>5501</v>
      </c>
    </row>
    <row r="2576" spans="1:3">
      <c r="A2576" s="19">
        <v>920248118</v>
      </c>
      <c r="B2576" s="19" t="s">
        <v>5502</v>
      </c>
      <c r="C2576" s="17" t="s">
        <v>5503</v>
      </c>
    </row>
    <row r="2577" spans="1:3">
      <c r="A2577" s="19">
        <v>920259675</v>
      </c>
      <c r="B2577" s="19" t="s">
        <v>5504</v>
      </c>
      <c r="C2577" s="18" t="s">
        <v>5505</v>
      </c>
    </row>
    <row r="2578" spans="1:3">
      <c r="A2578" s="19">
        <v>920272493</v>
      </c>
      <c r="B2578" s="19" t="s">
        <v>5506</v>
      </c>
      <c r="C2578" s="17" t="s">
        <v>5507</v>
      </c>
    </row>
    <row r="2579" spans="1:3">
      <c r="A2579" s="19">
        <v>920280735</v>
      </c>
      <c r="B2579" s="19" t="s">
        <v>5508</v>
      </c>
      <c r="C2579" s="17" t="s">
        <v>5509</v>
      </c>
    </row>
    <row r="2580" spans="1:3">
      <c r="A2580" s="11">
        <v>920296153</v>
      </c>
      <c r="B2580" s="19" t="s">
        <v>5510</v>
      </c>
      <c r="C2580" s="18" t="s">
        <v>5511</v>
      </c>
    </row>
    <row r="2581" spans="1:3">
      <c r="A2581" s="19">
        <v>920351715</v>
      </c>
      <c r="B2581" s="19" t="s">
        <v>5512</v>
      </c>
      <c r="C2581" s="17" t="s">
        <v>5513</v>
      </c>
    </row>
    <row r="2582" spans="1:3">
      <c r="A2582" s="19">
        <v>920454363</v>
      </c>
      <c r="B2582" s="19" t="s">
        <v>5514</v>
      </c>
      <c r="C2582" s="17" t="s">
        <v>5515</v>
      </c>
    </row>
    <row r="2583" spans="1:3">
      <c r="A2583" s="19">
        <v>920469807</v>
      </c>
      <c r="B2583" s="19" t="s">
        <v>5516</v>
      </c>
      <c r="C2583" s="18" t="s">
        <v>5517</v>
      </c>
    </row>
    <row r="2584" spans="1:3">
      <c r="A2584" s="15">
        <v>920555204</v>
      </c>
      <c r="B2584" s="16" t="s">
        <v>5518</v>
      </c>
      <c r="C2584" s="18" t="s">
        <v>5519</v>
      </c>
    </row>
    <row r="2585" spans="1:3">
      <c r="A2585" s="19">
        <v>920702702</v>
      </c>
      <c r="B2585" s="19" t="s">
        <v>5520</v>
      </c>
      <c r="C2585" s="17" t="s">
        <v>5521</v>
      </c>
    </row>
    <row r="2586" spans="1:3">
      <c r="A2586" s="19">
        <v>920714454</v>
      </c>
      <c r="B2586" s="19" t="s">
        <v>5522</v>
      </c>
      <c r="C2586" s="17" t="s">
        <v>5523</v>
      </c>
    </row>
    <row r="2587" spans="1:3">
      <c r="A2587" s="11">
        <v>920728325</v>
      </c>
      <c r="B2587" s="11" t="s">
        <v>5524</v>
      </c>
      <c r="C2587" s="18" t="s">
        <v>5525</v>
      </c>
    </row>
    <row r="2588" spans="1:3">
      <c r="A2588" s="19">
        <v>920733304</v>
      </c>
      <c r="B2588" s="19" t="s">
        <v>5526</v>
      </c>
      <c r="C2588" s="17" t="s">
        <v>5527</v>
      </c>
    </row>
    <row r="2589" spans="1:3">
      <c r="A2589" s="19">
        <v>920747825</v>
      </c>
      <c r="B2589" s="19" t="s">
        <v>5528</v>
      </c>
      <c r="C2589" s="17" t="s">
        <v>5529</v>
      </c>
    </row>
    <row r="2590" spans="1:3">
      <c r="A2590" s="19">
        <v>920753025</v>
      </c>
      <c r="B2590" s="19" t="s">
        <v>5530</v>
      </c>
      <c r="C2590" s="17" t="s">
        <v>5531</v>
      </c>
    </row>
    <row r="2591" spans="1:3">
      <c r="A2591" s="19">
        <v>920753272</v>
      </c>
      <c r="B2591" s="19" t="s">
        <v>5532</v>
      </c>
      <c r="C2591" s="17" t="s">
        <v>5533</v>
      </c>
    </row>
    <row r="2592" spans="1:3">
      <c r="A2592" s="19">
        <v>920753844</v>
      </c>
      <c r="B2592" s="19" t="s">
        <v>5534</v>
      </c>
      <c r="C2592" s="17" t="s">
        <v>5535</v>
      </c>
    </row>
    <row r="2593" spans="1:3">
      <c r="A2593" s="19">
        <v>920756496</v>
      </c>
      <c r="B2593" s="19" t="s">
        <v>5536</v>
      </c>
      <c r="C2593" s="17" t="s">
        <v>5537</v>
      </c>
    </row>
    <row r="2594" spans="1:3">
      <c r="A2594" s="19">
        <v>920771004</v>
      </c>
      <c r="B2594" s="19" t="s">
        <v>5538</v>
      </c>
      <c r="C2594" s="17" t="s">
        <v>5539</v>
      </c>
    </row>
    <row r="2595" spans="1:3">
      <c r="A2595" s="19">
        <v>920775268</v>
      </c>
      <c r="B2595" s="19" t="s">
        <v>5540</v>
      </c>
      <c r="C2595" s="17" t="s">
        <v>5541</v>
      </c>
    </row>
    <row r="2596" spans="1:3">
      <c r="A2596" s="19">
        <v>920775489</v>
      </c>
      <c r="B2596" s="19" t="s">
        <v>5542</v>
      </c>
      <c r="C2596" s="17" t="s">
        <v>5543</v>
      </c>
    </row>
    <row r="2597" spans="1:3">
      <c r="A2597" s="19">
        <v>920792142</v>
      </c>
      <c r="B2597" s="19" t="s">
        <v>5544</v>
      </c>
      <c r="C2597" s="17" t="s">
        <v>5545</v>
      </c>
    </row>
    <row r="2598" spans="1:3">
      <c r="A2598" s="19">
        <v>920820079</v>
      </c>
      <c r="B2598" s="19" t="s">
        <v>5546</v>
      </c>
      <c r="C2598" s="17" t="s">
        <v>5547</v>
      </c>
    </row>
    <row r="2599" spans="1:3">
      <c r="A2599" s="19">
        <v>920829998</v>
      </c>
      <c r="B2599" s="19" t="s">
        <v>5548</v>
      </c>
      <c r="C2599" s="17" t="s">
        <v>5549</v>
      </c>
    </row>
    <row r="2600" spans="1:3">
      <c r="A2600" s="19">
        <v>920835861</v>
      </c>
      <c r="B2600" s="19" t="s">
        <v>5550</v>
      </c>
      <c r="C2600" s="17" t="s">
        <v>5551</v>
      </c>
    </row>
    <row r="2601" spans="1:3">
      <c r="A2601" s="19">
        <v>920838890</v>
      </c>
      <c r="B2601" s="19" t="s">
        <v>5552</v>
      </c>
      <c r="C2601" s="18" t="s">
        <v>5553</v>
      </c>
    </row>
    <row r="2602" spans="1:3">
      <c r="A2602" s="19">
        <v>920845286</v>
      </c>
      <c r="B2602" s="19" t="s">
        <v>5554</v>
      </c>
      <c r="C2602" s="17" t="s">
        <v>5555</v>
      </c>
    </row>
    <row r="2603" spans="1:3">
      <c r="A2603" s="19">
        <v>920866827</v>
      </c>
      <c r="B2603" s="19" t="s">
        <v>5556</v>
      </c>
      <c r="C2603" s="17" t="s">
        <v>5557</v>
      </c>
    </row>
    <row r="2604" spans="1:3">
      <c r="A2604" s="19">
        <v>920881153</v>
      </c>
      <c r="B2604" s="19" t="s">
        <v>5558</v>
      </c>
      <c r="C2604" s="18" t="s">
        <v>5559</v>
      </c>
    </row>
    <row r="2605" spans="1:3">
      <c r="A2605" s="11">
        <v>920886080</v>
      </c>
      <c r="B2605" s="11" t="s">
        <v>5560</v>
      </c>
      <c r="C2605" s="18" t="s">
        <v>5561</v>
      </c>
    </row>
    <row r="2606" spans="1:3">
      <c r="A2606" s="19">
        <v>920887939</v>
      </c>
      <c r="B2606" s="19" t="s">
        <v>5562</v>
      </c>
      <c r="C2606" s="17" t="s">
        <v>5563</v>
      </c>
    </row>
    <row r="2607" spans="1:3">
      <c r="A2607" s="19">
        <v>920895531</v>
      </c>
      <c r="B2607" s="19" t="s">
        <v>5564</v>
      </c>
      <c r="C2607" s="17" t="s">
        <v>5565</v>
      </c>
    </row>
    <row r="2608" spans="1:3">
      <c r="A2608" s="15">
        <v>921021579</v>
      </c>
      <c r="B2608" s="1" t="s">
        <v>5566</v>
      </c>
      <c r="C2608" s="18" t="s">
        <v>5567</v>
      </c>
    </row>
    <row r="2609" spans="1:3">
      <c r="A2609" s="19">
        <v>921028534</v>
      </c>
      <c r="B2609" s="19" t="s">
        <v>5568</v>
      </c>
      <c r="C2609" s="17" t="s">
        <v>5569</v>
      </c>
    </row>
    <row r="2610" spans="1:3">
      <c r="A2610" s="19">
        <v>921050985</v>
      </c>
      <c r="B2610" s="19" t="s">
        <v>5570</v>
      </c>
      <c r="C2610" s="18" t="s">
        <v>5571</v>
      </c>
    </row>
    <row r="2611" spans="1:3">
      <c r="A2611" s="19">
        <v>921117428</v>
      </c>
      <c r="B2611" s="19" t="s">
        <v>5572</v>
      </c>
      <c r="C2611" s="17" t="s">
        <v>5573</v>
      </c>
    </row>
    <row r="2612" spans="1:3">
      <c r="A2612" s="15">
        <v>921131598</v>
      </c>
      <c r="B2612" s="16" t="s">
        <v>5574</v>
      </c>
      <c r="C2612" s="18" t="s">
        <v>5575</v>
      </c>
    </row>
    <row r="2613" spans="1:3">
      <c r="A2613" s="19">
        <v>921170962</v>
      </c>
      <c r="B2613" s="19" t="s">
        <v>5576</v>
      </c>
      <c r="C2613" s="17" t="s">
        <v>5577</v>
      </c>
    </row>
    <row r="2614" spans="1:3">
      <c r="A2614" s="15">
        <v>921202929</v>
      </c>
      <c r="B2614" s="1" t="s">
        <v>5578</v>
      </c>
      <c r="C2614" s="18" t="s">
        <v>5579</v>
      </c>
    </row>
    <row r="2615" spans="1:3">
      <c r="A2615" s="19">
        <v>921382485</v>
      </c>
      <c r="B2615" s="19" t="s">
        <v>5580</v>
      </c>
      <c r="C2615" s="17" t="s">
        <v>5581</v>
      </c>
    </row>
    <row r="2616" spans="1:3">
      <c r="A2616" s="19">
        <v>921384292</v>
      </c>
      <c r="B2616" s="19" t="s">
        <v>5582</v>
      </c>
      <c r="C2616" s="17" t="s">
        <v>5583</v>
      </c>
    </row>
    <row r="2617" spans="1:3">
      <c r="A2617" s="19">
        <v>921385540</v>
      </c>
      <c r="B2617" s="19" t="s">
        <v>5584</v>
      </c>
      <c r="C2617" s="17" t="s">
        <v>5585</v>
      </c>
    </row>
    <row r="2618" spans="1:3">
      <c r="A2618" s="15">
        <v>921389102</v>
      </c>
      <c r="B2618" s="1" t="s">
        <v>5586</v>
      </c>
      <c r="C2618" s="20" t="s">
        <v>5587</v>
      </c>
    </row>
    <row r="2619" spans="1:3">
      <c r="A2619" s="19">
        <v>921399892</v>
      </c>
      <c r="B2619" s="19" t="s">
        <v>5588</v>
      </c>
      <c r="C2619" s="18" t="s">
        <v>5589</v>
      </c>
    </row>
    <row r="2620" spans="1:3">
      <c r="A2620" s="19">
        <v>921402934</v>
      </c>
      <c r="B2620" s="19" t="s">
        <v>5590</v>
      </c>
      <c r="C2620" s="17" t="s">
        <v>5591</v>
      </c>
    </row>
    <row r="2621" spans="1:3">
      <c r="A2621" s="19">
        <v>921406197</v>
      </c>
      <c r="B2621" s="19" t="s">
        <v>5592</v>
      </c>
      <c r="C2621" s="17" t="s">
        <v>5593</v>
      </c>
    </row>
    <row r="2622" spans="1:3">
      <c r="A2622" s="19">
        <v>921413503</v>
      </c>
      <c r="B2622" s="19" t="s">
        <v>5594</v>
      </c>
      <c r="C2622" s="17" t="s">
        <v>5595</v>
      </c>
    </row>
    <row r="2623" spans="1:3">
      <c r="A2623" s="19">
        <v>921414595</v>
      </c>
      <c r="B2623" s="19" t="s">
        <v>5596</v>
      </c>
      <c r="C2623" s="17" t="s">
        <v>5597</v>
      </c>
    </row>
    <row r="2624" spans="1:3">
      <c r="A2624" s="19">
        <v>921421563</v>
      </c>
      <c r="B2624" s="19" t="s">
        <v>5598</v>
      </c>
      <c r="C2624" s="17" t="s">
        <v>5599</v>
      </c>
    </row>
    <row r="2625" spans="1:3">
      <c r="A2625" s="19">
        <v>921422642</v>
      </c>
      <c r="B2625" s="19" t="s">
        <v>5600</v>
      </c>
      <c r="C2625" s="18" t="s">
        <v>5601</v>
      </c>
    </row>
    <row r="2626" spans="1:3">
      <c r="A2626" s="19">
        <v>921424306</v>
      </c>
      <c r="B2626" s="19" t="s">
        <v>5602</v>
      </c>
      <c r="C2626" s="17" t="s">
        <v>5603</v>
      </c>
    </row>
    <row r="2627" spans="1:3">
      <c r="A2627" s="19">
        <v>921431313</v>
      </c>
      <c r="B2627" s="19" t="s">
        <v>5604</v>
      </c>
      <c r="C2627" s="17" t="s">
        <v>5605</v>
      </c>
    </row>
    <row r="2628" spans="1:3">
      <c r="A2628" s="19">
        <v>921432912</v>
      </c>
      <c r="B2628" s="19" t="s">
        <v>5606</v>
      </c>
      <c r="C2628" s="17" t="s">
        <v>5607</v>
      </c>
    </row>
    <row r="2629" spans="1:3">
      <c r="A2629" s="19">
        <v>921452542</v>
      </c>
      <c r="B2629" s="19" t="s">
        <v>5608</v>
      </c>
      <c r="C2629" s="17" t="s">
        <v>5609</v>
      </c>
    </row>
    <row r="2630" spans="1:3">
      <c r="A2630" s="19">
        <v>921455545</v>
      </c>
      <c r="B2630" s="19" t="s">
        <v>5610</v>
      </c>
      <c r="C2630" s="17" t="s">
        <v>5611</v>
      </c>
    </row>
    <row r="2631" spans="1:3">
      <c r="A2631" s="19">
        <v>921530178</v>
      </c>
      <c r="B2631" s="19" t="s">
        <v>5612</v>
      </c>
      <c r="C2631" s="18" t="s">
        <v>5613</v>
      </c>
    </row>
    <row r="2632" spans="1:3">
      <c r="A2632" s="19">
        <v>921541514</v>
      </c>
      <c r="B2632" s="19" t="s">
        <v>5614</v>
      </c>
      <c r="C2632" s="17" t="s">
        <v>5615</v>
      </c>
    </row>
    <row r="2633" spans="1:3">
      <c r="A2633" s="19">
        <v>921545492</v>
      </c>
      <c r="B2633" s="19" t="s">
        <v>5616</v>
      </c>
      <c r="C2633" s="17" t="s">
        <v>5617</v>
      </c>
    </row>
    <row r="2634" spans="1:3">
      <c r="A2634" s="19">
        <v>921552564</v>
      </c>
      <c r="B2634" s="19" t="s">
        <v>5618</v>
      </c>
      <c r="C2634" s="17" t="s">
        <v>5619</v>
      </c>
    </row>
    <row r="2635" spans="1:3">
      <c r="A2635" s="19">
        <v>921603303</v>
      </c>
      <c r="B2635" s="19" t="s">
        <v>5620</v>
      </c>
      <c r="C2635" s="17" t="s">
        <v>5621</v>
      </c>
    </row>
    <row r="2636" spans="1:3">
      <c r="A2636" s="19">
        <v>921617369</v>
      </c>
      <c r="B2636" s="19" t="s">
        <v>5622</v>
      </c>
      <c r="C2636" s="17" t="s">
        <v>5623</v>
      </c>
    </row>
    <row r="2637" spans="1:3">
      <c r="A2637" s="19">
        <v>921636479</v>
      </c>
      <c r="B2637" s="19" t="s">
        <v>5624</v>
      </c>
      <c r="C2637" s="17" t="s">
        <v>5625</v>
      </c>
    </row>
    <row r="2638" spans="1:3">
      <c r="A2638" s="15">
        <v>921662349</v>
      </c>
      <c r="B2638" s="1" t="s">
        <v>5626</v>
      </c>
      <c r="C2638" s="20" t="s">
        <v>5627</v>
      </c>
    </row>
    <row r="2639" spans="1:3">
      <c r="A2639" s="11">
        <v>921688843</v>
      </c>
      <c r="B2639" s="11" t="s">
        <v>5628</v>
      </c>
      <c r="C2639" s="41" t="s">
        <v>5629</v>
      </c>
    </row>
    <row r="2640" spans="1:3">
      <c r="A2640" s="19">
        <v>921697683</v>
      </c>
      <c r="B2640" s="19" t="s">
        <v>5630</v>
      </c>
      <c r="C2640" s="17" t="s">
        <v>5631</v>
      </c>
    </row>
    <row r="2641" spans="1:3">
      <c r="A2641" s="19">
        <v>921716897</v>
      </c>
      <c r="B2641" s="19" t="s">
        <v>5632</v>
      </c>
      <c r="C2641" s="17" t="s">
        <v>5633</v>
      </c>
    </row>
    <row r="2642" spans="1:3">
      <c r="A2642" s="15">
        <v>921833286</v>
      </c>
      <c r="B2642" s="1" t="s">
        <v>5634</v>
      </c>
      <c r="C2642" s="21" t="s">
        <v>5635</v>
      </c>
    </row>
    <row r="2643" spans="1:3">
      <c r="A2643" s="19">
        <v>921873560</v>
      </c>
      <c r="B2643" s="19" t="s">
        <v>5636</v>
      </c>
      <c r="C2643" s="17" t="s">
        <v>5637</v>
      </c>
    </row>
    <row r="2644" spans="1:3">
      <c r="A2644" s="11">
        <v>921917591</v>
      </c>
      <c r="B2644" s="11" t="s">
        <v>5638</v>
      </c>
      <c r="C2644" s="18" t="s">
        <v>5639</v>
      </c>
    </row>
    <row r="2645" spans="1:3">
      <c r="A2645" s="19">
        <v>921976598</v>
      </c>
      <c r="B2645" s="19" t="s">
        <v>5640</v>
      </c>
      <c r="C2645" s="17" t="s">
        <v>5641</v>
      </c>
    </row>
    <row r="2646" spans="1:3">
      <c r="A2646" s="19">
        <v>922011191</v>
      </c>
      <c r="B2646" s="19" t="s">
        <v>5642</v>
      </c>
      <c r="C2646" s="17" t="s">
        <v>5643</v>
      </c>
    </row>
    <row r="2647" spans="1:3">
      <c r="A2647" s="19">
        <v>922059135</v>
      </c>
      <c r="B2647" s="19" t="s">
        <v>5644</v>
      </c>
      <c r="C2647" s="17" t="s">
        <v>5645</v>
      </c>
    </row>
    <row r="2648" spans="1:3">
      <c r="A2648" s="19">
        <v>922060968</v>
      </c>
      <c r="B2648" s="19" t="s">
        <v>5646</v>
      </c>
      <c r="C2648" s="17" t="s">
        <v>5647</v>
      </c>
    </row>
    <row r="2649" spans="1:3">
      <c r="A2649" s="19">
        <v>922174536</v>
      </c>
      <c r="B2649" s="19" t="s">
        <v>5648</v>
      </c>
      <c r="C2649" s="17" t="s">
        <v>5649</v>
      </c>
    </row>
    <row r="2650" spans="1:3">
      <c r="A2650" s="19">
        <v>922209194</v>
      </c>
      <c r="B2650" s="19" t="s">
        <v>5650</v>
      </c>
      <c r="C2650" s="17" t="s">
        <v>5651</v>
      </c>
    </row>
    <row r="2651" spans="1:3">
      <c r="A2651" s="19">
        <v>922211833</v>
      </c>
      <c r="B2651" s="19" t="s">
        <v>5652</v>
      </c>
      <c r="C2651" s="17" t="s">
        <v>5653</v>
      </c>
    </row>
    <row r="2652" spans="1:3">
      <c r="A2652" s="19">
        <v>922217748</v>
      </c>
      <c r="B2652" s="19" t="s">
        <v>5654</v>
      </c>
      <c r="C2652" s="17" t="s">
        <v>5655</v>
      </c>
    </row>
    <row r="2653" spans="1:3">
      <c r="A2653" s="19">
        <v>922217774</v>
      </c>
      <c r="B2653" s="19" t="s">
        <v>5656</v>
      </c>
      <c r="C2653" s="17" t="s">
        <v>5657</v>
      </c>
    </row>
    <row r="2654" spans="1:3">
      <c r="A2654" s="19">
        <v>922226419</v>
      </c>
      <c r="B2654" s="19" t="s">
        <v>5658</v>
      </c>
      <c r="C2654" s="17" t="s">
        <v>5659</v>
      </c>
    </row>
    <row r="2655" spans="1:3">
      <c r="A2655" s="19">
        <v>922226536</v>
      </c>
      <c r="B2655" s="19" t="s">
        <v>5660</v>
      </c>
      <c r="C2655" s="17" t="s">
        <v>5661</v>
      </c>
    </row>
    <row r="2656" spans="1:3">
      <c r="A2656" s="19">
        <v>922227108</v>
      </c>
      <c r="B2656" s="19" t="s">
        <v>5662</v>
      </c>
      <c r="C2656" s="17" t="s">
        <v>5663</v>
      </c>
    </row>
    <row r="2657" spans="1:3">
      <c r="A2657" s="19">
        <v>922230137</v>
      </c>
      <c r="B2657" s="19" t="s">
        <v>5664</v>
      </c>
      <c r="C2657" s="17" t="s">
        <v>5665</v>
      </c>
    </row>
    <row r="2658" spans="1:3">
      <c r="A2658" s="19">
        <v>922230254</v>
      </c>
      <c r="B2658" s="19" t="s">
        <v>5666</v>
      </c>
      <c r="C2658" s="17" t="s">
        <v>5667</v>
      </c>
    </row>
    <row r="2659" spans="1:3">
      <c r="A2659" s="19">
        <v>922230410</v>
      </c>
      <c r="B2659" s="19" t="s">
        <v>5668</v>
      </c>
      <c r="C2659" s="17" t="s">
        <v>5669</v>
      </c>
    </row>
    <row r="2660" spans="1:3">
      <c r="A2660" s="19">
        <v>922232048</v>
      </c>
      <c r="B2660" s="19" t="s">
        <v>5670</v>
      </c>
      <c r="C2660" s="17" t="s">
        <v>5671</v>
      </c>
    </row>
    <row r="2661" spans="1:3">
      <c r="A2661" s="11">
        <v>922233959</v>
      </c>
      <c r="B2661" s="19" t="s">
        <v>5672</v>
      </c>
      <c r="C2661" s="18" t="s">
        <v>5673</v>
      </c>
    </row>
    <row r="2662" spans="1:3">
      <c r="A2662" s="11">
        <v>922233959</v>
      </c>
      <c r="B2662" s="11" t="s">
        <v>5672</v>
      </c>
      <c r="C2662" s="23" t="s">
        <v>5673</v>
      </c>
    </row>
    <row r="2663" spans="1:3">
      <c r="A2663" s="11">
        <v>922240615</v>
      </c>
      <c r="B2663" s="11" t="s">
        <v>5674</v>
      </c>
      <c r="C2663" s="18" t="s">
        <v>5675</v>
      </c>
    </row>
    <row r="2664" spans="1:3">
      <c r="A2664" s="19">
        <v>922241174</v>
      </c>
      <c r="B2664" s="19" t="s">
        <v>5676</v>
      </c>
      <c r="C2664" s="17" t="s">
        <v>5677</v>
      </c>
    </row>
    <row r="2665" spans="1:3">
      <c r="A2665" s="19">
        <v>922243306</v>
      </c>
      <c r="B2665" s="19" t="s">
        <v>5678</v>
      </c>
      <c r="C2665" s="17" t="s">
        <v>5679</v>
      </c>
    </row>
    <row r="2666" spans="1:3">
      <c r="A2666" s="19">
        <v>922243774</v>
      </c>
      <c r="B2666" s="19" t="s">
        <v>5680</v>
      </c>
      <c r="C2666" s="17" t="s">
        <v>5681</v>
      </c>
    </row>
    <row r="2667" spans="1:3">
      <c r="A2667" s="19">
        <v>922245230</v>
      </c>
      <c r="B2667" s="19" t="s">
        <v>5682</v>
      </c>
      <c r="C2667" s="17" t="s">
        <v>5683</v>
      </c>
    </row>
    <row r="2668" spans="1:3">
      <c r="A2668" s="19">
        <v>922245373</v>
      </c>
      <c r="B2668" s="19" t="s">
        <v>5684</v>
      </c>
      <c r="C2668" s="17" t="s">
        <v>5685</v>
      </c>
    </row>
    <row r="2669" spans="1:3">
      <c r="A2669" s="19">
        <v>922247791</v>
      </c>
      <c r="B2669" s="19" t="s">
        <v>5686</v>
      </c>
      <c r="C2669" s="17" t="s">
        <v>5687</v>
      </c>
    </row>
    <row r="2670" spans="1:3">
      <c r="A2670" s="19">
        <v>922249481</v>
      </c>
      <c r="B2670" s="19" t="s">
        <v>5688</v>
      </c>
      <c r="C2670" s="17" t="s">
        <v>5689</v>
      </c>
    </row>
    <row r="2671" spans="1:3">
      <c r="A2671" s="19">
        <v>922249663</v>
      </c>
      <c r="B2671" s="19" t="s">
        <v>5690</v>
      </c>
      <c r="C2671" s="17" t="s">
        <v>5691</v>
      </c>
    </row>
    <row r="2672" spans="1:3">
      <c r="A2672" s="19">
        <v>922250131</v>
      </c>
      <c r="B2672" s="19" t="s">
        <v>5692</v>
      </c>
      <c r="C2672" s="17" t="s">
        <v>5693</v>
      </c>
    </row>
    <row r="2673" spans="1:3">
      <c r="A2673" s="19">
        <v>922251548</v>
      </c>
      <c r="B2673" s="19" t="s">
        <v>5694</v>
      </c>
      <c r="C2673" s="17" t="s">
        <v>5695</v>
      </c>
    </row>
    <row r="2674" spans="1:3">
      <c r="A2674" s="19">
        <v>922252796</v>
      </c>
      <c r="B2674" s="19" t="s">
        <v>5696</v>
      </c>
      <c r="C2674" s="17" t="s">
        <v>5697</v>
      </c>
    </row>
    <row r="2675" spans="1:3">
      <c r="A2675" s="19">
        <v>922254031</v>
      </c>
      <c r="B2675" s="19" t="s">
        <v>5698</v>
      </c>
      <c r="C2675" s="18" t="s">
        <v>5699</v>
      </c>
    </row>
    <row r="2676" spans="1:3">
      <c r="A2676" s="19">
        <v>922255084</v>
      </c>
      <c r="B2676" s="19" t="s">
        <v>5700</v>
      </c>
      <c r="C2676" s="17" t="s">
        <v>5701</v>
      </c>
    </row>
    <row r="2677" spans="1:3">
      <c r="A2677" s="19">
        <v>922255305</v>
      </c>
      <c r="B2677" s="19" t="s">
        <v>5702</v>
      </c>
      <c r="C2677" s="17" t="s">
        <v>5703</v>
      </c>
    </row>
    <row r="2678" spans="1:3">
      <c r="A2678" s="19">
        <v>922256683</v>
      </c>
      <c r="B2678" s="19" t="s">
        <v>5704</v>
      </c>
      <c r="C2678" s="17" t="s">
        <v>5705</v>
      </c>
    </row>
    <row r="2679" spans="1:3">
      <c r="A2679" s="19">
        <v>922257333</v>
      </c>
      <c r="B2679" s="19" t="s">
        <v>5706</v>
      </c>
      <c r="C2679" s="17" t="s">
        <v>5707</v>
      </c>
    </row>
    <row r="2680" spans="1:3">
      <c r="A2680" s="19">
        <v>922258503</v>
      </c>
      <c r="B2680" s="19" t="s">
        <v>5708</v>
      </c>
      <c r="C2680" s="17" t="s">
        <v>5709</v>
      </c>
    </row>
    <row r="2681" spans="1:3">
      <c r="A2681" s="19">
        <v>922259881</v>
      </c>
      <c r="B2681" s="19" t="s">
        <v>5710</v>
      </c>
      <c r="C2681" s="17" t="s">
        <v>5711</v>
      </c>
    </row>
    <row r="2682" spans="1:3">
      <c r="A2682" s="19">
        <v>922262871</v>
      </c>
      <c r="B2682" s="19" t="s">
        <v>5712</v>
      </c>
      <c r="C2682" s="17" t="s">
        <v>5713</v>
      </c>
    </row>
    <row r="2683" spans="1:3">
      <c r="A2683" s="19">
        <v>922263573</v>
      </c>
      <c r="B2683" s="19" t="s">
        <v>5714</v>
      </c>
      <c r="C2683" s="17" t="s">
        <v>5715</v>
      </c>
    </row>
    <row r="2684" spans="1:3">
      <c r="A2684" s="19">
        <v>922263716</v>
      </c>
      <c r="B2684" s="19" t="s">
        <v>5716</v>
      </c>
      <c r="C2684" s="17" t="s">
        <v>5717</v>
      </c>
    </row>
    <row r="2685" spans="1:3">
      <c r="A2685" s="19">
        <v>922270021</v>
      </c>
      <c r="B2685" s="19" t="s">
        <v>5718</v>
      </c>
      <c r="C2685" s="17" t="s">
        <v>5719</v>
      </c>
    </row>
    <row r="2686" spans="1:3">
      <c r="A2686" s="19">
        <v>922270047</v>
      </c>
      <c r="B2686" s="19" t="s">
        <v>5720</v>
      </c>
      <c r="C2686" s="17" t="s">
        <v>5721</v>
      </c>
    </row>
    <row r="2687" spans="1:3">
      <c r="A2687" s="19">
        <v>922286635</v>
      </c>
      <c r="B2687" s="19" t="s">
        <v>5722</v>
      </c>
      <c r="C2687" s="18" t="s">
        <v>5723</v>
      </c>
    </row>
    <row r="2688" spans="1:3">
      <c r="A2688" s="19">
        <v>922286739</v>
      </c>
      <c r="B2688" s="19" t="s">
        <v>5724</v>
      </c>
      <c r="C2688" s="17" t="s">
        <v>5725</v>
      </c>
    </row>
    <row r="2689" spans="1:3">
      <c r="A2689" s="19">
        <v>922286752</v>
      </c>
      <c r="B2689" s="19" t="s">
        <v>5726</v>
      </c>
      <c r="C2689" s="17" t="s">
        <v>5727</v>
      </c>
    </row>
    <row r="2690" spans="1:3">
      <c r="A2690" s="19">
        <v>922290002</v>
      </c>
      <c r="B2690" s="19" t="s">
        <v>5728</v>
      </c>
      <c r="C2690" s="17" t="s">
        <v>5729</v>
      </c>
    </row>
    <row r="2691" spans="1:3">
      <c r="A2691" s="19">
        <v>922290054</v>
      </c>
      <c r="B2691" s="19" t="s">
        <v>5730</v>
      </c>
      <c r="C2691" s="17" t="s">
        <v>5731</v>
      </c>
    </row>
    <row r="2692" spans="1:3">
      <c r="A2692" s="19">
        <v>922290353</v>
      </c>
      <c r="B2692" s="19" t="s">
        <v>5732</v>
      </c>
      <c r="C2692" s="17" t="s">
        <v>5733</v>
      </c>
    </row>
    <row r="2693" spans="1:3">
      <c r="A2693" s="19">
        <v>922290431</v>
      </c>
      <c r="B2693" s="19" t="s">
        <v>5734</v>
      </c>
      <c r="C2693" s="17" t="s">
        <v>5735</v>
      </c>
    </row>
    <row r="2694" spans="1:3">
      <c r="A2694" s="19">
        <v>922291198</v>
      </c>
      <c r="B2694" s="19" t="s">
        <v>5736</v>
      </c>
      <c r="C2694" s="17" t="s">
        <v>5737</v>
      </c>
    </row>
    <row r="2695" spans="1:3">
      <c r="A2695" s="19">
        <v>922291393</v>
      </c>
      <c r="B2695" s="19" t="s">
        <v>5738</v>
      </c>
      <c r="C2695" s="17" t="s">
        <v>5739</v>
      </c>
    </row>
    <row r="2696" spans="1:3">
      <c r="A2696" s="19">
        <v>922291471</v>
      </c>
      <c r="B2696" s="19" t="s">
        <v>5740</v>
      </c>
      <c r="C2696" s="17" t="s">
        <v>5741</v>
      </c>
    </row>
    <row r="2697" spans="1:3">
      <c r="A2697" s="19">
        <v>922296957</v>
      </c>
      <c r="B2697" s="19" t="s">
        <v>5742</v>
      </c>
      <c r="C2697" s="17" t="s">
        <v>5743</v>
      </c>
    </row>
    <row r="2698" spans="1:3">
      <c r="A2698" s="19">
        <v>922330861</v>
      </c>
      <c r="B2698" s="19" t="s">
        <v>5744</v>
      </c>
      <c r="C2698" s="17" t="s">
        <v>5745</v>
      </c>
    </row>
    <row r="2699" spans="1:3">
      <c r="A2699" s="19">
        <v>922332798</v>
      </c>
      <c r="B2699" s="19" t="s">
        <v>5746</v>
      </c>
      <c r="C2699" s="17" t="s">
        <v>5747</v>
      </c>
    </row>
    <row r="2700" spans="1:3">
      <c r="A2700" s="19">
        <v>922333110</v>
      </c>
      <c r="B2700" s="19" t="s">
        <v>5748</v>
      </c>
      <c r="C2700" s="17" t="s">
        <v>5749</v>
      </c>
    </row>
    <row r="2701" spans="1:3">
      <c r="A2701" s="19">
        <v>922342561</v>
      </c>
      <c r="B2701" s="19" t="s">
        <v>5750</v>
      </c>
      <c r="C2701" s="17" t="s">
        <v>5751</v>
      </c>
    </row>
    <row r="2702" spans="1:3">
      <c r="A2702" s="19">
        <v>922343341</v>
      </c>
      <c r="B2702" s="19" t="s">
        <v>5752</v>
      </c>
      <c r="C2702" s="17" t="s">
        <v>5753</v>
      </c>
    </row>
    <row r="2703" spans="1:3">
      <c r="A2703" s="19">
        <v>922367391</v>
      </c>
      <c r="B2703" s="19" t="s">
        <v>5754</v>
      </c>
      <c r="C2703" s="17" t="s">
        <v>5755</v>
      </c>
    </row>
    <row r="2704" spans="1:3">
      <c r="A2704" s="19">
        <v>922399215</v>
      </c>
      <c r="B2704" s="19" t="s">
        <v>5756</v>
      </c>
      <c r="C2704" s="17" t="s">
        <v>5757</v>
      </c>
    </row>
    <row r="2705" spans="1:3">
      <c r="A2705" s="19">
        <v>922404701</v>
      </c>
      <c r="B2705" s="19" t="s">
        <v>5758</v>
      </c>
      <c r="C2705" s="17" t="s">
        <v>5759</v>
      </c>
    </row>
    <row r="2706" spans="1:3">
      <c r="A2706" s="19">
        <v>922471079</v>
      </c>
      <c r="B2706" s="19" t="s">
        <v>5760</v>
      </c>
      <c r="C2706" s="17" t="s">
        <v>5761</v>
      </c>
    </row>
    <row r="2707" spans="1:3">
      <c r="A2707" s="19">
        <v>922471625</v>
      </c>
      <c r="B2707" s="19" t="s">
        <v>5762</v>
      </c>
      <c r="C2707" s="18" t="s">
        <v>5763</v>
      </c>
    </row>
    <row r="2708" spans="1:3">
      <c r="A2708" s="19">
        <v>922806804</v>
      </c>
      <c r="B2708" s="19" t="s">
        <v>5764</v>
      </c>
      <c r="C2708" s="18" t="s">
        <v>5765</v>
      </c>
    </row>
    <row r="2709" spans="1:3">
      <c r="A2709" s="19">
        <v>922807103</v>
      </c>
      <c r="B2709" s="19" t="s">
        <v>5766</v>
      </c>
      <c r="C2709" s="17" t="s">
        <v>5767</v>
      </c>
    </row>
    <row r="2710" spans="1:3">
      <c r="A2710" s="15">
        <v>922886247</v>
      </c>
      <c r="B2710" s="1" t="s">
        <v>2505</v>
      </c>
      <c r="C2710" s="18" t="s">
        <v>5768</v>
      </c>
    </row>
    <row r="2711" spans="1:3">
      <c r="A2711" s="19">
        <v>922896478</v>
      </c>
      <c r="B2711" s="19" t="s">
        <v>5769</v>
      </c>
      <c r="C2711" s="17" t="s">
        <v>5770</v>
      </c>
    </row>
    <row r="2712" spans="1:3">
      <c r="A2712" s="19">
        <v>922941952</v>
      </c>
      <c r="B2712" s="19" t="s">
        <v>5771</v>
      </c>
      <c r="C2712" s="17" t="s">
        <v>5772</v>
      </c>
    </row>
    <row r="2713" spans="1:3">
      <c r="A2713" s="19">
        <v>922943096</v>
      </c>
      <c r="B2713" s="19" t="s">
        <v>5773</v>
      </c>
      <c r="C2713" s="17" t="s">
        <v>5774</v>
      </c>
    </row>
    <row r="2714" spans="1:3">
      <c r="A2714" s="19">
        <v>922945865</v>
      </c>
      <c r="B2714" s="19" t="s">
        <v>5775</v>
      </c>
      <c r="C2714" s="17" t="s">
        <v>5776</v>
      </c>
    </row>
    <row r="2715" spans="1:3">
      <c r="A2715" s="19">
        <v>922946047</v>
      </c>
      <c r="B2715" s="19" t="s">
        <v>5777</v>
      </c>
      <c r="C2715" s="18" t="s">
        <v>5778</v>
      </c>
    </row>
    <row r="2716" spans="1:3">
      <c r="A2716" s="19">
        <v>922948296</v>
      </c>
      <c r="B2716" s="19" t="s">
        <v>5779</v>
      </c>
      <c r="C2716" s="17" t="s">
        <v>5780</v>
      </c>
    </row>
    <row r="2717" spans="1:3">
      <c r="A2717" s="19">
        <v>922949401</v>
      </c>
      <c r="B2717" s="19" t="s">
        <v>5781</v>
      </c>
      <c r="C2717" s="17" t="s">
        <v>5782</v>
      </c>
    </row>
    <row r="2718" spans="1:3">
      <c r="A2718" s="19">
        <v>922951702</v>
      </c>
      <c r="B2718" s="19" t="s">
        <v>5783</v>
      </c>
      <c r="C2718" s="17" t="s">
        <v>5784</v>
      </c>
    </row>
    <row r="2719" spans="1:3">
      <c r="A2719" s="15">
        <v>922955615</v>
      </c>
      <c r="B2719" s="1" t="s">
        <v>5785</v>
      </c>
      <c r="C2719" s="20" t="s">
        <v>5786</v>
      </c>
    </row>
    <row r="2720" spans="1:3">
      <c r="A2720" s="19">
        <v>922957474</v>
      </c>
      <c r="B2720" s="19" t="s">
        <v>5787</v>
      </c>
      <c r="C2720" s="17" t="s">
        <v>5788</v>
      </c>
    </row>
    <row r="2721" spans="1:3">
      <c r="A2721" s="19">
        <v>922957877</v>
      </c>
      <c r="B2721" s="19" t="s">
        <v>5789</v>
      </c>
      <c r="C2721" s="17" t="s">
        <v>5790</v>
      </c>
    </row>
    <row r="2722" spans="1:3">
      <c r="A2722" s="19">
        <v>922960373</v>
      </c>
      <c r="B2722" s="19" t="s">
        <v>5791</v>
      </c>
      <c r="C2722" s="17" t="s">
        <v>5792</v>
      </c>
    </row>
    <row r="2723" spans="1:3">
      <c r="A2723" s="19">
        <v>922960581</v>
      </c>
      <c r="B2723" s="19" t="s">
        <v>5793</v>
      </c>
      <c r="C2723" s="17" t="s">
        <v>5794</v>
      </c>
    </row>
    <row r="2724" spans="1:3">
      <c r="A2724" s="19">
        <v>922962583</v>
      </c>
      <c r="B2724" s="19" t="s">
        <v>5795</v>
      </c>
      <c r="C2724" s="17" t="s">
        <v>5796</v>
      </c>
    </row>
    <row r="2725" spans="1:3">
      <c r="A2725" s="11">
        <v>922962700</v>
      </c>
      <c r="B2725" s="11" t="s">
        <v>5797</v>
      </c>
      <c r="C2725" s="18" t="s">
        <v>5798</v>
      </c>
    </row>
    <row r="2726" spans="1:3">
      <c r="A2726" s="19">
        <v>922964052</v>
      </c>
      <c r="B2726" s="19" t="s">
        <v>5799</v>
      </c>
      <c r="C2726" s="17" t="s">
        <v>5800</v>
      </c>
    </row>
    <row r="2727" spans="1:3">
      <c r="A2727" s="19">
        <v>922966964</v>
      </c>
      <c r="B2727" s="19" t="s">
        <v>5801</v>
      </c>
      <c r="C2727" s="17" t="s">
        <v>5802</v>
      </c>
    </row>
    <row r="2728" spans="1:3">
      <c r="A2728" s="19">
        <v>922968615</v>
      </c>
      <c r="B2728" s="19" t="s">
        <v>5803</v>
      </c>
      <c r="C2728" s="17" t="s">
        <v>5804</v>
      </c>
    </row>
    <row r="2729" spans="1:3">
      <c r="A2729" s="19">
        <v>922969408</v>
      </c>
      <c r="B2729" s="19" t="s">
        <v>5805</v>
      </c>
      <c r="C2729" s="17" t="s">
        <v>5806</v>
      </c>
    </row>
    <row r="2730" spans="1:3">
      <c r="A2730" s="19">
        <v>922970006</v>
      </c>
      <c r="B2730" s="19" t="s">
        <v>5807</v>
      </c>
      <c r="C2730" s="17" t="s">
        <v>5808</v>
      </c>
    </row>
    <row r="2731" spans="1:3">
      <c r="A2731" s="19">
        <v>922973165</v>
      </c>
      <c r="B2731" s="19" t="s">
        <v>5809</v>
      </c>
      <c r="C2731" s="17" t="s">
        <v>5810</v>
      </c>
    </row>
    <row r="2732" spans="1:3">
      <c r="A2732" s="19">
        <v>922975726</v>
      </c>
      <c r="B2732" s="19" t="s">
        <v>5811</v>
      </c>
      <c r="C2732" s="17" t="s">
        <v>5812</v>
      </c>
    </row>
    <row r="2733" spans="1:3">
      <c r="A2733" s="19">
        <v>922980874</v>
      </c>
      <c r="B2733" s="19" t="s">
        <v>5813</v>
      </c>
      <c r="C2733" s="17" t="s">
        <v>5814</v>
      </c>
    </row>
    <row r="2734" spans="1:3">
      <c r="A2734" s="19">
        <v>922994043</v>
      </c>
      <c r="B2734" s="19" t="s">
        <v>5815</v>
      </c>
      <c r="C2734" s="17" t="s">
        <v>5816</v>
      </c>
    </row>
    <row r="2735" spans="1:3">
      <c r="A2735" s="19">
        <v>922994186</v>
      </c>
      <c r="B2735" s="19" t="s">
        <v>5817</v>
      </c>
      <c r="C2735" s="17" t="s">
        <v>5818</v>
      </c>
    </row>
    <row r="2736" spans="1:3">
      <c r="A2736" s="19">
        <v>922994615</v>
      </c>
      <c r="B2736" s="19" t="s">
        <v>5819</v>
      </c>
      <c r="C2736" s="17" t="s">
        <v>5820</v>
      </c>
    </row>
    <row r="2737" spans="1:3">
      <c r="A2737" s="19">
        <v>923022942</v>
      </c>
      <c r="B2737" s="19" t="s">
        <v>5821</v>
      </c>
      <c r="C2737" s="17" t="s">
        <v>5822</v>
      </c>
    </row>
    <row r="2738" spans="1:3">
      <c r="A2738" s="11" t="s">
        <v>5823</v>
      </c>
      <c r="B2738" s="11" t="s">
        <v>2491</v>
      </c>
      <c r="C2738" s="18" t="s">
        <v>2492</v>
      </c>
    </row>
    <row r="2739" spans="1:3">
      <c r="A2739" s="11">
        <v>918850808</v>
      </c>
      <c r="B2739" s="11" t="s">
        <v>5824</v>
      </c>
      <c r="C2739" s="23" t="s">
        <v>5825</v>
      </c>
    </row>
    <row r="2740" spans="1:3">
      <c r="A2740" s="11">
        <v>909072104</v>
      </c>
      <c r="B2740" s="11" t="s">
        <v>5826</v>
      </c>
      <c r="C2740" s="23" t="s">
        <v>5827</v>
      </c>
    </row>
    <row r="2741" spans="1:3">
      <c r="A2741" s="11">
        <v>917158819</v>
      </c>
      <c r="B2741" s="50" t="s">
        <v>5828</v>
      </c>
      <c r="C2741" s="23" t="s">
        <v>4231</v>
      </c>
    </row>
    <row r="2742" spans="1:3">
      <c r="A2742" s="11">
        <v>922215018</v>
      </c>
      <c r="B2742" s="11" t="s">
        <v>5829</v>
      </c>
      <c r="C2742" s="23" t="s">
        <v>5830</v>
      </c>
    </row>
    <row r="2743" spans="1:3">
      <c r="A2743" s="11">
        <v>922386176</v>
      </c>
      <c r="B2743" s="11" t="s">
        <v>5831</v>
      </c>
      <c r="C2743" s="23" t="s">
        <v>5832</v>
      </c>
    </row>
    <row r="2744" spans="1:3">
      <c r="A2744" s="11">
        <v>918837691</v>
      </c>
      <c r="B2744" s="11" t="s">
        <v>5833</v>
      </c>
      <c r="C2744" s="23" t="s">
        <v>5834</v>
      </c>
    </row>
    <row r="2745" spans="1:3">
      <c r="A2745" s="11">
        <v>916804478</v>
      </c>
      <c r="B2745" s="11" t="s">
        <v>5835</v>
      </c>
      <c r="C2745" s="23" t="s">
        <v>5836</v>
      </c>
    </row>
    <row r="2746" spans="1:3">
      <c r="A2746" s="11">
        <v>916181362</v>
      </c>
      <c r="B2746" s="11" t="s">
        <v>5837</v>
      </c>
      <c r="C2746" s="23" t="s">
        <v>5838</v>
      </c>
    </row>
    <row r="2747" spans="1:3">
      <c r="A2747" s="11">
        <v>900030006</v>
      </c>
      <c r="B2747" s="19" t="s">
        <v>5839</v>
      </c>
      <c r="C2747" s="49" t="s">
        <v>5840</v>
      </c>
    </row>
    <row r="2748" spans="1:3">
      <c r="A2748" s="11">
        <v>918850145</v>
      </c>
      <c r="B2748" s="11" t="s">
        <v>5841</v>
      </c>
      <c r="C2748" s="23" t="s">
        <v>5842</v>
      </c>
    </row>
    <row r="2749" spans="1:3">
      <c r="A2749" s="11">
        <v>900028329</v>
      </c>
      <c r="B2749" s="11" t="s">
        <v>5843</v>
      </c>
      <c r="C2749" s="23" t="s">
        <v>5844</v>
      </c>
    </row>
    <row r="2750" spans="1:3">
      <c r="A2750" s="11">
        <v>917461355</v>
      </c>
      <c r="B2750" s="11" t="s">
        <v>5845</v>
      </c>
      <c r="C2750" s="23" t="s">
        <v>5846</v>
      </c>
    </row>
    <row r="2751" spans="1:3">
      <c r="A2751" s="11">
        <v>910325057</v>
      </c>
      <c r="B2751" s="11" t="s">
        <v>5847</v>
      </c>
      <c r="C2751" s="23" t="s">
        <v>5848</v>
      </c>
    </row>
    <row r="2752" spans="1:3">
      <c r="A2752" s="11">
        <v>920245089</v>
      </c>
      <c r="B2752" s="11" t="s">
        <v>5849</v>
      </c>
      <c r="C2752" s="23" t="s">
        <v>5850</v>
      </c>
    </row>
    <row r="2753" spans="1:3">
      <c r="A2753" s="11">
        <v>915216268</v>
      </c>
      <c r="B2753" s="11" t="s">
        <v>5851</v>
      </c>
      <c r="C2753" s="23" t="s">
        <v>5852</v>
      </c>
    </row>
    <row r="2754" spans="1:3">
      <c r="A2754" s="11">
        <v>904421185</v>
      </c>
      <c r="B2754" s="11" t="s">
        <v>1885</v>
      </c>
      <c r="C2754" s="23" t="s">
        <v>1886</v>
      </c>
    </row>
    <row r="2755" spans="1:3">
      <c r="A2755" s="11" t="s">
        <v>5853</v>
      </c>
      <c r="B2755" s="11" t="s">
        <v>5853</v>
      </c>
      <c r="C2755" s="23" t="s">
        <v>5854</v>
      </c>
    </row>
    <row r="2756" spans="1:3">
      <c r="A2756" s="11">
        <v>921790152</v>
      </c>
      <c r="B2756" s="19" t="s">
        <v>5855</v>
      </c>
      <c r="C2756" s="23" t="s">
        <v>5856</v>
      </c>
    </row>
    <row r="2757" spans="1:3">
      <c r="A2757" s="19" t="s">
        <v>84</v>
      </c>
      <c r="B2757" s="19" t="s">
        <v>84</v>
      </c>
      <c r="C2757" s="23" t="s">
        <v>5857</v>
      </c>
    </row>
    <row r="2758" spans="1:3">
      <c r="A2758" s="11">
        <v>918851679</v>
      </c>
      <c r="B2758" s="11" t="s">
        <v>5858</v>
      </c>
      <c r="C2758" s="23" t="s">
        <v>5859</v>
      </c>
    </row>
    <row r="2759" spans="1:3">
      <c r="A2759" s="3">
        <v>900020828</v>
      </c>
      <c r="B2759" s="11" t="s">
        <v>5860</v>
      </c>
      <c r="C2759" s="23" t="s">
        <v>5861</v>
      </c>
    </row>
    <row r="2760" spans="1:3">
      <c r="A2760" s="11">
        <v>918844633</v>
      </c>
      <c r="B2760" s="11" t="s">
        <v>5862</v>
      </c>
      <c r="C2760" s="23" t="s">
        <v>5863</v>
      </c>
    </row>
    <row r="2761" spans="1:3">
      <c r="A2761" s="11">
        <v>921279525</v>
      </c>
      <c r="B2761" s="52" t="s">
        <v>5864</v>
      </c>
      <c r="C2761" s="23" t="s">
        <v>5865</v>
      </c>
    </row>
    <row r="2762" spans="1:3">
      <c r="A2762" s="11">
        <v>918838822</v>
      </c>
      <c r="B2762" s="11" t="s">
        <v>5866</v>
      </c>
      <c r="C2762" s="23" t="s">
        <v>5867</v>
      </c>
    </row>
    <row r="2763" spans="1:3">
      <c r="A2763" s="11">
        <v>918099577</v>
      </c>
      <c r="B2763" s="11" t="s">
        <v>5868</v>
      </c>
      <c r="C2763" s="23" t="s">
        <v>5869</v>
      </c>
    </row>
    <row r="2764" spans="1:3">
      <c r="A2764" s="11">
        <v>920197873</v>
      </c>
      <c r="B2764" s="11" t="s">
        <v>5870</v>
      </c>
      <c r="C2764" s="23" t="s">
        <v>5871</v>
      </c>
    </row>
    <row r="2765" spans="1:3">
      <c r="A2765" s="11">
        <v>904975115</v>
      </c>
      <c r="B2765" s="11" t="s">
        <v>84</v>
      </c>
      <c r="C2765" t="s">
        <v>5872</v>
      </c>
    </row>
    <row r="2766" spans="1:3">
      <c r="A2766" s="11">
        <v>900040562</v>
      </c>
      <c r="B2766" s="11" t="s">
        <v>5873</v>
      </c>
      <c r="C2766" s="23" t="s">
        <v>1181</v>
      </c>
    </row>
    <row r="2767" spans="1:3">
      <c r="A2767" s="3">
        <v>915553046</v>
      </c>
      <c r="B2767" s="101" t="s">
        <v>5874</v>
      </c>
      <c r="C2767" s="23" t="s">
        <v>5875</v>
      </c>
    </row>
    <row r="2768" spans="1:3">
      <c r="A2768" s="11">
        <v>911079720</v>
      </c>
      <c r="B2768" s="11" t="s">
        <v>5876</v>
      </c>
      <c r="C2768" s="23" t="s">
        <v>5877</v>
      </c>
    </row>
    <row r="2769" spans="1:3">
      <c r="A2769" s="11">
        <v>909198113</v>
      </c>
      <c r="B2769" s="11" t="s">
        <v>5878</v>
      </c>
      <c r="C2769" s="23" t="s">
        <v>2711</v>
      </c>
    </row>
    <row r="2770" spans="1:3">
      <c r="A2770" s="11">
        <v>904498054</v>
      </c>
      <c r="B2770" s="11" t="s">
        <v>5879</v>
      </c>
      <c r="C2770" s="23" t="s">
        <v>5880</v>
      </c>
    </row>
    <row r="2771" spans="1:3">
      <c r="A2771" s="11">
        <v>918843008</v>
      </c>
      <c r="B2771" s="11" t="s">
        <v>5184</v>
      </c>
      <c r="C2771" s="23" t="s">
        <v>5185</v>
      </c>
    </row>
    <row r="2772" spans="1:3">
      <c r="A2772" s="11">
        <v>900032333</v>
      </c>
      <c r="B2772" s="11" t="s">
        <v>5881</v>
      </c>
      <c r="C2772" s="23" t="s">
        <v>5882</v>
      </c>
    </row>
    <row r="2773" spans="1:3">
      <c r="A2773" s="11">
        <v>922333916</v>
      </c>
      <c r="B2773" s="11" t="s">
        <v>5883</v>
      </c>
      <c r="C2773" s="23" t="s">
        <v>5884</v>
      </c>
    </row>
    <row r="2774" spans="1:3">
      <c r="A2774" s="54">
        <v>918853070</v>
      </c>
      <c r="B2774" s="11" t="s">
        <v>5885</v>
      </c>
      <c r="C2774" s="23" t="s">
        <v>5886</v>
      </c>
    </row>
    <row r="2775" spans="1:3">
      <c r="A2775" s="11">
        <v>912033556</v>
      </c>
      <c r="B2775" s="11" t="s">
        <v>5887</v>
      </c>
      <c r="C2775" s="23" t="s">
        <v>5888</v>
      </c>
    </row>
    <row r="2776" spans="1:3" ht="15.95">
      <c r="A2776" s="11">
        <v>918375164</v>
      </c>
      <c r="B2776" s="13" t="s">
        <v>5889</v>
      </c>
      <c r="C2776" s="23" t="s">
        <v>5890</v>
      </c>
    </row>
    <row r="2777" spans="1:3">
      <c r="A2777" s="11">
        <v>909314515</v>
      </c>
      <c r="B2777" s="11" t="s">
        <v>5891</v>
      </c>
      <c r="C2777" s="23" t="s">
        <v>5892</v>
      </c>
    </row>
    <row r="2778" spans="1:3">
      <c r="A2778" s="11">
        <v>923619525</v>
      </c>
      <c r="B2778" s="11" t="s">
        <v>5893</v>
      </c>
      <c r="C2778" s="23" t="s">
        <v>5894</v>
      </c>
    </row>
    <row r="2779" spans="1:3">
      <c r="A2779" s="11">
        <v>916258855</v>
      </c>
      <c r="B2779" s="11" t="s">
        <v>5895</v>
      </c>
      <c r="C2779" s="23" t="s">
        <v>5896</v>
      </c>
    </row>
    <row r="2780" spans="1:3">
      <c r="A2780" s="11">
        <v>908141694</v>
      </c>
      <c r="B2780" s="98" t="s">
        <v>5897</v>
      </c>
      <c r="C2780" s="23" t="s">
        <v>5898</v>
      </c>
    </row>
    <row r="2781" spans="1:3">
      <c r="A2781" s="11">
        <v>909906548</v>
      </c>
      <c r="B2781" s="11" t="s">
        <v>5899</v>
      </c>
      <c r="C2781" s="23" t="s">
        <v>5900</v>
      </c>
    </row>
    <row r="2782" spans="1:3">
      <c r="A2782" s="11">
        <v>908471972</v>
      </c>
      <c r="B2782" s="11" t="s">
        <v>5901</v>
      </c>
      <c r="C2782" s="23" t="s">
        <v>5902</v>
      </c>
    </row>
    <row r="2783" spans="1:3" ht="15.95">
      <c r="A2783" s="11">
        <v>917241304</v>
      </c>
      <c r="B2783" s="13" t="s">
        <v>5903</v>
      </c>
      <c r="C2783" s="23" t="s">
        <v>5904</v>
      </c>
    </row>
    <row r="2784" spans="1:3">
      <c r="A2784" s="11">
        <v>900035999</v>
      </c>
      <c r="B2784" s="11" t="s">
        <v>5905</v>
      </c>
      <c r="C2784" s="23" t="s">
        <v>5906</v>
      </c>
    </row>
    <row r="2785" spans="1:3">
      <c r="A2785" s="11">
        <v>918852966</v>
      </c>
      <c r="B2785" s="11" t="s">
        <v>5907</v>
      </c>
      <c r="C2785" s="23" t="s">
        <v>5908</v>
      </c>
    </row>
    <row r="2786" spans="1:3">
      <c r="A2786" s="11">
        <v>918853577</v>
      </c>
      <c r="B2786" s="11" t="s">
        <v>5909</v>
      </c>
      <c r="C2786" s="23" t="s">
        <v>5910</v>
      </c>
    </row>
    <row r="2787" spans="1:3">
      <c r="A2787" s="11">
        <v>918853499</v>
      </c>
      <c r="B2787" s="11" t="s">
        <v>5911</v>
      </c>
      <c r="C2787" s="23" t="s">
        <v>5912</v>
      </c>
    </row>
    <row r="2788" spans="1:3">
      <c r="A2788" s="11">
        <v>918852368</v>
      </c>
      <c r="B2788" s="11" t="s">
        <v>5913</v>
      </c>
      <c r="C2788" s="23" t="s">
        <v>5914</v>
      </c>
    </row>
    <row r="2789" spans="1:3">
      <c r="A2789" s="11">
        <v>917322125</v>
      </c>
      <c r="B2789" s="11" t="s">
        <v>5915</v>
      </c>
      <c r="C2789" s="23" t="s">
        <v>5916</v>
      </c>
    </row>
    <row r="2790" spans="1:3">
      <c r="A2790" s="11">
        <v>918852823</v>
      </c>
      <c r="B2790" s="11" t="s">
        <v>5917</v>
      </c>
      <c r="C2790" s="23" t="s">
        <v>5918</v>
      </c>
    </row>
    <row r="2791" spans="1:3">
      <c r="A2791" s="11">
        <v>918844425</v>
      </c>
      <c r="B2791" s="11" t="s">
        <v>5919</v>
      </c>
      <c r="C2791" s="23" t="s">
        <v>5920</v>
      </c>
    </row>
    <row r="2792" spans="1:3">
      <c r="A2792" s="11">
        <v>918834584</v>
      </c>
      <c r="B2792" s="11" t="s">
        <v>5921</v>
      </c>
      <c r="C2792" s="23" t="s">
        <v>5922</v>
      </c>
    </row>
    <row r="2793" spans="1:3">
      <c r="A2793" s="11">
        <v>918851029</v>
      </c>
      <c r="B2793" s="11" t="s">
        <v>5923</v>
      </c>
      <c r="C2793" s="23" t="s">
        <v>5924</v>
      </c>
    </row>
    <row r="2794" spans="1:3">
      <c r="A2794" s="11">
        <v>918852979</v>
      </c>
      <c r="B2794" s="11" t="s">
        <v>5925</v>
      </c>
      <c r="C2794" s="23" t="s">
        <v>5926</v>
      </c>
    </row>
    <row r="2795" spans="1:3">
      <c r="A2795" s="11">
        <v>918103178</v>
      </c>
      <c r="B2795" s="11" t="s">
        <v>4582</v>
      </c>
      <c r="C2795" s="23" t="s">
        <v>4583</v>
      </c>
    </row>
    <row r="2796" spans="1:3">
      <c r="A2796" s="11">
        <v>918115697</v>
      </c>
      <c r="B2796" s="11" t="s">
        <v>5927</v>
      </c>
      <c r="C2796" s="23" t="s">
        <v>4619</v>
      </c>
    </row>
    <row r="2797" spans="1:3">
      <c r="A2797" s="11">
        <v>901596090</v>
      </c>
      <c r="B2797" s="11" t="s">
        <v>5928</v>
      </c>
      <c r="C2797" s="23" t="s">
        <v>5929</v>
      </c>
    </row>
    <row r="2798" spans="1:3">
      <c r="A2798" s="11">
        <v>918853590</v>
      </c>
      <c r="B2798" s="11" t="s">
        <v>5930</v>
      </c>
      <c r="C2798" s="23" t="s">
        <v>5931</v>
      </c>
    </row>
    <row r="2799" spans="1:3">
      <c r="A2799" s="11">
        <v>918853447</v>
      </c>
      <c r="B2799" s="11" t="s">
        <v>5932</v>
      </c>
      <c r="C2799" s="23" t="s">
        <v>5933</v>
      </c>
    </row>
    <row r="2800" spans="1:3">
      <c r="A2800" s="11">
        <v>900064157</v>
      </c>
      <c r="B2800" s="11" t="s">
        <v>5934</v>
      </c>
      <c r="C2800" s="23" t="s">
        <v>5935</v>
      </c>
    </row>
    <row r="2801" spans="1:3">
      <c r="A2801" s="11">
        <v>902486122</v>
      </c>
      <c r="B2801" s="11" t="s">
        <v>5936</v>
      </c>
      <c r="C2801" s="23" t="s">
        <v>5937</v>
      </c>
    </row>
    <row r="2802" spans="1:3">
      <c r="A2802" s="11">
        <v>918852108</v>
      </c>
      <c r="B2802" s="11" t="s">
        <v>5938</v>
      </c>
      <c r="C2802" s="23" t="s">
        <v>5939</v>
      </c>
    </row>
    <row r="2803" spans="1:3">
      <c r="A2803" s="11">
        <v>918841305</v>
      </c>
      <c r="B2803" s="11" t="s">
        <v>5940</v>
      </c>
      <c r="C2803" s="23" t="s">
        <v>5941</v>
      </c>
    </row>
    <row r="2804" spans="1:3">
      <c r="A2804" s="11">
        <v>907606601</v>
      </c>
      <c r="B2804" s="11" t="s">
        <v>5942</v>
      </c>
      <c r="C2804" s="23" t="s">
        <v>5943</v>
      </c>
    </row>
    <row r="2805" spans="1:3">
      <c r="A2805" s="11">
        <v>912745657</v>
      </c>
      <c r="B2805" s="11" t="s">
        <v>5944</v>
      </c>
      <c r="C2805" s="23" t="s">
        <v>5945</v>
      </c>
    </row>
    <row r="2806" spans="1:3">
      <c r="A2806" s="11">
        <v>917728791</v>
      </c>
      <c r="B2806" s="11" t="s">
        <v>5946</v>
      </c>
      <c r="C2806" s="23" t="s">
        <v>5947</v>
      </c>
    </row>
    <row r="2807" spans="1:3" ht="15.95">
      <c r="A2807" s="102">
        <v>918853850</v>
      </c>
      <c r="B2807" s="102" t="s">
        <v>5948</v>
      </c>
      <c r="C2807" s="55" t="s">
        <v>5949</v>
      </c>
    </row>
    <row r="2808" spans="1:3">
      <c r="A2808" s="3">
        <v>903109316</v>
      </c>
      <c r="B2808" s="11" t="s">
        <v>5950</v>
      </c>
      <c r="C2808" s="23" t="s">
        <v>5951</v>
      </c>
    </row>
    <row r="2809" spans="1:3">
      <c r="A2809" s="11">
        <v>922112539</v>
      </c>
      <c r="B2809" s="11" t="s">
        <v>5952</v>
      </c>
      <c r="C2809" s="23" t="s">
        <v>5953</v>
      </c>
    </row>
    <row r="2810" spans="1:3">
      <c r="A2810" s="11">
        <v>921088438</v>
      </c>
      <c r="B2810" s="11" t="s">
        <v>5954</v>
      </c>
      <c r="C2810" s="23" t="s">
        <v>5955</v>
      </c>
    </row>
    <row r="2811" spans="1:3">
      <c r="A2811" s="11">
        <v>922892331</v>
      </c>
      <c r="B2811" s="11" t="s">
        <v>5956</v>
      </c>
      <c r="C2811" s="23" t="s">
        <v>5957</v>
      </c>
    </row>
    <row r="2812" spans="1:3">
      <c r="A2812" s="11">
        <v>900604385</v>
      </c>
      <c r="B2812" s="11" t="s">
        <v>5958</v>
      </c>
      <c r="C2812" s="23" t="s">
        <v>5959</v>
      </c>
    </row>
    <row r="2813" spans="1:3">
      <c r="A2813" s="11">
        <v>900003096</v>
      </c>
      <c r="B2813" s="11" t="s">
        <v>421</v>
      </c>
      <c r="C2813" s="23" t="s">
        <v>422</v>
      </c>
    </row>
    <row r="2814" spans="1:3">
      <c r="A2814" s="11">
        <v>915442845</v>
      </c>
      <c r="B2814" s="11" t="s">
        <v>5960</v>
      </c>
      <c r="C2814" s="23" t="s">
        <v>5961</v>
      </c>
    </row>
    <row r="2815" spans="1:3">
      <c r="A2815" s="11">
        <v>907476835</v>
      </c>
      <c r="B2815" s="11" t="s">
        <v>5962</v>
      </c>
      <c r="C2815" s="23" t="s">
        <v>5963</v>
      </c>
    </row>
    <row r="2816" spans="1:3">
      <c r="A2816" s="11">
        <v>918849482</v>
      </c>
      <c r="B2816" s="11" t="s">
        <v>5964</v>
      </c>
      <c r="C2816" s="23" t="s">
        <v>5965</v>
      </c>
    </row>
    <row r="2817" spans="1:8">
      <c r="A2817" s="11">
        <v>907116150</v>
      </c>
      <c r="B2817" s="11" t="s">
        <v>5966</v>
      </c>
      <c r="C2817" s="23" t="s">
        <v>5967</v>
      </c>
    </row>
    <row r="2818" spans="1:8">
      <c r="A2818" s="3">
        <v>912657517</v>
      </c>
      <c r="B2818" s="11" t="s">
        <v>5968</v>
      </c>
      <c r="C2818" s="23" t="s">
        <v>5969</v>
      </c>
    </row>
    <row r="2819" spans="1:8">
      <c r="A2819" s="11">
        <v>909355725</v>
      </c>
      <c r="B2819" s="11" t="s">
        <v>5970</v>
      </c>
      <c r="C2819" s="23" t="s">
        <v>5971</v>
      </c>
    </row>
    <row r="2820" spans="1:8">
      <c r="A2820" s="11">
        <v>904279862</v>
      </c>
      <c r="B2820" s="11" t="s">
        <v>5972</v>
      </c>
      <c r="C2820" s="23" t="s">
        <v>5973</v>
      </c>
    </row>
    <row r="2821" spans="1:8">
      <c r="A2821" s="11">
        <v>918852771</v>
      </c>
      <c r="B2821" s="11" t="s">
        <v>5974</v>
      </c>
      <c r="C2821" s="23" t="s">
        <v>5975</v>
      </c>
      <c r="H2821" s="11"/>
    </row>
    <row r="2822" spans="1:8">
      <c r="A2822" s="11">
        <v>904031146</v>
      </c>
      <c r="B2822" s="11" t="s">
        <v>5976</v>
      </c>
      <c r="C2822" s="23" t="s">
        <v>5977</v>
      </c>
    </row>
    <row r="2823" spans="1:8">
      <c r="A2823" s="11">
        <v>918838653</v>
      </c>
      <c r="B2823" s="11" t="s">
        <v>5978</v>
      </c>
      <c r="C2823" s="23" t="s">
        <v>5979</v>
      </c>
    </row>
    <row r="2824" spans="1:8">
      <c r="A2824" s="11">
        <v>906302675</v>
      </c>
      <c r="B2824" s="11" t="s">
        <v>5980</v>
      </c>
      <c r="C2824" s="23" t="s">
        <v>5981</v>
      </c>
    </row>
    <row r="2825" spans="1:8">
      <c r="A2825" s="11">
        <v>918852628</v>
      </c>
      <c r="B2825" s="11" t="s">
        <v>5982</v>
      </c>
      <c r="C2825" s="23" t="s">
        <v>5983</v>
      </c>
    </row>
    <row r="2826" spans="1:8">
      <c r="A2826" s="11">
        <v>918114137</v>
      </c>
      <c r="B2826" s="11" t="s">
        <v>5984</v>
      </c>
      <c r="C2826" s="23" t="s">
        <v>5985</v>
      </c>
    </row>
    <row r="2827" spans="1:8">
      <c r="A2827" s="11">
        <v>912569949</v>
      </c>
      <c r="B2827" s="11" t="s">
        <v>5986</v>
      </c>
      <c r="C2827" s="23" t="s">
        <v>5987</v>
      </c>
    </row>
    <row r="2828" spans="1:8">
      <c r="A2828" s="11">
        <v>913352328</v>
      </c>
      <c r="B2828" s="11" t="s">
        <v>5988</v>
      </c>
      <c r="C2828" s="23" t="s">
        <v>5989</v>
      </c>
    </row>
    <row r="2829" spans="1:8">
      <c r="A2829" s="11">
        <v>918852433</v>
      </c>
      <c r="B2829" s="11" t="s">
        <v>5990</v>
      </c>
      <c r="C2829" s="23" t="s">
        <v>5991</v>
      </c>
    </row>
    <row r="2830" spans="1:8">
      <c r="A2830" s="11">
        <v>918844620</v>
      </c>
      <c r="B2830" s="11" t="s">
        <v>5992</v>
      </c>
      <c r="C2830" s="23" t="s">
        <v>5993</v>
      </c>
    </row>
    <row r="2831" spans="1:8">
      <c r="A2831" s="13">
        <v>917692404</v>
      </c>
      <c r="B2831" s="11" t="s">
        <v>4470</v>
      </c>
      <c r="C2831" s="23" t="s">
        <v>4471</v>
      </c>
    </row>
    <row r="2832" spans="1:8">
      <c r="A2832" s="11">
        <v>900009219</v>
      </c>
      <c r="B2832" s="11" t="s">
        <v>5994</v>
      </c>
      <c r="C2832" s="23" t="s">
        <v>5995</v>
      </c>
    </row>
    <row r="2833" spans="1:3">
      <c r="A2833" s="11">
        <v>922682212</v>
      </c>
      <c r="B2833" s="11" t="s">
        <v>5996</v>
      </c>
      <c r="C2833" s="23" t="s">
        <v>5997</v>
      </c>
    </row>
    <row r="2834" spans="1:3">
      <c r="A2834" s="3">
        <v>913694592</v>
      </c>
      <c r="B2834" s="11" t="s">
        <v>5998</v>
      </c>
      <c r="C2834" s="23" t="s">
        <v>5999</v>
      </c>
    </row>
    <row r="2835" spans="1:3">
      <c r="A2835" s="11">
        <v>918855800</v>
      </c>
      <c r="B2835" s="11" t="s">
        <v>6000</v>
      </c>
      <c r="C2835" s="23" t="s">
        <v>6001</v>
      </c>
    </row>
    <row r="2836" spans="1:3">
      <c r="A2836" s="11">
        <v>918828279</v>
      </c>
      <c r="B2836" s="11" t="s">
        <v>6002</v>
      </c>
      <c r="C2836" s="23" t="s">
        <v>6003</v>
      </c>
    </row>
    <row r="2837" spans="1:3">
      <c r="A2837" s="11">
        <v>904898610</v>
      </c>
      <c r="B2837" s="11" t="s">
        <v>6004</v>
      </c>
      <c r="C2837" s="18" t="s">
        <v>6005</v>
      </c>
    </row>
    <row r="2838" spans="1:3">
      <c r="A2838" s="11">
        <v>906304027</v>
      </c>
      <c r="B2838" s="11" t="s">
        <v>6006</v>
      </c>
      <c r="C2838" s="23" t="s">
        <v>6007</v>
      </c>
    </row>
    <row r="2839" spans="1:3">
      <c r="A2839" s="11">
        <v>901694591</v>
      </c>
      <c r="B2839" s="11" t="s">
        <v>6008</v>
      </c>
      <c r="C2839" s="23" t="s">
        <v>6009</v>
      </c>
    </row>
    <row r="2840" spans="1:3">
      <c r="A2840" s="11">
        <v>900045099</v>
      </c>
      <c r="B2840" s="11" t="s">
        <v>6010</v>
      </c>
      <c r="C2840" s="23" t="s">
        <v>6011</v>
      </c>
    </row>
    <row r="2841" spans="1:3">
      <c r="A2841" s="11">
        <v>923240510</v>
      </c>
      <c r="B2841" s="11" t="s">
        <v>6012</v>
      </c>
      <c r="C2841" s="23" t="s">
        <v>6013</v>
      </c>
    </row>
    <row r="2842" spans="1:3">
      <c r="A2842" s="11">
        <v>920938353</v>
      </c>
      <c r="B2842" s="11" t="s">
        <v>6014</v>
      </c>
      <c r="C2842" s="23" t="s">
        <v>6015</v>
      </c>
    </row>
    <row r="2843" spans="1:3">
      <c r="A2843" s="11">
        <v>920825409</v>
      </c>
      <c r="B2843" s="11" t="s">
        <v>6016</v>
      </c>
      <c r="C2843" s="23" t="s">
        <v>6017</v>
      </c>
    </row>
    <row r="2844" spans="1:3">
      <c r="A2844" s="11">
        <v>906473170</v>
      </c>
      <c r="B2844" s="11" t="s">
        <v>6018</v>
      </c>
      <c r="C2844" s="23" t="s">
        <v>6019</v>
      </c>
    </row>
    <row r="2845" spans="1:3">
      <c r="A2845" s="11">
        <v>911104394</v>
      </c>
      <c r="B2845" s="11" t="s">
        <v>6020</v>
      </c>
      <c r="C2845" s="23" t="s">
        <v>6021</v>
      </c>
    </row>
    <row r="2846" spans="1:3">
      <c r="A2846" s="11">
        <v>905374475</v>
      </c>
      <c r="B2846" s="11" t="s">
        <v>6022</v>
      </c>
    </row>
    <row r="2847" spans="1:3">
      <c r="A2847" s="11">
        <v>913824020</v>
      </c>
      <c r="B2847" s="11" t="s">
        <v>3708</v>
      </c>
      <c r="C2847" s="23" t="s">
        <v>3709</v>
      </c>
    </row>
    <row r="2848" spans="1:3">
      <c r="A2848" s="11">
        <v>920743353</v>
      </c>
      <c r="B2848" s="11" t="s">
        <v>6023</v>
      </c>
      <c r="C2848" s="23" t="s">
        <v>6024</v>
      </c>
    </row>
    <row r="2849" spans="1:3">
      <c r="A2849" s="11">
        <v>913060374</v>
      </c>
      <c r="B2849" s="11" t="s">
        <v>6025</v>
      </c>
      <c r="C2849" s="23" t="s">
        <v>6026</v>
      </c>
    </row>
    <row r="2850" spans="1:3">
      <c r="A2850" s="11">
        <v>923660943</v>
      </c>
      <c r="B2850" s="11" t="s">
        <v>6027</v>
      </c>
      <c r="C2850" s="23" t="s">
        <v>6028</v>
      </c>
    </row>
    <row r="2851" spans="1:3">
      <c r="A2851" s="11">
        <v>920056134</v>
      </c>
      <c r="B2851" s="11" t="s">
        <v>6029</v>
      </c>
      <c r="C2851" s="23" t="s">
        <v>6030</v>
      </c>
    </row>
    <row r="2852" spans="1:3">
      <c r="A2852" s="11">
        <v>923658993</v>
      </c>
      <c r="B2852" s="11" t="s">
        <v>6031</v>
      </c>
      <c r="C2852" s="23" t="s">
        <v>6032</v>
      </c>
    </row>
    <row r="2853" spans="1:3">
      <c r="A2853" s="11">
        <v>900931179</v>
      </c>
      <c r="B2853" s="11" t="s">
        <v>184</v>
      </c>
      <c r="C2853" s="23" t="s">
        <v>185</v>
      </c>
    </row>
    <row r="2854" spans="1:3">
      <c r="A2854" s="11">
        <v>917316327</v>
      </c>
      <c r="B2854" s="11" t="s">
        <v>6033</v>
      </c>
      <c r="C2854" s="23" t="s">
        <v>6034</v>
      </c>
    </row>
    <row r="2855" spans="1:3">
      <c r="A2855" s="11">
        <v>909162155</v>
      </c>
      <c r="B2855" s="11" t="s">
        <v>6035</v>
      </c>
      <c r="C2855" s="23" t="s">
        <v>6036</v>
      </c>
    </row>
    <row r="2856" spans="1:3">
      <c r="A2856" s="11">
        <v>910108438</v>
      </c>
      <c r="B2856" s="11" t="s">
        <v>6037</v>
      </c>
      <c r="C2856" s="23" t="s">
        <v>6038</v>
      </c>
    </row>
    <row r="2857" spans="1:3">
      <c r="A2857" s="11">
        <v>923864653</v>
      </c>
      <c r="B2857" s="11" t="s">
        <v>6039</v>
      </c>
      <c r="C2857" s="23" t="s">
        <v>6040</v>
      </c>
    </row>
    <row r="2858" spans="1:3">
      <c r="A2858" s="11">
        <v>910342828</v>
      </c>
      <c r="B2858" s="11" t="s">
        <v>6041</v>
      </c>
      <c r="C2858" s="49" t="s">
        <v>6042</v>
      </c>
    </row>
    <row r="2859" spans="1:3">
      <c r="A2859" s="11">
        <v>900065990</v>
      </c>
      <c r="B2859" s="11" t="s">
        <v>6043</v>
      </c>
      <c r="C2859" s="23" t="s">
        <v>6044</v>
      </c>
    </row>
    <row r="2860" spans="1:3">
      <c r="A2860" s="11">
        <v>918853941</v>
      </c>
      <c r="B2860" s="11" t="s">
        <v>6045</v>
      </c>
      <c r="C2860" s="23" t="s">
        <v>6046</v>
      </c>
    </row>
    <row r="2861" spans="1:3">
      <c r="A2861" s="11">
        <v>922361060</v>
      </c>
      <c r="B2861" s="11" t="s">
        <v>6047</v>
      </c>
      <c r="C2861" s="23" t="s">
        <v>6048</v>
      </c>
    </row>
    <row r="2862" spans="1:3">
      <c r="A2862" s="11">
        <v>900041368</v>
      </c>
      <c r="B2862" s="11" t="s">
        <v>6049</v>
      </c>
      <c r="C2862" s="23" t="s">
        <v>6050</v>
      </c>
    </row>
    <row r="2863" spans="1:3">
      <c r="A2863" s="11">
        <v>920120913</v>
      </c>
      <c r="B2863" s="11" t="s">
        <v>6051</v>
      </c>
      <c r="C2863" s="23" t="s">
        <v>6052</v>
      </c>
    </row>
    <row r="2864" spans="1:3">
      <c r="A2864" s="11">
        <v>904454088</v>
      </c>
      <c r="B2864" s="11" t="s">
        <v>6053</v>
      </c>
      <c r="C2864" s="23" t="s">
        <v>6054</v>
      </c>
    </row>
    <row r="2865" spans="1:3">
      <c r="A2865" s="11">
        <v>900027042</v>
      </c>
      <c r="B2865" s="11" t="s">
        <v>6055</v>
      </c>
      <c r="C2865" s="23" t="s">
        <v>6056</v>
      </c>
    </row>
    <row r="2866" spans="1:3">
      <c r="A2866" s="11">
        <v>913687338</v>
      </c>
      <c r="B2866" s="11" t="s">
        <v>6057</v>
      </c>
      <c r="C2866" s="23" t="s">
        <v>6058</v>
      </c>
    </row>
    <row r="2867" spans="1:3">
      <c r="A2867" s="11">
        <v>909583121</v>
      </c>
      <c r="B2867" s="11" t="s">
        <v>6059</v>
      </c>
      <c r="C2867" s="23" t="s">
        <v>6060</v>
      </c>
    </row>
    <row r="2868" spans="1:3">
      <c r="A2868" s="11">
        <v>918827655</v>
      </c>
      <c r="B2868" s="11" t="s">
        <v>6061</v>
      </c>
      <c r="C2868" s="23" t="s">
        <v>6062</v>
      </c>
    </row>
    <row r="2869" spans="1:3">
      <c r="A2869" s="11">
        <v>900006775</v>
      </c>
      <c r="B2869" s="11" t="s">
        <v>6063</v>
      </c>
      <c r="C2869" s="23" t="s">
        <v>6064</v>
      </c>
    </row>
    <row r="2870" spans="1:3">
      <c r="A2870" s="11">
        <v>900045125</v>
      </c>
      <c r="B2870" s="11" t="s">
        <v>6065</v>
      </c>
      <c r="C2870" s="87" t="s">
        <v>6066</v>
      </c>
    </row>
    <row r="2871" spans="1:3">
      <c r="A2871" s="11">
        <v>918855696</v>
      </c>
      <c r="B2871" s="11" t="s">
        <v>6067</v>
      </c>
      <c r="C2871" s="23" t="s">
        <v>6068</v>
      </c>
    </row>
    <row r="2872" spans="1:3">
      <c r="A2872" s="11">
        <v>918846479</v>
      </c>
      <c r="B2872" s="11" t="s">
        <v>6069</v>
      </c>
      <c r="C2872" s="23" t="s">
        <v>6070</v>
      </c>
    </row>
    <row r="2873" spans="1:3">
      <c r="A2873" s="11">
        <v>900073868</v>
      </c>
      <c r="B2873" s="11" t="s">
        <v>6071</v>
      </c>
      <c r="C2873" s="23" t="s">
        <v>6072</v>
      </c>
    </row>
    <row r="2874" spans="1:3">
      <c r="A2874" s="11">
        <v>913052691</v>
      </c>
      <c r="B2874" s="11" t="s">
        <v>6073</v>
      </c>
      <c r="C2874" s="23" t="s">
        <v>6074</v>
      </c>
    </row>
    <row r="2875" spans="1:3">
      <c r="A2875" s="11">
        <v>913756173</v>
      </c>
      <c r="B2875" s="11" t="s">
        <v>6075</v>
      </c>
      <c r="C2875" s="23" t="s">
        <v>6076</v>
      </c>
    </row>
    <row r="2876" spans="1:3">
      <c r="A2876" s="11">
        <v>913410568</v>
      </c>
      <c r="B2876" s="11" t="s">
        <v>6077</v>
      </c>
      <c r="C2876" s="23" t="s">
        <v>6078</v>
      </c>
    </row>
    <row r="2877" spans="1:3">
      <c r="A2877" s="11">
        <v>918333057</v>
      </c>
      <c r="B2877" s="11" t="s">
        <v>6079</v>
      </c>
      <c r="C2877" s="23" t="s">
        <v>6080</v>
      </c>
    </row>
    <row r="2878" spans="1:3">
      <c r="A2878" s="3">
        <v>918832023</v>
      </c>
      <c r="B2878" s="11" t="s">
        <v>6081</v>
      </c>
      <c r="C2878" s="23" t="s">
        <v>6082</v>
      </c>
    </row>
    <row r="2879" spans="1:3">
      <c r="A2879" s="11">
        <v>918830580</v>
      </c>
      <c r="B2879" s="11" t="s">
        <v>6083</v>
      </c>
      <c r="C2879" s="23" t="s">
        <v>6084</v>
      </c>
    </row>
    <row r="2880" spans="1:3">
      <c r="A2880" s="11">
        <v>907986045</v>
      </c>
      <c r="B2880" s="11" t="s">
        <v>6085</v>
      </c>
      <c r="C2880" s="23" t="s">
        <v>6086</v>
      </c>
    </row>
    <row r="2881" spans="1:3">
      <c r="A2881" s="11">
        <v>918857178</v>
      </c>
      <c r="B2881" s="11" t="s">
        <v>6087</v>
      </c>
      <c r="C2881" s="23" t="s">
        <v>6088</v>
      </c>
    </row>
    <row r="2882" spans="1:3">
      <c r="A2882" s="11">
        <v>918856775</v>
      </c>
      <c r="B2882" s="11" t="s">
        <v>6089</v>
      </c>
      <c r="C2882" s="23" t="s">
        <v>6090</v>
      </c>
    </row>
    <row r="2883" spans="1:3">
      <c r="A2883" s="11">
        <v>918856281</v>
      </c>
      <c r="B2883" s="11" t="s">
        <v>6091</v>
      </c>
      <c r="C2883" s="23" t="s">
        <v>6092</v>
      </c>
    </row>
    <row r="2884" spans="1:3">
      <c r="A2884" s="11">
        <v>916340768</v>
      </c>
      <c r="B2884" s="11" t="s">
        <v>6093</v>
      </c>
      <c r="C2884" s="23" t="s">
        <v>6094</v>
      </c>
    </row>
    <row r="2885" spans="1:3">
      <c r="A2885" s="11">
        <v>918668626</v>
      </c>
      <c r="B2885" s="11" t="s">
        <v>6095</v>
      </c>
      <c r="C2885" s="23" t="s">
        <v>6096</v>
      </c>
    </row>
    <row r="2886" spans="1:3">
      <c r="A2886" s="11">
        <v>918858049</v>
      </c>
      <c r="B2886" s="11" t="s">
        <v>6097</v>
      </c>
      <c r="C2886" s="23" t="s">
        <v>6098</v>
      </c>
    </row>
    <row r="2887" spans="1:3">
      <c r="A2887" s="11">
        <v>923076983</v>
      </c>
      <c r="B2887" s="11" t="s">
        <v>6099</v>
      </c>
      <c r="C2887" s="23" t="s">
        <v>6100</v>
      </c>
    </row>
    <row r="2888" spans="1:3">
      <c r="A2888" s="11">
        <v>909743619</v>
      </c>
      <c r="B2888" s="11" t="s">
        <v>6101</v>
      </c>
      <c r="C2888" s="23" t="s">
        <v>6102</v>
      </c>
    </row>
    <row r="2889" spans="1:3">
      <c r="A2889" s="11">
        <v>918857945</v>
      </c>
      <c r="B2889" s="11" t="s">
        <v>6103</v>
      </c>
      <c r="C2889" s="23" t="s">
        <v>6104</v>
      </c>
    </row>
    <row r="2890" spans="1:3">
      <c r="A2890" s="11">
        <v>916193517</v>
      </c>
      <c r="B2890" s="11" t="s">
        <v>6105</v>
      </c>
      <c r="C2890" s="23" t="s">
        <v>6106</v>
      </c>
    </row>
    <row r="2891" spans="1:3">
      <c r="A2891" s="11">
        <v>903093339</v>
      </c>
      <c r="B2891" s="11" t="s">
        <v>6107</v>
      </c>
      <c r="C2891" s="23" t="s">
        <v>6108</v>
      </c>
    </row>
    <row r="2892" spans="1:3">
      <c r="A2892" s="11">
        <v>918855644</v>
      </c>
      <c r="B2892" s="11" t="s">
        <v>6109</v>
      </c>
      <c r="C2892" s="23" t="s">
        <v>6110</v>
      </c>
    </row>
    <row r="2893" spans="1:3">
      <c r="A2893" s="11">
        <v>923977909</v>
      </c>
      <c r="B2893" s="11" t="s">
        <v>6111</v>
      </c>
      <c r="C2893" s="23" t="s">
        <v>6112</v>
      </c>
    </row>
    <row r="2894" spans="1:3">
      <c r="A2894" s="11">
        <v>918855813</v>
      </c>
      <c r="B2894" s="11" t="s">
        <v>6113</v>
      </c>
      <c r="C2894" s="23" t="s">
        <v>6114</v>
      </c>
    </row>
    <row r="2895" spans="1:3">
      <c r="A2895" s="11">
        <v>9000604385</v>
      </c>
      <c r="B2895" s="11" t="s">
        <v>5958</v>
      </c>
      <c r="C2895" s="23" t="s">
        <v>5959</v>
      </c>
    </row>
    <row r="2896" spans="1:3">
      <c r="A2896" s="3">
        <v>921051297</v>
      </c>
      <c r="B2896" s="11" t="s">
        <v>6115</v>
      </c>
      <c r="C2896" s="23" t="s">
        <v>6116</v>
      </c>
    </row>
    <row r="2897" spans="1:3">
      <c r="A2897" s="11">
        <v>920484783</v>
      </c>
      <c r="B2897" s="11" t="s">
        <v>6117</v>
      </c>
      <c r="C2897" s="23" t="s">
        <v>6118</v>
      </c>
    </row>
    <row r="2898" spans="1:3">
      <c r="A2898" s="11">
        <v>918857815</v>
      </c>
      <c r="B2898" s="11" t="s">
        <v>6119</v>
      </c>
      <c r="C2898" s="23" t="s">
        <v>6120</v>
      </c>
    </row>
    <row r="2899" spans="1:3">
      <c r="A2899" s="11">
        <v>923901885</v>
      </c>
      <c r="B2899" s="11" t="s">
        <v>6121</v>
      </c>
      <c r="C2899" s="23" t="s">
        <v>6122</v>
      </c>
    </row>
    <row r="2900" spans="1:3">
      <c r="A2900" s="11">
        <v>907509608</v>
      </c>
      <c r="B2900" s="11" t="s">
        <v>6123</v>
      </c>
      <c r="C2900" s="23" t="s">
        <v>6124</v>
      </c>
    </row>
    <row r="2901" spans="1:3">
      <c r="A2901" s="11">
        <v>918855254</v>
      </c>
      <c r="B2901" s="11" t="s">
        <v>6125</v>
      </c>
      <c r="C2901" s="23" t="s">
        <v>6126</v>
      </c>
    </row>
    <row r="2902" spans="1:3">
      <c r="A2902" s="11">
        <v>908073626</v>
      </c>
      <c r="B2902" s="11" t="s">
        <v>6127</v>
      </c>
      <c r="C2902" s="23" t="s">
        <v>6128</v>
      </c>
    </row>
    <row r="2903" spans="1:3">
      <c r="A2903" s="11">
        <v>912659571</v>
      </c>
      <c r="B2903" s="11" t="s">
        <v>6129</v>
      </c>
      <c r="C2903" s="23" t="s">
        <v>6130</v>
      </c>
    </row>
    <row r="2904" spans="1:3">
      <c r="A2904" s="11">
        <v>918856372</v>
      </c>
      <c r="B2904" s="11" t="s">
        <v>6131</v>
      </c>
      <c r="C2904" s="23" t="s">
        <v>6132</v>
      </c>
    </row>
    <row r="2905" spans="1:3">
      <c r="A2905" s="11">
        <v>900032580</v>
      </c>
      <c r="B2905" s="11" t="s">
        <v>6133</v>
      </c>
      <c r="C2905" s="23" t="s">
        <v>1059</v>
      </c>
    </row>
    <row r="2906" spans="1:3">
      <c r="A2906" s="11">
        <v>909085598</v>
      </c>
      <c r="B2906" s="11" t="s">
        <v>6134</v>
      </c>
      <c r="C2906" s="23" t="s">
        <v>6135</v>
      </c>
    </row>
    <row r="2907" spans="1:3">
      <c r="A2907" s="11">
        <v>918850639</v>
      </c>
      <c r="B2907" s="11" t="s">
        <v>6136</v>
      </c>
      <c r="C2907" s="23" t="s">
        <v>6137</v>
      </c>
    </row>
    <row r="2908" spans="1:3">
      <c r="A2908" s="11">
        <v>917694887</v>
      </c>
      <c r="B2908" s="11" t="s">
        <v>6138</v>
      </c>
      <c r="C2908" s="23" t="s">
        <v>313</v>
      </c>
    </row>
    <row r="2909" spans="1:3">
      <c r="A2909" s="11">
        <v>923901846</v>
      </c>
      <c r="B2909" s="11" t="s">
        <v>6139</v>
      </c>
      <c r="C2909" s="23" t="s">
        <v>6140</v>
      </c>
    </row>
    <row r="2910" spans="1:3">
      <c r="A2910" s="68">
        <v>922788305</v>
      </c>
      <c r="B2910" s="11" t="s">
        <v>6141</v>
      </c>
      <c r="C2910" s="23" t="s">
        <v>6142</v>
      </c>
    </row>
    <row r="2911" spans="1:3">
      <c r="A2911" s="11">
        <v>923644654</v>
      </c>
      <c r="B2911" s="11" t="s">
        <v>6143</v>
      </c>
      <c r="C2911" s="23" t="s">
        <v>6144</v>
      </c>
    </row>
    <row r="2912" spans="1:3">
      <c r="A2912" s="11">
        <v>924309136</v>
      </c>
      <c r="B2912" s="11" t="s">
        <v>6145</v>
      </c>
      <c r="C2912" s="23" t="s">
        <v>6146</v>
      </c>
    </row>
    <row r="2913" spans="1:3">
      <c r="A2913" s="11">
        <v>900035609</v>
      </c>
      <c r="B2913" s="11" t="s">
        <v>6147</v>
      </c>
      <c r="C2913" s="23" t="s">
        <v>6148</v>
      </c>
    </row>
    <row r="2914" spans="1:3">
      <c r="A2914" s="11">
        <v>916958554</v>
      </c>
      <c r="B2914" s="11" t="s">
        <v>6149</v>
      </c>
      <c r="C2914" s="23" t="s">
        <v>6150</v>
      </c>
    </row>
    <row r="2915" spans="1:3">
      <c r="A2915" s="11">
        <v>921345149</v>
      </c>
      <c r="B2915" s="11" t="s">
        <v>6151</v>
      </c>
      <c r="C2915" s="23" t="s">
        <v>6152</v>
      </c>
    </row>
    <row r="2916" spans="1:3">
      <c r="A2916" s="11">
        <v>921782430</v>
      </c>
      <c r="B2916" s="11" t="s">
        <v>6153</v>
      </c>
      <c r="C2916" s="23" t="s">
        <v>6154</v>
      </c>
    </row>
    <row r="2917" spans="1:3">
      <c r="A2917" s="11">
        <v>916572038</v>
      </c>
      <c r="B2917" s="11" t="s">
        <v>6155</v>
      </c>
      <c r="C2917" s="23" t="s">
        <v>6156</v>
      </c>
    </row>
    <row r="2918" spans="1:3">
      <c r="A2918" s="11">
        <v>918161678</v>
      </c>
      <c r="B2918" s="11" t="s">
        <v>6157</v>
      </c>
      <c r="C2918" s="23" t="s">
        <v>6158</v>
      </c>
    </row>
    <row r="2919" spans="1:3">
      <c r="A2919" s="11">
        <v>918857568</v>
      </c>
      <c r="B2919" s="11" t="s">
        <v>6159</v>
      </c>
      <c r="C2919" s="23" t="s">
        <v>6160</v>
      </c>
    </row>
    <row r="2920" spans="1:3">
      <c r="A2920" s="11">
        <v>918850574</v>
      </c>
      <c r="B2920" s="11" t="s">
        <v>6161</v>
      </c>
      <c r="C2920" s="23" t="s">
        <v>6162</v>
      </c>
    </row>
    <row r="2921" spans="1:3">
      <c r="A2921" s="94">
        <v>918848013</v>
      </c>
      <c r="B2921" s="11" t="s">
        <v>6163</v>
      </c>
      <c r="C2921" s="23" t="s">
        <v>6164</v>
      </c>
    </row>
    <row r="2922" spans="1:3">
      <c r="A2922" s="11">
        <v>918853642</v>
      </c>
      <c r="B2922" s="11" t="s">
        <v>6165</v>
      </c>
      <c r="C2922" s="23" t="s">
        <v>6166</v>
      </c>
    </row>
    <row r="2923" spans="1:3">
      <c r="A2923" s="19">
        <v>906100824</v>
      </c>
      <c r="B2923" s="11" t="s">
        <v>6167</v>
      </c>
      <c r="C2923" s="23" t="s">
        <v>6168</v>
      </c>
    </row>
    <row r="2924" spans="1:3">
      <c r="A2924" s="11">
        <v>900072919</v>
      </c>
      <c r="B2924" s="11" t="s">
        <v>6169</v>
      </c>
      <c r="C2924" s="23" t="s">
        <v>6170</v>
      </c>
    </row>
    <row r="2925" spans="1:3">
      <c r="A2925" s="11">
        <v>924307290</v>
      </c>
      <c r="B2925" s="11" t="s">
        <v>6171</v>
      </c>
      <c r="C2925" s="23" t="s">
        <v>6172</v>
      </c>
    </row>
    <row r="2926" spans="1:3">
      <c r="A2926" s="11">
        <v>912971896</v>
      </c>
      <c r="B2926" s="11" t="s">
        <v>6173</v>
      </c>
      <c r="C2926" s="23" t="s">
        <v>6174</v>
      </c>
    </row>
    <row r="2927" spans="1:3">
      <c r="A2927" s="11">
        <v>910658039</v>
      </c>
      <c r="B2927" s="11" t="s">
        <v>3078</v>
      </c>
      <c r="C2927" s="23" t="s">
        <v>3079</v>
      </c>
    </row>
    <row r="2928" spans="1:3">
      <c r="A2928" s="11">
        <v>916125371</v>
      </c>
      <c r="B2928" s="11" t="s">
        <v>6175</v>
      </c>
      <c r="C2928" s="23" t="s">
        <v>6176</v>
      </c>
    </row>
    <row r="2929" spans="1:3">
      <c r="A2929" s="11">
        <v>922838524</v>
      </c>
      <c r="B2929" s="11" t="s">
        <v>6177</v>
      </c>
      <c r="C2929" s="23" t="s">
        <v>6178</v>
      </c>
    </row>
    <row r="2930" spans="1:3">
      <c r="A2930" s="11">
        <v>921219673</v>
      </c>
      <c r="B2930" s="11" t="s">
        <v>6179</v>
      </c>
      <c r="C2930" s="23" t="s">
        <v>6180</v>
      </c>
    </row>
    <row r="2931" spans="1:3">
      <c r="A2931" s="11">
        <v>915130078</v>
      </c>
      <c r="B2931" s="11" t="s">
        <v>6181</v>
      </c>
      <c r="C2931" s="23" t="s">
        <v>6182</v>
      </c>
    </row>
    <row r="2932" spans="1:3">
      <c r="A2932" s="11">
        <v>918785600</v>
      </c>
      <c r="B2932" s="11" t="s">
        <v>303</v>
      </c>
      <c r="C2932" s="23" t="s">
        <v>304</v>
      </c>
    </row>
    <row r="2933" spans="1:3">
      <c r="A2933" s="11">
        <v>920964444</v>
      </c>
      <c r="B2933" s="11" t="s">
        <v>6183</v>
      </c>
      <c r="C2933" s="23" t="s">
        <v>6184</v>
      </c>
    </row>
    <row r="2934" spans="1:3">
      <c r="A2934" s="11">
        <v>911699859</v>
      </c>
      <c r="B2934" s="11" t="s">
        <v>6185</v>
      </c>
      <c r="C2934" s="23" t="s">
        <v>6186</v>
      </c>
    </row>
    <row r="2935" spans="1:3">
      <c r="A2935" s="11">
        <v>924326062</v>
      </c>
      <c r="B2935" s="11" t="s">
        <v>6187</v>
      </c>
      <c r="C2935" s="23" t="s">
        <v>6188</v>
      </c>
    </row>
    <row r="2936" spans="1:3">
      <c r="A2936" s="11">
        <v>912474867</v>
      </c>
      <c r="B2936" s="11" t="s">
        <v>6189</v>
      </c>
      <c r="C2936" s="23" t="s">
        <v>6190</v>
      </c>
    </row>
    <row r="2937" spans="1:3">
      <c r="A2937" s="11">
        <v>910940360</v>
      </c>
      <c r="B2937" s="11" t="s">
        <v>6191</v>
      </c>
      <c r="C2937" s="23" t="s">
        <v>6192</v>
      </c>
    </row>
    <row r="2938" spans="1:3">
      <c r="A2938" s="11">
        <v>900005683</v>
      </c>
      <c r="B2938" s="11" t="s">
        <v>6193</v>
      </c>
      <c r="C2938" s="23" t="s">
        <v>6194</v>
      </c>
    </row>
    <row r="2939" spans="1:3">
      <c r="A2939" s="11">
        <v>917572414</v>
      </c>
      <c r="B2939" s="11" t="s">
        <v>6195</v>
      </c>
    </row>
    <row r="2940" spans="1:3">
      <c r="A2940" s="11">
        <v>920434915</v>
      </c>
      <c r="B2940" s="11" t="s">
        <v>6196</v>
      </c>
      <c r="C2940" s="23" t="s">
        <v>6197</v>
      </c>
    </row>
    <row r="2941" spans="1:3">
      <c r="A2941" s="11">
        <v>921103479</v>
      </c>
      <c r="B2941" s="11" t="s">
        <v>6198</v>
      </c>
      <c r="C2941" s="23" t="s">
        <v>6199</v>
      </c>
    </row>
    <row r="2942" spans="1:3">
      <c r="A2942" s="11">
        <v>917308228</v>
      </c>
      <c r="B2942" s="11" t="s">
        <v>6200</v>
      </c>
      <c r="C2942" s="23" t="s">
        <v>6201</v>
      </c>
    </row>
    <row r="2943" spans="1:3">
      <c r="A2943" s="11">
        <v>922921217</v>
      </c>
      <c r="B2943" s="11" t="s">
        <v>6202</v>
      </c>
      <c r="C2943" s="23" t="s">
        <v>6203</v>
      </c>
    </row>
    <row r="2944" spans="1:3">
      <c r="A2944" s="11">
        <v>900013899</v>
      </c>
      <c r="B2944" s="11" t="s">
        <v>6204</v>
      </c>
      <c r="C2944" s="23" t="s">
        <v>6205</v>
      </c>
    </row>
    <row r="2945" spans="1:3">
      <c r="A2945" s="11">
        <v>918859804</v>
      </c>
      <c r="B2945" s="11" t="s">
        <v>6206</v>
      </c>
      <c r="C2945" s="23" t="s">
        <v>6207</v>
      </c>
    </row>
    <row r="2946" spans="1:3">
      <c r="A2946" s="11">
        <v>903567202</v>
      </c>
      <c r="B2946" s="11" t="s">
        <v>6208</v>
      </c>
      <c r="C2946" s="23" t="s">
        <v>6209</v>
      </c>
    </row>
    <row r="2947" spans="1:3">
      <c r="A2947" s="11">
        <v>907519657</v>
      </c>
      <c r="B2947" s="11" t="s">
        <v>6210</v>
      </c>
      <c r="C2947" s="23" t="s">
        <v>6211</v>
      </c>
    </row>
    <row r="2948" spans="1:3">
      <c r="A2948" s="11">
        <v>918846726</v>
      </c>
      <c r="B2948" s="11" t="s">
        <v>6212</v>
      </c>
      <c r="C2948" s="23" t="s">
        <v>6213</v>
      </c>
    </row>
    <row r="2949" spans="1:3">
      <c r="A2949" s="11">
        <v>918857737</v>
      </c>
      <c r="B2949" s="11" t="s">
        <v>6214</v>
      </c>
      <c r="C2949" s="23" t="s">
        <v>6215</v>
      </c>
    </row>
    <row r="2950" spans="1:3">
      <c r="A2950" s="105">
        <v>913814257</v>
      </c>
      <c r="B2950" s="11" t="s">
        <v>6216</v>
      </c>
      <c r="C2950" s="23" t="s">
        <v>6217</v>
      </c>
    </row>
    <row r="2951" spans="1:3">
      <c r="A2951" s="11">
        <v>920557531</v>
      </c>
      <c r="B2951" s="11" t="s">
        <v>357</v>
      </c>
      <c r="C2951" s="23" t="s">
        <v>6218</v>
      </c>
    </row>
    <row r="2952" spans="1:3">
      <c r="A2952" s="11">
        <v>920736892</v>
      </c>
      <c r="B2952" s="11" t="s">
        <v>6219</v>
      </c>
      <c r="C2952" s="23" t="s">
        <v>6220</v>
      </c>
    </row>
    <row r="2953" spans="1:3">
      <c r="A2953" s="11">
        <v>924291677</v>
      </c>
      <c r="B2953" s="11" t="s">
        <v>6221</v>
      </c>
      <c r="C2953" s="23" t="s">
        <v>6222</v>
      </c>
    </row>
    <row r="2954" spans="1:3">
      <c r="A2954" s="11">
        <v>903838798</v>
      </c>
      <c r="B2954" s="11" t="s">
        <v>6223</v>
      </c>
      <c r="C2954" s="23" t="s">
        <v>6224</v>
      </c>
    </row>
    <row r="2955" spans="1:3">
      <c r="A2955" s="11">
        <v>918856398</v>
      </c>
      <c r="B2955" s="11" t="s">
        <v>6225</v>
      </c>
      <c r="C2955" s="23" t="s">
        <v>6226</v>
      </c>
    </row>
    <row r="2956" spans="1:3">
      <c r="A2956" s="11">
        <v>907200390</v>
      </c>
      <c r="B2956" s="11" t="s">
        <v>6227</v>
      </c>
      <c r="C2956" s="23" t="s">
        <v>6228</v>
      </c>
    </row>
    <row r="2957" spans="1:3">
      <c r="A2957" s="11">
        <v>918855904</v>
      </c>
      <c r="B2957" s="11" t="s">
        <v>6229</v>
      </c>
      <c r="C2957" s="23" t="s">
        <v>6230</v>
      </c>
    </row>
    <row r="2958" spans="1:3">
      <c r="A2958" s="11">
        <v>918851458</v>
      </c>
      <c r="B2958" s="11" t="s">
        <v>6231</v>
      </c>
      <c r="C2958" s="23" t="s">
        <v>6232</v>
      </c>
    </row>
  </sheetData>
  <sheetProtection sheet="1" objects="1" scenarios="1"/>
  <protectedRanges>
    <protectedRange sqref="A2750" name="Range1_2"/>
    <protectedRange sqref="A2753" name="Range1_3"/>
    <protectedRange sqref="A2756" name="Range1_5"/>
    <protectedRange sqref="A2763" name="Range1"/>
    <protectedRange sqref="A2773" name="Range1_4"/>
    <protectedRange sqref="A2783" name="Range1_6"/>
    <protectedRange sqref="A2788" name="Range1_7"/>
    <protectedRange sqref="A2789" name="Range1_8"/>
    <protectedRange sqref="A2801" name="Range1_9"/>
    <protectedRange sqref="A2805" name="Range1_10"/>
    <protectedRange sqref="A2807" name="Range1_11"/>
    <protectedRange sqref="A2812" name="Range1_12"/>
    <protectedRange sqref="A2822" name="Range1_13"/>
    <protectedRange sqref="B2822" name="Range1_14"/>
    <protectedRange sqref="A2828" name="Range1_15"/>
    <protectedRange sqref="A2829" name="Range1_16"/>
    <protectedRange sqref="A2832" name="Range1_17"/>
    <protectedRange sqref="A2854" name="Range1_18"/>
    <protectedRange sqref="A2856" name="Range1_19"/>
    <protectedRange sqref="C2858" name="Range1_20"/>
    <protectedRange sqref="A2858" name="Range1_21"/>
    <protectedRange sqref="A2862" name="Range1_22"/>
    <protectedRange sqref="A2864" name="Range1_23"/>
    <protectedRange sqref="A2865" name="Range1_24"/>
    <protectedRange sqref="A2867" name="Range1_25"/>
    <protectedRange sqref="A2869" name="Range1_26"/>
    <protectedRange sqref="A2872" name="Range1_27"/>
    <protectedRange sqref="A2873" name="Range1_28"/>
    <protectedRange sqref="A2884" name="Range1_29"/>
    <protectedRange sqref="A2889" name="Range1_30"/>
    <protectedRange sqref="A2894" name="Range1_31"/>
    <protectedRange sqref="A2898" name="Range1_32"/>
    <protectedRange sqref="A2899" name="Range1_2_1"/>
    <protectedRange sqref="A2900" name="Range1_33"/>
    <protectedRange sqref="A2904" name="Range1_34"/>
    <protectedRange sqref="A2907" name="Range1_35"/>
    <protectedRange sqref="A2910" name="Range1_36"/>
    <protectedRange sqref="A2911" name="Range1_38"/>
    <protectedRange sqref="A2913" name="Range1_39"/>
    <protectedRange sqref="A2915" name="Range1_40"/>
    <protectedRange sqref="A2938" name="Range1_1"/>
    <protectedRange sqref="A2944" name="Range1_37"/>
    <protectedRange sqref="A2945" name="Range1_41"/>
  </protectedRanges>
  <sortState xmlns:xlrd2="http://schemas.microsoft.com/office/spreadsheetml/2017/richdata2" ref="A1:C2738">
    <sortCondition ref="A1:A2738"/>
  </sortState>
  <conditionalFormatting sqref="A2733">
    <cfRule type="cellIs" dxfId="57" priority="28" operator="equal">
      <formula>"Date"</formula>
    </cfRule>
  </conditionalFormatting>
  <conditionalFormatting sqref="A2747:A2748">
    <cfRule type="cellIs" dxfId="56" priority="18" operator="equal">
      <formula>"Date"</formula>
    </cfRule>
  </conditionalFormatting>
  <conditionalFormatting sqref="A2750">
    <cfRule type="cellIs" dxfId="55" priority="17" operator="equal">
      <formula>"Date"</formula>
    </cfRule>
  </conditionalFormatting>
  <conditionalFormatting sqref="A2753">
    <cfRule type="cellIs" dxfId="54" priority="16" operator="equal">
      <formula>"Date"</formula>
    </cfRule>
  </conditionalFormatting>
  <conditionalFormatting sqref="A2757">
    <cfRule type="cellIs" dxfId="53" priority="3" operator="equal">
      <formula>"Email"</formula>
    </cfRule>
    <cfRule type="cellIs" dxfId="52" priority="4" operator="equal">
      <formula>"Name"</formula>
    </cfRule>
    <cfRule type="cellIs" dxfId="51" priority="5" operator="equal">
      <formula>"Not Found"</formula>
    </cfRule>
  </conditionalFormatting>
  <conditionalFormatting sqref="A2763">
    <cfRule type="cellIs" dxfId="50" priority="2" operator="equal">
      <formula>"Date"</formula>
    </cfRule>
  </conditionalFormatting>
  <conditionalFormatting sqref="A2773">
    <cfRule type="cellIs" dxfId="49" priority="1" operator="equal">
      <formula>"Date"</formula>
    </cfRule>
  </conditionalFormatting>
  <conditionalFormatting sqref="A2728:B2728">
    <cfRule type="cellIs" dxfId="48" priority="30" operator="equal">
      <formula>"Date"</formula>
    </cfRule>
  </conditionalFormatting>
  <conditionalFormatting sqref="A2756:B2757">
    <cfRule type="cellIs" dxfId="47" priority="6" operator="equal">
      <formula>"Date"</formula>
    </cfRule>
  </conditionalFormatting>
  <conditionalFormatting sqref="A2723:C2723">
    <cfRule type="cellIs" dxfId="46" priority="31" operator="equal">
      <formula>"Date"</formula>
    </cfRule>
  </conditionalFormatting>
  <conditionalFormatting sqref="B2674:B2682">
    <cfRule type="cellIs" dxfId="45" priority="41" operator="equal">
      <formula>"Not Found"</formula>
    </cfRule>
  </conditionalFormatting>
  <conditionalFormatting sqref="B2728">
    <cfRule type="cellIs" dxfId="44" priority="29" operator="equal">
      <formula>"Not Found"</formula>
    </cfRule>
  </conditionalFormatting>
  <conditionalFormatting sqref="B2756:B2757">
    <cfRule type="cellIs" dxfId="43" priority="7" operator="equal">
      <formula>"Email"</formula>
    </cfRule>
    <cfRule type="cellIs" dxfId="42" priority="8" operator="equal">
      <formula>"Name"</formula>
    </cfRule>
    <cfRule type="cellIs" dxfId="41" priority="9" operator="equal">
      <formula>"Not Found"</formula>
    </cfRule>
  </conditionalFormatting>
  <conditionalFormatting sqref="B2723:C2723">
    <cfRule type="cellIs" dxfId="40" priority="32" operator="equal">
      <formula>"Email"</formula>
    </cfRule>
    <cfRule type="cellIs" dxfId="39" priority="33" operator="equal">
      <formula>"Name"</formula>
    </cfRule>
    <cfRule type="cellIs" dxfId="38" priority="34" operator="equal">
      <formula>"Not Found"</formula>
    </cfRule>
  </conditionalFormatting>
  <conditionalFormatting sqref="B2747:C2747">
    <cfRule type="cellIs" dxfId="37" priority="19" operator="equal">
      <formula>"Date"</formula>
    </cfRule>
    <cfRule type="cellIs" dxfId="36" priority="20" operator="equal">
      <formula>"Email"</formula>
    </cfRule>
    <cfRule type="cellIs" dxfId="35" priority="21" operator="equal">
      <formula>"Name"</formula>
    </cfRule>
    <cfRule type="cellIs" dxfId="34" priority="22" operator="equal">
      <formula>"Not Found"</formula>
    </cfRule>
  </conditionalFormatting>
  <conditionalFormatting sqref="C2712">
    <cfRule type="cellIs" dxfId="33" priority="39" operator="equal">
      <formula>"Not Found"</formula>
    </cfRule>
  </conditionalFormatting>
  <hyperlinks>
    <hyperlink ref="C524" r:id="rId1" xr:uid="{ECE24461-91D5-4E25-AECC-7B43C5E7E242}"/>
    <hyperlink ref="C2639" r:id="rId2" xr:uid="{57CD9635-1B4C-4F81-9E45-D8C59AD7EF2D}"/>
    <hyperlink ref="C1173" r:id="rId3" xr:uid="{9A47E6BA-EA00-4CD2-96E1-96147B729DDC}"/>
    <hyperlink ref="C2662" r:id="rId4" xr:uid="{70384EED-58C4-469F-AF7A-2D6C6AAE15BD}"/>
    <hyperlink ref="C340" r:id="rId5" xr:uid="{F161DED0-2FD1-4BC2-BF43-E6D2415D05E2}"/>
    <hyperlink ref="C2059" r:id="rId6" xr:uid="{3F88FC5F-8253-4209-A77A-3C93D7BF9085}"/>
    <hyperlink ref="C2097" r:id="rId7" xr:uid="{C2150459-77C5-483A-B066-895993A33B70}"/>
    <hyperlink ref="C2739" r:id="rId8" xr:uid="{F5BE1803-C89D-4C46-9178-AC1CD813C622}"/>
    <hyperlink ref="C2740" r:id="rId9" xr:uid="{91609A60-9CE7-4583-8599-8B5D7A2032ED}"/>
    <hyperlink ref="C2741" r:id="rId10" xr:uid="{318E2A3E-3D99-414C-89FE-44FC9813A6A0}"/>
    <hyperlink ref="C2742" r:id="rId11" xr:uid="{AB0BFF59-CE0E-4820-AF96-73BA01FF0CD9}"/>
    <hyperlink ref="C2743" r:id="rId12" xr:uid="{F74140A5-4848-4384-A11F-FE6F5B241403}"/>
    <hyperlink ref="C2744" r:id="rId13" xr:uid="{AE5C47AC-6540-4F47-804F-33821F7CB6E6}"/>
    <hyperlink ref="C2745" r:id="rId14" xr:uid="{79413A8B-0ED1-4D1C-891C-A721D7B9DB47}"/>
    <hyperlink ref="C2746" r:id="rId15" xr:uid="{10A01195-96BB-4350-AB78-BE8B90A51DDB}"/>
    <hyperlink ref="C2747" r:id="rId16" xr:uid="{13291BEE-2983-45CC-A716-0ACDF72AFB1A}"/>
    <hyperlink ref="C2748" r:id="rId17" xr:uid="{3441FD98-1211-49EE-94F4-15846677DFFA}"/>
    <hyperlink ref="C2749" r:id="rId18" xr:uid="{C6199A6C-7789-468F-B68A-DE817B81A0D7}"/>
    <hyperlink ref="C2750" r:id="rId19" xr:uid="{8E9A4842-2859-41EE-97DC-2A3DCE64F4A1}"/>
    <hyperlink ref="C2751" r:id="rId20" xr:uid="{1BC89FE2-C2E6-4CD7-AB99-7EDE2C646121}"/>
    <hyperlink ref="C2752" r:id="rId21" xr:uid="{146893FA-E47A-411A-ACB3-D82ECC54ABC6}"/>
    <hyperlink ref="C2753" r:id="rId22" xr:uid="{672FCEF1-CF83-4C93-988F-D2E8489AD010}"/>
    <hyperlink ref="C2754" r:id="rId23" xr:uid="{CC0CFC0A-18B5-48DE-BCF6-E159ECE8B8B1}"/>
    <hyperlink ref="C2755" r:id="rId24" xr:uid="{B36FBD43-60C6-4264-8134-6339C920CA69}"/>
    <hyperlink ref="C2756" r:id="rId25" xr:uid="{7BE72976-3225-4957-B5C4-686316D9C00E}"/>
    <hyperlink ref="C2757" r:id="rId26" xr:uid="{B29DC9D2-A745-4968-B589-92D984114203}"/>
    <hyperlink ref="C2758" r:id="rId27" xr:uid="{2BAC9068-131F-46FA-8DFA-A0C812749C17}"/>
    <hyperlink ref="C2759" r:id="rId28" xr:uid="{90F4EE6F-9E90-46E4-8725-6E72EF679C5D}"/>
    <hyperlink ref="C2760" r:id="rId29" xr:uid="{95528A30-1E14-43BF-94C4-20286BB69789}"/>
    <hyperlink ref="C2761" r:id="rId30" xr:uid="{706595C2-9DEE-46CD-945D-36F0FAFC8108}"/>
    <hyperlink ref="C2762" r:id="rId31" xr:uid="{43F59416-29A2-4F5B-80D8-4349D870C169}"/>
    <hyperlink ref="C2763" r:id="rId32" xr:uid="{F576D35E-D057-468D-B45A-AA27890F46DE}"/>
    <hyperlink ref="C2764" r:id="rId33" xr:uid="{01FE4BD8-285E-42FF-A1CF-66A59F277ACE}"/>
    <hyperlink ref="C2767" r:id="rId34" xr:uid="{68DA02E1-51A2-433D-884F-B310DCAED868}"/>
    <hyperlink ref="C2766" r:id="rId35" xr:uid="{7A758E29-BFDD-4E2C-88A4-694DAF7E21D0}"/>
    <hyperlink ref="C2768" r:id="rId36" xr:uid="{719EAEE1-5360-4688-8B51-D957AF749125}"/>
    <hyperlink ref="C2769" r:id="rId37" xr:uid="{B1DC6AC4-DD65-4BB5-9151-F0AB657C71CF}"/>
    <hyperlink ref="C2770" r:id="rId38" xr:uid="{71D358AE-358E-40B9-9848-B6BF1AC5B9BF}"/>
    <hyperlink ref="C2771" r:id="rId39" xr:uid="{AC9A4E9B-4545-4A3F-B3F0-6E53734B4416}"/>
    <hyperlink ref="C2772" r:id="rId40" xr:uid="{9949FC39-F4D2-4DA8-8B4A-B531C8052EB8}"/>
    <hyperlink ref="C2773" r:id="rId41" xr:uid="{09A23DFB-95ED-41AF-B44E-A3EE2803989D}"/>
    <hyperlink ref="C2774" r:id="rId42" xr:uid="{740E6A84-DE72-4E55-98CE-7E53AB90D0CB}"/>
    <hyperlink ref="C2775" r:id="rId43" xr:uid="{90A8DD7C-8CE6-48EE-AEB8-D86AEF3D0350}"/>
    <hyperlink ref="C2776" r:id="rId44" xr:uid="{1ED852AB-A0DF-4387-9A9E-A2C69B102B7B}"/>
    <hyperlink ref="C2777" r:id="rId45" xr:uid="{C00F9D2E-BC5E-4CBA-A5F1-737CF6AC7648}"/>
    <hyperlink ref="C2778" r:id="rId46" xr:uid="{7A57F0EC-191B-4F42-88DD-20636C9EFE30}"/>
    <hyperlink ref="C2779" r:id="rId47" xr:uid="{79136489-669B-48FF-BBA7-E080903E800A}"/>
    <hyperlink ref="C2780" r:id="rId48" xr:uid="{64D8DFF8-3BF3-437D-8948-763A5E2C1333}"/>
    <hyperlink ref="C2781" r:id="rId49" xr:uid="{E6DE9902-9905-416E-8F31-63C149689577}"/>
    <hyperlink ref="C2782" r:id="rId50" xr:uid="{6DCCA94E-AA85-4AC3-8011-D047B30C2C54}"/>
    <hyperlink ref="C2783" r:id="rId51" xr:uid="{AF98D40F-9978-48B7-BD61-97FBC5004C0A}"/>
    <hyperlink ref="C2784" r:id="rId52" xr:uid="{5D9E9A92-BD24-41BF-A239-9ABDD349533F}"/>
    <hyperlink ref="C2785" r:id="rId53" xr:uid="{BCEC89CC-1EF5-48C9-AFB1-C7398B47AEAE}"/>
    <hyperlink ref="C2786" r:id="rId54" xr:uid="{8B6DF2A6-E1E6-41A9-9FBC-44CDA949864C}"/>
    <hyperlink ref="C2787" r:id="rId55" xr:uid="{A3D99761-2222-4BE5-BEDD-DE0A31A0E264}"/>
    <hyperlink ref="C2788" r:id="rId56" xr:uid="{C7752BB6-6610-4BF5-9319-0F1B5322E9AD}"/>
    <hyperlink ref="C2789" r:id="rId57" xr:uid="{E52C6ADE-5388-4282-AF59-C6C8282092D5}"/>
    <hyperlink ref="C2790" r:id="rId58" xr:uid="{04BEBE8E-9F21-4E31-AD60-07369DA74EFE}"/>
    <hyperlink ref="C2792" r:id="rId59" xr:uid="{1A988084-4878-4F54-B12F-C39E3C8440BF}"/>
    <hyperlink ref="C2791" r:id="rId60" xr:uid="{C145B294-FCC9-403A-9741-7DB7FA2C34F9}"/>
    <hyperlink ref="C2793" r:id="rId61" xr:uid="{FC24A69F-484B-4716-843B-B889414FD2D5}"/>
    <hyperlink ref="C2794" r:id="rId62" xr:uid="{CD4DB85C-1ED8-46E3-9579-2CCEA61C357F}"/>
    <hyperlink ref="C2795" r:id="rId63" xr:uid="{48416F5B-68D4-4283-9019-229CE3256989}"/>
    <hyperlink ref="C2796" r:id="rId64" xr:uid="{555F075A-A27A-4EF5-8788-F8B66E050968}"/>
    <hyperlink ref="C2797" r:id="rId65" xr:uid="{340AE8CA-702E-4B94-995D-F48CCF40BC2C}"/>
    <hyperlink ref="C2798" r:id="rId66" xr:uid="{1E62F56A-81F0-44A9-BB43-A5CF859D1E31}"/>
    <hyperlink ref="C2799" r:id="rId67" xr:uid="{4AB6E597-3ABD-40E4-A817-6237A8DC7DBC}"/>
    <hyperlink ref="C2800" r:id="rId68" xr:uid="{A16CCB40-50C1-4794-A3D9-6BBC11C70BF4}"/>
    <hyperlink ref="C2801" r:id="rId69" xr:uid="{E8B5C6C9-C170-4B6B-BC92-2C6A30535707}"/>
    <hyperlink ref="C2802" r:id="rId70" xr:uid="{D22BFFE5-B6BC-4886-90AF-8C41D3120A2A}"/>
    <hyperlink ref="C2803" r:id="rId71" xr:uid="{8A3A76BC-4339-4C78-B6A3-1AE65C2179BB}"/>
    <hyperlink ref="C2804" r:id="rId72" xr:uid="{3F994360-0872-4607-8C51-442B460E9855}"/>
    <hyperlink ref="C2805" r:id="rId73" xr:uid="{904A66A4-6E64-419B-84E0-9AF4D3ED2EE9}"/>
    <hyperlink ref="C2806" r:id="rId74" xr:uid="{B3F8AC93-9149-4FBB-ADC4-AA0367EBCB20}"/>
    <hyperlink ref="C2808" r:id="rId75" xr:uid="{0161166A-AEDE-4E38-A793-914082974229}"/>
    <hyperlink ref="C2809" r:id="rId76" xr:uid="{4193C7A9-8CE9-493B-8C0F-DD48CD8727B6}"/>
    <hyperlink ref="C2810" r:id="rId77" xr:uid="{E864B206-C566-40A9-AFB6-F2E9CE36F6C7}"/>
    <hyperlink ref="C2811" r:id="rId78" xr:uid="{45E72855-F3F5-4CBE-BF45-F9011EB566CF}"/>
    <hyperlink ref="C2812" r:id="rId79" xr:uid="{98B9490D-3D2E-4D3B-829E-AAAF9F84B28D}"/>
    <hyperlink ref="C2813" r:id="rId80" xr:uid="{DB549BBC-5C1F-4824-8297-029572339A5B}"/>
    <hyperlink ref="C2814" r:id="rId81" xr:uid="{3F9D0596-F9D0-49CD-8A66-15B5305560C8}"/>
    <hyperlink ref="C2815" r:id="rId82" xr:uid="{945D85DC-70EA-4DE3-9D32-44ADCCB2AAF9}"/>
    <hyperlink ref="C2816" r:id="rId83" xr:uid="{8F496589-6720-4E7A-A78D-FAA5C0577CA8}"/>
    <hyperlink ref="C2817" r:id="rId84" xr:uid="{6210FEA1-6778-405B-B0F3-F045BED4A3C8}"/>
    <hyperlink ref="C2818" r:id="rId85" xr:uid="{0D3418CE-F1DE-4BF5-91E5-4E694502F1D3}"/>
    <hyperlink ref="C2819" r:id="rId86" xr:uid="{4B85CCF6-9D17-479C-9F2B-22ABAD68ED67}"/>
    <hyperlink ref="C2820" r:id="rId87" xr:uid="{A368102D-3A79-4191-8AC9-470D6CF35E79}"/>
    <hyperlink ref="C2821" r:id="rId88" xr:uid="{40521F47-7014-4990-9277-6E63C9CB03DE}"/>
    <hyperlink ref="C2822" r:id="rId89" xr:uid="{8A66C92F-46E8-433A-9543-7EB994D833C6}"/>
    <hyperlink ref="C2823" r:id="rId90" xr:uid="{E632EFE7-5BA8-4DAF-8449-4799F655BAA3}"/>
    <hyperlink ref="C2824" r:id="rId91" xr:uid="{CE017783-C384-495E-8A03-13516D8C7B74}"/>
    <hyperlink ref="C2825" r:id="rId92" xr:uid="{B1B0A249-270C-4034-AABF-5E5A5CAC02C1}"/>
    <hyperlink ref="C2826" r:id="rId93" xr:uid="{41481F97-E727-4B65-B0FF-5B079B8955C9}"/>
    <hyperlink ref="C2827" r:id="rId94" xr:uid="{AB37DE00-C2B3-49A5-B332-8FE5F58BAD19}"/>
    <hyperlink ref="C2828" r:id="rId95" xr:uid="{397C5DE9-22A7-4ED9-816C-E271AB42CB7A}"/>
    <hyperlink ref="C2829" r:id="rId96" xr:uid="{E58F723C-5F8F-4FF0-8145-7E68CF2855E6}"/>
    <hyperlink ref="C2830" r:id="rId97" xr:uid="{77D197EE-9BC1-4276-9FC1-C7259DBD5396}"/>
    <hyperlink ref="C2831" r:id="rId98" xr:uid="{4D33B7B9-38D9-4435-8458-B54A4B61CF94}"/>
    <hyperlink ref="C2832" r:id="rId99" xr:uid="{E747ECB6-1C16-47A1-A557-8C5D0C722169}"/>
    <hyperlink ref="C2833" r:id="rId100" xr:uid="{6A8994ED-B21D-4936-9C90-2EAC6AC1EECB}"/>
    <hyperlink ref="C2834" r:id="rId101" xr:uid="{A066AF13-7492-482F-8DE1-972F1B334DA7}"/>
    <hyperlink ref="C2835" r:id="rId102" xr:uid="{93AC3585-0A0F-408B-A1F1-2C808BA7E92A}"/>
    <hyperlink ref="C2836" r:id="rId103" xr:uid="{0E5175B0-44E0-4845-AB49-556206C180B5}"/>
    <hyperlink ref="C2838" r:id="rId104" xr:uid="{F862BFF8-3F63-480F-8C60-B6D55D903547}"/>
    <hyperlink ref="C2839" r:id="rId105" xr:uid="{D81DCF63-85D9-4A95-A2D7-E34B4AF9415F}"/>
    <hyperlink ref="C2840" r:id="rId106" xr:uid="{3E066A56-80F8-4C0F-8EDC-F1E504E1E1C6}"/>
    <hyperlink ref="C2841" r:id="rId107" xr:uid="{C07683B1-0244-4AFD-AB8A-F4F3843E09E4}"/>
    <hyperlink ref="C2842" r:id="rId108" xr:uid="{CFE9C040-AE20-4CA9-B4AE-69291891B247}"/>
    <hyperlink ref="C2843" r:id="rId109" xr:uid="{9C9C3775-BE18-46B1-8F14-A249F781C2A8}"/>
    <hyperlink ref="C2844" r:id="rId110" xr:uid="{0BFEB7AD-603F-48F0-A3A5-413700E89A4C}"/>
    <hyperlink ref="C2845" r:id="rId111" xr:uid="{6383B827-525E-4B86-BACF-17AB6B51718C}"/>
    <hyperlink ref="C2847" r:id="rId112" xr:uid="{C93251A5-E3D1-45D9-B785-E79AA6D31796}"/>
    <hyperlink ref="C2849" r:id="rId113" xr:uid="{9C94C13F-47A9-4CF9-B63C-7E48DA58ED97}"/>
    <hyperlink ref="C2848" r:id="rId114" xr:uid="{42F4504F-08A8-4C6C-B62F-A957A299912B}"/>
    <hyperlink ref="C2850" r:id="rId115" xr:uid="{817A529D-A90B-4784-866E-859FBD621619}"/>
    <hyperlink ref="C2851" r:id="rId116" xr:uid="{5ED52F8E-1472-45B3-A633-B8BE6A108FF2}"/>
    <hyperlink ref="C2852" r:id="rId117" xr:uid="{8DC620C0-0773-48D7-8464-ADCE82749964}"/>
    <hyperlink ref="C2853" r:id="rId118" xr:uid="{D9965704-10E0-4E79-A613-32DF255E6013}"/>
    <hyperlink ref="C2854" r:id="rId119" xr:uid="{294E47CE-0EA1-46D3-BFB7-EDFE1BD5FF7D}"/>
    <hyperlink ref="C2855" r:id="rId120" xr:uid="{9FBBFA26-A4AE-410F-99E2-E5BD2F3ECB6B}"/>
    <hyperlink ref="C2856" r:id="rId121" xr:uid="{E7CEBBF9-25C2-400C-9A49-C264E31FEBF0}"/>
    <hyperlink ref="C2857" r:id="rId122" xr:uid="{931260A1-B8F1-46DB-8585-15F4ECA6AAB8}"/>
    <hyperlink ref="C2858" r:id="rId123" xr:uid="{B99253FC-3B98-441D-A5CD-F502B93BDFE7}"/>
    <hyperlink ref="C2859" r:id="rId124" xr:uid="{3FC6EC10-3E77-473D-A38B-9038365FA8BE}"/>
    <hyperlink ref="C2860" r:id="rId125" xr:uid="{8AB4EA46-2818-4094-B41C-FAAA0D2EE8A3}"/>
    <hyperlink ref="C2861" r:id="rId126" xr:uid="{E550583B-7C53-4E30-B85F-9EDD420C8FAA}"/>
    <hyperlink ref="C2862" r:id="rId127" xr:uid="{34F06396-4220-4CBD-A0D4-DDEB3268F567}"/>
    <hyperlink ref="C2863" r:id="rId128" xr:uid="{EF094A62-7062-4A34-B6B1-9185499ABA6F}"/>
    <hyperlink ref="C2864" r:id="rId129" xr:uid="{28B9802D-1909-4D7A-8292-7B5B5E479E14}"/>
    <hyperlink ref="C2865" r:id="rId130" xr:uid="{017A8D21-3813-4168-8950-7F442A57F758}"/>
    <hyperlink ref="C2866" r:id="rId131" xr:uid="{E87BB10C-323E-4106-A721-9F1B3A41408D}"/>
    <hyperlink ref="C2867" r:id="rId132" xr:uid="{DB507A19-D9FF-4AC7-8430-070CA701B635}"/>
    <hyperlink ref="C2868" r:id="rId133" xr:uid="{0AD4E084-85DC-4354-80BD-7D892BABB72C}"/>
    <hyperlink ref="C2869" r:id="rId134" xr:uid="{D36848A9-B8F7-4890-AE05-F6EEB585FB9B}"/>
    <hyperlink ref="C2870" r:id="rId135" xr:uid="{F1503B62-9713-45D3-A6B9-4A4430F7AD3E}"/>
    <hyperlink ref="C2871" r:id="rId136" xr:uid="{B165983F-D8C9-4F73-A123-08CBD2242FFA}"/>
    <hyperlink ref="C2872" r:id="rId137" xr:uid="{7E3662A8-2184-4968-9826-DC6FE29EC09A}"/>
    <hyperlink ref="C2873" r:id="rId138" xr:uid="{87C212D7-DB94-4A64-8B52-93609AD71C00}"/>
    <hyperlink ref="C2874" r:id="rId139" xr:uid="{20D491F3-C26F-48EE-B495-DBB5029256C7}"/>
    <hyperlink ref="C2875" r:id="rId140" xr:uid="{104B3BF2-E0B2-431C-970B-C60E2F338AE8}"/>
    <hyperlink ref="C2876" r:id="rId141" xr:uid="{B74888D9-FA3A-4410-B13C-401E736FD52F}"/>
    <hyperlink ref="C2877" r:id="rId142" xr:uid="{DF3EDED1-C60C-48AE-B1FC-C71FE73045BF}"/>
    <hyperlink ref="C2878" r:id="rId143" xr:uid="{8CD1D66C-A6CA-4452-AB12-6D415EDC7C9A}"/>
    <hyperlink ref="C2879" r:id="rId144" xr:uid="{A7E154EA-98D6-4426-A4FC-DE2DAC7DE02F}"/>
    <hyperlink ref="C2880" r:id="rId145" xr:uid="{70FB6D52-41B4-4CD5-83AC-14C0763B5C53}"/>
    <hyperlink ref="C2881" r:id="rId146" xr:uid="{6444503B-27C6-474B-B18B-E7C9F56F18F9}"/>
    <hyperlink ref="C2882" r:id="rId147" xr:uid="{6897CDE9-D65E-401F-9347-759087CFF233}"/>
    <hyperlink ref="C2883" r:id="rId148" xr:uid="{05911E75-0232-4329-8252-999757CF0486}"/>
    <hyperlink ref="C2884" r:id="rId149" xr:uid="{8B18DCBD-450A-41AD-848D-808E85A93838}"/>
    <hyperlink ref="C2885" r:id="rId150" xr:uid="{C4EF20BA-5AA8-44B9-B7FD-32314F55A24C}"/>
    <hyperlink ref="C2886" r:id="rId151" xr:uid="{82DF70C6-ACB1-4D3E-839E-DDA706126759}"/>
    <hyperlink ref="C2887" r:id="rId152" xr:uid="{3008D995-ABCE-4C4D-B6F4-3C87264BE68B}"/>
    <hyperlink ref="C2888" r:id="rId153" xr:uid="{1A958817-57C2-4714-872F-0EEDD0D0C1EF}"/>
    <hyperlink ref="C2889" r:id="rId154" xr:uid="{020DFF00-EDF0-45D3-8216-E74006570902}"/>
    <hyperlink ref="C2890" r:id="rId155" xr:uid="{74078F30-C524-4D99-BE37-49F57D1F7902}"/>
    <hyperlink ref="C2891" r:id="rId156" xr:uid="{6CB6BDB3-6EE6-4BE9-A250-67165E10BA11}"/>
    <hyperlink ref="C2892" r:id="rId157" xr:uid="{50BDEFA9-4DCB-41B4-97CE-E7FAE27A2DD2}"/>
    <hyperlink ref="C2893" r:id="rId158" xr:uid="{6D37E48B-27FA-4556-B3B6-B7C093A2F7BD}"/>
    <hyperlink ref="C2894" r:id="rId159" xr:uid="{BB6862A8-B71B-4C14-B5DB-569A8524F485}"/>
    <hyperlink ref="C2895" r:id="rId160" xr:uid="{5CB5AA87-70C8-477D-9CCF-CD8CA57B4BA2}"/>
    <hyperlink ref="C2896" r:id="rId161" xr:uid="{B70FCC9D-5995-4E2C-BEBE-D4DB23D7BBFA}"/>
    <hyperlink ref="C2897" r:id="rId162" xr:uid="{600F6EF9-3568-4DA3-8012-B064D48E9E02}"/>
    <hyperlink ref="C2898" r:id="rId163" xr:uid="{D445DC47-925D-4CC2-8355-89C71B3F5CBB}"/>
    <hyperlink ref="C2899" r:id="rId164" xr:uid="{FFD7D26B-9926-41BD-929D-8F13E5B80469}"/>
    <hyperlink ref="C2900" r:id="rId165" xr:uid="{12C1D5EF-FB50-46E2-B9EB-F061E5AAD5A6}"/>
    <hyperlink ref="C2901" r:id="rId166" xr:uid="{D6A1AE1D-2987-4221-8D8B-E23CECC78EDB}"/>
    <hyperlink ref="C2902" r:id="rId167" xr:uid="{95B5B276-A924-47B0-A448-60AD5262314C}"/>
    <hyperlink ref="C2903" r:id="rId168" xr:uid="{F5E3269F-3045-464E-AE3D-63B1ED065706}"/>
    <hyperlink ref="C2904" r:id="rId169" xr:uid="{AE4CD22E-A759-4615-B53A-6889C72B85E2}"/>
    <hyperlink ref="C2905" r:id="rId170" xr:uid="{70FB8452-2933-40AA-B9D8-F414C831A67C}"/>
    <hyperlink ref="C2906" r:id="rId171" xr:uid="{4487F95F-C0D0-4915-A24D-AE3F23E114F3}"/>
    <hyperlink ref="C2907" r:id="rId172" xr:uid="{0A799E16-E634-404D-AED1-BB3FC13A636A}"/>
    <hyperlink ref="C2908" r:id="rId173" xr:uid="{C0BEC6A3-3B35-4999-B8FD-B9B24FB0329D}"/>
    <hyperlink ref="C2909" r:id="rId174" xr:uid="{CAA99497-B7B2-4051-90C5-5C1226649322}"/>
    <hyperlink ref="C2910" r:id="rId175" xr:uid="{9458E8B7-658D-4F95-A20C-EEA4C509FB2B}"/>
    <hyperlink ref="C2911" r:id="rId176" xr:uid="{A8C154BD-B6D7-4F13-9056-0538719F4A82}"/>
    <hyperlink ref="C2912" r:id="rId177" xr:uid="{CDC68D0F-B121-4141-93C6-0F2FC43E0BDF}"/>
    <hyperlink ref="C2913" r:id="rId178" xr:uid="{88FD3939-98BC-4C78-89B4-EC4074747AF0}"/>
    <hyperlink ref="C2914" r:id="rId179" xr:uid="{65396140-9454-4DC1-8BB7-9945D07F1BA8}"/>
    <hyperlink ref="C2915" r:id="rId180" xr:uid="{27BC1589-32EF-49ED-9C8F-A52C8C022796}"/>
    <hyperlink ref="C2916" r:id="rId181" xr:uid="{1D03BBB5-6048-428C-8E2B-49DE7B4B3EC1}"/>
    <hyperlink ref="C2917" r:id="rId182" xr:uid="{BC4FA607-3457-40DF-A714-60D82B755D41}"/>
    <hyperlink ref="C2918" r:id="rId183" xr:uid="{E73D9341-6E43-4E26-82AD-F51F59876EFB}"/>
    <hyperlink ref="C2919" r:id="rId184" xr:uid="{85FEB279-5A45-4ECD-B976-DD55990BB8A8}"/>
    <hyperlink ref="C2920" r:id="rId185" xr:uid="{E5009C0F-5C81-40B0-9E90-DB3821D6C623}"/>
    <hyperlink ref="C2921" r:id="rId186" xr:uid="{FBA8B407-F442-4034-91ED-59F4BDA706FD}"/>
    <hyperlink ref="C2922" r:id="rId187" xr:uid="{16755276-6CE5-45DE-A325-6B6D6CF96003}"/>
    <hyperlink ref="C2923" r:id="rId188" xr:uid="{3FE03821-2E5B-47F1-B919-112350321D70}"/>
    <hyperlink ref="C2924" r:id="rId189" xr:uid="{C6B057F9-50E1-4606-B24A-8335E0BA964D}"/>
    <hyperlink ref="C2925" r:id="rId190" xr:uid="{4CFA8BE4-AA83-4414-9F86-CD07C398309F}"/>
    <hyperlink ref="C2926" r:id="rId191" xr:uid="{2D9D0E6D-DF40-4EA3-9D20-750FEF7153B4}"/>
    <hyperlink ref="C2927" r:id="rId192" xr:uid="{6D7301A5-5407-4C77-B38C-C05611A18197}"/>
    <hyperlink ref="C2928" r:id="rId193" xr:uid="{BDDA1326-7B64-4716-9D6B-3F71A65EC570}"/>
    <hyperlink ref="C2929" r:id="rId194" xr:uid="{669B692C-3EA5-438E-802C-2C2DC20FAD38}"/>
    <hyperlink ref="C2930" r:id="rId195" xr:uid="{27EFBF0B-9C0E-465F-ACC1-D7CA8549021E}"/>
    <hyperlink ref="C2931" r:id="rId196" xr:uid="{6B37D5AB-3E52-4B22-83B1-71F38721ADF3}"/>
    <hyperlink ref="C2932" r:id="rId197" xr:uid="{65F58BE9-FC77-429F-B17D-313E2B815ECA}"/>
    <hyperlink ref="C2933" r:id="rId198" xr:uid="{17043EDF-263A-48A1-B721-DEAF31054B9B}"/>
    <hyperlink ref="C2934" r:id="rId199" xr:uid="{B29195D6-10BF-4A50-B360-58E15B983C3C}"/>
    <hyperlink ref="C2935" r:id="rId200" xr:uid="{0D4AD570-47C4-4154-8D70-A5ADF0D435DB}"/>
    <hyperlink ref="C2936" r:id="rId201" xr:uid="{21DBCCC7-0947-4DB1-8772-AD3F22295C24}"/>
    <hyperlink ref="C2937" r:id="rId202" xr:uid="{4DC61220-6436-4C68-A767-792E8B5A224A}"/>
    <hyperlink ref="C2938" r:id="rId203" xr:uid="{AF6FAA89-C708-4708-8527-0D00EE4FC73E}"/>
    <hyperlink ref="C2941" r:id="rId204" xr:uid="{F6393725-52D7-4C0A-B54D-5AACBB842825}"/>
    <hyperlink ref="C2940" r:id="rId205" xr:uid="{1843EFAC-7574-4692-87EC-59F044B4352D}"/>
    <hyperlink ref="C2942" r:id="rId206" xr:uid="{C1F213D5-A1B2-49F9-8F38-CBCD00BFAC09}"/>
    <hyperlink ref="C2943" r:id="rId207" xr:uid="{F8F9A71B-FBC2-41DA-98D8-BAA1FBD2E6D6}"/>
    <hyperlink ref="C2944" r:id="rId208" xr:uid="{282DCF77-D7AA-4357-930B-20253D8A94CF}"/>
    <hyperlink ref="C2945" r:id="rId209" xr:uid="{AC0A456B-BF5D-4EA0-AFEA-14B36B8947B6}"/>
    <hyperlink ref="C2946" r:id="rId210" xr:uid="{617195A5-4AC5-4D1B-96BF-6242E2878D0D}"/>
    <hyperlink ref="C2947" r:id="rId211" xr:uid="{66C5D8E3-3849-4644-98CA-C2DF58E22C27}"/>
    <hyperlink ref="C2948" r:id="rId212" xr:uid="{9441FB66-ABA5-4078-9ECE-B450E1F5F714}"/>
    <hyperlink ref="C2949" r:id="rId213" xr:uid="{01BC8EF2-C1A2-462B-8CF4-B63B84B2822D}"/>
    <hyperlink ref="C2950" r:id="rId214" xr:uid="{4E806D84-BC42-4564-A05F-61E5007705CF}"/>
    <hyperlink ref="C2951" r:id="rId215" xr:uid="{D032CAE6-3CD8-44F0-993D-A9AAD7A78FBB}"/>
    <hyperlink ref="C2952" r:id="rId216" xr:uid="{25B53C39-5FE2-450E-A948-AB7779A1CAD2}"/>
    <hyperlink ref="C2953" r:id="rId217" xr:uid="{79069566-03BE-4759-AE29-BA0C4D5C9DC3}"/>
    <hyperlink ref="C2954" r:id="rId218" xr:uid="{37306735-8135-4BD3-8784-BCA1D64F3FC6}"/>
    <hyperlink ref="C2955" r:id="rId219" xr:uid="{87E348F5-DAC6-4FBA-8295-95FB4E045253}"/>
    <hyperlink ref="C2956" r:id="rId220" xr:uid="{1DC72205-1F25-4196-84E4-B2AFD4642B4B}"/>
    <hyperlink ref="C2957" r:id="rId221" xr:uid="{92D086CE-1FB2-431C-B526-2B6D1A348722}"/>
    <hyperlink ref="C2958" r:id="rId222" xr:uid="{B6BB75E7-684A-4ABE-B23A-720EB81798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F14-955A-4AA9-8E58-7AF41DC3AF36}">
  <sheetPr codeName="Sheet3"/>
  <dimension ref="A1:T1424"/>
  <sheetViews>
    <sheetView workbookViewId="0">
      <pane ySplit="1" topLeftCell="A1259" activePane="bottomLeft" state="frozen"/>
      <selection pane="bottomLeft" activeCell="A1304" sqref="A1304:L1424"/>
    </sheetView>
  </sheetViews>
  <sheetFormatPr defaultColWidth="9.140625" defaultRowHeight="15"/>
  <cols>
    <col min="1" max="1" width="17.85546875" style="25" bestFit="1" customWidth="1"/>
    <col min="2" max="2" width="11.42578125" style="26" bestFit="1" customWidth="1"/>
    <col min="3" max="3" width="25" style="27" bestFit="1" customWidth="1"/>
    <col min="4" max="4" width="28.7109375" style="28" bestFit="1" customWidth="1"/>
    <col min="5" max="5" width="44" style="29" bestFit="1" customWidth="1"/>
    <col min="6" max="6" width="13" style="29" bestFit="1" customWidth="1"/>
    <col min="7" max="7" width="28.7109375" style="29" bestFit="1" customWidth="1"/>
    <col min="8" max="8" width="28.140625" style="26" customWidth="1"/>
    <col min="9" max="9" width="17.28515625" style="27" bestFit="1" customWidth="1"/>
    <col min="10" max="10" width="15.85546875" style="27" bestFit="1" customWidth="1"/>
    <col min="11" max="11" width="30.7109375" style="26" bestFit="1" customWidth="1"/>
    <col min="12" max="12" width="42.42578125" style="24" customWidth="1"/>
    <col min="13" max="13" width="19" style="30" bestFit="1" customWidth="1"/>
    <col min="14" max="16384" width="9.140625" style="24"/>
  </cols>
  <sheetData>
    <row r="1" spans="1:13" s="46" customFormat="1">
      <c r="A1" s="42" t="s">
        <v>6233</v>
      </c>
      <c r="B1" s="56" t="s">
        <v>1</v>
      </c>
      <c r="C1" s="43" t="s">
        <v>2</v>
      </c>
      <c r="D1" s="44" t="s">
        <v>3</v>
      </c>
      <c r="E1" s="43" t="s">
        <v>4</v>
      </c>
      <c r="F1" s="43"/>
      <c r="G1" s="43" t="s">
        <v>6234</v>
      </c>
      <c r="H1" s="56" t="s">
        <v>7</v>
      </c>
      <c r="I1" s="43" t="s">
        <v>8</v>
      </c>
      <c r="J1" s="45" t="s">
        <v>9</v>
      </c>
      <c r="K1" s="56" t="s">
        <v>10</v>
      </c>
      <c r="L1" s="45" t="s">
        <v>11</v>
      </c>
      <c r="M1" s="45" t="s">
        <v>6235</v>
      </c>
    </row>
    <row r="2" spans="1:13">
      <c r="A2" s="25">
        <v>909168824</v>
      </c>
      <c r="B2" s="26">
        <v>44854</v>
      </c>
      <c r="C2" s="27" t="s">
        <v>6236</v>
      </c>
      <c r="D2" s="28" t="str">
        <f>IF(ISBLANK(B2), "Email",IF(ISNA(VLOOKUP(A2,'Master List'!A:C,3,FALSE)), "Not Found", VLOOKUP(A2,'Master List'!A:C,3,FALSE)))</f>
        <v>sinapuel@sfsu.edu</v>
      </c>
      <c r="E2" s="29" t="s">
        <v>31</v>
      </c>
      <c r="G2" s="27"/>
      <c r="H2" s="26" t="s">
        <v>6237</v>
      </c>
      <c r="K2" s="26">
        <v>37563</v>
      </c>
      <c r="M2" s="30" t="e">
        <f>IF(AND(COUNTIF(#REF!, Returned_checkout!A53)=0, ISBLANK(K2)),"Yes", "No")</f>
        <v>#REF!</v>
      </c>
    </row>
    <row r="3" spans="1:13">
      <c r="A3" s="25">
        <v>920775489</v>
      </c>
      <c r="B3" s="26">
        <v>44895</v>
      </c>
      <c r="C3" s="27" t="s">
        <v>5542</v>
      </c>
      <c r="D3" s="28" t="str">
        <f>IF(ISBLANK(B3), "Email",IF(ISNA(VLOOKUP(A3,'Master List'!A:C,3,FALSE)), "Not Found", VLOOKUP(A3,'Master List'!A:C,3,FALSE)))</f>
        <v>kendow@sfsu.edu</v>
      </c>
      <c r="E3" s="29" t="s">
        <v>269</v>
      </c>
      <c r="G3" s="27"/>
      <c r="H3" s="26" t="s">
        <v>125</v>
      </c>
      <c r="I3" s="27" t="s">
        <v>55</v>
      </c>
      <c r="J3" s="27" t="s">
        <v>66</v>
      </c>
      <c r="K3" s="26">
        <v>44578</v>
      </c>
      <c r="M3" s="30" t="e">
        <f>IF(AND(COUNTIF(#REF!, Returned_checkout!A68)=0, ISBLANK(K3)),"Yes", "No")</f>
        <v>#REF!</v>
      </c>
    </row>
    <row r="4" spans="1:13">
      <c r="A4" s="25">
        <v>913869494</v>
      </c>
      <c r="B4" s="26">
        <v>44902</v>
      </c>
      <c r="C4" s="27" t="s">
        <v>3808</v>
      </c>
      <c r="D4" s="28" t="str">
        <f>IF(ISBLANK(B4), "Email",IF(ISNA(VLOOKUP(A4,'Master List'!A:C,3,FALSE)), "Not Found", VLOOKUP(A4,'Master List'!A:C,3,FALSE)))</f>
        <v>nnackley@sfsu.edu</v>
      </c>
      <c r="E4" s="29" t="s">
        <v>269</v>
      </c>
      <c r="G4" s="27"/>
      <c r="H4" s="26">
        <v>44907</v>
      </c>
      <c r="I4" s="27" t="s">
        <v>59</v>
      </c>
      <c r="J4" s="27" t="s">
        <v>66</v>
      </c>
      <c r="K4" s="26">
        <v>44578</v>
      </c>
      <c r="M4" s="30" t="e">
        <f>IF(AND(COUNTIF(#REF!, Returned_checkout!A102)=0, ISBLANK(K4)),"Yes", "No")</f>
        <v>#REF!</v>
      </c>
    </row>
    <row r="5" spans="1:13">
      <c r="A5" s="25">
        <v>901610000</v>
      </c>
      <c r="B5" s="26">
        <v>44834</v>
      </c>
      <c r="C5" s="27" t="s">
        <v>1537</v>
      </c>
      <c r="D5" s="28" t="str">
        <f>IF(ISBLANK(B5), "Email",IF(ISNA(VLOOKUP(A5,'Master List'!A:C,3,FALSE)), "Not Found", VLOOKUP(A5,'Master List'!A:C,3,FALSE)))</f>
        <v>sabey@sfsu.edu</v>
      </c>
      <c r="E5" s="29" t="s">
        <v>133</v>
      </c>
      <c r="G5" s="27" t="s">
        <v>6238</v>
      </c>
      <c r="H5" s="26" t="s">
        <v>6239</v>
      </c>
      <c r="J5" s="27" t="s">
        <v>65</v>
      </c>
      <c r="K5" s="26">
        <v>44593</v>
      </c>
      <c r="L5" s="24" t="s">
        <v>6240</v>
      </c>
      <c r="M5" s="30" t="e">
        <f>IF(AND(COUNTIF(#REF!, Returned_checkout!A17)=0, ISBLANK(K5)),"Yes", "No")</f>
        <v>#REF!</v>
      </c>
    </row>
    <row r="6" spans="1:13">
      <c r="A6" s="25">
        <v>918839459</v>
      </c>
      <c r="B6" s="26">
        <v>44823</v>
      </c>
      <c r="C6" s="27" t="s">
        <v>6241</v>
      </c>
      <c r="D6" s="28" t="str">
        <f>IF(ISBLANK(B6), "Email",IF(ISNA(VLOOKUP(A6,'Master List'!A:C,3,FALSE)), "Not Found", VLOOKUP(A6,'Master List'!A:C,3,FALSE)))</f>
        <v>ahinck@sfsu.edu</v>
      </c>
      <c r="E6" s="29" t="s">
        <v>19</v>
      </c>
      <c r="G6" s="27" t="s">
        <v>15</v>
      </c>
      <c r="H6" s="26" t="s">
        <v>6242</v>
      </c>
      <c r="K6" s="26">
        <v>44823</v>
      </c>
      <c r="M6" s="30" t="e">
        <f>IF(AND(COUNTIF(#REF!, Returned_checkout!A3)=0, ISBLANK(K6)),"Yes", "No")</f>
        <v>#REF!</v>
      </c>
    </row>
    <row r="7" spans="1:13">
      <c r="A7" s="25">
        <v>900005774</v>
      </c>
      <c r="B7" s="26">
        <v>44823</v>
      </c>
      <c r="C7" s="27" t="s">
        <v>6243</v>
      </c>
      <c r="D7" s="28" t="str">
        <f>IF(ISBLANK(B7), "Email",IF(ISNA(VLOOKUP(A7,'Master List'!A:C,3,FALSE)), "Not Found", VLOOKUP(A7,'Master List'!A:C,3,FALSE)))</f>
        <v>schoerke@sfsu.edu</v>
      </c>
      <c r="E7" s="29" t="s">
        <v>19</v>
      </c>
      <c r="G7" s="27" t="s">
        <v>15</v>
      </c>
      <c r="H7" s="26" t="s">
        <v>6242</v>
      </c>
      <c r="K7" s="26">
        <v>44823</v>
      </c>
      <c r="M7" s="30" t="e">
        <f>IF(AND(COUNTIF(#REF!, Returned_checkout!A89)=0, ISBLANK(K7)),"Yes", "No")</f>
        <v>#REF!</v>
      </c>
    </row>
    <row r="8" spans="1:13">
      <c r="A8" s="25">
        <v>902221312</v>
      </c>
      <c r="B8" s="26">
        <v>44823</v>
      </c>
      <c r="C8" s="27" t="s">
        <v>1619</v>
      </c>
      <c r="D8" s="28" t="str">
        <f>IF(ISBLANK(B8), "Email",IF(ISNA(VLOOKUP(A8,'Master List'!A:C,3,FALSE)), "Not Found", VLOOKUP(A8,'Master List'!A:C,3,FALSE)))</f>
        <v>pbg@mail.sfsu.edu</v>
      </c>
      <c r="E8" s="29" t="s">
        <v>19</v>
      </c>
      <c r="G8" s="27" t="s">
        <v>15</v>
      </c>
      <c r="H8" s="26" t="s">
        <v>6242</v>
      </c>
      <c r="K8" s="26">
        <v>44823</v>
      </c>
      <c r="M8" s="30" t="e">
        <f>IF(AND(COUNTIF(#REF!, Returned_checkout!A103)=0, ISBLANK(K8)),"Yes", "No")</f>
        <v>#REF!</v>
      </c>
    </row>
    <row r="9" spans="1:13">
      <c r="A9" s="25">
        <v>908543108</v>
      </c>
      <c r="B9" s="26">
        <v>44825</v>
      </c>
      <c r="C9" s="27" t="s">
        <v>6244</v>
      </c>
      <c r="D9" s="28" t="str">
        <f>IF(ISBLANK(B9), "Email",IF(ISNA(VLOOKUP(A9,'Master List'!A:C,3,FALSE)), "Not Found", VLOOKUP(A9,'Master List'!A:C,3,FALSE)))</f>
        <v>kcroshal@sfsu.edu</v>
      </c>
      <c r="E9" s="29" t="s">
        <v>35</v>
      </c>
      <c r="G9" s="27"/>
      <c r="H9" s="26" t="s">
        <v>6245</v>
      </c>
      <c r="I9" s="26"/>
      <c r="K9" s="26">
        <v>44825</v>
      </c>
      <c r="M9" s="30" t="e">
        <f>IF(AND(COUNTIF(#REF!, Returned_checkout!A75)=0, ISBLANK(K9)),"Yes", "No")</f>
        <v>#REF!</v>
      </c>
    </row>
    <row r="10" spans="1:13">
      <c r="A10" s="34">
        <v>907441085</v>
      </c>
      <c r="B10" s="26">
        <v>44826</v>
      </c>
      <c r="C10" s="35" t="s">
        <v>2281</v>
      </c>
      <c r="D10" s="28" t="str">
        <f>IF(ISBLANK(B10), "Email",IF(ISNA(VLOOKUP(A10,'Master List'!A:C,3,FALSE)), "Not Found", VLOOKUP(A10,'Master List'!A:C,3,FALSE)))</f>
        <v>crath@sfsu.edu</v>
      </c>
      <c r="E10" s="29" t="s">
        <v>58</v>
      </c>
      <c r="G10" s="27" t="s">
        <v>6246</v>
      </c>
      <c r="H10" s="26" t="s">
        <v>6242</v>
      </c>
      <c r="K10" s="26">
        <v>44826</v>
      </c>
      <c r="M10" s="30" t="e">
        <f>IF(AND(COUNTIF(#REF!, Returned_checkout!A22)=0, ISBLANK(K10)),"Yes", "No")</f>
        <v>#REF!</v>
      </c>
    </row>
    <row r="11" spans="1:13">
      <c r="A11" s="34">
        <v>907441085</v>
      </c>
      <c r="B11" s="26">
        <v>44826</v>
      </c>
      <c r="C11" s="35" t="s">
        <v>2281</v>
      </c>
      <c r="D11" s="28" t="str">
        <f>IF(ISBLANK(B11), "Email",IF(ISNA(VLOOKUP(A11,'Master List'!A:C,3,FALSE)), "Not Found", VLOOKUP(A11,'Master List'!A:C,3,FALSE)))</f>
        <v>crath@sfsu.edu</v>
      </c>
      <c r="E11" s="29" t="s">
        <v>36</v>
      </c>
      <c r="G11" s="27" t="s">
        <v>6247</v>
      </c>
      <c r="H11" s="26" t="s">
        <v>6242</v>
      </c>
      <c r="K11" s="26">
        <v>44826</v>
      </c>
      <c r="M11" s="30" t="e">
        <f>IF(AND(COUNTIF(#REF!, Returned_checkout!A23)=0, ISBLANK(K11)),"Yes", "No")</f>
        <v>#REF!</v>
      </c>
    </row>
    <row r="12" spans="1:13">
      <c r="A12" s="34">
        <v>907441085</v>
      </c>
      <c r="B12" s="26">
        <v>44826</v>
      </c>
      <c r="C12" s="35" t="s">
        <v>2281</v>
      </c>
      <c r="D12" s="28" t="str">
        <f>IF(ISBLANK(B12), "Email",IF(ISNA(VLOOKUP(A12,'Master List'!A:C,3,FALSE)), "Not Found", VLOOKUP(A12,'Master List'!A:C,3,FALSE)))</f>
        <v>crath@sfsu.edu</v>
      </c>
      <c r="E12" s="29" t="s">
        <v>19</v>
      </c>
      <c r="G12" s="27"/>
      <c r="H12" s="26" t="s">
        <v>6242</v>
      </c>
      <c r="K12" s="26">
        <v>44826</v>
      </c>
      <c r="M12" s="30" t="e">
        <f>IF(AND(COUNTIF(#REF!, Returned_checkout!A24)=0, ISBLANK(K12)),"Yes", "No")</f>
        <v>#REF!</v>
      </c>
    </row>
    <row r="13" spans="1:13">
      <c r="A13" s="25">
        <v>918844984</v>
      </c>
      <c r="B13" s="26">
        <v>44830</v>
      </c>
      <c r="C13" s="27" t="s">
        <v>6248</v>
      </c>
      <c r="D13" s="28" t="str">
        <f>IF(ISBLANK(B13), "Email",IF(ISNA(VLOOKUP(A13,'Master List'!A:C,3,FALSE)), "Not Found", VLOOKUP(A13,'Master List'!A:C,3,FALSE)))</f>
        <v>msafran@sfsu.edu</v>
      </c>
      <c r="E13" s="29" t="s">
        <v>25</v>
      </c>
      <c r="G13" s="27"/>
      <c r="H13" s="26" t="s">
        <v>6249</v>
      </c>
      <c r="K13" s="26">
        <v>44830</v>
      </c>
      <c r="M13" s="30" t="e">
        <f>IF(AND(COUNTIF(#REF!, Returned_checkout!A96)=0, ISBLANK(K13)),"Yes", "No")</f>
        <v>#REF!</v>
      </c>
    </row>
    <row r="14" spans="1:13">
      <c r="A14" s="25">
        <v>913032515</v>
      </c>
      <c r="B14" s="26">
        <v>44830</v>
      </c>
      <c r="C14" s="27" t="s">
        <v>3482</v>
      </c>
      <c r="D14" s="28" t="str">
        <f>IF(ISBLANK(B14), "Email",IF(ISNA(VLOOKUP(A14,'Master List'!A:C,3,FALSE)), "Not Found", VLOOKUP(A14,'Master List'!A:C,3,FALSE)))</f>
        <v>mjimison@sfsu.edu</v>
      </c>
      <c r="E14" s="29" t="s">
        <v>25</v>
      </c>
      <c r="G14" s="27"/>
      <c r="H14" s="26" t="s">
        <v>6250</v>
      </c>
      <c r="K14" s="26">
        <v>44831</v>
      </c>
      <c r="M14" s="30" t="e">
        <f>IF(AND(COUNTIF(#REF!, Returned_checkout!A93)=0, ISBLANK(K14)),"Yes", "No")</f>
        <v>#REF!</v>
      </c>
    </row>
    <row r="15" spans="1:13">
      <c r="A15" s="25">
        <v>912817092</v>
      </c>
      <c r="B15" s="26">
        <v>44832</v>
      </c>
      <c r="C15" s="27" t="s">
        <v>3388</v>
      </c>
      <c r="D15" s="28" t="str">
        <f>IF(ISBLANK(B15), "Email",IF(ISNA(VLOOKUP(A15,'Master List'!A:C,3,FALSE)), "Not Found", VLOOKUP(A15,'Master List'!A:C,3,FALSE)))</f>
        <v>deepikaahuja@sfsu.edu</v>
      </c>
      <c r="E15" s="29" t="s">
        <v>30</v>
      </c>
      <c r="G15" s="27"/>
      <c r="H15" s="26" t="s">
        <v>14</v>
      </c>
      <c r="K15" s="26">
        <v>44832</v>
      </c>
      <c r="M15" s="30" t="e">
        <f>IF(AND(COUNTIF(#REF!, Returned_checkout!A39)=0, ISBLANK(K15)),"Yes", "No")</f>
        <v>#REF!</v>
      </c>
    </row>
    <row r="16" spans="1:13">
      <c r="A16" s="25">
        <v>904119858</v>
      </c>
      <c r="B16" s="26">
        <v>44833</v>
      </c>
      <c r="C16" s="27" t="s">
        <v>6251</v>
      </c>
      <c r="D16" s="28" t="str">
        <f>IF(ISBLANK(B16), "Email",IF(ISNA(VLOOKUP(A16,'Master List'!A:C,3,FALSE)), "Not Found", VLOOKUP(A16,'Master List'!A:C,3,FALSE)))</f>
        <v>aarrieta@sfsu.edu</v>
      </c>
      <c r="E16" s="27" t="s">
        <v>6252</v>
      </c>
      <c r="F16" s="27"/>
      <c r="G16" s="27"/>
      <c r="H16" s="26" t="s">
        <v>14</v>
      </c>
      <c r="K16" s="26">
        <v>44833</v>
      </c>
      <c r="M16" s="30" t="e">
        <f>IF(AND(COUNTIF(#REF!, Returned_checkout!A10)=0, ISBLANK(K16)),"Yes", "No")</f>
        <v>#REF!</v>
      </c>
    </row>
    <row r="17" spans="1:13">
      <c r="A17" s="25">
        <v>904119858</v>
      </c>
      <c r="B17" s="26">
        <v>44833</v>
      </c>
      <c r="C17" s="27" t="s">
        <v>6251</v>
      </c>
      <c r="D17" s="28" t="str">
        <f>IF(ISBLANK(B17), "Email",IF(ISNA(VLOOKUP(A17,'Master List'!A:C,3,FALSE)), "Not Found", VLOOKUP(A17,'Master List'!A:C,3,FALSE)))</f>
        <v>aarrieta@sfsu.edu</v>
      </c>
      <c r="E17" s="27" t="s">
        <v>6253</v>
      </c>
      <c r="F17" s="27"/>
      <c r="G17" s="27">
        <v>68401</v>
      </c>
      <c r="H17" s="26" t="s">
        <v>6254</v>
      </c>
      <c r="K17" s="26">
        <v>44833</v>
      </c>
      <c r="M17" s="30" t="e">
        <f>IF(AND(COUNTIF(#REF!, Returned_checkout!A11)=0, ISBLANK(K17)),"Yes", "No")</f>
        <v>#REF!</v>
      </c>
    </row>
    <row r="18" spans="1:13">
      <c r="A18" s="25">
        <v>904119858</v>
      </c>
      <c r="B18" s="26">
        <v>44833</v>
      </c>
      <c r="C18" s="27" t="s">
        <v>6251</v>
      </c>
      <c r="D18" s="28" t="str">
        <f>IF(ISBLANK(B18), "Email",IF(ISNA(VLOOKUP(A18,'Master List'!A:C,3,FALSE)), "Not Found", VLOOKUP(A18,'Master List'!A:C,3,FALSE)))</f>
        <v>aarrieta@sfsu.edu</v>
      </c>
      <c r="E18" s="29" t="s">
        <v>35</v>
      </c>
      <c r="G18" s="36">
        <v>89875</v>
      </c>
      <c r="H18" s="26" t="s">
        <v>6239</v>
      </c>
      <c r="K18" s="26">
        <v>44833</v>
      </c>
      <c r="M18" s="30" t="e">
        <f>IF(AND(COUNTIF(#REF!, Returned_checkout!A12)=0, ISBLANK(K18)),"Yes", "No")</f>
        <v>#REF!</v>
      </c>
    </row>
    <row r="19" spans="1:13">
      <c r="A19" s="25">
        <v>916483521</v>
      </c>
      <c r="B19" s="26">
        <v>44833</v>
      </c>
      <c r="C19" s="36" t="s">
        <v>4120</v>
      </c>
      <c r="D19" s="28" t="str">
        <f>IF(ISBLANK(B19), "Email",IF(ISNA(VLOOKUP(A19,'Master List'!A:C,3,FALSE)), "Not Found", VLOOKUP(A19,'Master List'!A:C,3,FALSE)))</f>
        <v>tkinukaw@sfsu.edu</v>
      </c>
      <c r="E19" s="29" t="s">
        <v>25</v>
      </c>
      <c r="G19" s="27"/>
      <c r="H19" s="26" t="s">
        <v>6255</v>
      </c>
      <c r="K19" s="26">
        <v>44833</v>
      </c>
      <c r="M19" s="30" t="e">
        <f>IF(AND(COUNTIF(#REF!, Returned_checkout!A123)=0, ISBLANK(K19)),"Yes", "No")</f>
        <v>#REF!</v>
      </c>
    </row>
    <row r="20" spans="1:13">
      <c r="A20" s="25">
        <v>900030903</v>
      </c>
      <c r="B20" s="26">
        <v>44830</v>
      </c>
      <c r="C20" s="27" t="s">
        <v>1030</v>
      </c>
      <c r="D20" s="28" t="str">
        <f>IF(ISBLANK(B20), "Email",IF(ISNA(VLOOKUP(A20,'Master List'!A:C,3,FALSE)), "Not Found", VLOOKUP(A20,'Master List'!A:C,3,FALSE)))</f>
        <v>phsiao@sfsu.edu</v>
      </c>
      <c r="E20" s="29" t="s">
        <v>19</v>
      </c>
      <c r="G20" s="27"/>
      <c r="H20" s="26" t="s">
        <v>6256</v>
      </c>
      <c r="K20" s="26">
        <v>44834</v>
      </c>
      <c r="M20" s="30" t="e">
        <f>IF(AND(COUNTIF(#REF!, Returned_checkout!A104)=0, ISBLANK(K20)),"Yes", "No")</f>
        <v>#REF!</v>
      </c>
    </row>
    <row r="21" spans="1:13">
      <c r="A21" s="25">
        <v>911216610</v>
      </c>
      <c r="B21" s="26">
        <v>44826</v>
      </c>
      <c r="C21" s="36" t="s">
        <v>3120</v>
      </c>
      <c r="D21" s="28" t="str">
        <f>IF(ISBLANK(B21), "Email",IF(ISNA(VLOOKUP(A21,'Master List'!A:C,3,FALSE)), "Not Found", VLOOKUP(A21,'Master List'!A:C,3,FALSE)))</f>
        <v>kimn@sfsu.edu</v>
      </c>
      <c r="E21" s="29" t="s">
        <v>28</v>
      </c>
      <c r="G21" s="27"/>
      <c r="H21" s="26" t="s">
        <v>6249</v>
      </c>
      <c r="K21" s="26">
        <v>44837</v>
      </c>
      <c r="M21" s="30" t="e">
        <f>IF(AND(COUNTIF(#REF!, Returned_checkout!A76)=0, ISBLANK(K21)),"Yes", "No")</f>
        <v>#REF!</v>
      </c>
    </row>
    <row r="22" spans="1:13">
      <c r="A22" s="25">
        <v>912975029</v>
      </c>
      <c r="B22" s="26">
        <v>44837</v>
      </c>
      <c r="C22" s="27" t="s">
        <v>3444</v>
      </c>
      <c r="D22" s="28" t="str">
        <f>IF(ISBLANK(B22), "Email",IF(ISNA(VLOOKUP(A22,'Master List'!A:C,3,FALSE)), "Not Found", VLOOKUP(A22,'Master List'!A:C,3,FALSE)))</f>
        <v>aswei@sfsu.edu</v>
      </c>
      <c r="E22" s="29" t="s">
        <v>16</v>
      </c>
      <c r="G22" s="27"/>
      <c r="H22" s="26" t="s">
        <v>6257</v>
      </c>
      <c r="K22" s="26">
        <v>44837</v>
      </c>
      <c r="M22" s="30" t="e">
        <f>IF(AND(COUNTIF(#REF!, Returned_checkout!A7)=0, ISBLANK(K22)),"Yes", "No")</f>
        <v>#REF!</v>
      </c>
    </row>
    <row r="23" spans="1:13">
      <c r="A23" s="25">
        <v>912333934</v>
      </c>
      <c r="B23" s="26">
        <v>44837</v>
      </c>
      <c r="C23" s="27" t="s">
        <v>6258</v>
      </c>
      <c r="D23" s="28" t="str">
        <f>IF(ISBLANK(B23), "Email",IF(ISNA(VLOOKUP(A23,'Master List'!A:C,3,FALSE)), "Not Found", VLOOKUP(A23,'Master List'!A:C,3,FALSE)))</f>
        <v>cmartine@sfsu.edu</v>
      </c>
      <c r="E23" s="29" t="s">
        <v>19</v>
      </c>
      <c r="G23" s="27"/>
      <c r="H23" s="26" t="s">
        <v>6259</v>
      </c>
      <c r="K23" s="26">
        <v>44837</v>
      </c>
      <c r="M23" s="30" t="e">
        <f>IF(AND(COUNTIF(#REF!, Returned_checkout!A21)=0, ISBLANK(K23)),"Yes", "No")</f>
        <v>#REF!</v>
      </c>
    </row>
    <row r="24" spans="1:13">
      <c r="A24" s="25">
        <v>902976066</v>
      </c>
      <c r="B24" s="26">
        <v>44838</v>
      </c>
      <c r="C24" s="27" t="s">
        <v>6260</v>
      </c>
      <c r="D24" s="28" t="str">
        <f>IF(ISBLANK(B24), "Email",IF(ISNA(VLOOKUP(A24,'Master List'!A:C,3,FALSE)), "Not Found", VLOOKUP(A24,'Master List'!A:C,3,FALSE)))</f>
        <v>jacksf@sfsu.edu</v>
      </c>
      <c r="E24" s="29" t="s">
        <v>25</v>
      </c>
      <c r="G24" s="27"/>
      <c r="J24" s="27" t="s">
        <v>53</v>
      </c>
      <c r="K24" s="26">
        <v>44838</v>
      </c>
      <c r="M24" s="30" t="e">
        <f>IF(AND(COUNTIF(#REF!, Returned_checkout!A50)=0, ISBLANK(K24)),"Yes", "No")</f>
        <v>#REF!</v>
      </c>
    </row>
    <row r="25" spans="1:13">
      <c r="A25" s="25">
        <v>900011585</v>
      </c>
      <c r="B25" s="26">
        <v>44838</v>
      </c>
      <c r="C25" s="27" t="s">
        <v>6261</v>
      </c>
      <c r="D25" s="28" t="str">
        <f>IF(ISBLANK(B25), "Email",IF(ISNA(VLOOKUP(A25,'Master List'!A:C,3,FALSE)), "Not Found", VLOOKUP(A25,'Master List'!A:C,3,FALSE)))</f>
        <v>vwagner@sfsu.edu</v>
      </c>
      <c r="E25" s="29" t="s">
        <v>6262</v>
      </c>
      <c r="G25" s="37" t="s">
        <v>6263</v>
      </c>
      <c r="H25" s="26" t="s">
        <v>134</v>
      </c>
      <c r="J25" s="27" t="s">
        <v>66</v>
      </c>
      <c r="K25" s="26">
        <v>44838</v>
      </c>
      <c r="M25" s="30" t="e">
        <f>IF(AND(COUNTIF(#REF!, Returned_checkout!A134)=0, ISBLANK(K25)),"Yes", "No")</f>
        <v>#REF!</v>
      </c>
    </row>
    <row r="26" spans="1:13">
      <c r="A26" s="25">
        <v>918831256</v>
      </c>
      <c r="B26" s="26">
        <v>44839</v>
      </c>
      <c r="C26" s="27" t="s">
        <v>4912</v>
      </c>
      <c r="D26" s="28" t="str">
        <f>IF(ISBLANK(B26), "Email",IF(ISNA(VLOOKUP(A26,'Master List'!A:C,3,FALSE)), "Not Found", VLOOKUP(A26,'Master List'!A:C,3,FALSE)))</f>
        <v>mstoney@sfsu.edu</v>
      </c>
      <c r="E26" s="29" t="s">
        <v>17</v>
      </c>
      <c r="G26" s="27" t="s">
        <v>6264</v>
      </c>
      <c r="H26" s="26" t="s">
        <v>125</v>
      </c>
      <c r="K26" s="26">
        <v>44839</v>
      </c>
      <c r="M26" s="30" t="e">
        <f>IF(AND(COUNTIF(#REF!, Returned_checkout!A97)=0, ISBLANK(K26)),"Yes", "No")</f>
        <v>#REF!</v>
      </c>
    </row>
    <row r="27" spans="1:13">
      <c r="A27" s="25">
        <v>912222407</v>
      </c>
      <c r="B27" s="26">
        <v>44838</v>
      </c>
      <c r="C27" s="27" t="s">
        <v>3318</v>
      </c>
      <c r="D27" s="28" t="str">
        <f>IF(ISBLANK(B27), "Email",IF(ISNA(VLOOKUP(A27,'Master List'!A:C,3,FALSE)), "Not Found", VLOOKUP(A27,'Master List'!A:C,3,FALSE)))</f>
        <v>scrouch3@sfsu.edu</v>
      </c>
      <c r="E27" s="29" t="s">
        <v>25</v>
      </c>
      <c r="G27" s="27"/>
      <c r="H27" s="26" t="s">
        <v>125</v>
      </c>
      <c r="K27" s="26">
        <v>44845</v>
      </c>
      <c r="M27" s="30" t="e">
        <f>IF(AND(COUNTIF(#REF!, Returned_checkout!A114)=0, ISBLANK(K27)),"Yes", "No")</f>
        <v>#REF!</v>
      </c>
    </row>
    <row r="28" spans="1:13">
      <c r="A28" s="25">
        <v>900008426</v>
      </c>
      <c r="B28" s="26">
        <v>44844</v>
      </c>
      <c r="C28" s="27" t="s">
        <v>567</v>
      </c>
      <c r="D28" s="28" t="str">
        <f>IF(ISBLANK(B28), "Email",IF(ISNA(VLOOKUP(A28,'Master List'!A:C,3,FALSE)), "Not Found", VLOOKUP(A28,'Master List'!A:C,3,FALSE)))</f>
        <v>akilgard@sfsu.edu</v>
      </c>
      <c r="E28" s="29" t="s">
        <v>16</v>
      </c>
      <c r="G28" s="27"/>
      <c r="H28" s="26" t="s">
        <v>6265</v>
      </c>
      <c r="K28" s="26">
        <v>44845</v>
      </c>
      <c r="M28" s="30" t="e">
        <f>IF(AND(COUNTIF(#REF!, Returned_checkout!A5)=0, ISBLANK(K28)),"Yes", "No")</f>
        <v>#REF!</v>
      </c>
    </row>
    <row r="29" spans="1:13">
      <c r="A29" s="25">
        <v>900000483</v>
      </c>
      <c r="B29" s="26">
        <v>44845</v>
      </c>
      <c r="C29" s="27" t="s">
        <v>369</v>
      </c>
      <c r="D29" s="28" t="str">
        <f>IF(ISBLANK(B29), "Email",IF(ISNA(VLOOKUP(A29,'Master List'!A:C,3,FALSE)), "Not Found", VLOOKUP(A29,'Master List'!A:C,3,FALSE)))</f>
        <v>susangz@sfsu.edu</v>
      </c>
      <c r="E29" s="29" t="s">
        <v>35</v>
      </c>
      <c r="G29" s="27"/>
      <c r="H29" s="26">
        <v>44846</v>
      </c>
      <c r="I29" s="26"/>
      <c r="K29" s="26">
        <v>44846</v>
      </c>
      <c r="M29" s="30" t="e">
        <f>IF(AND(COUNTIF(#REF!, Returned_checkout!A118)=0, ISBLANK(K29)),"Yes", "No")</f>
        <v>#REF!</v>
      </c>
    </row>
    <row r="30" spans="1:13">
      <c r="A30" s="25">
        <v>900010415</v>
      </c>
      <c r="B30" s="26">
        <v>44830</v>
      </c>
      <c r="C30" s="27" t="s">
        <v>6266</v>
      </c>
      <c r="D30" s="28" t="str">
        <f>IF(ISBLANK(B30), "Email",IF(ISNA(VLOOKUP(A30,'Master List'!A:C,3,FALSE)), "Not Found", VLOOKUP(A30,'Master List'!A:C,3,FALSE)))</f>
        <v>danej@sfsu.edu</v>
      </c>
      <c r="E30" s="29" t="s">
        <v>35</v>
      </c>
      <c r="G30" s="27"/>
      <c r="H30" s="26" t="s">
        <v>124</v>
      </c>
      <c r="K30" s="26">
        <v>44847</v>
      </c>
      <c r="M30" s="30" t="e">
        <f>IF(AND(COUNTIF(#REF!, Returned_checkout!A33)=0, ISBLANK(K30)),"Yes", "No")</f>
        <v>#REF!</v>
      </c>
    </row>
    <row r="31" spans="1:13">
      <c r="A31" s="25">
        <v>906197869</v>
      </c>
      <c r="B31" s="26">
        <v>44851</v>
      </c>
      <c r="C31" s="27" t="s">
        <v>2107</v>
      </c>
      <c r="D31" s="28" t="str">
        <f>IF(ISBLANK(B31), "Email",IF(ISNA(VLOOKUP(A31,'Master List'!A:C,3,FALSE)), "Not Found", VLOOKUP(A31,'Master List'!A:C,3,FALSE)))</f>
        <v>jaronn@mail.sfsu.edu</v>
      </c>
      <c r="E31" s="29" t="s">
        <v>133</v>
      </c>
      <c r="G31" s="27" t="s">
        <v>6267</v>
      </c>
      <c r="H31" s="26" t="s">
        <v>6268</v>
      </c>
      <c r="J31" s="27" t="s">
        <v>66</v>
      </c>
      <c r="K31" s="26">
        <v>44851</v>
      </c>
      <c r="M31" s="30" t="e">
        <f>IF(AND(COUNTIF(#REF!, Returned_checkout!A54)=0, ISBLANK(K31)),"Yes", "No")</f>
        <v>#REF!</v>
      </c>
    </row>
    <row r="32" spans="1:13">
      <c r="A32" s="25">
        <v>904585453</v>
      </c>
      <c r="B32" s="26">
        <v>44851</v>
      </c>
      <c r="C32" s="27" t="s">
        <v>6269</v>
      </c>
      <c r="D32" s="28" t="str">
        <f>IF(ISBLANK(B32), "Email",IF(ISNA(VLOOKUP(A32,'Master List'!A:C,3,FALSE)), "Not Found", VLOOKUP(A32,'Master List'!A:C,3,FALSE)))</f>
        <v>tobin@sfsu.edu</v>
      </c>
      <c r="E32" s="29" t="s">
        <v>6262</v>
      </c>
      <c r="G32" s="27"/>
      <c r="H32" s="26" t="s">
        <v>6257</v>
      </c>
      <c r="J32" s="27" t="s">
        <v>66</v>
      </c>
      <c r="K32" s="26">
        <v>44851</v>
      </c>
      <c r="M32" s="30" t="e">
        <f>IF(AND(COUNTIF(#REF!, Returned_checkout!A88)=0, ISBLANK(K32)),"Yes", "No")</f>
        <v>#REF!</v>
      </c>
    </row>
    <row r="33" spans="1:13">
      <c r="A33" s="25">
        <v>907441085</v>
      </c>
      <c r="B33" s="26">
        <v>44847</v>
      </c>
      <c r="C33" s="27" t="s">
        <v>2281</v>
      </c>
      <c r="D33" s="28" t="str">
        <f>IF(ISBLANK(B33), "Email",IF(ISNA(VLOOKUP(A33,'Master List'!A:C,3,FALSE)), "Not Found", VLOOKUP(A33,'Master List'!A:C,3,FALSE)))</f>
        <v>crath@sfsu.edu</v>
      </c>
      <c r="E33" s="29" t="s">
        <v>35</v>
      </c>
      <c r="G33" s="27"/>
      <c r="H33" s="26" t="s">
        <v>6270</v>
      </c>
      <c r="K33" s="26">
        <v>44854</v>
      </c>
      <c r="M33" s="30" t="e">
        <f>IF(AND(COUNTIF(#REF!, Returned_checkout!A25)=0, ISBLANK(K33)),"Yes", "No")</f>
        <v>#REF!</v>
      </c>
    </row>
    <row r="34" spans="1:13">
      <c r="A34" s="25">
        <v>915848432</v>
      </c>
      <c r="B34" s="26">
        <v>44858</v>
      </c>
      <c r="C34" s="27" t="s">
        <v>3932</v>
      </c>
      <c r="D34" s="28" t="str">
        <f>IF(ISBLANK(B34), "Email",IF(ISNA(VLOOKUP(A34,'Master List'!A:C,3,FALSE)), "Not Found", VLOOKUP(A34,'Master List'!A:C,3,FALSE)))</f>
        <v>vfernandez3@sfsu.edu</v>
      </c>
      <c r="E34" s="29" t="s">
        <v>19</v>
      </c>
      <c r="G34" s="27"/>
      <c r="H34" s="26" t="s">
        <v>148</v>
      </c>
      <c r="K34" s="26">
        <v>44858</v>
      </c>
      <c r="M34" s="30" t="e">
        <f>IF(AND(COUNTIF(#REF!, Returned_checkout!A132)=0, ISBLANK(K34)),"Yes", "No")</f>
        <v>#REF!</v>
      </c>
    </row>
    <row r="35" spans="1:13">
      <c r="A35" s="25">
        <v>918118557</v>
      </c>
      <c r="B35" s="26">
        <v>44854</v>
      </c>
      <c r="C35" s="27" t="s">
        <v>4626</v>
      </c>
      <c r="D35" s="28" t="str">
        <f>IF(ISBLANK(B35), "Email",IF(ISNA(VLOOKUP(A35,'Master List'!A:C,3,FALSE)), "Not Found", VLOOKUP(A35,'Master List'!A:C,3,FALSE)))</f>
        <v>Eramirezsoto@sfsu.edu</v>
      </c>
      <c r="E35" s="29" t="s">
        <v>20</v>
      </c>
      <c r="G35" s="27"/>
      <c r="H35" s="26" t="s">
        <v>6271</v>
      </c>
      <c r="K35" s="26">
        <v>44861</v>
      </c>
      <c r="M35" s="30" t="e">
        <f>IF(AND(COUNTIF(#REF!, Returned_checkout!A42)=0, ISBLANK(K35)),"Yes", "No")</f>
        <v>#REF!</v>
      </c>
    </row>
    <row r="36" spans="1:13">
      <c r="A36" s="25">
        <v>922230410</v>
      </c>
      <c r="B36" s="26">
        <v>44865</v>
      </c>
      <c r="C36" s="27" t="s">
        <v>5668</v>
      </c>
      <c r="D36" s="28" t="str">
        <f>IF(ISBLANK(B36), "Email",IF(ISNA(VLOOKUP(A36,'Master List'!A:C,3,FALSE)), "Not Found", VLOOKUP(A36,'Master List'!A:C,3,FALSE)))</f>
        <v>ksareen@sfsu.edu</v>
      </c>
      <c r="E36" s="29" t="s">
        <v>19</v>
      </c>
      <c r="G36" s="27"/>
      <c r="K36" s="26">
        <v>44865</v>
      </c>
      <c r="M36" s="30" t="e">
        <f>IF(AND(COUNTIF(#REF!, Returned_checkout!A82)=0, ISBLANK(K36)),"Yes", "No")</f>
        <v>#REF!</v>
      </c>
    </row>
    <row r="37" spans="1:13">
      <c r="A37" s="25">
        <v>918833999</v>
      </c>
      <c r="B37" s="26">
        <v>44858</v>
      </c>
      <c r="C37" s="27" t="s">
        <v>4956</v>
      </c>
      <c r="D37" s="28" t="str">
        <f>IF(ISBLANK(B37), "Email",IF(ISNA(VLOOKUP(A37,'Master List'!A:C,3,FALSE)), "Not Found", VLOOKUP(A37,'Master List'!A:C,3,FALSE)))</f>
        <v>davidhurwich@sfsu.edu</v>
      </c>
      <c r="E37" s="29" t="s">
        <v>133</v>
      </c>
      <c r="G37" s="27" t="s">
        <v>6272</v>
      </c>
      <c r="H37" s="26" t="s">
        <v>6273</v>
      </c>
      <c r="J37" s="27" t="s">
        <v>66</v>
      </c>
      <c r="K37" s="26">
        <v>44866</v>
      </c>
      <c r="L37" s="27" t="s">
        <v>6274</v>
      </c>
      <c r="M37" s="30" t="e">
        <f>IF(AND(COUNTIF(#REF!, Returned_checkout!A36)=0, ISBLANK(K37)),"Yes", "No")</f>
        <v>#REF!</v>
      </c>
    </row>
    <row r="38" spans="1:13">
      <c r="A38" s="25">
        <v>903114854</v>
      </c>
      <c r="B38" s="26">
        <v>44866</v>
      </c>
      <c r="C38" s="27" t="s">
        <v>1717</v>
      </c>
      <c r="D38" s="28" t="str">
        <f>IF(ISBLANK(B38), "Email",IF(ISNA(VLOOKUP(A38,'Master List'!A:C,3,FALSE)), "Not Found", VLOOKUP(A38,'Master List'!A:C,3,FALSE)))</f>
        <v>gus1492@sfsu.edu</v>
      </c>
      <c r="E38" s="29" t="s">
        <v>140</v>
      </c>
      <c r="G38" s="27" t="s">
        <v>6275</v>
      </c>
      <c r="H38" s="26" t="s">
        <v>6276</v>
      </c>
      <c r="K38" s="26">
        <v>44868</v>
      </c>
      <c r="M38" s="30" t="e">
        <f>IF(AND(COUNTIF(#REF!, Returned_checkout!A52)=0, ISBLANK(K38)),"Yes", "No")</f>
        <v>#REF!</v>
      </c>
    </row>
    <row r="39" spans="1:13">
      <c r="A39" s="25">
        <v>900034920</v>
      </c>
      <c r="B39" s="26">
        <v>44868</v>
      </c>
      <c r="C39" s="27" t="s">
        <v>1090</v>
      </c>
      <c r="D39" s="28" t="str">
        <f>IF(ISBLANK(B39), "Email",IF(ISNA(VLOOKUP(A39,'Master List'!A:C,3,FALSE)), "Not Found", VLOOKUP(A39,'Master List'!A:C,3,FALSE)))</f>
        <v>davila@sfsu.edu</v>
      </c>
      <c r="E39" s="29" t="s">
        <v>19</v>
      </c>
      <c r="G39" s="27"/>
      <c r="K39" s="26">
        <v>44868</v>
      </c>
      <c r="M39" s="30" t="e">
        <f>IF(AND(COUNTIF(#REF!, Returned_checkout!A19)=0, ISBLANK(K39)),"Yes", "No")</f>
        <v>#REF!</v>
      </c>
    </row>
    <row r="40" spans="1:13">
      <c r="A40" s="25">
        <v>911398493</v>
      </c>
      <c r="B40" s="26">
        <v>44867</v>
      </c>
      <c r="C40" s="27" t="s">
        <v>3170</v>
      </c>
      <c r="D40" s="28" t="str">
        <f>IF(ISBLANK(B40), "Email",IF(ISNA(VLOOKUP(A40,'Master List'!A:C,3,FALSE)), "Not Found", VLOOKUP(A40,'Master List'!A:C,3,FALSE)))</f>
        <v>cfinley@sfsu.edu</v>
      </c>
      <c r="E40" s="29" t="s">
        <v>19</v>
      </c>
      <c r="G40" s="27"/>
      <c r="H40" s="26" t="s">
        <v>124</v>
      </c>
      <c r="K40" s="26">
        <v>44872</v>
      </c>
      <c r="M40" s="30" t="e">
        <f>IF(AND(COUNTIF(#REF!, Returned_checkout!A26)=0, ISBLANK(K40)),"Yes", "No")</f>
        <v>#REF!</v>
      </c>
    </row>
    <row r="41" spans="1:13">
      <c r="A41" s="25">
        <v>922230410</v>
      </c>
      <c r="B41" s="26">
        <v>44872</v>
      </c>
      <c r="C41" s="27" t="s">
        <v>5668</v>
      </c>
      <c r="D41" s="28" t="str">
        <f>IF(ISBLANK(B41), "Email",IF(ISNA(VLOOKUP(A41,'Master List'!A:C,3,FALSE)), "Not Found", VLOOKUP(A41,'Master List'!A:C,3,FALSE)))</f>
        <v>ksareen@sfsu.edu</v>
      </c>
      <c r="E41" s="29" t="s">
        <v>19</v>
      </c>
      <c r="G41" s="27"/>
      <c r="H41" s="26">
        <v>44872</v>
      </c>
      <c r="I41" s="38"/>
      <c r="K41" s="26">
        <v>44872</v>
      </c>
      <c r="M41" s="30" t="e">
        <f>IF(AND(COUNTIF(#REF!, Returned_checkout!A83)=0, ISBLANK(K41)),"Yes", "No")</f>
        <v>#REF!</v>
      </c>
    </row>
    <row r="42" spans="1:13">
      <c r="A42" s="25">
        <v>918103087</v>
      </c>
      <c r="B42" s="26">
        <v>44872</v>
      </c>
      <c r="C42" s="27" t="s">
        <v>4572</v>
      </c>
      <c r="D42" s="28" t="str">
        <f>IF(ISBLANK(B42), "Email",IF(ISNA(VLOOKUP(A42,'Master List'!A:C,3,FALSE)), "Not Found", VLOOKUP(A42,'Master List'!A:C,3,FALSE)))</f>
        <v>ryansmith@sfsu.edu</v>
      </c>
      <c r="E42" s="29" t="s">
        <v>28</v>
      </c>
      <c r="G42" s="27" t="s">
        <v>6277</v>
      </c>
      <c r="H42" s="26">
        <v>44873</v>
      </c>
      <c r="I42" s="38" t="s">
        <v>66</v>
      </c>
      <c r="J42" s="27" t="s">
        <v>66</v>
      </c>
      <c r="K42" s="26">
        <v>44873</v>
      </c>
      <c r="M42" s="30" t="e">
        <f>IF(AND(COUNTIF(#REF!, Returned_checkout!A110)=0, ISBLANK(K42)),"Yes", "No")</f>
        <v>#REF!</v>
      </c>
    </row>
    <row r="43" spans="1:13">
      <c r="A43" s="25">
        <v>917243150</v>
      </c>
      <c r="B43" s="26">
        <v>44873</v>
      </c>
      <c r="C43" s="33" t="s">
        <v>4356</v>
      </c>
      <c r="D43" s="28" t="str">
        <f>IF(ISBLANK(B43), "Email",IF(ISNA(VLOOKUP(A43,'Master List'!A:C,3,FALSE)), "Not Found", VLOOKUP(A43,'Master List'!A:C,3,FALSE)))</f>
        <v>rhayduk@sfsu.edu</v>
      </c>
      <c r="E43" s="29" t="s">
        <v>19</v>
      </c>
      <c r="G43" s="27"/>
      <c r="H43" s="26" t="s">
        <v>134</v>
      </c>
      <c r="I43" s="27" t="s">
        <v>54</v>
      </c>
      <c r="J43" s="27" t="s">
        <v>54</v>
      </c>
      <c r="K43" s="26">
        <v>44873</v>
      </c>
      <c r="M43" s="30" t="e">
        <f>IF(AND(COUNTIF(#REF!, Returned_checkout!A109)=0, ISBLANK(K43)),"Yes", "No")</f>
        <v>#REF!</v>
      </c>
    </row>
    <row r="44" spans="1:13">
      <c r="A44" s="25">
        <v>900000249</v>
      </c>
      <c r="B44" s="26">
        <v>44867</v>
      </c>
      <c r="C44" s="27" t="s">
        <v>6278</v>
      </c>
      <c r="D44" s="28" t="str">
        <f>IF(ISBLANK(B44), "Email",IF(ISNA(VLOOKUP(A44,'Master List'!A:C,3,FALSE)), "Not Found", VLOOKUP(A44,'Master List'!A:C,3,FALSE)))</f>
        <v>tholton@sfsu.edu</v>
      </c>
      <c r="E44" s="29" t="s">
        <v>105</v>
      </c>
      <c r="G44" s="27"/>
      <c r="H44" s="26" t="s">
        <v>125</v>
      </c>
      <c r="K44" s="26">
        <v>44874</v>
      </c>
      <c r="M44" s="30" t="e">
        <f>IF(AND(COUNTIF(#REF!, Returned_checkout!A119)=0, ISBLANK(K44)),"Yes", "No")</f>
        <v>#REF!</v>
      </c>
    </row>
    <row r="45" spans="1:13">
      <c r="A45" s="25">
        <v>918328884</v>
      </c>
      <c r="B45" s="26">
        <v>44874</v>
      </c>
      <c r="C45" s="27" t="s">
        <v>4668</v>
      </c>
      <c r="D45" s="28" t="str">
        <f>IF(ISBLANK(B45), "Email",IF(ISNA(VLOOKUP(A45,'Master List'!A:C,3,FALSE)), "Not Found", VLOOKUP(A45,'Master List'!A:C,3,FALSE)))</f>
        <v>malowdi@mail.sfsu.edu</v>
      </c>
      <c r="E45" s="29" t="s">
        <v>19</v>
      </c>
      <c r="G45" s="27"/>
      <c r="H45" s="26">
        <v>44874</v>
      </c>
      <c r="K45" s="26">
        <v>44875</v>
      </c>
      <c r="M45" s="30" t="e">
        <f>IF(AND(COUNTIF(#REF!, Returned_checkout!A94)=0, ISBLANK(K45)),"Yes", "No")</f>
        <v>#REF!</v>
      </c>
    </row>
    <row r="46" spans="1:13">
      <c r="A46" s="25">
        <v>900010415</v>
      </c>
      <c r="B46" s="26">
        <v>44872</v>
      </c>
      <c r="C46" s="27" t="s">
        <v>617</v>
      </c>
      <c r="D46" s="28" t="str">
        <f>IF(ISBLANK(B46), "Email",IF(ISNA(VLOOKUP(A46,'Master List'!A:C,3,FALSE)), "Not Found", VLOOKUP(A46,'Master List'!A:C,3,FALSE)))</f>
        <v>danej@sfsu.edu</v>
      </c>
      <c r="E46" s="29" t="s">
        <v>35</v>
      </c>
      <c r="G46" s="27" t="s">
        <v>6279</v>
      </c>
      <c r="H46" s="26">
        <v>44874</v>
      </c>
      <c r="I46" s="38"/>
      <c r="J46" s="27" t="s">
        <v>70</v>
      </c>
      <c r="K46" s="26">
        <v>44879</v>
      </c>
      <c r="M46" s="30" t="e">
        <f>IF(AND(COUNTIF(#REF!, Returned_checkout!A32)=0, ISBLANK(K46)),"Yes", "No")</f>
        <v>#REF!</v>
      </c>
    </row>
    <row r="47" spans="1:13">
      <c r="A47" s="25">
        <v>900032307</v>
      </c>
      <c r="B47" s="26">
        <v>44874</v>
      </c>
      <c r="C47" s="27" t="s">
        <v>1052</v>
      </c>
      <c r="D47" s="28" t="str">
        <f>IF(ISBLANK(B47), "Email",IF(ISNA(VLOOKUP(A47,'Master List'!A:C,3,FALSE)), "Not Found", VLOOKUP(A47,'Master List'!A:C,3,FALSE)))</f>
        <v>kirks@sfsu.edu</v>
      </c>
      <c r="E47" s="29" t="s">
        <v>140</v>
      </c>
      <c r="G47" s="27"/>
      <c r="H47" s="26" t="s">
        <v>6280</v>
      </c>
      <c r="I47" s="27" t="s">
        <v>52</v>
      </c>
      <c r="J47" s="27" t="s">
        <v>52</v>
      </c>
      <c r="K47" s="26">
        <v>44879</v>
      </c>
      <c r="M47" s="30" t="e">
        <f>IF(AND(COUNTIF(#REF!, Returned_checkout!A77)=0, ISBLANK(K47)),"Yes", "No")</f>
        <v>#REF!</v>
      </c>
    </row>
    <row r="48" spans="1:13">
      <c r="A48" s="25">
        <v>906197869</v>
      </c>
      <c r="B48" s="26">
        <v>44879</v>
      </c>
      <c r="C48" s="27" t="s">
        <v>6281</v>
      </c>
      <c r="D48" s="28" t="str">
        <f>IF(ISBLANK(B48), "Email",IF(ISNA(VLOOKUP(A48,'Master List'!A:C,3,FALSE)), "Not Found", VLOOKUP(A48,'Master List'!A:C,3,FALSE)))</f>
        <v>jaronn@mail.sfsu.edu</v>
      </c>
      <c r="E48" s="29" t="s">
        <v>16</v>
      </c>
      <c r="G48" s="27"/>
      <c r="H48" s="26" t="s">
        <v>6282</v>
      </c>
      <c r="I48" s="27" t="s">
        <v>55</v>
      </c>
      <c r="J48" s="27" t="s">
        <v>55</v>
      </c>
      <c r="K48" s="26">
        <v>44879</v>
      </c>
      <c r="M48" s="30" t="e">
        <f>IF(AND(COUNTIF(#REF!, Returned_checkout!A55)=0, ISBLANK(K48)),"Yes", "No")</f>
        <v>#REF!</v>
      </c>
    </row>
    <row r="49" spans="1:13">
      <c r="A49" s="25">
        <v>915848432</v>
      </c>
      <c r="B49" s="26">
        <v>44879</v>
      </c>
      <c r="C49" s="27" t="s">
        <v>6283</v>
      </c>
      <c r="D49" s="28" t="str">
        <f>IF(ISBLANK(B49), "Email",IF(ISNA(VLOOKUP(A49,'Master List'!A:C,3,FALSE)), "Not Found", VLOOKUP(A49,'Master List'!A:C,3,FALSE)))</f>
        <v>vfernandez3@sfsu.edu</v>
      </c>
      <c r="E49" s="29" t="s">
        <v>19</v>
      </c>
      <c r="G49" s="27"/>
      <c r="H49" s="26" t="s">
        <v>6284</v>
      </c>
      <c r="I49" s="27" t="s">
        <v>56</v>
      </c>
      <c r="J49" s="27" t="s">
        <v>52</v>
      </c>
      <c r="K49" s="26">
        <v>44879</v>
      </c>
      <c r="M49" s="30" t="e">
        <f>IF(AND(COUNTIF(#REF!, Returned_checkout!A133)=0, ISBLANK(K49)),"Yes", "No")</f>
        <v>#REF!</v>
      </c>
    </row>
    <row r="50" spans="1:13">
      <c r="A50" s="25">
        <v>905538964</v>
      </c>
      <c r="B50" s="26">
        <v>44879</v>
      </c>
      <c r="C50" s="27" t="s">
        <v>2043</v>
      </c>
      <c r="D50" s="28" t="str">
        <f>IF(ISBLANK(B50), "Email",IF(ISNA(VLOOKUP(A50,'Master List'!A:C,3,FALSE)), "Not Found", VLOOKUP(A50,'Master List'!A:C,3,FALSE)))</f>
        <v>wang@sfsu.edu</v>
      </c>
      <c r="E50" s="29" t="s">
        <v>19</v>
      </c>
      <c r="G50" s="27"/>
      <c r="H50" s="26" t="s">
        <v>6284</v>
      </c>
      <c r="I50" s="27" t="s">
        <v>70</v>
      </c>
      <c r="J50" s="27" t="s">
        <v>70</v>
      </c>
      <c r="K50" s="26">
        <v>44879</v>
      </c>
      <c r="M50" s="30" t="e">
        <f>IF(AND(COUNTIF(#REF!, Returned_checkout!A8)=0, ISBLANK(K50)),"Yes", "No")</f>
        <v>#REF!</v>
      </c>
    </row>
    <row r="51" spans="1:13">
      <c r="A51" s="25">
        <v>921406197</v>
      </c>
      <c r="B51" s="26">
        <v>44879</v>
      </c>
      <c r="C51" s="27" t="s">
        <v>5592</v>
      </c>
      <c r="D51" s="28" t="str">
        <f>IF(ISBLANK(B51), "Email",IF(ISNA(VLOOKUP(A51,'Master List'!A:C,3,FALSE)), "Not Found", VLOOKUP(A51,'Master List'!A:C,3,FALSE)))</f>
        <v>cpascua@sfsu.edu</v>
      </c>
      <c r="E51" s="29" t="s">
        <v>20</v>
      </c>
      <c r="G51" s="27"/>
      <c r="H51" s="26" t="s">
        <v>6284</v>
      </c>
      <c r="I51" s="27" t="s">
        <v>70</v>
      </c>
      <c r="J51" s="27" t="s">
        <v>53</v>
      </c>
      <c r="K51" s="26">
        <v>44879</v>
      </c>
      <c r="M51" s="30" t="e">
        <f>IF(AND(COUNTIF(#REF!, Returned_checkout!A28)=0, ISBLANK(K51)),"Yes", "No")</f>
        <v>#REF!</v>
      </c>
    </row>
    <row r="52" spans="1:13">
      <c r="A52" s="25">
        <v>922230410</v>
      </c>
      <c r="B52" s="26">
        <v>44879</v>
      </c>
      <c r="C52" s="27" t="s">
        <v>5668</v>
      </c>
      <c r="D52" s="28" t="str">
        <f>IF(ISBLANK(B52), "Email",IF(ISNA(VLOOKUP(A52,'Master List'!A:C,3,FALSE)), "Not Found", VLOOKUP(A52,'Master List'!A:C,3,FALSE)))</f>
        <v>ksareen@sfsu.edu</v>
      </c>
      <c r="E52" s="29" t="s">
        <v>19</v>
      </c>
      <c r="G52" s="27"/>
      <c r="H52" s="26" t="s">
        <v>6284</v>
      </c>
      <c r="I52" s="27" t="s">
        <v>56</v>
      </c>
      <c r="J52" s="27" t="s">
        <v>56</v>
      </c>
      <c r="K52" s="26">
        <v>44879</v>
      </c>
      <c r="M52" s="30" t="e">
        <f>IF(AND(COUNTIF(#REF!, Returned_checkout!A84)=0, ISBLANK(K52)),"Yes", "No")</f>
        <v>#REF!</v>
      </c>
    </row>
    <row r="53" spans="1:13">
      <c r="A53" s="25">
        <v>900035518</v>
      </c>
      <c r="B53" s="26">
        <v>44868</v>
      </c>
      <c r="C53" s="27" t="s">
        <v>1100</v>
      </c>
      <c r="D53" s="28" t="str">
        <f>IF(ISBLANK(B53), "Email",IF(ISNA(VLOOKUP(A53,'Master List'!A:C,3,FALSE)), "Not Found", VLOOKUP(A53,'Master List'!A:C,3,FALSE)))</f>
        <v>sengupta@sfsu.edu</v>
      </c>
      <c r="E53" s="29" t="s">
        <v>175</v>
      </c>
      <c r="G53" s="27"/>
      <c r="H53" s="26" t="s">
        <v>124</v>
      </c>
      <c r="K53" s="26">
        <v>44880</v>
      </c>
      <c r="M53" s="30" t="e">
        <f>IF(AND(COUNTIF(#REF!, Returned_checkout!A111)=0, ISBLANK(K53)),"Yes", "No")</f>
        <v>#REF!</v>
      </c>
    </row>
    <row r="54" spans="1:13">
      <c r="A54" s="25">
        <v>908101043</v>
      </c>
      <c r="B54" s="26">
        <v>44880</v>
      </c>
      <c r="C54" s="27" t="s">
        <v>2397</v>
      </c>
      <c r="D54" s="28" t="str">
        <f>IF(ISBLANK(B54), "Email",IF(ISNA(VLOOKUP(A54,'Master List'!A:C,3,FALSE)), "Not Found", VLOOKUP(A54,'Master List'!A:C,3,FALSE)))</f>
        <v>bblack@mail.sfsu.edu</v>
      </c>
      <c r="E54" s="27" t="s">
        <v>14</v>
      </c>
      <c r="F54" s="27"/>
      <c r="G54" s="27" t="s">
        <v>6285</v>
      </c>
      <c r="H54" s="26" t="s">
        <v>134</v>
      </c>
      <c r="I54" s="27" t="s">
        <v>70</v>
      </c>
      <c r="J54" s="27" t="s">
        <v>56</v>
      </c>
      <c r="K54" s="26">
        <v>44880</v>
      </c>
      <c r="M54" s="30" t="e">
        <f>IF(AND(COUNTIF(#REF!, Returned_checkout!A16)=0, ISBLANK(K54)),"Yes", "No")</f>
        <v>#REF!</v>
      </c>
    </row>
    <row r="55" spans="1:13">
      <c r="A55" s="25">
        <v>918841084</v>
      </c>
      <c r="B55" s="26">
        <v>44880</v>
      </c>
      <c r="C55" s="27" t="s">
        <v>6286</v>
      </c>
      <c r="D55" s="28" t="str">
        <f>IF(ISBLANK(B55), "Email",IF(ISNA(VLOOKUP(A55,'Master List'!A:C,3,FALSE)), "Not Found", VLOOKUP(A55,'Master List'!A:C,3,FALSE)))</f>
        <v>ewbethel@sfsu.edu</v>
      </c>
      <c r="E55" s="29" t="s">
        <v>19</v>
      </c>
      <c r="G55" s="27"/>
      <c r="H55" s="26" t="s">
        <v>6287</v>
      </c>
      <c r="I55" s="27" t="s">
        <v>56</v>
      </c>
      <c r="J55" s="27" t="s">
        <v>56</v>
      </c>
      <c r="K55" s="26">
        <v>44880</v>
      </c>
      <c r="M55" s="30" t="e">
        <f>IF(AND(COUNTIF(#REF!, Returned_checkout!A41)=0, ISBLANK(K55)),"Yes", "No")</f>
        <v>#REF!</v>
      </c>
    </row>
    <row r="56" spans="1:13">
      <c r="A56" s="25">
        <v>900046555</v>
      </c>
      <c r="B56" s="26">
        <v>44880</v>
      </c>
      <c r="C56" s="27" t="s">
        <v>6288</v>
      </c>
      <c r="D56" s="28" t="str">
        <f>IF(ISBLANK(B56), "Email",IF(ISNA(VLOOKUP(A56,'Master List'!A:C,3,FALSE)), "Not Found", VLOOKUP(A56,'Master List'!A:C,3,FALSE)))</f>
        <v>tthai@sfsu.edu</v>
      </c>
      <c r="E56" s="29" t="s">
        <v>105</v>
      </c>
      <c r="G56" s="27"/>
      <c r="H56" s="26" t="s">
        <v>134</v>
      </c>
      <c r="I56" s="27" t="s">
        <v>70</v>
      </c>
      <c r="J56" s="27" t="s">
        <v>54</v>
      </c>
      <c r="K56" s="26">
        <v>44880</v>
      </c>
      <c r="M56" s="30" t="e">
        <f>IF(AND(COUNTIF(#REF!, Returned_checkout!A125)=0, ISBLANK(K56)),"Yes", "No")</f>
        <v>#REF!</v>
      </c>
    </row>
    <row r="57" spans="1:13">
      <c r="A57" s="25">
        <v>922230410</v>
      </c>
      <c r="B57" s="26">
        <v>44881</v>
      </c>
      <c r="C57" s="27" t="s">
        <v>5668</v>
      </c>
      <c r="D57" s="28" t="str">
        <f>IF(ISBLANK(B57), "Email",IF(ISNA(VLOOKUP(A57,'Master List'!A:C,3,FALSE)), "Not Found", VLOOKUP(A57,'Master List'!A:C,3,FALSE)))</f>
        <v>ksareen@sfsu.edu</v>
      </c>
      <c r="E57" s="29" t="s">
        <v>19</v>
      </c>
      <c r="G57" s="27"/>
      <c r="H57" s="26" t="s">
        <v>134</v>
      </c>
      <c r="I57" s="27" t="s">
        <v>56</v>
      </c>
      <c r="K57" s="26">
        <v>44880</v>
      </c>
      <c r="M57" s="30" t="e">
        <f>IF(AND(COUNTIF(#REF!, Returned_checkout!A85)=0, ISBLANK(K57)),"Yes", "No")</f>
        <v>#REF!</v>
      </c>
    </row>
    <row r="58" spans="1:13">
      <c r="A58" s="25">
        <v>913786515</v>
      </c>
      <c r="B58" s="26">
        <v>44880</v>
      </c>
      <c r="C58" s="27" t="s">
        <v>3676</v>
      </c>
      <c r="D58" s="28" t="str">
        <f>IF(ISBLANK(B58), "Email",IF(ISNA(VLOOKUP(A58,'Master List'!A:C,3,FALSE)), "Not Found", VLOOKUP(A58,'Master List'!A:C,3,FALSE)))</f>
        <v>gabe2ro@sfsu.edu</v>
      </c>
      <c r="E58" s="29" t="s">
        <v>36</v>
      </c>
      <c r="G58" s="27"/>
      <c r="H58" s="26" t="s">
        <v>6289</v>
      </c>
      <c r="J58" s="27" t="s">
        <v>61</v>
      </c>
      <c r="K58" s="26">
        <v>44880</v>
      </c>
      <c r="M58" s="30" t="e">
        <f>IF(AND(COUNTIF(#REF!, Returned_checkout!A108)=0, ISBLANK(K58)),"Yes", "No")</f>
        <v>#REF!</v>
      </c>
    </row>
    <row r="59" spans="1:13">
      <c r="A59" s="25">
        <v>917241317</v>
      </c>
      <c r="B59" s="26">
        <v>44879</v>
      </c>
      <c r="C59" s="27" t="s">
        <v>4328</v>
      </c>
      <c r="D59" s="28" t="str">
        <f>IF(ISBLANK(B59), "Email",IF(ISNA(VLOOKUP(A59,'Master List'!A:C,3,FALSE)), "Not Found", VLOOKUP(A59,'Master List'!A:C,3,FALSE)))</f>
        <v>sousanis@sfsu.edu</v>
      </c>
      <c r="E59" s="29" t="s">
        <v>89</v>
      </c>
      <c r="G59" s="27"/>
      <c r="H59" s="26" t="s">
        <v>6290</v>
      </c>
      <c r="I59" s="27" t="s">
        <v>6291</v>
      </c>
      <c r="J59" s="27" t="s">
        <v>55</v>
      </c>
      <c r="K59" s="26">
        <v>44881</v>
      </c>
      <c r="M59" s="30" t="e">
        <f>IF(AND(COUNTIF(#REF!, Returned_checkout!A100)=0, ISBLANK(K59)),"Yes", "No")</f>
        <v>#REF!</v>
      </c>
    </row>
    <row r="60" spans="1:13">
      <c r="A60" s="25">
        <v>917241317</v>
      </c>
      <c r="B60" s="26">
        <v>44879</v>
      </c>
      <c r="C60" s="27" t="s">
        <v>4328</v>
      </c>
      <c r="D60" s="28" t="str">
        <f>IF(ISBLANK(B60), "Email",IF(ISNA(VLOOKUP(A60,'Master List'!A:C,3,FALSE)), "Not Found", VLOOKUP(A60,'Master List'!A:C,3,FALSE)))</f>
        <v>sousanis@sfsu.edu</v>
      </c>
      <c r="E60" s="29" t="s">
        <v>89</v>
      </c>
      <c r="G60" s="27"/>
      <c r="H60" s="26" t="s">
        <v>6292</v>
      </c>
      <c r="I60" s="27" t="s">
        <v>60</v>
      </c>
      <c r="J60" s="27" t="s">
        <v>55</v>
      </c>
      <c r="K60" s="26">
        <v>44881</v>
      </c>
      <c r="M60" s="30" t="e">
        <f>IF(AND(COUNTIF(#REF!, Returned_checkout!A101)=0, ISBLANK(K60)),"Yes", "No")</f>
        <v>#REF!</v>
      </c>
    </row>
    <row r="61" spans="1:13">
      <c r="A61" s="25">
        <v>921202929</v>
      </c>
      <c r="B61" s="26">
        <v>44881</v>
      </c>
      <c r="C61" s="27" t="s">
        <v>5578</v>
      </c>
      <c r="D61" s="28" t="str">
        <f>IF(ISBLANK(B61), "Email",IF(ISNA(VLOOKUP(A61,'Master List'!A:C,3,FALSE)), "Not Found", VLOOKUP(A61,'Master List'!A:C,3,FALSE)))</f>
        <v>awong38@mail.sfsu.edu</v>
      </c>
      <c r="E61" s="29" t="s">
        <v>19</v>
      </c>
      <c r="G61" s="27"/>
      <c r="H61" s="26" t="s">
        <v>136</v>
      </c>
      <c r="I61" s="27" t="s">
        <v>49</v>
      </c>
      <c r="J61" s="27" t="s">
        <v>49</v>
      </c>
      <c r="K61" s="26">
        <v>44881</v>
      </c>
      <c r="M61" s="30" t="e">
        <f>IF(AND(COUNTIF(#REF!, Returned_checkout!A13)=0, ISBLANK(K61)),"Yes", "No")</f>
        <v>#REF!</v>
      </c>
    </row>
    <row r="62" spans="1:13">
      <c r="A62" s="25">
        <v>918842436</v>
      </c>
      <c r="B62" s="26">
        <v>44883</v>
      </c>
      <c r="C62" s="27" t="s">
        <v>5170</v>
      </c>
      <c r="D62" s="28" t="str">
        <f>IF(ISBLANK(B62), "Email",IF(ISNA(VLOOKUP(A62,'Master List'!A:C,3,FALSE)), "Not Found", VLOOKUP(A62,'Master List'!A:C,3,FALSE)))</f>
        <v>stonejh@sfsu.edu</v>
      </c>
      <c r="E62" s="29" t="s">
        <v>36</v>
      </c>
      <c r="G62" s="27"/>
      <c r="H62" s="26" t="s">
        <v>149</v>
      </c>
      <c r="I62" s="27" t="s">
        <v>47</v>
      </c>
      <c r="J62" s="27" t="s">
        <v>61</v>
      </c>
      <c r="K62" s="26">
        <v>44883</v>
      </c>
      <c r="M62" s="30" t="e">
        <f>IF(AND(COUNTIF(#REF!, Returned_checkout!A57)=0, ISBLANK(K62)),"Yes", "No")</f>
        <v>#REF!</v>
      </c>
    </row>
    <row r="63" spans="1:13">
      <c r="A63" s="25">
        <v>918842436</v>
      </c>
      <c r="B63" s="26">
        <v>44883</v>
      </c>
      <c r="C63" s="27" t="s">
        <v>5170</v>
      </c>
      <c r="D63" s="28" t="str">
        <f>IF(ISBLANK(B63), "Email",IF(ISNA(VLOOKUP(A63,'Master List'!A:C,3,FALSE)), "Not Found", VLOOKUP(A63,'Master List'!A:C,3,FALSE)))</f>
        <v>stonejh@sfsu.edu</v>
      </c>
      <c r="E63" s="29" t="s">
        <v>30</v>
      </c>
      <c r="G63" s="27"/>
      <c r="H63" s="26" t="s">
        <v>149</v>
      </c>
      <c r="I63" s="27" t="s">
        <v>47</v>
      </c>
      <c r="J63" s="27" t="s">
        <v>61</v>
      </c>
      <c r="K63" s="26">
        <v>44883</v>
      </c>
      <c r="M63" s="30" t="e">
        <f>IF(AND(COUNTIF(#REF!, Returned_checkout!A58)=0, ISBLANK(K63)),"Yes", "No")</f>
        <v>#REF!</v>
      </c>
    </row>
    <row r="64" spans="1:13">
      <c r="A64" s="25">
        <v>918842436</v>
      </c>
      <c r="B64" s="26">
        <v>44883</v>
      </c>
      <c r="C64" s="27" t="s">
        <v>5170</v>
      </c>
      <c r="D64" s="28" t="str">
        <f>IF(ISBLANK(B64), "Email",IF(ISNA(VLOOKUP(A64,'Master List'!A:C,3,FALSE)), "Not Found", VLOOKUP(A64,'Master List'!A:C,3,FALSE)))</f>
        <v>stonejh@sfsu.edu</v>
      </c>
      <c r="E64" s="29" t="s">
        <v>64</v>
      </c>
      <c r="G64" s="27"/>
      <c r="H64" s="26" t="s">
        <v>149</v>
      </c>
      <c r="I64" s="27" t="s">
        <v>47</v>
      </c>
      <c r="J64" s="27" t="s">
        <v>61</v>
      </c>
      <c r="K64" s="26">
        <v>44883</v>
      </c>
      <c r="M64" s="30" t="e">
        <f>IF(AND(COUNTIF(#REF!, Returned_checkout!A59)=0, ISBLANK(K64)),"Yes", "No")</f>
        <v>#REF!</v>
      </c>
    </row>
    <row r="65" spans="1:13">
      <c r="A65" s="25">
        <v>918842436</v>
      </c>
      <c r="B65" s="26">
        <v>44883</v>
      </c>
      <c r="C65" s="27" t="s">
        <v>5170</v>
      </c>
      <c r="D65" s="28" t="str">
        <f>IF(ISBLANK(B65), "Email",IF(ISNA(VLOOKUP(A65,'Master List'!A:C,3,FALSE)), "Not Found", VLOOKUP(A65,'Master List'!A:C,3,FALSE)))</f>
        <v>stonejh@sfsu.edu</v>
      </c>
      <c r="E65" s="29" t="s">
        <v>24</v>
      </c>
      <c r="G65" s="27"/>
      <c r="H65" s="26" t="s">
        <v>149</v>
      </c>
      <c r="I65" s="27" t="s">
        <v>47</v>
      </c>
      <c r="J65" s="27" t="s">
        <v>61</v>
      </c>
      <c r="K65" s="26">
        <v>44883</v>
      </c>
      <c r="M65" s="30" t="e">
        <f>IF(AND(COUNTIF(#REF!, Returned_checkout!A60)=0, ISBLANK(K65)),"Yes", "No")</f>
        <v>#REF!</v>
      </c>
    </row>
    <row r="66" spans="1:13">
      <c r="A66" s="25">
        <v>900388260</v>
      </c>
      <c r="B66" s="26">
        <v>44884</v>
      </c>
      <c r="C66" s="27" t="s">
        <v>1406</v>
      </c>
      <c r="D66" s="28" t="str">
        <f>IF(ISBLANK(B66), "Email",IF(ISNA(VLOOKUP(A66,'Master List'!A:C,3,FALSE)), "Not Found", VLOOKUP(A66,'Master List'!A:C,3,FALSE)))</f>
        <v>englande@sfsu.edu</v>
      </c>
      <c r="E66" s="29" t="s">
        <v>20</v>
      </c>
      <c r="G66" s="27"/>
      <c r="H66" s="26" t="s">
        <v>14</v>
      </c>
      <c r="I66" s="27" t="s">
        <v>14</v>
      </c>
      <c r="K66" s="26">
        <v>44883</v>
      </c>
      <c r="M66" s="30" t="e">
        <f>IF(AND(COUNTIF(#REF!, Returned_checkout!A117)=0, ISBLANK(K66)),"Yes", "No")</f>
        <v>#REF!</v>
      </c>
    </row>
    <row r="67" spans="1:13">
      <c r="A67" s="25">
        <v>910589178</v>
      </c>
      <c r="B67" s="26">
        <v>44893</v>
      </c>
      <c r="C67" s="27" t="s">
        <v>6293</v>
      </c>
      <c r="D67" s="28" t="str">
        <f>IF(ISBLANK(B67), "Email",IF(ISNA(VLOOKUP(A67,'Master List'!A:C,3,FALSE)), "Not Found", VLOOKUP(A67,'Master List'!A:C,3,FALSE)))</f>
        <v>dcc123@sfsu.edu</v>
      </c>
      <c r="E67" s="29" t="s">
        <v>19</v>
      </c>
      <c r="G67" s="27"/>
      <c r="H67" s="26" t="s">
        <v>134</v>
      </c>
      <c r="I67" s="27" t="s">
        <v>55</v>
      </c>
      <c r="J67" s="27" t="s">
        <v>55</v>
      </c>
      <c r="K67" s="26">
        <v>44893</v>
      </c>
      <c r="M67" s="30" t="e">
        <f>IF(AND(COUNTIF(#REF!, Returned_checkout!A31)=0, ISBLANK(K67)),"Yes", "No")</f>
        <v>#REF!</v>
      </c>
    </row>
    <row r="68" spans="1:13">
      <c r="A68" s="25">
        <v>917457819</v>
      </c>
      <c r="B68" s="26">
        <v>44893</v>
      </c>
      <c r="C68" s="27" t="s">
        <v>6294</v>
      </c>
      <c r="D68" s="28" t="str">
        <f>IF(ISBLANK(B68), "Email",IF(ISNA(VLOOKUP(A68,'Master List'!A:C,3,FALSE)), "Not Found", VLOOKUP(A68,'Master List'!A:C,3,FALSE)))</f>
        <v>jseyedan@sfsu.edu</v>
      </c>
      <c r="E68" s="29" t="s">
        <v>19</v>
      </c>
      <c r="G68" s="27"/>
      <c r="H68" s="26" t="s">
        <v>6295</v>
      </c>
      <c r="I68" s="27" t="s">
        <v>70</v>
      </c>
      <c r="J68" s="27" t="s">
        <v>55</v>
      </c>
      <c r="K68" s="26">
        <v>44893</v>
      </c>
      <c r="M68" s="30" t="e">
        <f>IF(AND(COUNTIF(#REF!, Returned_checkout!A115)=0, ISBLANK(K68)),"Yes", "No")</f>
        <v>#REF!</v>
      </c>
    </row>
    <row r="69" spans="1:13">
      <c r="A69" s="25">
        <v>915848432</v>
      </c>
      <c r="B69" s="26">
        <v>44893</v>
      </c>
      <c r="C69" s="27" t="s">
        <v>6296</v>
      </c>
      <c r="D69" s="28" t="str">
        <f>IF(ISBLANK(B69), "Email",IF(ISNA(VLOOKUP(A69,'Master List'!A:C,3,FALSE)), "Not Found", VLOOKUP(A69,'Master List'!A:C,3,FALSE)))</f>
        <v>vfernandez3@sfsu.edu</v>
      </c>
      <c r="E69" s="29" t="s">
        <v>19</v>
      </c>
      <c r="G69" s="27"/>
      <c r="H69" s="26" t="s">
        <v>6297</v>
      </c>
      <c r="I69" s="27" t="s">
        <v>6298</v>
      </c>
      <c r="K69" s="26">
        <v>44893</v>
      </c>
      <c r="M69" s="30" t="e">
        <f>IF(AND(COUNTIF(#REF!, Returned_checkout!A131)=0, ISBLANK(K69)),"Yes", "No")</f>
        <v>#REF!</v>
      </c>
    </row>
    <row r="70" spans="1:13">
      <c r="A70" s="25">
        <v>917281357</v>
      </c>
      <c r="B70" s="26">
        <v>44893</v>
      </c>
      <c r="D70" s="28" t="str">
        <f>IF(ISBLANK(B70), "Email",IF(ISNA(VLOOKUP(A70,'Master List'!A:C,3,FALSE)), "Not Found", VLOOKUP(A70,'Master List'!A:C,3,FALSE)))</f>
        <v>manely@sfsu.edu</v>
      </c>
      <c r="E70" s="29" t="s">
        <v>19</v>
      </c>
      <c r="G70" s="27"/>
      <c r="H70" s="26">
        <v>44893</v>
      </c>
      <c r="I70" s="27" t="s">
        <v>66</v>
      </c>
      <c r="J70" s="27" t="s">
        <v>55</v>
      </c>
      <c r="K70" s="26">
        <v>44893</v>
      </c>
      <c r="M70" s="30" t="e">
        <f>IF(AND(COUNTIF(#REF!, Returned_checkout!A136)=0, ISBLANK(K70)),"Yes", "No")</f>
        <v>#REF!</v>
      </c>
    </row>
    <row r="71" spans="1:13">
      <c r="A71" s="40">
        <v>918119389</v>
      </c>
      <c r="B71" s="26">
        <v>44894</v>
      </c>
      <c r="C71" s="27" t="s">
        <v>6299</v>
      </c>
      <c r="D71" s="28" t="str">
        <f>IF(ISBLANK(B71), "Email",IF(ISNA(VLOOKUP(A71,'Master List'!A:C,3,FALSE)), "Not Found", VLOOKUP(A71,'Master List'!A:C,3,FALSE)))</f>
        <v>kmahalic@sfsu.edu</v>
      </c>
      <c r="E71" s="29" t="s">
        <v>19</v>
      </c>
      <c r="G71" s="27"/>
      <c r="H71" s="26" t="s">
        <v>134</v>
      </c>
      <c r="I71" s="27" t="s">
        <v>56</v>
      </c>
      <c r="J71" s="27" t="s">
        <v>70</v>
      </c>
      <c r="K71" s="26">
        <v>44894</v>
      </c>
      <c r="M71" s="30" t="e">
        <f>IF(AND(COUNTIF(#REF!, Returned_checkout!A71)=0, ISBLANK(K71)),"Yes", "No")</f>
        <v>#REF!</v>
      </c>
    </row>
    <row r="72" spans="1:13">
      <c r="A72" s="25">
        <v>916408303</v>
      </c>
      <c r="B72" s="26">
        <v>44810</v>
      </c>
      <c r="C72" s="27" t="s">
        <v>6300</v>
      </c>
      <c r="D72" s="28" t="str">
        <f>IF(ISBLANK(B72), "Email",IF(ISNA(VLOOKUP(A72,'Master List'!A:C,3,FALSE)), "Not Found", VLOOKUP(A72,'Master List'!A:C,3,FALSE)))</f>
        <v>kanders2@sfsu.edu</v>
      </c>
      <c r="E72" s="29" t="s">
        <v>25</v>
      </c>
      <c r="G72" s="27"/>
      <c r="H72" s="26" t="s">
        <v>124</v>
      </c>
      <c r="J72" s="27" t="s">
        <v>59</v>
      </c>
      <c r="K72" s="26">
        <v>44895</v>
      </c>
      <c r="M72" s="30" t="e">
        <f>IF(AND(COUNTIF(#REF!, Returned_checkout!A30)=0, ISBLANK(K72)),"Yes", "No")</f>
        <v>#REF!</v>
      </c>
    </row>
    <row r="73" spans="1:13">
      <c r="A73" s="25">
        <v>915081692</v>
      </c>
      <c r="B73" s="26">
        <v>44893</v>
      </c>
      <c r="C73" s="27" t="s">
        <v>6301</v>
      </c>
      <c r="D73" s="28" t="str">
        <f>IF(ISBLANK(B73), "Email",IF(ISNA(VLOOKUP(A73,'Master List'!A:C,3,FALSE)), "Not Found", VLOOKUP(A73,'Master List'!A:C,3,FALSE)))</f>
        <v>nmonteci@sfsu.edu</v>
      </c>
      <c r="E73" s="29" t="s">
        <v>25</v>
      </c>
      <c r="G73" s="27"/>
      <c r="H73" s="26" t="s">
        <v>125</v>
      </c>
      <c r="I73" s="27" t="s">
        <v>70</v>
      </c>
      <c r="K73" s="26">
        <v>44895</v>
      </c>
      <c r="M73" s="30" t="e">
        <f>IF(AND(COUNTIF(#REF!, Returned_checkout!A127)=0, ISBLANK(K73)),"Yes", "No")</f>
        <v>#REF!</v>
      </c>
    </row>
    <row r="74" spans="1:13">
      <c r="A74" s="25">
        <v>917457819</v>
      </c>
      <c r="B74" s="26">
        <v>44895</v>
      </c>
      <c r="C74" s="27" t="s">
        <v>4454</v>
      </c>
      <c r="D74" s="28" t="str">
        <f>IF(ISBLANK(B74), "Email",IF(ISNA(VLOOKUP(A74,'Master List'!A:C,3,FALSE)), "Not Found", VLOOKUP(A74,'Master List'!A:C,3,FALSE)))</f>
        <v>jseyedan@sfsu.edu</v>
      </c>
      <c r="E74" s="29" t="s">
        <v>19</v>
      </c>
      <c r="G74" s="27"/>
      <c r="H74" s="26" t="s">
        <v>6302</v>
      </c>
      <c r="I74" s="27" t="s">
        <v>55</v>
      </c>
      <c r="J74" s="27" t="s">
        <v>55</v>
      </c>
      <c r="K74" s="26">
        <v>44895</v>
      </c>
      <c r="M74" s="30" t="e">
        <f>IF(AND(COUNTIF(#REF!, Returned_checkout!A63)=0, ISBLANK(K74)),"Yes", "No")</f>
        <v>#REF!</v>
      </c>
    </row>
    <row r="75" spans="1:13">
      <c r="A75" s="25">
        <v>922230410</v>
      </c>
      <c r="B75" s="26">
        <v>44895</v>
      </c>
      <c r="C75" s="27" t="s">
        <v>5668</v>
      </c>
      <c r="D75" s="28" t="str">
        <f>IF(ISBLANK(B75), "Email",IF(ISNA(VLOOKUP(A75,'Master List'!A:C,3,FALSE)), "Not Found", VLOOKUP(A75,'Master List'!A:C,3,FALSE)))</f>
        <v>ksareen@sfsu.edu</v>
      </c>
      <c r="E75" s="29" t="s">
        <v>19</v>
      </c>
      <c r="G75" s="27"/>
      <c r="H75" s="26" t="s">
        <v>134</v>
      </c>
      <c r="I75" s="27" t="s">
        <v>56</v>
      </c>
      <c r="J75" s="27" t="s">
        <v>55</v>
      </c>
      <c r="K75" s="26">
        <v>44895</v>
      </c>
      <c r="M75" s="30" t="e">
        <f>IF(AND(COUNTIF(#REF!, Returned_checkout!A86)=0, ISBLANK(K75)),"Yes", "No")</f>
        <v>#REF!</v>
      </c>
    </row>
    <row r="76" spans="1:13">
      <c r="A76" s="25">
        <v>918328884</v>
      </c>
      <c r="B76" s="26">
        <v>44895</v>
      </c>
      <c r="C76" s="27" t="s">
        <v>4668</v>
      </c>
      <c r="D76" s="28" t="str">
        <f>IF(ISBLANK(B76), "Email",IF(ISNA(VLOOKUP(A76,'Master List'!A:C,3,FALSE)), "Not Found", VLOOKUP(A76,'Master List'!A:C,3,FALSE)))</f>
        <v>malowdi@mail.sfsu.edu</v>
      </c>
      <c r="E76" s="29" t="s">
        <v>19</v>
      </c>
      <c r="G76" s="27"/>
      <c r="H76" s="26" t="s">
        <v>6303</v>
      </c>
      <c r="I76" s="27" t="s">
        <v>66</v>
      </c>
      <c r="J76" s="27" t="s">
        <v>59</v>
      </c>
      <c r="K76" s="26">
        <v>44895</v>
      </c>
      <c r="M76" s="30" t="e">
        <f>IF(AND(COUNTIF(#REF!, Returned_checkout!A95)=0, ISBLANK(K76)),"Yes", "No")</f>
        <v>#REF!</v>
      </c>
    </row>
    <row r="77" spans="1:13">
      <c r="A77" s="25">
        <v>900012001</v>
      </c>
      <c r="B77" s="26">
        <v>44894</v>
      </c>
      <c r="C77" s="27" t="s">
        <v>6304</v>
      </c>
      <c r="D77" s="28" t="str">
        <f>IF(ISBLANK(B77), "Email",IF(ISNA(VLOOKUP(A77,'Master List'!A:C,3,FALSE)), "Not Found", VLOOKUP(A77,'Master List'!A:C,3,FALSE)))</f>
        <v>halligan@sfsu.edu</v>
      </c>
      <c r="E77" s="29" t="s">
        <v>140</v>
      </c>
      <c r="G77" s="27"/>
      <c r="H77" s="26">
        <v>44896</v>
      </c>
      <c r="I77" s="27" t="s">
        <v>54</v>
      </c>
      <c r="J77" s="27" t="s">
        <v>59</v>
      </c>
      <c r="K77" s="26">
        <v>44896</v>
      </c>
      <c r="M77" s="30" t="e">
        <f>IF(AND(COUNTIF(#REF!, Returned_checkout!A61)=0, ISBLANK(K77)),"Yes", "No")</f>
        <v>#REF!</v>
      </c>
    </row>
    <row r="78" spans="1:13">
      <c r="A78" s="25">
        <v>921662349</v>
      </c>
      <c r="B78" s="26">
        <v>44896</v>
      </c>
      <c r="C78" s="27" t="s">
        <v>5626</v>
      </c>
      <c r="D78" s="28" t="str">
        <f>IF(ISBLANK(B78), "Email",IF(ISNA(VLOOKUP(A78,'Master List'!A:C,3,FALSE)), "Not Found", VLOOKUP(A78,'Master List'!A:C,3,FALSE)))</f>
        <v>cstephenson@sfsu.edu</v>
      </c>
      <c r="E78" s="29" t="s">
        <v>33</v>
      </c>
      <c r="G78" s="27"/>
      <c r="H78" s="26" t="s">
        <v>134</v>
      </c>
      <c r="I78" s="27" t="s">
        <v>70</v>
      </c>
      <c r="K78" s="26">
        <v>44896</v>
      </c>
      <c r="M78" s="30" t="e">
        <f>IF(AND(COUNTIF(#REF!, Returned_checkout!A29)=0, ISBLANK(K78)),"Yes", "No")</f>
        <v>#REF!</v>
      </c>
    </row>
    <row r="79" spans="1:13">
      <c r="A79" s="25">
        <v>915081692</v>
      </c>
      <c r="B79" s="26">
        <v>44896</v>
      </c>
      <c r="C79" s="27" t="s">
        <v>6301</v>
      </c>
      <c r="D79" s="28" t="str">
        <f>IF(ISBLANK(B79), "Email",IF(ISNA(VLOOKUP(A79,'Master List'!A:C,3,FALSE)), "Not Found", VLOOKUP(A79,'Master List'!A:C,3,FALSE)))</f>
        <v>nmonteci@sfsu.edu</v>
      </c>
      <c r="E79" s="29" t="s">
        <v>19</v>
      </c>
      <c r="G79" s="27"/>
      <c r="H79" s="26" t="s">
        <v>6305</v>
      </c>
      <c r="I79" s="27" t="s">
        <v>70</v>
      </c>
      <c r="J79" s="27" t="s">
        <v>49</v>
      </c>
      <c r="K79" s="26">
        <v>44896</v>
      </c>
      <c r="M79" s="30" t="e">
        <f>IF(AND(COUNTIF(#REF!, Returned_checkout!A128)=0, ISBLANK(K79)),"Yes", "No")</f>
        <v>#REF!</v>
      </c>
    </row>
    <row r="80" spans="1:13">
      <c r="A80" s="25">
        <v>915081692</v>
      </c>
      <c r="B80" s="26">
        <v>44901</v>
      </c>
      <c r="C80" s="27" t="s">
        <v>6301</v>
      </c>
      <c r="D80" s="28" t="str">
        <f>IF(ISBLANK(B80), "Email",IF(ISNA(VLOOKUP(A80,'Master List'!A:C,3,FALSE)), "Not Found", VLOOKUP(A80,'Master List'!A:C,3,FALSE)))</f>
        <v>nmonteci@sfsu.edu</v>
      </c>
      <c r="E80" s="29" t="s">
        <v>19</v>
      </c>
      <c r="G80" s="27"/>
      <c r="H80" s="26" t="s">
        <v>6305</v>
      </c>
      <c r="I80" s="27" t="s">
        <v>70</v>
      </c>
      <c r="J80" s="27" t="s">
        <v>52</v>
      </c>
      <c r="K80" s="26">
        <v>44897</v>
      </c>
      <c r="M80" s="30" t="e">
        <f>IF(AND(COUNTIF(#REF!, Returned_checkout!A130)=0, ISBLANK(K80)),"Yes", "No")</f>
        <v>#REF!</v>
      </c>
    </row>
    <row r="81" spans="1:13">
      <c r="A81" s="25">
        <v>900058281</v>
      </c>
      <c r="B81" s="26">
        <v>44859</v>
      </c>
      <c r="C81" s="36" t="s">
        <v>1346</v>
      </c>
      <c r="D81" s="28" t="str">
        <f>IF(ISBLANK(B81), "Email",IF(ISNA(VLOOKUP(A81,'Master List'!A:C,3,FALSE)), "Not Found", VLOOKUP(A81,'Master List'!A:C,3,FALSE)))</f>
        <v>kevin@sfsu.edu</v>
      </c>
      <c r="E81" s="29" t="s">
        <v>36</v>
      </c>
      <c r="G81" s="27"/>
      <c r="H81" s="26" t="s">
        <v>125</v>
      </c>
      <c r="J81" s="27" t="s">
        <v>70</v>
      </c>
      <c r="K81" s="26">
        <v>44900</v>
      </c>
      <c r="M81" s="30" t="e">
        <f>IF(AND(COUNTIF(#REF!, Returned_checkout!A73)=0, ISBLANK(K81)),"Yes", "No")</f>
        <v>#REF!</v>
      </c>
    </row>
    <row r="82" spans="1:13">
      <c r="A82" s="25">
        <v>917457819</v>
      </c>
      <c r="B82" s="26">
        <v>44900</v>
      </c>
      <c r="C82" s="36" t="s">
        <v>4454</v>
      </c>
      <c r="D82" s="28" t="str">
        <f>IF(ISBLANK(B82), "Email",IF(ISNA(VLOOKUP(A82,'Master List'!A:C,3,FALSE)), "Not Found", VLOOKUP(A82,'Master List'!A:C,3,FALSE)))</f>
        <v>jseyedan@sfsu.edu</v>
      </c>
      <c r="E82" s="29" t="s">
        <v>19</v>
      </c>
      <c r="G82" s="27"/>
      <c r="H82" s="26" t="s">
        <v>6306</v>
      </c>
      <c r="I82" s="27" t="s">
        <v>70</v>
      </c>
      <c r="J82" s="27" t="s">
        <v>70</v>
      </c>
      <c r="K82" s="26">
        <v>44900</v>
      </c>
      <c r="M82" s="30" t="e">
        <f>IF(AND(COUNTIF(#REF!, Returned_checkout!A64)=0, ISBLANK(K82)),"Yes", "No")</f>
        <v>#REF!</v>
      </c>
    </row>
    <row r="83" spans="1:13">
      <c r="A83" s="25">
        <v>908333171</v>
      </c>
      <c r="B83" s="26">
        <v>44900</v>
      </c>
      <c r="C83" s="36" t="s">
        <v>2419</v>
      </c>
      <c r="D83" s="28" t="str">
        <f>IF(ISBLANK(B83), "Email",IF(ISNA(VLOOKUP(A83,'Master List'!A:C,3,FALSE)), "Not Found", VLOOKUP(A83,'Master List'!A:C,3,FALSE)))</f>
        <v>kamragz@sfsu.edu</v>
      </c>
      <c r="E83" s="29" t="s">
        <v>138</v>
      </c>
      <c r="G83" s="27"/>
      <c r="J83" s="27" t="s">
        <v>59</v>
      </c>
      <c r="K83" s="26">
        <v>44900</v>
      </c>
      <c r="M83" s="30" t="e">
        <f>IF(AND(COUNTIF(#REF!, Returned_checkout!A66)=0, ISBLANK(K83)),"Yes", "No")</f>
        <v>#REF!</v>
      </c>
    </row>
    <row r="84" spans="1:13">
      <c r="A84" s="25">
        <v>915081692</v>
      </c>
      <c r="B84" s="26">
        <v>44900</v>
      </c>
      <c r="C84" s="27" t="s">
        <v>6301</v>
      </c>
      <c r="D84" s="28" t="str">
        <f>IF(ISBLANK(B84), "Email",IF(ISNA(VLOOKUP(A84,'Master List'!A:C,3,FALSE)), "Not Found", VLOOKUP(A84,'Master List'!A:C,3,FALSE)))</f>
        <v>nmonteci@sfsu.edu</v>
      </c>
      <c r="E84" s="29" t="s">
        <v>19</v>
      </c>
      <c r="G84" s="27"/>
      <c r="H84" s="26" t="s">
        <v>6305</v>
      </c>
      <c r="I84" s="27" t="s">
        <v>70</v>
      </c>
      <c r="J84" s="27" t="s">
        <v>70</v>
      </c>
      <c r="K84" s="26">
        <v>44900</v>
      </c>
      <c r="M84" s="30" t="e">
        <f>IF(AND(COUNTIF(#REF!, Returned_checkout!A129)=0, ISBLANK(K84)),"Yes", "No")</f>
        <v>#REF!</v>
      </c>
    </row>
    <row r="85" spans="1:13">
      <c r="A85" s="25">
        <v>916483521</v>
      </c>
      <c r="B85" s="26">
        <v>44833</v>
      </c>
      <c r="C85" s="36" t="s">
        <v>4120</v>
      </c>
      <c r="D85" s="28" t="str">
        <f>IF(ISBLANK(B85), "Email",IF(ISNA(VLOOKUP(A85,'Master List'!A:C,3,FALSE)), "Not Found", VLOOKUP(A85,'Master List'!A:C,3,FALSE)))</f>
        <v>tkinukaw@sfsu.edu</v>
      </c>
      <c r="E85" s="29" t="s">
        <v>19</v>
      </c>
      <c r="G85" s="27"/>
      <c r="H85" s="26" t="s">
        <v>125</v>
      </c>
      <c r="J85" s="27" t="s">
        <v>70</v>
      </c>
      <c r="K85" s="26">
        <v>44901</v>
      </c>
      <c r="M85" s="30" t="e">
        <f>IF(AND(COUNTIF(#REF!, Returned_checkout!A122)=0, ISBLANK(K85)),"Yes", "No")</f>
        <v>#REF!</v>
      </c>
    </row>
    <row r="86" spans="1:13">
      <c r="A86" s="25">
        <v>900058281</v>
      </c>
      <c r="B86" s="26">
        <v>44861</v>
      </c>
      <c r="C86" s="36" t="s">
        <v>1346</v>
      </c>
      <c r="D86" s="28" t="str">
        <f>IF(ISBLANK(B86), "Email",IF(ISNA(VLOOKUP(A86,'Master List'!A:C,3,FALSE)), "Not Found", VLOOKUP(A86,'Master List'!A:C,3,FALSE)))</f>
        <v>kevin@sfsu.edu</v>
      </c>
      <c r="E86" s="29" t="s">
        <v>43</v>
      </c>
      <c r="G86" s="27"/>
      <c r="H86" s="26" t="s">
        <v>125</v>
      </c>
      <c r="J86" s="27" t="s">
        <v>65</v>
      </c>
      <c r="K86" s="26">
        <v>44901</v>
      </c>
      <c r="M86" s="30" t="e">
        <f>IF(AND(COUNTIF(#REF!, Returned_checkout!A74)=0, ISBLANK(K86)),"Yes", "No")</f>
        <v>#REF!</v>
      </c>
    </row>
    <row r="87" spans="1:13">
      <c r="A87" s="25">
        <v>922230410</v>
      </c>
      <c r="B87" s="26">
        <v>44901</v>
      </c>
      <c r="C87" s="27" t="s">
        <v>5668</v>
      </c>
      <c r="D87" s="28" t="str">
        <f>IF(ISBLANK(B87), "Email",IF(ISNA(VLOOKUP(A87,'Master List'!A:C,3,FALSE)), "Not Found", VLOOKUP(A87,'Master List'!A:C,3,FALSE)))</f>
        <v>ksareen@sfsu.edu</v>
      </c>
      <c r="E87" s="29" t="s">
        <v>19</v>
      </c>
      <c r="G87" s="27"/>
      <c r="H87" s="26" t="s">
        <v>134</v>
      </c>
      <c r="I87" s="27" t="s">
        <v>56</v>
      </c>
      <c r="J87" s="27" t="s">
        <v>55</v>
      </c>
      <c r="K87" s="26">
        <v>44901</v>
      </c>
      <c r="M87" s="30" t="e">
        <f>IF(AND(COUNTIF(#REF!, Returned_checkout!A87)=0, ISBLANK(K87)),"Yes", "No")</f>
        <v>#REF!</v>
      </c>
    </row>
    <row r="88" spans="1:13">
      <c r="A88" s="25">
        <v>916483521</v>
      </c>
      <c r="B88" s="26">
        <v>44901</v>
      </c>
      <c r="C88" s="36" t="s">
        <v>4120</v>
      </c>
      <c r="D88" s="28" t="str">
        <f>IF(ISBLANK(B88), "Email",IF(ISNA(VLOOKUP(A88,'Master List'!A:C,3,FALSE)), "Not Found", VLOOKUP(A88,'Master List'!A:C,3,FALSE)))</f>
        <v>tkinukaw@sfsu.edu</v>
      </c>
      <c r="E88" s="29" t="s">
        <v>271</v>
      </c>
      <c r="G88" s="27"/>
      <c r="H88" s="26" t="s">
        <v>134</v>
      </c>
      <c r="I88" s="27" t="s">
        <v>54</v>
      </c>
      <c r="J88" s="27" t="s">
        <v>70</v>
      </c>
      <c r="K88" s="26">
        <v>44901</v>
      </c>
      <c r="M88" s="30" t="e">
        <f>IF(AND(COUNTIF(#REF!, Returned_checkout!A124)=0, ISBLANK(K88)),"Yes", "No")</f>
        <v>#REF!</v>
      </c>
    </row>
    <row r="89" spans="1:13">
      <c r="A89" s="25">
        <v>922217774</v>
      </c>
      <c r="B89" s="26">
        <v>44813</v>
      </c>
      <c r="C89" s="27" t="s">
        <v>5656</v>
      </c>
      <c r="D89" s="28" t="str">
        <f>IF(ISBLANK(B89), "Email",IF(ISNA(VLOOKUP(A89,'Master List'!A:C,3,FALSE)), "Not Found", VLOOKUP(A89,'Master List'!A:C,3,FALSE)))</f>
        <v>aspindell@sfsu.edu</v>
      </c>
      <c r="E89" s="29" t="s">
        <v>25</v>
      </c>
      <c r="G89" s="27" t="s">
        <v>22</v>
      </c>
      <c r="H89" s="26" t="s">
        <v>124</v>
      </c>
      <c r="J89" s="27" t="s">
        <v>59</v>
      </c>
      <c r="K89" s="26">
        <v>44902</v>
      </c>
      <c r="M89" s="30" t="e">
        <f>IF(AND(COUNTIF(#REF!, Returned_checkout!A4)=0, ISBLANK(K89)),"Yes", "No")</f>
        <v>#REF!</v>
      </c>
    </row>
    <row r="90" spans="1:13">
      <c r="A90" s="25">
        <v>909009756</v>
      </c>
      <c r="B90" s="26">
        <v>44839</v>
      </c>
      <c r="C90" s="27" t="s">
        <v>2588</v>
      </c>
      <c r="D90" s="28" t="str">
        <f>IF(ISBLANK(B90), "Email",IF(ISNA(VLOOKUP(A90,'Master List'!A:C,3,FALSE)), "Not Found", VLOOKUP(A90,'Master List'!A:C,3,FALSE)))</f>
        <v>connelly@sfsu.edu</v>
      </c>
      <c r="E90" s="29" t="s">
        <v>140</v>
      </c>
      <c r="G90" s="27">
        <v>69197</v>
      </c>
      <c r="H90" s="26" t="s">
        <v>124</v>
      </c>
      <c r="J90" s="27" t="s">
        <v>55</v>
      </c>
      <c r="K90" s="26">
        <v>44902</v>
      </c>
      <c r="M90" s="30" t="e">
        <f>IF(AND(COUNTIF(#REF!, Returned_checkout!A112)=0, ISBLANK(K90)),"Yes", "No")</f>
        <v>#REF!</v>
      </c>
    </row>
    <row r="91" spans="1:13">
      <c r="A91" s="25">
        <v>921530178</v>
      </c>
      <c r="B91" s="26">
        <v>44874</v>
      </c>
      <c r="C91" s="27" t="s">
        <v>5612</v>
      </c>
      <c r="D91" s="28" t="str">
        <f>IF(ISBLANK(B91), "Email",IF(ISNA(VLOOKUP(A91,'Master List'!A:C,3,FALSE)), "Not Found", VLOOKUP(A91,'Master List'!A:C,3,FALSE)))</f>
        <v>mshaath@mail.sfsu.edu</v>
      </c>
      <c r="E91" s="29" t="s">
        <v>19</v>
      </c>
      <c r="G91" s="27"/>
      <c r="H91" s="26" t="s">
        <v>125</v>
      </c>
      <c r="I91" s="27" t="s">
        <v>47</v>
      </c>
      <c r="J91" s="27" t="s">
        <v>73</v>
      </c>
      <c r="K91" s="26">
        <v>44902</v>
      </c>
      <c r="M91" s="30" t="e">
        <f>IF(AND(COUNTIF(#REF!, Returned_checkout!A98)=0, ISBLANK(K91)),"Yes", "No")</f>
        <v>#REF!</v>
      </c>
    </row>
    <row r="92" spans="1:13">
      <c r="A92" s="25">
        <v>909009756</v>
      </c>
      <c r="B92" s="26">
        <v>44874</v>
      </c>
      <c r="C92" s="27" t="s">
        <v>2588</v>
      </c>
      <c r="D92" s="28" t="str">
        <f>IF(ISBLANK(B92), "Email",IF(ISNA(VLOOKUP(A92,'Master List'!A:C,3,FALSE)), "Not Found", VLOOKUP(A92,'Master List'!A:C,3,FALSE)))</f>
        <v>connelly@sfsu.edu</v>
      </c>
      <c r="E92" s="29" t="s">
        <v>17</v>
      </c>
      <c r="G92" s="27"/>
      <c r="H92" s="26" t="s">
        <v>125</v>
      </c>
      <c r="I92" s="27" t="s">
        <v>47</v>
      </c>
      <c r="J92" s="27" t="s">
        <v>55</v>
      </c>
      <c r="K92" s="26">
        <v>44902</v>
      </c>
      <c r="M92" s="30" t="e">
        <f>IF(AND(COUNTIF(#REF!, Returned_checkout!A113)=0, ISBLANK(K92)),"Yes", "No")</f>
        <v>#REF!</v>
      </c>
    </row>
    <row r="93" spans="1:13">
      <c r="A93" s="25">
        <v>904212782</v>
      </c>
      <c r="B93" s="26">
        <v>44883</v>
      </c>
      <c r="C93" s="27" t="s">
        <v>1855</v>
      </c>
      <c r="D93" s="28" t="str">
        <f>IF(ISBLANK(B93), "Email",IF(ISNA(VLOOKUP(A93,'Master List'!A:C,3,FALSE)), "Not Found", VLOOKUP(A93,'Master List'!A:C,3,FALSE)))</f>
        <v>olsher@sfsu.edu</v>
      </c>
      <c r="E93" s="29" t="s">
        <v>23</v>
      </c>
      <c r="G93" s="27"/>
      <c r="H93" s="26" t="s">
        <v>149</v>
      </c>
      <c r="I93" s="27" t="s">
        <v>61</v>
      </c>
      <c r="J93" s="27" t="s">
        <v>55</v>
      </c>
      <c r="K93" s="26">
        <v>44902</v>
      </c>
      <c r="M93" s="30" t="e">
        <f>IF(AND(COUNTIF(#REF!, Returned_checkout!A38)=0, ISBLANK(K93)),"Yes", "No")</f>
        <v>#REF!</v>
      </c>
    </row>
    <row r="94" spans="1:13">
      <c r="A94" s="25">
        <v>918119389</v>
      </c>
      <c r="B94" s="26">
        <v>44902</v>
      </c>
      <c r="C94" s="27" t="s">
        <v>6307</v>
      </c>
      <c r="D94" s="28" t="str">
        <f>IF(ISBLANK(B94), "Email",IF(ISNA(VLOOKUP(A94,'Master List'!A:C,3,FALSE)), "Not Found", VLOOKUP(A94,'Master List'!A:C,3,FALSE)))</f>
        <v>kmahalic@sfsu.edu</v>
      </c>
      <c r="E94" s="29" t="s">
        <v>19</v>
      </c>
      <c r="G94" s="27"/>
      <c r="H94" s="26" t="s">
        <v>134</v>
      </c>
      <c r="I94" s="27" t="s">
        <v>59</v>
      </c>
      <c r="J94" s="27" t="s">
        <v>59</v>
      </c>
      <c r="K94" s="26">
        <v>44902</v>
      </c>
      <c r="M94" s="30" t="e">
        <f>IF(AND(COUNTIF(#REF!, Returned_checkout!A70)=0, ISBLANK(K94)),"Yes", "No")</f>
        <v>#REF!</v>
      </c>
    </row>
    <row r="95" spans="1:13">
      <c r="A95" s="25">
        <v>922290002</v>
      </c>
      <c r="B95" s="26">
        <v>44859</v>
      </c>
      <c r="C95" s="27" t="s">
        <v>6308</v>
      </c>
      <c r="D95" s="28" t="str">
        <f>IF(ISBLANK(B95), "Email",IF(ISNA(VLOOKUP(A95,'Master List'!A:C,3,FALSE)), "Not Found", VLOOKUP(A95,'Master List'!A:C,3,FALSE)))</f>
        <v>aandersonkibler@sfsu.edu</v>
      </c>
      <c r="E95" s="29" t="s">
        <v>19</v>
      </c>
      <c r="G95" s="27"/>
      <c r="H95" s="26" t="s">
        <v>125</v>
      </c>
      <c r="J95" s="27" t="s">
        <v>59</v>
      </c>
      <c r="K95" s="26">
        <v>44903</v>
      </c>
      <c r="M95" s="30" t="e">
        <f>IF(AND(COUNTIF(#REF!, Returned_checkout!A20)=0, ISBLANK(K95)),"Yes", "No")</f>
        <v>#REF!</v>
      </c>
    </row>
    <row r="96" spans="1:13">
      <c r="A96" s="25">
        <v>906487509</v>
      </c>
      <c r="B96" s="26">
        <v>44903</v>
      </c>
      <c r="C96" s="27" t="s">
        <v>6309</v>
      </c>
      <c r="D96" s="28" t="str">
        <f>IF(ISBLANK(B96), "Email",IF(ISNA(VLOOKUP(A96,'Master List'!A:C,3,FALSE)), "Not Found", VLOOKUP(A96,'Master List'!A:C,3,FALSE)))</f>
        <v>askonie@sfsu.edu</v>
      </c>
      <c r="E96" s="29" t="s">
        <v>19</v>
      </c>
      <c r="G96" s="27"/>
      <c r="H96" s="26" t="s">
        <v>134</v>
      </c>
      <c r="I96" s="27" t="s">
        <v>59</v>
      </c>
      <c r="J96" s="27" t="s">
        <v>53</v>
      </c>
      <c r="K96" s="26">
        <v>44903</v>
      </c>
      <c r="M96" s="30" t="e">
        <f>IF(AND(COUNTIF(#REF!, Returned_checkout!A6)=0, ISBLANK(K96)),"Yes", "No")</f>
        <v>#REF!</v>
      </c>
    </row>
    <row r="97" spans="1:13">
      <c r="A97" s="25">
        <v>900023064</v>
      </c>
      <c r="B97" s="26">
        <v>44903</v>
      </c>
      <c r="C97" s="27" t="s">
        <v>896</v>
      </c>
      <c r="D97" s="28" t="str">
        <f>IF(ISBLANK(B97), "Email",IF(ISNA(VLOOKUP(A97,'Master List'!A:C,3,FALSE)), "Not Found", VLOOKUP(A97,'Master List'!A:C,3,FALSE)))</f>
        <v>coopman@sfsu.edu</v>
      </c>
      <c r="E97" s="29" t="s">
        <v>19</v>
      </c>
      <c r="G97" s="27"/>
      <c r="H97" s="26" t="s">
        <v>134</v>
      </c>
      <c r="I97" s="27" t="s">
        <v>59</v>
      </c>
      <c r="J97" s="27" t="s">
        <v>6310</v>
      </c>
      <c r="K97" s="26">
        <v>44903</v>
      </c>
      <c r="M97" s="30" t="e">
        <f>IF(AND(COUNTIF(#REF!, Returned_checkout!A67)=0, ISBLANK(K97)),"Yes", "No")</f>
        <v>#REF!</v>
      </c>
    </row>
    <row r="98" spans="1:13">
      <c r="A98" s="25">
        <v>900008491</v>
      </c>
      <c r="B98" s="26">
        <v>44903</v>
      </c>
      <c r="C98" s="27" t="s">
        <v>575</v>
      </c>
      <c r="D98" s="28" t="str">
        <f>IF(ISBLANK(B98), "Email",IF(ISNA(VLOOKUP(A98,'Master List'!A:C,3,FALSE)), "Not Found", VLOOKUP(A98,'Master List'!A:C,3,FALSE)))</f>
        <v>tethomas@sfsu.edu</v>
      </c>
      <c r="E98" s="29" t="s">
        <v>57</v>
      </c>
      <c r="G98" s="27"/>
      <c r="H98" s="26" t="s">
        <v>134</v>
      </c>
      <c r="I98" s="27" t="s">
        <v>59</v>
      </c>
      <c r="J98" s="27" t="s">
        <v>6311</v>
      </c>
      <c r="K98" s="26">
        <v>44903</v>
      </c>
      <c r="M98" s="30" t="e">
        <f>IF(AND(COUNTIF(#REF!, Returned_checkout!A121)=0, ISBLANK(K98)),"Yes", "No")</f>
        <v>#REF!</v>
      </c>
    </row>
    <row r="99" spans="1:13">
      <c r="A99" s="25">
        <v>916538979</v>
      </c>
      <c r="B99" s="26">
        <v>44903</v>
      </c>
      <c r="C99" s="27" t="s">
        <v>4168</v>
      </c>
      <c r="D99" s="28" t="str">
        <f>IF(ISBLANK(B99), "Email",IF(ISNA(VLOOKUP(A99,'Master List'!A:C,3,FALSE)), "Not Found", VLOOKUP(A99,'Master List'!A:C,3,FALSE)))</f>
        <v>mfloresa@sfsu.edu</v>
      </c>
      <c r="E99" s="29" t="s">
        <v>28</v>
      </c>
      <c r="G99" s="27"/>
      <c r="H99" s="26">
        <v>44904</v>
      </c>
      <c r="I99" s="27" t="s">
        <v>54</v>
      </c>
      <c r="J99" s="27" t="s">
        <v>61</v>
      </c>
      <c r="K99" s="26">
        <v>44904</v>
      </c>
      <c r="M99" s="30" t="e">
        <f>IF(AND(COUNTIF(#REF!, Returned_checkout!A92)=0, ISBLANK(K99)),"Yes", "No")</f>
        <v>#REF!</v>
      </c>
    </row>
    <row r="100" spans="1:13">
      <c r="A100" s="25">
        <v>905965819</v>
      </c>
      <c r="B100" s="26">
        <v>44879</v>
      </c>
      <c r="C100" s="27" t="s">
        <v>2085</v>
      </c>
      <c r="D100" s="28" t="str">
        <f>IF(ISBLANK(B100), "Email",IF(ISNA(VLOOKUP(A100,'Master List'!A:C,3,FALSE)), "Not Found", VLOOKUP(A100,'Master List'!A:C,3,FALSE)))</f>
        <v>yukiyu@sfsu.edu</v>
      </c>
      <c r="E100" s="29" t="s">
        <v>6312</v>
      </c>
      <c r="G100" s="27"/>
      <c r="H100" s="26" t="s">
        <v>6290</v>
      </c>
      <c r="I100" s="27" t="s">
        <v>6313</v>
      </c>
      <c r="J100" s="27" t="s">
        <v>70</v>
      </c>
      <c r="K100" s="26">
        <v>44907</v>
      </c>
      <c r="M100" s="30" t="e">
        <f>IF(AND(COUNTIF(#REF!, Returned_checkout!A43)=0, ISBLANK(K100)),"Yes", "No")</f>
        <v>#REF!</v>
      </c>
    </row>
    <row r="101" spans="1:13">
      <c r="A101" s="25">
        <v>905965819</v>
      </c>
      <c r="B101" s="26">
        <v>44879</v>
      </c>
      <c r="C101" s="27" t="s">
        <v>2085</v>
      </c>
      <c r="D101" s="28" t="str">
        <f>IF(ISBLANK(B101), "Email",IF(ISNA(VLOOKUP(A101,'Master List'!A:C,3,FALSE)), "Not Found", VLOOKUP(A101,'Master List'!A:C,3,FALSE)))</f>
        <v>yukiyu@sfsu.edu</v>
      </c>
      <c r="E101" s="29" t="s">
        <v>20</v>
      </c>
      <c r="G101" s="27"/>
      <c r="H101" s="26" t="s">
        <v>6290</v>
      </c>
      <c r="I101" s="27" t="s">
        <v>6313</v>
      </c>
      <c r="J101" s="27" t="s">
        <v>70</v>
      </c>
      <c r="K101" s="26">
        <v>44907</v>
      </c>
      <c r="M101" s="30" t="e">
        <f>IF(AND(COUNTIF(#REF!, Returned_checkout!A44)=0, ISBLANK(K101)),"Yes", "No")</f>
        <v>#REF!</v>
      </c>
    </row>
    <row r="102" spans="1:13">
      <c r="A102" s="25">
        <v>905965819</v>
      </c>
      <c r="B102" s="26">
        <v>44879</v>
      </c>
      <c r="C102" s="27" t="s">
        <v>2085</v>
      </c>
      <c r="D102" s="28" t="str">
        <f>IF(ISBLANK(B102), "Email",IF(ISNA(VLOOKUP(A102,'Master List'!A:C,3,FALSE)), "Not Found", VLOOKUP(A102,'Master List'!A:C,3,FALSE)))</f>
        <v>yukiyu@sfsu.edu</v>
      </c>
      <c r="E102" s="29" t="s">
        <v>19</v>
      </c>
      <c r="G102" s="27"/>
      <c r="H102" s="26" t="s">
        <v>6290</v>
      </c>
      <c r="I102" s="27" t="s">
        <v>6313</v>
      </c>
      <c r="J102" s="27" t="s">
        <v>70</v>
      </c>
      <c r="K102" s="26">
        <v>44907</v>
      </c>
      <c r="M102" s="30" t="e">
        <f>IF(AND(COUNTIF(#REF!, Returned_checkout!A45)=0, ISBLANK(K102)),"Yes", "No")</f>
        <v>#REF!</v>
      </c>
    </row>
    <row r="103" spans="1:13">
      <c r="A103" s="25">
        <v>905965819</v>
      </c>
      <c r="B103" s="26">
        <v>44879</v>
      </c>
      <c r="C103" s="27" t="s">
        <v>2085</v>
      </c>
      <c r="D103" s="28" t="str">
        <f>IF(ISBLANK(B103), "Email",IF(ISNA(VLOOKUP(A103,'Master List'!A:C,3,FALSE)), "Not Found", VLOOKUP(A103,'Master List'!A:C,3,FALSE)))</f>
        <v>yukiyu@sfsu.edu</v>
      </c>
      <c r="E103" s="29" t="s">
        <v>24</v>
      </c>
      <c r="G103" s="27"/>
      <c r="H103" s="26" t="s">
        <v>6290</v>
      </c>
      <c r="I103" s="27" t="s">
        <v>6313</v>
      </c>
      <c r="J103" s="27" t="s">
        <v>70</v>
      </c>
      <c r="K103" s="26">
        <v>44907</v>
      </c>
      <c r="M103" s="30" t="e">
        <f>IF(AND(COUNTIF(#REF!, Returned_checkout!A46)=0, ISBLANK(K103)),"Yes", "No")</f>
        <v>#REF!</v>
      </c>
    </row>
    <row r="104" spans="1:13">
      <c r="A104" s="25">
        <v>905965819</v>
      </c>
      <c r="B104" s="26">
        <v>44879</v>
      </c>
      <c r="C104" s="27" t="s">
        <v>2085</v>
      </c>
      <c r="D104" s="28" t="str">
        <f>IF(ISBLANK(B104), "Email",IF(ISNA(VLOOKUP(A104,'Master List'!A:C,3,FALSE)), "Not Found", VLOOKUP(A104,'Master List'!A:C,3,FALSE)))</f>
        <v>yukiyu@sfsu.edu</v>
      </c>
      <c r="E104" s="29" t="s">
        <v>42</v>
      </c>
      <c r="G104" s="27"/>
      <c r="H104" s="26" t="s">
        <v>6290</v>
      </c>
      <c r="I104" s="27" t="s">
        <v>6313</v>
      </c>
      <c r="J104" s="27" t="s">
        <v>70</v>
      </c>
      <c r="K104" s="26">
        <v>44907</v>
      </c>
      <c r="M104" s="30" t="e">
        <f>IF(AND(COUNTIF(#REF!, Returned_checkout!A47)=0, ISBLANK(K104)),"Yes", "No")</f>
        <v>#REF!</v>
      </c>
    </row>
    <row r="105" spans="1:13">
      <c r="A105" s="25">
        <v>905965819</v>
      </c>
      <c r="B105" s="26">
        <v>44879</v>
      </c>
      <c r="C105" s="27" t="s">
        <v>2085</v>
      </c>
      <c r="D105" s="28" t="str">
        <f>IF(ISBLANK(B105), "Email",IF(ISNA(VLOOKUP(A105,'Master List'!A:C,3,FALSE)), "Not Found", VLOOKUP(A105,'Master List'!A:C,3,FALSE)))</f>
        <v>yukiyu@sfsu.edu</v>
      </c>
      <c r="E105" s="29" t="s">
        <v>269</v>
      </c>
      <c r="G105" s="27"/>
      <c r="H105" s="26" t="s">
        <v>6290</v>
      </c>
      <c r="I105" s="27" t="s">
        <v>6313</v>
      </c>
      <c r="J105" s="27" t="s">
        <v>70</v>
      </c>
      <c r="K105" s="26">
        <v>44907</v>
      </c>
      <c r="M105" s="30" t="e">
        <f>IF(AND(COUNTIF(#REF!, Returned_checkout!A48)=0, ISBLANK(K105)),"Yes", "No")</f>
        <v>#REF!</v>
      </c>
    </row>
    <row r="106" spans="1:13">
      <c r="A106" s="25">
        <v>905965819</v>
      </c>
      <c r="B106" s="26">
        <v>44879</v>
      </c>
      <c r="C106" s="27" t="s">
        <v>2085</v>
      </c>
      <c r="D106" s="28" t="str">
        <f>IF(ISBLANK(B106), "Email",IF(ISNA(VLOOKUP(A106,'Master List'!A:C,3,FALSE)), "Not Found", VLOOKUP(A106,'Master List'!A:C,3,FALSE)))</f>
        <v>yukiyu@sfsu.edu</v>
      </c>
      <c r="E106" s="29" t="s">
        <v>58</v>
      </c>
      <c r="G106" s="27">
        <v>166374</v>
      </c>
      <c r="H106" s="26" t="s">
        <v>6290</v>
      </c>
      <c r="I106" s="27" t="s">
        <v>6313</v>
      </c>
      <c r="J106" s="27" t="s">
        <v>70</v>
      </c>
      <c r="K106" s="26">
        <v>44907</v>
      </c>
      <c r="M106" s="30" t="e">
        <f>IF(AND(COUNTIF(#REF!, Returned_checkout!A49)=0, ISBLANK(K106)),"Yes", "No")</f>
        <v>#REF!</v>
      </c>
    </row>
    <row r="107" spans="1:13">
      <c r="A107" s="25">
        <v>918843255</v>
      </c>
      <c r="B107" s="26">
        <v>44904</v>
      </c>
      <c r="C107" s="27" t="s">
        <v>6314</v>
      </c>
      <c r="D107" s="28" t="str">
        <f>IF(ISBLANK(B107), "Email",IF(ISNA(VLOOKUP(A107,'Master List'!A:C,3,FALSE)), "Not Found", VLOOKUP(A107,'Master List'!A:C,3,FALSE)))</f>
        <v>proskin@sfsu.edu</v>
      </c>
      <c r="E107" s="29" t="s">
        <v>17</v>
      </c>
      <c r="G107" s="27"/>
      <c r="H107" s="26" t="s">
        <v>14</v>
      </c>
      <c r="I107" s="27" t="s">
        <v>14</v>
      </c>
      <c r="J107" s="27" t="s">
        <v>60</v>
      </c>
      <c r="K107" s="26">
        <v>44907</v>
      </c>
      <c r="M107" s="30" t="e">
        <f>IF(AND(COUNTIF(#REF!, Returned_checkout!A107)=0, ISBLANK(K107)),"Yes", "No")</f>
        <v>#REF!</v>
      </c>
    </row>
    <row r="108" spans="1:13">
      <c r="A108" s="25">
        <v>912817092</v>
      </c>
      <c r="B108" s="26">
        <v>44905</v>
      </c>
      <c r="C108" s="27" t="s">
        <v>3388</v>
      </c>
      <c r="D108" s="28" t="str">
        <f>IF(ISBLANK(B108), "Email",IF(ISNA(VLOOKUP(A108,'Master List'!A:C,3,FALSE)), "Not Found", VLOOKUP(A108,'Master List'!A:C,3,FALSE)))</f>
        <v>deepikaahuja@sfsu.edu</v>
      </c>
      <c r="E108" s="29" t="s">
        <v>28</v>
      </c>
      <c r="G108" s="27"/>
      <c r="H108" s="26" t="s">
        <v>125</v>
      </c>
      <c r="I108" s="27" t="s">
        <v>14</v>
      </c>
      <c r="J108" s="27" t="s">
        <v>60</v>
      </c>
      <c r="K108" s="26">
        <v>44907</v>
      </c>
      <c r="M108" s="30" t="e">
        <f>IF(AND(COUNTIF(#REF!, Returned_checkout!A40)=0, ISBLANK(K108)),"Yes", "No")</f>
        <v>#REF!</v>
      </c>
    </row>
    <row r="109" spans="1:13">
      <c r="A109" s="25">
        <v>922263573</v>
      </c>
      <c r="B109" s="26">
        <v>44907</v>
      </c>
      <c r="C109" s="27" t="s">
        <v>5714</v>
      </c>
      <c r="D109" s="28" t="str">
        <f>IF(ISBLANK(B109), "Email",IF(ISNA(VLOOKUP(A109,'Master List'!A:C,3,FALSE)), "Not Found", VLOOKUP(A109,'Master List'!A:C,3,FALSE)))</f>
        <v>fgonzalez3@sfsu.edu</v>
      </c>
      <c r="E109" s="29" t="s">
        <v>25</v>
      </c>
      <c r="J109" s="27" t="s">
        <v>59</v>
      </c>
      <c r="K109" s="26">
        <v>44907</v>
      </c>
      <c r="M109" s="30" t="e">
        <f>IF(AND(COUNTIF(#REF!, Returned_checkout!A51)=0, ISBLANK(K109)),"Yes", "No")</f>
        <v>#REF!</v>
      </c>
    </row>
    <row r="110" spans="1:13">
      <c r="A110" s="25">
        <v>918825471</v>
      </c>
      <c r="B110" s="26">
        <v>44907</v>
      </c>
      <c r="C110" s="27" t="s">
        <v>4742</v>
      </c>
      <c r="D110" s="28" t="str">
        <f>IF(ISBLANK(B110), "Email",IF(ISNA(VLOOKUP(A110,'Master List'!A:C,3,FALSE)), "Not Found", VLOOKUP(A110,'Master List'!A:C,3,FALSE)))</f>
        <v>tienlee@sfsu.edu</v>
      </c>
      <c r="E110" s="29" t="s">
        <v>57</v>
      </c>
      <c r="H110" s="26" t="s">
        <v>14</v>
      </c>
      <c r="I110" s="27" t="s">
        <v>14</v>
      </c>
      <c r="J110" s="27" t="s">
        <v>70</v>
      </c>
      <c r="K110" s="26">
        <v>44907</v>
      </c>
      <c r="M110" s="30" t="e">
        <f>IF(AND(COUNTIF(#REF!, Returned_checkout!A120)=0, ISBLANK(K110)),"Yes", "No")</f>
        <v>#REF!</v>
      </c>
    </row>
    <row r="111" spans="1:13">
      <c r="A111" s="25">
        <v>904119858</v>
      </c>
      <c r="B111" s="26">
        <v>44896</v>
      </c>
      <c r="C111" s="27" t="s">
        <v>1841</v>
      </c>
      <c r="D111" s="28" t="str">
        <f>IF(ISBLANK(B111), "Email",IF(ISNA(VLOOKUP(A111,'Master List'!A:C,3,FALSE)), "Not Found", VLOOKUP(A111,'Master List'!A:C,3,FALSE)))</f>
        <v>aarrieta@sfsu.edu</v>
      </c>
      <c r="E111" s="29" t="s">
        <v>105</v>
      </c>
      <c r="G111" s="27"/>
      <c r="H111" s="26" t="s">
        <v>6315</v>
      </c>
      <c r="I111" s="27" t="s">
        <v>70</v>
      </c>
      <c r="J111" s="27" t="s">
        <v>49</v>
      </c>
      <c r="K111" s="26">
        <v>44907</v>
      </c>
      <c r="M111" s="30" t="e">
        <f>IF(AND(COUNTIF(#REF!, Returned_checkout!A9)=0, ISBLANK(K111)),"Yes", "No")</f>
        <v>#REF!</v>
      </c>
    </row>
    <row r="112" spans="1:13">
      <c r="A112" s="25">
        <v>921170962</v>
      </c>
      <c r="B112" s="26">
        <v>44806</v>
      </c>
      <c r="C112" s="27" t="s">
        <v>6316</v>
      </c>
      <c r="D112" s="28" t="str">
        <f>IF(ISBLANK(B112), "Email",IF(ISNA(VLOOKUP(A112,'Master List'!A:C,3,FALSE)), "Not Found", VLOOKUP(A112,'Master List'!A:C,3,FALSE)))</f>
        <v>ybadala@mail.sfsu.edu</v>
      </c>
      <c r="E112" s="29" t="s">
        <v>12</v>
      </c>
      <c r="G112" s="27" t="s">
        <v>13</v>
      </c>
      <c r="H112" s="26" t="s">
        <v>124</v>
      </c>
      <c r="J112" s="27" t="s">
        <v>61</v>
      </c>
      <c r="K112" s="26">
        <v>44908</v>
      </c>
      <c r="M112" s="30" t="e">
        <f>IF(AND(COUNTIF(#REF!, Returned_checkout!A135)=0, ISBLANK(K112)),"Yes", "No")</f>
        <v>#REF!</v>
      </c>
    </row>
    <row r="113" spans="1:20">
      <c r="A113" s="25">
        <v>918765931</v>
      </c>
      <c r="B113" s="26">
        <v>44874</v>
      </c>
      <c r="C113" s="27" t="s">
        <v>4710</v>
      </c>
      <c r="D113" s="28" t="str">
        <f>IF(ISBLANK(B113), "Email",IF(ISNA(VLOOKUP(A113,'Master List'!A:C,3,FALSE)), "Not Found", VLOOKUP(A113,'Master List'!A:C,3,FALSE)))</f>
        <v>jdderbort@sfsu.edu</v>
      </c>
      <c r="E113" s="29" t="s">
        <v>25</v>
      </c>
      <c r="G113" s="27"/>
      <c r="H113" s="26" t="s">
        <v>125</v>
      </c>
      <c r="I113" s="27" t="s">
        <v>47</v>
      </c>
      <c r="J113" s="27" t="s">
        <v>61</v>
      </c>
      <c r="K113" s="26">
        <v>44908</v>
      </c>
      <c r="M113" s="30" t="e">
        <f>IF(AND(COUNTIF(#REF!, Returned_checkout!A62)=0, ISBLANK(K113)),"Yes", "No")</f>
        <v>#REF!</v>
      </c>
    </row>
    <row r="114" spans="1:20">
      <c r="A114" s="25">
        <v>909146490</v>
      </c>
      <c r="B114" s="26">
        <v>44908</v>
      </c>
      <c r="C114" s="27" t="s">
        <v>2630</v>
      </c>
      <c r="D114" s="28" t="str">
        <f>IF(ISBLANK(B114), "Email",IF(ISNA(VLOOKUP(A114,'Master List'!A:C,3,FALSE)), "Not Found", VLOOKUP(A114,'Master List'!A:C,3,FALSE)))</f>
        <v>dcox@sfsu.edu</v>
      </c>
      <c r="E114" s="29" t="s">
        <v>269</v>
      </c>
      <c r="H114" s="26" t="s">
        <v>14</v>
      </c>
      <c r="I114" s="27" t="s">
        <v>14</v>
      </c>
      <c r="J114" s="27" t="s">
        <v>70</v>
      </c>
      <c r="K114" s="26">
        <v>44908</v>
      </c>
      <c r="M114" s="30" t="e">
        <f>IF(AND(COUNTIF(#REF!, Returned_checkout!A34)=0, ISBLANK(K114)),"Yes", "No")</f>
        <v>#REF!</v>
      </c>
    </row>
    <row r="115" spans="1:20">
      <c r="A115" s="25">
        <v>918119389</v>
      </c>
      <c r="B115" s="26">
        <v>44908</v>
      </c>
      <c r="C115" s="27" t="s">
        <v>6317</v>
      </c>
      <c r="D115" s="28" t="str">
        <f>IF(ISBLANK(B115), "Email",IF(ISNA(VLOOKUP(A115,'Master List'!A:C,3,FALSE)), "Not Found", VLOOKUP(A115,'Master List'!A:C,3,FALSE)))</f>
        <v>kmahalic@sfsu.edu</v>
      </c>
      <c r="E115" s="29" t="s">
        <v>19</v>
      </c>
      <c r="H115" s="26" t="s">
        <v>134</v>
      </c>
      <c r="I115" s="27" t="s">
        <v>70</v>
      </c>
      <c r="J115" s="27" t="s">
        <v>70</v>
      </c>
      <c r="K115" s="26">
        <v>44908</v>
      </c>
      <c r="M115" s="30" t="e">
        <f>IF(AND(COUNTIF(#REF!, Returned_checkout!A72)=0, ISBLANK(K115)),"Yes", "No")</f>
        <v>#REF!</v>
      </c>
    </row>
    <row r="116" spans="1:20">
      <c r="A116" s="25">
        <v>909146490</v>
      </c>
      <c r="B116" s="26">
        <v>44908</v>
      </c>
      <c r="C116" s="27" t="s">
        <v>2630</v>
      </c>
      <c r="D116" s="28" t="str">
        <f>IF(ISBLANK(B116), "Email",IF(ISNA(VLOOKUP(A116,'Master List'!A:C,3,FALSE)), "Not Found", VLOOKUP(A116,'Master List'!A:C,3,FALSE)))</f>
        <v>dcox@sfsu.edu</v>
      </c>
      <c r="E116" s="29" t="s">
        <v>58</v>
      </c>
      <c r="H116" s="26" t="s">
        <v>14</v>
      </c>
      <c r="I116" s="27" t="s">
        <v>14</v>
      </c>
      <c r="J116" s="27" t="s">
        <v>70</v>
      </c>
      <c r="K116" s="26">
        <v>44909</v>
      </c>
      <c r="M116" s="30" t="e">
        <f>IF(AND(COUNTIF(#REF!, Returned_checkout!A35)=0, ISBLANK(K116)),"Yes", "No")</f>
        <v>#REF!</v>
      </c>
    </row>
    <row r="117" spans="1:20">
      <c r="A117" s="25">
        <v>900017994</v>
      </c>
      <c r="B117" s="26">
        <v>44838</v>
      </c>
      <c r="C117" s="27" t="s">
        <v>800</v>
      </c>
      <c r="D117" s="28" t="str">
        <f>IF(ISBLANK(B117), "Email",IF(ISNA(VLOOKUP(A117,'Master List'!A:C,3,FALSE)), "Not Found", VLOOKUP(A117,'Master List'!A:C,3,FALSE)))</f>
        <v>jpaulson@sfsu.edu</v>
      </c>
      <c r="E117" s="29" t="s">
        <v>19</v>
      </c>
      <c r="G117" s="27"/>
      <c r="H117" s="26" t="s">
        <v>125</v>
      </c>
      <c r="J117" s="27" t="s">
        <v>73</v>
      </c>
      <c r="K117" s="26">
        <v>44910</v>
      </c>
      <c r="M117" s="30" t="e">
        <f>IF(AND(COUNTIF(#REF!, Returned_checkout!A65)=0, ISBLANK(K117)),"Yes", "No")</f>
        <v>#REF!</v>
      </c>
    </row>
    <row r="118" spans="1:20">
      <c r="A118" s="25">
        <v>908101043</v>
      </c>
      <c r="B118" s="26">
        <v>44866</v>
      </c>
      <c r="C118" s="27" t="s">
        <v>6318</v>
      </c>
      <c r="D118" s="28" t="str">
        <f>IF(ISBLANK(B118), "Email",IF(ISNA(VLOOKUP(A118,'Master List'!A:C,3,FALSE)), "Not Found", VLOOKUP(A118,'Master List'!A:C,3,FALSE)))</f>
        <v>bblack@mail.sfsu.edu</v>
      </c>
      <c r="E118" s="29" t="s">
        <v>16</v>
      </c>
      <c r="G118" s="27"/>
      <c r="H118" s="26" t="s">
        <v>158</v>
      </c>
      <c r="K118" s="26">
        <v>44910</v>
      </c>
      <c r="M118" s="30" t="e">
        <f>IF(AND(COUNTIF(#REF!, Returned_checkout!A14)=0, ISBLANK(K118)),"Yes", "No")</f>
        <v>#REF!</v>
      </c>
    </row>
    <row r="119" spans="1:20">
      <c r="A119" s="25">
        <v>908101043</v>
      </c>
      <c r="B119" s="26">
        <v>44866</v>
      </c>
      <c r="C119" s="27" t="s">
        <v>6318</v>
      </c>
      <c r="D119" s="28" t="str">
        <f>IF(ISBLANK(B119), "Email",IF(ISNA(VLOOKUP(A119,'Master List'!A:C,3,FALSE)), "Not Found", VLOOKUP(A119,'Master List'!A:C,3,FALSE)))</f>
        <v>bblack@mail.sfsu.edu</v>
      </c>
      <c r="E119" s="29" t="s">
        <v>19</v>
      </c>
      <c r="G119" s="27"/>
      <c r="H119" s="26" t="s">
        <v>158</v>
      </c>
      <c r="K119" s="26">
        <v>44910</v>
      </c>
      <c r="M119" s="30" t="e">
        <f>IF(AND(COUNTIF(#REF!, Returned_checkout!A15)=0, ISBLANK(K119)),"Yes", "No")</f>
        <v>#REF!</v>
      </c>
    </row>
    <row r="120" spans="1:20">
      <c r="A120" s="25">
        <v>915081692</v>
      </c>
      <c r="B120" s="26">
        <v>44907</v>
      </c>
      <c r="C120" s="27" t="s">
        <v>6319</v>
      </c>
      <c r="D120" s="28" t="str">
        <f>IF(ISBLANK(B120), "Email",IF(ISNA(VLOOKUP(A120,'Master List'!A:C,3,FALSE)), "Not Found", VLOOKUP(A120,'Master List'!A:C,3,FALSE)))</f>
        <v>nmonteci@sfsu.edu</v>
      </c>
      <c r="E120" s="29" t="s">
        <v>19</v>
      </c>
      <c r="H120" s="26" t="s">
        <v>346</v>
      </c>
      <c r="I120" s="27" t="s">
        <v>70</v>
      </c>
      <c r="J120" s="27" t="s">
        <v>70</v>
      </c>
      <c r="K120" s="26">
        <v>44910</v>
      </c>
      <c r="M120" s="30" t="e">
        <f>IF(AND(COUNTIF(#REF!, Returned_checkout!A126)=0, ISBLANK(K120)),"Yes", "No")</f>
        <v>#REF!</v>
      </c>
    </row>
    <row r="121" spans="1:20">
      <c r="A121" s="25">
        <v>909169006</v>
      </c>
      <c r="B121" s="26">
        <v>44908</v>
      </c>
      <c r="C121" s="27" t="s">
        <v>6320</v>
      </c>
      <c r="D121" s="28" t="str">
        <f>IF(ISBLANK(B121), "Email",IF(ISNA(VLOOKUP(A121,'Master List'!A:C,3,FALSE)), "Not Found", VLOOKUP(A121,'Master List'!A:C,3,FALSE)))</f>
        <v>abeywick@sfsu.edu</v>
      </c>
      <c r="E121" s="29" t="s">
        <v>58</v>
      </c>
      <c r="H121" s="26">
        <v>44910</v>
      </c>
      <c r="I121" s="27" t="s">
        <v>61</v>
      </c>
      <c r="J121" s="27" t="s">
        <v>70</v>
      </c>
      <c r="K121" s="26">
        <v>44910</v>
      </c>
      <c r="M121" s="30" t="e">
        <f>IF(AND(COUNTIF(#REF!, Returned_checkout!A105)=0, ISBLANK(K121)),"Yes", "No")</f>
        <v>#REF!</v>
      </c>
    </row>
    <row r="122" spans="1:20">
      <c r="A122" s="25">
        <v>909169006</v>
      </c>
      <c r="B122" s="26">
        <v>44908</v>
      </c>
      <c r="C122" s="27" t="s">
        <v>6320</v>
      </c>
      <c r="D122" s="28" t="str">
        <f>IF(ISBLANK(B122), "Email",IF(ISNA(VLOOKUP(A122,'Master List'!A:C,3,FALSE)), "Not Found", VLOOKUP(A122,'Master List'!A:C,3,FALSE)))</f>
        <v>abeywick@sfsu.edu</v>
      </c>
      <c r="E122" s="29" t="s">
        <v>269</v>
      </c>
      <c r="H122" s="26">
        <v>44910</v>
      </c>
      <c r="I122" s="27" t="s">
        <v>61</v>
      </c>
      <c r="J122" s="27" t="s">
        <v>70</v>
      </c>
      <c r="K122" s="26">
        <v>44910</v>
      </c>
      <c r="M122" s="30" t="e">
        <f>IF(AND(COUNTIF(#REF!, Returned_checkout!A106)=0, ISBLANK(K122)),"Yes", "No")</f>
        <v>#REF!</v>
      </c>
    </row>
    <row r="123" spans="1:20">
      <c r="A123" s="25">
        <v>918119389</v>
      </c>
      <c r="B123" s="26">
        <v>44909</v>
      </c>
      <c r="C123" s="27" t="s">
        <v>4630</v>
      </c>
      <c r="D123" s="28" t="str">
        <f>IF(ISBLANK(B123), "Email",IF(ISNA(VLOOKUP(A123,'Master List'!A:C,3,FALSE)), "Not Found", VLOOKUP(A123,'Master List'!A:C,3,FALSE)))</f>
        <v>kmahalic@sfsu.edu</v>
      </c>
      <c r="E123" s="29" t="s">
        <v>19</v>
      </c>
      <c r="H123" s="26" t="s">
        <v>134</v>
      </c>
      <c r="I123" s="27" t="s">
        <v>53</v>
      </c>
      <c r="J123" s="27" t="s">
        <v>70</v>
      </c>
      <c r="K123" s="26">
        <v>44910</v>
      </c>
      <c r="M123" s="30" t="e">
        <f>IF(AND(COUNTIF(#REF!, Returned_checkout!A69)=0, ISBLANK(K123)),"Yes", "No")</f>
        <v>#REF!</v>
      </c>
    </row>
    <row r="124" spans="1:20">
      <c r="A124" s="31">
        <v>920186680</v>
      </c>
      <c r="B124" s="32">
        <v>44806</v>
      </c>
      <c r="C124" s="33" t="s">
        <v>5494</v>
      </c>
      <c r="D124" s="28" t="str">
        <f>IF(ISBLANK(B124), "Email",IF(ISNA(VLOOKUP(A124,'Master List'!A:C,3,FALSE)), "Not Found", VLOOKUP(A124,'Master List'!A:C,3,FALSE)))</f>
        <v>sgarlick@mail.sfsu.edu</v>
      </c>
      <c r="E124" s="29" t="s">
        <v>19</v>
      </c>
      <c r="G124" s="33" t="s">
        <v>13</v>
      </c>
      <c r="H124" s="32" t="s">
        <v>124</v>
      </c>
      <c r="I124" s="33"/>
      <c r="J124" s="27" t="s">
        <v>70</v>
      </c>
      <c r="K124" s="32">
        <v>44914</v>
      </c>
      <c r="M124" s="30" t="e">
        <f>IF(AND(COUNTIF(#REF!, Returned_checkout!A116)=0, ISBLANK(K124)),"Yes", "No")</f>
        <v>#REF!</v>
      </c>
    </row>
    <row r="125" spans="1:20">
      <c r="A125" s="25">
        <v>921552564</v>
      </c>
      <c r="B125" s="26">
        <v>44873</v>
      </c>
      <c r="C125" s="27" t="s">
        <v>5618</v>
      </c>
      <c r="D125" s="28" t="str">
        <f>IF(ISBLANK(B125), "Email",IF(ISNA(VLOOKUP(A125,'Master List'!A:C,3,FALSE)), "Not Found", VLOOKUP(A125,'Master List'!A:C,3,FALSE)))</f>
        <v>apena9@mail.sfsu.edu</v>
      </c>
      <c r="E125" s="29" t="s">
        <v>25</v>
      </c>
      <c r="G125" s="27"/>
      <c r="H125" s="26" t="s">
        <v>124</v>
      </c>
      <c r="I125" s="27" t="s">
        <v>56</v>
      </c>
      <c r="J125" s="27" t="s">
        <v>53</v>
      </c>
      <c r="K125" s="26">
        <v>44914</v>
      </c>
      <c r="M125" s="30" t="e">
        <f>IF(AND(COUNTIF(#REF!, Returned_checkout!A2)=0, ISBLANK(K125)),"Yes", "No")</f>
        <v>#REF!</v>
      </c>
      <c r="T125" s="39"/>
    </row>
    <row r="126" spans="1:20">
      <c r="A126" s="25">
        <v>918833999</v>
      </c>
      <c r="B126" s="26">
        <v>44911</v>
      </c>
      <c r="C126" s="64" t="str">
        <f>IF(ISBLANK(B126),"Name",IF(ISNA(VLOOKUP(A126,'Master List'!A:C,2,FALSE)), "Not Found", VLOOKUP(A126,'Master List'!A:C,2,FALSE)))</f>
        <v>David Hurwich</v>
      </c>
      <c r="D126" s="28" t="str">
        <f>IF(ISBLANK(B126), "Email",IF(ISNA(VLOOKUP(A126,'Master List'!A:C,3,FALSE)), "Not Found", VLOOKUP(A126,'Master List'!A:C,3,FALSE)))</f>
        <v>davidhurwich@sfsu.edu</v>
      </c>
      <c r="E126" s="29" t="s">
        <v>133</v>
      </c>
      <c r="H126" s="26">
        <v>44914</v>
      </c>
      <c r="I126" s="27" t="s">
        <v>53</v>
      </c>
      <c r="J126" s="27" t="s">
        <v>70</v>
      </c>
      <c r="K126" s="26">
        <v>44914</v>
      </c>
      <c r="M126" s="30" t="e">
        <f>IF(AND(COUNTIF(#REF!, Returned_checkout!A37)=0, ISBLANK(K126)),"Yes", "No")</f>
        <v>#REF!</v>
      </c>
    </row>
    <row r="127" spans="1:20">
      <c r="A127" s="25">
        <v>911398493</v>
      </c>
      <c r="B127" s="26">
        <v>44872</v>
      </c>
      <c r="C127" s="27" t="s">
        <v>3170</v>
      </c>
      <c r="D127" s="28" t="str">
        <f>IF(ISBLANK(B127), "Email",IF(ISNA(VLOOKUP(A127,'Master List'!A:C,3,FALSE)), "Not Found", VLOOKUP(A127,'Master List'!A:C,3,FALSE)))</f>
        <v>cfinley@sfsu.edu</v>
      </c>
      <c r="E127" s="29" t="s">
        <v>133</v>
      </c>
      <c r="G127" s="27" t="s">
        <v>6272</v>
      </c>
      <c r="H127" s="26">
        <v>44872</v>
      </c>
      <c r="I127" s="38"/>
      <c r="J127" s="27" t="s">
        <v>66</v>
      </c>
      <c r="K127" s="26">
        <v>44946</v>
      </c>
      <c r="L127" s="24" t="s">
        <v>6321</v>
      </c>
      <c r="M127" s="30" t="e">
        <f>IF(AND(COUNTIF(#REF!, Returned_checkout!A27)=0, ISBLANK(K127)),"Yes", "No")</f>
        <v>#REF!</v>
      </c>
    </row>
    <row r="128" spans="1:20">
      <c r="A128" s="25">
        <v>916646788</v>
      </c>
      <c r="B128" s="26">
        <v>44881</v>
      </c>
      <c r="C128" s="27" t="s">
        <v>4188</v>
      </c>
      <c r="D128" s="28" t="str">
        <f>IF(ISBLANK(B128), "Email",IF(ISNA(VLOOKUP(A128,'Master List'!A:C,3,FALSE)), "Not Found", VLOOKUP(A128,'Master List'!A:C,3,FALSE)))</f>
        <v>nnguye16@sfsu.edu</v>
      </c>
      <c r="E128" s="29" t="s">
        <v>42</v>
      </c>
      <c r="G128" s="27"/>
      <c r="H128" s="26" t="s">
        <v>134</v>
      </c>
      <c r="I128" s="27" t="s">
        <v>55</v>
      </c>
      <c r="J128" s="27" t="s">
        <v>139</v>
      </c>
      <c r="K128" s="26">
        <v>44953</v>
      </c>
      <c r="M128" s="30" t="e">
        <f>IF(AND(COUNTIF(#REF!, Returned_checkout!A99)=0, ISBLANK(K128)),"Yes", "No")</f>
        <v>#REF!</v>
      </c>
    </row>
    <row r="129" spans="1:14">
      <c r="A129" s="25">
        <v>900022947</v>
      </c>
      <c r="B129" s="26">
        <v>44817</v>
      </c>
      <c r="C129" s="27" t="s">
        <v>892</v>
      </c>
      <c r="D129" s="28" t="str">
        <f>IF(ISBLANK(B129), "Email",IF(ISNA(VLOOKUP(A129,'Master List'!A:C,3,FALSE)), "Not Found", VLOOKUP(A129,'Master List'!A:C,3,FALSE)))</f>
        <v>jlremolo@sfsu.edu</v>
      </c>
      <c r="E129" s="29" t="s">
        <v>35</v>
      </c>
      <c r="G129" s="27"/>
      <c r="J129" s="27" t="s">
        <v>70</v>
      </c>
      <c r="K129" s="26">
        <v>44963</v>
      </c>
      <c r="M129" s="30" t="e">
        <f>IF(AND(COUNTIF(#REF!, Returned_checkout!A56)=0, ISBLANK(K129)),"Yes", "No")</f>
        <v>#REF!</v>
      </c>
    </row>
    <row r="130" spans="1:14">
      <c r="A130" s="25">
        <v>904261844</v>
      </c>
      <c r="B130" s="26">
        <v>44858</v>
      </c>
      <c r="C130" s="36" t="s">
        <v>1871</v>
      </c>
      <c r="D130" s="28" t="str">
        <f>IF(ISBLANK(B130), "Email",IF(ISNA(VLOOKUP(A130,'Master List'!A:C,3,FALSE)), "Not Found", VLOOKUP(A130,'Master List'!A:C,3,FALSE)))</f>
        <v>krisvargas@sfsu.edu</v>
      </c>
      <c r="E130" s="29" t="s">
        <v>29</v>
      </c>
      <c r="G130" s="27"/>
      <c r="H130" s="26" t="s">
        <v>125</v>
      </c>
      <c r="J130" s="27" t="s">
        <v>56</v>
      </c>
      <c r="K130" s="26">
        <v>44964</v>
      </c>
      <c r="M130" s="30" t="e">
        <f>IF(AND(COUNTIF(#REF!, Returned_checkout!A78)=0, ISBLANK(K130)),"Yes", "No")</f>
        <v>#REF!</v>
      </c>
    </row>
    <row r="131" spans="1:14">
      <c r="A131" s="25">
        <v>904261844</v>
      </c>
      <c r="B131" s="26">
        <v>44858</v>
      </c>
      <c r="C131" s="36" t="s">
        <v>1871</v>
      </c>
      <c r="D131" s="28" t="str">
        <f>IF(ISBLANK(B131), "Email",IF(ISNA(VLOOKUP(A131,'Master List'!A:C,3,FALSE)), "Not Found", VLOOKUP(A131,'Master List'!A:C,3,FALSE)))</f>
        <v>krisvargas@sfsu.edu</v>
      </c>
      <c r="E131" s="29" t="s">
        <v>29</v>
      </c>
      <c r="G131" s="27"/>
      <c r="H131" s="26" t="s">
        <v>125</v>
      </c>
      <c r="J131" s="27" t="s">
        <v>56</v>
      </c>
      <c r="K131" s="26">
        <v>44964</v>
      </c>
      <c r="M131" s="30" t="e">
        <f>IF(AND(COUNTIF(#REF!, Returned_checkout!A79)=0, ISBLANK(K131)),"Yes", "No")</f>
        <v>#REF!</v>
      </c>
    </row>
    <row r="132" spans="1:14">
      <c r="A132" s="25">
        <v>904261844</v>
      </c>
      <c r="B132" s="26">
        <v>44858</v>
      </c>
      <c r="C132" s="36" t="s">
        <v>1871</v>
      </c>
      <c r="D132" s="28" t="str">
        <f>IF(ISBLANK(B132), "Email",IF(ISNA(VLOOKUP(A132,'Master List'!A:C,3,FALSE)), "Not Found", VLOOKUP(A132,'Master List'!A:C,3,FALSE)))</f>
        <v>krisvargas@sfsu.edu</v>
      </c>
      <c r="E132" s="29" t="s">
        <v>19</v>
      </c>
      <c r="G132" s="27"/>
      <c r="H132" s="26" t="s">
        <v>125</v>
      </c>
      <c r="J132" s="27" t="s">
        <v>56</v>
      </c>
      <c r="K132" s="26">
        <v>44964</v>
      </c>
      <c r="M132" s="30" t="e">
        <f>IF(AND(COUNTIF(#REF!, Returned_checkout!A80)=0, ISBLANK(K132)),"Yes", "No")</f>
        <v>#REF!</v>
      </c>
    </row>
    <row r="133" spans="1:14">
      <c r="A133" s="25">
        <v>904261844</v>
      </c>
      <c r="B133" s="26">
        <v>44858</v>
      </c>
      <c r="C133" s="36" t="s">
        <v>1871</v>
      </c>
      <c r="D133" s="28" t="str">
        <f>IF(ISBLANK(B133), "Email",IF(ISNA(VLOOKUP(A133,'Master List'!A:C,3,FALSE)), "Not Found", VLOOKUP(A133,'Master List'!A:C,3,FALSE)))</f>
        <v>krisvargas@sfsu.edu</v>
      </c>
      <c r="E133" s="29" t="s">
        <v>19</v>
      </c>
      <c r="G133" s="27"/>
      <c r="H133" s="26" t="s">
        <v>125</v>
      </c>
      <c r="J133" s="27" t="s">
        <v>56</v>
      </c>
      <c r="K133" s="26">
        <v>44964</v>
      </c>
      <c r="M133" s="30" t="e">
        <f>IF(AND(COUNTIF(#REF!, Returned_checkout!A81)=0, ISBLANK(K133)),"Yes", "No")</f>
        <v>#REF!</v>
      </c>
    </row>
    <row r="134" spans="1:14">
      <c r="A134" s="25">
        <v>905344757</v>
      </c>
      <c r="B134" s="26">
        <v>44806</v>
      </c>
      <c r="C134" s="27" t="s">
        <v>2019</v>
      </c>
      <c r="D134" s="28" t="str">
        <f>IF(ISBLANK(B134), "Email",IF(ISNA(VLOOKUP(A134,'Master List'!A:C,3,FALSE)), "Not Found", VLOOKUP(A134,'Master List'!A:C,3,FALSE)))</f>
        <v>mfrankel@mail.sfsu.edu</v>
      </c>
      <c r="E134" s="29" t="s">
        <v>19</v>
      </c>
      <c r="G134" s="27" t="s">
        <v>13</v>
      </c>
      <c r="H134" s="26" t="s">
        <v>124</v>
      </c>
      <c r="J134" s="27" t="s">
        <v>71</v>
      </c>
      <c r="K134" s="26">
        <v>44965</v>
      </c>
      <c r="M134" s="30" t="e">
        <f>IF(AND(COUNTIF(#REF!, Returned_checkout!A90)=0, ISBLANK(K134)),"Yes", "No")</f>
        <v>#REF!</v>
      </c>
    </row>
    <row r="135" spans="1:14">
      <c r="A135" s="25">
        <v>905344757</v>
      </c>
      <c r="B135" s="26">
        <v>44806</v>
      </c>
      <c r="C135" s="27" t="s">
        <v>2019</v>
      </c>
      <c r="D135" s="28" t="str">
        <f>IF(ISBLANK(B135), "Email",IF(ISNA(VLOOKUP(A135,'Master List'!A:C,3,FALSE)), "Not Found", VLOOKUP(A135,'Master List'!A:C,3,FALSE)))</f>
        <v>mfrankel@mail.sfsu.edu</v>
      </c>
      <c r="E135" s="29" t="s">
        <v>17</v>
      </c>
      <c r="G135" s="27"/>
      <c r="J135" s="27" t="s">
        <v>71</v>
      </c>
      <c r="K135" s="26">
        <v>44965</v>
      </c>
      <c r="M135" s="30" t="e">
        <f>IF(AND(COUNTIF(#REF!, Returned_checkout!A91)=0, ISBLANK(K135)),"Yes", "No")</f>
        <v>#REF!</v>
      </c>
    </row>
    <row r="136" spans="1:14">
      <c r="A136" s="25">
        <v>922955615</v>
      </c>
      <c r="B136" s="26">
        <v>44826</v>
      </c>
      <c r="C136" s="27" t="s">
        <v>5785</v>
      </c>
      <c r="D136" s="28" t="str">
        <f>IF(ISBLANK(B136), "Email",IF(ISNA(VLOOKUP(A136,'Master List'!A:C,3,FALSE)), "Not Found", VLOOKUP(A136,'Master List'!A:C,3,FALSE)))</f>
        <v>btrinh7@sfsu.edu</v>
      </c>
      <c r="E136" s="29" t="s">
        <v>19</v>
      </c>
      <c r="G136" s="27"/>
      <c r="H136" s="26" t="s">
        <v>6322</v>
      </c>
      <c r="J136" s="27" t="s">
        <v>71</v>
      </c>
      <c r="K136" s="26">
        <v>44965</v>
      </c>
      <c r="M136" s="30" t="e">
        <f>IF(AND(COUNTIF(#REF!, Returned_checkout!A18)=0, ISBLANK(K136)),"Yes", "No")</f>
        <v>#REF!</v>
      </c>
    </row>
    <row r="137" spans="1:14">
      <c r="A137" s="25">
        <v>916479400</v>
      </c>
      <c r="B137" s="26">
        <v>44929</v>
      </c>
      <c r="C137" s="27" t="s">
        <v>4098</v>
      </c>
      <c r="D137" s="28" t="s">
        <v>4099</v>
      </c>
      <c r="E137" s="29" t="s">
        <v>20</v>
      </c>
      <c r="F137" s="29" t="s">
        <v>6323</v>
      </c>
      <c r="H137" s="26">
        <v>44564</v>
      </c>
      <c r="I137" s="27" t="s">
        <v>66</v>
      </c>
      <c r="J137" s="27" t="s">
        <v>54</v>
      </c>
      <c r="K137" s="26">
        <v>44966</v>
      </c>
      <c r="M137" s="30" t="s">
        <v>6324</v>
      </c>
      <c r="N137" s="24" t="s">
        <v>6324</v>
      </c>
    </row>
    <row r="138" spans="1:14">
      <c r="A138" s="25">
        <v>920728325</v>
      </c>
      <c r="B138" s="26">
        <v>44932</v>
      </c>
      <c r="C138" s="27" t="s">
        <v>5524</v>
      </c>
      <c r="D138" s="28" t="s">
        <v>5525</v>
      </c>
      <c r="E138" s="29" t="s">
        <v>33</v>
      </c>
      <c r="F138" s="29" t="s">
        <v>6323</v>
      </c>
      <c r="H138" s="26" t="s">
        <v>6325</v>
      </c>
      <c r="I138" s="27" t="s">
        <v>70</v>
      </c>
      <c r="J138" s="27" t="s">
        <v>54</v>
      </c>
      <c r="K138" s="26">
        <v>44966</v>
      </c>
      <c r="M138" s="30" t="s">
        <v>6324</v>
      </c>
      <c r="N138" s="24" t="s">
        <v>6324</v>
      </c>
    </row>
    <row r="139" spans="1:14">
      <c r="A139" s="25">
        <v>920555204</v>
      </c>
      <c r="B139" s="26">
        <v>44935</v>
      </c>
      <c r="C139" s="27" t="s">
        <v>5518</v>
      </c>
      <c r="D139" s="28" t="s">
        <v>5519</v>
      </c>
      <c r="E139" s="29" t="s">
        <v>20</v>
      </c>
      <c r="F139" s="29" t="s">
        <v>6323</v>
      </c>
      <c r="H139" s="26">
        <v>44935</v>
      </c>
      <c r="I139" s="27" t="s">
        <v>54</v>
      </c>
      <c r="J139" s="27" t="s">
        <v>56</v>
      </c>
      <c r="K139" s="26">
        <v>44966</v>
      </c>
      <c r="M139" s="30" t="s">
        <v>6324</v>
      </c>
      <c r="N139" s="24" t="s">
        <v>6324</v>
      </c>
    </row>
    <row r="140" spans="1:14">
      <c r="A140" s="25">
        <v>918829163</v>
      </c>
      <c r="B140" s="26">
        <v>44937</v>
      </c>
      <c r="C140" s="27" t="s">
        <v>4852</v>
      </c>
      <c r="D140" s="28" t="s">
        <v>4853</v>
      </c>
      <c r="E140" s="29" t="s">
        <v>19</v>
      </c>
      <c r="F140" s="29" t="s">
        <v>6323</v>
      </c>
      <c r="H140" s="26">
        <v>44937</v>
      </c>
      <c r="I140" s="27" t="s">
        <v>55</v>
      </c>
      <c r="J140" s="27" t="s">
        <v>55</v>
      </c>
      <c r="K140" s="26">
        <v>44966</v>
      </c>
      <c r="M140" s="30" t="s">
        <v>6324</v>
      </c>
      <c r="N140" s="24" t="s">
        <v>6324</v>
      </c>
    </row>
    <row r="141" spans="1:14">
      <c r="A141" s="25">
        <v>918833999</v>
      </c>
      <c r="B141" s="26">
        <v>44937</v>
      </c>
      <c r="C141" s="27" t="s">
        <v>4956</v>
      </c>
      <c r="D141" s="28" t="s">
        <v>4957</v>
      </c>
      <c r="F141" s="29" t="s">
        <v>6323</v>
      </c>
      <c r="H141" s="26" t="s">
        <v>14</v>
      </c>
      <c r="I141" s="27" t="s">
        <v>14</v>
      </c>
      <c r="J141" s="27" t="s">
        <v>55</v>
      </c>
      <c r="K141" s="26">
        <v>44966</v>
      </c>
      <c r="M141" s="30" t="s">
        <v>6324</v>
      </c>
      <c r="N141" s="24" t="s">
        <v>6324</v>
      </c>
    </row>
    <row r="142" spans="1:14">
      <c r="B142" s="26">
        <v>44939</v>
      </c>
      <c r="C142" s="27" t="s">
        <v>2</v>
      </c>
      <c r="D142" s="28" t="s">
        <v>6326</v>
      </c>
      <c r="E142" s="29" t="s">
        <v>133</v>
      </c>
      <c r="F142" s="29" t="s">
        <v>6327</v>
      </c>
      <c r="H142" s="26" t="s">
        <v>134</v>
      </c>
      <c r="I142" s="27" t="s">
        <v>66</v>
      </c>
      <c r="J142" s="27" t="s">
        <v>66</v>
      </c>
      <c r="K142" s="26">
        <v>44966</v>
      </c>
      <c r="M142" s="30" t="s">
        <v>6324</v>
      </c>
      <c r="N142" s="24" t="s">
        <v>6324</v>
      </c>
    </row>
    <row r="143" spans="1:14">
      <c r="B143" s="26">
        <v>44939</v>
      </c>
      <c r="C143" s="27" t="s">
        <v>2</v>
      </c>
      <c r="D143" s="28" t="s">
        <v>6326</v>
      </c>
      <c r="E143" s="29" t="s">
        <v>6328</v>
      </c>
      <c r="F143" s="29" t="s">
        <v>6327</v>
      </c>
      <c r="H143" s="26" t="s">
        <v>134</v>
      </c>
      <c r="I143" s="27" t="s">
        <v>66</v>
      </c>
      <c r="J143" s="27" t="s">
        <v>66</v>
      </c>
      <c r="K143" s="26">
        <v>44966</v>
      </c>
      <c r="M143" s="30" t="s">
        <v>6324</v>
      </c>
      <c r="N143" s="24" t="s">
        <v>6324</v>
      </c>
    </row>
    <row r="144" spans="1:14">
      <c r="A144" s="25">
        <v>910202493</v>
      </c>
      <c r="B144" s="26">
        <v>44943</v>
      </c>
      <c r="C144" s="27" t="s">
        <v>2966</v>
      </c>
      <c r="D144" s="28" t="s">
        <v>2967</v>
      </c>
      <c r="E144" s="29" t="s">
        <v>20</v>
      </c>
      <c r="F144" s="29" t="s">
        <v>6327</v>
      </c>
      <c r="J144" s="27" t="s">
        <v>52</v>
      </c>
      <c r="K144" s="26">
        <v>44966</v>
      </c>
      <c r="M144" s="30" t="s">
        <v>6324</v>
      </c>
      <c r="N144" s="24" t="s">
        <v>6324</v>
      </c>
    </row>
    <row r="145" spans="1:14">
      <c r="A145" s="25">
        <v>910589178</v>
      </c>
      <c r="B145" s="26">
        <v>44952</v>
      </c>
      <c r="C145" s="27" t="s">
        <v>3026</v>
      </c>
      <c r="D145" s="28" t="s">
        <v>3027</v>
      </c>
      <c r="E145" s="29" t="s">
        <v>19</v>
      </c>
      <c r="F145" s="29" t="s">
        <v>6323</v>
      </c>
      <c r="H145" s="26" t="s">
        <v>6329</v>
      </c>
      <c r="I145" s="27" t="s">
        <v>70</v>
      </c>
      <c r="J145" s="27" t="s">
        <v>54</v>
      </c>
      <c r="K145" s="26">
        <v>44966</v>
      </c>
      <c r="M145" s="30" t="s">
        <v>6324</v>
      </c>
      <c r="N145" s="24" t="s">
        <v>6324</v>
      </c>
    </row>
    <row r="146" spans="1:14">
      <c r="A146" s="25">
        <v>900011585</v>
      </c>
      <c r="B146" s="26">
        <v>44953</v>
      </c>
      <c r="C146" s="27" t="s">
        <v>643</v>
      </c>
      <c r="D146" s="28" t="s">
        <v>644</v>
      </c>
      <c r="E146" s="29" t="s">
        <v>67</v>
      </c>
      <c r="F146" s="29" t="s">
        <v>6323</v>
      </c>
      <c r="G146" s="29" t="s">
        <v>6330</v>
      </c>
      <c r="H146" s="26" t="s">
        <v>127</v>
      </c>
      <c r="I146" s="27" t="s">
        <v>56</v>
      </c>
      <c r="J146" s="27" t="s">
        <v>55</v>
      </c>
      <c r="K146" s="26">
        <v>44966</v>
      </c>
      <c r="M146" s="30" t="s">
        <v>6324</v>
      </c>
      <c r="N146" s="24" t="s">
        <v>6324</v>
      </c>
    </row>
    <row r="147" spans="1:14">
      <c r="A147" s="25">
        <v>915579345</v>
      </c>
      <c r="B147" s="26">
        <v>44956</v>
      </c>
      <c r="C147" s="27" t="s">
        <v>3876</v>
      </c>
      <c r="D147" s="28" t="s">
        <v>3877</v>
      </c>
      <c r="E147" s="29" t="s">
        <v>19</v>
      </c>
      <c r="F147" s="29" t="s">
        <v>6323</v>
      </c>
      <c r="G147" s="29" t="s">
        <v>6330</v>
      </c>
      <c r="H147" s="26" t="s">
        <v>6331</v>
      </c>
      <c r="I147" s="27" t="s">
        <v>74</v>
      </c>
      <c r="J147" s="27" t="s">
        <v>53</v>
      </c>
      <c r="K147" s="26">
        <v>44966</v>
      </c>
      <c r="M147" s="30" t="s">
        <v>6324</v>
      </c>
      <c r="N147" s="24" t="s">
        <v>6324</v>
      </c>
    </row>
    <row r="148" spans="1:14">
      <c r="A148" s="25">
        <v>916496924</v>
      </c>
      <c r="B148" s="26">
        <v>44956</v>
      </c>
      <c r="C148" s="27" t="s">
        <v>4140</v>
      </c>
      <c r="D148" s="28" t="s">
        <v>4141</v>
      </c>
      <c r="E148" s="29" t="s">
        <v>140</v>
      </c>
      <c r="F148" s="29" t="s">
        <v>6323</v>
      </c>
      <c r="G148" s="29" t="s">
        <v>6332</v>
      </c>
      <c r="J148" s="27" t="s">
        <v>56</v>
      </c>
      <c r="K148" s="26">
        <v>44966</v>
      </c>
      <c r="L148" s="24" t="s">
        <v>6333</v>
      </c>
      <c r="M148" s="30" t="s">
        <v>6324</v>
      </c>
      <c r="N148" s="24" t="s">
        <v>6324</v>
      </c>
    </row>
    <row r="149" spans="1:14">
      <c r="A149" s="25">
        <v>900572431</v>
      </c>
      <c r="B149" s="26">
        <v>44957</v>
      </c>
      <c r="C149" s="27" t="s">
        <v>1428</v>
      </c>
      <c r="D149" s="28" t="s">
        <v>1429</v>
      </c>
      <c r="E149" s="29" t="s">
        <v>19</v>
      </c>
      <c r="F149" s="29" t="s">
        <v>6323</v>
      </c>
      <c r="H149" s="26" t="s">
        <v>6334</v>
      </c>
      <c r="I149" s="27" t="s">
        <v>55</v>
      </c>
      <c r="J149" s="27" t="s">
        <v>70</v>
      </c>
      <c r="K149" s="26">
        <v>44966</v>
      </c>
      <c r="L149" s="24" t="s">
        <v>6335</v>
      </c>
      <c r="M149" s="30" t="s">
        <v>6324</v>
      </c>
      <c r="N149" s="24" t="s">
        <v>6324</v>
      </c>
    </row>
    <row r="150" spans="1:14">
      <c r="A150" s="25">
        <v>900007074</v>
      </c>
      <c r="B150" s="26">
        <v>44957</v>
      </c>
      <c r="C150" s="27" t="s">
        <v>533</v>
      </c>
      <c r="D150" s="28" t="s">
        <v>534</v>
      </c>
      <c r="E150" s="29" t="s">
        <v>19</v>
      </c>
      <c r="F150" s="29" t="s">
        <v>6323</v>
      </c>
      <c r="H150" s="26" t="s">
        <v>125</v>
      </c>
      <c r="I150" s="27" t="s">
        <v>65</v>
      </c>
      <c r="J150" s="27" t="s">
        <v>55</v>
      </c>
      <c r="K150" s="26">
        <v>44966</v>
      </c>
      <c r="M150" s="30" t="s">
        <v>6324</v>
      </c>
      <c r="N150" s="24" t="s">
        <v>6324</v>
      </c>
    </row>
    <row r="151" spans="1:14">
      <c r="A151" s="25">
        <v>921131598</v>
      </c>
      <c r="B151" s="26">
        <v>44957</v>
      </c>
      <c r="C151" s="27" t="s">
        <v>5574</v>
      </c>
      <c r="D151" s="28" t="s">
        <v>5575</v>
      </c>
      <c r="E151" s="29" t="s">
        <v>19</v>
      </c>
      <c r="F151" s="29" t="s">
        <v>6323</v>
      </c>
      <c r="H151" s="26" t="s">
        <v>6336</v>
      </c>
      <c r="I151" s="27" t="s">
        <v>53</v>
      </c>
      <c r="J151" s="27" t="s">
        <v>71</v>
      </c>
      <c r="K151" s="26">
        <v>44966</v>
      </c>
      <c r="M151" s="30" t="s">
        <v>6324</v>
      </c>
      <c r="N151" s="24" t="s">
        <v>6324</v>
      </c>
    </row>
    <row r="152" spans="1:14">
      <c r="A152" s="25">
        <v>918843086</v>
      </c>
      <c r="B152" s="26">
        <v>44958</v>
      </c>
      <c r="C152" s="27" t="s">
        <v>5186</v>
      </c>
      <c r="D152" s="28" t="s">
        <v>5187</v>
      </c>
      <c r="E152" s="29" t="s">
        <v>19</v>
      </c>
      <c r="F152" s="29" t="s">
        <v>6323</v>
      </c>
      <c r="H152" s="26" t="s">
        <v>136</v>
      </c>
      <c r="I152" s="27" t="s">
        <v>55</v>
      </c>
      <c r="J152" s="27" t="s">
        <v>52</v>
      </c>
      <c r="K152" s="26">
        <v>44966</v>
      </c>
      <c r="M152" s="30" t="s">
        <v>6324</v>
      </c>
      <c r="N152" s="24" t="s">
        <v>6324</v>
      </c>
    </row>
    <row r="153" spans="1:14">
      <c r="A153" s="25">
        <v>908492096</v>
      </c>
      <c r="B153" s="26">
        <v>44959</v>
      </c>
      <c r="C153" s="27" t="s">
        <v>2499</v>
      </c>
      <c r="D153" s="28" t="s">
        <v>2500</v>
      </c>
      <c r="E153" s="29" t="s">
        <v>20</v>
      </c>
      <c r="F153" s="29" t="s">
        <v>6323</v>
      </c>
      <c r="H153" s="26">
        <v>44959</v>
      </c>
      <c r="I153" s="27" t="s">
        <v>59</v>
      </c>
      <c r="J153" s="27" t="s">
        <v>53</v>
      </c>
      <c r="K153" s="26">
        <v>44966</v>
      </c>
      <c r="M153" s="30" t="s">
        <v>6324</v>
      </c>
      <c r="N153" s="24" t="s">
        <v>6324</v>
      </c>
    </row>
    <row r="154" spans="1:14">
      <c r="A154" s="25">
        <v>907608499</v>
      </c>
      <c r="B154" s="26">
        <v>44963</v>
      </c>
      <c r="C154" s="27" t="s">
        <v>2339</v>
      </c>
      <c r="D154" s="28" t="s">
        <v>2340</v>
      </c>
      <c r="E154" s="29" t="s">
        <v>19</v>
      </c>
      <c r="F154" s="29" t="s">
        <v>6323</v>
      </c>
      <c r="H154" s="26" t="s">
        <v>6337</v>
      </c>
      <c r="I154" s="27" t="s">
        <v>53</v>
      </c>
      <c r="J154" s="27" t="s">
        <v>59</v>
      </c>
      <c r="K154" s="26">
        <v>44966</v>
      </c>
      <c r="M154" s="30" t="s">
        <v>6324</v>
      </c>
      <c r="N154" s="24" t="s">
        <v>6324</v>
      </c>
    </row>
    <row r="155" spans="1:14">
      <c r="A155" s="25">
        <v>918103126</v>
      </c>
      <c r="B155" s="26">
        <v>44964</v>
      </c>
      <c r="C155" s="27" t="s">
        <v>4578</v>
      </c>
      <c r="D155" s="28" t="s">
        <v>4579</v>
      </c>
      <c r="E155" s="29" t="s">
        <v>20</v>
      </c>
      <c r="F155" s="29" t="s">
        <v>6323</v>
      </c>
      <c r="H155" s="26" t="s">
        <v>134</v>
      </c>
      <c r="I155" s="27" t="s">
        <v>54</v>
      </c>
      <c r="J155" s="27" t="s">
        <v>54</v>
      </c>
      <c r="K155" s="26">
        <v>44966</v>
      </c>
      <c r="M155" s="30" t="s">
        <v>6324</v>
      </c>
      <c r="N155" s="24" t="s">
        <v>6324</v>
      </c>
    </row>
    <row r="156" spans="1:14">
      <c r="A156" s="25">
        <v>900076520</v>
      </c>
      <c r="B156" s="26">
        <v>44965</v>
      </c>
      <c r="C156" s="27" t="s">
        <v>1380</v>
      </c>
      <c r="D156" s="28" t="s">
        <v>1381</v>
      </c>
      <c r="E156" s="29" t="s">
        <v>19</v>
      </c>
      <c r="F156" s="29" t="s">
        <v>6323</v>
      </c>
      <c r="H156" s="26" t="s">
        <v>158</v>
      </c>
      <c r="I156" s="27" t="s">
        <v>54</v>
      </c>
      <c r="J156" s="27" t="s">
        <v>54</v>
      </c>
      <c r="K156" s="26">
        <v>44966</v>
      </c>
      <c r="M156" s="30" t="s">
        <v>6324</v>
      </c>
      <c r="N156" s="24" t="s">
        <v>6324</v>
      </c>
    </row>
    <row r="157" spans="1:14">
      <c r="A157" s="25">
        <v>916487005</v>
      </c>
      <c r="B157" s="26">
        <v>44965</v>
      </c>
      <c r="C157" s="27" t="s">
        <v>4126</v>
      </c>
      <c r="D157" s="28" t="s">
        <v>4127</v>
      </c>
      <c r="E157" s="29" t="s">
        <v>25</v>
      </c>
      <c r="F157" s="29" t="s">
        <v>6323</v>
      </c>
      <c r="H157" s="26" t="s">
        <v>136</v>
      </c>
      <c r="J157" s="27" t="s">
        <v>55</v>
      </c>
      <c r="K157" s="26">
        <v>44966</v>
      </c>
      <c r="M157" s="30" t="s">
        <v>6324</v>
      </c>
      <c r="N157" s="24" t="s">
        <v>6324</v>
      </c>
    </row>
    <row r="158" spans="1:14">
      <c r="A158" s="25">
        <v>922962700</v>
      </c>
      <c r="B158" s="26">
        <v>44965</v>
      </c>
      <c r="C158" s="27" t="s">
        <v>5797</v>
      </c>
      <c r="D158" s="28" t="s">
        <v>5798</v>
      </c>
      <c r="E158" s="29" t="s">
        <v>33</v>
      </c>
      <c r="F158" s="29" t="s">
        <v>6323</v>
      </c>
      <c r="H158" s="26" t="s">
        <v>136</v>
      </c>
      <c r="I158" s="27" t="s">
        <v>6338</v>
      </c>
      <c r="J158" s="27" t="s">
        <v>65</v>
      </c>
      <c r="K158" s="26">
        <v>44966</v>
      </c>
      <c r="M158" s="30" t="s">
        <v>6324</v>
      </c>
      <c r="N158" s="24" t="s">
        <v>6324</v>
      </c>
    </row>
    <row r="159" spans="1:14">
      <c r="A159" s="25">
        <v>920216385</v>
      </c>
      <c r="B159" s="26">
        <v>44965</v>
      </c>
      <c r="C159" s="27" t="s">
        <v>5496</v>
      </c>
      <c r="D159" s="28" t="s">
        <v>5497</v>
      </c>
      <c r="E159" s="29" t="s">
        <v>76</v>
      </c>
      <c r="F159" s="29" t="s">
        <v>6323</v>
      </c>
      <c r="H159" s="26" t="s">
        <v>134</v>
      </c>
      <c r="I159" s="27" t="s">
        <v>53</v>
      </c>
      <c r="J159" s="27" t="s">
        <v>53</v>
      </c>
      <c r="K159" s="26">
        <v>44966</v>
      </c>
      <c r="M159" s="30" t="s">
        <v>6324</v>
      </c>
      <c r="N159" s="24" t="s">
        <v>6324</v>
      </c>
    </row>
    <row r="160" spans="1:14">
      <c r="A160" s="25">
        <v>918328884</v>
      </c>
      <c r="B160" s="26">
        <v>44868</v>
      </c>
      <c r="C160" s="27" t="s">
        <v>4668</v>
      </c>
      <c r="D160" s="28" t="s">
        <v>4669</v>
      </c>
      <c r="E160" s="29" t="s">
        <v>19</v>
      </c>
      <c r="F160" s="29" t="s">
        <v>6339</v>
      </c>
      <c r="J160" s="27" t="s">
        <v>66</v>
      </c>
      <c r="K160" s="26">
        <v>44966</v>
      </c>
      <c r="L160" s="24" t="s">
        <v>6340</v>
      </c>
    </row>
    <row r="161" spans="1:14">
      <c r="A161" s="25">
        <v>922962700</v>
      </c>
      <c r="B161" s="26">
        <v>44967</v>
      </c>
      <c r="C161" s="27" t="s">
        <v>5797</v>
      </c>
      <c r="D161" s="28" t="s">
        <v>5798</v>
      </c>
      <c r="E161" s="29" t="s">
        <v>33</v>
      </c>
      <c r="F161" s="29" t="s">
        <v>6323</v>
      </c>
      <c r="H161" s="26" t="s">
        <v>6341</v>
      </c>
      <c r="I161" s="27" t="s">
        <v>56</v>
      </c>
      <c r="J161" s="27" t="s">
        <v>56</v>
      </c>
      <c r="K161" s="26">
        <v>44967</v>
      </c>
      <c r="M161" s="30" t="s">
        <v>6324</v>
      </c>
      <c r="N161" s="24" t="s">
        <v>6324</v>
      </c>
    </row>
    <row r="162" spans="1:14">
      <c r="A162" s="25">
        <v>905387124</v>
      </c>
      <c r="B162" s="26">
        <v>44970</v>
      </c>
      <c r="C162" s="27" t="s">
        <v>2029</v>
      </c>
      <c r="D162" s="28" t="s">
        <v>2030</v>
      </c>
      <c r="E162" s="29" t="s">
        <v>67</v>
      </c>
      <c r="F162" s="29" t="s">
        <v>6323</v>
      </c>
      <c r="H162" s="26" t="s">
        <v>134</v>
      </c>
      <c r="I162" s="27" t="s">
        <v>54</v>
      </c>
      <c r="J162" s="27" t="s">
        <v>53</v>
      </c>
      <c r="K162" s="26">
        <v>44970</v>
      </c>
      <c r="M162" s="30" t="s">
        <v>6324</v>
      </c>
      <c r="N162" s="24" t="s">
        <v>6324</v>
      </c>
    </row>
    <row r="163" spans="1:14">
      <c r="A163" s="25">
        <v>916448980</v>
      </c>
      <c r="B163" s="26">
        <v>44810</v>
      </c>
      <c r="C163" s="27" t="s">
        <v>4050</v>
      </c>
      <c r="D163" s="28" t="s">
        <v>4051</v>
      </c>
      <c r="E163" s="29" t="s">
        <v>25</v>
      </c>
      <c r="G163" s="29" t="s">
        <v>22</v>
      </c>
      <c r="H163" s="26" t="s">
        <v>124</v>
      </c>
      <c r="J163" s="27" t="s">
        <v>56</v>
      </c>
      <c r="K163" s="26">
        <v>44972</v>
      </c>
      <c r="M163" s="30" t="s">
        <v>6323</v>
      </c>
      <c r="N163" s="24" t="s">
        <v>6323</v>
      </c>
    </row>
    <row r="164" spans="1:14">
      <c r="A164" s="25">
        <v>918825172</v>
      </c>
      <c r="B164" s="26">
        <v>44972</v>
      </c>
      <c r="C164" s="27" t="s">
        <v>4732</v>
      </c>
      <c r="D164" s="28" t="s">
        <v>4733</v>
      </c>
      <c r="E164" s="29" t="s">
        <v>19</v>
      </c>
      <c r="F164" s="29" t="s">
        <v>6323</v>
      </c>
      <c r="H164" s="26" t="s">
        <v>134</v>
      </c>
      <c r="I164" s="27" t="s">
        <v>54</v>
      </c>
      <c r="J164" s="27" t="s">
        <v>54</v>
      </c>
      <c r="K164" s="26">
        <v>44972</v>
      </c>
      <c r="M164" s="30" t="s">
        <v>6324</v>
      </c>
      <c r="N164" s="24" t="s">
        <v>6324</v>
      </c>
    </row>
    <row r="165" spans="1:14">
      <c r="A165" s="25">
        <v>922233959</v>
      </c>
      <c r="B165" s="26">
        <v>44972</v>
      </c>
      <c r="C165" s="27" t="s">
        <v>5672</v>
      </c>
      <c r="D165" s="28" t="s">
        <v>5673</v>
      </c>
      <c r="E165" s="29" t="s">
        <v>146</v>
      </c>
      <c r="F165" s="29" t="s">
        <v>6323</v>
      </c>
      <c r="H165" s="26" t="s">
        <v>134</v>
      </c>
      <c r="I165" s="27" t="s">
        <v>54</v>
      </c>
      <c r="J165" s="27" t="s">
        <v>74</v>
      </c>
      <c r="K165" s="26">
        <v>44972</v>
      </c>
      <c r="L165" s="24" t="s">
        <v>6342</v>
      </c>
      <c r="M165" s="30" t="s">
        <v>6324</v>
      </c>
      <c r="N165" s="24" t="s">
        <v>6324</v>
      </c>
    </row>
    <row r="166" spans="1:14">
      <c r="A166" s="25">
        <v>922233959</v>
      </c>
      <c r="B166" s="26">
        <v>44972</v>
      </c>
      <c r="C166" s="27" t="s">
        <v>5672</v>
      </c>
      <c r="D166" s="28" t="s">
        <v>5673</v>
      </c>
      <c r="E166" s="29" t="s">
        <v>23</v>
      </c>
      <c r="F166" s="29" t="s">
        <v>6323</v>
      </c>
      <c r="H166" s="26" t="s">
        <v>134</v>
      </c>
      <c r="I166" s="27" t="s">
        <v>54</v>
      </c>
      <c r="J166" s="27" t="s">
        <v>74</v>
      </c>
      <c r="K166" s="26">
        <v>44972</v>
      </c>
      <c r="L166" s="24" t="s">
        <v>6342</v>
      </c>
      <c r="M166" s="30" t="s">
        <v>6324</v>
      </c>
      <c r="N166" s="24" t="s">
        <v>6324</v>
      </c>
    </row>
    <row r="167" spans="1:14">
      <c r="A167" s="25">
        <v>908504810</v>
      </c>
      <c r="B167" s="26">
        <v>44874</v>
      </c>
      <c r="C167" s="27" t="s">
        <v>2523</v>
      </c>
      <c r="D167" s="28" t="s">
        <v>2524</v>
      </c>
      <c r="E167" s="29" t="s">
        <v>16</v>
      </c>
      <c r="H167" s="26" t="s">
        <v>125</v>
      </c>
      <c r="I167" s="27" t="s">
        <v>47</v>
      </c>
      <c r="J167" s="27" t="s">
        <v>59</v>
      </c>
      <c r="K167" s="26">
        <v>44973</v>
      </c>
      <c r="M167" s="30" t="s">
        <v>6323</v>
      </c>
      <c r="N167" s="24" t="s">
        <v>6323</v>
      </c>
    </row>
    <row r="168" spans="1:14">
      <c r="A168" s="25">
        <v>905284034</v>
      </c>
      <c r="B168" s="26">
        <v>44971</v>
      </c>
      <c r="C168" s="27" t="s">
        <v>2007</v>
      </c>
      <c r="D168" s="28" t="s">
        <v>2008</v>
      </c>
      <c r="E168" s="29" t="s">
        <v>28</v>
      </c>
      <c r="F168" s="29" t="s">
        <v>6323</v>
      </c>
      <c r="H168" s="26" t="s">
        <v>158</v>
      </c>
      <c r="I168" s="27" t="s">
        <v>69</v>
      </c>
      <c r="J168" s="27" t="s">
        <v>59</v>
      </c>
      <c r="K168" s="26">
        <v>44973</v>
      </c>
      <c r="M168" s="30" t="s">
        <v>6324</v>
      </c>
      <c r="N168" s="24" t="s">
        <v>6324</v>
      </c>
    </row>
    <row r="169" spans="1:14">
      <c r="A169" s="25">
        <v>907441085</v>
      </c>
      <c r="B169" s="26">
        <v>44972</v>
      </c>
      <c r="C169" s="27" t="s">
        <v>2281</v>
      </c>
      <c r="D169" s="28" t="s">
        <v>2282</v>
      </c>
      <c r="E169" s="29" t="s">
        <v>35</v>
      </c>
      <c r="F169" s="29" t="s">
        <v>6323</v>
      </c>
      <c r="G169" s="29" t="s">
        <v>6279</v>
      </c>
      <c r="H169" s="26">
        <v>44973</v>
      </c>
      <c r="I169" s="27" t="s">
        <v>71</v>
      </c>
      <c r="J169" s="27" t="s">
        <v>61</v>
      </c>
      <c r="K169" s="26">
        <v>44973</v>
      </c>
      <c r="M169" s="30" t="s">
        <v>6324</v>
      </c>
      <c r="N169" s="24" t="s">
        <v>6324</v>
      </c>
    </row>
    <row r="170" spans="1:14">
      <c r="A170" s="25">
        <v>904261844</v>
      </c>
      <c r="B170" s="26">
        <v>44860</v>
      </c>
      <c r="C170" s="27" t="s">
        <v>1871</v>
      </c>
      <c r="D170" s="28" t="s">
        <v>1872</v>
      </c>
      <c r="E170" s="29" t="s">
        <v>30</v>
      </c>
      <c r="H170" s="26" t="s">
        <v>125</v>
      </c>
      <c r="J170" s="27" t="s">
        <v>71</v>
      </c>
      <c r="K170" s="26">
        <v>44974</v>
      </c>
      <c r="M170" s="30" t="s">
        <v>6323</v>
      </c>
      <c r="N170" s="24" t="s">
        <v>6323</v>
      </c>
    </row>
    <row r="171" spans="1:14">
      <c r="A171" s="25">
        <v>913786515</v>
      </c>
      <c r="B171" s="26">
        <v>44971</v>
      </c>
      <c r="C171" s="27" t="s">
        <v>3676</v>
      </c>
      <c r="D171" s="28" t="s">
        <v>3677</v>
      </c>
      <c r="E171" s="29" t="s">
        <v>138</v>
      </c>
      <c r="F171" s="29" t="s">
        <v>6323</v>
      </c>
      <c r="H171" s="26" t="s">
        <v>124</v>
      </c>
      <c r="I171" s="27" t="s">
        <v>53</v>
      </c>
      <c r="J171" s="27" t="s">
        <v>53</v>
      </c>
      <c r="K171" s="26">
        <v>44974</v>
      </c>
      <c r="M171" s="30" t="s">
        <v>6324</v>
      </c>
      <c r="N171" s="24" t="s">
        <v>6324</v>
      </c>
    </row>
    <row r="172" spans="1:14">
      <c r="A172" s="25">
        <v>904647684</v>
      </c>
      <c r="B172" s="26">
        <v>44974</v>
      </c>
      <c r="C172" s="27" t="s">
        <v>1931</v>
      </c>
      <c r="D172" s="28" t="s">
        <v>1932</v>
      </c>
      <c r="E172" s="29" t="s">
        <v>20</v>
      </c>
      <c r="F172" s="29" t="s">
        <v>6323</v>
      </c>
      <c r="J172" s="27" t="s">
        <v>71</v>
      </c>
      <c r="K172" s="26">
        <v>44974</v>
      </c>
      <c r="M172" s="30" t="s">
        <v>6324</v>
      </c>
      <c r="N172" s="24" t="s">
        <v>6324</v>
      </c>
    </row>
    <row r="173" spans="1:14">
      <c r="A173" s="25">
        <v>905387124</v>
      </c>
      <c r="B173" s="26">
        <v>44973</v>
      </c>
      <c r="C173" s="27" t="s">
        <v>2029</v>
      </c>
      <c r="D173" s="28" t="s">
        <v>2030</v>
      </c>
      <c r="E173" s="29" t="s">
        <v>67</v>
      </c>
      <c r="F173" s="29" t="s">
        <v>6323</v>
      </c>
      <c r="H173" s="26" t="s">
        <v>124</v>
      </c>
      <c r="I173" s="27" t="s">
        <v>59</v>
      </c>
      <c r="J173" s="27" t="s">
        <v>70</v>
      </c>
      <c r="K173" s="26">
        <v>44977</v>
      </c>
      <c r="M173" s="30" t="s">
        <v>6324</v>
      </c>
      <c r="N173" s="24" t="s">
        <v>6324</v>
      </c>
    </row>
    <row r="174" spans="1:14">
      <c r="A174" s="25">
        <v>912971740</v>
      </c>
      <c r="B174" s="26">
        <v>44977</v>
      </c>
      <c r="C174" s="27" t="s">
        <v>3436</v>
      </c>
      <c r="D174" s="28" t="s">
        <v>3437</v>
      </c>
      <c r="E174" s="29" t="s">
        <v>83</v>
      </c>
      <c r="F174" s="29" t="s">
        <v>171</v>
      </c>
      <c r="H174" s="26">
        <v>44977</v>
      </c>
      <c r="I174" s="27" t="s">
        <v>52</v>
      </c>
      <c r="J174" s="27" t="s">
        <v>66</v>
      </c>
      <c r="K174" s="26">
        <v>44977</v>
      </c>
    </row>
    <row r="175" spans="1:14">
      <c r="A175" s="25">
        <v>916479400</v>
      </c>
      <c r="B175" s="26">
        <v>44977</v>
      </c>
      <c r="C175" s="27" t="s">
        <v>4098</v>
      </c>
      <c r="D175" s="28" t="s">
        <v>4099</v>
      </c>
      <c r="E175" s="29" t="s">
        <v>20</v>
      </c>
      <c r="F175" s="29" t="s">
        <v>171</v>
      </c>
      <c r="H175" s="26" t="s">
        <v>6343</v>
      </c>
      <c r="I175" s="27" t="s">
        <v>69</v>
      </c>
      <c r="J175" s="27" t="s">
        <v>66</v>
      </c>
      <c r="K175" s="26">
        <v>44977</v>
      </c>
    </row>
    <row r="176" spans="1:14">
      <c r="A176" s="25">
        <v>913664458</v>
      </c>
      <c r="B176" s="26">
        <v>44805</v>
      </c>
      <c r="C176" s="27" t="s">
        <v>3552</v>
      </c>
      <c r="D176" s="28" t="s">
        <v>3553</v>
      </c>
      <c r="E176" s="29" t="s">
        <v>19</v>
      </c>
      <c r="F176" s="29" t="s">
        <v>171</v>
      </c>
      <c r="G176" s="29" t="s">
        <v>15</v>
      </c>
      <c r="H176" s="26" t="s">
        <v>124</v>
      </c>
      <c r="J176" s="27" t="s">
        <v>61</v>
      </c>
      <c r="K176" s="26">
        <v>44978</v>
      </c>
    </row>
    <row r="177" spans="1:12">
      <c r="A177" s="25">
        <v>906520763</v>
      </c>
      <c r="B177" s="26">
        <v>44979</v>
      </c>
      <c r="C177" s="27" t="s">
        <v>2153</v>
      </c>
      <c r="D177" s="28" t="s">
        <v>2154</v>
      </c>
      <c r="E177" s="29" t="s">
        <v>23</v>
      </c>
      <c r="F177" s="29" t="s">
        <v>171</v>
      </c>
      <c r="J177" s="27" t="s">
        <v>54</v>
      </c>
      <c r="K177" s="26">
        <v>44979</v>
      </c>
      <c r="L177" s="24" t="s">
        <v>6344</v>
      </c>
    </row>
    <row r="178" spans="1:12">
      <c r="A178" s="25">
        <v>918825172</v>
      </c>
      <c r="B178" s="26">
        <v>44979</v>
      </c>
      <c r="C178" s="27" t="s">
        <v>4732</v>
      </c>
      <c r="D178" s="28" t="s">
        <v>4733</v>
      </c>
      <c r="E178" s="29" t="s">
        <v>19</v>
      </c>
      <c r="F178" s="29" t="s">
        <v>6339</v>
      </c>
      <c r="H178" s="26" t="s">
        <v>134</v>
      </c>
      <c r="I178" s="27" t="s">
        <v>66</v>
      </c>
      <c r="J178" s="27" t="s">
        <v>54</v>
      </c>
      <c r="K178" s="26">
        <v>44979</v>
      </c>
    </row>
    <row r="179" spans="1:12">
      <c r="A179" s="25">
        <v>920886080</v>
      </c>
      <c r="B179" s="26">
        <v>44979</v>
      </c>
      <c r="C179" s="27" t="s">
        <v>5560</v>
      </c>
      <c r="D179" s="28" t="s">
        <v>5561</v>
      </c>
      <c r="E179" s="29" t="s">
        <v>151</v>
      </c>
      <c r="F179" s="29" t="s">
        <v>171</v>
      </c>
      <c r="G179" s="29">
        <v>70337</v>
      </c>
      <c r="H179" s="26" t="s">
        <v>6345</v>
      </c>
      <c r="I179" s="27" t="s">
        <v>73</v>
      </c>
      <c r="J179" s="27" t="s">
        <v>54</v>
      </c>
      <c r="K179" s="26">
        <v>44979</v>
      </c>
    </row>
    <row r="180" spans="1:12">
      <c r="A180" s="25">
        <v>922233959</v>
      </c>
      <c r="B180" s="26">
        <v>44979</v>
      </c>
      <c r="C180" s="27" t="s">
        <v>5672</v>
      </c>
      <c r="D180" s="28" t="s">
        <v>5673</v>
      </c>
      <c r="E180" s="29" t="s">
        <v>36</v>
      </c>
      <c r="F180" s="29" t="s">
        <v>171</v>
      </c>
      <c r="H180" s="26" t="s">
        <v>136</v>
      </c>
      <c r="I180" s="27" t="s">
        <v>54</v>
      </c>
      <c r="J180" s="27" t="s">
        <v>54</v>
      </c>
      <c r="K180" s="26">
        <v>44979</v>
      </c>
    </row>
    <row r="181" spans="1:12">
      <c r="A181" s="25">
        <v>922233959</v>
      </c>
      <c r="B181" s="26">
        <v>44979</v>
      </c>
      <c r="C181" s="27" t="s">
        <v>5672</v>
      </c>
      <c r="D181" s="28" t="s">
        <v>5673</v>
      </c>
      <c r="E181" s="29" t="s">
        <v>58</v>
      </c>
      <c r="F181" s="29" t="s">
        <v>171</v>
      </c>
      <c r="H181" s="26" t="s">
        <v>136</v>
      </c>
      <c r="I181" s="27" t="s">
        <v>54</v>
      </c>
      <c r="J181" s="27" t="s">
        <v>6346</v>
      </c>
      <c r="K181" s="26">
        <v>44979</v>
      </c>
    </row>
    <row r="182" spans="1:12">
      <c r="A182" s="25">
        <v>918833115</v>
      </c>
      <c r="B182" s="26">
        <v>44957</v>
      </c>
      <c r="C182" s="27" t="s">
        <v>4932</v>
      </c>
      <c r="D182" s="28" t="s">
        <v>4933</v>
      </c>
      <c r="E182" s="29" t="s">
        <v>67</v>
      </c>
      <c r="F182" s="29" t="s">
        <v>171</v>
      </c>
      <c r="G182" s="29" t="s">
        <v>6330</v>
      </c>
      <c r="H182" s="26" t="s">
        <v>127</v>
      </c>
      <c r="I182" s="27" t="s">
        <v>68</v>
      </c>
      <c r="J182" s="27" t="s">
        <v>59</v>
      </c>
      <c r="K182" s="26">
        <v>44980</v>
      </c>
    </row>
    <row r="183" spans="1:12">
      <c r="A183" s="25">
        <v>913707644</v>
      </c>
      <c r="B183" s="26">
        <v>44980</v>
      </c>
      <c r="C183" s="27" t="s">
        <v>3586</v>
      </c>
      <c r="D183" s="28" t="s">
        <v>3587</v>
      </c>
      <c r="E183" s="29" t="s">
        <v>19</v>
      </c>
      <c r="F183" s="29" t="s">
        <v>171</v>
      </c>
      <c r="H183" s="26" t="s">
        <v>6347</v>
      </c>
      <c r="I183" s="27" t="s">
        <v>61</v>
      </c>
      <c r="J183" s="27" t="s">
        <v>66</v>
      </c>
      <c r="K183" s="26">
        <v>44980</v>
      </c>
    </row>
    <row r="184" spans="1:12">
      <c r="A184" s="25">
        <v>921688843</v>
      </c>
      <c r="B184" s="26">
        <v>44980</v>
      </c>
      <c r="C184" s="27" t="s">
        <v>5628</v>
      </c>
      <c r="D184" s="28" t="s">
        <v>5629</v>
      </c>
      <c r="E184" s="29" t="s">
        <v>6348</v>
      </c>
      <c r="F184" s="29" t="s">
        <v>171</v>
      </c>
      <c r="H184" s="26" t="s">
        <v>6349</v>
      </c>
      <c r="I184" s="27" t="s">
        <v>70</v>
      </c>
      <c r="J184" s="27" t="s">
        <v>70</v>
      </c>
      <c r="K184" s="26">
        <v>44980</v>
      </c>
    </row>
    <row r="185" spans="1:12">
      <c r="A185" s="25">
        <v>908492564</v>
      </c>
      <c r="B185" s="26">
        <v>44980</v>
      </c>
      <c r="C185" s="27" t="s">
        <v>2509</v>
      </c>
      <c r="D185" s="28" t="s">
        <v>2510</v>
      </c>
      <c r="E185" s="29" t="s">
        <v>19</v>
      </c>
      <c r="F185" s="29" t="s">
        <v>171</v>
      </c>
      <c r="H185" s="26">
        <v>44985</v>
      </c>
      <c r="I185" s="27" t="s">
        <v>61</v>
      </c>
      <c r="J185" s="27" t="s">
        <v>52</v>
      </c>
      <c r="K185" s="26">
        <v>44980</v>
      </c>
    </row>
    <row r="186" spans="1:12">
      <c r="A186" s="25">
        <v>900001679</v>
      </c>
      <c r="B186" s="26">
        <v>44981</v>
      </c>
      <c r="C186" s="27" t="s">
        <v>401</v>
      </c>
      <c r="D186" s="28" t="s">
        <v>402</v>
      </c>
      <c r="E186" s="29" t="s">
        <v>183</v>
      </c>
      <c r="F186" s="29" t="s">
        <v>6339</v>
      </c>
      <c r="H186" s="26" t="s">
        <v>6350</v>
      </c>
      <c r="I186" s="27" t="s">
        <v>66</v>
      </c>
      <c r="J186" s="27" t="s">
        <v>53</v>
      </c>
      <c r="K186" s="26">
        <v>44981</v>
      </c>
      <c r="L186" s="24" t="s">
        <v>6351</v>
      </c>
    </row>
    <row r="187" spans="1:12">
      <c r="A187" s="25">
        <v>900001679</v>
      </c>
      <c r="B187" s="26">
        <v>44981</v>
      </c>
      <c r="C187" s="27" t="s">
        <v>401</v>
      </c>
      <c r="D187" s="28" t="s">
        <v>402</v>
      </c>
      <c r="E187" s="29" t="s">
        <v>183</v>
      </c>
      <c r="F187" s="29" t="s">
        <v>6339</v>
      </c>
      <c r="H187" s="26" t="s">
        <v>6350</v>
      </c>
      <c r="I187" s="27" t="s">
        <v>66</v>
      </c>
      <c r="J187" s="27" t="s">
        <v>53</v>
      </c>
      <c r="K187" s="26">
        <v>44981</v>
      </c>
    </row>
    <row r="188" spans="1:12">
      <c r="A188" s="25">
        <v>900001679</v>
      </c>
      <c r="B188" s="26">
        <v>44981</v>
      </c>
      <c r="C188" s="27" t="s">
        <v>401</v>
      </c>
      <c r="D188" s="28" t="s">
        <v>402</v>
      </c>
      <c r="E188" s="29" t="s">
        <v>183</v>
      </c>
      <c r="F188" s="29" t="s">
        <v>6339</v>
      </c>
      <c r="H188" s="26" t="s">
        <v>6350</v>
      </c>
      <c r="I188" s="27" t="s">
        <v>66</v>
      </c>
      <c r="J188" s="27" t="s">
        <v>53</v>
      </c>
      <c r="K188" s="26">
        <v>44981</v>
      </c>
    </row>
    <row r="189" spans="1:12">
      <c r="A189" s="25">
        <v>900001679</v>
      </c>
      <c r="B189" s="26">
        <v>44981</v>
      </c>
      <c r="C189" s="27" t="s">
        <v>401</v>
      </c>
      <c r="D189" s="28" t="s">
        <v>402</v>
      </c>
      <c r="E189" s="29" t="s">
        <v>183</v>
      </c>
      <c r="F189" s="29" t="s">
        <v>6339</v>
      </c>
      <c r="H189" s="26" t="s">
        <v>6350</v>
      </c>
      <c r="I189" s="27" t="s">
        <v>66</v>
      </c>
      <c r="J189" s="27" t="s">
        <v>53</v>
      </c>
      <c r="K189" s="26">
        <v>44981</v>
      </c>
    </row>
    <row r="190" spans="1:12">
      <c r="A190" s="25">
        <v>900001679</v>
      </c>
      <c r="B190" s="26">
        <v>44981</v>
      </c>
      <c r="C190" s="27" t="s">
        <v>401</v>
      </c>
      <c r="D190" s="28" t="s">
        <v>402</v>
      </c>
      <c r="E190" s="29" t="s">
        <v>183</v>
      </c>
      <c r="F190" s="29" t="s">
        <v>6339</v>
      </c>
      <c r="H190" s="26" t="s">
        <v>6350</v>
      </c>
      <c r="I190" s="27" t="s">
        <v>66</v>
      </c>
      <c r="J190" s="27" t="s">
        <v>53</v>
      </c>
      <c r="K190" s="26">
        <v>44981</v>
      </c>
    </row>
    <row r="191" spans="1:12">
      <c r="A191" s="25">
        <v>900001679</v>
      </c>
      <c r="B191" s="26">
        <v>44981</v>
      </c>
      <c r="C191" s="27" t="s">
        <v>401</v>
      </c>
      <c r="D191" s="28" t="s">
        <v>402</v>
      </c>
      <c r="E191" s="29" t="s">
        <v>183</v>
      </c>
      <c r="F191" s="29" t="s">
        <v>6339</v>
      </c>
      <c r="H191" s="26" t="s">
        <v>6350</v>
      </c>
      <c r="I191" s="27" t="s">
        <v>66</v>
      </c>
      <c r="J191" s="27" t="s">
        <v>53</v>
      </c>
      <c r="K191" s="26">
        <v>44981</v>
      </c>
    </row>
    <row r="192" spans="1:12">
      <c r="A192" s="25">
        <v>900006047</v>
      </c>
      <c r="B192" s="26">
        <v>44970</v>
      </c>
      <c r="C192" s="27" t="s">
        <v>505</v>
      </c>
      <c r="D192" s="28" t="s">
        <v>506</v>
      </c>
      <c r="E192" s="29" t="s">
        <v>140</v>
      </c>
      <c r="F192" s="29" t="s">
        <v>171</v>
      </c>
      <c r="H192" s="26" t="s">
        <v>6352</v>
      </c>
      <c r="I192" s="27" t="s">
        <v>71</v>
      </c>
      <c r="J192" s="27" t="s">
        <v>71</v>
      </c>
      <c r="K192" s="26">
        <v>44984</v>
      </c>
    </row>
    <row r="193" spans="1:13">
      <c r="A193" s="25">
        <v>900025950</v>
      </c>
      <c r="B193" s="26">
        <v>44970</v>
      </c>
      <c r="C193" s="27" t="s">
        <v>928</v>
      </c>
      <c r="D193" s="28" t="s">
        <v>929</v>
      </c>
      <c r="E193" s="29" t="s">
        <v>36</v>
      </c>
      <c r="F193" s="29" t="s">
        <v>171</v>
      </c>
      <c r="H193" s="26">
        <v>44984</v>
      </c>
      <c r="I193" s="27" t="s">
        <v>54</v>
      </c>
      <c r="J193" s="27" t="s">
        <v>6353</v>
      </c>
      <c r="K193" s="26">
        <v>44984</v>
      </c>
    </row>
    <row r="194" spans="1:13">
      <c r="A194" s="25">
        <v>922230410</v>
      </c>
      <c r="B194" s="26">
        <v>44984</v>
      </c>
      <c r="C194" s="27" t="s">
        <v>5668</v>
      </c>
      <c r="D194" s="28" t="s">
        <v>5669</v>
      </c>
      <c r="E194" s="29" t="s">
        <v>19</v>
      </c>
      <c r="F194" s="29" t="s">
        <v>6339</v>
      </c>
      <c r="H194" s="26" t="s">
        <v>142</v>
      </c>
      <c r="I194" s="27" t="s">
        <v>54</v>
      </c>
      <c r="J194" s="27" t="s">
        <v>54</v>
      </c>
      <c r="K194" s="26">
        <v>44984</v>
      </c>
    </row>
    <row r="195" spans="1:13">
      <c r="A195" s="25">
        <v>900009713</v>
      </c>
      <c r="B195" s="26">
        <v>44974</v>
      </c>
      <c r="C195" s="27" t="s">
        <v>609</v>
      </c>
      <c r="D195" s="28" t="s">
        <v>610</v>
      </c>
      <c r="E195" s="29" t="s">
        <v>6354</v>
      </c>
      <c r="F195" s="29" t="s">
        <v>6339</v>
      </c>
      <c r="G195" s="29" t="s">
        <v>6355</v>
      </c>
      <c r="H195" s="26" t="s">
        <v>6356</v>
      </c>
      <c r="I195" s="27" t="s">
        <v>71</v>
      </c>
      <c r="K195" s="26" t="s">
        <v>1</v>
      </c>
    </row>
    <row r="196" spans="1:13">
      <c r="A196" s="25">
        <v>900009713</v>
      </c>
      <c r="B196" s="26">
        <v>44974</v>
      </c>
      <c r="C196" s="27" t="s">
        <v>609</v>
      </c>
      <c r="D196" s="28" t="s">
        <v>610</v>
      </c>
      <c r="E196" s="29" t="s">
        <v>6354</v>
      </c>
      <c r="F196" s="29" t="s">
        <v>6339</v>
      </c>
      <c r="G196" s="29" t="s">
        <v>6357</v>
      </c>
      <c r="H196" s="26" t="s">
        <v>6356</v>
      </c>
      <c r="I196" s="27" t="s">
        <v>71</v>
      </c>
      <c r="K196" s="26" t="s">
        <v>1</v>
      </c>
    </row>
    <row r="197" spans="1:13">
      <c r="A197" s="25">
        <v>900004942</v>
      </c>
      <c r="B197" s="26">
        <v>44981</v>
      </c>
      <c r="C197" s="27" t="s">
        <v>483</v>
      </c>
      <c r="D197" s="28" t="s">
        <v>484</v>
      </c>
      <c r="E197" s="29" t="s">
        <v>133</v>
      </c>
      <c r="F197" s="29" t="s">
        <v>171</v>
      </c>
      <c r="H197" s="26">
        <v>44984</v>
      </c>
      <c r="I197" s="27" t="s">
        <v>53</v>
      </c>
      <c r="J197" s="27" t="s">
        <v>61</v>
      </c>
      <c r="K197" s="26">
        <v>44985</v>
      </c>
    </row>
    <row r="198" spans="1:13">
      <c r="A198" s="25">
        <v>900004942</v>
      </c>
      <c r="B198" s="26">
        <v>44981</v>
      </c>
      <c r="C198" s="27" t="s">
        <v>483</v>
      </c>
      <c r="D198" s="28" t="s">
        <v>484</v>
      </c>
      <c r="E198" s="29" t="s">
        <v>6328</v>
      </c>
      <c r="F198" s="29" t="s">
        <v>171</v>
      </c>
      <c r="H198" s="26">
        <v>44984</v>
      </c>
      <c r="I198" s="27" t="s">
        <v>53</v>
      </c>
      <c r="J198" s="27" t="s">
        <v>61</v>
      </c>
      <c r="K198" s="26">
        <v>44985</v>
      </c>
    </row>
    <row r="199" spans="1:13">
      <c r="A199" s="25">
        <v>900004942</v>
      </c>
      <c r="B199" s="26">
        <v>44981</v>
      </c>
      <c r="C199" s="27" t="s">
        <v>483</v>
      </c>
      <c r="D199" s="28" t="s">
        <v>484</v>
      </c>
      <c r="E199" s="29" t="s">
        <v>19</v>
      </c>
      <c r="F199" s="29" t="s">
        <v>171</v>
      </c>
      <c r="H199" s="26">
        <v>44984</v>
      </c>
      <c r="I199" s="27" t="s">
        <v>53</v>
      </c>
      <c r="J199" s="27" t="s">
        <v>61</v>
      </c>
      <c r="K199" s="26">
        <v>44985</v>
      </c>
    </row>
    <row r="200" spans="1:13">
      <c r="A200" s="25">
        <v>900004942</v>
      </c>
      <c r="B200" s="26">
        <v>44981</v>
      </c>
      <c r="C200" s="27" t="s">
        <v>483</v>
      </c>
      <c r="D200" s="28" t="s">
        <v>484</v>
      </c>
      <c r="E200" s="29" t="s">
        <v>227</v>
      </c>
      <c r="F200" s="29" t="s">
        <v>171</v>
      </c>
      <c r="H200" s="26">
        <v>44984</v>
      </c>
      <c r="I200" s="27" t="s">
        <v>53</v>
      </c>
      <c r="J200" s="27" t="s">
        <v>69</v>
      </c>
      <c r="K200" s="26">
        <v>44985</v>
      </c>
    </row>
    <row r="201" spans="1:13">
      <c r="A201" s="25">
        <v>907570981</v>
      </c>
      <c r="B201" s="26">
        <v>44984</v>
      </c>
      <c r="C201" s="27" t="s">
        <v>2317</v>
      </c>
      <c r="D201" s="28" t="s">
        <v>2318</v>
      </c>
      <c r="E201" s="29" t="s">
        <v>36</v>
      </c>
      <c r="F201" s="29" t="s">
        <v>171</v>
      </c>
      <c r="H201" s="26">
        <v>44984</v>
      </c>
      <c r="I201" s="27" t="s">
        <v>59</v>
      </c>
      <c r="J201" s="27" t="s">
        <v>53</v>
      </c>
      <c r="K201" s="26">
        <v>44985</v>
      </c>
    </row>
    <row r="202" spans="1:13">
      <c r="A202" s="25">
        <v>900520457</v>
      </c>
      <c r="B202" s="26">
        <v>44960</v>
      </c>
      <c r="C202" s="27" t="s">
        <v>1420</v>
      </c>
      <c r="D202" s="47" t="s">
        <v>1421</v>
      </c>
      <c r="E202" s="29" t="s">
        <v>38</v>
      </c>
      <c r="F202" s="29" t="s">
        <v>171</v>
      </c>
      <c r="G202" s="29" t="s">
        <v>6358</v>
      </c>
      <c r="H202" s="26">
        <v>44985</v>
      </c>
      <c r="I202" s="27" t="s">
        <v>74</v>
      </c>
      <c r="J202" s="26" t="s">
        <v>53</v>
      </c>
      <c r="K202" s="26">
        <v>44985</v>
      </c>
      <c r="M202" s="48"/>
    </row>
    <row r="203" spans="1:13">
      <c r="A203" s="25">
        <v>922233959</v>
      </c>
      <c r="B203" s="26">
        <v>44965</v>
      </c>
      <c r="C203" s="27" t="s">
        <v>5672</v>
      </c>
      <c r="D203" s="47" t="s">
        <v>5673</v>
      </c>
      <c r="E203" s="29" t="s">
        <v>146</v>
      </c>
      <c r="F203" s="29" t="s">
        <v>6339</v>
      </c>
      <c r="H203" s="26">
        <v>44965</v>
      </c>
      <c r="J203" s="26" t="s">
        <v>52</v>
      </c>
      <c r="K203" s="26">
        <v>44986</v>
      </c>
      <c r="L203" s="24" t="s">
        <v>6342</v>
      </c>
      <c r="M203" s="48"/>
    </row>
    <row r="204" spans="1:13">
      <c r="A204" s="25">
        <v>900020711</v>
      </c>
      <c r="B204" s="26">
        <v>44981</v>
      </c>
      <c r="C204" s="27" t="s">
        <v>856</v>
      </c>
      <c r="D204" s="47" t="s">
        <v>857</v>
      </c>
      <c r="E204" s="29" t="s">
        <v>19</v>
      </c>
      <c r="F204" s="29" t="s">
        <v>171</v>
      </c>
      <c r="H204" s="26">
        <v>44988</v>
      </c>
      <c r="I204" s="27" t="s">
        <v>73</v>
      </c>
      <c r="J204" s="26" t="s">
        <v>71</v>
      </c>
      <c r="K204" s="26">
        <v>44986</v>
      </c>
      <c r="M204" s="48"/>
    </row>
    <row r="205" spans="1:13">
      <c r="A205" s="25">
        <v>900004942</v>
      </c>
      <c r="B205" s="26">
        <v>44981</v>
      </c>
      <c r="C205" s="27" t="s">
        <v>483</v>
      </c>
      <c r="D205" s="47" t="s">
        <v>484</v>
      </c>
      <c r="E205" s="29" t="s">
        <v>146</v>
      </c>
      <c r="F205" s="29" t="s">
        <v>171</v>
      </c>
      <c r="H205" s="26">
        <v>44984</v>
      </c>
      <c r="I205" s="27" t="s">
        <v>53</v>
      </c>
      <c r="J205" s="26" t="s">
        <v>55</v>
      </c>
      <c r="K205" s="26">
        <v>44985</v>
      </c>
      <c r="M205" s="48"/>
    </row>
    <row r="206" spans="1:13">
      <c r="A206" s="25">
        <v>900012001</v>
      </c>
      <c r="B206" s="26">
        <v>44831</v>
      </c>
      <c r="C206" s="27" t="s">
        <v>661</v>
      </c>
      <c r="D206" s="28" t="s">
        <v>662</v>
      </c>
      <c r="E206" s="29" t="s">
        <v>25</v>
      </c>
      <c r="F206" s="29" t="s">
        <v>171</v>
      </c>
      <c r="H206" s="26">
        <v>45282</v>
      </c>
      <c r="J206" s="27" t="s">
        <v>61</v>
      </c>
      <c r="K206" s="26">
        <v>44992</v>
      </c>
    </row>
    <row r="207" spans="1:13">
      <c r="A207" s="25">
        <v>916479452</v>
      </c>
      <c r="B207" s="26">
        <v>44874</v>
      </c>
      <c r="C207" s="27" t="s">
        <v>4102</v>
      </c>
      <c r="D207" s="28" t="s">
        <v>4103</v>
      </c>
      <c r="E207" s="29" t="s">
        <v>152</v>
      </c>
      <c r="F207" s="29" t="s">
        <v>171</v>
      </c>
      <c r="H207" s="26">
        <v>44995</v>
      </c>
      <c r="I207" s="27" t="s">
        <v>47</v>
      </c>
      <c r="J207" s="27" t="s">
        <v>61</v>
      </c>
      <c r="K207" s="26">
        <v>44992</v>
      </c>
    </row>
    <row r="208" spans="1:13">
      <c r="A208" s="25">
        <v>917182843</v>
      </c>
      <c r="B208" s="26">
        <v>44874</v>
      </c>
      <c r="C208" s="27" t="s">
        <v>4256</v>
      </c>
      <c r="D208" s="28" t="s">
        <v>4257</v>
      </c>
      <c r="E208" s="29" t="s">
        <v>28</v>
      </c>
      <c r="F208" s="29" t="s">
        <v>171</v>
      </c>
      <c r="H208" s="26">
        <v>45282</v>
      </c>
      <c r="I208" s="27" t="s">
        <v>47</v>
      </c>
      <c r="J208" s="27" t="s">
        <v>54</v>
      </c>
      <c r="K208" s="26">
        <v>44991</v>
      </c>
    </row>
    <row r="209" spans="1:13">
      <c r="A209" s="25">
        <v>900520457</v>
      </c>
      <c r="B209" s="26">
        <v>44960</v>
      </c>
      <c r="C209" s="27" t="s">
        <v>1420</v>
      </c>
      <c r="D209" s="28" t="s">
        <v>1421</v>
      </c>
      <c r="E209" s="29" t="s">
        <v>58</v>
      </c>
      <c r="F209" s="29" t="s">
        <v>171</v>
      </c>
      <c r="H209" s="26">
        <v>44985</v>
      </c>
      <c r="I209" s="27" t="s">
        <v>74</v>
      </c>
      <c r="J209" s="27" t="s">
        <v>52</v>
      </c>
      <c r="K209" s="26">
        <v>44987</v>
      </c>
    </row>
    <row r="210" spans="1:13">
      <c r="A210" s="25">
        <v>916479452</v>
      </c>
      <c r="B210" s="26">
        <v>44985</v>
      </c>
      <c r="C210" s="27" t="s">
        <v>4102</v>
      </c>
      <c r="D210" s="28" t="s">
        <v>4103</v>
      </c>
      <c r="E210" s="29" t="s">
        <v>27</v>
      </c>
      <c r="F210" s="29" t="s">
        <v>171</v>
      </c>
      <c r="H210" s="26">
        <v>45078</v>
      </c>
      <c r="I210" s="27" t="s">
        <v>66</v>
      </c>
      <c r="J210" s="27" t="s">
        <v>69</v>
      </c>
      <c r="K210" s="26">
        <v>44992</v>
      </c>
    </row>
    <row r="211" spans="1:13">
      <c r="A211" s="25">
        <v>900010415</v>
      </c>
      <c r="B211" s="26">
        <v>44986</v>
      </c>
      <c r="C211" s="27" t="s">
        <v>617</v>
      </c>
      <c r="D211" s="28" t="s">
        <v>618</v>
      </c>
      <c r="E211" s="29" t="s">
        <v>151</v>
      </c>
      <c r="F211" s="29" t="s">
        <v>171</v>
      </c>
      <c r="H211" s="26">
        <v>44991</v>
      </c>
      <c r="I211" s="27" t="s">
        <v>59</v>
      </c>
      <c r="J211" s="27" t="s">
        <v>53</v>
      </c>
      <c r="K211" s="26">
        <v>44992</v>
      </c>
    </row>
    <row r="212" spans="1:13">
      <c r="A212" s="25">
        <v>900010415</v>
      </c>
      <c r="B212" s="26">
        <v>44986</v>
      </c>
      <c r="C212" s="27" t="s">
        <v>617</v>
      </c>
      <c r="D212" s="28" t="s">
        <v>618</v>
      </c>
      <c r="E212" s="29" t="s">
        <v>35</v>
      </c>
      <c r="F212" s="29" t="s">
        <v>171</v>
      </c>
      <c r="H212" s="26">
        <v>44991</v>
      </c>
      <c r="I212" s="27" t="s">
        <v>59</v>
      </c>
      <c r="J212" s="27" t="s">
        <v>53</v>
      </c>
      <c r="K212" s="26">
        <v>44992</v>
      </c>
    </row>
    <row r="213" spans="1:13">
      <c r="A213" s="25">
        <v>900388260</v>
      </c>
      <c r="B213" s="26">
        <v>44986</v>
      </c>
      <c r="C213" s="27" t="s">
        <v>1406</v>
      </c>
      <c r="D213" s="28" t="s">
        <v>1407</v>
      </c>
      <c r="E213" s="29" t="s">
        <v>89</v>
      </c>
      <c r="F213" s="29" t="s">
        <v>171</v>
      </c>
      <c r="H213" s="26">
        <v>44986</v>
      </c>
      <c r="I213" s="27" t="s">
        <v>52</v>
      </c>
      <c r="J213" s="27" t="s">
        <v>52</v>
      </c>
      <c r="K213" s="26">
        <v>44986</v>
      </c>
    </row>
    <row r="214" spans="1:13">
      <c r="A214" s="25">
        <v>910589178</v>
      </c>
      <c r="B214" s="26">
        <v>44986</v>
      </c>
      <c r="C214" s="27" t="s">
        <v>3026</v>
      </c>
      <c r="D214" s="28" t="s">
        <v>3027</v>
      </c>
      <c r="E214" s="29" t="s">
        <v>19</v>
      </c>
      <c r="F214" s="29" t="s">
        <v>171</v>
      </c>
      <c r="H214" s="26">
        <v>44986</v>
      </c>
      <c r="I214" s="27" t="s">
        <v>65</v>
      </c>
      <c r="J214" s="27" t="s">
        <v>54</v>
      </c>
      <c r="K214" s="26">
        <v>44993</v>
      </c>
    </row>
    <row r="215" spans="1:13">
      <c r="A215" s="25">
        <v>908492096</v>
      </c>
      <c r="B215" s="26">
        <v>44987</v>
      </c>
      <c r="C215" s="27" t="s">
        <v>2499</v>
      </c>
      <c r="D215" s="28" t="s">
        <v>2500</v>
      </c>
      <c r="E215" s="29" t="s">
        <v>92</v>
      </c>
      <c r="F215" s="29" t="s">
        <v>171</v>
      </c>
      <c r="H215" s="26">
        <v>44987</v>
      </c>
      <c r="I215" s="27" t="s">
        <v>70</v>
      </c>
      <c r="J215" s="27" t="s">
        <v>77</v>
      </c>
      <c r="K215" s="26">
        <v>44988</v>
      </c>
    </row>
    <row r="216" spans="1:13">
      <c r="A216" s="25">
        <v>900011585</v>
      </c>
      <c r="B216" s="26">
        <v>44992</v>
      </c>
      <c r="C216" s="27" t="s">
        <v>643</v>
      </c>
      <c r="D216" s="28" t="s">
        <v>644</v>
      </c>
      <c r="E216" s="29" t="s">
        <v>20</v>
      </c>
      <c r="F216" s="29" t="s">
        <v>171</v>
      </c>
      <c r="H216" s="26">
        <v>44992</v>
      </c>
      <c r="I216" s="27" t="s">
        <v>69</v>
      </c>
      <c r="J216" s="27" t="s">
        <v>71</v>
      </c>
      <c r="K216" s="26">
        <v>44992</v>
      </c>
    </row>
    <row r="217" spans="1:13">
      <c r="A217" s="25">
        <v>911251762</v>
      </c>
      <c r="B217" s="26">
        <v>44992</v>
      </c>
      <c r="C217" s="27" t="s">
        <v>3140</v>
      </c>
      <c r="D217" s="28" t="s">
        <v>3141</v>
      </c>
      <c r="E217" s="29" t="s">
        <v>19</v>
      </c>
      <c r="F217" s="29" t="s">
        <v>171</v>
      </c>
      <c r="H217" s="26">
        <v>44992</v>
      </c>
      <c r="I217" s="27" t="s">
        <v>60</v>
      </c>
      <c r="J217" s="27" t="s">
        <v>53</v>
      </c>
      <c r="K217" s="26">
        <v>44992</v>
      </c>
    </row>
    <row r="218" spans="1:13">
      <c r="A218" s="25">
        <v>900038222</v>
      </c>
      <c r="B218" s="26">
        <v>44992</v>
      </c>
      <c r="C218" s="27" t="s">
        <v>1142</v>
      </c>
      <c r="D218" s="28" t="s">
        <v>1143</v>
      </c>
      <c r="E218" s="29" t="s">
        <v>35</v>
      </c>
      <c r="F218" s="29" t="s">
        <v>171</v>
      </c>
      <c r="H218" s="26">
        <v>45078</v>
      </c>
      <c r="I218" s="27" t="s">
        <v>53</v>
      </c>
      <c r="J218" s="27" t="s">
        <v>53</v>
      </c>
      <c r="K218" s="26">
        <v>44992</v>
      </c>
    </row>
    <row r="219" spans="1:13">
      <c r="A219" s="25">
        <v>909072104</v>
      </c>
      <c r="B219" s="26">
        <v>44994</v>
      </c>
      <c r="C219" s="27" t="s">
        <v>5826</v>
      </c>
      <c r="D219" s="28" t="s">
        <v>5827</v>
      </c>
      <c r="E219" s="29" t="s">
        <v>28</v>
      </c>
      <c r="F219" s="29" t="s">
        <v>171</v>
      </c>
      <c r="H219" s="26">
        <v>44994</v>
      </c>
      <c r="I219" s="27" t="s">
        <v>65</v>
      </c>
      <c r="J219" s="27" t="s">
        <v>71</v>
      </c>
      <c r="K219" s="26">
        <v>44994</v>
      </c>
    </row>
    <row r="220" spans="1:13">
      <c r="A220" s="25">
        <v>907570981</v>
      </c>
      <c r="B220" s="26">
        <v>44994</v>
      </c>
      <c r="C220" s="27" t="s">
        <v>6359</v>
      </c>
      <c r="D220" s="51" t="s">
        <v>2318</v>
      </c>
      <c r="E220" s="29" t="s">
        <v>36</v>
      </c>
    </row>
    <row r="221" spans="1:13">
      <c r="A221" s="25">
        <v>915579345</v>
      </c>
      <c r="B221" s="26">
        <v>44994</v>
      </c>
      <c r="C221" s="27" t="s">
        <v>3876</v>
      </c>
      <c r="D221" s="47" t="s">
        <v>3877</v>
      </c>
      <c r="E221" s="29" t="s">
        <v>133</v>
      </c>
      <c r="F221" s="29" t="s">
        <v>171</v>
      </c>
      <c r="G221" s="29" t="s">
        <v>6360</v>
      </c>
      <c r="H221" s="26">
        <v>44994</v>
      </c>
      <c r="I221" s="27" t="s">
        <v>69</v>
      </c>
      <c r="J221" s="26" t="s">
        <v>52</v>
      </c>
      <c r="K221" s="26">
        <v>44994</v>
      </c>
      <c r="M221" s="48"/>
    </row>
    <row r="222" spans="1:13">
      <c r="A222" s="25">
        <v>917211209</v>
      </c>
      <c r="B222" s="26">
        <v>44992</v>
      </c>
      <c r="C222" s="27" t="s">
        <v>4292</v>
      </c>
      <c r="D222" s="47" t="s">
        <v>4293</v>
      </c>
      <c r="E222" s="29" t="s">
        <v>19</v>
      </c>
      <c r="F222" s="29" t="s">
        <v>171</v>
      </c>
      <c r="H222" s="26">
        <v>45141</v>
      </c>
      <c r="I222" s="27" t="s">
        <v>54</v>
      </c>
      <c r="J222" s="26" t="s">
        <v>74</v>
      </c>
      <c r="K222" s="26">
        <v>44998</v>
      </c>
      <c r="M222" s="48"/>
    </row>
    <row r="223" spans="1:13">
      <c r="A223" s="25">
        <v>918843086</v>
      </c>
      <c r="B223" s="26">
        <v>44993</v>
      </c>
      <c r="C223" s="27" t="s">
        <v>5186</v>
      </c>
      <c r="D223" s="47" t="s">
        <v>5187</v>
      </c>
      <c r="E223" s="29" t="s">
        <v>19</v>
      </c>
      <c r="F223" s="29" t="s">
        <v>6339</v>
      </c>
      <c r="I223" s="27" t="s">
        <v>54</v>
      </c>
      <c r="J223" s="27" t="s">
        <v>52</v>
      </c>
      <c r="K223" s="26">
        <v>44998</v>
      </c>
      <c r="L223" s="24" t="s">
        <v>6361</v>
      </c>
      <c r="M223" s="48"/>
    </row>
    <row r="224" spans="1:13">
      <c r="A224" s="25">
        <v>907441085</v>
      </c>
      <c r="B224" s="26">
        <v>44994</v>
      </c>
      <c r="C224" s="27" t="s">
        <v>2281</v>
      </c>
      <c r="D224" s="47" t="s">
        <v>2282</v>
      </c>
      <c r="E224" s="29" t="s">
        <v>35</v>
      </c>
      <c r="F224" s="29" t="s">
        <v>171</v>
      </c>
      <c r="H224" s="26">
        <v>44994</v>
      </c>
      <c r="I224" s="27" t="s">
        <v>59</v>
      </c>
      <c r="J224" s="26" t="s">
        <v>59</v>
      </c>
      <c r="K224" s="26">
        <v>44999</v>
      </c>
      <c r="M224" s="48"/>
    </row>
    <row r="225" spans="1:13">
      <c r="A225" s="25">
        <v>900599042</v>
      </c>
      <c r="B225" s="26">
        <v>44999</v>
      </c>
      <c r="C225" s="27" t="s">
        <v>1430</v>
      </c>
      <c r="D225" s="47" t="s">
        <v>1431</v>
      </c>
      <c r="E225" s="29" t="s">
        <v>19</v>
      </c>
      <c r="F225" s="29" t="s">
        <v>6339</v>
      </c>
      <c r="H225" s="26">
        <v>44999</v>
      </c>
      <c r="I225" s="27" t="s">
        <v>69</v>
      </c>
      <c r="J225" s="26" t="s">
        <v>70</v>
      </c>
      <c r="K225" s="26">
        <v>44999</v>
      </c>
      <c r="L225" s="24" t="s">
        <v>6362</v>
      </c>
      <c r="M225" s="48"/>
    </row>
    <row r="226" spans="1:13">
      <c r="A226" s="25">
        <v>918837691</v>
      </c>
      <c r="B226" s="26">
        <v>45000</v>
      </c>
      <c r="C226" s="27" t="s">
        <v>5833</v>
      </c>
      <c r="D226" s="47" t="s">
        <v>5834</v>
      </c>
      <c r="E226" s="29" t="s">
        <v>188</v>
      </c>
      <c r="F226" s="29" t="s">
        <v>6339</v>
      </c>
      <c r="H226" s="26">
        <v>47848</v>
      </c>
      <c r="I226" s="27" t="s">
        <v>66</v>
      </c>
      <c r="J226" s="26"/>
      <c r="K226" s="26" t="s">
        <v>1</v>
      </c>
      <c r="L226" s="24" t="s">
        <v>6363</v>
      </c>
    </row>
    <row r="227" spans="1:13">
      <c r="A227" s="25">
        <v>918837691</v>
      </c>
      <c r="B227" s="26">
        <v>45000</v>
      </c>
      <c r="C227" s="27" t="s">
        <v>5833</v>
      </c>
      <c r="D227" s="47" t="s">
        <v>5834</v>
      </c>
      <c r="E227" s="29" t="s">
        <v>188</v>
      </c>
      <c r="F227" s="29" t="s">
        <v>6339</v>
      </c>
      <c r="H227" s="26">
        <v>47848</v>
      </c>
      <c r="I227" s="27" t="s">
        <v>66</v>
      </c>
      <c r="J227" s="26"/>
      <c r="K227" s="26" t="s">
        <v>1</v>
      </c>
      <c r="L227" s="24" t="s">
        <v>6364</v>
      </c>
    </row>
    <row r="228" spans="1:13">
      <c r="A228" s="25">
        <v>915579345</v>
      </c>
      <c r="B228" s="26">
        <v>44999</v>
      </c>
      <c r="C228" s="27" t="s">
        <v>3876</v>
      </c>
      <c r="D228" s="47" t="s">
        <v>3877</v>
      </c>
      <c r="E228" s="29" t="s">
        <v>133</v>
      </c>
      <c r="F228" s="29" t="s">
        <v>171</v>
      </c>
      <c r="G228" s="29" t="s">
        <v>6365</v>
      </c>
      <c r="H228" s="26">
        <v>44999</v>
      </c>
      <c r="I228" s="27" t="s">
        <v>69</v>
      </c>
      <c r="J228" s="26" t="s">
        <v>55</v>
      </c>
      <c r="K228" s="26">
        <v>44999</v>
      </c>
      <c r="M228" s="48"/>
    </row>
    <row r="229" spans="1:13">
      <c r="A229" s="25">
        <v>901830610</v>
      </c>
      <c r="B229" s="26">
        <v>44999</v>
      </c>
      <c r="C229" s="27" t="s">
        <v>1561</v>
      </c>
      <c r="D229" s="47" t="s">
        <v>1562</v>
      </c>
      <c r="E229" s="29" t="s">
        <v>38</v>
      </c>
      <c r="F229" s="29" t="s">
        <v>171</v>
      </c>
      <c r="G229" s="29" t="s">
        <v>6358</v>
      </c>
      <c r="H229" s="26">
        <v>45013</v>
      </c>
      <c r="I229" s="27" t="s">
        <v>61</v>
      </c>
      <c r="J229" s="26"/>
      <c r="K229" s="26" t="s">
        <v>1</v>
      </c>
    </row>
    <row r="230" spans="1:13">
      <c r="A230" s="25">
        <v>918825172</v>
      </c>
      <c r="B230" s="26">
        <v>45000</v>
      </c>
      <c r="C230" s="27" t="s">
        <v>4732</v>
      </c>
      <c r="D230" s="47" t="s">
        <v>4733</v>
      </c>
      <c r="E230" s="29" t="s">
        <v>19</v>
      </c>
      <c r="F230" s="29" t="s">
        <v>6339</v>
      </c>
      <c r="H230" s="26">
        <v>45000</v>
      </c>
      <c r="I230" s="27" t="s">
        <v>59</v>
      </c>
      <c r="J230" s="26" t="s">
        <v>59</v>
      </c>
      <c r="K230" s="26">
        <v>45000</v>
      </c>
      <c r="L230" s="24" t="s">
        <v>6366</v>
      </c>
      <c r="M230" s="48"/>
    </row>
    <row r="231" spans="1:13">
      <c r="A231" s="25">
        <v>918765931</v>
      </c>
      <c r="B231" s="26">
        <v>45000</v>
      </c>
      <c r="C231" s="27" t="s">
        <v>4710</v>
      </c>
      <c r="D231" s="47" t="s">
        <v>4711</v>
      </c>
      <c r="E231" s="29" t="s">
        <v>25</v>
      </c>
      <c r="F231" s="29" t="s">
        <v>171</v>
      </c>
      <c r="H231" s="26">
        <v>45078</v>
      </c>
      <c r="I231" s="27" t="s">
        <v>59</v>
      </c>
      <c r="J231" s="26"/>
      <c r="K231" s="26" t="s">
        <v>1</v>
      </c>
    </row>
    <row r="232" spans="1:13">
      <c r="A232" s="25">
        <v>918843164</v>
      </c>
      <c r="B232" s="26">
        <v>45000</v>
      </c>
      <c r="C232" s="27" t="s">
        <v>5188</v>
      </c>
      <c r="D232" s="47" t="s">
        <v>5189</v>
      </c>
      <c r="E232" s="29" t="s">
        <v>19</v>
      </c>
      <c r="F232" s="29" t="s">
        <v>6339</v>
      </c>
      <c r="H232" s="26">
        <v>44972</v>
      </c>
      <c r="I232" s="27" t="s">
        <v>55</v>
      </c>
      <c r="J232" s="26" t="s">
        <v>53</v>
      </c>
      <c r="K232" s="26">
        <v>45001</v>
      </c>
      <c r="M232" s="48"/>
    </row>
    <row r="233" spans="1:13">
      <c r="A233" s="25">
        <v>922386176</v>
      </c>
      <c r="B233" s="26" t="s">
        <v>94</v>
      </c>
      <c r="C233" s="27" t="s">
        <v>5831</v>
      </c>
      <c r="D233" s="28" t="s">
        <v>5832</v>
      </c>
      <c r="E233" s="29" t="s">
        <v>95</v>
      </c>
      <c r="F233" s="29" t="s">
        <v>171</v>
      </c>
      <c r="H233" s="26">
        <v>45000</v>
      </c>
      <c r="I233" s="27" t="s">
        <v>54</v>
      </c>
      <c r="J233" s="26"/>
    </row>
    <row r="234" spans="1:13">
      <c r="A234" s="25">
        <v>922386176</v>
      </c>
      <c r="B234" s="26">
        <v>45000</v>
      </c>
      <c r="C234" s="27" t="s">
        <v>5831</v>
      </c>
      <c r="D234" s="47" t="s">
        <v>5832</v>
      </c>
      <c r="E234" s="29" t="s">
        <v>6367</v>
      </c>
      <c r="F234" s="29" t="s">
        <v>171</v>
      </c>
      <c r="H234" s="26">
        <v>45000</v>
      </c>
      <c r="I234" s="27" t="s">
        <v>54</v>
      </c>
      <c r="J234" s="26" t="s">
        <v>71</v>
      </c>
      <c r="K234" s="26">
        <v>45000</v>
      </c>
      <c r="L234" s="24" t="s">
        <v>6368</v>
      </c>
      <c r="M234" s="48"/>
    </row>
    <row r="235" spans="1:13">
      <c r="A235" s="25">
        <v>917253459</v>
      </c>
      <c r="B235" s="26">
        <v>45000</v>
      </c>
      <c r="C235" s="27" t="s">
        <v>4384</v>
      </c>
      <c r="D235" s="47" t="s">
        <v>4385</v>
      </c>
      <c r="E235" s="29" t="s">
        <v>20</v>
      </c>
      <c r="F235" s="29" t="s">
        <v>171</v>
      </c>
      <c r="H235" s="26">
        <v>45000</v>
      </c>
      <c r="I235" s="27" t="s">
        <v>54</v>
      </c>
      <c r="J235" s="26" t="s">
        <v>66</v>
      </c>
      <c r="K235" s="26">
        <v>45002</v>
      </c>
      <c r="L235" s="24" t="s">
        <v>6369</v>
      </c>
      <c r="M235" s="48"/>
    </row>
    <row r="236" spans="1:13">
      <c r="A236" s="25">
        <v>917916563</v>
      </c>
      <c r="B236" s="26">
        <v>44963</v>
      </c>
      <c r="C236" s="27" t="s">
        <v>4490</v>
      </c>
      <c r="D236" s="28" t="s">
        <v>4491</v>
      </c>
      <c r="E236" s="29" t="s">
        <v>25</v>
      </c>
      <c r="F236" s="29" t="s">
        <v>6339</v>
      </c>
      <c r="H236" s="26">
        <v>44963</v>
      </c>
      <c r="I236" s="27" t="s">
        <v>56</v>
      </c>
      <c r="J236" s="27" t="s">
        <v>69</v>
      </c>
      <c r="K236" s="26">
        <v>45012</v>
      </c>
    </row>
    <row r="237" spans="1:13">
      <c r="A237" s="25">
        <v>918832101</v>
      </c>
      <c r="B237" s="26">
        <v>45012</v>
      </c>
      <c r="C237" s="27" t="s">
        <v>4920</v>
      </c>
      <c r="D237" s="28" t="s">
        <v>4921</v>
      </c>
      <c r="E237" s="29" t="s">
        <v>20</v>
      </c>
      <c r="F237" s="29" t="s">
        <v>171</v>
      </c>
      <c r="H237" s="26">
        <v>45012</v>
      </c>
      <c r="I237" s="27" t="s">
        <v>59</v>
      </c>
      <c r="J237" s="27" t="s">
        <v>55</v>
      </c>
      <c r="K237" s="26">
        <v>45012</v>
      </c>
    </row>
    <row r="238" spans="1:13">
      <c r="A238" s="25">
        <v>900030006</v>
      </c>
      <c r="B238" s="26">
        <v>45012</v>
      </c>
      <c r="C238" s="27" t="s">
        <v>6370</v>
      </c>
      <c r="D238" s="28" t="s">
        <v>5840</v>
      </c>
      <c r="E238" s="29" t="s">
        <v>19</v>
      </c>
      <c r="F238" s="29" t="s">
        <v>171</v>
      </c>
      <c r="H238" s="26">
        <v>45012</v>
      </c>
      <c r="I238" s="27" t="s">
        <v>69</v>
      </c>
      <c r="J238" s="27" t="s">
        <v>69</v>
      </c>
      <c r="K238" s="26">
        <v>45012</v>
      </c>
    </row>
    <row r="239" spans="1:13">
      <c r="A239" s="25">
        <v>900030006</v>
      </c>
      <c r="B239" s="26" t="s">
        <v>94</v>
      </c>
      <c r="C239" s="27" t="s">
        <v>6370</v>
      </c>
      <c r="D239" s="28" t="s">
        <v>5840</v>
      </c>
      <c r="E239" s="29" t="s">
        <v>76</v>
      </c>
      <c r="F239" s="29" t="s">
        <v>171</v>
      </c>
      <c r="H239" s="26">
        <v>45012</v>
      </c>
      <c r="I239" s="27" t="s">
        <v>61</v>
      </c>
      <c r="J239" s="27" t="s">
        <v>69</v>
      </c>
      <c r="K239" s="26">
        <v>45012</v>
      </c>
    </row>
    <row r="240" spans="1:13">
      <c r="A240" s="25">
        <v>918844984</v>
      </c>
      <c r="B240" s="26">
        <v>45012</v>
      </c>
      <c r="C240" s="27" t="s">
        <v>5234</v>
      </c>
      <c r="D240" s="28" t="s">
        <v>5235</v>
      </c>
      <c r="E240" s="29" t="s">
        <v>25</v>
      </c>
      <c r="F240" s="29" t="s">
        <v>171</v>
      </c>
      <c r="H240" s="26">
        <v>45012</v>
      </c>
      <c r="I240" s="27" t="s">
        <v>72</v>
      </c>
      <c r="J240" s="27" t="s">
        <v>69</v>
      </c>
      <c r="K240" s="26">
        <v>45012</v>
      </c>
    </row>
    <row r="241" spans="1:12">
      <c r="A241" s="25">
        <v>918850145</v>
      </c>
      <c r="B241" s="26">
        <v>45012</v>
      </c>
      <c r="C241" s="27" t="s">
        <v>5841</v>
      </c>
      <c r="D241" s="28" t="s">
        <v>5842</v>
      </c>
      <c r="E241" s="29" t="s">
        <v>19</v>
      </c>
      <c r="F241" s="29" t="s">
        <v>171</v>
      </c>
      <c r="H241" s="26">
        <v>45013</v>
      </c>
      <c r="I241" s="27" t="s">
        <v>69</v>
      </c>
      <c r="J241" s="27" t="s">
        <v>53</v>
      </c>
      <c r="K241" s="26">
        <v>45013</v>
      </c>
    </row>
    <row r="242" spans="1:12">
      <c r="A242" s="25">
        <v>909390175</v>
      </c>
      <c r="B242" s="26">
        <v>45012</v>
      </c>
      <c r="C242" s="27" t="s">
        <v>2768</v>
      </c>
      <c r="D242" s="28" t="s">
        <v>2769</v>
      </c>
      <c r="E242" s="29" t="s">
        <v>6371</v>
      </c>
      <c r="F242" s="29" t="s">
        <v>171</v>
      </c>
      <c r="H242" s="26">
        <v>45012</v>
      </c>
      <c r="I242" s="27" t="s">
        <v>55</v>
      </c>
      <c r="J242" s="27" t="s">
        <v>53</v>
      </c>
      <c r="K242" s="26">
        <v>45013</v>
      </c>
    </row>
    <row r="243" spans="1:12">
      <c r="A243" s="25">
        <v>907441085</v>
      </c>
      <c r="B243" s="26">
        <v>45015</v>
      </c>
      <c r="C243" s="27" t="s">
        <v>2281</v>
      </c>
      <c r="D243" s="28" t="s">
        <v>2282</v>
      </c>
      <c r="E243" s="29" t="s">
        <v>35</v>
      </c>
      <c r="F243" s="29" t="s">
        <v>171</v>
      </c>
      <c r="H243" s="26">
        <v>45015</v>
      </c>
      <c r="I243" s="27" t="s">
        <v>6372</v>
      </c>
      <c r="J243" s="27" t="s">
        <v>65</v>
      </c>
      <c r="K243" s="26">
        <v>45015</v>
      </c>
    </row>
    <row r="244" spans="1:12">
      <c r="A244" s="25">
        <v>900030656</v>
      </c>
      <c r="B244" s="26">
        <v>45015</v>
      </c>
      <c r="C244" s="27" t="s">
        <v>1024</v>
      </c>
      <c r="D244" s="28" t="s">
        <v>1025</v>
      </c>
      <c r="E244" s="29" t="s">
        <v>19</v>
      </c>
      <c r="F244" s="29" t="s">
        <v>171</v>
      </c>
      <c r="H244" s="26">
        <v>45015</v>
      </c>
      <c r="I244" s="27" t="s">
        <v>66</v>
      </c>
      <c r="J244" s="27" t="s">
        <v>52</v>
      </c>
      <c r="K244" s="26">
        <v>45015</v>
      </c>
    </row>
    <row r="245" spans="1:12">
      <c r="A245" s="25">
        <v>920245089</v>
      </c>
      <c r="B245" s="26">
        <v>45015</v>
      </c>
      <c r="C245" s="27" t="s">
        <v>5849</v>
      </c>
      <c r="D245" s="28" t="s">
        <v>5850</v>
      </c>
      <c r="E245" s="29" t="s">
        <v>25</v>
      </c>
      <c r="F245" s="29" t="s">
        <v>171</v>
      </c>
      <c r="H245" s="26">
        <v>45015</v>
      </c>
      <c r="I245" s="27" t="s">
        <v>66</v>
      </c>
      <c r="J245" s="27" t="s">
        <v>52</v>
      </c>
      <c r="K245" s="26">
        <v>45015</v>
      </c>
      <c r="L245" s="24" t="s">
        <v>6373</v>
      </c>
    </row>
    <row r="246" spans="1:12">
      <c r="A246" s="25">
        <v>911582664</v>
      </c>
      <c r="B246" s="26">
        <v>44903</v>
      </c>
      <c r="C246" s="27" t="s">
        <v>3200</v>
      </c>
      <c r="D246" s="28" t="s">
        <v>3201</v>
      </c>
      <c r="E246" s="29" t="s">
        <v>19</v>
      </c>
      <c r="F246" s="29" t="s">
        <v>6339</v>
      </c>
      <c r="H246" s="26">
        <v>45282</v>
      </c>
      <c r="I246" s="27" t="s">
        <v>59</v>
      </c>
      <c r="J246" s="27" t="s">
        <v>54</v>
      </c>
      <c r="K246" s="26">
        <v>45020</v>
      </c>
      <c r="L246" s="24" t="s">
        <v>6374</v>
      </c>
    </row>
    <row r="247" spans="1:12">
      <c r="A247" s="25">
        <v>918825172</v>
      </c>
      <c r="B247" s="26">
        <v>44958</v>
      </c>
      <c r="C247" s="27" t="s">
        <v>4732</v>
      </c>
      <c r="D247" s="28" t="s">
        <v>4733</v>
      </c>
      <c r="E247" s="29" t="s">
        <v>19</v>
      </c>
      <c r="F247" s="29" t="s">
        <v>171</v>
      </c>
      <c r="H247" s="26">
        <v>45078</v>
      </c>
      <c r="I247" s="27" t="s">
        <v>59</v>
      </c>
      <c r="J247" s="27" t="s">
        <v>55</v>
      </c>
      <c r="K247" s="26">
        <v>45021</v>
      </c>
    </row>
    <row r="248" spans="1:12">
      <c r="A248" s="25">
        <v>915216268</v>
      </c>
      <c r="B248" s="26">
        <v>44991</v>
      </c>
      <c r="C248" s="27" t="s">
        <v>5851</v>
      </c>
      <c r="D248" s="28" t="s">
        <v>5852</v>
      </c>
      <c r="E248" s="29" t="s">
        <v>67</v>
      </c>
      <c r="F248" s="29" t="s">
        <v>171</v>
      </c>
      <c r="H248" s="26">
        <v>45078</v>
      </c>
      <c r="I248" s="27" t="s">
        <v>69</v>
      </c>
      <c r="J248" s="27" t="s">
        <v>54</v>
      </c>
      <c r="K248" s="26">
        <v>45020</v>
      </c>
    </row>
    <row r="249" spans="1:12">
      <c r="A249" s="25">
        <v>909864350</v>
      </c>
      <c r="B249" s="26">
        <v>44993</v>
      </c>
      <c r="C249" s="27" t="s">
        <v>2856</v>
      </c>
      <c r="D249" s="28" t="s">
        <v>2857</v>
      </c>
      <c r="E249" s="29" t="s">
        <v>6328</v>
      </c>
      <c r="F249" s="29" t="s">
        <v>171</v>
      </c>
      <c r="H249" s="26">
        <v>44994</v>
      </c>
      <c r="I249" s="27" t="s">
        <v>54</v>
      </c>
      <c r="J249" s="27" t="s">
        <v>54</v>
      </c>
      <c r="K249" s="26">
        <v>45020</v>
      </c>
    </row>
    <row r="250" spans="1:12">
      <c r="A250" s="25">
        <v>909864350</v>
      </c>
      <c r="B250" s="26">
        <v>44993</v>
      </c>
      <c r="C250" s="27" t="s">
        <v>2856</v>
      </c>
      <c r="D250" s="28" t="s">
        <v>2857</v>
      </c>
      <c r="E250" s="29" t="s">
        <v>133</v>
      </c>
      <c r="F250" s="29" t="s">
        <v>171</v>
      </c>
      <c r="H250" s="26">
        <v>44994</v>
      </c>
      <c r="I250" s="27" t="s">
        <v>54</v>
      </c>
      <c r="J250" s="27" t="s">
        <v>54</v>
      </c>
      <c r="K250" s="26">
        <v>45020</v>
      </c>
    </row>
    <row r="251" spans="1:12">
      <c r="A251" s="25">
        <v>909864350</v>
      </c>
      <c r="B251" s="26">
        <v>44993</v>
      </c>
      <c r="C251" s="27" t="s">
        <v>2856</v>
      </c>
      <c r="D251" s="28" t="s">
        <v>2857</v>
      </c>
      <c r="E251" s="29" t="s">
        <v>263</v>
      </c>
      <c r="F251" s="29" t="s">
        <v>171</v>
      </c>
      <c r="H251" s="26">
        <v>44994</v>
      </c>
      <c r="I251" s="27" t="s">
        <v>54</v>
      </c>
      <c r="J251" s="27" t="s">
        <v>54</v>
      </c>
      <c r="K251" s="26">
        <v>45020</v>
      </c>
    </row>
    <row r="252" spans="1:12">
      <c r="A252" s="25">
        <v>918196271</v>
      </c>
      <c r="B252" s="26">
        <v>45012</v>
      </c>
      <c r="C252" s="27" t="s">
        <v>4660</v>
      </c>
      <c r="D252" s="28" t="s">
        <v>4661</v>
      </c>
      <c r="E252" s="29" t="s">
        <v>19</v>
      </c>
      <c r="F252" s="29" t="s">
        <v>171</v>
      </c>
      <c r="H252" s="26">
        <v>45013</v>
      </c>
      <c r="I252" s="27" t="s">
        <v>59</v>
      </c>
      <c r="J252" s="27" t="s">
        <v>70</v>
      </c>
      <c r="K252" s="26">
        <v>45019</v>
      </c>
    </row>
    <row r="253" spans="1:12">
      <c r="A253" s="25">
        <v>900046555</v>
      </c>
      <c r="B253" s="26">
        <v>45020</v>
      </c>
      <c r="C253" s="27" t="s">
        <v>1270</v>
      </c>
      <c r="D253" s="28" t="s">
        <v>1271</v>
      </c>
      <c r="E253" s="29" t="s">
        <v>20</v>
      </c>
      <c r="F253" s="29" t="s">
        <v>171</v>
      </c>
      <c r="H253" s="26">
        <v>45020</v>
      </c>
      <c r="I253" s="27" t="s">
        <v>54</v>
      </c>
      <c r="J253" s="27" t="s">
        <v>70</v>
      </c>
      <c r="K253" s="26">
        <v>45020</v>
      </c>
      <c r="L253" s="24" t="s">
        <v>6375</v>
      </c>
    </row>
    <row r="254" spans="1:12">
      <c r="A254" s="25">
        <v>900038222</v>
      </c>
      <c r="B254" s="26">
        <v>45020</v>
      </c>
      <c r="C254" s="27" t="s">
        <v>1142</v>
      </c>
      <c r="D254" s="28" t="s">
        <v>1143</v>
      </c>
      <c r="E254" s="29" t="s">
        <v>140</v>
      </c>
      <c r="F254" s="29" t="s">
        <v>171</v>
      </c>
      <c r="H254" s="26">
        <v>45020</v>
      </c>
      <c r="I254" s="27" t="s">
        <v>66</v>
      </c>
      <c r="J254" s="27" t="s">
        <v>55</v>
      </c>
      <c r="K254" s="26">
        <v>45021</v>
      </c>
    </row>
    <row r="255" spans="1:12">
      <c r="A255" s="25">
        <v>910589178</v>
      </c>
      <c r="B255" s="26">
        <v>45020</v>
      </c>
      <c r="C255" s="27" t="s">
        <v>3026</v>
      </c>
      <c r="D255" s="28" t="s">
        <v>3027</v>
      </c>
      <c r="E255" s="29" t="s">
        <v>28</v>
      </c>
      <c r="F255" s="29" t="s">
        <v>171</v>
      </c>
      <c r="H255" s="26">
        <v>45020</v>
      </c>
      <c r="I255" s="27" t="s">
        <v>66</v>
      </c>
      <c r="J255" s="27" t="s">
        <v>55</v>
      </c>
      <c r="K255" s="26">
        <v>45020</v>
      </c>
      <c r="L255" s="24" t="s">
        <v>6376</v>
      </c>
    </row>
    <row r="256" spans="1:12">
      <c r="A256" s="25">
        <v>907441085</v>
      </c>
      <c r="B256" s="26">
        <v>45022</v>
      </c>
      <c r="C256" s="27" t="s">
        <v>2281</v>
      </c>
      <c r="D256" s="28" t="s">
        <v>2282</v>
      </c>
      <c r="E256" s="29" t="s">
        <v>23</v>
      </c>
      <c r="F256" s="29" t="s">
        <v>171</v>
      </c>
      <c r="H256" s="26">
        <v>45022</v>
      </c>
      <c r="I256" s="27" t="s">
        <v>66</v>
      </c>
      <c r="J256" s="27" t="s">
        <v>61</v>
      </c>
      <c r="K256" s="26">
        <v>45022</v>
      </c>
    </row>
    <row r="257" spans="1:12">
      <c r="A257" s="25">
        <v>907441085</v>
      </c>
      <c r="B257" s="26">
        <v>45022</v>
      </c>
      <c r="C257" s="27" t="s">
        <v>2281</v>
      </c>
      <c r="D257" s="28" t="s">
        <v>2282</v>
      </c>
      <c r="E257" s="29" t="s">
        <v>58</v>
      </c>
      <c r="F257" s="29" t="s">
        <v>171</v>
      </c>
      <c r="H257" s="26">
        <v>45022</v>
      </c>
      <c r="I257" s="27" t="s">
        <v>66</v>
      </c>
      <c r="J257" s="27" t="s">
        <v>69</v>
      </c>
      <c r="K257" s="26">
        <v>45022</v>
      </c>
    </row>
    <row r="258" spans="1:12">
      <c r="A258" s="25">
        <v>901790713</v>
      </c>
      <c r="B258" s="26">
        <v>45022</v>
      </c>
      <c r="C258" s="27" t="s">
        <v>1555</v>
      </c>
      <c r="D258" s="28" t="s">
        <v>1556</v>
      </c>
      <c r="E258" s="29" t="s">
        <v>24</v>
      </c>
      <c r="F258" s="29" t="s">
        <v>171</v>
      </c>
      <c r="H258" s="26">
        <v>45022</v>
      </c>
      <c r="I258" s="27" t="s">
        <v>70</v>
      </c>
      <c r="J258" s="27" t="s">
        <v>70</v>
      </c>
      <c r="K258" s="26">
        <v>45022</v>
      </c>
      <c r="L258" s="24" t="s">
        <v>100</v>
      </c>
    </row>
    <row r="259" spans="1:12">
      <c r="A259" s="25">
        <v>904421185</v>
      </c>
      <c r="B259" s="26">
        <v>45022</v>
      </c>
      <c r="C259" s="27" t="s">
        <v>1885</v>
      </c>
      <c r="D259" s="28" t="s">
        <v>1886</v>
      </c>
      <c r="E259" s="29" t="s">
        <v>19</v>
      </c>
      <c r="F259" s="29" t="s">
        <v>171</v>
      </c>
      <c r="H259" s="26">
        <v>45022</v>
      </c>
      <c r="I259" s="27" t="s">
        <v>65</v>
      </c>
      <c r="J259" s="27" t="s">
        <v>70</v>
      </c>
      <c r="K259" s="26">
        <v>45022</v>
      </c>
    </row>
    <row r="260" spans="1:12">
      <c r="A260" s="25">
        <v>920236886</v>
      </c>
      <c r="B260" s="26">
        <v>45022</v>
      </c>
      <c r="C260" s="27" t="s">
        <v>5498</v>
      </c>
      <c r="D260" s="28" t="s">
        <v>5499</v>
      </c>
      <c r="E260" s="29" t="s">
        <v>25</v>
      </c>
      <c r="F260" s="29" t="s">
        <v>171</v>
      </c>
      <c r="H260" s="26">
        <v>45022</v>
      </c>
      <c r="I260" s="27" t="s">
        <v>70</v>
      </c>
      <c r="J260" s="27" t="s">
        <v>52</v>
      </c>
      <c r="K260" s="26">
        <v>45022</v>
      </c>
      <c r="L260" s="24" t="s">
        <v>6377</v>
      </c>
    </row>
    <row r="261" spans="1:12">
      <c r="A261" s="25">
        <v>921790152</v>
      </c>
      <c r="B261" s="26">
        <v>45023</v>
      </c>
      <c r="C261" s="27" t="s">
        <v>6378</v>
      </c>
      <c r="D261" s="28" t="s">
        <v>5856</v>
      </c>
      <c r="E261" s="29" t="s">
        <v>20</v>
      </c>
      <c r="F261" s="29" t="s">
        <v>171</v>
      </c>
      <c r="H261" s="26">
        <v>45023</v>
      </c>
      <c r="I261" s="27" t="s">
        <v>52</v>
      </c>
      <c r="J261" s="27" t="s">
        <v>52</v>
      </c>
      <c r="K261" s="26">
        <v>45023</v>
      </c>
      <c r="L261" s="24" t="s">
        <v>6379</v>
      </c>
    </row>
    <row r="262" spans="1:12">
      <c r="A262" s="25">
        <v>907609045</v>
      </c>
      <c r="B262" s="26">
        <v>45028</v>
      </c>
      <c r="C262" s="27" t="s">
        <v>6380</v>
      </c>
      <c r="E262" s="29" t="s">
        <v>6381</v>
      </c>
    </row>
    <row r="263" spans="1:12">
      <c r="A263" s="25">
        <v>918839342</v>
      </c>
      <c r="B263" s="26">
        <v>44907</v>
      </c>
      <c r="C263" s="27" t="s">
        <v>5066</v>
      </c>
      <c r="D263" s="28" t="s">
        <v>5067</v>
      </c>
      <c r="E263" s="29" t="s">
        <v>112</v>
      </c>
      <c r="F263" s="29" t="s">
        <v>171</v>
      </c>
      <c r="H263" s="26">
        <v>45282</v>
      </c>
      <c r="I263" s="27" t="s">
        <v>69</v>
      </c>
      <c r="J263" s="27" t="s">
        <v>77</v>
      </c>
      <c r="K263" s="26">
        <v>45026</v>
      </c>
    </row>
    <row r="264" spans="1:12">
      <c r="A264" s="25">
        <v>913829493</v>
      </c>
      <c r="B264" s="26">
        <v>44957</v>
      </c>
      <c r="C264" s="27" t="s">
        <v>3726</v>
      </c>
      <c r="D264" s="28" t="s">
        <v>3727</v>
      </c>
      <c r="E264" s="29" t="s">
        <v>151</v>
      </c>
      <c r="F264" s="29" t="s">
        <v>6339</v>
      </c>
      <c r="G264" s="29" t="s">
        <v>6382</v>
      </c>
      <c r="H264" s="26">
        <v>44986</v>
      </c>
      <c r="I264" s="27" t="s">
        <v>56</v>
      </c>
      <c r="J264" s="27" t="s">
        <v>70</v>
      </c>
      <c r="K264" s="26">
        <v>45034</v>
      </c>
    </row>
    <row r="265" spans="1:12">
      <c r="A265" s="25">
        <v>913829493</v>
      </c>
      <c r="B265" s="26">
        <v>44957</v>
      </c>
      <c r="C265" s="27" t="s">
        <v>3726</v>
      </c>
      <c r="D265" s="28" t="s">
        <v>3727</v>
      </c>
      <c r="E265" s="29" t="s">
        <v>151</v>
      </c>
      <c r="F265" s="29" t="s">
        <v>6339</v>
      </c>
      <c r="G265" s="29">
        <v>69227</v>
      </c>
      <c r="H265" s="26">
        <v>44986</v>
      </c>
      <c r="I265" s="27" t="s">
        <v>56</v>
      </c>
      <c r="J265" s="27" t="s">
        <v>70</v>
      </c>
      <c r="K265" s="26">
        <v>45034</v>
      </c>
    </row>
    <row r="266" spans="1:12">
      <c r="A266" s="25">
        <v>900028329</v>
      </c>
      <c r="B266" s="26">
        <v>45014</v>
      </c>
      <c r="C266" s="27" t="s">
        <v>5843</v>
      </c>
      <c r="D266" s="28" t="s">
        <v>5844</v>
      </c>
      <c r="E266" s="29" t="s">
        <v>12</v>
      </c>
      <c r="F266" s="29" t="s">
        <v>171</v>
      </c>
      <c r="H266" s="26">
        <v>45078</v>
      </c>
      <c r="I266" s="27" t="s">
        <v>59</v>
      </c>
      <c r="J266" s="27" t="s">
        <v>59</v>
      </c>
      <c r="K266" s="26">
        <v>45028</v>
      </c>
    </row>
    <row r="267" spans="1:12">
      <c r="A267" s="25">
        <v>900004942</v>
      </c>
      <c r="B267" s="26">
        <v>45014</v>
      </c>
      <c r="C267" s="27" t="s">
        <v>483</v>
      </c>
      <c r="D267" s="28" t="s">
        <v>484</v>
      </c>
      <c r="E267" s="29" t="s">
        <v>28</v>
      </c>
      <c r="F267" s="29" t="s">
        <v>171</v>
      </c>
      <c r="H267" s="26">
        <v>45018</v>
      </c>
      <c r="I267" s="27" t="s">
        <v>54</v>
      </c>
      <c r="J267" s="27" t="s">
        <v>59</v>
      </c>
      <c r="K267" s="26">
        <v>45033</v>
      </c>
    </row>
    <row r="268" spans="1:12">
      <c r="A268" s="25">
        <v>916487005</v>
      </c>
      <c r="B268" s="26">
        <v>45019</v>
      </c>
      <c r="C268" s="27" t="s">
        <v>4126</v>
      </c>
      <c r="D268" s="28" t="s">
        <v>4127</v>
      </c>
      <c r="E268" s="29" t="s">
        <v>20</v>
      </c>
      <c r="F268" s="29" t="s">
        <v>171</v>
      </c>
      <c r="H268" s="26">
        <v>45034</v>
      </c>
      <c r="I268" s="27" t="s">
        <v>60</v>
      </c>
      <c r="J268" s="27" t="s">
        <v>52</v>
      </c>
      <c r="K268" s="26">
        <v>45026</v>
      </c>
      <c r="L268" s="24" t="s">
        <v>6383</v>
      </c>
    </row>
    <row r="269" spans="1:12">
      <c r="A269" s="25">
        <v>922374775</v>
      </c>
      <c r="B269" s="26">
        <v>45026</v>
      </c>
      <c r="C269" s="27" t="s">
        <v>359</v>
      </c>
      <c r="D269" s="28" t="s">
        <v>360</v>
      </c>
      <c r="E269" s="29" t="s">
        <v>31</v>
      </c>
      <c r="F269" s="29" t="s">
        <v>171</v>
      </c>
      <c r="H269" s="26">
        <v>45026</v>
      </c>
      <c r="I269" s="27" t="s">
        <v>65</v>
      </c>
      <c r="J269" s="27" t="s">
        <v>52</v>
      </c>
      <c r="K269" s="26">
        <v>45026</v>
      </c>
    </row>
    <row r="270" spans="1:12">
      <c r="A270" s="25">
        <v>907603858</v>
      </c>
      <c r="B270" s="26">
        <v>45027</v>
      </c>
      <c r="C270" s="27" t="s">
        <v>2331</v>
      </c>
      <c r="D270" s="28" t="s">
        <v>2332</v>
      </c>
      <c r="E270" s="29" t="s">
        <v>6371</v>
      </c>
      <c r="F270" s="29" t="s">
        <v>171</v>
      </c>
      <c r="H270" s="26">
        <v>45028</v>
      </c>
      <c r="I270" s="27" t="s">
        <v>55</v>
      </c>
      <c r="J270" s="27" t="s">
        <v>72</v>
      </c>
      <c r="K270" s="26">
        <v>45026</v>
      </c>
    </row>
    <row r="271" spans="1:12">
      <c r="A271" s="25">
        <v>918847818</v>
      </c>
      <c r="B271" s="26">
        <v>45028</v>
      </c>
      <c r="C271" s="27" t="s">
        <v>5300</v>
      </c>
      <c r="D271" s="28" t="s">
        <v>5301</v>
      </c>
      <c r="E271" s="29" t="s">
        <v>225</v>
      </c>
      <c r="F271" s="29" t="s">
        <v>171</v>
      </c>
      <c r="H271" s="26">
        <v>45028</v>
      </c>
      <c r="I271" s="27" t="s">
        <v>52</v>
      </c>
      <c r="J271" s="27" t="s">
        <v>55</v>
      </c>
      <c r="K271" s="26">
        <v>45028</v>
      </c>
      <c r="L271" s="24" t="s">
        <v>6384</v>
      </c>
    </row>
    <row r="272" spans="1:12">
      <c r="A272" s="25">
        <v>912659701</v>
      </c>
      <c r="B272" s="26">
        <v>45028</v>
      </c>
      <c r="C272" s="27" t="s">
        <v>3360</v>
      </c>
      <c r="D272" s="28" t="s">
        <v>3361</v>
      </c>
      <c r="E272" s="29" t="s">
        <v>89</v>
      </c>
      <c r="F272" s="29" t="s">
        <v>171</v>
      </c>
      <c r="H272" s="26">
        <v>45028</v>
      </c>
      <c r="I272" s="27" t="s">
        <v>52</v>
      </c>
      <c r="J272" s="27" t="s">
        <v>99</v>
      </c>
      <c r="K272" s="26">
        <v>45029</v>
      </c>
    </row>
    <row r="273" spans="1:12">
      <c r="A273" s="25">
        <v>900014718</v>
      </c>
      <c r="B273" s="26">
        <v>45029</v>
      </c>
      <c r="C273" s="27" t="s">
        <v>722</v>
      </c>
      <c r="D273" s="28" t="s">
        <v>723</v>
      </c>
      <c r="E273" s="29" t="s">
        <v>6385</v>
      </c>
      <c r="F273" s="29" t="s">
        <v>171</v>
      </c>
      <c r="H273" s="26">
        <v>45029</v>
      </c>
      <c r="I273" s="27" t="s">
        <v>65</v>
      </c>
      <c r="J273" s="27" t="s">
        <v>52</v>
      </c>
      <c r="K273" s="26">
        <v>45029</v>
      </c>
    </row>
    <row r="274" spans="1:12">
      <c r="A274" s="25">
        <v>902442988</v>
      </c>
      <c r="B274" s="26">
        <v>45029</v>
      </c>
      <c r="C274" s="27" t="s">
        <v>1639</v>
      </c>
      <c r="D274" s="28" t="s">
        <v>1640</v>
      </c>
      <c r="E274" s="29" t="s">
        <v>105</v>
      </c>
      <c r="F274" s="29" t="s">
        <v>171</v>
      </c>
      <c r="H274" s="26">
        <v>45034</v>
      </c>
      <c r="I274" s="27" t="s">
        <v>52</v>
      </c>
      <c r="J274" s="27" t="s">
        <v>99</v>
      </c>
      <c r="K274" s="26">
        <v>45035</v>
      </c>
    </row>
    <row r="275" spans="1:12">
      <c r="A275" s="25">
        <v>900020828</v>
      </c>
      <c r="B275" s="26">
        <v>45029</v>
      </c>
      <c r="C275" s="27" t="s">
        <v>5860</v>
      </c>
      <c r="D275" s="28" t="s">
        <v>5861</v>
      </c>
      <c r="E275" s="29" t="s">
        <v>6328</v>
      </c>
      <c r="F275" s="29" t="s">
        <v>171</v>
      </c>
      <c r="H275" s="26">
        <v>45034</v>
      </c>
      <c r="J275" s="27" t="s">
        <v>71</v>
      </c>
      <c r="K275" s="26">
        <v>45034</v>
      </c>
    </row>
    <row r="276" spans="1:12">
      <c r="A276" s="25">
        <v>900020828</v>
      </c>
      <c r="B276" s="26">
        <v>45029</v>
      </c>
      <c r="C276" s="27" t="s">
        <v>5860</v>
      </c>
      <c r="D276" s="28" t="s">
        <v>5861</v>
      </c>
      <c r="E276" s="29" t="s">
        <v>133</v>
      </c>
      <c r="F276" s="29" t="s">
        <v>171</v>
      </c>
      <c r="H276" s="26">
        <v>45034</v>
      </c>
      <c r="J276" s="27" t="s">
        <v>71</v>
      </c>
      <c r="K276" s="26">
        <v>45034</v>
      </c>
    </row>
    <row r="277" spans="1:12">
      <c r="A277" s="25">
        <v>900599042</v>
      </c>
      <c r="B277" s="26">
        <v>45034</v>
      </c>
      <c r="C277" s="27" t="s">
        <v>1430</v>
      </c>
      <c r="D277" s="28" t="s">
        <v>1431</v>
      </c>
      <c r="E277" s="29" t="s">
        <v>19</v>
      </c>
      <c r="F277" s="29" t="s">
        <v>6339</v>
      </c>
      <c r="H277" s="26">
        <v>45034</v>
      </c>
      <c r="I277" s="27" t="s">
        <v>54</v>
      </c>
      <c r="J277" s="27" t="s">
        <v>54</v>
      </c>
      <c r="K277" s="26">
        <v>45034</v>
      </c>
      <c r="L277" s="24" t="s">
        <v>6386</v>
      </c>
    </row>
    <row r="278" spans="1:12">
      <c r="A278" s="25">
        <v>900031306</v>
      </c>
      <c r="B278" s="26" t="s">
        <v>94</v>
      </c>
      <c r="C278" s="27" t="s">
        <v>1036</v>
      </c>
      <c r="D278" s="28" t="s">
        <v>1037</v>
      </c>
      <c r="E278" s="29" t="s">
        <v>30</v>
      </c>
      <c r="F278" s="29" t="s">
        <v>171</v>
      </c>
      <c r="H278" s="26" t="s">
        <v>21</v>
      </c>
      <c r="I278" s="27" t="s">
        <v>66</v>
      </c>
      <c r="K278" s="26" t="s">
        <v>1</v>
      </c>
    </row>
    <row r="279" spans="1:12">
      <c r="A279" s="25">
        <v>916733680</v>
      </c>
      <c r="B279" s="26">
        <v>44986</v>
      </c>
      <c r="C279" s="27" t="s">
        <v>4194</v>
      </c>
      <c r="D279" s="28" t="s">
        <v>4195</v>
      </c>
      <c r="E279" s="29" t="s">
        <v>36</v>
      </c>
      <c r="F279" s="29" t="s">
        <v>171</v>
      </c>
      <c r="H279" s="26" t="s">
        <v>21</v>
      </c>
      <c r="I279" s="27" t="s">
        <v>54</v>
      </c>
      <c r="K279" s="26" t="s">
        <v>1</v>
      </c>
      <c r="L279" s="24" t="s">
        <v>6387</v>
      </c>
    </row>
    <row r="280" spans="1:12">
      <c r="A280" s="25">
        <v>916733680</v>
      </c>
      <c r="B280" s="26">
        <v>44986</v>
      </c>
      <c r="C280" s="27" t="s">
        <v>4194</v>
      </c>
      <c r="D280" s="28" t="s">
        <v>4195</v>
      </c>
      <c r="E280" s="29" t="s">
        <v>30</v>
      </c>
      <c r="F280" s="29" t="s">
        <v>171</v>
      </c>
      <c r="H280" s="26" t="s">
        <v>21</v>
      </c>
      <c r="I280" s="27" t="s">
        <v>54</v>
      </c>
      <c r="K280" s="26" t="s">
        <v>1</v>
      </c>
      <c r="L280" s="24" t="s">
        <v>6387</v>
      </c>
    </row>
    <row r="281" spans="1:12">
      <c r="A281" s="25">
        <v>917692404</v>
      </c>
      <c r="B281" s="26">
        <v>44987</v>
      </c>
      <c r="C281" s="27" t="s">
        <v>4470</v>
      </c>
      <c r="D281" s="28" t="s">
        <v>4471</v>
      </c>
      <c r="E281" s="29" t="s">
        <v>30</v>
      </c>
      <c r="F281" s="29" t="s">
        <v>171</v>
      </c>
      <c r="H281" s="26" t="s">
        <v>21</v>
      </c>
      <c r="I281" s="27" t="s">
        <v>77</v>
      </c>
      <c r="K281" s="26" t="s">
        <v>1</v>
      </c>
    </row>
    <row r="282" spans="1:12">
      <c r="A282" s="25">
        <v>917957136</v>
      </c>
      <c r="B282" s="26">
        <v>44987</v>
      </c>
      <c r="C282" s="27" t="s">
        <v>4546</v>
      </c>
      <c r="D282" s="28" t="s">
        <v>4547</v>
      </c>
      <c r="E282" s="29" t="s">
        <v>30</v>
      </c>
      <c r="F282" s="29" t="s">
        <v>171</v>
      </c>
      <c r="H282" s="26" t="s">
        <v>21</v>
      </c>
      <c r="I282" s="27" t="s">
        <v>77</v>
      </c>
      <c r="K282" s="26" t="s">
        <v>1</v>
      </c>
      <c r="L282" s="24" t="s">
        <v>6388</v>
      </c>
    </row>
    <row r="283" spans="1:12">
      <c r="A283" s="25">
        <v>922374775</v>
      </c>
      <c r="B283" s="26">
        <v>44987</v>
      </c>
      <c r="C283" s="27" t="s">
        <v>359</v>
      </c>
      <c r="D283" s="28" t="s">
        <v>360</v>
      </c>
      <c r="E283" s="29" t="s">
        <v>30</v>
      </c>
      <c r="F283" s="29" t="s">
        <v>171</v>
      </c>
      <c r="H283" s="26" t="s">
        <v>21</v>
      </c>
      <c r="I283" s="27" t="s">
        <v>66</v>
      </c>
      <c r="K283" s="26" t="s">
        <v>1</v>
      </c>
    </row>
    <row r="284" spans="1:12">
      <c r="A284" s="25">
        <v>921917591</v>
      </c>
      <c r="B284" s="26">
        <v>44987</v>
      </c>
      <c r="C284" s="27" t="s">
        <v>5638</v>
      </c>
      <c r="D284" s="28" t="s">
        <v>5639</v>
      </c>
      <c r="E284" s="29" t="s">
        <v>30</v>
      </c>
      <c r="F284" s="29" t="s">
        <v>171</v>
      </c>
      <c r="H284" s="26" t="s">
        <v>21</v>
      </c>
      <c r="I284" s="27" t="s">
        <v>66</v>
      </c>
      <c r="K284" s="26" t="s">
        <v>1</v>
      </c>
    </row>
    <row r="285" spans="1:12">
      <c r="A285" s="25">
        <v>900004812</v>
      </c>
      <c r="B285" s="26">
        <v>44993</v>
      </c>
      <c r="C285" s="27" t="s">
        <v>479</v>
      </c>
      <c r="D285" s="28" t="s">
        <v>480</v>
      </c>
      <c r="E285" s="29" t="s">
        <v>45</v>
      </c>
      <c r="F285" s="29" t="s">
        <v>6339</v>
      </c>
      <c r="H285" s="26" t="s">
        <v>21</v>
      </c>
      <c r="I285" s="27" t="s">
        <v>72</v>
      </c>
      <c r="K285" s="26" t="s">
        <v>1</v>
      </c>
    </row>
    <row r="286" spans="1:12">
      <c r="A286" s="25">
        <v>918850808</v>
      </c>
      <c r="B286" s="26">
        <v>44993</v>
      </c>
      <c r="C286" s="27" t="s">
        <v>5824</v>
      </c>
      <c r="D286" s="28" t="s">
        <v>5825</v>
      </c>
      <c r="E286" s="29" t="s">
        <v>36</v>
      </c>
      <c r="F286" s="29" t="s">
        <v>171</v>
      </c>
      <c r="H286" s="26" t="s">
        <v>21</v>
      </c>
      <c r="I286" s="27" t="s">
        <v>53</v>
      </c>
      <c r="K286" s="26" t="s">
        <v>1</v>
      </c>
    </row>
    <row r="287" spans="1:12">
      <c r="A287" s="25">
        <v>904229435</v>
      </c>
      <c r="B287" s="26">
        <v>44994</v>
      </c>
      <c r="C287" s="27" t="s">
        <v>1861</v>
      </c>
      <c r="D287" s="28" t="s">
        <v>1862</v>
      </c>
      <c r="E287" s="29" t="s">
        <v>30</v>
      </c>
      <c r="F287" s="29" t="s">
        <v>171</v>
      </c>
      <c r="H287" s="26" t="s">
        <v>21</v>
      </c>
      <c r="I287" s="27" t="s">
        <v>65</v>
      </c>
      <c r="K287" s="26" t="s">
        <v>1</v>
      </c>
    </row>
    <row r="288" spans="1:12">
      <c r="A288" s="25">
        <v>900004812</v>
      </c>
      <c r="B288" s="26">
        <v>45033</v>
      </c>
      <c r="C288" s="27" t="s">
        <v>479</v>
      </c>
      <c r="D288" s="28" t="s">
        <v>480</v>
      </c>
      <c r="E288" s="29" t="s">
        <v>36</v>
      </c>
      <c r="F288" s="29" t="s">
        <v>171</v>
      </c>
      <c r="G288" s="29" t="s">
        <v>6389</v>
      </c>
      <c r="H288" s="26" t="s">
        <v>21</v>
      </c>
      <c r="I288" s="27" t="s">
        <v>59</v>
      </c>
      <c r="K288" s="26" t="s">
        <v>1</v>
      </c>
      <c r="L288" s="24" t="s">
        <v>104</v>
      </c>
    </row>
    <row r="289" spans="1:12">
      <c r="A289" s="25">
        <v>900004812</v>
      </c>
      <c r="B289" s="26">
        <v>45033</v>
      </c>
      <c r="C289" s="27" t="s">
        <v>479</v>
      </c>
      <c r="D289" s="28" t="s">
        <v>480</v>
      </c>
      <c r="E289" s="29" t="s">
        <v>64</v>
      </c>
      <c r="F289" s="29" t="s">
        <v>171</v>
      </c>
      <c r="G289" s="29" t="s">
        <v>6390</v>
      </c>
      <c r="H289" s="26" t="s">
        <v>21</v>
      </c>
      <c r="I289" s="27" t="s">
        <v>59</v>
      </c>
      <c r="K289" s="26" t="s">
        <v>1</v>
      </c>
      <c r="L289" s="24" t="s">
        <v>104</v>
      </c>
    </row>
    <row r="290" spans="1:12">
      <c r="A290" s="25">
        <v>900004812</v>
      </c>
      <c r="B290" s="26">
        <v>45033</v>
      </c>
      <c r="C290" s="27" t="s">
        <v>479</v>
      </c>
      <c r="D290" s="28" t="s">
        <v>480</v>
      </c>
      <c r="E290" s="29" t="s">
        <v>45</v>
      </c>
      <c r="F290" s="29" t="s">
        <v>6339</v>
      </c>
      <c r="G290" s="29" t="s">
        <v>6391</v>
      </c>
      <c r="H290" s="26" t="s">
        <v>21</v>
      </c>
      <c r="I290" s="27" t="s">
        <v>59</v>
      </c>
      <c r="K290" s="26" t="s">
        <v>1</v>
      </c>
      <c r="L290" s="24" t="s">
        <v>104</v>
      </c>
    </row>
    <row r="291" spans="1:12">
      <c r="A291" s="25">
        <v>900042655</v>
      </c>
      <c r="B291" s="26">
        <v>45034</v>
      </c>
      <c r="C291" s="27" t="s">
        <v>1220</v>
      </c>
      <c r="D291" s="28" t="s">
        <v>1221</v>
      </c>
      <c r="E291" s="29" t="s">
        <v>36</v>
      </c>
      <c r="F291" s="29" t="s">
        <v>171</v>
      </c>
      <c r="H291" s="26" t="s">
        <v>21</v>
      </c>
      <c r="I291" s="27" t="s">
        <v>54</v>
      </c>
      <c r="K291" s="26" t="s">
        <v>1</v>
      </c>
      <c r="L291" s="24" t="s">
        <v>104</v>
      </c>
    </row>
    <row r="292" spans="1:12">
      <c r="A292" s="25">
        <v>913869494</v>
      </c>
      <c r="B292" s="26">
        <v>45030</v>
      </c>
      <c r="C292" s="27" t="s">
        <v>3808</v>
      </c>
      <c r="D292" s="28" t="s">
        <v>3809</v>
      </c>
      <c r="E292" s="29" t="s">
        <v>146</v>
      </c>
      <c r="F292" s="29" t="s">
        <v>6339</v>
      </c>
      <c r="H292" s="26">
        <v>45034</v>
      </c>
      <c r="I292" s="27" t="s">
        <v>99</v>
      </c>
      <c r="J292" s="27" t="s">
        <v>66</v>
      </c>
      <c r="K292" s="26">
        <v>45035</v>
      </c>
    </row>
    <row r="293" spans="1:12">
      <c r="A293" s="25">
        <v>913869494</v>
      </c>
      <c r="B293" s="26">
        <v>45030</v>
      </c>
      <c r="C293" s="27" t="s">
        <v>3808</v>
      </c>
      <c r="D293" s="28" t="s">
        <v>3809</v>
      </c>
      <c r="E293" s="29" t="s">
        <v>146</v>
      </c>
      <c r="F293" s="29" t="s">
        <v>6339</v>
      </c>
      <c r="H293" s="26">
        <v>45034</v>
      </c>
      <c r="I293" s="27" t="s">
        <v>99</v>
      </c>
      <c r="J293" s="27" t="s">
        <v>66</v>
      </c>
      <c r="K293" s="26">
        <v>45035</v>
      </c>
    </row>
    <row r="294" spans="1:12">
      <c r="A294" s="25">
        <v>913869494</v>
      </c>
      <c r="B294" s="26">
        <v>45030</v>
      </c>
      <c r="C294" s="27" t="s">
        <v>3808</v>
      </c>
      <c r="D294" s="28" t="s">
        <v>3809</v>
      </c>
      <c r="E294" s="29" t="s">
        <v>227</v>
      </c>
      <c r="F294" s="29" t="s">
        <v>6339</v>
      </c>
      <c r="H294" s="26">
        <v>45034</v>
      </c>
      <c r="I294" s="27" t="s">
        <v>99</v>
      </c>
      <c r="J294" s="27" t="s">
        <v>66</v>
      </c>
      <c r="K294" s="26">
        <v>45035</v>
      </c>
    </row>
    <row r="295" spans="1:12">
      <c r="A295" s="25">
        <v>913869494</v>
      </c>
      <c r="B295" s="26">
        <v>45030</v>
      </c>
      <c r="C295" s="27" t="s">
        <v>3808</v>
      </c>
      <c r="D295" s="28" t="s">
        <v>3809</v>
      </c>
      <c r="E295" s="29" t="s">
        <v>227</v>
      </c>
      <c r="F295" s="29" t="s">
        <v>6339</v>
      </c>
      <c r="H295" s="26">
        <v>45034</v>
      </c>
      <c r="I295" s="27" t="s">
        <v>99</v>
      </c>
      <c r="J295" s="27" t="s">
        <v>66</v>
      </c>
      <c r="K295" s="26">
        <v>45035</v>
      </c>
    </row>
    <row r="296" spans="1:12">
      <c r="A296" s="25">
        <v>913869494</v>
      </c>
      <c r="B296" s="26">
        <v>45030</v>
      </c>
      <c r="C296" s="27" t="s">
        <v>3808</v>
      </c>
      <c r="D296" s="28" t="s">
        <v>3809</v>
      </c>
      <c r="E296" s="29" t="s">
        <v>271</v>
      </c>
      <c r="F296" s="29" t="s">
        <v>6339</v>
      </c>
      <c r="H296" s="26">
        <v>45034</v>
      </c>
      <c r="I296" s="27" t="s">
        <v>99</v>
      </c>
      <c r="J296" s="27" t="s">
        <v>66</v>
      </c>
      <c r="K296" s="26">
        <v>45035</v>
      </c>
    </row>
    <row r="297" spans="1:12">
      <c r="A297" s="25">
        <v>913869494</v>
      </c>
      <c r="B297" s="26">
        <v>45030</v>
      </c>
      <c r="C297" s="27" t="s">
        <v>3808</v>
      </c>
      <c r="D297" s="28" t="s">
        <v>3809</v>
      </c>
      <c r="E297" s="29" t="s">
        <v>271</v>
      </c>
      <c r="F297" s="29" t="s">
        <v>6339</v>
      </c>
      <c r="H297" s="26">
        <v>45034</v>
      </c>
      <c r="I297" s="27" t="s">
        <v>99</v>
      </c>
      <c r="J297" s="27" t="s">
        <v>66</v>
      </c>
      <c r="K297" s="26">
        <v>45035</v>
      </c>
    </row>
    <row r="298" spans="1:12">
      <c r="A298" s="25">
        <v>913869494</v>
      </c>
      <c r="B298" s="26">
        <v>45030</v>
      </c>
      <c r="C298" s="27" t="s">
        <v>3808</v>
      </c>
      <c r="D298" s="28" t="s">
        <v>3809</v>
      </c>
      <c r="E298" s="29" t="s">
        <v>58</v>
      </c>
      <c r="F298" s="29" t="s">
        <v>6339</v>
      </c>
      <c r="H298" s="26">
        <v>45034</v>
      </c>
      <c r="I298" s="27" t="s">
        <v>99</v>
      </c>
      <c r="J298" s="27" t="s">
        <v>66</v>
      </c>
      <c r="K298" s="26">
        <v>45035</v>
      </c>
    </row>
    <row r="299" spans="1:12">
      <c r="A299" s="25">
        <v>913869494</v>
      </c>
      <c r="B299" s="26">
        <v>45030</v>
      </c>
      <c r="C299" s="27" t="s">
        <v>3808</v>
      </c>
      <c r="D299" s="28" t="s">
        <v>3809</v>
      </c>
      <c r="E299" s="29" t="s">
        <v>58</v>
      </c>
      <c r="F299" s="29" t="s">
        <v>6339</v>
      </c>
      <c r="H299" s="26">
        <v>45034</v>
      </c>
      <c r="I299" s="27" t="s">
        <v>99</v>
      </c>
      <c r="J299" s="27" t="s">
        <v>66</v>
      </c>
      <c r="K299" s="26">
        <v>45035</v>
      </c>
    </row>
    <row r="300" spans="1:12">
      <c r="A300" s="25">
        <v>900548108</v>
      </c>
      <c r="B300" s="26">
        <v>45035</v>
      </c>
      <c r="C300" s="27" t="s">
        <v>1422</v>
      </c>
      <c r="D300" s="28" t="s">
        <v>1423</v>
      </c>
      <c r="E300" s="29" t="s">
        <v>19</v>
      </c>
      <c r="F300" s="29" t="s">
        <v>171</v>
      </c>
      <c r="H300" s="26">
        <v>45035</v>
      </c>
      <c r="I300" s="27" t="s">
        <v>54</v>
      </c>
      <c r="J300" s="27" t="s">
        <v>54</v>
      </c>
      <c r="K300" s="26">
        <v>45035</v>
      </c>
    </row>
    <row r="301" spans="1:12">
      <c r="A301" s="25">
        <v>918825172</v>
      </c>
      <c r="B301" s="26">
        <v>45035</v>
      </c>
      <c r="C301" s="27" t="s">
        <v>4732</v>
      </c>
      <c r="D301" s="28" t="s">
        <v>4733</v>
      </c>
      <c r="E301" s="29" t="s">
        <v>19</v>
      </c>
      <c r="F301" s="29" t="s">
        <v>6339</v>
      </c>
      <c r="H301" s="26">
        <v>45035</v>
      </c>
      <c r="I301" s="27" t="s">
        <v>59</v>
      </c>
      <c r="J301" s="27" t="s">
        <v>59</v>
      </c>
      <c r="K301" s="26">
        <v>45035</v>
      </c>
      <c r="L301" s="24" t="s">
        <v>6392</v>
      </c>
    </row>
    <row r="302" spans="1:12">
      <c r="B302" s="26">
        <v>45029</v>
      </c>
      <c r="C302" s="27" t="s">
        <v>6393</v>
      </c>
      <c r="D302" s="28" t="s">
        <v>6394</v>
      </c>
      <c r="E302" s="29" t="s">
        <v>6348</v>
      </c>
      <c r="F302" s="29" t="s">
        <v>6395</v>
      </c>
      <c r="H302" s="26">
        <v>45029</v>
      </c>
      <c r="I302" s="27" t="s">
        <v>66</v>
      </c>
      <c r="J302" s="27" t="s">
        <v>66</v>
      </c>
      <c r="K302" s="26">
        <v>45035</v>
      </c>
      <c r="L302" s="24" t="s">
        <v>6396</v>
      </c>
    </row>
    <row r="303" spans="1:12">
      <c r="A303" s="25">
        <v>901196912</v>
      </c>
      <c r="B303" s="26">
        <v>45041</v>
      </c>
      <c r="C303" s="27" t="s">
        <v>1493</v>
      </c>
      <c r="E303" s="29" t="s">
        <v>6397</v>
      </c>
    </row>
    <row r="304" spans="1:12">
      <c r="A304" s="25">
        <v>921873560</v>
      </c>
      <c r="B304" s="26">
        <v>44811</v>
      </c>
      <c r="C304" s="27" t="s">
        <v>5636</v>
      </c>
      <c r="D304" s="28" t="s">
        <v>5637</v>
      </c>
      <c r="E304" s="29" t="s">
        <v>19</v>
      </c>
      <c r="F304" s="29" t="s">
        <v>6339</v>
      </c>
      <c r="G304" s="29" t="s">
        <v>22</v>
      </c>
      <c r="H304" s="26">
        <v>45282</v>
      </c>
      <c r="J304" s="27" t="s">
        <v>54</v>
      </c>
      <c r="K304" s="26">
        <v>45036</v>
      </c>
    </row>
    <row r="305" spans="1:12">
      <c r="A305" s="25">
        <v>915081692</v>
      </c>
      <c r="B305" s="26">
        <v>44965</v>
      </c>
      <c r="C305" s="27" t="s">
        <v>3836</v>
      </c>
      <c r="D305" s="28" t="s">
        <v>3837</v>
      </c>
      <c r="E305" s="29" t="s">
        <v>25</v>
      </c>
      <c r="F305" s="29" t="s">
        <v>171</v>
      </c>
      <c r="H305" s="26">
        <v>44967</v>
      </c>
      <c r="I305" s="27" t="s">
        <v>59</v>
      </c>
      <c r="J305" s="27" t="s">
        <v>65</v>
      </c>
      <c r="K305" s="26">
        <v>45036</v>
      </c>
    </row>
    <row r="306" spans="1:12">
      <c r="A306" s="25">
        <v>918851679</v>
      </c>
      <c r="B306" s="26">
        <v>45028</v>
      </c>
      <c r="C306" s="27" t="s">
        <v>5858</v>
      </c>
      <c r="D306" s="28" t="s">
        <v>5859</v>
      </c>
      <c r="E306" s="29" t="s">
        <v>6398</v>
      </c>
      <c r="F306" s="29" t="s">
        <v>171</v>
      </c>
      <c r="H306" s="26">
        <v>45029</v>
      </c>
      <c r="I306" s="27" t="s">
        <v>66</v>
      </c>
      <c r="J306" s="27" t="s">
        <v>66</v>
      </c>
      <c r="K306" s="26">
        <v>45041</v>
      </c>
      <c r="L306" s="24" t="s">
        <v>6399</v>
      </c>
    </row>
    <row r="307" spans="1:12">
      <c r="A307" s="25" t="s">
        <v>6400</v>
      </c>
      <c r="B307" s="26">
        <v>45035</v>
      </c>
      <c r="C307" s="27" t="s">
        <v>6401</v>
      </c>
      <c r="D307" s="28" t="s">
        <v>6401</v>
      </c>
      <c r="E307" s="29" t="s">
        <v>227</v>
      </c>
      <c r="F307" s="29" t="s">
        <v>171</v>
      </c>
      <c r="H307" s="26">
        <v>45037</v>
      </c>
      <c r="I307" s="27" t="s">
        <v>66</v>
      </c>
      <c r="J307" s="27" t="s">
        <v>99</v>
      </c>
      <c r="K307" s="26">
        <v>45043</v>
      </c>
      <c r="L307" s="24" t="s">
        <v>6402</v>
      </c>
    </row>
    <row r="308" spans="1:12">
      <c r="A308" s="25">
        <v>921873560</v>
      </c>
      <c r="B308" s="26">
        <v>45036</v>
      </c>
      <c r="C308" s="27" t="s">
        <v>5636</v>
      </c>
      <c r="D308" s="28" t="s">
        <v>5637</v>
      </c>
      <c r="E308" s="29" t="s">
        <v>19</v>
      </c>
      <c r="F308" s="29" t="s">
        <v>6339</v>
      </c>
      <c r="H308" s="26">
        <v>45036</v>
      </c>
      <c r="I308" s="27" t="s">
        <v>66</v>
      </c>
      <c r="J308" s="27" t="s">
        <v>54</v>
      </c>
      <c r="K308" s="26">
        <v>45036</v>
      </c>
      <c r="L308" s="24" t="s">
        <v>6403</v>
      </c>
    </row>
    <row r="309" spans="1:12">
      <c r="A309" s="25">
        <v>918844633</v>
      </c>
      <c r="B309" s="26">
        <v>45037</v>
      </c>
      <c r="C309" s="27" t="s">
        <v>5862</v>
      </c>
      <c r="D309" s="28" t="s">
        <v>5863</v>
      </c>
      <c r="E309" s="29" t="s">
        <v>12</v>
      </c>
      <c r="F309" s="29" t="s">
        <v>171</v>
      </c>
      <c r="H309" s="26">
        <v>45040</v>
      </c>
      <c r="I309" s="27" t="s">
        <v>66</v>
      </c>
      <c r="J309" s="27" t="s">
        <v>54</v>
      </c>
      <c r="K309" s="26">
        <v>45041</v>
      </c>
      <c r="L309" s="24" t="s">
        <v>6404</v>
      </c>
    </row>
    <row r="310" spans="1:12">
      <c r="A310" s="25">
        <v>920296153</v>
      </c>
      <c r="B310" s="26">
        <v>45037</v>
      </c>
      <c r="C310" s="27" t="s">
        <v>5510</v>
      </c>
      <c r="D310" s="28" t="s">
        <v>5511</v>
      </c>
      <c r="E310" s="29" t="s">
        <v>19</v>
      </c>
      <c r="F310" s="29" t="s">
        <v>171</v>
      </c>
      <c r="H310" s="26">
        <v>45040</v>
      </c>
      <c r="I310" s="27" t="s">
        <v>73</v>
      </c>
      <c r="J310" s="27" t="s">
        <v>77</v>
      </c>
      <c r="K310" s="26">
        <v>45040</v>
      </c>
    </row>
    <row r="311" spans="1:12">
      <c r="A311" s="25">
        <v>902771381</v>
      </c>
      <c r="B311" s="26">
        <v>45041</v>
      </c>
      <c r="C311" s="27" t="s">
        <v>1667</v>
      </c>
      <c r="D311" s="28" t="s">
        <v>1668</v>
      </c>
      <c r="E311" s="29" t="s">
        <v>105</v>
      </c>
      <c r="F311" s="29" t="s">
        <v>171</v>
      </c>
      <c r="H311" s="26">
        <v>45041</v>
      </c>
      <c r="I311" s="27" t="s">
        <v>54</v>
      </c>
      <c r="J311" s="27" t="s">
        <v>70</v>
      </c>
      <c r="K311" s="26">
        <v>45041</v>
      </c>
    </row>
    <row r="312" spans="1:12">
      <c r="A312" s="25">
        <v>912991357</v>
      </c>
      <c r="B312" s="26">
        <v>45041</v>
      </c>
      <c r="C312" s="27" t="s">
        <v>3460</v>
      </c>
      <c r="D312" s="28" t="s">
        <v>3461</v>
      </c>
      <c r="E312" s="29" t="s">
        <v>19</v>
      </c>
      <c r="F312" s="29" t="s">
        <v>171</v>
      </c>
      <c r="H312" s="26">
        <v>45041</v>
      </c>
      <c r="I312" s="27" t="s">
        <v>66</v>
      </c>
      <c r="J312" s="27" t="s">
        <v>55</v>
      </c>
      <c r="K312" s="26">
        <v>45041</v>
      </c>
      <c r="L312" s="24" t="s">
        <v>6405</v>
      </c>
    </row>
    <row r="313" spans="1:12">
      <c r="A313" s="25">
        <v>921279525</v>
      </c>
      <c r="B313" s="26">
        <v>45041</v>
      </c>
      <c r="C313" s="27" t="s">
        <v>5864</v>
      </c>
      <c r="D313" s="28" t="s">
        <v>6406</v>
      </c>
      <c r="E313" s="29" t="s">
        <v>6407</v>
      </c>
      <c r="F313" s="29" t="s">
        <v>171</v>
      </c>
      <c r="H313" s="26">
        <v>45041</v>
      </c>
      <c r="I313" s="27" t="s">
        <v>70</v>
      </c>
      <c r="J313" s="27" t="s">
        <v>54</v>
      </c>
      <c r="K313" s="26">
        <v>45041</v>
      </c>
    </row>
    <row r="314" spans="1:12">
      <c r="A314" s="25">
        <v>900038222</v>
      </c>
      <c r="B314" s="26">
        <v>45041</v>
      </c>
      <c r="C314" s="27" t="s">
        <v>1142</v>
      </c>
      <c r="D314" s="28" t="s">
        <v>1143</v>
      </c>
      <c r="E314" s="29" t="s">
        <v>35</v>
      </c>
      <c r="F314" s="29" t="s">
        <v>171</v>
      </c>
      <c r="H314" s="26">
        <v>45047</v>
      </c>
      <c r="I314" s="27" t="s">
        <v>66</v>
      </c>
      <c r="J314" s="27" t="s">
        <v>99</v>
      </c>
      <c r="K314" s="26">
        <v>45042</v>
      </c>
    </row>
    <row r="315" spans="1:12">
      <c r="A315" s="25">
        <v>918838822</v>
      </c>
      <c r="B315" s="26">
        <v>45042</v>
      </c>
      <c r="C315" s="27" t="s">
        <v>5866</v>
      </c>
      <c r="D315" s="28" t="s">
        <v>217</v>
      </c>
      <c r="E315" s="29" t="s">
        <v>6407</v>
      </c>
      <c r="F315" s="29" t="s">
        <v>171</v>
      </c>
      <c r="H315" s="26">
        <v>45042</v>
      </c>
      <c r="I315" s="27" t="s">
        <v>54</v>
      </c>
      <c r="J315" s="27" t="s">
        <v>71</v>
      </c>
      <c r="K315" s="26">
        <v>45042</v>
      </c>
      <c r="L315" s="24" t="s">
        <v>6408</v>
      </c>
    </row>
    <row r="316" spans="1:12">
      <c r="A316" s="25">
        <v>917180607</v>
      </c>
      <c r="B316" s="26">
        <v>45044</v>
      </c>
      <c r="C316" s="27" t="s">
        <v>4254</v>
      </c>
      <c r="D316" s="28" t="s">
        <v>4255</v>
      </c>
      <c r="E316" s="29" t="s">
        <v>105</v>
      </c>
      <c r="F316" s="29" t="s">
        <v>171</v>
      </c>
      <c r="H316" s="26">
        <v>45047</v>
      </c>
      <c r="I316" s="27" t="s">
        <v>71</v>
      </c>
      <c r="J316" s="27" t="s">
        <v>54</v>
      </c>
      <c r="K316" s="26">
        <v>45047</v>
      </c>
      <c r="L316" s="24" t="s">
        <v>6409</v>
      </c>
    </row>
    <row r="317" spans="1:12">
      <c r="A317" s="25">
        <v>918833999</v>
      </c>
      <c r="B317" s="26">
        <v>45044</v>
      </c>
      <c r="C317" s="27" t="s">
        <v>4956</v>
      </c>
      <c r="D317" s="28" t="s">
        <v>4957</v>
      </c>
      <c r="E317" s="29" t="s">
        <v>133</v>
      </c>
      <c r="F317" s="29" t="s">
        <v>171</v>
      </c>
      <c r="H317" s="26">
        <v>45047</v>
      </c>
      <c r="I317" s="27" t="s">
        <v>65</v>
      </c>
      <c r="J317" s="27" t="s">
        <v>99</v>
      </c>
      <c r="K317" s="26">
        <v>45048</v>
      </c>
    </row>
    <row r="318" spans="1:12">
      <c r="A318" s="25">
        <v>900001679</v>
      </c>
      <c r="B318" s="26">
        <v>45044</v>
      </c>
      <c r="C318" s="27" t="s">
        <v>401</v>
      </c>
      <c r="D318" s="28" t="s">
        <v>402</v>
      </c>
      <c r="E318" s="29" t="s">
        <v>92</v>
      </c>
      <c r="F318" s="29" t="s">
        <v>171</v>
      </c>
      <c r="H318" s="26">
        <v>45044</v>
      </c>
      <c r="I318" s="27" t="s">
        <v>99</v>
      </c>
      <c r="J318" s="27" t="s">
        <v>99</v>
      </c>
      <c r="K318" s="26">
        <v>45044</v>
      </c>
    </row>
    <row r="319" spans="1:12">
      <c r="A319" s="25">
        <v>918834168</v>
      </c>
      <c r="B319" s="26">
        <v>45047</v>
      </c>
      <c r="C319" s="27" t="s">
        <v>4968</v>
      </c>
      <c r="D319" s="28" t="s">
        <v>4969</v>
      </c>
      <c r="E319" s="29" t="s">
        <v>20</v>
      </c>
      <c r="F319" s="29" t="s">
        <v>171</v>
      </c>
      <c r="H319" s="26">
        <v>45047</v>
      </c>
      <c r="I319" s="27" t="s">
        <v>59</v>
      </c>
      <c r="J319" s="27" t="s">
        <v>55</v>
      </c>
      <c r="K319" s="26">
        <v>45047</v>
      </c>
    </row>
    <row r="320" spans="1:12">
      <c r="A320" s="25">
        <v>901790713</v>
      </c>
      <c r="B320" s="26">
        <v>45047</v>
      </c>
      <c r="C320" s="27" t="s">
        <v>1555</v>
      </c>
      <c r="E320" s="29" t="s">
        <v>6410</v>
      </c>
      <c r="F320" s="29" t="s">
        <v>171</v>
      </c>
      <c r="H320" s="26">
        <v>45047</v>
      </c>
      <c r="I320" s="27" t="s">
        <v>52</v>
      </c>
      <c r="J320" s="27" t="s">
        <v>55</v>
      </c>
      <c r="K320" s="26">
        <v>45047</v>
      </c>
    </row>
    <row r="321" spans="1:12">
      <c r="A321" s="25">
        <v>901790713</v>
      </c>
      <c r="B321" s="26">
        <v>45047</v>
      </c>
      <c r="C321" s="27" t="s">
        <v>1555</v>
      </c>
      <c r="D321" s="28" t="s">
        <v>1556</v>
      </c>
      <c r="E321" s="29" t="s">
        <v>6367</v>
      </c>
      <c r="F321" s="29" t="s">
        <v>171</v>
      </c>
      <c r="H321" s="26">
        <v>45047</v>
      </c>
      <c r="I321" s="27" t="s">
        <v>52</v>
      </c>
      <c r="J321" s="27" t="s">
        <v>55</v>
      </c>
      <c r="K321" s="26">
        <v>45047</v>
      </c>
      <c r="L321" s="24" t="s">
        <v>6411</v>
      </c>
    </row>
    <row r="322" spans="1:12">
      <c r="A322" s="25">
        <v>900004942</v>
      </c>
      <c r="B322" s="26">
        <v>45048</v>
      </c>
      <c r="C322" s="27" t="s">
        <v>483</v>
      </c>
      <c r="D322" s="28" t="s">
        <v>484</v>
      </c>
      <c r="E322" s="29" t="s">
        <v>48</v>
      </c>
      <c r="F322" s="29" t="s">
        <v>171</v>
      </c>
      <c r="H322" s="26">
        <v>45048</v>
      </c>
      <c r="I322" s="27" t="s">
        <v>60</v>
      </c>
      <c r="J322" s="27" t="s">
        <v>99</v>
      </c>
      <c r="K322" s="26">
        <v>45049</v>
      </c>
    </row>
    <row r="323" spans="1:12">
      <c r="A323" s="25">
        <v>918825172</v>
      </c>
      <c r="B323" s="26">
        <v>45049</v>
      </c>
      <c r="C323" s="27" t="s">
        <v>4732</v>
      </c>
      <c r="D323" s="28" t="s">
        <v>4733</v>
      </c>
      <c r="E323" s="29" t="s">
        <v>19</v>
      </c>
      <c r="F323" s="29" t="s">
        <v>6339</v>
      </c>
      <c r="H323" s="26">
        <v>45049</v>
      </c>
      <c r="I323" s="27" t="s">
        <v>54</v>
      </c>
      <c r="J323" s="27" t="s">
        <v>59</v>
      </c>
      <c r="K323" s="26">
        <v>45049</v>
      </c>
      <c r="L323" s="24" t="s">
        <v>6412</v>
      </c>
    </row>
    <row r="324" spans="1:12">
      <c r="A324" s="25">
        <v>901460331</v>
      </c>
      <c r="B324" s="26">
        <v>45049</v>
      </c>
      <c r="C324" s="27" t="s">
        <v>1519</v>
      </c>
      <c r="D324" s="28" t="s">
        <v>1520</v>
      </c>
      <c r="E324" s="29" t="s">
        <v>35</v>
      </c>
      <c r="F324" s="29" t="s">
        <v>171</v>
      </c>
      <c r="H324" s="26">
        <v>45049</v>
      </c>
      <c r="I324" s="27" t="s">
        <v>55</v>
      </c>
      <c r="J324" s="27" t="s">
        <v>72</v>
      </c>
      <c r="K324" s="26" t="s">
        <v>94</v>
      </c>
    </row>
    <row r="325" spans="1:12">
      <c r="A325" s="25" t="s">
        <v>84</v>
      </c>
      <c r="B325" s="26">
        <v>44956</v>
      </c>
      <c r="C325" s="27" t="s">
        <v>84</v>
      </c>
      <c r="D325" s="28" t="s">
        <v>5857</v>
      </c>
      <c r="E325" s="29" t="s">
        <v>25</v>
      </c>
      <c r="F325" s="29" t="s">
        <v>6339</v>
      </c>
      <c r="G325" s="29" t="s">
        <v>6330</v>
      </c>
      <c r="H325" s="26">
        <v>45078</v>
      </c>
      <c r="I325" s="27" t="s">
        <v>56</v>
      </c>
      <c r="J325" s="27" t="s">
        <v>66</v>
      </c>
      <c r="K325" s="26">
        <v>45054</v>
      </c>
    </row>
    <row r="326" spans="1:12">
      <c r="A326" s="25">
        <v>917230475</v>
      </c>
      <c r="B326" s="26">
        <v>45054</v>
      </c>
      <c r="C326" s="27" t="s">
        <v>4312</v>
      </c>
      <c r="D326" s="28" t="s">
        <v>4313</v>
      </c>
      <c r="E326" s="29" t="s">
        <v>12</v>
      </c>
      <c r="F326" s="29" t="s">
        <v>171</v>
      </c>
      <c r="J326" s="27" t="s">
        <v>52</v>
      </c>
      <c r="K326" s="26">
        <v>45054</v>
      </c>
      <c r="L326" s="24" t="s">
        <v>6413</v>
      </c>
    </row>
    <row r="327" spans="1:12">
      <c r="A327" s="25">
        <v>901790713</v>
      </c>
      <c r="B327" s="26">
        <v>45054</v>
      </c>
      <c r="C327" s="27" t="s">
        <v>1555</v>
      </c>
      <c r="D327" s="28" t="s">
        <v>1556</v>
      </c>
      <c r="E327" s="29" t="s">
        <v>24</v>
      </c>
      <c r="F327" s="29" t="s">
        <v>171</v>
      </c>
      <c r="H327" s="26">
        <v>45054</v>
      </c>
      <c r="I327" s="27" t="s">
        <v>14</v>
      </c>
      <c r="J327" s="27" t="s">
        <v>61</v>
      </c>
      <c r="K327" s="26">
        <v>45054</v>
      </c>
      <c r="L327" s="24" t="s">
        <v>6414</v>
      </c>
    </row>
    <row r="328" spans="1:12">
      <c r="A328" s="25">
        <v>900599042</v>
      </c>
      <c r="B328" s="26">
        <v>44812</v>
      </c>
      <c r="C328" s="27" t="s">
        <v>1430</v>
      </c>
      <c r="D328" s="28" t="s">
        <v>1431</v>
      </c>
      <c r="E328" s="29" t="s">
        <v>19</v>
      </c>
      <c r="F328" s="29" t="s">
        <v>171</v>
      </c>
      <c r="G328" s="29" t="s">
        <v>22</v>
      </c>
      <c r="H328" s="26">
        <v>45282</v>
      </c>
      <c r="J328" s="27" t="s">
        <v>65</v>
      </c>
      <c r="K328" s="26">
        <v>45064</v>
      </c>
    </row>
    <row r="329" spans="1:12">
      <c r="A329" s="25">
        <v>913683958</v>
      </c>
      <c r="B329" s="26">
        <v>44830</v>
      </c>
      <c r="C329" s="27" t="s">
        <v>3574</v>
      </c>
      <c r="D329" s="28" t="s">
        <v>3575</v>
      </c>
      <c r="E329" s="29" t="s">
        <v>19</v>
      </c>
      <c r="F329" s="29" t="s">
        <v>171</v>
      </c>
      <c r="H329" s="26">
        <v>45282</v>
      </c>
      <c r="J329" s="27" t="s">
        <v>70</v>
      </c>
      <c r="K329" s="26">
        <v>45061</v>
      </c>
    </row>
    <row r="330" spans="1:12">
      <c r="A330" s="25">
        <v>921117428</v>
      </c>
      <c r="B330" s="26">
        <v>44874</v>
      </c>
      <c r="C330" s="27" t="s">
        <v>5572</v>
      </c>
      <c r="D330" s="28" t="s">
        <v>5573</v>
      </c>
      <c r="E330" s="29" t="s">
        <v>19</v>
      </c>
      <c r="F330" s="29" t="s">
        <v>171</v>
      </c>
      <c r="H330" s="26">
        <v>45282</v>
      </c>
      <c r="I330" s="27" t="s">
        <v>47</v>
      </c>
      <c r="J330" s="27" t="s">
        <v>71</v>
      </c>
      <c r="K330" s="26">
        <v>45082</v>
      </c>
    </row>
    <row r="331" spans="1:12">
      <c r="A331" s="25">
        <v>918846245</v>
      </c>
      <c r="B331" s="26">
        <v>44874</v>
      </c>
      <c r="C331" s="27" t="s">
        <v>5274</v>
      </c>
      <c r="D331" s="28" t="s">
        <v>5275</v>
      </c>
      <c r="E331" s="29" t="s">
        <v>19</v>
      </c>
      <c r="F331" s="29" t="s">
        <v>171</v>
      </c>
      <c r="H331" s="26">
        <v>45282</v>
      </c>
      <c r="I331" s="27" t="s">
        <v>47</v>
      </c>
      <c r="J331" s="27" t="s">
        <v>99</v>
      </c>
      <c r="K331" s="26">
        <v>45117</v>
      </c>
    </row>
    <row r="332" spans="1:12">
      <c r="A332" s="25">
        <v>908778356</v>
      </c>
      <c r="B332" s="26">
        <v>44874</v>
      </c>
      <c r="C332" s="27" t="s">
        <v>2572</v>
      </c>
      <c r="D332" s="28" t="s">
        <v>2573</v>
      </c>
      <c r="E332" s="29" t="s">
        <v>28</v>
      </c>
      <c r="F332" s="29" t="s">
        <v>171</v>
      </c>
      <c r="H332" s="26">
        <v>45282</v>
      </c>
      <c r="I332" s="27" t="s">
        <v>47</v>
      </c>
      <c r="J332" s="27" t="s">
        <v>54</v>
      </c>
      <c r="K332" s="26">
        <v>45056</v>
      </c>
    </row>
    <row r="333" spans="1:12">
      <c r="A333" s="25">
        <v>922263573</v>
      </c>
      <c r="B333" s="26">
        <v>44874</v>
      </c>
      <c r="C333" s="27" t="s">
        <v>5714</v>
      </c>
      <c r="D333" s="28" t="s">
        <v>5715</v>
      </c>
      <c r="E333" s="29" t="s">
        <v>25</v>
      </c>
      <c r="F333" s="29" t="s">
        <v>6339</v>
      </c>
      <c r="H333" s="26">
        <v>45282</v>
      </c>
      <c r="I333" s="27" t="s">
        <v>47</v>
      </c>
      <c r="J333" s="27" t="s">
        <v>61</v>
      </c>
      <c r="K333" s="26">
        <v>45061</v>
      </c>
    </row>
    <row r="334" spans="1:12">
      <c r="A334" s="25">
        <v>900000249</v>
      </c>
      <c r="B334" s="26">
        <v>44874</v>
      </c>
      <c r="C334" s="27" t="s">
        <v>363</v>
      </c>
      <c r="D334" s="28" t="s">
        <v>364</v>
      </c>
      <c r="E334" s="29" t="s">
        <v>19</v>
      </c>
      <c r="F334" s="29" t="s">
        <v>171</v>
      </c>
      <c r="H334" s="26">
        <v>45282</v>
      </c>
      <c r="I334" s="27" t="s">
        <v>47</v>
      </c>
      <c r="J334" s="27" t="s">
        <v>54</v>
      </c>
      <c r="K334" s="26">
        <v>45070</v>
      </c>
    </row>
    <row r="335" spans="1:12">
      <c r="A335" s="25">
        <v>915769860</v>
      </c>
      <c r="B335" s="26">
        <v>44901</v>
      </c>
      <c r="C335" s="27" t="s">
        <v>3916</v>
      </c>
      <c r="D335" s="28" t="s">
        <v>3917</v>
      </c>
      <c r="E335" s="29" t="s">
        <v>116</v>
      </c>
      <c r="F335" s="29" t="s">
        <v>171</v>
      </c>
      <c r="H335" s="26">
        <v>45282</v>
      </c>
      <c r="I335" s="27" t="s">
        <v>54</v>
      </c>
      <c r="J335" s="27" t="s">
        <v>55</v>
      </c>
      <c r="K335" s="26">
        <v>45110</v>
      </c>
    </row>
    <row r="336" spans="1:12">
      <c r="A336" s="25">
        <v>916483521</v>
      </c>
      <c r="B336" s="26">
        <v>44901</v>
      </c>
      <c r="C336" s="27" t="s">
        <v>4120</v>
      </c>
      <c r="D336" s="28" t="s">
        <v>4121</v>
      </c>
      <c r="E336" s="29" t="s">
        <v>28</v>
      </c>
      <c r="F336" s="29" t="s">
        <v>171</v>
      </c>
      <c r="H336" s="26">
        <v>45282</v>
      </c>
      <c r="J336" s="27" t="s">
        <v>54</v>
      </c>
      <c r="K336" s="26">
        <v>45063</v>
      </c>
    </row>
    <row r="337" spans="1:12">
      <c r="A337" s="25">
        <v>922263573</v>
      </c>
      <c r="B337" s="26">
        <v>44951</v>
      </c>
      <c r="C337" s="27" t="s">
        <v>5714</v>
      </c>
      <c r="D337" s="28" t="s">
        <v>5715</v>
      </c>
      <c r="E337" s="29" t="s">
        <v>25</v>
      </c>
      <c r="F337" s="29" t="s">
        <v>6339</v>
      </c>
      <c r="H337" s="26">
        <v>45078</v>
      </c>
      <c r="I337" s="27" t="s">
        <v>52</v>
      </c>
      <c r="J337" s="27" t="s">
        <v>61</v>
      </c>
      <c r="K337" s="26">
        <v>45061</v>
      </c>
    </row>
    <row r="338" spans="1:12">
      <c r="A338" s="25">
        <v>915037271</v>
      </c>
      <c r="B338" s="26">
        <v>44956</v>
      </c>
      <c r="C338" s="27" t="s">
        <v>3830</v>
      </c>
      <c r="D338" s="28" t="s">
        <v>3831</v>
      </c>
      <c r="E338" s="29" t="s">
        <v>25</v>
      </c>
      <c r="F338" s="29" t="s">
        <v>6339</v>
      </c>
      <c r="G338" s="29" t="s">
        <v>6330</v>
      </c>
      <c r="H338" s="26">
        <v>45078</v>
      </c>
      <c r="I338" s="27" t="s">
        <v>54</v>
      </c>
      <c r="J338" s="27" t="s">
        <v>69</v>
      </c>
      <c r="K338" s="26">
        <v>45061</v>
      </c>
    </row>
    <row r="339" spans="1:12">
      <c r="A339" s="25">
        <v>918848546</v>
      </c>
      <c r="B339" s="26">
        <v>44956</v>
      </c>
      <c r="C339" s="27" t="s">
        <v>5328</v>
      </c>
      <c r="D339" s="28" t="s">
        <v>5329</v>
      </c>
      <c r="E339" s="29" t="s">
        <v>19</v>
      </c>
      <c r="F339" s="29" t="s">
        <v>171</v>
      </c>
      <c r="G339" s="29" t="s">
        <v>6330</v>
      </c>
      <c r="H339" s="26">
        <v>45078</v>
      </c>
      <c r="I339" s="27" t="s">
        <v>70</v>
      </c>
      <c r="J339" s="27" t="s">
        <v>71</v>
      </c>
      <c r="K339" s="26">
        <v>45079</v>
      </c>
    </row>
    <row r="340" spans="1:12">
      <c r="A340" s="25">
        <v>900049987</v>
      </c>
      <c r="B340" s="26">
        <v>44956</v>
      </c>
      <c r="C340" s="27" t="s">
        <v>1300</v>
      </c>
      <c r="D340" s="28" t="s">
        <v>1301</v>
      </c>
      <c r="E340" s="29" t="s">
        <v>12</v>
      </c>
      <c r="F340" s="29" t="s">
        <v>171</v>
      </c>
      <c r="G340" s="29" t="s">
        <v>6330</v>
      </c>
      <c r="H340" s="26">
        <v>45078</v>
      </c>
      <c r="I340" s="27" t="s">
        <v>71</v>
      </c>
      <c r="J340" s="27" t="s">
        <v>71</v>
      </c>
      <c r="K340" s="26">
        <v>45079</v>
      </c>
    </row>
    <row r="341" spans="1:12">
      <c r="A341" s="25">
        <v>900002173</v>
      </c>
      <c r="B341" s="26">
        <v>44957</v>
      </c>
      <c r="C341" s="27" t="s">
        <v>409</v>
      </c>
      <c r="D341" s="28" t="s">
        <v>410</v>
      </c>
      <c r="E341" s="29" t="s">
        <v>19</v>
      </c>
      <c r="F341" s="29" t="s">
        <v>171</v>
      </c>
      <c r="G341" s="29" t="s">
        <v>6330</v>
      </c>
      <c r="H341" s="26">
        <v>45078</v>
      </c>
      <c r="J341" s="27" t="s">
        <v>59</v>
      </c>
      <c r="K341" s="26">
        <v>45062</v>
      </c>
    </row>
    <row r="342" spans="1:12">
      <c r="A342" s="25">
        <v>912817092</v>
      </c>
      <c r="B342" s="26">
        <v>44960</v>
      </c>
      <c r="C342" s="27" t="s">
        <v>3388</v>
      </c>
      <c r="D342" s="28" t="s">
        <v>3389</v>
      </c>
      <c r="E342" s="29" t="s">
        <v>28</v>
      </c>
      <c r="F342" s="29" t="s">
        <v>171</v>
      </c>
      <c r="H342" s="26">
        <v>45078</v>
      </c>
      <c r="I342" s="27" t="s">
        <v>70</v>
      </c>
      <c r="J342" s="27" t="s">
        <v>54</v>
      </c>
      <c r="K342" s="26">
        <v>45098</v>
      </c>
    </row>
    <row r="343" spans="1:12">
      <c r="A343" s="25">
        <v>900663886</v>
      </c>
      <c r="B343" s="26">
        <v>44964</v>
      </c>
      <c r="C343" s="27" t="s">
        <v>1404</v>
      </c>
      <c r="D343" s="28" t="s">
        <v>1405</v>
      </c>
      <c r="E343" s="29" t="s">
        <v>19</v>
      </c>
      <c r="F343" s="29" t="s">
        <v>171</v>
      </c>
      <c r="H343" s="26">
        <v>45078</v>
      </c>
      <c r="I343" s="27" t="s">
        <v>54</v>
      </c>
      <c r="J343" s="27" t="s">
        <v>65</v>
      </c>
      <c r="K343" s="26">
        <v>45064</v>
      </c>
    </row>
    <row r="344" spans="1:12">
      <c r="A344" s="25">
        <v>918843164</v>
      </c>
      <c r="B344" s="26">
        <v>44965</v>
      </c>
      <c r="C344" s="27" t="s">
        <v>5188</v>
      </c>
      <c r="D344" s="28" t="s">
        <v>5189</v>
      </c>
      <c r="E344" s="29" t="s">
        <v>19</v>
      </c>
      <c r="F344" s="29" t="s">
        <v>171</v>
      </c>
      <c r="H344" s="26">
        <v>45078</v>
      </c>
      <c r="I344" s="27" t="s">
        <v>55</v>
      </c>
      <c r="J344" s="27" t="s">
        <v>77</v>
      </c>
      <c r="K344" s="26">
        <v>45099</v>
      </c>
      <c r="L344" s="24" t="s">
        <v>6415</v>
      </c>
    </row>
    <row r="345" spans="1:12">
      <c r="A345" s="25">
        <v>910917532</v>
      </c>
      <c r="B345" s="26">
        <v>44966</v>
      </c>
      <c r="C345" s="27" t="s">
        <v>3104</v>
      </c>
      <c r="D345" s="28" t="s">
        <v>3105</v>
      </c>
      <c r="E345" s="29" t="s">
        <v>19</v>
      </c>
      <c r="F345" s="29" t="s">
        <v>171</v>
      </c>
      <c r="H345" s="26">
        <v>45078</v>
      </c>
      <c r="I345" s="27" t="s">
        <v>52</v>
      </c>
      <c r="J345" s="27" t="s">
        <v>66</v>
      </c>
      <c r="K345" s="26">
        <v>45064</v>
      </c>
    </row>
    <row r="346" spans="1:12">
      <c r="A346" s="25">
        <v>908333171</v>
      </c>
      <c r="B346" s="26">
        <v>44971</v>
      </c>
      <c r="C346" s="27" t="s">
        <v>2419</v>
      </c>
      <c r="D346" s="28" t="s">
        <v>2420</v>
      </c>
      <c r="E346" s="29" t="s">
        <v>12</v>
      </c>
      <c r="F346" s="29" t="s">
        <v>171</v>
      </c>
      <c r="H346" s="26">
        <v>45078</v>
      </c>
      <c r="I346" s="27" t="s">
        <v>70</v>
      </c>
      <c r="J346" s="27" t="s">
        <v>65</v>
      </c>
      <c r="K346" s="26">
        <v>45064</v>
      </c>
    </row>
    <row r="347" spans="1:12">
      <c r="A347" s="25">
        <v>904212782</v>
      </c>
      <c r="B347" s="26">
        <v>44979</v>
      </c>
      <c r="C347" s="27" t="s">
        <v>1855</v>
      </c>
      <c r="D347" s="28" t="s">
        <v>1856</v>
      </c>
      <c r="E347" s="29" t="s">
        <v>36</v>
      </c>
      <c r="F347" s="29" t="s">
        <v>171</v>
      </c>
      <c r="H347" s="26">
        <v>44992</v>
      </c>
      <c r="I347" s="27" t="s">
        <v>54</v>
      </c>
      <c r="J347" s="27" t="s">
        <v>70</v>
      </c>
      <c r="K347" s="26">
        <v>45069</v>
      </c>
    </row>
    <row r="348" spans="1:12">
      <c r="A348" s="25">
        <v>922233959</v>
      </c>
      <c r="B348" s="26">
        <v>44986</v>
      </c>
      <c r="C348" s="27" t="s">
        <v>5672</v>
      </c>
      <c r="D348" s="28" t="s">
        <v>5673</v>
      </c>
      <c r="E348" s="29" t="s">
        <v>146</v>
      </c>
      <c r="F348" s="29" t="s">
        <v>171</v>
      </c>
      <c r="G348" s="29" t="s">
        <v>217</v>
      </c>
      <c r="H348" s="26">
        <v>45078</v>
      </c>
      <c r="I348" s="27" t="s">
        <v>52</v>
      </c>
      <c r="J348" s="27" t="s">
        <v>65</v>
      </c>
      <c r="K348" s="26">
        <v>45063</v>
      </c>
    </row>
    <row r="349" spans="1:12">
      <c r="A349" s="25">
        <v>901830610</v>
      </c>
      <c r="B349" s="26">
        <v>44999</v>
      </c>
      <c r="C349" s="27" t="s">
        <v>1561</v>
      </c>
      <c r="D349" s="28" t="s">
        <v>1562</v>
      </c>
      <c r="E349" s="29" t="s">
        <v>38</v>
      </c>
      <c r="F349" s="29" t="s">
        <v>171</v>
      </c>
      <c r="G349" s="29" t="s">
        <v>6358</v>
      </c>
      <c r="H349" s="26">
        <v>45013</v>
      </c>
      <c r="I349" s="27" t="s">
        <v>61</v>
      </c>
      <c r="J349" s="27" t="s">
        <v>54</v>
      </c>
      <c r="K349" s="26">
        <v>45117</v>
      </c>
    </row>
    <row r="350" spans="1:12">
      <c r="A350" s="25">
        <v>915037271</v>
      </c>
      <c r="B350" s="26">
        <v>45012</v>
      </c>
      <c r="C350" s="27" t="s">
        <v>3830</v>
      </c>
      <c r="D350" s="28" t="s">
        <v>3831</v>
      </c>
      <c r="E350" s="29" t="s">
        <v>25</v>
      </c>
      <c r="F350" s="29" t="s">
        <v>6339</v>
      </c>
      <c r="H350" s="26">
        <v>45078</v>
      </c>
      <c r="I350" s="27" t="s">
        <v>59</v>
      </c>
      <c r="J350" s="27" t="s">
        <v>61</v>
      </c>
      <c r="K350" s="26">
        <v>45061</v>
      </c>
      <c r="L350" s="24" t="s">
        <v>6416</v>
      </c>
    </row>
    <row r="351" spans="1:12">
      <c r="A351" s="25">
        <v>900000951</v>
      </c>
      <c r="B351" s="26">
        <v>45014</v>
      </c>
      <c r="C351" s="27" t="s">
        <v>377</v>
      </c>
      <c r="D351" s="28" t="s">
        <v>378</v>
      </c>
      <c r="E351" s="29" t="s">
        <v>150</v>
      </c>
      <c r="F351" s="29" t="s">
        <v>171</v>
      </c>
      <c r="G351" s="29" t="s">
        <v>6417</v>
      </c>
      <c r="H351" s="26">
        <v>45019</v>
      </c>
      <c r="I351" s="27" t="s">
        <v>71</v>
      </c>
      <c r="J351" s="27" t="s">
        <v>99</v>
      </c>
      <c r="K351" s="26">
        <v>45117</v>
      </c>
    </row>
    <row r="352" spans="1:12">
      <c r="A352" s="25">
        <v>911582664</v>
      </c>
      <c r="B352" s="26">
        <v>45020</v>
      </c>
      <c r="C352" s="27" t="s">
        <v>3200</v>
      </c>
      <c r="D352" s="28" t="s">
        <v>3201</v>
      </c>
      <c r="E352" s="29" t="s">
        <v>19</v>
      </c>
      <c r="F352" s="29" t="s">
        <v>171</v>
      </c>
      <c r="H352" s="26">
        <v>45078</v>
      </c>
      <c r="I352" s="27" t="s">
        <v>54</v>
      </c>
      <c r="J352" s="27" t="s">
        <v>70</v>
      </c>
      <c r="K352" s="26">
        <v>45061</v>
      </c>
    </row>
    <row r="353" spans="1:12">
      <c r="A353" s="25">
        <v>918847818</v>
      </c>
      <c r="B353" s="26">
        <v>45021</v>
      </c>
      <c r="C353" s="27" t="s">
        <v>5300</v>
      </c>
      <c r="D353" s="28" t="s">
        <v>5301</v>
      </c>
      <c r="E353" s="29" t="s">
        <v>48</v>
      </c>
      <c r="F353" s="29" t="s">
        <v>171</v>
      </c>
      <c r="H353" s="26">
        <v>45078</v>
      </c>
      <c r="I353" s="27" t="s">
        <v>54</v>
      </c>
      <c r="J353" s="27" t="s">
        <v>55</v>
      </c>
      <c r="K353" s="26">
        <v>45091</v>
      </c>
    </row>
    <row r="354" spans="1:12">
      <c r="A354" s="25">
        <v>900010415</v>
      </c>
      <c r="B354" s="26">
        <v>45035</v>
      </c>
      <c r="C354" s="27" t="s">
        <v>617</v>
      </c>
      <c r="D354" s="28" t="s">
        <v>618</v>
      </c>
      <c r="E354" s="29" t="s">
        <v>35</v>
      </c>
      <c r="F354" s="29" t="s">
        <v>171</v>
      </c>
      <c r="H354" s="26">
        <v>45040</v>
      </c>
      <c r="I354" s="27" t="s">
        <v>66</v>
      </c>
      <c r="J354" s="27" t="s">
        <v>54</v>
      </c>
      <c r="K354" s="26">
        <v>45068</v>
      </c>
    </row>
    <row r="355" spans="1:12">
      <c r="A355" s="25">
        <v>915081692</v>
      </c>
      <c r="B355" s="26">
        <v>45036</v>
      </c>
      <c r="C355" s="27" t="s">
        <v>3836</v>
      </c>
      <c r="D355" s="28" t="s">
        <v>3837</v>
      </c>
      <c r="E355" s="29" t="s">
        <v>19</v>
      </c>
      <c r="F355" s="29" t="s">
        <v>171</v>
      </c>
      <c r="H355" s="26">
        <v>45036</v>
      </c>
      <c r="I355" s="27" t="s">
        <v>65</v>
      </c>
      <c r="J355" s="27" t="s">
        <v>54</v>
      </c>
      <c r="K355" s="26">
        <v>45064</v>
      </c>
    </row>
    <row r="356" spans="1:12">
      <c r="A356" s="25">
        <v>909146490</v>
      </c>
      <c r="B356" s="26">
        <v>45040</v>
      </c>
      <c r="C356" s="27" t="s">
        <v>2630</v>
      </c>
      <c r="D356" s="28" t="s">
        <v>2631</v>
      </c>
      <c r="E356" s="29" t="s">
        <v>151</v>
      </c>
      <c r="F356" s="29" t="s">
        <v>171</v>
      </c>
      <c r="H356" s="26">
        <v>45078</v>
      </c>
      <c r="I356" s="27" t="s">
        <v>55</v>
      </c>
      <c r="J356" s="27" t="s">
        <v>70</v>
      </c>
      <c r="K356" s="26">
        <v>45061</v>
      </c>
    </row>
    <row r="357" spans="1:12">
      <c r="A357" s="25">
        <v>900049597</v>
      </c>
      <c r="B357" s="26">
        <v>45043</v>
      </c>
      <c r="C357" s="27" t="s">
        <v>1290</v>
      </c>
      <c r="D357" s="28" t="s">
        <v>1291</v>
      </c>
      <c r="E357" s="29" t="s">
        <v>36</v>
      </c>
      <c r="F357" s="29" t="s">
        <v>6339</v>
      </c>
      <c r="H357" s="26">
        <v>45068</v>
      </c>
      <c r="I357" s="27" t="s">
        <v>71</v>
      </c>
      <c r="J357" s="27" t="s">
        <v>55</v>
      </c>
      <c r="K357" s="26">
        <v>45089</v>
      </c>
      <c r="L357" s="24" t="s">
        <v>6418</v>
      </c>
    </row>
    <row r="358" spans="1:12">
      <c r="A358" s="25">
        <v>909146490</v>
      </c>
      <c r="B358" s="26">
        <v>45047</v>
      </c>
      <c r="C358" s="27" t="s">
        <v>2630</v>
      </c>
      <c r="D358" s="28" t="s">
        <v>2631</v>
      </c>
      <c r="E358" s="29" t="s">
        <v>36</v>
      </c>
      <c r="F358" s="29" t="s">
        <v>171</v>
      </c>
      <c r="H358" s="26">
        <v>45047</v>
      </c>
      <c r="I358" s="27" t="s">
        <v>72</v>
      </c>
      <c r="J358" s="27" t="s">
        <v>70</v>
      </c>
      <c r="K358" s="26">
        <v>45054</v>
      </c>
    </row>
    <row r="359" spans="1:12">
      <c r="A359" s="25">
        <v>913847407</v>
      </c>
      <c r="B359" s="26">
        <v>45050</v>
      </c>
      <c r="C359" s="27" t="s">
        <v>3752</v>
      </c>
      <c r="D359" s="28" t="s">
        <v>3753</v>
      </c>
      <c r="E359" s="29" t="s">
        <v>19</v>
      </c>
      <c r="F359" s="29" t="s">
        <v>171</v>
      </c>
      <c r="H359" s="26">
        <v>45066</v>
      </c>
      <c r="I359" s="27" t="s">
        <v>70</v>
      </c>
      <c r="J359" s="27" t="s">
        <v>66</v>
      </c>
      <c r="K359" s="26">
        <v>45064</v>
      </c>
    </row>
    <row r="360" spans="1:12">
      <c r="A360" s="25">
        <v>916479452</v>
      </c>
      <c r="B360" s="26">
        <v>45054</v>
      </c>
      <c r="C360" s="27" t="s">
        <v>4102</v>
      </c>
      <c r="D360" s="28" t="s">
        <v>4103</v>
      </c>
      <c r="E360" s="29" t="s">
        <v>20</v>
      </c>
      <c r="F360" s="29" t="s">
        <v>171</v>
      </c>
      <c r="H360" s="26">
        <v>45054</v>
      </c>
      <c r="I360" s="27" t="s">
        <v>66</v>
      </c>
      <c r="J360" s="27" t="s">
        <v>66</v>
      </c>
      <c r="K360" s="26">
        <v>45058</v>
      </c>
      <c r="L360" s="24" t="s">
        <v>6419</v>
      </c>
    </row>
    <row r="361" spans="1:12">
      <c r="A361" s="25">
        <v>900040562</v>
      </c>
      <c r="B361" s="26">
        <v>45055</v>
      </c>
      <c r="C361" s="27" t="s">
        <v>1180</v>
      </c>
      <c r="D361" s="28" t="s">
        <v>1181</v>
      </c>
      <c r="E361" s="29" t="s">
        <v>19</v>
      </c>
      <c r="F361" s="29" t="s">
        <v>171</v>
      </c>
      <c r="H361" s="26">
        <v>45072</v>
      </c>
      <c r="I361" s="27" t="s">
        <v>52</v>
      </c>
      <c r="J361" s="27" t="s">
        <v>65</v>
      </c>
      <c r="K361" s="26">
        <v>45093</v>
      </c>
    </row>
    <row r="362" spans="1:12">
      <c r="A362" s="25">
        <v>915553046</v>
      </c>
      <c r="B362" s="26">
        <v>45055</v>
      </c>
      <c r="C362" s="27" t="s">
        <v>5874</v>
      </c>
      <c r="D362" s="28" t="s">
        <v>5875</v>
      </c>
      <c r="E362" s="29" t="s">
        <v>6420</v>
      </c>
      <c r="F362" s="29" t="s">
        <v>171</v>
      </c>
      <c r="H362" s="26">
        <v>45065</v>
      </c>
      <c r="I362" s="27" t="s">
        <v>54</v>
      </c>
      <c r="J362" s="27" t="s">
        <v>54</v>
      </c>
      <c r="K362" s="26">
        <v>45068</v>
      </c>
      <c r="L362" s="24" t="s">
        <v>6421</v>
      </c>
    </row>
    <row r="363" spans="1:12">
      <c r="A363" s="25">
        <v>915553046</v>
      </c>
      <c r="B363" s="26">
        <v>45055</v>
      </c>
      <c r="C363" s="27" t="s">
        <v>5874</v>
      </c>
      <c r="D363" s="28" t="s">
        <v>5875</v>
      </c>
      <c r="E363" s="29" t="s">
        <v>263</v>
      </c>
      <c r="F363" s="29" t="s">
        <v>171</v>
      </c>
      <c r="H363" s="26">
        <v>45065</v>
      </c>
      <c r="I363" s="27" t="s">
        <v>54</v>
      </c>
      <c r="J363" s="27" t="s">
        <v>54</v>
      </c>
      <c r="K363" s="26">
        <v>45068</v>
      </c>
      <c r="L363" s="24" t="s">
        <v>6421</v>
      </c>
    </row>
    <row r="364" spans="1:12">
      <c r="A364" s="25">
        <v>909198074</v>
      </c>
      <c r="B364" s="26">
        <v>45055</v>
      </c>
      <c r="C364" s="27" t="s">
        <v>2706</v>
      </c>
      <c r="D364" s="28" t="s">
        <v>2707</v>
      </c>
      <c r="E364" s="29" t="s">
        <v>19</v>
      </c>
      <c r="F364" s="29" t="s">
        <v>171</v>
      </c>
      <c r="H364" s="26">
        <v>45055</v>
      </c>
      <c r="I364" s="27" t="s">
        <v>54</v>
      </c>
      <c r="J364" s="27" t="s">
        <v>99</v>
      </c>
      <c r="K364" s="26">
        <v>45055</v>
      </c>
    </row>
    <row r="365" spans="1:12">
      <c r="A365" s="25">
        <v>918825172</v>
      </c>
      <c r="B365" s="26">
        <v>45056</v>
      </c>
      <c r="C365" s="27" t="s">
        <v>4732</v>
      </c>
      <c r="D365" s="28" t="s">
        <v>4733</v>
      </c>
      <c r="E365" s="29" t="s">
        <v>19</v>
      </c>
      <c r="F365" s="29" t="s">
        <v>6339</v>
      </c>
      <c r="H365" s="26">
        <v>45056</v>
      </c>
      <c r="I365" s="27" t="s">
        <v>54</v>
      </c>
      <c r="J365" s="27" t="s">
        <v>54</v>
      </c>
      <c r="K365" s="26">
        <v>45056</v>
      </c>
      <c r="L365" s="24" t="s">
        <v>6422</v>
      </c>
    </row>
    <row r="366" spans="1:12">
      <c r="A366" s="25">
        <v>903548820</v>
      </c>
      <c r="B366" s="26">
        <v>45056</v>
      </c>
      <c r="C366" s="27" t="s">
        <v>1769</v>
      </c>
      <c r="D366" s="28" t="s">
        <v>1770</v>
      </c>
      <c r="E366" s="29" t="s">
        <v>12</v>
      </c>
      <c r="F366" s="29" t="s">
        <v>171</v>
      </c>
      <c r="J366" s="27" t="s">
        <v>54</v>
      </c>
      <c r="K366" s="26">
        <v>45056</v>
      </c>
      <c r="L366" s="24" t="s">
        <v>6423</v>
      </c>
    </row>
    <row r="367" spans="1:12">
      <c r="A367" s="25">
        <v>920545181</v>
      </c>
      <c r="B367" s="26">
        <v>45057</v>
      </c>
      <c r="C367" s="27" t="s">
        <v>6424</v>
      </c>
      <c r="D367" s="28" t="s">
        <v>6425</v>
      </c>
      <c r="E367" s="29" t="s">
        <v>116</v>
      </c>
      <c r="F367" s="29" t="s">
        <v>171</v>
      </c>
      <c r="H367" s="26">
        <v>45057</v>
      </c>
      <c r="I367" s="27" t="s">
        <v>66</v>
      </c>
      <c r="J367" s="27" t="s">
        <v>52</v>
      </c>
      <c r="K367" s="26">
        <v>45057</v>
      </c>
      <c r="L367" s="24" t="s">
        <v>6426</v>
      </c>
    </row>
    <row r="368" spans="1:12">
      <c r="A368" s="25">
        <v>909864350</v>
      </c>
      <c r="B368" s="26">
        <v>45058</v>
      </c>
      <c r="C368" s="27" t="s">
        <v>2856</v>
      </c>
      <c r="D368" s="28" t="s">
        <v>2857</v>
      </c>
      <c r="E368" s="29" t="s">
        <v>133</v>
      </c>
      <c r="F368" s="29" t="s">
        <v>171</v>
      </c>
      <c r="H368" s="26">
        <v>45061</v>
      </c>
      <c r="I368" s="27" t="s">
        <v>69</v>
      </c>
      <c r="J368" s="27" t="s">
        <v>70</v>
      </c>
      <c r="K368" s="26">
        <v>45061</v>
      </c>
      <c r="L368" s="24" t="s">
        <v>6427</v>
      </c>
    </row>
    <row r="369" spans="1:12">
      <c r="A369" s="25">
        <v>909864350</v>
      </c>
      <c r="B369" s="26">
        <v>45058</v>
      </c>
      <c r="C369" s="27" t="s">
        <v>2856</v>
      </c>
      <c r="D369" s="28" t="s">
        <v>2857</v>
      </c>
      <c r="E369" s="29" t="s">
        <v>6328</v>
      </c>
      <c r="F369" s="29" t="s">
        <v>171</v>
      </c>
      <c r="H369" s="26">
        <v>45061</v>
      </c>
      <c r="I369" s="27" t="s">
        <v>69</v>
      </c>
      <c r="J369" s="27" t="s">
        <v>70</v>
      </c>
      <c r="K369" s="26">
        <v>45061</v>
      </c>
      <c r="L369" s="24" t="s">
        <v>6427</v>
      </c>
    </row>
    <row r="370" spans="1:12">
      <c r="A370" s="25">
        <v>909864350</v>
      </c>
      <c r="B370" s="26">
        <v>45058</v>
      </c>
      <c r="C370" s="27" t="s">
        <v>2856</v>
      </c>
      <c r="D370" s="28" t="s">
        <v>2857</v>
      </c>
      <c r="E370" s="29" t="s">
        <v>263</v>
      </c>
      <c r="F370" s="29" t="s">
        <v>171</v>
      </c>
      <c r="H370" s="26">
        <v>45061</v>
      </c>
      <c r="I370" s="27" t="s">
        <v>69</v>
      </c>
      <c r="J370" s="27" t="s">
        <v>70</v>
      </c>
      <c r="K370" s="26">
        <v>45061</v>
      </c>
      <c r="L370" s="24" t="s">
        <v>6427</v>
      </c>
    </row>
    <row r="371" spans="1:12">
      <c r="A371" s="25">
        <v>909864350</v>
      </c>
      <c r="B371" s="26">
        <v>45058</v>
      </c>
      <c r="C371" s="27" t="s">
        <v>2856</v>
      </c>
      <c r="D371" s="28" t="s">
        <v>2857</v>
      </c>
      <c r="E371" s="29" t="s">
        <v>6420</v>
      </c>
      <c r="F371" s="29" t="s">
        <v>171</v>
      </c>
      <c r="H371" s="26">
        <v>45061</v>
      </c>
      <c r="I371" s="27" t="s">
        <v>69</v>
      </c>
      <c r="J371" s="27" t="s">
        <v>70</v>
      </c>
      <c r="K371" s="26">
        <v>45061</v>
      </c>
      <c r="L371" s="24" t="s">
        <v>6427</v>
      </c>
    </row>
    <row r="372" spans="1:12">
      <c r="A372" s="25">
        <v>900271988</v>
      </c>
      <c r="B372" s="26">
        <v>45058</v>
      </c>
      <c r="C372" s="27" t="s">
        <v>1396</v>
      </c>
      <c r="D372" s="28" t="s">
        <v>1397</v>
      </c>
      <c r="E372" s="29" t="s">
        <v>19</v>
      </c>
      <c r="F372" s="29" t="s">
        <v>171</v>
      </c>
      <c r="H372" s="26">
        <v>45065</v>
      </c>
      <c r="I372" s="27" t="s">
        <v>72</v>
      </c>
      <c r="J372" s="27" t="s">
        <v>70</v>
      </c>
      <c r="K372" s="26">
        <v>45061</v>
      </c>
    </row>
    <row r="373" spans="1:12">
      <c r="A373" s="25">
        <v>918328884</v>
      </c>
      <c r="B373" s="26">
        <v>45058</v>
      </c>
      <c r="C373" s="27" t="s">
        <v>4668</v>
      </c>
      <c r="D373" s="28" t="s">
        <v>4669</v>
      </c>
      <c r="E373" s="29" t="s">
        <v>19</v>
      </c>
      <c r="F373" s="29" t="s">
        <v>6339</v>
      </c>
      <c r="H373" s="26">
        <v>45058</v>
      </c>
      <c r="I373" s="27" t="s">
        <v>61</v>
      </c>
      <c r="J373" s="27" t="s">
        <v>61</v>
      </c>
      <c r="K373" s="26">
        <v>45058</v>
      </c>
      <c r="L373" s="24" t="s">
        <v>6428</v>
      </c>
    </row>
    <row r="374" spans="1:12">
      <c r="A374" s="25">
        <v>900038079</v>
      </c>
      <c r="B374" s="26">
        <v>45061</v>
      </c>
      <c r="C374" s="27" t="s">
        <v>1136</v>
      </c>
      <c r="D374" s="28" t="s">
        <v>1137</v>
      </c>
      <c r="E374" s="29" t="s">
        <v>35</v>
      </c>
      <c r="F374" s="29" t="s">
        <v>171</v>
      </c>
      <c r="H374" s="26">
        <v>45063</v>
      </c>
      <c r="I374" s="27" t="s">
        <v>66</v>
      </c>
      <c r="J374" s="27" t="s">
        <v>59</v>
      </c>
      <c r="K374" s="26">
        <v>45063</v>
      </c>
    </row>
    <row r="375" spans="1:12">
      <c r="A375" s="25">
        <v>909146490</v>
      </c>
      <c r="B375" s="26">
        <v>45061</v>
      </c>
      <c r="C375" s="27" t="s">
        <v>2630</v>
      </c>
      <c r="D375" s="28" t="s">
        <v>2631</v>
      </c>
      <c r="E375" s="29" t="s">
        <v>19</v>
      </c>
      <c r="F375" s="29" t="s">
        <v>171</v>
      </c>
      <c r="H375" s="26">
        <v>45062</v>
      </c>
      <c r="I375" s="27" t="s">
        <v>70</v>
      </c>
      <c r="J375" s="27" t="s">
        <v>55</v>
      </c>
      <c r="K375" s="26">
        <v>45061</v>
      </c>
    </row>
    <row r="376" spans="1:12">
      <c r="A376" s="25">
        <v>912144940</v>
      </c>
      <c r="B376" s="26">
        <v>45062</v>
      </c>
      <c r="C376" s="27" t="s">
        <v>3282</v>
      </c>
      <c r="D376" s="28" t="s">
        <v>3283</v>
      </c>
      <c r="E376" s="29" t="s">
        <v>12</v>
      </c>
      <c r="F376" s="29" t="s">
        <v>6339</v>
      </c>
      <c r="J376" s="27" t="s">
        <v>54</v>
      </c>
      <c r="K376" s="26">
        <v>45062</v>
      </c>
    </row>
    <row r="377" spans="1:12">
      <c r="A377" s="25">
        <v>900012001</v>
      </c>
      <c r="B377" s="26">
        <v>45062</v>
      </c>
      <c r="C377" s="27" t="s">
        <v>661</v>
      </c>
      <c r="D377" s="28" t="s">
        <v>662</v>
      </c>
      <c r="E377" s="29" t="s">
        <v>25</v>
      </c>
      <c r="F377" s="29" t="s">
        <v>171</v>
      </c>
      <c r="H377" s="26">
        <v>45062</v>
      </c>
      <c r="I377" s="27" t="s">
        <v>61</v>
      </c>
      <c r="J377" s="27" t="s">
        <v>55</v>
      </c>
      <c r="K377" s="26">
        <v>45062</v>
      </c>
    </row>
    <row r="378" spans="1:12">
      <c r="A378" s="25">
        <v>912144940</v>
      </c>
      <c r="B378" s="26">
        <v>45062</v>
      </c>
      <c r="C378" s="27" t="s">
        <v>3282</v>
      </c>
      <c r="D378" s="28" t="s">
        <v>3283</v>
      </c>
      <c r="E378" s="29" t="s">
        <v>12</v>
      </c>
      <c r="F378" s="29" t="s">
        <v>6339</v>
      </c>
      <c r="J378" s="27" t="s">
        <v>54</v>
      </c>
      <c r="K378" s="26">
        <v>45062</v>
      </c>
      <c r="L378" s="24" t="s">
        <v>6429</v>
      </c>
    </row>
    <row r="379" spans="1:12">
      <c r="A379" s="25">
        <v>900561537</v>
      </c>
      <c r="B379" s="26">
        <v>45062</v>
      </c>
      <c r="C379" s="27" t="s">
        <v>1424</v>
      </c>
      <c r="D379" s="28" t="s">
        <v>1425</v>
      </c>
      <c r="E379" s="29" t="s">
        <v>67</v>
      </c>
      <c r="F379" s="29" t="s">
        <v>171</v>
      </c>
      <c r="H379" s="26">
        <v>45064</v>
      </c>
      <c r="J379" s="27" t="s">
        <v>65</v>
      </c>
      <c r="K379" s="26">
        <v>45064</v>
      </c>
    </row>
    <row r="380" spans="1:12">
      <c r="A380" s="25">
        <v>900064846</v>
      </c>
      <c r="B380" s="26">
        <v>45063</v>
      </c>
      <c r="C380" s="27" t="s">
        <v>1358</v>
      </c>
      <c r="D380" s="28" t="s">
        <v>1359</v>
      </c>
      <c r="E380" s="29" t="s">
        <v>25</v>
      </c>
      <c r="F380" s="29" t="s">
        <v>171</v>
      </c>
      <c r="J380" s="27" t="s">
        <v>54</v>
      </c>
      <c r="K380" s="26">
        <v>45063</v>
      </c>
    </row>
    <row r="381" spans="1:12">
      <c r="A381" s="25">
        <v>922230410</v>
      </c>
      <c r="B381" s="26">
        <v>45063</v>
      </c>
      <c r="C381" s="27" t="s">
        <v>5668</v>
      </c>
      <c r="D381" s="28" t="s">
        <v>5669</v>
      </c>
      <c r="E381" s="29" t="s">
        <v>19</v>
      </c>
      <c r="F381" s="29" t="s">
        <v>6339</v>
      </c>
      <c r="H381" s="26">
        <v>45063</v>
      </c>
      <c r="I381" s="27" t="s">
        <v>99</v>
      </c>
      <c r="J381" s="27" t="s">
        <v>99</v>
      </c>
      <c r="K381" s="26">
        <v>45064</v>
      </c>
      <c r="L381" s="24" t="s">
        <v>6430</v>
      </c>
    </row>
    <row r="382" spans="1:12">
      <c r="A382" s="25">
        <v>900037065</v>
      </c>
      <c r="B382" s="26">
        <v>45064</v>
      </c>
      <c r="C382" s="27" t="s">
        <v>1126</v>
      </c>
      <c r="D382" s="28" t="s">
        <v>1127</v>
      </c>
      <c r="E382" s="29" t="s">
        <v>105</v>
      </c>
      <c r="F382" s="29" t="s">
        <v>6339</v>
      </c>
      <c r="I382" s="27" t="s">
        <v>65</v>
      </c>
      <c r="J382" s="27" t="s">
        <v>77</v>
      </c>
      <c r="K382" s="26">
        <v>45065</v>
      </c>
      <c r="L382" s="24" t="s">
        <v>6431</v>
      </c>
    </row>
    <row r="383" spans="1:12">
      <c r="A383" s="25">
        <v>909009756</v>
      </c>
      <c r="B383" s="26">
        <v>45064</v>
      </c>
      <c r="C383" s="27" t="s">
        <v>2588</v>
      </c>
      <c r="D383" s="28" t="s">
        <v>2589</v>
      </c>
      <c r="E383" s="29" t="s">
        <v>19</v>
      </c>
      <c r="F383" s="29" t="s">
        <v>171</v>
      </c>
      <c r="H383" s="26">
        <v>45064</v>
      </c>
      <c r="I383" s="27" t="s">
        <v>54</v>
      </c>
      <c r="J383" s="27" t="s">
        <v>99</v>
      </c>
      <c r="K383" s="26">
        <v>45065</v>
      </c>
      <c r="L383" s="24" t="s">
        <v>6432</v>
      </c>
    </row>
    <row r="384" spans="1:12">
      <c r="A384" s="25">
        <v>910631935</v>
      </c>
      <c r="B384" s="26">
        <v>45064</v>
      </c>
      <c r="C384" s="27" t="s">
        <v>3070</v>
      </c>
      <c r="D384" s="28" t="s">
        <v>3071</v>
      </c>
      <c r="E384" s="29" t="s">
        <v>133</v>
      </c>
      <c r="F384" s="29" t="s">
        <v>171</v>
      </c>
      <c r="H384" s="26">
        <v>45064</v>
      </c>
      <c r="I384" s="27" t="s">
        <v>54</v>
      </c>
      <c r="J384" s="27" t="s">
        <v>65</v>
      </c>
      <c r="K384" s="26">
        <v>45064</v>
      </c>
    </row>
    <row r="385" spans="1:12">
      <c r="A385" s="25">
        <v>920021190</v>
      </c>
      <c r="B385" s="26">
        <v>45064</v>
      </c>
      <c r="C385" s="27" t="s">
        <v>5470</v>
      </c>
      <c r="D385" s="28" t="s">
        <v>5471</v>
      </c>
      <c r="E385" s="29" t="s">
        <v>25</v>
      </c>
      <c r="F385" s="29" t="s">
        <v>171</v>
      </c>
      <c r="J385" s="27" t="s">
        <v>54</v>
      </c>
      <c r="K385" s="26">
        <v>45064</v>
      </c>
      <c r="L385" s="24" t="s">
        <v>6433</v>
      </c>
    </row>
    <row r="386" spans="1:12">
      <c r="A386" s="25">
        <v>917253134</v>
      </c>
      <c r="B386" s="26">
        <v>45064</v>
      </c>
      <c r="C386" s="27" t="s">
        <v>4378</v>
      </c>
      <c r="D386" s="28" t="s">
        <v>4379</v>
      </c>
      <c r="E386" s="29" t="s">
        <v>25</v>
      </c>
      <c r="F386" s="29" t="s">
        <v>171</v>
      </c>
      <c r="J386" s="27" t="s">
        <v>59</v>
      </c>
      <c r="K386" s="26">
        <v>45065</v>
      </c>
    </row>
    <row r="387" spans="1:12">
      <c r="A387" s="25">
        <v>917253134</v>
      </c>
      <c r="B387" s="26">
        <v>45064</v>
      </c>
      <c r="C387" s="27" t="s">
        <v>4378</v>
      </c>
      <c r="D387" s="28" t="s">
        <v>4379</v>
      </c>
      <c r="E387" s="29" t="s">
        <v>19</v>
      </c>
      <c r="F387" s="29" t="s">
        <v>171</v>
      </c>
      <c r="J387" s="27" t="s">
        <v>59</v>
      </c>
      <c r="K387" s="26">
        <v>45065</v>
      </c>
    </row>
    <row r="388" spans="1:12">
      <c r="A388" s="25">
        <v>917163928</v>
      </c>
      <c r="B388" s="26">
        <v>45064</v>
      </c>
      <c r="C388" s="27" t="s">
        <v>4232</v>
      </c>
      <c r="D388" s="28" t="s">
        <v>4233</v>
      </c>
      <c r="E388" s="29" t="s">
        <v>133</v>
      </c>
      <c r="F388" s="29" t="s">
        <v>171</v>
      </c>
      <c r="H388" s="26">
        <v>45064</v>
      </c>
      <c r="I388" s="27" t="s">
        <v>65</v>
      </c>
      <c r="J388" s="27" t="s">
        <v>66</v>
      </c>
      <c r="K388" s="26">
        <v>45064</v>
      </c>
      <c r="L388" s="24" t="s">
        <v>6434</v>
      </c>
    </row>
    <row r="389" spans="1:12">
      <c r="A389" s="25">
        <v>913586731</v>
      </c>
      <c r="B389" s="26">
        <v>45068</v>
      </c>
      <c r="C389" s="27" t="s">
        <v>3546</v>
      </c>
      <c r="D389" s="28" t="s">
        <v>3547</v>
      </c>
      <c r="E389" s="29" t="s">
        <v>76</v>
      </c>
      <c r="F389" s="29" t="s">
        <v>171</v>
      </c>
      <c r="H389" s="26">
        <v>45068</v>
      </c>
      <c r="I389" s="27" t="s">
        <v>52</v>
      </c>
      <c r="J389" s="27" t="s">
        <v>52</v>
      </c>
      <c r="K389" s="26">
        <v>45068</v>
      </c>
    </row>
    <row r="390" spans="1:12">
      <c r="A390" s="25">
        <v>918835078</v>
      </c>
      <c r="B390" s="26">
        <v>45069</v>
      </c>
      <c r="C390" s="27" t="s">
        <v>4992</v>
      </c>
      <c r="D390" s="28" t="s">
        <v>4993</v>
      </c>
      <c r="E390" s="29" t="s">
        <v>62</v>
      </c>
      <c r="F390" s="29" t="s">
        <v>171</v>
      </c>
      <c r="J390" s="27" t="s">
        <v>70</v>
      </c>
      <c r="K390" s="26">
        <v>45069</v>
      </c>
      <c r="L390" s="24" t="s">
        <v>6435</v>
      </c>
    </row>
    <row r="391" spans="1:12">
      <c r="A391" s="25">
        <v>909169006</v>
      </c>
      <c r="B391" s="26">
        <v>45071</v>
      </c>
      <c r="C391" s="27" t="s">
        <v>2652</v>
      </c>
      <c r="D391" s="28" t="s">
        <v>2653</v>
      </c>
      <c r="E391" s="29" t="s">
        <v>227</v>
      </c>
      <c r="F391" s="29" t="s">
        <v>171</v>
      </c>
      <c r="H391" s="26">
        <v>45071</v>
      </c>
      <c r="I391" s="27" t="s">
        <v>52</v>
      </c>
      <c r="J391" s="27" t="s">
        <v>52</v>
      </c>
      <c r="K391" s="26">
        <v>45071</v>
      </c>
    </row>
    <row r="392" spans="1:12">
      <c r="A392" s="25">
        <v>909169006</v>
      </c>
      <c r="B392" s="26">
        <v>45071</v>
      </c>
      <c r="C392" s="27" t="s">
        <v>2652</v>
      </c>
      <c r="D392" s="28" t="s">
        <v>2653</v>
      </c>
      <c r="E392" s="29" t="s">
        <v>146</v>
      </c>
      <c r="F392" s="29" t="s">
        <v>171</v>
      </c>
      <c r="H392" s="26">
        <v>45072</v>
      </c>
      <c r="I392" s="27" t="s">
        <v>52</v>
      </c>
      <c r="J392" s="27" t="s">
        <v>52</v>
      </c>
      <c r="K392" s="26">
        <v>45071</v>
      </c>
    </row>
    <row r="393" spans="1:12">
      <c r="A393" s="25">
        <v>916479400</v>
      </c>
      <c r="B393" s="26">
        <v>45071</v>
      </c>
      <c r="C393" s="27" t="s">
        <v>4098</v>
      </c>
      <c r="D393" s="28" t="s">
        <v>4099</v>
      </c>
      <c r="E393" s="29" t="s">
        <v>25</v>
      </c>
      <c r="F393" s="29" t="s">
        <v>171</v>
      </c>
      <c r="H393" s="26">
        <v>45092</v>
      </c>
      <c r="I393" s="27" t="s">
        <v>70</v>
      </c>
      <c r="J393" s="27" t="s">
        <v>54</v>
      </c>
      <c r="K393" s="26">
        <v>45077</v>
      </c>
    </row>
    <row r="394" spans="1:12">
      <c r="A394" s="25">
        <v>917230319</v>
      </c>
      <c r="B394" s="26" t="s">
        <v>6436</v>
      </c>
      <c r="C394" s="27" t="s">
        <v>4310</v>
      </c>
      <c r="D394" s="28" t="s">
        <v>4311</v>
      </c>
      <c r="E394" s="29" t="s">
        <v>28</v>
      </c>
      <c r="F394" s="29" t="s">
        <v>171</v>
      </c>
      <c r="J394" s="27" t="s">
        <v>71</v>
      </c>
      <c r="K394" s="26">
        <v>45071</v>
      </c>
    </row>
    <row r="395" spans="1:12">
      <c r="A395" s="25">
        <v>900021088</v>
      </c>
      <c r="B395" s="26">
        <v>45076</v>
      </c>
      <c r="C395" s="27" t="s">
        <v>864</v>
      </c>
      <c r="D395" s="28" t="s">
        <v>865</v>
      </c>
      <c r="E395" s="29" t="s">
        <v>133</v>
      </c>
      <c r="F395" s="29" t="s">
        <v>171</v>
      </c>
      <c r="H395" s="26">
        <v>45083</v>
      </c>
      <c r="I395" s="27" t="s">
        <v>99</v>
      </c>
      <c r="J395" s="27" t="s">
        <v>70</v>
      </c>
      <c r="K395" s="26">
        <v>45083</v>
      </c>
    </row>
    <row r="396" spans="1:12">
      <c r="A396" s="25">
        <v>918843502</v>
      </c>
      <c r="B396" s="26">
        <v>45076</v>
      </c>
      <c r="C396" s="27" t="s">
        <v>5204</v>
      </c>
      <c r="D396" s="28" t="s">
        <v>5205</v>
      </c>
      <c r="E396" s="29" t="s">
        <v>25</v>
      </c>
      <c r="F396" s="29" t="s">
        <v>171</v>
      </c>
      <c r="H396" s="26" t="s">
        <v>137</v>
      </c>
      <c r="I396" s="27" t="s">
        <v>99</v>
      </c>
      <c r="J396" s="27" t="s">
        <v>77</v>
      </c>
      <c r="K396" s="26">
        <v>45077</v>
      </c>
      <c r="L396" s="24" t="s">
        <v>6437</v>
      </c>
    </row>
    <row r="397" spans="1:12">
      <c r="A397" s="25">
        <v>918846245</v>
      </c>
      <c r="B397" s="26">
        <v>45079</v>
      </c>
      <c r="C397" s="27" t="s">
        <v>5274</v>
      </c>
      <c r="D397" s="28" t="s">
        <v>5275</v>
      </c>
      <c r="E397" s="29" t="s">
        <v>51</v>
      </c>
      <c r="F397" s="29" t="s">
        <v>171</v>
      </c>
      <c r="J397" s="27" t="s">
        <v>71</v>
      </c>
      <c r="K397" s="26">
        <v>45079</v>
      </c>
      <c r="L397" s="24" t="s">
        <v>6438</v>
      </c>
    </row>
    <row r="398" spans="1:12">
      <c r="A398" s="25">
        <v>918848546</v>
      </c>
      <c r="B398" s="26">
        <v>45079</v>
      </c>
      <c r="C398" s="27" t="s">
        <v>5328</v>
      </c>
      <c r="D398" s="28" t="s">
        <v>5329</v>
      </c>
      <c r="E398" s="29" t="s">
        <v>67</v>
      </c>
      <c r="F398" s="29" t="s">
        <v>171</v>
      </c>
      <c r="J398" s="27" t="s">
        <v>71</v>
      </c>
      <c r="K398" s="26">
        <v>45079</v>
      </c>
    </row>
    <row r="399" spans="1:12">
      <c r="A399" s="25">
        <v>921117428</v>
      </c>
      <c r="B399" s="26">
        <v>45082</v>
      </c>
      <c r="C399" s="27" t="s">
        <v>5572</v>
      </c>
      <c r="D399" s="28" t="s">
        <v>5573</v>
      </c>
      <c r="E399" s="29" t="s">
        <v>27</v>
      </c>
      <c r="F399" s="29" t="s">
        <v>171</v>
      </c>
      <c r="J399" s="27" t="s">
        <v>71</v>
      </c>
      <c r="K399" s="26">
        <v>45082</v>
      </c>
    </row>
    <row r="400" spans="1:12">
      <c r="A400" s="25">
        <v>913302252</v>
      </c>
      <c r="B400" s="26">
        <v>45090</v>
      </c>
      <c r="C400" s="27" t="s">
        <v>3522</v>
      </c>
      <c r="D400" s="28" t="s">
        <v>3523</v>
      </c>
      <c r="E400" s="29" t="s">
        <v>133</v>
      </c>
      <c r="F400" s="29" t="s">
        <v>171</v>
      </c>
      <c r="H400" s="26">
        <v>45090</v>
      </c>
      <c r="I400" s="27" t="s">
        <v>99</v>
      </c>
      <c r="J400" s="27" t="s">
        <v>55</v>
      </c>
      <c r="K400" s="26">
        <v>45091</v>
      </c>
    </row>
    <row r="401" spans="1:12">
      <c r="A401" s="25">
        <v>909198113</v>
      </c>
      <c r="B401" s="26">
        <v>45091</v>
      </c>
      <c r="C401" s="27" t="s">
        <v>2710</v>
      </c>
      <c r="D401" s="28" t="s">
        <v>2711</v>
      </c>
      <c r="E401" s="29" t="s">
        <v>6439</v>
      </c>
      <c r="F401" s="29" t="s">
        <v>171</v>
      </c>
      <c r="H401" s="26">
        <v>45170</v>
      </c>
      <c r="I401" s="27" t="s">
        <v>55</v>
      </c>
      <c r="J401" s="27" t="s">
        <v>65</v>
      </c>
      <c r="K401" s="26">
        <v>45093</v>
      </c>
    </row>
    <row r="402" spans="1:12">
      <c r="A402" s="25">
        <v>909198113</v>
      </c>
      <c r="B402" s="26">
        <v>45091</v>
      </c>
      <c r="C402" s="27" t="s">
        <v>2710</v>
      </c>
      <c r="D402" s="28" t="s">
        <v>2711</v>
      </c>
      <c r="E402" s="29" t="s">
        <v>269</v>
      </c>
      <c r="F402" s="29" t="s">
        <v>171</v>
      </c>
      <c r="H402" s="26">
        <v>45170</v>
      </c>
      <c r="I402" s="27" t="s">
        <v>55</v>
      </c>
      <c r="J402" s="27" t="s">
        <v>65</v>
      </c>
      <c r="K402" s="26">
        <v>45093</v>
      </c>
    </row>
    <row r="403" spans="1:12">
      <c r="A403" s="25">
        <v>909198113</v>
      </c>
      <c r="B403" s="26">
        <v>45091</v>
      </c>
      <c r="C403" s="27" t="s">
        <v>2710</v>
      </c>
      <c r="D403" s="28" t="s">
        <v>2711</v>
      </c>
      <c r="E403" s="29" t="s">
        <v>227</v>
      </c>
      <c r="F403" s="29" t="s">
        <v>171</v>
      </c>
      <c r="H403" s="26">
        <v>45170</v>
      </c>
      <c r="I403" s="27" t="s">
        <v>55</v>
      </c>
      <c r="J403" s="27" t="s">
        <v>65</v>
      </c>
      <c r="K403" s="26">
        <v>45093</v>
      </c>
    </row>
    <row r="404" spans="1:12">
      <c r="A404" s="25">
        <v>918835338</v>
      </c>
      <c r="B404" s="26">
        <v>45097</v>
      </c>
      <c r="C404" s="27" t="s">
        <v>5000</v>
      </c>
      <c r="D404" s="28" t="s">
        <v>5001</v>
      </c>
      <c r="E404" s="29" t="s">
        <v>174</v>
      </c>
      <c r="F404" s="29" t="s">
        <v>171</v>
      </c>
      <c r="I404" s="27" t="s">
        <v>47</v>
      </c>
      <c r="J404" s="27" t="s">
        <v>54</v>
      </c>
      <c r="K404" s="26">
        <v>45097</v>
      </c>
      <c r="L404" s="24" t="s">
        <v>6440</v>
      </c>
    </row>
    <row r="405" spans="1:12">
      <c r="A405" s="25">
        <v>918835338</v>
      </c>
      <c r="B405" s="26">
        <v>45097</v>
      </c>
      <c r="C405" s="27" t="s">
        <v>5000</v>
      </c>
      <c r="D405" s="28" t="s">
        <v>5001</v>
      </c>
      <c r="E405" s="29" t="s">
        <v>27</v>
      </c>
      <c r="F405" s="29" t="s">
        <v>171</v>
      </c>
      <c r="I405" s="27" t="s">
        <v>47</v>
      </c>
      <c r="J405" s="27" t="s">
        <v>54</v>
      </c>
      <c r="K405" s="26">
        <v>45097</v>
      </c>
      <c r="L405" s="24" t="s">
        <v>6440</v>
      </c>
    </row>
    <row r="406" spans="1:12">
      <c r="A406" s="25">
        <v>918852108</v>
      </c>
      <c r="B406" s="26">
        <v>45099</v>
      </c>
      <c r="C406" s="27" t="s">
        <v>5938</v>
      </c>
      <c r="D406" s="28" t="s">
        <v>6441</v>
      </c>
      <c r="E406" s="29" t="s">
        <v>105</v>
      </c>
      <c r="F406" s="29" t="s">
        <v>171</v>
      </c>
      <c r="H406" s="26">
        <v>45100</v>
      </c>
      <c r="I406" s="27" t="s">
        <v>77</v>
      </c>
      <c r="J406" s="27" t="s">
        <v>65</v>
      </c>
      <c r="K406" s="26">
        <v>45106</v>
      </c>
    </row>
    <row r="407" spans="1:12">
      <c r="A407" s="25">
        <v>900032333</v>
      </c>
      <c r="B407" s="26">
        <v>45106</v>
      </c>
      <c r="C407" s="27" t="s">
        <v>5881</v>
      </c>
      <c r="D407" s="28" t="s">
        <v>5882</v>
      </c>
      <c r="E407" s="29" t="s">
        <v>112</v>
      </c>
      <c r="F407" s="29" t="s">
        <v>171</v>
      </c>
      <c r="J407" s="27" t="s">
        <v>70</v>
      </c>
      <c r="K407" s="26">
        <v>45106</v>
      </c>
      <c r="L407" s="24" t="s">
        <v>6442</v>
      </c>
    </row>
    <row r="408" spans="1:12">
      <c r="A408" s="25">
        <v>918853070</v>
      </c>
      <c r="B408" s="26">
        <v>45113</v>
      </c>
      <c r="C408" s="27" t="s">
        <v>5885</v>
      </c>
      <c r="D408" s="28" t="s">
        <v>5886</v>
      </c>
      <c r="E408" s="29" t="s">
        <v>123</v>
      </c>
      <c r="F408" s="29" t="s">
        <v>171</v>
      </c>
      <c r="I408" s="27" t="s">
        <v>55</v>
      </c>
      <c r="J408" s="27" t="s">
        <v>55</v>
      </c>
      <c r="K408" s="26">
        <v>45124</v>
      </c>
    </row>
    <row r="409" spans="1:12">
      <c r="A409" s="25">
        <v>911383868</v>
      </c>
      <c r="B409" s="26">
        <v>45118</v>
      </c>
      <c r="C409" s="27" t="s">
        <v>3166</v>
      </c>
      <c r="D409" s="28" t="s">
        <v>3167</v>
      </c>
      <c r="E409" s="29" t="s">
        <v>28</v>
      </c>
      <c r="F409" s="29" t="s">
        <v>171</v>
      </c>
      <c r="J409" s="27" t="s">
        <v>54</v>
      </c>
      <c r="K409" s="26">
        <v>45118</v>
      </c>
      <c r="L409" s="24" t="s">
        <v>6443</v>
      </c>
    </row>
    <row r="410" spans="1:12">
      <c r="A410" s="25">
        <v>913867622</v>
      </c>
      <c r="B410" s="26">
        <v>45120</v>
      </c>
      <c r="C410" s="27" t="s">
        <v>3784</v>
      </c>
      <c r="D410" s="28" t="s">
        <v>3785</v>
      </c>
      <c r="E410" s="29" t="s">
        <v>30</v>
      </c>
      <c r="F410" s="29" t="s">
        <v>171</v>
      </c>
      <c r="H410" s="26">
        <v>45121</v>
      </c>
      <c r="I410" s="27" t="s">
        <v>77</v>
      </c>
      <c r="J410" s="27" t="s">
        <v>65</v>
      </c>
      <c r="K410" s="26">
        <v>45120</v>
      </c>
    </row>
    <row r="411" spans="1:12">
      <c r="A411" s="25">
        <v>913867622</v>
      </c>
      <c r="B411" s="26">
        <v>45120</v>
      </c>
      <c r="C411" s="27" t="s">
        <v>3784</v>
      </c>
      <c r="D411" s="28" t="s">
        <v>3785</v>
      </c>
      <c r="E411" s="29" t="s">
        <v>112</v>
      </c>
      <c r="F411" s="29" t="s">
        <v>171</v>
      </c>
      <c r="H411" s="26">
        <v>45121</v>
      </c>
      <c r="I411" s="27" t="s">
        <v>77</v>
      </c>
      <c r="J411" s="27" t="s">
        <v>65</v>
      </c>
      <c r="K411" s="26">
        <v>45120</v>
      </c>
    </row>
    <row r="412" spans="1:12">
      <c r="A412" s="25">
        <v>922374775</v>
      </c>
      <c r="B412" s="26">
        <v>45090.70925763889</v>
      </c>
      <c r="C412" s="27" t="s">
        <v>359</v>
      </c>
      <c r="D412" s="28" t="s">
        <v>360</v>
      </c>
      <c r="E412" s="29" t="s">
        <v>78</v>
      </c>
      <c r="F412" s="29" t="s">
        <v>171</v>
      </c>
      <c r="H412" s="26">
        <v>45170</v>
      </c>
      <c r="I412" s="27" t="s">
        <v>66</v>
      </c>
      <c r="J412" s="27" t="s">
        <v>99</v>
      </c>
      <c r="K412" s="26">
        <v>45149.800136689817</v>
      </c>
      <c r="L412" s="24" t="s">
        <v>6444</v>
      </c>
    </row>
    <row r="413" spans="1:12">
      <c r="A413" s="25">
        <v>922240615</v>
      </c>
      <c r="B413" s="26">
        <v>45092.876038310184</v>
      </c>
      <c r="C413" s="27" t="s">
        <v>5674</v>
      </c>
      <c r="D413" s="28" t="s">
        <v>5675</v>
      </c>
      <c r="E413" s="29" t="s">
        <v>19</v>
      </c>
      <c r="F413" s="29" t="s">
        <v>171</v>
      </c>
      <c r="H413" s="26" t="s">
        <v>21</v>
      </c>
      <c r="I413" s="27" t="s">
        <v>54</v>
      </c>
      <c r="K413" s="26" t="s">
        <v>1</v>
      </c>
      <c r="L413" s="24" t="s">
        <v>114</v>
      </c>
    </row>
    <row r="414" spans="1:12">
      <c r="A414" s="25">
        <v>900520457</v>
      </c>
      <c r="B414" s="26">
        <v>45093.891054861109</v>
      </c>
      <c r="C414" s="27" t="s">
        <v>1420</v>
      </c>
      <c r="D414" s="28" t="s">
        <v>1421</v>
      </c>
      <c r="E414" s="29" t="s">
        <v>269</v>
      </c>
      <c r="F414" s="29" t="s">
        <v>171</v>
      </c>
      <c r="H414" s="26">
        <v>45114</v>
      </c>
      <c r="I414" s="27" t="s">
        <v>99</v>
      </c>
      <c r="K414" s="26" t="s">
        <v>1</v>
      </c>
    </row>
    <row r="415" spans="1:12">
      <c r="A415" s="25">
        <v>900520457</v>
      </c>
      <c r="B415" s="26">
        <v>45093.891215393516</v>
      </c>
      <c r="C415" s="27" t="s">
        <v>1420</v>
      </c>
      <c r="D415" s="28" t="s">
        <v>1421</v>
      </c>
      <c r="E415" s="29" t="s">
        <v>58</v>
      </c>
      <c r="F415" s="29" t="s">
        <v>171</v>
      </c>
      <c r="H415" s="26">
        <v>45114</v>
      </c>
      <c r="I415" s="27" t="s">
        <v>99</v>
      </c>
      <c r="K415" s="26" t="s">
        <v>1</v>
      </c>
    </row>
    <row r="416" spans="1:12">
      <c r="A416" s="25">
        <v>900016486</v>
      </c>
      <c r="B416" s="26">
        <v>45097.429649421298</v>
      </c>
      <c r="C416" s="27" t="s">
        <v>762</v>
      </c>
      <c r="D416" s="28" t="s">
        <v>763</v>
      </c>
      <c r="E416" s="29" t="s">
        <v>67</v>
      </c>
      <c r="F416" s="29" t="s">
        <v>171</v>
      </c>
      <c r="H416" s="26" t="s">
        <v>21</v>
      </c>
      <c r="I416" s="27" t="s">
        <v>99</v>
      </c>
      <c r="K416" s="26" t="s">
        <v>1</v>
      </c>
    </row>
    <row r="417" spans="1:12">
      <c r="A417" s="25">
        <v>900016486</v>
      </c>
      <c r="B417" s="26">
        <v>45097.429649421298</v>
      </c>
      <c r="C417" s="27" t="s">
        <v>762</v>
      </c>
      <c r="D417" s="28" t="s">
        <v>763</v>
      </c>
      <c r="E417" s="29" t="s">
        <v>75</v>
      </c>
      <c r="F417" s="29" t="s">
        <v>171</v>
      </c>
      <c r="H417" s="26" t="s">
        <v>21</v>
      </c>
      <c r="I417" s="27" t="s">
        <v>99</v>
      </c>
      <c r="K417" s="26" t="s">
        <v>1</v>
      </c>
    </row>
    <row r="418" spans="1:12">
      <c r="A418" s="25">
        <v>904498054</v>
      </c>
      <c r="B418" s="26">
        <v>45097.899942939817</v>
      </c>
      <c r="C418" s="27" t="s">
        <v>5879</v>
      </c>
      <c r="D418" s="28" t="s">
        <v>5880</v>
      </c>
      <c r="E418" s="29" t="s">
        <v>33</v>
      </c>
      <c r="F418" s="29" t="s">
        <v>171</v>
      </c>
      <c r="H418" s="26" t="s">
        <v>21</v>
      </c>
      <c r="K418" s="26" t="s">
        <v>1</v>
      </c>
    </row>
    <row r="419" spans="1:12">
      <c r="A419" s="25">
        <v>904498054</v>
      </c>
      <c r="B419" s="26">
        <v>45097.900001388887</v>
      </c>
      <c r="C419" s="27" t="s">
        <v>5879</v>
      </c>
      <c r="D419" s="28" t="s">
        <v>5880</v>
      </c>
      <c r="E419" s="29" t="s">
        <v>105</v>
      </c>
      <c r="F419" s="29" t="s">
        <v>171</v>
      </c>
      <c r="H419" s="26" t="s">
        <v>21</v>
      </c>
      <c r="K419" s="26" t="s">
        <v>1</v>
      </c>
    </row>
    <row r="420" spans="1:12">
      <c r="A420" s="25">
        <v>918843008</v>
      </c>
      <c r="B420" s="26">
        <v>45098.389297106478</v>
      </c>
      <c r="C420" s="27" t="s">
        <v>5184</v>
      </c>
      <c r="D420" s="28" t="s">
        <v>5185</v>
      </c>
      <c r="E420" s="29" t="s">
        <v>67</v>
      </c>
      <c r="F420" s="29" t="s">
        <v>171</v>
      </c>
      <c r="H420" s="26">
        <v>45159</v>
      </c>
      <c r="J420" s="27" t="s">
        <v>99</v>
      </c>
      <c r="K420" s="26">
        <v>45140.79410914352</v>
      </c>
    </row>
    <row r="421" spans="1:12">
      <c r="A421" s="25">
        <v>922333916</v>
      </c>
      <c r="B421" s="26">
        <v>45113.409648148147</v>
      </c>
      <c r="C421" s="27" t="s">
        <v>5883</v>
      </c>
      <c r="D421" s="28" t="s">
        <v>5884</v>
      </c>
      <c r="E421" s="29" t="s">
        <v>20</v>
      </c>
      <c r="F421" s="29" t="s">
        <v>171</v>
      </c>
      <c r="H421" s="26">
        <v>45114</v>
      </c>
      <c r="J421" s="27" t="s">
        <v>99</v>
      </c>
      <c r="K421" s="26">
        <v>45152.885823379627</v>
      </c>
    </row>
    <row r="422" spans="1:12">
      <c r="A422" s="25">
        <v>918853070</v>
      </c>
      <c r="B422" s="26">
        <v>45117.419887268516</v>
      </c>
      <c r="C422" s="27" t="s">
        <v>5885</v>
      </c>
      <c r="D422" s="28" t="s">
        <v>5886</v>
      </c>
      <c r="E422" s="29" t="s">
        <v>36</v>
      </c>
      <c r="F422" s="29" t="s">
        <v>171</v>
      </c>
      <c r="H422" s="26">
        <v>45159</v>
      </c>
      <c r="I422" s="27" t="s">
        <v>55</v>
      </c>
      <c r="K422" s="26" t="s">
        <v>1</v>
      </c>
      <c r="L422" s="24" t="s">
        <v>115</v>
      </c>
    </row>
    <row r="423" spans="1:12">
      <c r="A423" s="25">
        <v>912033556</v>
      </c>
      <c r="B423" s="26">
        <v>45117.781583796299</v>
      </c>
      <c r="C423" s="27" t="s">
        <v>5887</v>
      </c>
      <c r="D423" s="28" t="s">
        <v>5888</v>
      </c>
      <c r="E423" s="29" t="s">
        <v>30</v>
      </c>
      <c r="F423" s="29" t="s">
        <v>171</v>
      </c>
      <c r="H423" s="26" t="s">
        <v>21</v>
      </c>
      <c r="I423" s="27" t="s">
        <v>47</v>
      </c>
      <c r="K423" s="26" t="s">
        <v>1</v>
      </c>
      <c r="L423" s="24" t="s">
        <v>98</v>
      </c>
    </row>
    <row r="424" spans="1:12">
      <c r="A424" s="25">
        <v>917493608</v>
      </c>
      <c r="B424" s="26">
        <v>45124</v>
      </c>
      <c r="C424" s="27" t="s">
        <v>6445</v>
      </c>
      <c r="D424" s="28" t="s">
        <v>6446</v>
      </c>
      <c r="E424" s="29" t="s">
        <v>30</v>
      </c>
      <c r="F424" s="29" t="s">
        <v>171</v>
      </c>
      <c r="H424" s="26" t="s">
        <v>21</v>
      </c>
      <c r="I424" s="27" t="s">
        <v>77</v>
      </c>
      <c r="K424" s="26" t="s">
        <v>1</v>
      </c>
    </row>
    <row r="425" spans="1:12">
      <c r="A425" s="25">
        <v>900023012</v>
      </c>
      <c r="B425" s="26">
        <v>45125.557703472223</v>
      </c>
      <c r="C425" s="27" t="s">
        <v>894</v>
      </c>
      <c r="D425" s="28" t="s">
        <v>895</v>
      </c>
      <c r="E425" s="29" t="s">
        <v>30</v>
      </c>
      <c r="F425" s="29" t="s">
        <v>171</v>
      </c>
      <c r="H425" s="26" t="s">
        <v>21</v>
      </c>
      <c r="I425" s="27" t="s">
        <v>77</v>
      </c>
      <c r="K425" s="26" t="s">
        <v>1</v>
      </c>
    </row>
    <row r="426" spans="1:12">
      <c r="A426" s="25">
        <v>918375164</v>
      </c>
      <c r="B426" s="26">
        <v>45125.908655208332</v>
      </c>
      <c r="C426" s="27" t="s">
        <v>5889</v>
      </c>
      <c r="D426" s="28" t="s">
        <v>5890</v>
      </c>
      <c r="E426" s="29" t="s">
        <v>30</v>
      </c>
      <c r="F426" s="29" t="s">
        <v>171</v>
      </c>
      <c r="H426" s="26" t="s">
        <v>21</v>
      </c>
      <c r="I426" s="27" t="s">
        <v>99</v>
      </c>
      <c r="K426" s="26" t="s">
        <v>1</v>
      </c>
    </row>
    <row r="427" spans="1:12">
      <c r="A427" s="25">
        <v>917671331</v>
      </c>
      <c r="B427" s="26">
        <v>45126</v>
      </c>
      <c r="C427" s="27" t="s">
        <v>6447</v>
      </c>
      <c r="D427" s="28" t="s">
        <v>6448</v>
      </c>
      <c r="E427" s="29" t="s">
        <v>30</v>
      </c>
      <c r="F427" s="29" t="s">
        <v>171</v>
      </c>
      <c r="H427" s="26" t="s">
        <v>21</v>
      </c>
      <c r="I427" s="27" t="s">
        <v>77</v>
      </c>
      <c r="K427" s="26" t="s">
        <v>1</v>
      </c>
    </row>
    <row r="428" spans="1:12">
      <c r="A428" s="25">
        <v>911357738</v>
      </c>
      <c r="B428" s="26">
        <v>45131.554617824077</v>
      </c>
      <c r="C428" s="27" t="s">
        <v>3160</v>
      </c>
      <c r="D428" s="28" t="s">
        <v>3161</v>
      </c>
      <c r="E428" s="29" t="s">
        <v>263</v>
      </c>
      <c r="F428" s="29" t="s">
        <v>171</v>
      </c>
      <c r="H428" s="26">
        <v>45138</v>
      </c>
      <c r="I428" s="27" t="s">
        <v>99</v>
      </c>
      <c r="J428" s="27" t="s">
        <v>6449</v>
      </c>
      <c r="K428" s="26">
        <v>45142.66797141204</v>
      </c>
      <c r="L428" s="24" t="s">
        <v>6450</v>
      </c>
    </row>
    <row r="429" spans="1:12">
      <c r="A429" s="25">
        <v>911357738</v>
      </c>
      <c r="B429" s="26">
        <v>45131.554617824077</v>
      </c>
      <c r="C429" s="27" t="s">
        <v>3160</v>
      </c>
      <c r="D429" s="28" t="s">
        <v>3161</v>
      </c>
      <c r="E429" s="29" t="s">
        <v>6385</v>
      </c>
      <c r="F429" s="29" t="s">
        <v>171</v>
      </c>
      <c r="H429" s="26">
        <v>45138</v>
      </c>
      <c r="I429" s="27" t="s">
        <v>99</v>
      </c>
      <c r="J429" s="27" t="s">
        <v>6449</v>
      </c>
      <c r="K429" s="26">
        <v>45142</v>
      </c>
    </row>
    <row r="430" spans="1:12">
      <c r="A430" s="25">
        <v>909314515</v>
      </c>
      <c r="B430" s="26">
        <v>45131.664685532407</v>
      </c>
      <c r="C430" s="27" t="s">
        <v>5891</v>
      </c>
      <c r="D430" s="28" t="s">
        <v>5892</v>
      </c>
      <c r="E430" s="29" t="s">
        <v>30</v>
      </c>
      <c r="F430" s="29" t="s">
        <v>171</v>
      </c>
      <c r="H430" s="26" t="s">
        <v>21</v>
      </c>
      <c r="I430" s="27" t="s">
        <v>99</v>
      </c>
      <c r="K430" s="26" t="s">
        <v>1</v>
      </c>
    </row>
    <row r="431" spans="1:12">
      <c r="A431" s="25">
        <v>909314515</v>
      </c>
      <c r="B431" s="26">
        <v>45131.674505092589</v>
      </c>
      <c r="C431" s="27" t="s">
        <v>5891</v>
      </c>
      <c r="D431" s="28" t="s">
        <v>5892</v>
      </c>
      <c r="E431" s="29" t="s">
        <v>116</v>
      </c>
      <c r="F431" s="29" t="s">
        <v>171</v>
      </c>
      <c r="H431" s="26" t="s">
        <v>21</v>
      </c>
      <c r="I431" s="27" t="s">
        <v>99</v>
      </c>
      <c r="K431" s="26" t="s">
        <v>1</v>
      </c>
    </row>
    <row r="432" spans="1:12">
      <c r="A432" s="25">
        <v>909314515</v>
      </c>
      <c r="B432" s="26">
        <v>45131.674505092589</v>
      </c>
      <c r="C432" s="27" t="s">
        <v>5891</v>
      </c>
      <c r="D432" s="28" t="s">
        <v>5892</v>
      </c>
      <c r="E432" s="29" t="s">
        <v>96</v>
      </c>
      <c r="F432" s="29" t="s">
        <v>171</v>
      </c>
      <c r="H432" s="26" t="s">
        <v>21</v>
      </c>
      <c r="I432" s="27" t="s">
        <v>99</v>
      </c>
      <c r="K432" s="26" t="s">
        <v>1</v>
      </c>
    </row>
    <row r="433" spans="1:12">
      <c r="A433" s="25">
        <v>923619525</v>
      </c>
      <c r="B433" s="26">
        <v>45132.53924583333</v>
      </c>
      <c r="C433" s="27" t="s">
        <v>5893</v>
      </c>
      <c r="D433" s="28" t="s">
        <v>5894</v>
      </c>
      <c r="E433" s="29" t="s">
        <v>30</v>
      </c>
      <c r="F433" s="29" t="s">
        <v>171</v>
      </c>
      <c r="H433" s="26" t="s">
        <v>21</v>
      </c>
      <c r="I433" s="27" t="s">
        <v>55</v>
      </c>
      <c r="K433" s="26" t="s">
        <v>1</v>
      </c>
    </row>
    <row r="434" spans="1:12">
      <c r="A434" s="25">
        <v>915602550</v>
      </c>
      <c r="B434" s="26">
        <v>45132.629131134257</v>
      </c>
      <c r="C434" s="27" t="s">
        <v>3894</v>
      </c>
      <c r="D434" s="28" t="s">
        <v>3895</v>
      </c>
      <c r="E434" s="29" t="s">
        <v>269</v>
      </c>
      <c r="F434" s="29" t="s">
        <v>171</v>
      </c>
      <c r="H434" s="26">
        <v>45135</v>
      </c>
      <c r="I434" s="27" t="s">
        <v>54</v>
      </c>
      <c r="J434" s="27" t="s">
        <v>70</v>
      </c>
      <c r="K434" s="26">
        <v>45135.61147048611</v>
      </c>
    </row>
    <row r="435" spans="1:12">
      <c r="A435" s="25">
        <v>915602550</v>
      </c>
      <c r="B435" s="26">
        <v>45132.629666782406</v>
      </c>
      <c r="C435" s="27" t="s">
        <v>3894</v>
      </c>
      <c r="D435" s="28" t="s">
        <v>3895</v>
      </c>
      <c r="E435" s="29" t="s">
        <v>227</v>
      </c>
      <c r="F435" s="29" t="s">
        <v>171</v>
      </c>
      <c r="H435" s="26">
        <v>45135</v>
      </c>
      <c r="I435" s="27" t="s">
        <v>54</v>
      </c>
      <c r="J435" s="27" t="s">
        <v>70</v>
      </c>
      <c r="K435" s="26">
        <v>45135.699289699071</v>
      </c>
    </row>
    <row r="436" spans="1:12">
      <c r="A436" s="25">
        <v>916258855</v>
      </c>
      <c r="B436" s="26">
        <v>45133.6436181713</v>
      </c>
      <c r="C436" s="27" t="s">
        <v>5895</v>
      </c>
      <c r="D436" s="28" t="s">
        <v>5896</v>
      </c>
      <c r="E436" s="29" t="s">
        <v>263</v>
      </c>
      <c r="F436" s="29" t="s">
        <v>171</v>
      </c>
      <c r="H436" s="26">
        <v>45135</v>
      </c>
      <c r="I436" s="27" t="s">
        <v>54</v>
      </c>
      <c r="J436" s="27" t="s">
        <v>66</v>
      </c>
      <c r="K436" s="26">
        <v>45135.583940393517</v>
      </c>
      <c r="L436" s="24" t="s">
        <v>6451</v>
      </c>
    </row>
    <row r="437" spans="1:12">
      <c r="A437" s="25">
        <v>916258855</v>
      </c>
      <c r="B437" s="26">
        <v>45133.64462071759</v>
      </c>
      <c r="C437" s="27" t="s">
        <v>5895</v>
      </c>
      <c r="D437" s="28" t="s">
        <v>5896</v>
      </c>
      <c r="E437" s="29" t="s">
        <v>6420</v>
      </c>
      <c r="F437" s="29" t="s">
        <v>171</v>
      </c>
      <c r="H437" s="26">
        <v>45135</v>
      </c>
      <c r="I437" s="27" t="s">
        <v>54</v>
      </c>
      <c r="J437" s="27" t="s">
        <v>66</v>
      </c>
      <c r="K437" s="26">
        <v>45135.538519444446</v>
      </c>
      <c r="L437" s="24" t="s">
        <v>6452</v>
      </c>
    </row>
    <row r="438" spans="1:12">
      <c r="A438" s="25">
        <v>909198113</v>
      </c>
      <c r="B438" s="26">
        <v>45133.676008912036</v>
      </c>
      <c r="C438" s="27" t="s">
        <v>2710</v>
      </c>
      <c r="D438" s="28" t="s">
        <v>2711</v>
      </c>
      <c r="E438" s="29" t="s">
        <v>227</v>
      </c>
      <c r="F438" s="29" t="s">
        <v>171</v>
      </c>
      <c r="H438" s="26">
        <v>45135</v>
      </c>
      <c r="I438" s="27" t="s">
        <v>70</v>
      </c>
      <c r="J438" s="27" t="s">
        <v>70</v>
      </c>
      <c r="K438" s="26">
        <v>45139.577906018516</v>
      </c>
    </row>
    <row r="439" spans="1:12">
      <c r="A439" s="25">
        <v>909198113</v>
      </c>
      <c r="B439" s="26">
        <v>45133.675924421295</v>
      </c>
      <c r="C439" s="27" t="s">
        <v>2710</v>
      </c>
      <c r="D439" s="28" t="s">
        <v>2711</v>
      </c>
      <c r="E439" s="29" t="s">
        <v>38</v>
      </c>
      <c r="F439" s="29" t="s">
        <v>171</v>
      </c>
      <c r="H439" s="26">
        <v>45135</v>
      </c>
      <c r="I439" s="27" t="s">
        <v>70</v>
      </c>
      <c r="J439" s="27" t="s">
        <v>70</v>
      </c>
      <c r="K439" s="26">
        <v>45139.578013541664</v>
      </c>
      <c r="L439" s="24" t="s">
        <v>6453</v>
      </c>
    </row>
    <row r="440" spans="1:12">
      <c r="A440" s="25">
        <v>909198113</v>
      </c>
      <c r="B440" s="26">
        <v>45133.687006597225</v>
      </c>
      <c r="C440" s="27" t="s">
        <v>2710</v>
      </c>
      <c r="D440" s="28" t="s">
        <v>2711</v>
      </c>
      <c r="E440" s="29" t="s">
        <v>6454</v>
      </c>
      <c r="F440" s="29" t="s">
        <v>171</v>
      </c>
      <c r="H440" s="26">
        <v>45135</v>
      </c>
      <c r="I440" s="27" t="s">
        <v>70</v>
      </c>
      <c r="J440" s="27" t="s">
        <v>70</v>
      </c>
      <c r="K440" s="26">
        <v>45139.578013541664</v>
      </c>
    </row>
    <row r="441" spans="1:12">
      <c r="A441" s="25">
        <v>909198113</v>
      </c>
      <c r="B441" s="26">
        <v>45133.687006597225</v>
      </c>
      <c r="C441" s="27" t="s">
        <v>2710</v>
      </c>
      <c r="D441" s="28" t="s">
        <v>2711</v>
      </c>
      <c r="E441" s="29" t="s">
        <v>6455</v>
      </c>
      <c r="F441" s="29" t="s">
        <v>171</v>
      </c>
      <c r="H441" s="26">
        <v>45135</v>
      </c>
      <c r="I441" s="27" t="s">
        <v>70</v>
      </c>
      <c r="J441" s="27" t="s">
        <v>70</v>
      </c>
      <c r="K441" s="26">
        <v>45139.578013541664</v>
      </c>
    </row>
    <row r="442" spans="1:12">
      <c r="A442" s="25">
        <v>900048752</v>
      </c>
      <c r="B442" s="26">
        <v>45138.489752314817</v>
      </c>
      <c r="C442" s="27" t="s">
        <v>1286</v>
      </c>
      <c r="D442" s="28" t="s">
        <v>1287</v>
      </c>
      <c r="E442" s="29" t="s">
        <v>143</v>
      </c>
      <c r="F442" s="29" t="s">
        <v>6339</v>
      </c>
      <c r="H442" s="26">
        <v>45142</v>
      </c>
      <c r="I442" s="27" t="s">
        <v>55</v>
      </c>
      <c r="J442" s="27" t="s">
        <v>55</v>
      </c>
      <c r="K442" s="26">
        <v>45145.371691203705</v>
      </c>
    </row>
    <row r="443" spans="1:12">
      <c r="A443" s="25">
        <v>900048752</v>
      </c>
      <c r="B443" s="26">
        <v>45138.492045023151</v>
      </c>
      <c r="C443" s="27" t="s">
        <v>1286</v>
      </c>
      <c r="D443" s="28" t="s">
        <v>1287</v>
      </c>
      <c r="E443" s="29" t="s">
        <v>143</v>
      </c>
      <c r="F443" s="29" t="s">
        <v>6339</v>
      </c>
      <c r="H443" s="26">
        <v>45142</v>
      </c>
      <c r="I443" s="27" t="s">
        <v>55</v>
      </c>
      <c r="J443" s="27" t="s">
        <v>55</v>
      </c>
      <c r="K443" s="26">
        <v>45145.371760185182</v>
      </c>
    </row>
    <row r="444" spans="1:12">
      <c r="A444" s="25">
        <v>900048752</v>
      </c>
      <c r="B444" s="26">
        <v>45138.492503009256</v>
      </c>
      <c r="C444" s="27" t="s">
        <v>1286</v>
      </c>
      <c r="D444" s="28" t="s">
        <v>1287</v>
      </c>
      <c r="E444" s="29" t="s">
        <v>143</v>
      </c>
      <c r="F444" s="29" t="s">
        <v>6339</v>
      </c>
      <c r="H444" s="26">
        <v>45142</v>
      </c>
      <c r="I444" s="27" t="s">
        <v>55</v>
      </c>
      <c r="J444" s="27" t="s">
        <v>55</v>
      </c>
      <c r="K444" s="26">
        <v>45145.371800578701</v>
      </c>
    </row>
    <row r="445" spans="1:12">
      <c r="A445" s="25">
        <v>908141694</v>
      </c>
      <c r="B445" s="26">
        <v>45138.531230439818</v>
      </c>
      <c r="C445" s="27" t="s">
        <v>5897</v>
      </c>
      <c r="D445" s="28" t="s">
        <v>5898</v>
      </c>
      <c r="E445" s="29" t="s">
        <v>263</v>
      </c>
      <c r="F445" s="29" t="s">
        <v>171</v>
      </c>
      <c r="H445" s="26">
        <v>45138</v>
      </c>
      <c r="I445" s="27" t="s">
        <v>70</v>
      </c>
      <c r="J445" s="27" t="s">
        <v>70</v>
      </c>
      <c r="K445" s="26">
        <v>45139.574749768515</v>
      </c>
    </row>
    <row r="446" spans="1:12">
      <c r="A446" s="25">
        <v>908141694</v>
      </c>
      <c r="B446" s="26">
        <v>45139.574820833332</v>
      </c>
      <c r="C446" s="27" t="s">
        <v>5897</v>
      </c>
      <c r="D446" s="28" t="s">
        <v>5898</v>
      </c>
      <c r="E446" s="29" t="s">
        <v>133</v>
      </c>
      <c r="F446" s="29" t="s">
        <v>6339</v>
      </c>
      <c r="H446" s="26">
        <v>45138</v>
      </c>
      <c r="I446" s="27" t="s">
        <v>70</v>
      </c>
      <c r="J446" s="27" t="s">
        <v>70</v>
      </c>
      <c r="K446" s="26">
        <v>45139.577131828701</v>
      </c>
    </row>
    <row r="447" spans="1:12">
      <c r="A447" s="25">
        <v>908141694</v>
      </c>
      <c r="B447" s="26">
        <v>45139.574820833332</v>
      </c>
      <c r="C447" s="27" t="s">
        <v>5897</v>
      </c>
      <c r="D447" s="28" t="s">
        <v>5898</v>
      </c>
      <c r="E447" s="29" t="s">
        <v>6385</v>
      </c>
      <c r="F447" s="29" t="s">
        <v>171</v>
      </c>
      <c r="H447" s="26">
        <v>45138</v>
      </c>
      <c r="I447" s="27" t="s">
        <v>70</v>
      </c>
      <c r="J447" s="27" t="s">
        <v>70</v>
      </c>
      <c r="K447" s="26">
        <v>45139.577131828701</v>
      </c>
    </row>
    <row r="448" spans="1:12">
      <c r="A448" s="25">
        <v>908141694</v>
      </c>
      <c r="B448" s="26">
        <v>45139.575019097225</v>
      </c>
      <c r="C448" s="27" t="s">
        <v>5897</v>
      </c>
      <c r="D448" s="28" t="s">
        <v>5898</v>
      </c>
      <c r="E448" s="29" t="s">
        <v>6420</v>
      </c>
      <c r="F448" s="29" t="s">
        <v>171</v>
      </c>
      <c r="H448" s="26">
        <v>45138</v>
      </c>
      <c r="I448" s="27" t="s">
        <v>70</v>
      </c>
      <c r="J448" s="27" t="s">
        <v>70</v>
      </c>
      <c r="K448" s="26">
        <v>45139.577131828701</v>
      </c>
    </row>
    <row r="449" spans="1:12">
      <c r="A449" s="25">
        <v>908141694</v>
      </c>
      <c r="B449" s="26">
        <v>45139.57507673611</v>
      </c>
      <c r="C449" s="27" t="s">
        <v>5897</v>
      </c>
      <c r="D449" s="28" t="s">
        <v>5898</v>
      </c>
      <c r="E449" s="29" t="s">
        <v>6328</v>
      </c>
      <c r="F449" s="29" t="s">
        <v>6339</v>
      </c>
      <c r="H449" s="26">
        <v>45138</v>
      </c>
      <c r="I449" s="27" t="s">
        <v>70</v>
      </c>
      <c r="J449" s="27" t="s">
        <v>70</v>
      </c>
      <c r="K449" s="26">
        <v>45139.577131828701</v>
      </c>
    </row>
    <row r="450" spans="1:12">
      <c r="A450" s="25">
        <v>908141694</v>
      </c>
      <c r="B450" s="26">
        <v>45139.575095601853</v>
      </c>
      <c r="C450" s="27" t="s">
        <v>5897</v>
      </c>
      <c r="D450" s="28" t="s">
        <v>5898</v>
      </c>
      <c r="E450" s="29" t="s">
        <v>6328</v>
      </c>
      <c r="F450" s="29" t="s">
        <v>6339</v>
      </c>
      <c r="H450" s="26">
        <v>45138</v>
      </c>
      <c r="I450" s="27" t="s">
        <v>70</v>
      </c>
      <c r="J450" s="27" t="s">
        <v>70</v>
      </c>
      <c r="K450" s="26">
        <v>45139.577131828701</v>
      </c>
    </row>
    <row r="451" spans="1:12">
      <c r="A451" s="25">
        <v>908141694</v>
      </c>
      <c r="B451" s="26">
        <v>45139.576248379628</v>
      </c>
      <c r="C451" s="27" t="s">
        <v>5897</v>
      </c>
      <c r="D451" s="28" t="s">
        <v>5898</v>
      </c>
      <c r="E451" s="29" t="s">
        <v>133</v>
      </c>
      <c r="F451" s="29" t="s">
        <v>6339</v>
      </c>
      <c r="H451" s="26">
        <v>45138</v>
      </c>
      <c r="I451" s="27" t="s">
        <v>70</v>
      </c>
      <c r="J451" s="27" t="s">
        <v>70</v>
      </c>
      <c r="K451" s="26">
        <v>45139.577131828701</v>
      </c>
    </row>
    <row r="452" spans="1:12">
      <c r="A452" s="25">
        <v>909198113</v>
      </c>
      <c r="B452" s="26">
        <v>45138.677095833336</v>
      </c>
      <c r="C452" s="27" t="s">
        <v>2710</v>
      </c>
      <c r="D452" s="28" t="s">
        <v>2711</v>
      </c>
      <c r="E452" s="29" t="s">
        <v>117</v>
      </c>
      <c r="F452" s="29" t="s">
        <v>171</v>
      </c>
      <c r="H452" s="26">
        <v>45145</v>
      </c>
      <c r="I452" s="27" t="s">
        <v>70</v>
      </c>
      <c r="K452" s="26" t="s">
        <v>1</v>
      </c>
      <c r="L452" s="24" t="s">
        <v>118</v>
      </c>
    </row>
    <row r="453" spans="1:12">
      <c r="A453" s="25">
        <v>918831256</v>
      </c>
      <c r="B453" s="26">
        <v>45140.399861458332</v>
      </c>
      <c r="C453" s="27" t="s">
        <v>4912</v>
      </c>
      <c r="D453" s="28" t="s">
        <v>4913</v>
      </c>
      <c r="E453" s="29" t="s">
        <v>30</v>
      </c>
      <c r="F453" s="29" t="s">
        <v>171</v>
      </c>
      <c r="H453" s="26" t="s">
        <v>21</v>
      </c>
      <c r="I453" s="27" t="s">
        <v>66</v>
      </c>
      <c r="K453" s="26" t="s">
        <v>1</v>
      </c>
    </row>
    <row r="454" spans="1:12">
      <c r="A454" s="25">
        <v>900025950</v>
      </c>
      <c r="B454" s="26">
        <v>45140.75892349537</v>
      </c>
      <c r="C454" s="27" t="s">
        <v>928</v>
      </c>
      <c r="D454" s="28" t="s">
        <v>929</v>
      </c>
      <c r="E454" s="29" t="s">
        <v>36</v>
      </c>
      <c r="F454" s="29" t="s">
        <v>171</v>
      </c>
      <c r="H454" s="26">
        <v>45173</v>
      </c>
      <c r="I454" s="27" t="s">
        <v>99</v>
      </c>
      <c r="J454" s="27" t="s">
        <v>66</v>
      </c>
      <c r="K454" s="26">
        <v>45141.422132060186</v>
      </c>
    </row>
    <row r="455" spans="1:12">
      <c r="A455" s="25">
        <v>900048544</v>
      </c>
      <c r="B455" s="26">
        <v>45141.476328819444</v>
      </c>
      <c r="C455" s="27" t="s">
        <v>1282</v>
      </c>
      <c r="D455" s="28" t="s">
        <v>1283</v>
      </c>
      <c r="E455" s="29" t="s">
        <v>28</v>
      </c>
      <c r="F455" s="29" t="s">
        <v>171</v>
      </c>
      <c r="H455" s="26">
        <v>45282</v>
      </c>
      <c r="I455" s="27" t="s">
        <v>55</v>
      </c>
      <c r="K455" s="26" t="s">
        <v>1</v>
      </c>
    </row>
    <row r="456" spans="1:12">
      <c r="A456" s="25">
        <v>902221312</v>
      </c>
      <c r="B456" s="26">
        <v>45142.577237962963</v>
      </c>
      <c r="C456" s="27" t="s">
        <v>1619</v>
      </c>
      <c r="D456" s="28" t="s">
        <v>1620</v>
      </c>
      <c r="E456" s="29" t="s">
        <v>25</v>
      </c>
      <c r="F456" s="29" t="s">
        <v>171</v>
      </c>
      <c r="H456" s="26">
        <v>45143</v>
      </c>
      <c r="I456" s="27" t="s">
        <v>55</v>
      </c>
      <c r="J456" s="27" t="s">
        <v>70</v>
      </c>
      <c r="K456" s="26">
        <v>45142.677684606482</v>
      </c>
    </row>
    <row r="457" spans="1:12">
      <c r="A457" s="25">
        <v>900020724</v>
      </c>
      <c r="B457" s="26">
        <v>45145.558562500002</v>
      </c>
      <c r="C457" s="27" t="s">
        <v>858</v>
      </c>
      <c r="D457" s="28" t="s">
        <v>859</v>
      </c>
      <c r="E457" s="29" t="s">
        <v>30</v>
      </c>
      <c r="F457" s="29" t="s">
        <v>171</v>
      </c>
      <c r="H457" s="26">
        <v>45282</v>
      </c>
      <c r="I457" s="27" t="s">
        <v>55</v>
      </c>
      <c r="K457" s="26" t="s">
        <v>1</v>
      </c>
    </row>
    <row r="458" spans="1:12">
      <c r="A458" s="25">
        <v>918842709</v>
      </c>
      <c r="B458" s="26">
        <v>45145.559446874999</v>
      </c>
      <c r="C458" s="27" t="s">
        <v>5174</v>
      </c>
      <c r="D458" s="28" t="s">
        <v>5175</v>
      </c>
      <c r="E458" s="29" t="s">
        <v>27</v>
      </c>
      <c r="F458" s="29" t="s">
        <v>171</v>
      </c>
      <c r="H458" s="26">
        <v>414176</v>
      </c>
      <c r="I458" s="27" t="s">
        <v>70</v>
      </c>
      <c r="K458" s="26" t="s">
        <v>1</v>
      </c>
    </row>
    <row r="459" spans="1:12">
      <c r="A459" s="25">
        <v>900004942</v>
      </c>
      <c r="B459" s="26">
        <v>45146.825435185187</v>
      </c>
      <c r="C459" s="27" t="s">
        <v>483</v>
      </c>
      <c r="D459" s="28" t="s">
        <v>484</v>
      </c>
      <c r="E459" s="29" t="s">
        <v>6328</v>
      </c>
      <c r="F459" s="29" t="s">
        <v>171</v>
      </c>
      <c r="H459" s="26">
        <v>45153</v>
      </c>
      <c r="I459" s="27" t="s">
        <v>99</v>
      </c>
      <c r="J459" s="27" t="s">
        <v>66</v>
      </c>
      <c r="K459" s="26">
        <v>45153.4011537037</v>
      </c>
    </row>
    <row r="460" spans="1:12">
      <c r="A460" s="25">
        <v>900004942</v>
      </c>
      <c r="B460" s="26">
        <v>45146.828591550926</v>
      </c>
      <c r="C460" s="27" t="s">
        <v>483</v>
      </c>
      <c r="D460" s="28" t="s">
        <v>484</v>
      </c>
      <c r="E460" s="29" t="s">
        <v>28</v>
      </c>
      <c r="F460" s="29" t="s">
        <v>171</v>
      </c>
      <c r="H460" s="26">
        <v>45153</v>
      </c>
      <c r="I460" s="27" t="s">
        <v>55</v>
      </c>
      <c r="J460" s="27" t="s">
        <v>66</v>
      </c>
      <c r="K460" s="26">
        <v>45153.406969097225</v>
      </c>
    </row>
    <row r="461" spans="1:12">
      <c r="A461" s="25">
        <v>900033958</v>
      </c>
      <c r="B461" s="26">
        <v>45146.654749074078</v>
      </c>
      <c r="C461" s="27" t="s">
        <v>1076</v>
      </c>
      <c r="D461" s="28" t="s">
        <v>1077</v>
      </c>
      <c r="E461" s="29" t="s">
        <v>36</v>
      </c>
      <c r="F461" s="29" t="s">
        <v>171</v>
      </c>
      <c r="H461" s="26">
        <v>45281</v>
      </c>
      <c r="I461" s="27" t="s">
        <v>70</v>
      </c>
      <c r="K461" s="26" t="s">
        <v>1</v>
      </c>
    </row>
    <row r="462" spans="1:12">
      <c r="A462" s="25">
        <v>900033958</v>
      </c>
      <c r="B462" s="26">
        <v>45146.655019560189</v>
      </c>
      <c r="C462" s="27" t="s">
        <v>1076</v>
      </c>
      <c r="D462" s="28" t="s">
        <v>1077</v>
      </c>
      <c r="E462" s="29" t="s">
        <v>27</v>
      </c>
      <c r="F462" s="29" t="s">
        <v>171</v>
      </c>
      <c r="H462" s="26">
        <v>45282</v>
      </c>
      <c r="I462" s="27" t="s">
        <v>70</v>
      </c>
      <c r="K462" s="26" t="s">
        <v>1</v>
      </c>
    </row>
    <row r="463" spans="1:12">
      <c r="A463" s="25">
        <v>918841084</v>
      </c>
      <c r="B463" s="26">
        <v>45149.37840775463</v>
      </c>
      <c r="C463" s="27" t="s">
        <v>5146</v>
      </c>
      <c r="D463" s="28" t="s">
        <v>5147</v>
      </c>
      <c r="E463" s="29" t="s">
        <v>20</v>
      </c>
      <c r="F463" s="29" t="s">
        <v>6339</v>
      </c>
      <c r="H463" s="26">
        <v>45149</v>
      </c>
      <c r="I463" s="27" t="s">
        <v>77</v>
      </c>
      <c r="J463" s="27" t="s">
        <v>99</v>
      </c>
      <c r="K463" s="26">
        <v>45149.846327777777</v>
      </c>
    </row>
    <row r="464" spans="1:12">
      <c r="A464" s="25">
        <v>909906548</v>
      </c>
      <c r="B464" s="26">
        <v>45149.807740509263</v>
      </c>
      <c r="C464" s="27" t="s">
        <v>5899</v>
      </c>
      <c r="D464" s="28" t="s">
        <v>5900</v>
      </c>
      <c r="E464" s="29" t="s">
        <v>45</v>
      </c>
      <c r="F464" s="29" t="s">
        <v>171</v>
      </c>
      <c r="H464" s="26" t="s">
        <v>21</v>
      </c>
      <c r="I464" s="27" t="s">
        <v>99</v>
      </c>
      <c r="K464" s="26" t="s">
        <v>1</v>
      </c>
    </row>
    <row r="465" spans="1:11">
      <c r="A465" s="25">
        <v>908471972</v>
      </c>
      <c r="B465" s="26">
        <v>45152.424848263887</v>
      </c>
      <c r="C465" s="27" t="s">
        <v>5901</v>
      </c>
      <c r="D465" s="28" t="s">
        <v>5902</v>
      </c>
      <c r="E465" s="29" t="s">
        <v>6398</v>
      </c>
      <c r="F465" s="29" t="s">
        <v>171</v>
      </c>
      <c r="H465" s="26" t="s">
        <v>6456</v>
      </c>
      <c r="I465" s="27" t="s">
        <v>70</v>
      </c>
      <c r="J465" s="27" t="s">
        <v>70</v>
      </c>
      <c r="K465" s="26">
        <v>45152.520536342592</v>
      </c>
    </row>
    <row r="466" spans="1:11">
      <c r="A466" s="25">
        <v>908471972</v>
      </c>
      <c r="B466" s="26">
        <v>45152.439210763892</v>
      </c>
      <c r="C466" s="27" t="s">
        <v>5901</v>
      </c>
      <c r="D466" s="28" t="s">
        <v>5902</v>
      </c>
      <c r="E466" s="29" t="s">
        <v>6312</v>
      </c>
      <c r="F466" s="29" t="s">
        <v>171</v>
      </c>
      <c r="H466" s="26" t="s">
        <v>6456</v>
      </c>
      <c r="I466" s="27" t="s">
        <v>60</v>
      </c>
      <c r="J466" s="27" t="s">
        <v>70</v>
      </c>
      <c r="K466" s="26">
        <v>45152.520566203704</v>
      </c>
    </row>
    <row r="467" spans="1:11">
      <c r="A467" s="25">
        <v>917241304</v>
      </c>
      <c r="B467" s="26">
        <v>45152.587700115742</v>
      </c>
      <c r="C467" s="27" t="s">
        <v>5903</v>
      </c>
      <c r="D467" s="28" t="s">
        <v>5904</v>
      </c>
      <c r="E467" s="29" t="s">
        <v>19</v>
      </c>
      <c r="F467" s="29" t="s">
        <v>171</v>
      </c>
      <c r="H467" s="26" t="s">
        <v>119</v>
      </c>
      <c r="I467" s="27" t="s">
        <v>99</v>
      </c>
      <c r="J467" s="27" t="s">
        <v>99</v>
      </c>
      <c r="K467" s="26">
        <v>45152.922433796295</v>
      </c>
    </row>
    <row r="468" spans="1:11">
      <c r="A468" s="25">
        <v>900032060</v>
      </c>
      <c r="B468" s="26">
        <v>44953</v>
      </c>
      <c r="C468" s="27" t="s">
        <v>1048</v>
      </c>
      <c r="D468" s="28" t="s">
        <v>1049</v>
      </c>
      <c r="E468" s="29" t="s">
        <v>35</v>
      </c>
      <c r="F468" s="29" t="s">
        <v>171</v>
      </c>
      <c r="G468" s="29" t="s">
        <v>6457</v>
      </c>
      <c r="H468" s="26">
        <v>45078</v>
      </c>
      <c r="I468" s="27" t="s">
        <v>71</v>
      </c>
      <c r="J468" s="27" t="s">
        <v>61</v>
      </c>
      <c r="K468" s="26">
        <v>45154</v>
      </c>
    </row>
    <row r="469" spans="1:11">
      <c r="A469" s="25">
        <v>900032060</v>
      </c>
      <c r="B469" s="26">
        <v>44953</v>
      </c>
      <c r="C469" s="27" t="s">
        <v>1048</v>
      </c>
      <c r="D469" s="28" t="s">
        <v>1049</v>
      </c>
      <c r="E469" s="29" t="s">
        <v>19</v>
      </c>
      <c r="F469" s="29" t="s">
        <v>171</v>
      </c>
      <c r="G469" s="29" t="s">
        <v>6330</v>
      </c>
      <c r="H469" s="26">
        <v>45078</v>
      </c>
      <c r="I469" s="27" t="s">
        <v>71</v>
      </c>
      <c r="J469" s="27" t="s">
        <v>61</v>
      </c>
      <c r="K469" s="26">
        <v>45154</v>
      </c>
    </row>
    <row r="470" spans="1:11">
      <c r="A470" s="25">
        <v>920838890</v>
      </c>
      <c r="B470" s="26">
        <v>44956</v>
      </c>
      <c r="C470" s="27" t="s">
        <v>5552</v>
      </c>
      <c r="D470" s="28" t="s">
        <v>5553</v>
      </c>
      <c r="E470" s="29" t="s">
        <v>25</v>
      </c>
      <c r="F470" s="29" t="s">
        <v>6339</v>
      </c>
      <c r="G470" s="29" t="s">
        <v>6330</v>
      </c>
      <c r="H470" s="26">
        <v>45078</v>
      </c>
      <c r="I470" s="27" t="s">
        <v>56</v>
      </c>
      <c r="J470" s="27" t="s">
        <v>61</v>
      </c>
      <c r="K470" s="26">
        <v>45155</v>
      </c>
    </row>
    <row r="471" spans="1:11">
      <c r="A471" s="25">
        <v>912957245</v>
      </c>
      <c r="B471" s="26">
        <v>44959</v>
      </c>
      <c r="C471" s="27" t="s">
        <v>3426</v>
      </c>
      <c r="D471" s="28" t="s">
        <v>3427</v>
      </c>
      <c r="E471" s="29" t="s">
        <v>25</v>
      </c>
      <c r="F471" s="29" t="s">
        <v>171</v>
      </c>
      <c r="H471" s="26">
        <v>45078</v>
      </c>
      <c r="I471" s="27" t="s">
        <v>72</v>
      </c>
      <c r="J471" s="27" t="s">
        <v>69</v>
      </c>
      <c r="K471" s="26">
        <v>45155</v>
      </c>
    </row>
    <row r="472" spans="1:11">
      <c r="A472" s="25">
        <v>917242344</v>
      </c>
      <c r="B472" s="26">
        <v>44980</v>
      </c>
      <c r="C472" s="27" t="s">
        <v>4348</v>
      </c>
      <c r="D472" s="28" t="s">
        <v>4349</v>
      </c>
      <c r="E472" s="29" t="s">
        <v>19</v>
      </c>
      <c r="F472" s="29" t="s">
        <v>171</v>
      </c>
      <c r="H472" s="26">
        <v>45078</v>
      </c>
      <c r="I472" s="27" t="s">
        <v>52</v>
      </c>
      <c r="J472" s="27" t="s">
        <v>66</v>
      </c>
      <c r="K472" s="26">
        <v>45160</v>
      </c>
    </row>
    <row r="473" spans="1:11">
      <c r="A473" s="25">
        <v>900520457</v>
      </c>
      <c r="B473" s="26">
        <v>45093</v>
      </c>
      <c r="C473" s="27" t="s">
        <v>1420</v>
      </c>
      <c r="D473" s="28" t="s">
        <v>1421</v>
      </c>
      <c r="E473" s="29" t="s">
        <v>269</v>
      </c>
      <c r="F473" s="29" t="s">
        <v>171</v>
      </c>
      <c r="H473" s="26">
        <v>45114</v>
      </c>
      <c r="I473" s="27" t="s">
        <v>99</v>
      </c>
      <c r="J473" s="27" t="s">
        <v>99</v>
      </c>
      <c r="K473" s="26">
        <v>45156</v>
      </c>
    </row>
    <row r="474" spans="1:11">
      <c r="A474" s="25">
        <v>900520457</v>
      </c>
      <c r="B474" s="26">
        <v>45093</v>
      </c>
      <c r="C474" s="27" t="s">
        <v>1420</v>
      </c>
      <c r="D474" s="28" t="s">
        <v>1421</v>
      </c>
      <c r="E474" s="29" t="s">
        <v>58</v>
      </c>
      <c r="F474" s="29" t="s">
        <v>171</v>
      </c>
      <c r="H474" s="26">
        <v>45114</v>
      </c>
      <c r="I474" s="27" t="s">
        <v>99</v>
      </c>
      <c r="J474" s="27" t="s">
        <v>99</v>
      </c>
      <c r="K474" s="26" t="s">
        <v>6458</v>
      </c>
    </row>
    <row r="475" spans="1:11">
      <c r="A475" s="25">
        <v>912214646</v>
      </c>
      <c r="B475" s="26">
        <v>45154</v>
      </c>
      <c r="C475" s="27" t="s">
        <v>3314</v>
      </c>
      <c r="D475" s="28" t="s">
        <v>3315</v>
      </c>
      <c r="E475" s="29" t="s">
        <v>6459</v>
      </c>
      <c r="F475" s="29" t="s">
        <v>171</v>
      </c>
      <c r="H475" s="26">
        <v>45154</v>
      </c>
      <c r="I475" s="27" t="s">
        <v>69</v>
      </c>
      <c r="J475" s="27" t="s">
        <v>69</v>
      </c>
      <c r="K475" s="26">
        <v>45154</v>
      </c>
    </row>
    <row r="476" spans="1:11">
      <c r="A476" s="25">
        <v>918837145</v>
      </c>
      <c r="B476" s="26">
        <v>45159</v>
      </c>
      <c r="C476" s="27" t="s">
        <v>5028</v>
      </c>
      <c r="D476" s="28" t="s">
        <v>5029</v>
      </c>
      <c r="E476" s="29" t="s">
        <v>25</v>
      </c>
      <c r="F476" s="29" t="s">
        <v>171</v>
      </c>
      <c r="J476" s="27" t="s">
        <v>71</v>
      </c>
      <c r="K476" s="26">
        <v>45159</v>
      </c>
    </row>
    <row r="477" spans="1:11">
      <c r="A477" s="25">
        <v>917322125</v>
      </c>
      <c r="B477" s="26">
        <v>45159</v>
      </c>
      <c r="C477" s="27" t="s">
        <v>5915</v>
      </c>
      <c r="D477" s="28" t="s">
        <v>5916</v>
      </c>
      <c r="E477" s="29" t="s">
        <v>32</v>
      </c>
      <c r="F477" s="29" t="s">
        <v>171</v>
      </c>
      <c r="H477" s="26" t="s">
        <v>134</v>
      </c>
      <c r="I477" s="27" t="s">
        <v>73</v>
      </c>
      <c r="J477" s="27" t="s">
        <v>66</v>
      </c>
      <c r="K477" s="26">
        <v>45159</v>
      </c>
    </row>
    <row r="478" spans="1:11">
      <c r="A478" s="25">
        <v>918852823</v>
      </c>
      <c r="B478" s="26">
        <v>45159</v>
      </c>
      <c r="C478" s="27" t="s">
        <v>5917</v>
      </c>
      <c r="D478" s="28" t="s">
        <v>5918</v>
      </c>
      <c r="E478" s="29" t="s">
        <v>6398</v>
      </c>
      <c r="F478" s="29" t="s">
        <v>171</v>
      </c>
      <c r="H478" s="26" t="s">
        <v>134</v>
      </c>
      <c r="I478" s="27" t="s">
        <v>60</v>
      </c>
      <c r="J478" s="27" t="s">
        <v>66</v>
      </c>
      <c r="K478" s="26">
        <v>45159</v>
      </c>
    </row>
    <row r="479" spans="1:11">
      <c r="A479" s="25">
        <v>909146490</v>
      </c>
      <c r="B479" s="26">
        <v>45159</v>
      </c>
      <c r="C479" s="27" t="s">
        <v>2630</v>
      </c>
      <c r="D479" s="28" t="s">
        <v>2631</v>
      </c>
      <c r="E479" s="29" t="s">
        <v>31</v>
      </c>
      <c r="F479" s="29" t="s">
        <v>171</v>
      </c>
      <c r="H479" s="26" t="s">
        <v>134</v>
      </c>
      <c r="I479" s="27" t="s">
        <v>71</v>
      </c>
      <c r="J479" s="27" t="s">
        <v>99</v>
      </c>
      <c r="K479" s="26">
        <v>45160</v>
      </c>
    </row>
    <row r="480" spans="1:11">
      <c r="A480" s="25">
        <v>909146490</v>
      </c>
      <c r="B480" s="26">
        <v>45159</v>
      </c>
      <c r="C480" s="27" t="s">
        <v>2630</v>
      </c>
      <c r="D480" s="28" t="s">
        <v>2631</v>
      </c>
      <c r="E480" s="29" t="s">
        <v>123</v>
      </c>
      <c r="F480" s="29" t="s">
        <v>171</v>
      </c>
      <c r="H480" s="26" t="s">
        <v>134</v>
      </c>
      <c r="I480" s="27" t="s">
        <v>71</v>
      </c>
      <c r="J480" s="27" t="s">
        <v>71</v>
      </c>
      <c r="K480" s="26">
        <v>45160</v>
      </c>
    </row>
    <row r="481" spans="1:12">
      <c r="A481" s="25">
        <v>900001432</v>
      </c>
      <c r="B481" s="26">
        <v>45160</v>
      </c>
      <c r="C481" s="27" t="s">
        <v>389</v>
      </c>
      <c r="D481" s="28" t="s">
        <v>390</v>
      </c>
      <c r="E481" s="29" t="s">
        <v>35</v>
      </c>
      <c r="F481" s="29" t="s">
        <v>171</v>
      </c>
      <c r="H481" s="26" t="s">
        <v>6460</v>
      </c>
      <c r="I481" s="27" t="s">
        <v>55</v>
      </c>
      <c r="J481" s="27" t="s">
        <v>131</v>
      </c>
      <c r="K481" s="26">
        <v>45162</v>
      </c>
    </row>
    <row r="482" spans="1:12">
      <c r="A482" s="25">
        <v>916405287</v>
      </c>
      <c r="B482" s="26">
        <v>45160</v>
      </c>
      <c r="C482" s="27" t="s">
        <v>4016</v>
      </c>
      <c r="D482" s="28" t="s">
        <v>4017</v>
      </c>
      <c r="E482" s="29" t="s">
        <v>20</v>
      </c>
      <c r="F482" s="29" t="s">
        <v>171</v>
      </c>
      <c r="H482" s="26">
        <v>45160</v>
      </c>
      <c r="I482" s="27" t="s">
        <v>6461</v>
      </c>
      <c r="J482" s="27" t="s">
        <v>71</v>
      </c>
      <c r="K482" s="26">
        <v>45160</v>
      </c>
    </row>
    <row r="483" spans="1:12">
      <c r="A483" s="25">
        <v>918851029</v>
      </c>
      <c r="B483" s="26">
        <v>45160</v>
      </c>
      <c r="C483" s="27" t="s">
        <v>5923</v>
      </c>
      <c r="D483" s="28" t="s">
        <v>5924</v>
      </c>
      <c r="E483" s="29" t="s">
        <v>28</v>
      </c>
      <c r="F483" s="29" t="s">
        <v>171</v>
      </c>
      <c r="H483" s="26" t="s">
        <v>127</v>
      </c>
      <c r="I483" s="27" t="s">
        <v>66</v>
      </c>
      <c r="J483" s="27" t="s">
        <v>66</v>
      </c>
      <c r="K483" s="26">
        <v>45160</v>
      </c>
    </row>
    <row r="484" spans="1:12">
      <c r="A484" s="25">
        <v>918115697</v>
      </c>
      <c r="B484" s="26">
        <v>45162</v>
      </c>
      <c r="C484" s="27" t="s">
        <v>4618</v>
      </c>
      <c r="D484" s="28" t="s">
        <v>4619</v>
      </c>
      <c r="E484" s="29" t="s">
        <v>105</v>
      </c>
      <c r="F484" s="29" t="s">
        <v>171</v>
      </c>
      <c r="H484" s="26">
        <v>45162</v>
      </c>
      <c r="I484" s="27" t="s">
        <v>66</v>
      </c>
      <c r="J484" s="27" t="s">
        <v>72</v>
      </c>
      <c r="K484" s="26">
        <v>45162</v>
      </c>
    </row>
    <row r="485" spans="1:12">
      <c r="A485" s="25">
        <v>922374775</v>
      </c>
      <c r="B485" s="26">
        <v>45162</v>
      </c>
      <c r="C485" s="27" t="s">
        <v>359</v>
      </c>
      <c r="D485" s="28" t="s">
        <v>360</v>
      </c>
      <c r="E485" s="29" t="s">
        <v>83</v>
      </c>
      <c r="F485" s="29" t="s">
        <v>171</v>
      </c>
      <c r="H485" s="26">
        <v>45162</v>
      </c>
      <c r="I485" s="27" t="s">
        <v>66</v>
      </c>
      <c r="J485" s="27" t="s">
        <v>99</v>
      </c>
      <c r="K485" s="26">
        <v>45163</v>
      </c>
    </row>
    <row r="486" spans="1:12">
      <c r="A486" s="25">
        <v>907469061</v>
      </c>
      <c r="B486" s="26">
        <v>44806</v>
      </c>
      <c r="C486" s="27" t="s">
        <v>2285</v>
      </c>
      <c r="D486" s="28" t="s">
        <v>2286</v>
      </c>
      <c r="E486" s="29" t="s">
        <v>35</v>
      </c>
      <c r="F486" s="29" t="s">
        <v>171</v>
      </c>
      <c r="G486" s="29" t="s">
        <v>6462</v>
      </c>
      <c r="H486" s="26">
        <v>44980</v>
      </c>
      <c r="J486" s="27" t="s">
        <v>99</v>
      </c>
      <c r="K486" s="26">
        <v>45189.903810069445</v>
      </c>
    </row>
    <row r="487" spans="1:12">
      <c r="A487" s="25">
        <v>900055707</v>
      </c>
      <c r="B487" s="26">
        <v>44845</v>
      </c>
      <c r="C487" s="27" t="s">
        <v>1338</v>
      </c>
      <c r="D487" s="28" t="s">
        <v>1339</v>
      </c>
      <c r="E487" s="29" t="s">
        <v>19</v>
      </c>
      <c r="F487" s="29" t="s">
        <v>171</v>
      </c>
      <c r="H487" s="26">
        <v>45282</v>
      </c>
      <c r="I487" s="27" t="s">
        <v>6339</v>
      </c>
      <c r="J487" s="27" t="s">
        <v>55</v>
      </c>
      <c r="K487" s="26">
        <v>45202.408059143519</v>
      </c>
    </row>
    <row r="488" spans="1:12">
      <c r="A488" s="25">
        <v>917167503</v>
      </c>
      <c r="B488" s="26">
        <v>44874</v>
      </c>
      <c r="C488" s="27" t="s">
        <v>4238</v>
      </c>
      <c r="D488" s="28" t="s">
        <v>4239</v>
      </c>
      <c r="E488" s="29" t="s">
        <v>19</v>
      </c>
      <c r="F488" s="29" t="s">
        <v>6339</v>
      </c>
      <c r="H488" s="26">
        <v>45282</v>
      </c>
      <c r="I488" s="27" t="s">
        <v>47</v>
      </c>
      <c r="J488" s="27" t="s">
        <v>69</v>
      </c>
      <c r="K488" s="26">
        <v>45195.561138078701</v>
      </c>
    </row>
    <row r="489" spans="1:12">
      <c r="A489" s="25">
        <v>917167503</v>
      </c>
      <c r="B489" s="26">
        <v>44874</v>
      </c>
      <c r="C489" s="27" t="s">
        <v>4238</v>
      </c>
      <c r="D489" s="28" t="s">
        <v>4239</v>
      </c>
      <c r="E489" s="29" t="s">
        <v>25</v>
      </c>
      <c r="F489" s="29" t="s">
        <v>171</v>
      </c>
      <c r="H489" s="26">
        <v>45282</v>
      </c>
      <c r="J489" s="27" t="s">
        <v>69</v>
      </c>
      <c r="K489" s="26">
        <v>45195.561390046299</v>
      </c>
    </row>
    <row r="490" spans="1:12">
      <c r="A490" s="25">
        <v>917167503</v>
      </c>
      <c r="B490" s="26">
        <v>44874</v>
      </c>
      <c r="C490" s="27" t="s">
        <v>4238</v>
      </c>
      <c r="D490" s="28" t="s">
        <v>4239</v>
      </c>
      <c r="E490" s="29" t="s">
        <v>19</v>
      </c>
      <c r="F490" s="29" t="s">
        <v>6339</v>
      </c>
      <c r="H490" s="26">
        <v>45282</v>
      </c>
      <c r="I490" s="27" t="s">
        <v>47</v>
      </c>
      <c r="J490" s="27" t="s">
        <v>69</v>
      </c>
      <c r="K490" s="26">
        <v>45195.562185416667</v>
      </c>
    </row>
    <row r="491" spans="1:12">
      <c r="A491" s="25">
        <v>913786515</v>
      </c>
      <c r="B491" s="26">
        <v>44874</v>
      </c>
      <c r="C491" s="27" t="s">
        <v>6463</v>
      </c>
      <c r="D491" s="28" t="s">
        <v>3677</v>
      </c>
      <c r="E491" s="29" t="s">
        <v>36</v>
      </c>
      <c r="F491" s="29" t="s">
        <v>171</v>
      </c>
      <c r="H491" s="26">
        <v>45282</v>
      </c>
      <c r="I491" s="27" t="s">
        <v>47</v>
      </c>
      <c r="J491" s="27" t="s">
        <v>131</v>
      </c>
      <c r="K491" s="26">
        <v>45170.559567245371</v>
      </c>
    </row>
    <row r="492" spans="1:12">
      <c r="A492" s="25">
        <v>913477349</v>
      </c>
      <c r="B492" s="26">
        <v>44965</v>
      </c>
      <c r="C492" s="27" t="s">
        <v>3540</v>
      </c>
      <c r="D492" s="28" t="s">
        <v>3541</v>
      </c>
      <c r="E492" s="29" t="s">
        <v>35</v>
      </c>
      <c r="F492" s="29" t="s">
        <v>171</v>
      </c>
      <c r="H492" s="26">
        <v>45078</v>
      </c>
      <c r="I492" s="27" t="s">
        <v>55</v>
      </c>
      <c r="J492" s="27" t="s">
        <v>99</v>
      </c>
      <c r="K492" s="26">
        <v>45176.034967939813</v>
      </c>
    </row>
    <row r="493" spans="1:12">
      <c r="A493" s="25">
        <v>922374775</v>
      </c>
      <c r="B493" s="26">
        <v>44978.942163078704</v>
      </c>
      <c r="C493" s="27" t="s">
        <v>359</v>
      </c>
      <c r="D493" s="28" t="s">
        <v>360</v>
      </c>
      <c r="E493" s="29" t="s">
        <v>31</v>
      </c>
      <c r="F493" s="29" t="s">
        <v>171</v>
      </c>
      <c r="H493" s="26">
        <v>44992</v>
      </c>
      <c r="I493" s="27" t="s">
        <v>53</v>
      </c>
      <c r="J493" s="27" t="s">
        <v>99</v>
      </c>
      <c r="K493" s="26">
        <v>45183.432303935188</v>
      </c>
      <c r="L493" s="24" t="s">
        <v>6464</v>
      </c>
    </row>
    <row r="494" spans="1:12">
      <c r="A494" s="25">
        <v>918848845</v>
      </c>
      <c r="B494" s="26">
        <v>45155.514226388892</v>
      </c>
      <c r="C494" s="27" t="s">
        <v>5346</v>
      </c>
      <c r="D494" s="28" t="s">
        <v>5347</v>
      </c>
      <c r="E494" s="29" t="s">
        <v>67</v>
      </c>
      <c r="F494" s="29" t="s">
        <v>171</v>
      </c>
      <c r="H494" s="26" t="s">
        <v>158</v>
      </c>
      <c r="I494" s="27" t="s">
        <v>69</v>
      </c>
      <c r="J494" s="27" t="s">
        <v>54</v>
      </c>
      <c r="K494" s="26">
        <v>45167.709132060183</v>
      </c>
    </row>
    <row r="495" spans="1:12">
      <c r="A495" s="25">
        <v>905185260</v>
      </c>
      <c r="B495" s="26">
        <v>45156.709803587961</v>
      </c>
      <c r="C495" s="27" t="s">
        <v>1997</v>
      </c>
      <c r="D495" s="28" t="s">
        <v>1998</v>
      </c>
      <c r="E495" s="29" t="s">
        <v>28</v>
      </c>
      <c r="F495" s="29" t="s">
        <v>6339</v>
      </c>
      <c r="H495" s="26">
        <v>45155</v>
      </c>
      <c r="I495" s="27" t="s">
        <v>66</v>
      </c>
      <c r="J495" s="27" t="s">
        <v>70</v>
      </c>
      <c r="K495" s="26">
        <v>45175.429211574075</v>
      </c>
    </row>
    <row r="496" spans="1:12">
      <c r="A496" s="25">
        <v>913786515</v>
      </c>
      <c r="B496" s="26">
        <v>45160.579809606483</v>
      </c>
      <c r="C496" s="27" t="s">
        <v>6463</v>
      </c>
      <c r="D496" s="28" t="s">
        <v>3677</v>
      </c>
      <c r="E496" s="29" t="s">
        <v>58</v>
      </c>
      <c r="F496" s="29" t="s">
        <v>171</v>
      </c>
      <c r="H496" s="26" t="s">
        <v>6239</v>
      </c>
      <c r="I496" s="27" t="s">
        <v>55</v>
      </c>
      <c r="J496" s="27" t="s">
        <v>131</v>
      </c>
      <c r="K496" s="26">
        <v>45170.559849884259</v>
      </c>
    </row>
    <row r="497" spans="1:12">
      <c r="A497" s="25">
        <v>920753844</v>
      </c>
      <c r="B497" s="26">
        <v>45166.368412268515</v>
      </c>
      <c r="C497" s="27" t="s">
        <v>5534</v>
      </c>
      <c r="D497" s="28" t="s">
        <v>5535</v>
      </c>
      <c r="E497" s="29" t="s">
        <v>12</v>
      </c>
      <c r="F497" s="29" t="s">
        <v>171</v>
      </c>
      <c r="H497" s="26" t="s">
        <v>142</v>
      </c>
      <c r="I497" s="27" t="s">
        <v>70</v>
      </c>
      <c r="J497" s="27" t="s">
        <v>77</v>
      </c>
      <c r="K497" s="26">
        <v>45166.41722974537</v>
      </c>
    </row>
    <row r="498" spans="1:12">
      <c r="A498" s="25">
        <v>913847420</v>
      </c>
      <c r="B498" s="26">
        <v>45166.434067013892</v>
      </c>
      <c r="C498" s="27" t="s">
        <v>3754</v>
      </c>
      <c r="D498" s="28" t="s">
        <v>3755</v>
      </c>
      <c r="E498" s="29" t="s">
        <v>20</v>
      </c>
      <c r="F498" s="29" t="s">
        <v>6339</v>
      </c>
      <c r="H498" s="26" t="s">
        <v>134</v>
      </c>
      <c r="I498" s="27" t="s">
        <v>70</v>
      </c>
      <c r="J498" s="27" t="s">
        <v>99</v>
      </c>
      <c r="K498" s="26">
        <v>45167.011301620369</v>
      </c>
    </row>
    <row r="499" spans="1:12">
      <c r="A499" s="25">
        <v>918853590</v>
      </c>
      <c r="B499" s="26">
        <v>45166.437353009256</v>
      </c>
      <c r="C499" s="27" t="s">
        <v>5930</v>
      </c>
      <c r="D499" s="28" t="s">
        <v>5931</v>
      </c>
      <c r="E499" s="29" t="s">
        <v>19</v>
      </c>
      <c r="F499" s="29" t="s">
        <v>171</v>
      </c>
      <c r="H499" s="26" t="s">
        <v>134</v>
      </c>
      <c r="I499" s="27" t="s">
        <v>70</v>
      </c>
      <c r="J499" s="27" t="s">
        <v>55</v>
      </c>
      <c r="K499" s="26">
        <v>45166.945997685187</v>
      </c>
    </row>
    <row r="500" spans="1:12">
      <c r="A500" s="25">
        <v>909802821</v>
      </c>
      <c r="B500" s="26">
        <v>45166.453014004626</v>
      </c>
      <c r="C500" s="27" t="s">
        <v>2828</v>
      </c>
      <c r="D500" s="28" t="s">
        <v>2829</v>
      </c>
      <c r="E500" s="29" t="s">
        <v>25</v>
      </c>
      <c r="F500" s="29" t="s">
        <v>171</v>
      </c>
      <c r="H500" s="26" t="s">
        <v>6465</v>
      </c>
      <c r="I500" s="27" t="s">
        <v>70</v>
      </c>
      <c r="J500" s="27" t="s">
        <v>55</v>
      </c>
      <c r="K500" s="26">
        <v>45166.456958101851</v>
      </c>
    </row>
    <row r="501" spans="1:12">
      <c r="A501" s="25">
        <v>904239211</v>
      </c>
      <c r="B501" s="26">
        <v>45166.506887731484</v>
      </c>
      <c r="C501" s="27" t="s">
        <v>1865</v>
      </c>
      <c r="D501" s="28" t="s">
        <v>1866</v>
      </c>
      <c r="E501" s="29" t="s">
        <v>58</v>
      </c>
      <c r="F501" s="29" t="s">
        <v>171</v>
      </c>
      <c r="H501" s="26" t="s">
        <v>6465</v>
      </c>
      <c r="I501" s="27" t="s">
        <v>70</v>
      </c>
      <c r="J501" s="27" t="s">
        <v>54</v>
      </c>
      <c r="K501" s="26" t="s">
        <v>217</v>
      </c>
    </row>
    <row r="502" spans="1:12">
      <c r="A502" s="25">
        <v>909146490</v>
      </c>
      <c r="B502" s="26">
        <v>45166.610636805555</v>
      </c>
      <c r="C502" s="27" t="s">
        <v>2630</v>
      </c>
      <c r="D502" s="28" t="s">
        <v>2631</v>
      </c>
      <c r="E502" s="29" t="s">
        <v>227</v>
      </c>
      <c r="F502" s="29" t="s">
        <v>171</v>
      </c>
      <c r="H502" s="26" t="s">
        <v>134</v>
      </c>
      <c r="I502" s="27" t="s">
        <v>70</v>
      </c>
      <c r="J502" s="27" t="s">
        <v>99</v>
      </c>
      <c r="K502" s="26">
        <v>45167.063227662038</v>
      </c>
    </row>
    <row r="503" spans="1:12">
      <c r="A503" s="25">
        <v>909146490</v>
      </c>
      <c r="B503" s="26">
        <v>45166.61309259259</v>
      </c>
      <c r="C503" s="27" t="s">
        <v>2630</v>
      </c>
      <c r="D503" s="28" t="s">
        <v>2631</v>
      </c>
      <c r="E503" s="29" t="s">
        <v>146</v>
      </c>
      <c r="F503" s="29" t="s">
        <v>171</v>
      </c>
      <c r="H503" s="26" t="s">
        <v>134</v>
      </c>
      <c r="I503" s="27" t="s">
        <v>70</v>
      </c>
      <c r="J503" s="27" t="s">
        <v>99</v>
      </c>
      <c r="K503" s="26">
        <v>45167.063242476848</v>
      </c>
    </row>
    <row r="504" spans="1:12">
      <c r="A504" s="25">
        <v>909562542</v>
      </c>
      <c r="B504" s="26">
        <v>45168.36069212963</v>
      </c>
      <c r="C504" s="27" t="s">
        <v>2792</v>
      </c>
      <c r="D504" s="28" t="s">
        <v>2793</v>
      </c>
      <c r="E504" s="29" t="s">
        <v>6371</v>
      </c>
      <c r="F504" s="29" t="s">
        <v>171</v>
      </c>
      <c r="H504" s="26" t="s">
        <v>134</v>
      </c>
      <c r="I504" s="27" t="s">
        <v>77</v>
      </c>
      <c r="J504" s="27" t="s">
        <v>99</v>
      </c>
      <c r="K504" s="26">
        <v>45168.871817708336</v>
      </c>
    </row>
    <row r="505" spans="1:12">
      <c r="A505" s="25">
        <v>917241291</v>
      </c>
      <c r="B505" s="26">
        <v>45169.571880671298</v>
      </c>
      <c r="C505" s="27" t="s">
        <v>4326</v>
      </c>
      <c r="D505" s="28" t="s">
        <v>4327</v>
      </c>
      <c r="E505" s="29" t="s">
        <v>261</v>
      </c>
      <c r="F505" s="29" t="s">
        <v>171</v>
      </c>
      <c r="H505" s="26">
        <v>45194</v>
      </c>
      <c r="I505" s="27" t="s">
        <v>71</v>
      </c>
      <c r="J505" s="27" t="s">
        <v>155</v>
      </c>
      <c r="K505" s="26">
        <v>45189.405957754629</v>
      </c>
      <c r="L505" s="24" t="s">
        <v>6466</v>
      </c>
    </row>
    <row r="506" spans="1:12">
      <c r="A506" s="25">
        <v>918841305</v>
      </c>
      <c r="B506" s="26">
        <v>45174.611972222221</v>
      </c>
      <c r="C506" s="27" t="s">
        <v>5940</v>
      </c>
      <c r="D506" s="28" t="s">
        <v>5941</v>
      </c>
      <c r="E506" s="29" t="s">
        <v>146</v>
      </c>
      <c r="F506" s="29" t="s">
        <v>171</v>
      </c>
      <c r="H506" s="26">
        <v>45184</v>
      </c>
      <c r="I506" s="27" t="s">
        <v>139</v>
      </c>
      <c r="J506" s="27" t="s">
        <v>6467</v>
      </c>
      <c r="K506" s="26">
        <v>45176.42199490741</v>
      </c>
    </row>
    <row r="507" spans="1:12">
      <c r="A507" s="25">
        <v>905185260</v>
      </c>
      <c r="B507" s="26">
        <v>45175.429662499999</v>
      </c>
      <c r="C507" s="27" t="s">
        <v>1997</v>
      </c>
      <c r="D507" s="28" t="s">
        <v>1998</v>
      </c>
      <c r="E507" s="29" t="s">
        <v>48</v>
      </c>
      <c r="F507" s="29" t="s">
        <v>171</v>
      </c>
      <c r="H507" s="26" t="s">
        <v>158</v>
      </c>
      <c r="I507" s="27" t="s">
        <v>60</v>
      </c>
      <c r="J507" s="27" t="s">
        <v>69</v>
      </c>
      <c r="K507" s="26">
        <v>45176.529293402775</v>
      </c>
    </row>
    <row r="508" spans="1:12">
      <c r="A508" s="25">
        <v>912745657</v>
      </c>
      <c r="B508" s="26">
        <v>45177.37422002315</v>
      </c>
      <c r="C508" s="27" t="s">
        <v>5944</v>
      </c>
      <c r="D508" s="28" t="s">
        <v>5945</v>
      </c>
      <c r="E508" s="29" t="s">
        <v>75</v>
      </c>
      <c r="F508" s="29" t="s">
        <v>171</v>
      </c>
      <c r="H508" s="26">
        <v>45177</v>
      </c>
      <c r="I508" s="27" t="s">
        <v>61</v>
      </c>
      <c r="J508" s="27" t="s">
        <v>71</v>
      </c>
      <c r="K508" s="26">
        <v>45177.680474768516</v>
      </c>
    </row>
    <row r="509" spans="1:12">
      <c r="A509" s="25">
        <v>912745657</v>
      </c>
      <c r="B509" s="26">
        <v>45177.376009259257</v>
      </c>
      <c r="C509" s="27" t="s">
        <v>5944</v>
      </c>
      <c r="D509" s="28" t="s">
        <v>5945</v>
      </c>
      <c r="E509" s="29" t="s">
        <v>12</v>
      </c>
      <c r="F509" s="29" t="s">
        <v>171</v>
      </c>
      <c r="H509" s="26">
        <v>45177</v>
      </c>
      <c r="I509" s="27" t="s">
        <v>69</v>
      </c>
      <c r="J509" s="27" t="s">
        <v>71</v>
      </c>
      <c r="K509" s="26">
        <v>45177.680500347225</v>
      </c>
    </row>
    <row r="510" spans="1:12">
      <c r="A510" s="25">
        <v>906992832</v>
      </c>
      <c r="B510" s="26">
        <v>45180.508462962964</v>
      </c>
      <c r="C510" s="27" t="s">
        <v>2181</v>
      </c>
      <c r="D510" s="28" t="s">
        <v>2182</v>
      </c>
      <c r="E510" s="29" t="s">
        <v>105</v>
      </c>
      <c r="F510" s="29" t="s">
        <v>171</v>
      </c>
      <c r="H510" s="26" t="s">
        <v>136</v>
      </c>
      <c r="I510" s="27" t="s">
        <v>155</v>
      </c>
      <c r="J510" s="27" t="s">
        <v>70</v>
      </c>
      <c r="K510" s="26">
        <v>45180.579511342592</v>
      </c>
    </row>
    <row r="511" spans="1:12">
      <c r="A511" s="25">
        <v>908513416</v>
      </c>
      <c r="B511" s="26">
        <v>45182.453886921299</v>
      </c>
      <c r="C511" s="27" t="s">
        <v>2535</v>
      </c>
      <c r="D511" s="28" t="s">
        <v>2536</v>
      </c>
      <c r="E511" s="29" t="s">
        <v>6312</v>
      </c>
      <c r="F511" s="29" t="s">
        <v>171</v>
      </c>
      <c r="H511" s="26" t="s">
        <v>148</v>
      </c>
      <c r="J511" s="27" t="s">
        <v>99</v>
      </c>
      <c r="K511" s="26">
        <v>45182.967969097219</v>
      </c>
    </row>
    <row r="512" spans="1:12">
      <c r="A512" s="25">
        <v>917243813</v>
      </c>
      <c r="B512" s="26">
        <v>45182.92714537037</v>
      </c>
      <c r="C512" s="27" t="s">
        <v>4364</v>
      </c>
      <c r="D512" s="28" t="s">
        <v>4365</v>
      </c>
      <c r="E512" s="29" t="s">
        <v>20</v>
      </c>
      <c r="F512" s="29" t="s">
        <v>171</v>
      </c>
      <c r="H512" s="26" t="s">
        <v>136</v>
      </c>
      <c r="I512" s="27" t="s">
        <v>55</v>
      </c>
      <c r="J512" s="27" t="s">
        <v>54</v>
      </c>
      <c r="K512" s="26">
        <v>45182.768336226851</v>
      </c>
    </row>
    <row r="513" spans="1:12">
      <c r="A513" s="25">
        <v>918103087</v>
      </c>
      <c r="B513" s="26">
        <v>44805</v>
      </c>
      <c r="C513" s="27" t="s">
        <v>4572</v>
      </c>
      <c r="D513" s="28" t="s">
        <v>4573</v>
      </c>
      <c r="E513" s="29" t="s">
        <v>152</v>
      </c>
      <c r="F513" s="29" t="s">
        <v>171</v>
      </c>
      <c r="J513" s="27" t="s">
        <v>77</v>
      </c>
      <c r="K513" s="26">
        <v>45183.43229780093</v>
      </c>
    </row>
    <row r="514" spans="1:12">
      <c r="A514" s="25">
        <v>918103087</v>
      </c>
      <c r="B514" s="26">
        <v>44805</v>
      </c>
      <c r="C514" s="27" t="s">
        <v>4572</v>
      </c>
      <c r="D514" s="28" t="s">
        <v>4573</v>
      </c>
      <c r="E514" s="29" t="s">
        <v>30</v>
      </c>
      <c r="F514" s="29" t="s">
        <v>171</v>
      </c>
      <c r="J514" s="27" t="s">
        <v>77</v>
      </c>
      <c r="K514" s="26">
        <v>45183.433299305558</v>
      </c>
    </row>
    <row r="515" spans="1:12">
      <c r="A515" s="25">
        <v>918103087</v>
      </c>
      <c r="B515" s="26">
        <v>44805</v>
      </c>
      <c r="C515" s="27" t="s">
        <v>4572</v>
      </c>
      <c r="D515" s="28" t="s">
        <v>4573</v>
      </c>
      <c r="E515" s="29" t="s">
        <v>67</v>
      </c>
      <c r="F515" s="29" t="s">
        <v>171</v>
      </c>
      <c r="J515" s="27" t="s">
        <v>77</v>
      </c>
      <c r="K515" s="26">
        <v>45183.433799537037</v>
      </c>
    </row>
    <row r="516" spans="1:12">
      <c r="A516" s="25">
        <v>917241291</v>
      </c>
      <c r="B516" s="26">
        <v>45187.516576388887</v>
      </c>
      <c r="C516" s="27" t="s">
        <v>4326</v>
      </c>
      <c r="D516" s="28" t="s">
        <v>4327</v>
      </c>
      <c r="E516" s="29" t="s">
        <v>48</v>
      </c>
      <c r="F516" s="29" t="s">
        <v>171</v>
      </c>
      <c r="H516" s="26">
        <v>45194</v>
      </c>
      <c r="I516" s="27" t="s">
        <v>70</v>
      </c>
      <c r="J516" s="27" t="s">
        <v>155</v>
      </c>
      <c r="K516" s="26">
        <v>45189.405725462966</v>
      </c>
    </row>
    <row r="517" spans="1:12">
      <c r="A517" s="25">
        <v>921617369</v>
      </c>
      <c r="B517" s="26">
        <v>45189</v>
      </c>
      <c r="C517" s="27" t="s">
        <v>6468</v>
      </c>
      <c r="D517" s="28" t="s">
        <v>6469</v>
      </c>
      <c r="E517" s="29" t="s">
        <v>24</v>
      </c>
      <c r="F517" s="29" t="s">
        <v>171</v>
      </c>
      <c r="H517" s="26" t="s">
        <v>148</v>
      </c>
      <c r="I517" s="27" t="s">
        <v>155</v>
      </c>
      <c r="J517" s="27" t="s">
        <v>99</v>
      </c>
      <c r="K517" s="26">
        <v>45189.937680671297</v>
      </c>
    </row>
    <row r="518" spans="1:12">
      <c r="A518" s="25">
        <v>909204002</v>
      </c>
      <c r="B518" s="26">
        <v>45189.392406944447</v>
      </c>
      <c r="C518" s="27" t="s">
        <v>2714</v>
      </c>
      <c r="D518" s="28" t="s">
        <v>2715</v>
      </c>
      <c r="E518" s="29" t="s">
        <v>35</v>
      </c>
      <c r="F518" s="29" t="s">
        <v>171</v>
      </c>
      <c r="H518" s="26">
        <v>45189</v>
      </c>
      <c r="I518" s="27" t="s">
        <v>77</v>
      </c>
      <c r="J518" s="27" t="s">
        <v>155</v>
      </c>
      <c r="K518" s="26">
        <v>45189.453532291664</v>
      </c>
    </row>
    <row r="519" spans="1:12">
      <c r="A519" s="25">
        <v>900016746</v>
      </c>
      <c r="B519" s="26">
        <v>45189.496539004627</v>
      </c>
      <c r="C519" s="27" t="s">
        <v>770</v>
      </c>
      <c r="D519" s="28" t="s">
        <v>771</v>
      </c>
      <c r="E519" s="29" t="s">
        <v>6398</v>
      </c>
      <c r="F519" s="29" t="s">
        <v>171</v>
      </c>
      <c r="H519" s="26" t="s">
        <v>148</v>
      </c>
      <c r="I519" s="27" t="s">
        <v>155</v>
      </c>
      <c r="J519" s="27" t="s">
        <v>54</v>
      </c>
      <c r="K519" s="26">
        <v>45189.723411574072</v>
      </c>
    </row>
    <row r="520" spans="1:12">
      <c r="A520" s="25">
        <v>922112539</v>
      </c>
      <c r="B520" s="26">
        <v>45189</v>
      </c>
      <c r="C520" s="27" t="s">
        <v>5952</v>
      </c>
      <c r="D520" s="28" t="s">
        <v>5953</v>
      </c>
      <c r="E520" s="29" t="s">
        <v>6470</v>
      </c>
      <c r="F520" s="29" t="s">
        <v>171</v>
      </c>
      <c r="H520" s="26" t="s">
        <v>137</v>
      </c>
      <c r="I520" s="27" t="s">
        <v>99</v>
      </c>
      <c r="J520" s="27" t="s">
        <v>99</v>
      </c>
      <c r="K520" s="26">
        <v>45189.877117708333</v>
      </c>
      <c r="L520" s="24" t="s">
        <v>6471</v>
      </c>
    </row>
    <row r="521" spans="1:12">
      <c r="A521" s="25">
        <v>921088438</v>
      </c>
      <c r="B521" s="26">
        <v>45189.905599074074</v>
      </c>
      <c r="C521" s="27" t="s">
        <v>5954</v>
      </c>
      <c r="D521" s="28" t="s">
        <v>5955</v>
      </c>
      <c r="E521" s="29" t="s">
        <v>76</v>
      </c>
      <c r="F521" s="29" t="s">
        <v>171</v>
      </c>
      <c r="H521" s="26">
        <v>45191</v>
      </c>
      <c r="I521" s="27" t="s">
        <v>99</v>
      </c>
      <c r="J521" s="27" t="s">
        <v>6467</v>
      </c>
      <c r="K521" s="26">
        <v>45194.534266550923</v>
      </c>
    </row>
    <row r="522" spans="1:12">
      <c r="A522" s="25">
        <v>900012001</v>
      </c>
      <c r="B522" s="26">
        <v>45190.36416701389</v>
      </c>
      <c r="C522" s="27" t="s">
        <v>661</v>
      </c>
      <c r="D522" s="28" t="s">
        <v>662</v>
      </c>
      <c r="E522" s="29" t="s">
        <v>35</v>
      </c>
      <c r="F522" s="29" t="s">
        <v>171</v>
      </c>
      <c r="H522" s="26">
        <v>45190</v>
      </c>
      <c r="I522" s="27" t="s">
        <v>70</v>
      </c>
      <c r="J522" s="27" t="s">
        <v>70</v>
      </c>
      <c r="K522" s="26">
        <v>45190.809943981483</v>
      </c>
    </row>
    <row r="523" spans="1:12">
      <c r="A523" s="25">
        <v>907441085</v>
      </c>
      <c r="B523" s="26">
        <v>45190.40863784722</v>
      </c>
      <c r="C523" s="27" t="s">
        <v>2281</v>
      </c>
      <c r="D523" s="28" t="s">
        <v>2282</v>
      </c>
      <c r="E523" s="29" t="s">
        <v>36</v>
      </c>
      <c r="F523" s="29" t="s">
        <v>6339</v>
      </c>
      <c r="H523" s="26">
        <v>45190</v>
      </c>
      <c r="I523" s="27" t="s">
        <v>70</v>
      </c>
      <c r="J523" s="27" t="s">
        <v>69</v>
      </c>
      <c r="K523" s="26">
        <v>45190.583801736109</v>
      </c>
    </row>
    <row r="524" spans="1:12">
      <c r="A524" s="25">
        <v>907441085</v>
      </c>
      <c r="B524" s="26">
        <v>45190.40914664352</v>
      </c>
      <c r="C524" s="27" t="s">
        <v>2281</v>
      </c>
      <c r="D524" s="28" t="s">
        <v>2282</v>
      </c>
      <c r="E524" s="29" t="s">
        <v>227</v>
      </c>
      <c r="F524" s="29" t="s">
        <v>171</v>
      </c>
      <c r="H524" s="26">
        <v>45190</v>
      </c>
      <c r="I524" s="27" t="s">
        <v>70</v>
      </c>
      <c r="J524" s="27" t="s">
        <v>69</v>
      </c>
      <c r="K524" s="26">
        <v>45190.583828125003</v>
      </c>
    </row>
    <row r="525" spans="1:12">
      <c r="A525" s="25">
        <v>907570981</v>
      </c>
      <c r="B525" s="26">
        <v>45190.488335648151</v>
      </c>
      <c r="C525" s="27" t="s">
        <v>2317</v>
      </c>
      <c r="D525" s="28" t="s">
        <v>2318</v>
      </c>
      <c r="E525" s="29" t="s">
        <v>20</v>
      </c>
      <c r="F525" s="29" t="s">
        <v>171</v>
      </c>
      <c r="H525" s="26">
        <v>45190</v>
      </c>
      <c r="I525" s="27" t="s">
        <v>70</v>
      </c>
      <c r="J525" s="27" t="s">
        <v>69</v>
      </c>
      <c r="K525" s="26">
        <v>45190.543877199074</v>
      </c>
    </row>
    <row r="526" spans="1:12">
      <c r="A526" s="25">
        <v>913847420</v>
      </c>
      <c r="B526" s="26">
        <v>45190.556486921298</v>
      </c>
      <c r="C526" s="27" t="s">
        <v>3754</v>
      </c>
      <c r="D526" s="28" t="s">
        <v>3755</v>
      </c>
      <c r="E526" s="29" t="s">
        <v>20</v>
      </c>
      <c r="F526" s="29" t="s">
        <v>6339</v>
      </c>
      <c r="H526" s="26">
        <v>45190</v>
      </c>
      <c r="I526" s="27" t="s">
        <v>69</v>
      </c>
      <c r="J526" s="27" t="s">
        <v>61</v>
      </c>
      <c r="K526" s="26">
        <v>45190.691282870372</v>
      </c>
    </row>
    <row r="527" spans="1:12">
      <c r="A527" s="25">
        <v>917241369</v>
      </c>
      <c r="B527" s="26">
        <v>45191.371955324073</v>
      </c>
      <c r="C527" s="27" t="s">
        <v>6472</v>
      </c>
      <c r="D527" s="28" t="s">
        <v>6473</v>
      </c>
      <c r="E527" s="29" t="s">
        <v>57</v>
      </c>
      <c r="F527" s="29" t="s">
        <v>171</v>
      </c>
      <c r="H527" s="26">
        <v>45194</v>
      </c>
      <c r="I527" s="27" t="s">
        <v>77</v>
      </c>
      <c r="J527" s="27" t="s">
        <v>70</v>
      </c>
      <c r="K527" s="26">
        <v>45194.416027777777</v>
      </c>
    </row>
    <row r="528" spans="1:12">
      <c r="A528" s="25">
        <v>900010415</v>
      </c>
      <c r="B528" s="26">
        <v>45194.436567013887</v>
      </c>
      <c r="C528" s="27" t="s">
        <v>617</v>
      </c>
      <c r="D528" s="28" t="s">
        <v>618</v>
      </c>
      <c r="E528" s="29" t="s">
        <v>35</v>
      </c>
      <c r="F528" s="29" t="s">
        <v>171</v>
      </c>
      <c r="H528" s="26">
        <v>45201</v>
      </c>
      <c r="I528" s="27" t="s">
        <v>155</v>
      </c>
      <c r="J528" s="27" t="s">
        <v>155</v>
      </c>
      <c r="K528" s="26">
        <v>45201.417848495374</v>
      </c>
    </row>
    <row r="529" spans="1:11">
      <c r="A529" s="25">
        <v>900018930</v>
      </c>
      <c r="B529" s="26">
        <v>45194.518869907406</v>
      </c>
      <c r="C529" s="27" t="s">
        <v>826</v>
      </c>
      <c r="D529" s="28" t="s">
        <v>827</v>
      </c>
      <c r="E529" s="29" t="s">
        <v>25</v>
      </c>
      <c r="F529" s="29" t="s">
        <v>171</v>
      </c>
      <c r="J529" s="27" t="s">
        <v>155</v>
      </c>
      <c r="K529" s="26">
        <v>45194</v>
      </c>
    </row>
    <row r="530" spans="1:11">
      <c r="A530" s="25">
        <v>922892331</v>
      </c>
      <c r="B530" s="26">
        <v>45195.510904050927</v>
      </c>
      <c r="C530" s="27" t="s">
        <v>5956</v>
      </c>
      <c r="D530" s="28" t="s">
        <v>5957</v>
      </c>
      <c r="E530" s="29" t="s">
        <v>57</v>
      </c>
      <c r="F530" s="29" t="s">
        <v>171</v>
      </c>
      <c r="H530" s="26">
        <v>45195</v>
      </c>
      <c r="I530" s="27" t="s">
        <v>139</v>
      </c>
      <c r="J530" s="27" t="s">
        <v>155</v>
      </c>
      <c r="K530" s="26">
        <v>45196.379753587964</v>
      </c>
    </row>
    <row r="531" spans="1:11">
      <c r="A531" s="25">
        <v>900046555</v>
      </c>
      <c r="B531" s="26">
        <v>45201.394159837961</v>
      </c>
      <c r="C531" s="27" t="s">
        <v>1270</v>
      </c>
      <c r="D531" s="28" t="s">
        <v>1271</v>
      </c>
      <c r="E531" s="29" t="s">
        <v>6398</v>
      </c>
      <c r="F531" s="29" t="s">
        <v>171</v>
      </c>
      <c r="G531" s="29" t="s">
        <v>6474</v>
      </c>
      <c r="H531" s="26">
        <v>45202</v>
      </c>
      <c r="I531" s="27" t="s">
        <v>70</v>
      </c>
      <c r="J531" s="27" t="s">
        <v>61</v>
      </c>
      <c r="K531" s="26">
        <v>45202.386861689818</v>
      </c>
    </row>
    <row r="532" spans="1:11">
      <c r="A532" s="25">
        <v>900046555</v>
      </c>
      <c r="B532" s="26">
        <v>45201.39481435185</v>
      </c>
      <c r="C532" s="27" t="s">
        <v>1270</v>
      </c>
      <c r="D532" s="28" t="s">
        <v>1271</v>
      </c>
      <c r="E532" s="29" t="s">
        <v>6312</v>
      </c>
      <c r="F532" s="29" t="s">
        <v>171</v>
      </c>
      <c r="H532" s="26">
        <v>45202</v>
      </c>
      <c r="I532" s="27" t="s">
        <v>70</v>
      </c>
      <c r="J532" s="27" t="s">
        <v>61</v>
      </c>
      <c r="K532" s="26">
        <v>45202.386885763888</v>
      </c>
    </row>
    <row r="533" spans="1:11">
      <c r="A533" s="25">
        <v>900046555</v>
      </c>
      <c r="B533" s="26">
        <v>45201.394832175924</v>
      </c>
      <c r="C533" s="27" t="s">
        <v>1270</v>
      </c>
      <c r="D533" s="28" t="s">
        <v>1271</v>
      </c>
      <c r="E533" s="29" t="s">
        <v>89</v>
      </c>
      <c r="F533" s="29" t="s">
        <v>171</v>
      </c>
      <c r="H533" s="26">
        <v>45202</v>
      </c>
      <c r="I533" s="27" t="s">
        <v>70</v>
      </c>
      <c r="J533" s="27" t="s">
        <v>61</v>
      </c>
      <c r="K533" s="26">
        <v>45202.386914930554</v>
      </c>
    </row>
    <row r="534" spans="1:11">
      <c r="A534" s="25">
        <v>910675303</v>
      </c>
      <c r="B534" s="26">
        <v>44874</v>
      </c>
      <c r="C534" s="27" t="s">
        <v>3084</v>
      </c>
      <c r="D534" s="28" t="s">
        <v>3085</v>
      </c>
      <c r="E534" s="29" t="s">
        <v>19</v>
      </c>
      <c r="F534" s="29" t="s">
        <v>171</v>
      </c>
      <c r="H534" s="26">
        <v>45282</v>
      </c>
      <c r="I534" s="27" t="s">
        <v>47</v>
      </c>
      <c r="J534" s="27" t="s">
        <v>217</v>
      </c>
      <c r="K534" s="26">
        <v>45056.979026388886</v>
      </c>
    </row>
    <row r="535" spans="1:11">
      <c r="A535" s="25">
        <v>918827122</v>
      </c>
      <c r="B535" s="26">
        <v>45168.873728819446</v>
      </c>
      <c r="C535" s="27" t="s">
        <v>4794</v>
      </c>
      <c r="D535" s="28" t="s">
        <v>4795</v>
      </c>
      <c r="E535" s="29" t="s">
        <v>25</v>
      </c>
      <c r="F535" s="29" t="s">
        <v>171</v>
      </c>
      <c r="H535" s="26" t="s">
        <v>125</v>
      </c>
      <c r="I535" s="27" t="s">
        <v>99</v>
      </c>
      <c r="J535" s="27" t="s">
        <v>55</v>
      </c>
      <c r="K535" s="26">
        <v>45208.51210821759</v>
      </c>
    </row>
    <row r="536" spans="1:11">
      <c r="A536" s="25">
        <v>900003096</v>
      </c>
      <c r="B536" s="26">
        <v>45198.358153587964</v>
      </c>
      <c r="C536" s="27" t="s">
        <v>421</v>
      </c>
      <c r="D536" s="28" t="s">
        <v>422</v>
      </c>
      <c r="E536" s="29" t="s">
        <v>57</v>
      </c>
      <c r="F536" s="29" t="s">
        <v>171</v>
      </c>
      <c r="H536" s="26" t="s">
        <v>148</v>
      </c>
      <c r="I536" s="27" t="s">
        <v>70</v>
      </c>
      <c r="J536" s="27" t="s">
        <v>61</v>
      </c>
      <c r="K536" s="26">
        <v>45202.516428240742</v>
      </c>
    </row>
    <row r="537" spans="1:11">
      <c r="A537" s="25">
        <v>909918170</v>
      </c>
      <c r="B537" s="26">
        <v>45202.455969097224</v>
      </c>
      <c r="C537" s="27" t="s">
        <v>2910</v>
      </c>
      <c r="D537" s="28" t="s">
        <v>2911</v>
      </c>
      <c r="E537" s="29" t="s">
        <v>239</v>
      </c>
      <c r="F537" s="29" t="s">
        <v>6339</v>
      </c>
      <c r="H537" s="26">
        <v>45203</v>
      </c>
      <c r="I537" s="27" t="s">
        <v>55</v>
      </c>
      <c r="J537" s="27" t="s">
        <v>72</v>
      </c>
      <c r="K537" s="26">
        <v>45202.707637962965</v>
      </c>
    </row>
    <row r="538" spans="1:11">
      <c r="A538" s="25">
        <v>903109316</v>
      </c>
      <c r="B538" s="26">
        <v>45203.366357870371</v>
      </c>
      <c r="C538" s="27" t="s">
        <v>5950</v>
      </c>
      <c r="D538" s="28" t="s">
        <v>5951</v>
      </c>
      <c r="E538" s="29" t="s">
        <v>6475</v>
      </c>
      <c r="F538" s="29" t="s">
        <v>6339</v>
      </c>
      <c r="H538" s="26">
        <v>45203</v>
      </c>
      <c r="I538" s="27" t="s">
        <v>155</v>
      </c>
      <c r="J538" s="27" t="s">
        <v>155</v>
      </c>
      <c r="K538" s="26">
        <v>45203.511277546299</v>
      </c>
    </row>
    <row r="539" spans="1:11">
      <c r="A539" s="25">
        <v>900034920</v>
      </c>
      <c r="B539" s="26">
        <v>45204.484745486108</v>
      </c>
      <c r="C539" s="27" t="s">
        <v>1090</v>
      </c>
      <c r="D539" s="28" t="s">
        <v>1091</v>
      </c>
      <c r="E539" s="29" t="s">
        <v>20</v>
      </c>
      <c r="F539" s="29" t="s">
        <v>171</v>
      </c>
      <c r="H539" s="26">
        <v>45204</v>
      </c>
      <c r="I539" s="27" t="s">
        <v>60</v>
      </c>
      <c r="J539" s="27" t="s">
        <v>99</v>
      </c>
      <c r="K539" s="26">
        <v>45205.055682638886</v>
      </c>
    </row>
    <row r="540" spans="1:11">
      <c r="A540" s="25">
        <v>903109316</v>
      </c>
      <c r="B540" s="26">
        <v>45208.377734606482</v>
      </c>
      <c r="C540" s="27" t="s">
        <v>5950</v>
      </c>
      <c r="D540" s="28" t="s">
        <v>5951</v>
      </c>
      <c r="E540" s="29" t="s">
        <v>6475</v>
      </c>
      <c r="F540" s="29" t="s">
        <v>6339</v>
      </c>
      <c r="H540" s="26" t="s">
        <v>136</v>
      </c>
      <c r="I540" s="27" t="s">
        <v>70</v>
      </c>
      <c r="J540" s="27" t="s">
        <v>55</v>
      </c>
      <c r="K540" s="26">
        <v>45208.616309837962</v>
      </c>
    </row>
    <row r="541" spans="1:11">
      <c r="A541" s="25">
        <v>909204002</v>
      </c>
      <c r="B541" s="26">
        <v>45208.514186342596</v>
      </c>
      <c r="C541" s="27" t="s">
        <v>2714</v>
      </c>
      <c r="D541" s="28" t="s">
        <v>2715</v>
      </c>
      <c r="E541" s="29" t="s">
        <v>6262</v>
      </c>
      <c r="F541" s="29" t="s">
        <v>171</v>
      </c>
      <c r="H541" s="26" t="s">
        <v>136</v>
      </c>
      <c r="I541" s="27" t="s">
        <v>55</v>
      </c>
      <c r="J541" s="27" t="s">
        <v>70</v>
      </c>
      <c r="K541" s="26">
        <v>45208.580979513892</v>
      </c>
    </row>
    <row r="542" spans="1:11">
      <c r="A542" s="25">
        <v>918829163</v>
      </c>
      <c r="B542" s="26">
        <v>45208.539322916666</v>
      </c>
      <c r="C542" s="27" t="s">
        <v>4852</v>
      </c>
      <c r="D542" s="28" t="s">
        <v>4853</v>
      </c>
      <c r="E542" s="29" t="s">
        <v>19</v>
      </c>
      <c r="F542" s="29" t="s">
        <v>171</v>
      </c>
      <c r="H542" s="26" t="s">
        <v>136</v>
      </c>
      <c r="I542" s="27" t="s">
        <v>55</v>
      </c>
      <c r="J542" s="27" t="s">
        <v>55</v>
      </c>
      <c r="K542" s="26">
        <v>45208.601546759259</v>
      </c>
    </row>
    <row r="543" spans="1:11">
      <c r="A543" s="25">
        <v>912980983</v>
      </c>
    </row>
    <row r="544" spans="1:11">
      <c r="A544" s="25">
        <v>906551690</v>
      </c>
      <c r="B544" s="26">
        <v>45041</v>
      </c>
      <c r="C544" s="27" t="s">
        <v>2163</v>
      </c>
      <c r="D544" s="28" t="s">
        <v>2164</v>
      </c>
      <c r="E544" s="29" t="s">
        <v>6439</v>
      </c>
      <c r="F544" s="29" t="s">
        <v>171</v>
      </c>
      <c r="H544" s="26" t="s">
        <v>21</v>
      </c>
      <c r="I544" s="27" t="s">
        <v>66</v>
      </c>
      <c r="J544" s="27" t="s">
        <v>99</v>
      </c>
      <c r="K544" s="26">
        <v>45217</v>
      </c>
    </row>
    <row r="545" spans="1:12">
      <c r="A545" s="25">
        <v>922399215</v>
      </c>
      <c r="B545" s="26">
        <v>45163</v>
      </c>
      <c r="C545" s="27" t="s">
        <v>5756</v>
      </c>
      <c r="D545" s="28" t="s">
        <v>5757</v>
      </c>
      <c r="E545" s="29" t="s">
        <v>67</v>
      </c>
      <c r="F545" s="29" t="s">
        <v>171</v>
      </c>
      <c r="H545" s="26" t="s">
        <v>125</v>
      </c>
      <c r="I545" s="27" t="s">
        <v>99</v>
      </c>
      <c r="J545" s="27" t="s">
        <v>131</v>
      </c>
      <c r="K545" s="26">
        <v>45219</v>
      </c>
    </row>
    <row r="546" spans="1:12">
      <c r="A546" s="25">
        <v>918848845</v>
      </c>
      <c r="B546" s="26">
        <v>45167</v>
      </c>
      <c r="C546" s="27" t="s">
        <v>5346</v>
      </c>
      <c r="D546" s="28" t="s">
        <v>5347</v>
      </c>
      <c r="E546" s="29" t="s">
        <v>138</v>
      </c>
      <c r="F546" s="29" t="s">
        <v>171</v>
      </c>
      <c r="H546" s="26" t="s">
        <v>125</v>
      </c>
      <c r="I546" s="27" t="s">
        <v>54</v>
      </c>
      <c r="J546" s="27" t="s">
        <v>54</v>
      </c>
      <c r="K546" s="26">
        <v>45258</v>
      </c>
    </row>
    <row r="547" spans="1:12">
      <c r="A547" s="25">
        <v>909169084</v>
      </c>
      <c r="B547" s="26">
        <v>45197</v>
      </c>
      <c r="C547" s="27" t="s">
        <v>2660</v>
      </c>
      <c r="D547" s="28" t="s">
        <v>2661</v>
      </c>
      <c r="E547" s="29" t="s">
        <v>151</v>
      </c>
      <c r="F547" s="29" t="s">
        <v>6339</v>
      </c>
      <c r="H547" s="26">
        <v>45201</v>
      </c>
      <c r="I547" s="27" t="s">
        <v>55</v>
      </c>
      <c r="J547" s="27" t="s">
        <v>6476</v>
      </c>
      <c r="K547" s="26">
        <v>45218</v>
      </c>
    </row>
    <row r="548" spans="1:12">
      <c r="A548" s="25">
        <v>909169084</v>
      </c>
      <c r="B548" s="26">
        <v>45197</v>
      </c>
      <c r="C548" s="27" t="s">
        <v>2660</v>
      </c>
      <c r="D548" s="28" t="s">
        <v>2661</v>
      </c>
      <c r="E548" s="29" t="s">
        <v>140</v>
      </c>
      <c r="F548" s="29" t="s">
        <v>171</v>
      </c>
      <c r="H548" s="26">
        <v>45201</v>
      </c>
      <c r="I548" s="27" t="s">
        <v>55</v>
      </c>
      <c r="J548" s="27" t="s">
        <v>6476</v>
      </c>
      <c r="K548" s="26">
        <v>45218</v>
      </c>
    </row>
    <row r="549" spans="1:12">
      <c r="A549" s="25">
        <v>909891468</v>
      </c>
      <c r="B549" s="26">
        <v>45208</v>
      </c>
      <c r="C549" s="27" t="s">
        <v>2872</v>
      </c>
      <c r="D549" s="28" t="s">
        <v>2873</v>
      </c>
      <c r="E549" s="29" t="s">
        <v>6475</v>
      </c>
      <c r="F549" s="29" t="s">
        <v>171</v>
      </c>
      <c r="G549" s="29" t="s">
        <v>6477</v>
      </c>
      <c r="H549" s="26">
        <v>45210</v>
      </c>
      <c r="I549" s="27" t="s">
        <v>6478</v>
      </c>
      <c r="J549" s="27" t="s">
        <v>66</v>
      </c>
      <c r="K549" s="26">
        <v>45210</v>
      </c>
    </row>
    <row r="550" spans="1:12">
      <c r="A550" s="25">
        <v>909918170</v>
      </c>
      <c r="B550" s="26">
        <v>45209</v>
      </c>
      <c r="C550" s="27" t="s">
        <v>2910</v>
      </c>
      <c r="D550" s="28" t="s">
        <v>2911</v>
      </c>
      <c r="E550" s="29" t="s">
        <v>239</v>
      </c>
      <c r="F550" s="29" t="s">
        <v>6339</v>
      </c>
      <c r="G550" s="29" t="s">
        <v>6479</v>
      </c>
      <c r="H550" s="26" t="s">
        <v>136</v>
      </c>
      <c r="I550" s="27" t="s">
        <v>66</v>
      </c>
      <c r="J550" s="27" t="s">
        <v>66</v>
      </c>
      <c r="K550" s="26">
        <v>45210</v>
      </c>
      <c r="L550" s="24" t="s">
        <v>6480</v>
      </c>
    </row>
    <row r="551" spans="1:12">
      <c r="A551" s="25">
        <v>903109316</v>
      </c>
      <c r="B551" s="26">
        <v>45210</v>
      </c>
      <c r="C551" s="27" t="s">
        <v>5950</v>
      </c>
      <c r="D551" s="28" t="s">
        <v>5951</v>
      </c>
      <c r="E551" s="29" t="s">
        <v>6475</v>
      </c>
      <c r="F551" s="29" t="s">
        <v>171</v>
      </c>
      <c r="G551" s="29" t="s">
        <v>6481</v>
      </c>
      <c r="H551" s="26" t="s">
        <v>148</v>
      </c>
      <c r="I551" s="27" t="s">
        <v>155</v>
      </c>
      <c r="J551" s="27" t="s">
        <v>66</v>
      </c>
      <c r="K551" s="26">
        <v>45211</v>
      </c>
      <c r="L551" s="24" t="s">
        <v>6480</v>
      </c>
    </row>
    <row r="552" spans="1:12">
      <c r="A552" s="25">
        <v>900004942</v>
      </c>
      <c r="B552" s="26">
        <v>45210</v>
      </c>
      <c r="C552" s="27" t="s">
        <v>483</v>
      </c>
      <c r="D552" s="28" t="s">
        <v>484</v>
      </c>
      <c r="E552" s="29" t="s">
        <v>146</v>
      </c>
      <c r="F552" s="29" t="s">
        <v>171</v>
      </c>
      <c r="H552" s="26">
        <v>45281</v>
      </c>
      <c r="I552" s="27" t="s">
        <v>55</v>
      </c>
      <c r="J552" s="27" t="s">
        <v>54</v>
      </c>
      <c r="K552" s="26">
        <v>45210</v>
      </c>
    </row>
    <row r="553" spans="1:12">
      <c r="A553" s="25">
        <v>900004942</v>
      </c>
      <c r="B553" s="26">
        <v>45210</v>
      </c>
      <c r="C553" s="27" t="s">
        <v>483</v>
      </c>
      <c r="D553" s="28" t="s">
        <v>484</v>
      </c>
      <c r="E553" s="29" t="s">
        <v>227</v>
      </c>
      <c r="F553" s="29" t="s">
        <v>171</v>
      </c>
      <c r="H553" s="26">
        <v>45281</v>
      </c>
      <c r="I553" s="27" t="s">
        <v>55</v>
      </c>
      <c r="J553" s="27" t="s">
        <v>54</v>
      </c>
      <c r="K553" s="26">
        <v>45216</v>
      </c>
    </row>
    <row r="554" spans="1:12">
      <c r="A554" s="25">
        <v>909918170</v>
      </c>
      <c r="B554" s="26">
        <v>45216</v>
      </c>
      <c r="C554" s="27" t="s">
        <v>2910</v>
      </c>
      <c r="D554" s="28" t="s">
        <v>2911</v>
      </c>
      <c r="E554" s="29" t="s">
        <v>239</v>
      </c>
      <c r="F554" s="29" t="s">
        <v>6339</v>
      </c>
      <c r="G554" s="29" t="s">
        <v>6482</v>
      </c>
      <c r="H554" s="26" t="s">
        <v>6483</v>
      </c>
      <c r="I554" s="27" t="s">
        <v>153</v>
      </c>
      <c r="J554" s="27" t="s">
        <v>72</v>
      </c>
      <c r="K554" s="26">
        <v>45216</v>
      </c>
    </row>
    <row r="555" spans="1:12">
      <c r="A555" s="25">
        <v>900040822</v>
      </c>
      <c r="B555" s="26">
        <v>45216</v>
      </c>
      <c r="C555" s="27" t="s">
        <v>1188</v>
      </c>
      <c r="D555" s="28" t="s">
        <v>1189</v>
      </c>
      <c r="E555" s="29" t="s">
        <v>239</v>
      </c>
      <c r="F555" s="29" t="s">
        <v>171</v>
      </c>
      <c r="G555" s="29" t="s">
        <v>6482</v>
      </c>
      <c r="H555" s="26" t="s">
        <v>21</v>
      </c>
      <c r="I555" s="27" t="s">
        <v>54</v>
      </c>
      <c r="J555" s="27" t="s">
        <v>72</v>
      </c>
      <c r="K555" s="26">
        <v>45217</v>
      </c>
      <c r="L555" s="24" t="s">
        <v>6484</v>
      </c>
    </row>
    <row r="556" spans="1:12">
      <c r="A556" s="25">
        <v>912745657</v>
      </c>
      <c r="B556" s="26">
        <v>45217</v>
      </c>
      <c r="C556" s="27" t="s">
        <v>5944</v>
      </c>
      <c r="D556" s="28" t="s">
        <v>5945</v>
      </c>
      <c r="E556" s="29" t="s">
        <v>48</v>
      </c>
      <c r="F556" s="29" t="s">
        <v>171</v>
      </c>
      <c r="H556" s="26" t="s">
        <v>6485</v>
      </c>
      <c r="I556" s="27" t="s">
        <v>155</v>
      </c>
      <c r="J556" s="27" t="s">
        <v>99</v>
      </c>
      <c r="K556" s="26">
        <v>45217</v>
      </c>
    </row>
    <row r="557" spans="1:12">
      <c r="A557" s="25">
        <v>909169084</v>
      </c>
      <c r="B557" s="26">
        <v>45218</v>
      </c>
      <c r="C557" s="27" t="s">
        <v>2660</v>
      </c>
      <c r="D557" s="28" t="s">
        <v>2661</v>
      </c>
      <c r="E557" s="29" t="s">
        <v>35</v>
      </c>
      <c r="F557" s="29" t="s">
        <v>171</v>
      </c>
      <c r="H557" s="26" t="s">
        <v>134</v>
      </c>
      <c r="I557" s="27" t="s">
        <v>14</v>
      </c>
      <c r="J557" s="27" t="s">
        <v>61</v>
      </c>
      <c r="K557" s="26">
        <v>45218</v>
      </c>
    </row>
    <row r="558" spans="1:12">
      <c r="A558" s="25">
        <v>909169084</v>
      </c>
      <c r="B558" s="26">
        <v>45218</v>
      </c>
      <c r="C558" s="27" t="s">
        <v>2660</v>
      </c>
      <c r="D558" s="28" t="s">
        <v>2661</v>
      </c>
      <c r="E558" s="29" t="s">
        <v>151</v>
      </c>
      <c r="F558" s="29" t="s">
        <v>6339</v>
      </c>
      <c r="H558" s="26" t="s">
        <v>134</v>
      </c>
      <c r="I558" s="27" t="s">
        <v>14</v>
      </c>
      <c r="J558" s="27" t="s">
        <v>61</v>
      </c>
      <c r="K558" s="26">
        <v>45218</v>
      </c>
    </row>
    <row r="559" spans="1:12">
      <c r="A559" s="25">
        <v>913444134</v>
      </c>
      <c r="B559" s="26">
        <v>45218</v>
      </c>
      <c r="C559" s="27" t="s">
        <v>3536</v>
      </c>
      <c r="D559" s="28" t="s">
        <v>3537</v>
      </c>
      <c r="E559" s="29" t="s">
        <v>146</v>
      </c>
      <c r="F559" s="29" t="s">
        <v>171</v>
      </c>
      <c r="H559" s="26">
        <v>45225</v>
      </c>
      <c r="I559" s="27" t="s">
        <v>72</v>
      </c>
      <c r="J559" s="27" t="s">
        <v>55</v>
      </c>
      <c r="K559" s="26">
        <v>45223</v>
      </c>
    </row>
    <row r="560" spans="1:12">
      <c r="A560" s="25">
        <v>913444134</v>
      </c>
      <c r="B560" s="26">
        <v>45218</v>
      </c>
      <c r="C560" s="27" t="s">
        <v>3536</v>
      </c>
      <c r="D560" s="28" t="s">
        <v>3537</v>
      </c>
      <c r="E560" s="29" t="s">
        <v>227</v>
      </c>
      <c r="F560" s="29" t="s">
        <v>171</v>
      </c>
      <c r="H560" s="26">
        <v>45226</v>
      </c>
      <c r="I560" s="27" t="s">
        <v>72</v>
      </c>
      <c r="J560" s="27" t="s">
        <v>55</v>
      </c>
      <c r="K560" s="26">
        <v>45223</v>
      </c>
    </row>
    <row r="561" spans="1:12">
      <c r="A561" s="25">
        <v>907476835</v>
      </c>
      <c r="B561" s="26">
        <v>45219</v>
      </c>
      <c r="C561" s="27" t="s">
        <v>5962</v>
      </c>
      <c r="D561" s="28" t="s">
        <v>5963</v>
      </c>
      <c r="E561" s="29" t="s">
        <v>6348</v>
      </c>
      <c r="F561" s="29" t="s">
        <v>171</v>
      </c>
      <c r="H561" s="26">
        <v>45219</v>
      </c>
      <c r="I561" s="27" t="s">
        <v>131</v>
      </c>
      <c r="J561" s="27" t="s">
        <v>72</v>
      </c>
      <c r="K561" s="26">
        <v>45222</v>
      </c>
    </row>
    <row r="562" spans="1:12">
      <c r="A562" s="25">
        <v>908333171</v>
      </c>
      <c r="B562" s="26">
        <v>45222</v>
      </c>
      <c r="C562" s="27" t="s">
        <v>2419</v>
      </c>
      <c r="D562" s="28" t="s">
        <v>2420</v>
      </c>
      <c r="E562" s="29" t="s">
        <v>20</v>
      </c>
      <c r="F562" s="29" t="s">
        <v>171</v>
      </c>
      <c r="H562" s="26" t="s">
        <v>148</v>
      </c>
      <c r="I562" s="27" t="s">
        <v>155</v>
      </c>
      <c r="J562" s="27" t="s">
        <v>55</v>
      </c>
      <c r="K562" s="26">
        <v>45222</v>
      </c>
    </row>
    <row r="563" spans="1:12">
      <c r="A563" s="25">
        <v>908778356</v>
      </c>
      <c r="B563" s="26">
        <v>45222</v>
      </c>
      <c r="C563" s="27" t="s">
        <v>2572</v>
      </c>
      <c r="D563" s="28" t="s">
        <v>2573</v>
      </c>
      <c r="E563" s="29" t="s">
        <v>6475</v>
      </c>
      <c r="F563" s="29" t="s">
        <v>171</v>
      </c>
      <c r="H563" s="26">
        <v>45223</v>
      </c>
      <c r="I563" s="27" t="s">
        <v>70</v>
      </c>
      <c r="J563" s="27" t="s">
        <v>55</v>
      </c>
      <c r="K563" s="26">
        <v>45229</v>
      </c>
    </row>
    <row r="564" spans="1:12">
      <c r="A564" s="25">
        <v>900023064</v>
      </c>
      <c r="B564" s="26">
        <v>45222</v>
      </c>
      <c r="C564" s="27" t="s">
        <v>896</v>
      </c>
      <c r="D564" s="28" t="s">
        <v>897</v>
      </c>
      <c r="E564" s="29" t="s">
        <v>239</v>
      </c>
      <c r="F564" s="29" t="s">
        <v>6339</v>
      </c>
      <c r="G564" s="29" t="s">
        <v>6486</v>
      </c>
      <c r="H564" s="26">
        <v>45223</v>
      </c>
      <c r="I564" s="27" t="s">
        <v>155</v>
      </c>
      <c r="J564" s="27" t="s">
        <v>55</v>
      </c>
      <c r="K564" s="26">
        <v>45223</v>
      </c>
    </row>
    <row r="565" spans="1:12">
      <c r="A565" s="25">
        <v>908333171</v>
      </c>
      <c r="B565" s="26">
        <v>45222</v>
      </c>
      <c r="C565" s="27" t="s">
        <v>2419</v>
      </c>
      <c r="D565" s="28" t="s">
        <v>2420</v>
      </c>
      <c r="E565" s="29" t="s">
        <v>23</v>
      </c>
      <c r="F565" s="29" t="s">
        <v>171</v>
      </c>
      <c r="H565" s="26">
        <v>45223</v>
      </c>
      <c r="I565" s="27" t="s">
        <v>55</v>
      </c>
      <c r="J565" s="27" t="s">
        <v>55</v>
      </c>
      <c r="K565" s="26">
        <v>45222</v>
      </c>
      <c r="L565" s="24" t="s">
        <v>6487</v>
      </c>
    </row>
    <row r="566" spans="1:12">
      <c r="A566" s="25">
        <v>907608902</v>
      </c>
      <c r="B566" s="26">
        <v>45223</v>
      </c>
      <c r="C566" s="27" t="s">
        <v>2351</v>
      </c>
      <c r="D566" s="28" t="s">
        <v>2352</v>
      </c>
      <c r="E566" s="29" t="s">
        <v>269</v>
      </c>
      <c r="F566" s="29" t="s">
        <v>171</v>
      </c>
      <c r="H566" s="26">
        <v>45274</v>
      </c>
      <c r="I566" s="27" t="s">
        <v>66</v>
      </c>
      <c r="J566" s="27" t="s">
        <v>55</v>
      </c>
      <c r="K566" s="26">
        <v>45244</v>
      </c>
    </row>
    <row r="567" spans="1:12">
      <c r="A567" s="25">
        <v>907608902</v>
      </c>
      <c r="B567" s="26">
        <v>45223</v>
      </c>
      <c r="C567" s="27" t="s">
        <v>2351</v>
      </c>
      <c r="D567" s="28" t="s">
        <v>2352</v>
      </c>
      <c r="E567" s="29" t="s">
        <v>271</v>
      </c>
      <c r="F567" s="29" t="s">
        <v>171</v>
      </c>
      <c r="H567" s="26">
        <v>45274</v>
      </c>
      <c r="I567" s="27" t="s">
        <v>66</v>
      </c>
      <c r="J567" s="27" t="s">
        <v>55</v>
      </c>
      <c r="K567" s="26">
        <v>45244</v>
      </c>
    </row>
    <row r="568" spans="1:12">
      <c r="A568" s="25">
        <v>907608902</v>
      </c>
      <c r="B568" s="26">
        <v>45223</v>
      </c>
      <c r="C568" s="27" t="s">
        <v>2351</v>
      </c>
      <c r="D568" s="28" t="s">
        <v>2352</v>
      </c>
      <c r="E568" s="29" t="s">
        <v>117</v>
      </c>
      <c r="F568" s="29" t="s">
        <v>171</v>
      </c>
      <c r="G568" s="29" t="s">
        <v>6488</v>
      </c>
      <c r="H568" s="26">
        <v>45275</v>
      </c>
      <c r="I568" s="27" t="s">
        <v>66</v>
      </c>
      <c r="J568" s="27" t="s">
        <v>55</v>
      </c>
      <c r="K568" s="26">
        <v>45244</v>
      </c>
      <c r="L568" s="24" t="s">
        <v>6489</v>
      </c>
    </row>
    <row r="569" spans="1:12">
      <c r="A569" s="25">
        <v>900023168</v>
      </c>
      <c r="B569" s="26">
        <v>45223</v>
      </c>
      <c r="C569" s="27" t="s">
        <v>900</v>
      </c>
      <c r="D569" s="28" t="s">
        <v>901</v>
      </c>
      <c r="E569" s="29" t="s">
        <v>28</v>
      </c>
      <c r="F569" s="29" t="s">
        <v>171</v>
      </c>
      <c r="H569" s="26">
        <v>45223</v>
      </c>
      <c r="I569" s="27" t="s">
        <v>15</v>
      </c>
      <c r="J569" s="27" t="s">
        <v>153</v>
      </c>
      <c r="K569" s="26">
        <v>45223</v>
      </c>
      <c r="L569" s="24" t="s">
        <v>6490</v>
      </c>
    </row>
    <row r="570" spans="1:12">
      <c r="A570" s="25">
        <v>900016499</v>
      </c>
      <c r="B570" s="26">
        <v>45223</v>
      </c>
      <c r="C570" s="27" t="s">
        <v>764</v>
      </c>
      <c r="D570" s="28" t="s">
        <v>765</v>
      </c>
      <c r="E570" s="29" t="s">
        <v>239</v>
      </c>
      <c r="F570" s="29" t="s">
        <v>171</v>
      </c>
      <c r="H570" s="26" t="s">
        <v>136</v>
      </c>
      <c r="I570" s="27" t="s">
        <v>55</v>
      </c>
      <c r="J570" s="27" t="s">
        <v>72</v>
      </c>
      <c r="K570" s="26">
        <v>45223</v>
      </c>
    </row>
    <row r="571" spans="1:12">
      <c r="A571" s="25">
        <v>922962700</v>
      </c>
      <c r="B571" s="26">
        <v>45224</v>
      </c>
      <c r="C571" s="27" t="s">
        <v>5797</v>
      </c>
      <c r="D571" s="28" t="s">
        <v>5798</v>
      </c>
      <c r="E571" s="29" t="s">
        <v>19</v>
      </c>
      <c r="F571" s="29" t="s">
        <v>171</v>
      </c>
      <c r="H571" s="26" t="s">
        <v>136</v>
      </c>
      <c r="I571" s="27" t="s">
        <v>5952</v>
      </c>
      <c r="J571" s="27" t="s">
        <v>5952</v>
      </c>
      <c r="K571" s="26">
        <v>45224</v>
      </c>
    </row>
    <row r="572" spans="1:12">
      <c r="A572" s="25">
        <v>909169084</v>
      </c>
      <c r="B572" s="26">
        <v>45225</v>
      </c>
      <c r="C572" s="27" t="s">
        <v>2660</v>
      </c>
      <c r="D572" s="28" t="s">
        <v>2661</v>
      </c>
      <c r="E572" s="29" t="s">
        <v>151</v>
      </c>
      <c r="F572" s="29" t="s">
        <v>6339</v>
      </c>
      <c r="G572" s="29" t="s">
        <v>6491</v>
      </c>
      <c r="H572" s="26" t="s">
        <v>134</v>
      </c>
      <c r="I572" s="27" t="s">
        <v>72</v>
      </c>
      <c r="J572" s="27" t="s">
        <v>54</v>
      </c>
      <c r="K572" s="26">
        <v>45225</v>
      </c>
    </row>
    <row r="573" spans="1:12">
      <c r="A573" s="25">
        <v>912980983</v>
      </c>
      <c r="B573" s="26">
        <v>45225</v>
      </c>
      <c r="C573" s="27" t="s">
        <v>3454</v>
      </c>
      <c r="D573" s="28" t="s">
        <v>3455</v>
      </c>
      <c r="E573" s="29" t="s">
        <v>143</v>
      </c>
      <c r="F573" s="29" t="s">
        <v>171</v>
      </c>
      <c r="H573" s="26" t="s">
        <v>136</v>
      </c>
      <c r="I573" s="27" t="s">
        <v>72</v>
      </c>
      <c r="J573" s="27" t="s">
        <v>73</v>
      </c>
      <c r="K573" s="26">
        <v>45232</v>
      </c>
    </row>
    <row r="574" spans="1:12">
      <c r="A574" s="25">
        <v>912745657</v>
      </c>
      <c r="B574" s="26">
        <v>45226</v>
      </c>
      <c r="C574" s="27" t="s">
        <v>5944</v>
      </c>
      <c r="D574" s="28" t="s">
        <v>5945</v>
      </c>
      <c r="E574" s="29" t="s">
        <v>12</v>
      </c>
      <c r="F574" s="29" t="s">
        <v>171</v>
      </c>
      <c r="H574" s="26" t="s">
        <v>148</v>
      </c>
      <c r="I574" s="27" t="s">
        <v>131</v>
      </c>
      <c r="J574" s="27" t="s">
        <v>153</v>
      </c>
      <c r="K574" s="26">
        <v>45243</v>
      </c>
    </row>
    <row r="575" spans="1:12">
      <c r="A575" s="25">
        <v>912745657</v>
      </c>
      <c r="B575" s="26">
        <v>45226</v>
      </c>
      <c r="C575" s="27" t="s">
        <v>5944</v>
      </c>
      <c r="D575" s="28" t="s">
        <v>5945</v>
      </c>
      <c r="E575" s="29" t="s">
        <v>156</v>
      </c>
      <c r="F575" s="29" t="s">
        <v>171</v>
      </c>
      <c r="H575" s="26" t="s">
        <v>148</v>
      </c>
      <c r="I575" s="27" t="s">
        <v>131</v>
      </c>
      <c r="J575" s="27" t="s">
        <v>153</v>
      </c>
      <c r="K575" s="26">
        <v>45243</v>
      </c>
    </row>
    <row r="576" spans="1:12">
      <c r="A576" s="25">
        <v>904176213</v>
      </c>
      <c r="B576" s="26">
        <v>45226</v>
      </c>
      <c r="C576" s="27" t="s">
        <v>1849</v>
      </c>
      <c r="D576" s="28" t="s">
        <v>1850</v>
      </c>
      <c r="E576" s="29" t="s">
        <v>46</v>
      </c>
      <c r="F576" s="29" t="s">
        <v>171</v>
      </c>
      <c r="H576" s="26" t="s">
        <v>136</v>
      </c>
      <c r="I576" s="27" t="s">
        <v>99</v>
      </c>
      <c r="J576" s="27" t="s">
        <v>99</v>
      </c>
      <c r="K576" s="26">
        <v>45226</v>
      </c>
    </row>
    <row r="577" spans="1:12">
      <c r="A577" s="25">
        <v>918849482</v>
      </c>
      <c r="B577" s="26">
        <v>45230</v>
      </c>
      <c r="C577" s="27" t="s">
        <v>5964</v>
      </c>
      <c r="D577" s="28" t="s">
        <v>5965</v>
      </c>
      <c r="E577" s="29" t="s">
        <v>96</v>
      </c>
      <c r="F577" s="29" t="s">
        <v>171</v>
      </c>
      <c r="H577" s="26">
        <v>45230</v>
      </c>
      <c r="I577" s="27" t="s">
        <v>61</v>
      </c>
      <c r="J577" s="27" t="s">
        <v>70</v>
      </c>
      <c r="K577" s="26">
        <v>45230</v>
      </c>
    </row>
    <row r="578" spans="1:12">
      <c r="A578" s="25">
        <v>918849482</v>
      </c>
      <c r="B578" s="26">
        <v>45230</v>
      </c>
      <c r="C578" s="27" t="s">
        <v>5964</v>
      </c>
      <c r="D578" s="28" t="s">
        <v>5965</v>
      </c>
      <c r="E578" s="29" t="s">
        <v>263</v>
      </c>
      <c r="F578" s="29" t="s">
        <v>171</v>
      </c>
      <c r="H578" s="26">
        <v>45230</v>
      </c>
      <c r="I578" s="27" t="s">
        <v>69</v>
      </c>
      <c r="J578" s="27" t="s">
        <v>70</v>
      </c>
      <c r="K578" s="26">
        <v>45230</v>
      </c>
    </row>
    <row r="579" spans="1:12">
      <c r="A579" s="25">
        <v>918833999</v>
      </c>
      <c r="B579" s="26">
        <v>45230</v>
      </c>
      <c r="C579" s="27" t="s">
        <v>4956</v>
      </c>
      <c r="D579" s="28" t="s">
        <v>4957</v>
      </c>
      <c r="E579" s="29" t="s">
        <v>133</v>
      </c>
      <c r="F579" s="29" t="s">
        <v>171</v>
      </c>
      <c r="H579" s="26">
        <v>45231</v>
      </c>
      <c r="I579" s="27" t="s">
        <v>55</v>
      </c>
      <c r="J579" s="27" t="s">
        <v>99</v>
      </c>
      <c r="K579" s="26">
        <v>45231</v>
      </c>
      <c r="L579" s="24" t="s">
        <v>6492</v>
      </c>
    </row>
    <row r="580" spans="1:12">
      <c r="A580" s="25">
        <v>900005176</v>
      </c>
      <c r="B580" s="26">
        <v>45230</v>
      </c>
      <c r="C580" s="27" t="s">
        <v>487</v>
      </c>
      <c r="D580" s="28" t="s">
        <v>488</v>
      </c>
      <c r="E580" s="29" t="s">
        <v>25</v>
      </c>
      <c r="F580" s="29" t="s">
        <v>171</v>
      </c>
      <c r="H580" s="26" t="s">
        <v>134</v>
      </c>
      <c r="I580" s="27" t="s">
        <v>72</v>
      </c>
      <c r="J580" s="27" t="s">
        <v>54</v>
      </c>
      <c r="K580" s="26">
        <v>45230</v>
      </c>
    </row>
    <row r="581" spans="1:12">
      <c r="A581" s="25">
        <v>923619525</v>
      </c>
      <c r="B581" s="26">
        <v>45232</v>
      </c>
      <c r="C581" s="27" t="s">
        <v>5893</v>
      </c>
      <c r="D581" s="28" t="s">
        <v>5894</v>
      </c>
      <c r="E581" s="29" t="s">
        <v>6475</v>
      </c>
      <c r="F581" s="29" t="s">
        <v>171</v>
      </c>
      <c r="H581" s="26" t="s">
        <v>134</v>
      </c>
      <c r="I581" s="27" t="s">
        <v>70</v>
      </c>
      <c r="J581" s="27" t="s">
        <v>61</v>
      </c>
      <c r="K581" s="26">
        <v>45232</v>
      </c>
    </row>
    <row r="582" spans="1:12">
      <c r="A582" s="25">
        <v>900009024</v>
      </c>
      <c r="B582" s="26">
        <v>45232</v>
      </c>
      <c r="C582" s="27" t="s">
        <v>589</v>
      </c>
      <c r="D582" s="28" t="s">
        <v>590</v>
      </c>
      <c r="E582" s="29" t="s">
        <v>6475</v>
      </c>
      <c r="F582" s="29" t="s">
        <v>171</v>
      </c>
      <c r="H582" s="26" t="s">
        <v>134</v>
      </c>
      <c r="I582" s="27" t="s">
        <v>70</v>
      </c>
      <c r="J582" s="27" t="s">
        <v>61</v>
      </c>
      <c r="K582" s="26">
        <v>45232</v>
      </c>
    </row>
    <row r="583" spans="1:12">
      <c r="A583" s="25">
        <v>904622178</v>
      </c>
      <c r="B583" s="26">
        <v>45232</v>
      </c>
      <c r="C583" s="27" t="s">
        <v>1925</v>
      </c>
      <c r="D583" s="28" t="s">
        <v>1926</v>
      </c>
      <c r="E583" s="29" t="s">
        <v>143</v>
      </c>
      <c r="F583" s="29" t="s">
        <v>171</v>
      </c>
      <c r="H583" s="26">
        <v>45255</v>
      </c>
      <c r="I583" s="27" t="s">
        <v>72</v>
      </c>
      <c r="J583" s="27" t="s">
        <v>131</v>
      </c>
      <c r="K583" s="26">
        <v>45247</v>
      </c>
    </row>
    <row r="584" spans="1:12">
      <c r="A584" s="25">
        <v>900003928</v>
      </c>
      <c r="B584" s="26">
        <v>45236</v>
      </c>
      <c r="C584" s="27" t="s">
        <v>457</v>
      </c>
      <c r="D584" s="28" t="s">
        <v>458</v>
      </c>
      <c r="E584" s="29" t="s">
        <v>12</v>
      </c>
      <c r="F584" s="29" t="s">
        <v>171</v>
      </c>
      <c r="H584" s="26" t="s">
        <v>21</v>
      </c>
      <c r="I584" s="27" t="s">
        <v>66</v>
      </c>
      <c r="J584" s="27" t="s">
        <v>54</v>
      </c>
      <c r="K584" s="26">
        <v>45238</v>
      </c>
    </row>
    <row r="585" spans="1:12">
      <c r="A585" s="25">
        <v>918845608</v>
      </c>
      <c r="B585" s="26">
        <v>45237</v>
      </c>
      <c r="C585" s="27" t="s">
        <v>5264</v>
      </c>
      <c r="D585" s="28" t="s">
        <v>5265</v>
      </c>
      <c r="E585" s="29" t="s">
        <v>35</v>
      </c>
      <c r="F585" s="29" t="s">
        <v>171</v>
      </c>
      <c r="H585" s="26" t="s">
        <v>134</v>
      </c>
      <c r="I585" s="27" t="s">
        <v>70</v>
      </c>
      <c r="J585" s="27" t="s">
        <v>70</v>
      </c>
      <c r="K585" s="26">
        <v>45237</v>
      </c>
    </row>
    <row r="586" spans="1:12">
      <c r="A586" s="25">
        <v>907116150</v>
      </c>
      <c r="B586" s="26">
        <v>45237</v>
      </c>
      <c r="C586" s="27" t="s">
        <v>5966</v>
      </c>
      <c r="D586" s="28" t="s">
        <v>5967</v>
      </c>
      <c r="E586" s="29" t="s">
        <v>6475</v>
      </c>
      <c r="F586" s="29" t="s">
        <v>171</v>
      </c>
      <c r="H586" s="26" t="s">
        <v>134</v>
      </c>
      <c r="I586" s="27" t="s">
        <v>153</v>
      </c>
      <c r="J586" s="27" t="s">
        <v>153</v>
      </c>
      <c r="K586" s="26">
        <v>45237</v>
      </c>
    </row>
    <row r="587" spans="1:12">
      <c r="A587" s="25">
        <v>912657517</v>
      </c>
      <c r="B587" s="26">
        <v>45238</v>
      </c>
      <c r="C587" s="27" t="s">
        <v>5968</v>
      </c>
      <c r="D587" s="28" t="s">
        <v>5969</v>
      </c>
      <c r="E587" s="29" t="s">
        <v>20</v>
      </c>
      <c r="F587" s="29" t="s">
        <v>171</v>
      </c>
      <c r="H587" s="26" t="s">
        <v>134</v>
      </c>
      <c r="I587" s="27" t="s">
        <v>155</v>
      </c>
      <c r="J587" s="27" t="s">
        <v>54</v>
      </c>
      <c r="K587" s="26">
        <v>45238</v>
      </c>
    </row>
    <row r="588" spans="1:12">
      <c r="A588" s="25">
        <v>906992832</v>
      </c>
      <c r="B588" s="26">
        <v>45243</v>
      </c>
      <c r="C588" s="27" t="s">
        <v>2181</v>
      </c>
      <c r="D588" s="28" t="s">
        <v>2182</v>
      </c>
      <c r="E588" s="29" t="s">
        <v>6475</v>
      </c>
      <c r="F588" s="29" t="s">
        <v>171</v>
      </c>
      <c r="H588" s="26" t="s">
        <v>134</v>
      </c>
      <c r="I588" s="27" t="s">
        <v>153</v>
      </c>
      <c r="J588" s="27" t="s">
        <v>99</v>
      </c>
      <c r="K588" s="26">
        <v>45243</v>
      </c>
    </row>
    <row r="589" spans="1:12">
      <c r="A589" s="25">
        <v>909355725</v>
      </c>
      <c r="B589" s="26">
        <v>45243</v>
      </c>
      <c r="C589" s="27" t="s">
        <v>5970</v>
      </c>
      <c r="D589" s="28" t="s">
        <v>5971</v>
      </c>
      <c r="E589" s="29" t="s">
        <v>20</v>
      </c>
      <c r="F589" s="29" t="s">
        <v>171</v>
      </c>
      <c r="H589" s="26" t="s">
        <v>134</v>
      </c>
      <c r="I589" s="27" t="s">
        <v>155</v>
      </c>
      <c r="J589" s="27" t="s">
        <v>70</v>
      </c>
      <c r="K589" s="26">
        <v>45243</v>
      </c>
    </row>
    <row r="590" spans="1:12">
      <c r="A590" s="25">
        <v>900038989</v>
      </c>
      <c r="B590" s="26">
        <v>45257</v>
      </c>
      <c r="C590" s="27" t="s">
        <v>1162</v>
      </c>
      <c r="D590" s="28" t="s">
        <v>1163</v>
      </c>
      <c r="E590" s="29" t="s">
        <v>151</v>
      </c>
      <c r="F590" s="29" t="s">
        <v>171</v>
      </c>
      <c r="G590" s="29">
        <v>65295</v>
      </c>
      <c r="H590" s="26" t="s">
        <v>134</v>
      </c>
      <c r="I590" s="27" t="s">
        <v>70</v>
      </c>
      <c r="J590" s="27" t="s">
        <v>99</v>
      </c>
      <c r="K590" s="26">
        <v>45257</v>
      </c>
      <c r="L590" s="24" t="s">
        <v>217</v>
      </c>
    </row>
    <row r="591" spans="1:12">
      <c r="A591" s="25">
        <v>917182843</v>
      </c>
      <c r="B591" s="26">
        <v>45257</v>
      </c>
      <c r="C591" s="27" t="s">
        <v>4256</v>
      </c>
      <c r="D591" s="28" t="s">
        <v>4257</v>
      </c>
      <c r="E591" s="29" t="s">
        <v>19</v>
      </c>
      <c r="F591" s="29" t="s">
        <v>171</v>
      </c>
      <c r="H591" s="26" t="s">
        <v>14</v>
      </c>
      <c r="I591" s="27" t="s">
        <v>14</v>
      </c>
      <c r="J591" s="27" t="s">
        <v>60</v>
      </c>
      <c r="K591" s="26">
        <v>45257</v>
      </c>
    </row>
    <row r="592" spans="1:12">
      <c r="A592" s="25">
        <v>918827824</v>
      </c>
      <c r="B592" s="26">
        <v>45257</v>
      </c>
      <c r="C592" s="27" t="s">
        <v>4818</v>
      </c>
      <c r="D592" s="28" t="s">
        <v>4819</v>
      </c>
      <c r="E592" s="29" t="s">
        <v>24</v>
      </c>
      <c r="F592" s="29" t="s">
        <v>171</v>
      </c>
      <c r="H592" s="26" t="s">
        <v>6271</v>
      </c>
      <c r="I592" s="27" t="s">
        <v>155</v>
      </c>
      <c r="J592" s="27" t="s">
        <v>66</v>
      </c>
      <c r="K592" s="26">
        <v>45257</v>
      </c>
    </row>
    <row r="593" spans="1:13">
      <c r="A593" s="25">
        <v>908338332</v>
      </c>
      <c r="B593" s="26">
        <v>45258</v>
      </c>
      <c r="C593" s="27" t="s">
        <v>2421</v>
      </c>
      <c r="D593" s="28" t="s">
        <v>2422</v>
      </c>
      <c r="E593" s="29" t="s">
        <v>20</v>
      </c>
      <c r="F593" s="29" t="s">
        <v>171</v>
      </c>
      <c r="H593" s="26">
        <v>45258</v>
      </c>
      <c r="I593" s="27" t="s">
        <v>61</v>
      </c>
      <c r="J593" s="27" t="s">
        <v>54</v>
      </c>
      <c r="K593" s="26">
        <v>45258</v>
      </c>
    </row>
    <row r="594" spans="1:13">
      <c r="A594" s="25">
        <v>900023064</v>
      </c>
      <c r="B594" s="26">
        <v>45258</v>
      </c>
      <c r="C594" s="27" t="s">
        <v>896</v>
      </c>
      <c r="D594" s="28" t="s">
        <v>897</v>
      </c>
      <c r="E594" s="29" t="s">
        <v>239</v>
      </c>
      <c r="F594" s="29" t="s">
        <v>6339</v>
      </c>
      <c r="H594" s="26" t="s">
        <v>6493</v>
      </c>
      <c r="I594" s="27" t="s">
        <v>55</v>
      </c>
      <c r="J594" s="27" t="s">
        <v>54</v>
      </c>
      <c r="K594" s="26">
        <v>45258</v>
      </c>
    </row>
    <row r="595" spans="1:13">
      <c r="A595" s="25">
        <v>918852771</v>
      </c>
      <c r="B595" s="26">
        <v>45258</v>
      </c>
      <c r="C595" s="27" t="s">
        <v>5974</v>
      </c>
      <c r="D595" s="28" t="s">
        <v>5975</v>
      </c>
      <c r="E595" s="29" t="s">
        <v>239</v>
      </c>
      <c r="F595" s="29" t="s">
        <v>171</v>
      </c>
      <c r="H595" s="26" t="s">
        <v>6493</v>
      </c>
      <c r="I595" s="27" t="s">
        <v>72</v>
      </c>
      <c r="J595" s="27" t="s">
        <v>54</v>
      </c>
      <c r="K595" s="26">
        <v>45258</v>
      </c>
    </row>
    <row r="596" spans="1:13">
      <c r="A596" s="64">
        <v>920838890</v>
      </c>
      <c r="B596" s="65">
        <v>45155</v>
      </c>
      <c r="C596" s="64" t="str">
        <f>IF(ISBLANK(A596),"Name",IF(ISNA(VLOOKUP(A596,'Master List'!A:C,2,FALSE)), "Not Found", VLOOKUP(A596,'Master List'!A:C,2,FALSE)))</f>
        <v>Sean Sliger</v>
      </c>
      <c r="D596" s="64" t="str">
        <f>IF(ISBLANK(A596), "Email",IF(ISNA(VLOOKUP(A596,'Master List'!A:C,3,FALSE)), "Not Found", VLOOKUP(A596,'Master List'!A:C,3,FALSE)))</f>
        <v>ssliger@mail.sfsu.edu</v>
      </c>
      <c r="E596" s="64" t="s">
        <v>25</v>
      </c>
      <c r="F596" s="29" t="str">
        <f>IF(OR(A596="",E596="","",A596="?",E596="?"),"duplicate?",IF(COUNTIFS($A:A,A596,E:E,E596)&gt;1,"yes","no"))</f>
        <v>yes</v>
      </c>
      <c r="G596" s="64"/>
      <c r="H596" s="65" t="s">
        <v>124</v>
      </c>
      <c r="I596" s="64" t="s">
        <v>69</v>
      </c>
      <c r="J596" s="64" t="s">
        <v>99</v>
      </c>
      <c r="K596" s="48">
        <f t="shared" ref="K596:K659" ca="1" si="0">IF(J596="","Date",IF(J596&lt;&gt;"",IF(K596="Date",NOW(),K596),""))</f>
        <v>45274.560426388889</v>
      </c>
      <c r="L596" s="64"/>
      <c r="M596" s="24"/>
    </row>
    <row r="597" spans="1:13" hidden="1">
      <c r="A597" s="64">
        <v>900028706</v>
      </c>
      <c r="B597" s="65">
        <v>45155</v>
      </c>
      <c r="C597" s="64" t="str">
        <f>IF(ISBLANK(A597),"Name",IF(ISNA(VLOOKUP(A597,'Master List'!A:C,2,FALSE)), "Not Found", VLOOKUP(A597,'Master List'!A:C,2,FALSE)))</f>
        <v>Diane Harris</v>
      </c>
      <c r="D597" s="64" t="str">
        <f>IF(ISBLANK(A597), "Email",IF(ISNA(VLOOKUP(A597,'Master List'!A:C,3,FALSE)), "Not Found", VLOOKUP(A597,'Master List'!A:C,3,FALSE)))</f>
        <v>dharris@sfsu.edu</v>
      </c>
      <c r="E597" s="64" t="s">
        <v>120</v>
      </c>
      <c r="F597" s="29" t="str">
        <f>IF(OR(A597="",E597="","",A597="?",E597="?"),"duplicate?",IF(COUNTIFS($A:A,A597,E:E,E597)&gt;1,"yes","no"))</f>
        <v>no</v>
      </c>
      <c r="G597" s="64"/>
      <c r="H597" s="65" t="s">
        <v>21</v>
      </c>
      <c r="I597" s="64" t="s">
        <v>69</v>
      </c>
      <c r="J597" s="64"/>
      <c r="K597" s="48" t="str">
        <f t="shared" ca="1" si="0"/>
        <v>Date</v>
      </c>
      <c r="L597" s="64"/>
      <c r="M597" s="24"/>
    </row>
    <row r="598" spans="1:13" hidden="1">
      <c r="A598" s="64">
        <v>900018215</v>
      </c>
      <c r="B598" s="65">
        <v>45155</v>
      </c>
      <c r="C598" s="64" t="str">
        <f>IF(ISBLANK(A598),"Name",IF(ISNA(VLOOKUP(A598,'Master List'!A:C,2,FALSE)), "Not Found", VLOOKUP(A598,'Master List'!A:C,2,FALSE)))</f>
        <v>Vivian Chavez</v>
      </c>
      <c r="D598" s="64" t="str">
        <f>IF(ISBLANK(A598), "Email",IF(ISNA(VLOOKUP(A598,'Master List'!A:C,3,FALSE)), "Not Found", VLOOKUP(A598,'Master List'!A:C,3,FALSE)))</f>
        <v>vchavez@sfsu.edu</v>
      </c>
      <c r="E598" s="64" t="s">
        <v>120</v>
      </c>
      <c r="F598" s="29" t="str">
        <f>IF(OR(A598="",E598="","",A598="?",E598="?"),"duplicate?",IF(COUNTIFS($A:A,A598,E:E,E598)&gt;1,"yes","no"))</f>
        <v>no</v>
      </c>
      <c r="G598" s="64"/>
      <c r="H598" s="65" t="s">
        <v>124</v>
      </c>
      <c r="I598" s="64" t="s">
        <v>69</v>
      </c>
      <c r="J598" s="64"/>
      <c r="K598" s="48" t="str">
        <f t="shared" ca="1" si="0"/>
        <v>Date</v>
      </c>
      <c r="L598" s="64"/>
      <c r="M598" s="24"/>
    </row>
    <row r="599" spans="1:13" hidden="1">
      <c r="A599" s="64">
        <v>918853577</v>
      </c>
      <c r="B599" s="65">
        <v>45156</v>
      </c>
      <c r="C599" s="64" t="str">
        <f>IF(ISBLANK(A599),"Name",IF(ISNA(VLOOKUP(A599,'Master List'!A:C,2,FALSE)), "Not Found", VLOOKUP(A599,'Master List'!A:C,2,FALSE)))</f>
        <v>Chrissy Lau</v>
      </c>
      <c r="D599" s="64" t="str">
        <f>IF(ISBLANK(A599), "Email",IF(ISNA(VLOOKUP(A599,'Master List'!A:C,3,FALSE)), "Not Found", VLOOKUP(A599,'Master List'!A:C,3,FALSE)))</f>
        <v>chrissylau@sfsu.edu</v>
      </c>
      <c r="E599" s="64" t="s">
        <v>120</v>
      </c>
      <c r="F599" s="29" t="str">
        <f>IF(OR(A599="",E599="","",A599="?",E599="?"),"duplicate?",IF(COUNTIFS($A:A,A599,E:E,E599)&gt;1,"yes","no"))</f>
        <v>yes</v>
      </c>
      <c r="G599" s="64"/>
      <c r="H599" s="65">
        <v>45155</v>
      </c>
      <c r="I599" s="64" t="s">
        <v>66</v>
      </c>
      <c r="J599" s="64"/>
      <c r="K599" s="48" t="str">
        <f t="shared" ca="1" si="0"/>
        <v>Date</v>
      </c>
      <c r="L599" s="64"/>
      <c r="M599" s="24"/>
    </row>
    <row r="600" spans="1:13" hidden="1">
      <c r="A600" s="64">
        <v>918853577</v>
      </c>
      <c r="B600" s="65">
        <v>45156</v>
      </c>
      <c r="C600" s="64" t="str">
        <f>IF(ISBLANK(A600),"Name",IF(ISNA(VLOOKUP(A600,'Master List'!A:C,2,FALSE)), "Not Found", VLOOKUP(A600,'Master List'!A:C,2,FALSE)))</f>
        <v>Chrissy Lau</v>
      </c>
      <c r="D600" s="64" t="str">
        <f>IF(ISBLANK(A600), "Email",IF(ISNA(VLOOKUP(A600,'Master List'!A:C,3,FALSE)), "Not Found", VLOOKUP(A600,'Master List'!A:C,3,FALSE)))</f>
        <v>chrissylau@sfsu.edu</v>
      </c>
      <c r="E600" s="64" t="s">
        <v>174</v>
      </c>
      <c r="F600" s="29" t="str">
        <f>IF(OR(A600="",E600="","",A600="?",E600="?"),"duplicate?",IF(COUNTIFS($A:A,A600,E:E,E600)&gt;1,"yes","no"))</f>
        <v>no</v>
      </c>
      <c r="G600" s="64"/>
      <c r="H600" s="65">
        <v>45155</v>
      </c>
      <c r="I600" s="64" t="s">
        <v>66</v>
      </c>
      <c r="J600" s="64"/>
      <c r="K600" s="48" t="str">
        <f t="shared" ca="1" si="0"/>
        <v>Date</v>
      </c>
      <c r="L600" s="64"/>
      <c r="M600" s="24"/>
    </row>
    <row r="601" spans="1:13" hidden="1">
      <c r="A601" s="64">
        <v>905185260</v>
      </c>
      <c r="B601" s="65">
        <v>45156</v>
      </c>
      <c r="C601" s="64" t="str">
        <f>IF(ISBLANK(A601),"Name",IF(ISNA(VLOOKUP(A601,'Master List'!A:C,2,FALSE)), "Not Found", VLOOKUP(A601,'Master List'!A:C,2,FALSE)))</f>
        <v>Therese Doan</v>
      </c>
      <c r="D601" s="64" t="str">
        <f>IF(ISBLANK(A601), "Email",IF(ISNA(VLOOKUP(A601,'Master List'!A:C,3,FALSE)), "Not Found", VLOOKUP(A601,'Master List'!A:C,3,FALSE)))</f>
        <v>jungdoan@sfsu.edu</v>
      </c>
      <c r="E601" s="64" t="s">
        <v>28</v>
      </c>
      <c r="F601" s="29" t="str">
        <f>IF(OR(A601="",E601="","",A601="?",E601="?"),"duplicate?",IF(COUNTIFS($A:A,A601,E:E,E601)&gt;1,"yes","no"))</f>
        <v>yes</v>
      </c>
      <c r="G601" s="64"/>
      <c r="H601" s="65"/>
      <c r="I601" s="64"/>
      <c r="J601" s="64"/>
      <c r="K601" s="48" t="str">
        <f t="shared" ca="1" si="0"/>
        <v>Date</v>
      </c>
      <c r="L601" s="64" t="s">
        <v>6494</v>
      </c>
      <c r="M601" s="24"/>
    </row>
    <row r="602" spans="1:13" hidden="1">
      <c r="A602" s="64">
        <v>900023064</v>
      </c>
      <c r="B602" s="65">
        <v>45156</v>
      </c>
      <c r="C602" s="64" t="str">
        <f>IF(ISBLANK(A602),"Name",IF(ISNA(VLOOKUP(A602,'Master List'!A:C,2,FALSE)), "Not Found", VLOOKUP(A602,'Master List'!A:C,2,FALSE)))</f>
        <v>Karen Coopman</v>
      </c>
      <c r="D602" s="64" t="str">
        <f>IF(ISBLANK(A602), "Email",IF(ISNA(VLOOKUP(A602,'Master List'!A:C,3,FALSE)), "Not Found", VLOOKUP(A602,'Master List'!A:C,3,FALSE)))</f>
        <v>coopman@sfsu.edu</v>
      </c>
      <c r="E602" s="64" t="s">
        <v>31</v>
      </c>
      <c r="F602" s="29" t="str">
        <f>IF(OR(A602="",E602="","",A602="?",E602="?"),"duplicate?",IF(COUNTIFS($A:A,A602,E:E,E602)&gt;1,"yes","no"))</f>
        <v>no</v>
      </c>
      <c r="G602" s="64"/>
      <c r="H602" s="65">
        <v>45156</v>
      </c>
      <c r="I602" s="64" t="s">
        <v>66</v>
      </c>
      <c r="J602" s="64"/>
      <c r="K602" s="48" t="str">
        <f t="shared" ca="1" si="0"/>
        <v>Date</v>
      </c>
      <c r="L602" s="64" t="s">
        <v>122</v>
      </c>
      <c r="M602" s="24"/>
    </row>
    <row r="603" spans="1:13" hidden="1">
      <c r="A603" s="64">
        <v>900023064</v>
      </c>
      <c r="B603" s="65">
        <v>45156</v>
      </c>
      <c r="C603" s="64" t="str">
        <f>IF(ISBLANK(A603),"Name",IF(ISNA(VLOOKUP(A603,'Master List'!A:C,2,FALSE)), "Not Found", VLOOKUP(A603,'Master List'!A:C,2,FALSE)))</f>
        <v>Karen Coopman</v>
      </c>
      <c r="D603" s="64" t="str">
        <f>IF(ISBLANK(A603), "Email",IF(ISNA(VLOOKUP(A603,'Master List'!A:C,3,FALSE)), "Not Found", VLOOKUP(A603,'Master List'!A:C,3,FALSE)))</f>
        <v>coopman@sfsu.edu</v>
      </c>
      <c r="E603" s="64" t="s">
        <v>123</v>
      </c>
      <c r="F603" s="29" t="str">
        <f>IF(OR(A603="",E603="","",A603="?",E603="?"),"duplicate?",IF(COUNTIFS($A:A,A603,E:E,E603)&gt;1,"yes","no"))</f>
        <v>no</v>
      </c>
      <c r="G603" s="64"/>
      <c r="H603" s="65">
        <v>45156</v>
      </c>
      <c r="I603" s="64" t="s">
        <v>66</v>
      </c>
      <c r="J603" s="64"/>
      <c r="K603" s="48" t="str">
        <f t="shared" ca="1" si="0"/>
        <v>Date</v>
      </c>
      <c r="L603" s="64"/>
      <c r="M603" s="24"/>
    </row>
    <row r="604" spans="1:13" hidden="1">
      <c r="A604" s="64">
        <v>915848393</v>
      </c>
      <c r="B604" s="65">
        <v>45156</v>
      </c>
      <c r="C604" s="64" t="str">
        <f>IF(ISBLANK(A604),"Name",IF(ISNA(VLOOKUP(A604,'Master List'!A:C,2,FALSE)), "Not Found", VLOOKUP(A604,'Master List'!A:C,2,FALSE)))</f>
        <v>Jason Sison</v>
      </c>
      <c r="D604" s="64" t="str">
        <f>IF(ISBLANK(A604), "Email",IF(ISNA(VLOOKUP(A604,'Master List'!A:C,3,FALSE)), "Not Found", VLOOKUP(A604,'Master List'!A:C,3,FALSE)))</f>
        <v>jvictoriano@sfsu.edu</v>
      </c>
      <c r="E604" s="64" t="s">
        <v>25</v>
      </c>
      <c r="F604" s="29" t="str">
        <f>IF(OR(A604="",E604="","",A604="?",E604="?"),"duplicate?",IF(COUNTIFS($A:A,A604,E:E,E604)&gt;1,"yes","no"))</f>
        <v>no</v>
      </c>
      <c r="G604" s="64"/>
      <c r="H604" s="65" t="s">
        <v>124</v>
      </c>
      <c r="I604" s="64" t="s">
        <v>71</v>
      </c>
      <c r="J604" s="64"/>
      <c r="K604" s="48" t="str">
        <f t="shared" ca="1" si="0"/>
        <v>Date</v>
      </c>
      <c r="L604" s="64"/>
      <c r="M604" s="24"/>
    </row>
    <row r="605" spans="1:13" hidden="1">
      <c r="A605" s="64">
        <v>917189525</v>
      </c>
      <c r="B605" s="65">
        <v>45156</v>
      </c>
      <c r="C605" s="64" t="str">
        <f>IF(ISBLANK(A605),"Name",IF(ISNA(VLOOKUP(A605,'Master List'!A:C,2,FALSE)), "Not Found", VLOOKUP(A605,'Master List'!A:C,2,FALSE)))</f>
        <v>Jung Eun Kim</v>
      </c>
      <c r="D605" s="64" t="str">
        <f>IF(ISBLANK(A605), "Email",IF(ISNA(VLOOKUP(A605,'Master List'!A:C,3,FALSE)), "Not Found", VLOOKUP(A605,'Master List'!A:C,3,FALSE)))</f>
        <v>jekim@sfsu.edu</v>
      </c>
      <c r="E605" s="64" t="s">
        <v>28</v>
      </c>
      <c r="F605" s="29" t="str">
        <f>IF(OR(A605="",E605="","",A605="?",E605="?"),"duplicate?",IF(COUNTIFS($A:A,A605,E:E,E605)&gt;1,"yes","no"))</f>
        <v>no</v>
      </c>
      <c r="G605" s="64"/>
      <c r="H605" s="65"/>
      <c r="I605" s="64" t="s">
        <v>99</v>
      </c>
      <c r="J605" s="64"/>
      <c r="K605" s="48" t="str">
        <f t="shared" ca="1" si="0"/>
        <v>Date</v>
      </c>
      <c r="L605" s="64"/>
      <c r="M605" s="24"/>
    </row>
    <row r="606" spans="1:13" hidden="1">
      <c r="A606" s="64">
        <v>918853499</v>
      </c>
      <c r="B606" s="65">
        <v>45156</v>
      </c>
      <c r="C606" s="64" t="str">
        <f>IF(ISBLANK(A606),"Name",IF(ISNA(VLOOKUP(A606,'Master List'!A:C,2,FALSE)), "Not Found", VLOOKUP(A606,'Master List'!A:C,2,FALSE)))</f>
        <v>John Thompson</v>
      </c>
      <c r="D606" s="64" t="str">
        <f>IF(ISBLANK(A606), "Email",IF(ISNA(VLOOKUP(A606,'Master List'!A:C,3,FALSE)), "Not Found", VLOOKUP(A606,'Master List'!A:C,3,FALSE)))</f>
        <v>jthompson20@sfsu.edu</v>
      </c>
      <c r="E606" s="64" t="s">
        <v>46</v>
      </c>
      <c r="F606" s="29" t="str">
        <f>IF(OR(A606="",E606="","",A606="?",E606="?"),"duplicate?",IF(COUNTIFS($A:A,A606,E:E,E606)&gt;1,"yes","no"))</f>
        <v>yes</v>
      </c>
      <c r="G606" s="64"/>
      <c r="H606" s="65" t="s">
        <v>124</v>
      </c>
      <c r="I606" s="64" t="s">
        <v>99</v>
      </c>
      <c r="J606" s="64"/>
      <c r="K606" s="48" t="str">
        <f t="shared" ca="1" si="0"/>
        <v>Date</v>
      </c>
      <c r="L606" s="64"/>
      <c r="M606" s="24"/>
    </row>
    <row r="607" spans="1:13" hidden="1">
      <c r="A607" s="64">
        <v>904159157</v>
      </c>
      <c r="B607" s="65">
        <v>45156</v>
      </c>
      <c r="C607" s="64" t="str">
        <f>IF(ISBLANK(A607),"Name",IF(ISNA(VLOOKUP(A607,'Master List'!A:C,2,FALSE)), "Not Found", VLOOKUP(A607,'Master List'!A:C,2,FALSE)))</f>
        <v>Tina Bartolome</v>
      </c>
      <c r="D607" s="64" t="str">
        <f>IF(ISBLANK(A607), "Email",IF(ISNA(VLOOKUP(A607,'Master List'!A:C,3,FALSE)), "Not Found", VLOOKUP(A607,'Master List'!A:C,3,FALSE)))</f>
        <v>kbartolome@sfsu.edu</v>
      </c>
      <c r="E607" s="64" t="s">
        <v>46</v>
      </c>
      <c r="F607" s="29" t="str">
        <f>IF(OR(A607="",E607="","",A607="?",E607="?"),"duplicate?",IF(COUNTIFS($A:A,A607,E:E,E607)&gt;1,"yes","no"))</f>
        <v>no</v>
      </c>
      <c r="G607" s="64"/>
      <c r="H607" s="65" t="s">
        <v>125</v>
      </c>
      <c r="I607" s="64" t="s">
        <v>99</v>
      </c>
      <c r="J607" s="64"/>
      <c r="K607" s="48" t="str">
        <f t="shared" ca="1" si="0"/>
        <v>Date</v>
      </c>
      <c r="L607" s="64"/>
      <c r="M607" s="24"/>
    </row>
    <row r="608" spans="1:13" hidden="1">
      <c r="A608" s="64">
        <v>904159157</v>
      </c>
      <c r="B608" s="65">
        <v>45156</v>
      </c>
      <c r="C608" s="64" t="str">
        <f>IF(ISBLANK(A608),"Name",IF(ISNA(VLOOKUP(A608,'Master List'!A:C,2,FALSE)), "Not Found", VLOOKUP(A608,'Master List'!A:C,2,FALSE)))</f>
        <v>Tina Bartolome</v>
      </c>
      <c r="D608" s="64" t="str">
        <f>IF(ISBLANK(A608), "Email",IF(ISNA(VLOOKUP(A608,'Master List'!A:C,3,FALSE)), "Not Found", VLOOKUP(A608,'Master List'!A:C,3,FALSE)))</f>
        <v>kbartolome@sfsu.edu</v>
      </c>
      <c r="E608" s="64" t="s">
        <v>45</v>
      </c>
      <c r="F608" s="29" t="str">
        <f>IF(OR(A608="",E608="","",A608="?",E608="?"),"duplicate?",IF(COUNTIFS($A:A,A608,E:E,E608)&gt;1,"yes","no"))</f>
        <v>no</v>
      </c>
      <c r="G608" s="64"/>
      <c r="H608" s="65" t="s">
        <v>125</v>
      </c>
      <c r="I608" s="64" t="s">
        <v>99</v>
      </c>
      <c r="J608" s="64"/>
      <c r="K608" s="48" t="str">
        <f t="shared" ca="1" si="0"/>
        <v>Date</v>
      </c>
      <c r="L608" s="64"/>
      <c r="M608" s="24"/>
    </row>
    <row r="609" spans="1:13" hidden="1">
      <c r="A609" s="64">
        <v>918852368</v>
      </c>
      <c r="B609" s="65">
        <v>45156</v>
      </c>
      <c r="C609" s="64" t="str">
        <f>IF(ISBLANK(A609),"Name",IF(ISNA(VLOOKUP(A609,'Master List'!A:C,2,FALSE)), "Not Found", VLOOKUP(A609,'Master List'!A:C,2,FALSE)))</f>
        <v>Ruvani Fonseka</v>
      </c>
      <c r="D609" s="64" t="str">
        <f>IF(ISBLANK(A609), "Email",IF(ISNA(VLOOKUP(A609,'Master List'!A:C,3,FALSE)), "Not Found", VLOOKUP(A609,'Master List'!A:C,3,FALSE)))</f>
        <v>rfonseka@sfsu.edu</v>
      </c>
      <c r="E609" s="64" t="s">
        <v>28</v>
      </c>
      <c r="F609" s="29" t="str">
        <f>IF(OR(A609="",E609="","",A609="?",E609="?"),"duplicate?",IF(COUNTIFS($A:A,A609,E:E,E609)&gt;1,"yes","no"))</f>
        <v>no</v>
      </c>
      <c r="G609" s="64"/>
      <c r="H609" s="65" t="s">
        <v>125</v>
      </c>
      <c r="I609" s="64" t="s">
        <v>99</v>
      </c>
      <c r="J609" s="64"/>
      <c r="K609" s="48" t="str">
        <f t="shared" ca="1" si="0"/>
        <v>Date</v>
      </c>
      <c r="L609" s="64"/>
      <c r="M609" s="24"/>
    </row>
    <row r="610" spans="1:13">
      <c r="A610" s="64">
        <v>911582664</v>
      </c>
      <c r="B610" s="65">
        <v>45159</v>
      </c>
      <c r="C610" s="64" t="str">
        <f>IF(ISBLANK(A610),"Name",IF(ISNA(VLOOKUP(A610,'Master List'!A:C,2,FALSE)), "Not Found", VLOOKUP(A610,'Master List'!A:C,2,FALSE)))</f>
        <v>Omar Ali</v>
      </c>
      <c r="D610" s="64" t="str">
        <f>IF(ISBLANK(A610), "Email",IF(ISNA(VLOOKUP(A610,'Master List'!A:C,3,FALSE)), "Not Found", VLOOKUP(A610,'Master List'!A:C,3,FALSE)))</f>
        <v>markali@sfsu.edu</v>
      </c>
      <c r="E610" s="64" t="s">
        <v>19</v>
      </c>
      <c r="F610" s="29" t="str">
        <f>IF(OR(A610="",E610="","",A610="?",E610="?"),"duplicate?",IF(COUNTIFS($A:A,A610,E:E,E610)&gt;1,"yes","no"))</f>
        <v>yes</v>
      </c>
      <c r="G610" s="64"/>
      <c r="H610" s="65" t="s">
        <v>125</v>
      </c>
      <c r="I610" s="64" t="s">
        <v>70</v>
      </c>
      <c r="J610" s="64" t="s">
        <v>72</v>
      </c>
      <c r="K610" s="48">
        <f t="shared" ca="1" si="0"/>
        <v>45274.560426388889</v>
      </c>
      <c r="L610" s="64"/>
      <c r="M610" s="24"/>
    </row>
    <row r="611" spans="1:13">
      <c r="A611" s="64">
        <v>900043409</v>
      </c>
      <c r="B611" s="65">
        <v>45159</v>
      </c>
      <c r="C611" s="64" t="str">
        <f>IF(ISBLANK(A611),"Name",IF(ISNA(VLOOKUP(A611,'Master List'!A:C,2,FALSE)), "Not Found", VLOOKUP(A611,'Master List'!A:C,2,FALSE)))</f>
        <v>Lucia Volk</v>
      </c>
      <c r="D611" s="64" t="str">
        <f>IF(ISBLANK(A611), "Email",IF(ISNA(VLOOKUP(A611,'Master List'!A:C,3,FALSE)), "Not Found", VLOOKUP(A611,'Master List'!A:C,3,FALSE)))</f>
        <v>lvolk@sfsu.edu</v>
      </c>
      <c r="E611" s="64" t="s">
        <v>151</v>
      </c>
      <c r="F611" s="29" t="str">
        <f>IF(OR(A611="",E611="","",A611="?",E611="?"),"duplicate?",IF(COUNTIFS($A:A,A611,E:E,E611)&gt;1,"yes","no"))</f>
        <v>yes</v>
      </c>
      <c r="G611" s="64"/>
      <c r="H611" s="65" t="s">
        <v>124</v>
      </c>
      <c r="I611" s="64" t="s">
        <v>69</v>
      </c>
      <c r="J611" s="64" t="s">
        <v>153</v>
      </c>
      <c r="K611" s="48">
        <f t="shared" ca="1" si="0"/>
        <v>45274.560426388889</v>
      </c>
      <c r="L611" s="64"/>
      <c r="M611" s="24"/>
    </row>
    <row r="612" spans="1:13" hidden="1">
      <c r="A612" s="64">
        <v>900043409</v>
      </c>
      <c r="B612" s="65">
        <v>45159</v>
      </c>
      <c r="C612" s="64" t="str">
        <f>IF(ISBLANK(A612),"Name",IF(ISNA(VLOOKUP(A612,'Master List'!A:C,2,FALSE)), "Not Found", VLOOKUP(A612,'Master List'!A:C,2,FALSE)))</f>
        <v>Lucia Volk</v>
      </c>
      <c r="D612" s="64" t="str">
        <f>IF(ISBLANK(A612), "Email",IF(ISNA(VLOOKUP(A612,'Master List'!A:C,3,FALSE)), "Not Found", VLOOKUP(A612,'Master List'!A:C,3,FALSE)))</f>
        <v>lvolk@sfsu.edu</v>
      </c>
      <c r="E612" s="64" t="s">
        <v>25</v>
      </c>
      <c r="F612" s="29" t="str">
        <f>IF(OR(A612="",E612="","",A612="?",E612="?"),"duplicate?",IF(COUNTIFS($A:A,A612,E:E,E612)&gt;1,"yes","no"))</f>
        <v>yes</v>
      </c>
      <c r="G612" s="64"/>
      <c r="H612" s="65" t="s">
        <v>124</v>
      </c>
      <c r="I612" s="64" t="s">
        <v>69</v>
      </c>
      <c r="J612" s="64"/>
      <c r="K612" s="48" t="str">
        <f t="shared" ca="1" si="0"/>
        <v>Date</v>
      </c>
      <c r="L612" s="64"/>
      <c r="M612" s="24"/>
    </row>
    <row r="613" spans="1:13" hidden="1">
      <c r="A613" s="64">
        <v>900064846</v>
      </c>
      <c r="B613" s="65">
        <v>45159</v>
      </c>
      <c r="C613" s="64" t="str">
        <f>IF(ISBLANK(A613),"Name",IF(ISNA(VLOOKUP(A613,'Master List'!A:C,2,FALSE)), "Not Found", VLOOKUP(A613,'Master List'!A:C,2,FALSE)))</f>
        <v>David Gill</v>
      </c>
      <c r="D613" s="64" t="str">
        <f>IF(ISBLANK(A613), "Email",IF(ISNA(VLOOKUP(A613,'Master List'!A:C,3,FALSE)), "Not Found", VLOOKUP(A613,'Master List'!A:C,3,FALSE)))</f>
        <v>dcgill@sfsu.edu</v>
      </c>
      <c r="E613" s="64" t="s">
        <v>25</v>
      </c>
      <c r="F613" s="29" t="str">
        <f>IF(OR(A613="",E613="","",A613="?",E613="?"),"duplicate?",IF(COUNTIFS($A:A,A613,E:E,E613)&gt;1,"yes","no"))</f>
        <v>yes</v>
      </c>
      <c r="G613" s="64"/>
      <c r="H613" s="65" t="s">
        <v>126</v>
      </c>
      <c r="I613" s="64" t="s">
        <v>70</v>
      </c>
      <c r="J613" s="64"/>
      <c r="K613" s="48" t="str">
        <f t="shared" ca="1" si="0"/>
        <v>Date</v>
      </c>
      <c r="L613" s="64"/>
      <c r="M613" s="24"/>
    </row>
    <row r="614" spans="1:13" hidden="1">
      <c r="A614" s="64">
        <v>900044488</v>
      </c>
      <c r="B614" s="65">
        <v>45159</v>
      </c>
      <c r="C614" s="64" t="str">
        <f>IF(ISBLANK(A614),"Name",IF(ISNA(VLOOKUP(A614,'Master List'!A:C,2,FALSE)), "Not Found", VLOOKUP(A614,'Master List'!A:C,2,FALSE)))</f>
        <v>Christy Lao</v>
      </c>
      <c r="D614" s="64" t="str">
        <f>IF(ISBLANK(A614), "Email",IF(ISNA(VLOOKUP(A614,'Master List'!A:C,3,FALSE)), "Not Found", VLOOKUP(A614,'Master List'!A:C,3,FALSE)))</f>
        <v>clao@sfsu.edu</v>
      </c>
      <c r="E614" s="64" t="s">
        <v>19</v>
      </c>
      <c r="F614" s="29" t="str">
        <f>IF(OR(A614="",E614="","",A614="?",E614="?"),"duplicate?",IF(COUNTIFS($A:A,A614,E:E,E614)&gt;1,"yes","no"))</f>
        <v>no</v>
      </c>
      <c r="G614" s="64"/>
      <c r="H614" s="65" t="s">
        <v>127</v>
      </c>
      <c r="I614" s="64" t="s">
        <v>70</v>
      </c>
      <c r="J614" s="64"/>
      <c r="K614" s="48" t="str">
        <f t="shared" ca="1" si="0"/>
        <v>Date</v>
      </c>
      <c r="L614" s="64"/>
      <c r="M614" s="24"/>
    </row>
    <row r="615" spans="1:13">
      <c r="A615" s="64">
        <v>918130127</v>
      </c>
      <c r="B615" s="65">
        <v>45159</v>
      </c>
      <c r="C615" s="64" t="str">
        <f>IF(ISBLANK(A615),"Name",IF(ISNA(VLOOKUP(A615,'Master List'!A:C,2,FALSE)), "Not Found", VLOOKUP(A615,'Master List'!A:C,2,FALSE)))</f>
        <v>Noelle Anderson</v>
      </c>
      <c r="D615" s="64" t="str">
        <f>IF(ISBLANK(A615), "Email",IF(ISNA(VLOOKUP(A615,'Master List'!A:C,3,FALSE)), "Not Found", VLOOKUP(A615,'Master List'!A:C,3,FALSE)))</f>
        <v>noelleand@sfsu.edu</v>
      </c>
      <c r="E615" s="64" t="s">
        <v>28</v>
      </c>
      <c r="F615" s="29" t="str">
        <f>IF(OR(A615="",E615="","",A615="?",E615="?"),"duplicate?",IF(COUNTIFS($A:A,A615,E:E,E615)&gt;1,"yes","no"))</f>
        <v>no</v>
      </c>
      <c r="G615" s="64"/>
      <c r="H615" s="65" t="s">
        <v>6495</v>
      </c>
      <c r="I615" s="64" t="s">
        <v>6496</v>
      </c>
      <c r="J615" s="64" t="s">
        <v>73</v>
      </c>
      <c r="K615" s="48">
        <f t="shared" ca="1" si="0"/>
        <v>45274.560426388889</v>
      </c>
      <c r="L615" s="64"/>
      <c r="M615" s="24"/>
    </row>
    <row r="616" spans="1:13" hidden="1">
      <c r="A616" s="64">
        <v>909009756</v>
      </c>
      <c r="B616" s="65">
        <v>45160</v>
      </c>
      <c r="C616" s="64" t="str">
        <f>IF(ISBLANK(A616),"Name",IF(ISNA(VLOOKUP(A616,'Master List'!A:C,2,FALSE)), "Not Found", VLOOKUP(A616,'Master List'!A:C,2,FALSE)))</f>
        <v>Sean Connelly</v>
      </c>
      <c r="D616" s="64" t="str">
        <f>IF(ISBLANK(A616), "Email",IF(ISNA(VLOOKUP(A616,'Master List'!A:C,3,FALSE)), "Not Found", VLOOKUP(A616,'Master List'!A:C,3,FALSE)))</f>
        <v>connelly@sfsu.edu</v>
      </c>
      <c r="E616" s="64" t="s">
        <v>35</v>
      </c>
      <c r="F616" s="29" t="str">
        <f>IF(OR(A616="",E616="","",A616="?",E616="?"),"duplicate?",IF(COUNTIFS($A:A,A616,E:E,E616)&gt;1,"yes","no"))</f>
        <v>yes</v>
      </c>
      <c r="G616" s="64"/>
      <c r="H616" s="65" t="s">
        <v>127</v>
      </c>
      <c r="I616" s="64" t="s">
        <v>77</v>
      </c>
      <c r="J616" s="64"/>
      <c r="K616" s="48" t="str">
        <f t="shared" ca="1" si="0"/>
        <v>Date</v>
      </c>
      <c r="L616" s="64"/>
      <c r="M616" s="24"/>
    </row>
    <row r="617" spans="1:13" hidden="1">
      <c r="A617" s="64">
        <v>918847818</v>
      </c>
      <c r="B617" s="65">
        <v>45160</v>
      </c>
      <c r="C617" s="64" t="str">
        <f>IF(ISBLANK(A617),"Name",IF(ISNA(VLOOKUP(A617,'Master List'!A:C,2,FALSE)), "Not Found", VLOOKUP(A617,'Master List'!A:C,2,FALSE)))</f>
        <v>Taleb, Ben Taleb</v>
      </c>
      <c r="D617" s="64" t="str">
        <f>IF(ISBLANK(A617), "Email",IF(ISNA(VLOOKUP(A617,'Master List'!A:C,3,FALSE)), "Not Found", VLOOKUP(A617,'Master List'!A:C,3,FALSE)))</f>
        <v>bbentaleb@sfsu.edu</v>
      </c>
      <c r="E617" s="64" t="s">
        <v>48</v>
      </c>
      <c r="F617" s="29" t="str">
        <f>IF(OR(A617="",E617="","",A617="?",E617="?"),"duplicate?",IF(COUNTIFS($A:A,A617,E:E,E617)&gt;1,"yes","no"))</f>
        <v>yes</v>
      </c>
      <c r="G617" s="64"/>
      <c r="H617" s="65" t="s">
        <v>127</v>
      </c>
      <c r="I617" s="64" t="s">
        <v>77</v>
      </c>
      <c r="J617" s="64"/>
      <c r="K617" s="48" t="str">
        <f t="shared" ca="1" si="0"/>
        <v>Date</v>
      </c>
      <c r="L617" s="64"/>
      <c r="M617" s="24"/>
    </row>
    <row r="618" spans="1:13" hidden="1">
      <c r="A618" s="64">
        <v>902036348</v>
      </c>
      <c r="B618" s="65">
        <v>45160</v>
      </c>
      <c r="C618" s="64" t="str">
        <f>IF(ISBLANK(A618),"Name",IF(ISNA(VLOOKUP(A618,'Master List'!A:C,2,FALSE)), "Not Found", VLOOKUP(A618,'Master List'!A:C,2,FALSE)))</f>
        <v>Adolfo Velasquez</v>
      </c>
      <c r="D618" s="64" t="str">
        <f>IF(ISBLANK(A618), "Email",IF(ISNA(VLOOKUP(A618,'Master List'!A:C,3,FALSE)), "Not Found", VLOOKUP(A618,'Master List'!A:C,3,FALSE)))</f>
        <v>adolfov@sfsu.edu</v>
      </c>
      <c r="E618" s="64" t="s">
        <v>76</v>
      </c>
      <c r="F618" s="29" t="str">
        <f>IF(OR(A618="",E618="","",A618="?",E618="?"),"duplicate?",IF(COUNTIFS($A:A,A618,E:E,E618)&gt;1,"yes","no"))</f>
        <v>yes</v>
      </c>
      <c r="G618" s="64"/>
      <c r="H618" s="65" t="s">
        <v>127</v>
      </c>
      <c r="I618" s="64" t="s">
        <v>71</v>
      </c>
      <c r="J618" s="64"/>
      <c r="K618" s="48" t="str">
        <f t="shared" ca="1" si="0"/>
        <v>Date</v>
      </c>
      <c r="L618" s="64"/>
      <c r="M618" s="24"/>
    </row>
    <row r="619" spans="1:13" hidden="1">
      <c r="A619" s="64">
        <v>902036348</v>
      </c>
      <c r="B619" s="65">
        <v>45160</v>
      </c>
      <c r="C619" s="64" t="str">
        <f>IF(ISBLANK(A619),"Name",IF(ISNA(VLOOKUP(A619,'Master List'!A:C,2,FALSE)), "Not Found", VLOOKUP(A619,'Master List'!A:C,2,FALSE)))</f>
        <v>Adolfo Velasquez</v>
      </c>
      <c r="D619" s="64" t="str">
        <f>IF(ISBLANK(A619), "Email",IF(ISNA(VLOOKUP(A619,'Master List'!A:C,3,FALSE)), "Not Found", VLOOKUP(A619,'Master List'!A:C,3,FALSE)))</f>
        <v>adolfov@sfsu.edu</v>
      </c>
      <c r="E619" s="64" t="s">
        <v>12</v>
      </c>
      <c r="F619" s="29" t="str">
        <f>IF(OR(A619="",E619="","",A619="?",E619="?"),"duplicate?",IF(COUNTIFS($A:A,A619,E:E,E619)&gt;1,"yes","no"))</f>
        <v>no</v>
      </c>
      <c r="G619" s="64"/>
      <c r="H619" s="65" t="s">
        <v>127</v>
      </c>
      <c r="I619" s="64" t="s">
        <v>71</v>
      </c>
      <c r="J619" s="64"/>
      <c r="K619" s="48" t="str">
        <f t="shared" ca="1" si="0"/>
        <v>Date</v>
      </c>
      <c r="L619" s="64"/>
      <c r="M619" s="24"/>
    </row>
    <row r="620" spans="1:13" hidden="1">
      <c r="A620" s="64">
        <v>918851029</v>
      </c>
      <c r="B620" s="65">
        <v>45160</v>
      </c>
      <c r="C620" s="64" t="str">
        <f>IF(ISBLANK(A620),"Name",IF(ISNA(VLOOKUP(A620,'Master List'!A:C,2,FALSE)), "Not Found", VLOOKUP(A620,'Master List'!A:C,2,FALSE)))</f>
        <v>Julia Parma</v>
      </c>
      <c r="D620" s="64" t="str">
        <f>IF(ISBLANK(A620), "Email",IF(ISNA(VLOOKUP(A620,'Master List'!A:C,3,FALSE)), "Not Found", VLOOKUP(A620,'Master List'!A:C,3,FALSE)))</f>
        <v>julianaparma@sfsu.edu</v>
      </c>
      <c r="E620" s="64" t="s">
        <v>30</v>
      </c>
      <c r="F620" s="29" t="str">
        <f>IF(OR(A620="",E620="","",A620="?",E620="?"),"duplicate?",IF(COUNTIFS($A:A,A620,E:E,E620)&gt;1,"yes","no"))</f>
        <v>no</v>
      </c>
      <c r="G620" s="64"/>
      <c r="H620" s="65" t="s">
        <v>127</v>
      </c>
      <c r="I620" s="64" t="s">
        <v>66</v>
      </c>
      <c r="J620" s="64"/>
      <c r="K620" s="48" t="str">
        <f t="shared" ca="1" si="0"/>
        <v>Date</v>
      </c>
      <c r="L620" s="64"/>
      <c r="M620" s="24"/>
    </row>
    <row r="621" spans="1:13" hidden="1">
      <c r="A621" s="64">
        <v>916483521</v>
      </c>
      <c r="B621" s="65">
        <v>45161</v>
      </c>
      <c r="C621" s="64" t="str">
        <f>IF(ISBLANK(A621),"Name",IF(ISNA(VLOOKUP(A621,'Master List'!A:C,2,FALSE)), "Not Found", VLOOKUP(A621,'Master List'!A:C,2,FALSE)))</f>
        <v>Tomomi Kinukawa</v>
      </c>
      <c r="D621" s="64" t="str">
        <f>IF(ISBLANK(A621), "Email",IF(ISNA(VLOOKUP(A621,'Master List'!A:C,3,FALSE)), "Not Found", VLOOKUP(A621,'Master List'!A:C,3,FALSE)))</f>
        <v>tkinukaw@sfsu.edu</v>
      </c>
      <c r="E621" s="64" t="s">
        <v>128</v>
      </c>
      <c r="F621" s="29" t="str">
        <f>IF(OR(A621="",E621="","",A621="?",E621="?"),"duplicate?",IF(COUNTIFS($A:A,A621,E:E,E621)&gt;1,"yes","no"))</f>
        <v>no</v>
      </c>
      <c r="G621" s="64"/>
      <c r="H621" s="65" t="s">
        <v>127</v>
      </c>
      <c r="I621" s="64" t="s">
        <v>77</v>
      </c>
      <c r="J621" s="64"/>
      <c r="K621" s="48" t="str">
        <f t="shared" ca="1" si="0"/>
        <v>Date</v>
      </c>
      <c r="L621" s="64"/>
      <c r="M621" s="24"/>
    </row>
    <row r="622" spans="1:13" hidden="1">
      <c r="A622" s="64">
        <v>916483521</v>
      </c>
      <c r="B622" s="65">
        <v>45161</v>
      </c>
      <c r="C622" s="64" t="str">
        <f>IF(ISBLANK(A622),"Name",IF(ISNA(VLOOKUP(A622,'Master List'!A:C,2,FALSE)), "Not Found", VLOOKUP(A622,'Master List'!A:C,2,FALSE)))</f>
        <v>Tomomi Kinukawa</v>
      </c>
      <c r="D622" s="64" t="str">
        <f>IF(ISBLANK(A622), "Email",IF(ISNA(VLOOKUP(A622,'Master List'!A:C,3,FALSE)), "Not Found", VLOOKUP(A622,'Master List'!A:C,3,FALSE)))</f>
        <v>tkinukaw@sfsu.edu</v>
      </c>
      <c r="E622" s="64" t="s">
        <v>129</v>
      </c>
      <c r="F622" s="29" t="str">
        <f>IF(OR(A622="",E622="","",A622="?",E622="?"),"duplicate?",IF(COUNTIFS($A:A,A622,E:E,E622)&gt;1,"yes","no"))</f>
        <v>no</v>
      </c>
      <c r="G622" s="64"/>
      <c r="H622" s="65" t="s">
        <v>127</v>
      </c>
      <c r="I622" s="64" t="s">
        <v>77</v>
      </c>
      <c r="J622" s="64"/>
      <c r="K622" s="48" t="str">
        <f t="shared" ca="1" si="0"/>
        <v>Date</v>
      </c>
      <c r="L622" s="64"/>
      <c r="M622" s="24"/>
    </row>
    <row r="623" spans="1:13" hidden="1">
      <c r="A623" s="64">
        <v>916483521</v>
      </c>
      <c r="B623" s="65">
        <v>45161</v>
      </c>
      <c r="C623" s="64" t="str">
        <f>IF(ISBLANK(A623),"Name",IF(ISNA(VLOOKUP(A623,'Master List'!A:C,2,FALSE)), "Not Found", VLOOKUP(A623,'Master List'!A:C,2,FALSE)))</f>
        <v>Tomomi Kinukawa</v>
      </c>
      <c r="D623" s="64" t="str">
        <f>IF(ISBLANK(A623), "Email",IF(ISNA(VLOOKUP(A623,'Master List'!A:C,3,FALSE)), "Not Found", VLOOKUP(A623,'Master List'!A:C,3,FALSE)))</f>
        <v>tkinukaw@sfsu.edu</v>
      </c>
      <c r="E623" s="64" t="s">
        <v>28</v>
      </c>
      <c r="F623" s="29" t="str">
        <f>IF(OR(A623="",E623="","",A623="?",E623="?"),"duplicate?",IF(COUNTIFS($A:A,A623,E:E,E623)&gt;1,"yes","no"))</f>
        <v>yes</v>
      </c>
      <c r="G623" s="64"/>
      <c r="H623" s="65" t="s">
        <v>127</v>
      </c>
      <c r="I623" s="64" t="s">
        <v>77</v>
      </c>
      <c r="J623" s="64"/>
      <c r="K623" s="48" t="str">
        <f t="shared" ca="1" si="0"/>
        <v>Date</v>
      </c>
      <c r="L623" s="64"/>
      <c r="M623" s="24"/>
    </row>
    <row r="624" spans="1:13" hidden="1">
      <c r="A624" s="64">
        <v>918852979</v>
      </c>
      <c r="B624" s="65">
        <v>45161</v>
      </c>
      <c r="C624" s="64" t="str">
        <f>IF(ISBLANK(A624),"Name",IF(ISNA(VLOOKUP(A624,'Master List'!A:C,2,FALSE)), "Not Found", VLOOKUP(A624,'Master List'!A:C,2,FALSE)))</f>
        <v>Alyssa Kubota</v>
      </c>
      <c r="D624" s="64" t="str">
        <f>IF(ISBLANK(A624), "Email",IF(ISNA(VLOOKUP(A624,'Master List'!A:C,3,FALSE)), "Not Found", VLOOKUP(A624,'Master List'!A:C,3,FALSE)))</f>
        <v>akubota@sfsu.edu</v>
      </c>
      <c r="E624" s="64" t="s">
        <v>28</v>
      </c>
      <c r="F624" s="29" t="str">
        <f>IF(OR(A624="",E624="","",A624="?",E624="?"),"duplicate?",IF(COUNTIFS($A:A,A624,E:E,E624)&gt;1,"yes","no"))</f>
        <v>no</v>
      </c>
      <c r="G624" s="64"/>
      <c r="H624" s="65" t="s">
        <v>127</v>
      </c>
      <c r="I624" s="64" t="s">
        <v>54</v>
      </c>
      <c r="J624" s="64"/>
      <c r="K624" s="48" t="str">
        <f t="shared" ca="1" si="0"/>
        <v>Date</v>
      </c>
      <c r="L624" s="64"/>
      <c r="M624" s="24"/>
    </row>
    <row r="625" spans="1:13" hidden="1">
      <c r="A625" s="64">
        <v>900049181</v>
      </c>
      <c r="B625" s="65">
        <v>45161</v>
      </c>
      <c r="C625" s="64" t="str">
        <f>IF(ISBLANK(A625),"Name",IF(ISNA(VLOOKUP(A625,'Master List'!A:C,2,FALSE)), "Not Found", VLOOKUP(A625,'Master List'!A:C,2,FALSE)))</f>
        <v>Rachele Kanigel</v>
      </c>
      <c r="D625" s="64" t="str">
        <f>IF(ISBLANK(A625), "Email",IF(ISNA(VLOOKUP(A625,'Master List'!A:C,3,FALSE)), "Not Found", VLOOKUP(A625,'Master List'!A:C,3,FALSE)))</f>
        <v>kanigel@sfsu.edu</v>
      </c>
      <c r="E625" s="64" t="s">
        <v>31</v>
      </c>
      <c r="F625" s="29" t="str">
        <f>IF(OR(A625="",E625="","",A625="?",E625="?"),"duplicate?",IF(COUNTIFS($A:A,A625,E:E,E625)&gt;1,"yes","no"))</f>
        <v>no</v>
      </c>
      <c r="G625" s="64"/>
      <c r="H625" s="65" t="s">
        <v>127</v>
      </c>
      <c r="I625" s="64" t="s">
        <v>55</v>
      </c>
      <c r="J625" s="64"/>
      <c r="K625" s="48" t="str">
        <f t="shared" ca="1" si="0"/>
        <v>Date</v>
      </c>
      <c r="L625" s="64"/>
      <c r="M625" s="24"/>
    </row>
    <row r="626" spans="1:13" hidden="1">
      <c r="A626" s="64">
        <v>917190955</v>
      </c>
      <c r="B626" s="65">
        <v>45161</v>
      </c>
      <c r="C626" s="64" t="str">
        <f>IF(ISBLANK(A626),"Name",IF(ISNA(VLOOKUP(A626,'Master List'!A:C,2,FALSE)), "Not Found", VLOOKUP(A626,'Master List'!A:C,2,FALSE)))</f>
        <v>Elisa Maria Cornejo Molina</v>
      </c>
      <c r="D626" s="64" t="str">
        <f>IF(ISBLANK(A626), "Email",IF(ISNA(VLOOKUP(A626,'Master List'!A:C,3,FALSE)), "Not Found", VLOOKUP(A626,'Master List'!A:C,3,FALSE)))</f>
        <v xml:space="preserve"> ecornejomolina@sfsu.edu </v>
      </c>
      <c r="E626" s="64" t="s">
        <v>36</v>
      </c>
      <c r="F626" s="29" t="str">
        <f>IF(OR(A626="",E626="","",A626="?",E626="?"),"duplicate?",IF(COUNTIFS($A:A,A626,E:E,E626)&gt;1,"yes","no"))</f>
        <v>no</v>
      </c>
      <c r="G626" s="64"/>
      <c r="H626" s="65" t="s">
        <v>21</v>
      </c>
      <c r="I626" s="64" t="s">
        <v>77</v>
      </c>
      <c r="J626" s="64"/>
      <c r="K626" s="48" t="str">
        <f t="shared" ca="1" si="0"/>
        <v>Date</v>
      </c>
      <c r="L626" s="64"/>
      <c r="M626" s="24"/>
    </row>
    <row r="627" spans="1:13" hidden="1">
      <c r="A627" s="64">
        <v>917190955</v>
      </c>
      <c r="B627" s="65">
        <v>45161</v>
      </c>
      <c r="C627" s="64" t="str">
        <f>IF(ISBLANK(A627),"Name",IF(ISNA(VLOOKUP(A627,'Master List'!A:C,2,FALSE)), "Not Found", VLOOKUP(A627,'Master List'!A:C,2,FALSE)))</f>
        <v>Elisa Maria Cornejo Molina</v>
      </c>
      <c r="D627" s="64" t="str">
        <f>IF(ISBLANK(A627), "Email",IF(ISNA(VLOOKUP(A627,'Master List'!A:C,3,FALSE)), "Not Found", VLOOKUP(A627,'Master List'!A:C,3,FALSE)))</f>
        <v xml:space="preserve"> ecornejomolina@sfsu.edu </v>
      </c>
      <c r="E627" s="64" t="s">
        <v>30</v>
      </c>
      <c r="F627" s="29" t="str">
        <f>IF(OR(A627="",E627="","",A627="?",E627="?"),"duplicate?",IF(COUNTIFS($A:A,A627,E:E,E627)&gt;1,"yes","no"))</f>
        <v>no</v>
      </c>
      <c r="G627" s="64"/>
      <c r="H627" s="65" t="s">
        <v>21</v>
      </c>
      <c r="I627" s="64" t="s">
        <v>77</v>
      </c>
      <c r="J627" s="64"/>
      <c r="K627" s="48" t="str">
        <f t="shared" ca="1" si="0"/>
        <v>Date</v>
      </c>
      <c r="L627" s="64"/>
      <c r="M627" s="24"/>
    </row>
    <row r="628" spans="1:13" hidden="1">
      <c r="A628" s="64">
        <v>917548286</v>
      </c>
      <c r="B628" s="65">
        <v>45161</v>
      </c>
      <c r="C628" s="64" t="str">
        <f>IF(ISBLANK(A628),"Name",IF(ISNA(VLOOKUP(A628,'Master List'!A:C,2,FALSE)), "Not Found", VLOOKUP(A628,'Master List'!A:C,2,FALSE)))</f>
        <v>Michael Martin</v>
      </c>
      <c r="D628" s="64" t="str">
        <f>IF(ISBLANK(A628), "Email",IF(ISNA(VLOOKUP(A628,'Master List'!A:C,3,FALSE)), "Not Found", VLOOKUP(A628,'Master List'!A:C,3,FALSE)))</f>
        <v>mmartin47@sfsu.edu</v>
      </c>
      <c r="E628" s="64" t="s">
        <v>67</v>
      </c>
      <c r="F628" s="29" t="str">
        <f>IF(OR(A628="",E628="","",A628="?",E628="?"),"duplicate?",IF(COUNTIFS($A:A,A628,E:E,E628)&gt;1,"yes","no"))</f>
        <v>no</v>
      </c>
      <c r="G628" s="64"/>
      <c r="H628" s="65" t="s">
        <v>127</v>
      </c>
      <c r="I628" s="64" t="s">
        <v>99</v>
      </c>
      <c r="J628" s="64"/>
      <c r="K628" s="48" t="str">
        <f t="shared" ca="1" si="0"/>
        <v>Date</v>
      </c>
      <c r="L628" s="64"/>
      <c r="M628" s="24"/>
    </row>
    <row r="629" spans="1:13" hidden="1">
      <c r="A629" s="64">
        <v>918103178</v>
      </c>
      <c r="B629" s="65">
        <v>45162</v>
      </c>
      <c r="C629" s="64" t="str">
        <f>IF(ISBLANK(A629),"Name",IF(ISNA(VLOOKUP(A629,'Master List'!A:C,2,FALSE)), "Not Found", VLOOKUP(A629,'Master List'!A:C,2,FALSE)))</f>
        <v>Veronica Rabelo</v>
      </c>
      <c r="D629" s="64" t="str">
        <f>IF(ISBLANK(A629), "Email",IF(ISNA(VLOOKUP(A629,'Master List'!A:C,3,FALSE)), "Not Found", VLOOKUP(A629,'Master List'!A:C,3,FALSE)))</f>
        <v>rabelo@sfsu.edu</v>
      </c>
      <c r="E629" s="64" t="s">
        <v>20</v>
      </c>
      <c r="F629" s="29" t="str">
        <f>IF(OR(A629="",E629="","",A629="?",E629="?"),"duplicate?",IF(COUNTIFS($A:A,A629,E:E,E629)&gt;1,"yes","no"))</f>
        <v>no</v>
      </c>
      <c r="G629" s="64"/>
      <c r="H629" s="65">
        <v>45162</v>
      </c>
      <c r="I629" s="64" t="s">
        <v>61</v>
      </c>
      <c r="J629" s="64"/>
      <c r="K629" s="48" t="str">
        <f t="shared" ca="1" si="0"/>
        <v>Date</v>
      </c>
      <c r="L629" s="64" t="s">
        <v>130</v>
      </c>
      <c r="M629" s="24"/>
    </row>
    <row r="630" spans="1:13" hidden="1">
      <c r="A630" s="64">
        <v>918834155</v>
      </c>
      <c r="B630" s="65">
        <v>45162</v>
      </c>
      <c r="C630" s="64" t="str">
        <f>IF(ISBLANK(A630),"Name",IF(ISNA(VLOOKUP(A630,'Master List'!A:C,2,FALSE)), "Not Found", VLOOKUP(A630,'Master List'!A:C,2,FALSE)))</f>
        <v>Henry Boateng</v>
      </c>
      <c r="D630" s="64" t="str">
        <f>IF(ISBLANK(A630), "Email",IF(ISNA(VLOOKUP(A630,'Master List'!A:C,3,FALSE)), "Not Found", VLOOKUP(A630,'Master List'!A:C,3,FALSE)))</f>
        <v>boateng@sfsu.edu</v>
      </c>
      <c r="E630" s="64" t="s">
        <v>67</v>
      </c>
      <c r="F630" s="29" t="str">
        <f>IF(OR(A630="",E630="","",A630="?",E630="?"),"duplicate?",IF(COUNTIFS($A:A,A630,E:E,E630)&gt;1,"yes","no"))</f>
        <v>no</v>
      </c>
      <c r="G630" s="64"/>
      <c r="H630" s="65" t="s">
        <v>127</v>
      </c>
      <c r="I630" s="64" t="s">
        <v>131</v>
      </c>
      <c r="J630" s="64"/>
      <c r="K630" s="48" t="str">
        <f t="shared" ca="1" si="0"/>
        <v>Date</v>
      </c>
      <c r="L630" s="64"/>
      <c r="M630" s="24"/>
    </row>
    <row r="631" spans="1:13" hidden="1">
      <c r="A631" s="64">
        <v>901790713</v>
      </c>
      <c r="B631" s="65">
        <v>45162</v>
      </c>
      <c r="C631" s="64" t="str">
        <f>IF(ISBLANK(A631),"Name",IF(ISNA(VLOOKUP(A631,'Master List'!A:C,2,FALSE)), "Not Found", VLOOKUP(A631,'Master List'!A:C,2,FALSE)))</f>
        <v>Brad Erickson</v>
      </c>
      <c r="D631" s="64" t="str">
        <f>IF(ISBLANK(A631), "Email",IF(ISNA(VLOOKUP(A631,'Master List'!A:C,3,FALSE)), "Not Found", VLOOKUP(A631,'Master List'!A:C,3,FALSE)))</f>
        <v>berickso@sfsu.edu</v>
      </c>
      <c r="E631" s="64" t="s">
        <v>31</v>
      </c>
      <c r="F631" s="29" t="str">
        <f>IF(OR(A631="",E631="","",A631="?",E631="?"),"duplicate?",IF(COUNTIFS($A:A,A631,E:E,E631)&gt;1,"yes","no"))</f>
        <v>no</v>
      </c>
      <c r="G631" s="64"/>
      <c r="H631" s="65" t="s">
        <v>125</v>
      </c>
      <c r="I631" s="64" t="s">
        <v>132</v>
      </c>
      <c r="J631" s="64"/>
      <c r="K631" s="48" t="str">
        <f t="shared" ca="1" si="0"/>
        <v>Date</v>
      </c>
      <c r="L631" s="64"/>
      <c r="M631" s="24"/>
    </row>
    <row r="632" spans="1:13" hidden="1">
      <c r="A632" s="64">
        <v>901596090</v>
      </c>
      <c r="B632" s="65">
        <v>45163</v>
      </c>
      <c r="C632" s="64" t="str">
        <f>IF(ISBLANK(A632),"Name",IF(ISNA(VLOOKUP(A632,'Master List'!A:C,2,FALSE)), "Not Found", VLOOKUP(A632,'Master List'!A:C,2,FALSE)))</f>
        <v>Savita Malik</v>
      </c>
      <c r="D632" s="64" t="str">
        <f>IF(ISBLANK(A632), "Email",IF(ISNA(VLOOKUP(A632,'Master List'!A:C,3,FALSE)), "Not Found", VLOOKUP(A632,'Master List'!A:C,3,FALSE)))</f>
        <v>smalik@sfsu.edu</v>
      </c>
      <c r="E632" s="64" t="s">
        <v>133</v>
      </c>
      <c r="F632" s="29" t="str">
        <f>IF(OR(A632="",E632="","",A632="?",E632="?"),"duplicate?",IF(COUNTIFS($A:A,A632,E:E,E632)&gt;1,"yes","no"))</f>
        <v>no</v>
      </c>
      <c r="G632" s="64"/>
      <c r="H632" s="65" t="s">
        <v>134</v>
      </c>
      <c r="I632" s="64" t="s">
        <v>70</v>
      </c>
      <c r="J632" s="64"/>
      <c r="K632" s="48" t="str">
        <f t="shared" ca="1" si="0"/>
        <v>Date</v>
      </c>
      <c r="L632" s="64"/>
      <c r="M632" s="24"/>
    </row>
    <row r="633" spans="1:13" hidden="1">
      <c r="A633" s="64">
        <v>901596090</v>
      </c>
      <c r="B633" s="65">
        <v>45163</v>
      </c>
      <c r="C633" s="64" t="str">
        <f>IF(ISBLANK(A633),"Name",IF(ISNA(VLOOKUP(A633,'Master List'!A:C,2,FALSE)), "Not Found", VLOOKUP(A633,'Master List'!A:C,2,FALSE)))</f>
        <v>Savita Malik</v>
      </c>
      <c r="D633" s="64" t="str">
        <f>IF(ISBLANK(A633), "Email",IF(ISNA(VLOOKUP(A633,'Master List'!A:C,3,FALSE)), "Not Found", VLOOKUP(A633,'Master List'!A:C,3,FALSE)))</f>
        <v>smalik@sfsu.edu</v>
      </c>
      <c r="E633" s="64" t="s">
        <v>67</v>
      </c>
      <c r="F633" s="29" t="str">
        <f>IF(OR(A633="",E633="","",A633="?",E633="?"),"duplicate?",IF(COUNTIFS($A:A,A633,E:E,E633)&gt;1,"yes","no"))</f>
        <v>no</v>
      </c>
      <c r="G633" s="64"/>
      <c r="H633" s="65" t="s">
        <v>125</v>
      </c>
      <c r="I633" s="64" t="s">
        <v>99</v>
      </c>
      <c r="J633" s="64"/>
      <c r="K633" s="48" t="str">
        <f t="shared" ca="1" si="0"/>
        <v>Date</v>
      </c>
      <c r="L633" s="64"/>
      <c r="M633" s="24"/>
    </row>
    <row r="634" spans="1:13">
      <c r="A634" s="64">
        <v>918853447</v>
      </c>
      <c r="B634" s="65">
        <v>45166</v>
      </c>
      <c r="C634" s="64" t="str">
        <f>IF(ISBLANK(A634),"Name",IF(ISNA(VLOOKUP(A634,'Master List'!A:C,2,FALSE)), "Not Found", VLOOKUP(A634,'Master List'!A:C,2,FALSE)))</f>
        <v>Kari Beuerman</v>
      </c>
      <c r="D634" s="64" t="str">
        <f>IF(ISBLANK(A634), "Email",IF(ISNA(VLOOKUP(A634,'Master List'!A:C,3,FALSE)), "Not Found", VLOOKUP(A634,'Master List'!A:C,3,FALSE)))</f>
        <v xml:space="preserve">	karibeuerman@sfsu.edu</v>
      </c>
      <c r="E634" s="64" t="s">
        <v>25</v>
      </c>
      <c r="F634" s="29" t="str">
        <f>IF(OR(A634="",E634="","",A634="?",E634="?"),"duplicate?",IF(COUNTIFS($A:A,A634,E:E,E634)&gt;1,"yes","no"))</f>
        <v>no</v>
      </c>
      <c r="G634" s="64"/>
      <c r="H634" s="65" t="s">
        <v>124</v>
      </c>
      <c r="I634" s="64" t="s">
        <v>55</v>
      </c>
      <c r="J634" s="64" t="s">
        <v>99</v>
      </c>
      <c r="K634" s="48">
        <f t="shared" ca="1" si="0"/>
        <v>45274.560426388889</v>
      </c>
      <c r="L634" s="64"/>
      <c r="M634" s="24"/>
    </row>
    <row r="635" spans="1:13" hidden="1">
      <c r="A635" s="64">
        <v>917261233</v>
      </c>
      <c r="B635" s="65">
        <v>45167</v>
      </c>
      <c r="C635" s="64" t="str">
        <f>IF(ISBLANK(A635),"Name",IF(ISNA(VLOOKUP(A635,'Master List'!A:C,2,FALSE)), "Not Found", VLOOKUP(A635,'Master List'!A:C,2,FALSE)))</f>
        <v>Sepideh Modrek</v>
      </c>
      <c r="D635" s="64" t="str">
        <f>IF(ISBLANK(A635), "Email",IF(ISNA(VLOOKUP(A635,'Master List'!A:C,3,FALSE)), "Not Found", VLOOKUP(A635,'Master List'!A:C,3,FALSE)))</f>
        <v>smodrek@sfsu.edu</v>
      </c>
      <c r="E635" s="64" t="s">
        <v>67</v>
      </c>
      <c r="F635" s="29" t="str">
        <f>IF(OR(A635="",E635="","",A635="?",E635="?"),"duplicate?",IF(COUNTIFS($A:A,A635,E:E,E635)&gt;1,"yes","no"))</f>
        <v>no</v>
      </c>
      <c r="G635" s="64"/>
      <c r="H635" s="65" t="s">
        <v>125</v>
      </c>
      <c r="I635" s="64" t="s">
        <v>55</v>
      </c>
      <c r="J635" s="64"/>
      <c r="K635" s="48" t="str">
        <f t="shared" ca="1" si="0"/>
        <v>Date</v>
      </c>
      <c r="L635" s="64"/>
      <c r="M635" s="24"/>
    </row>
    <row r="636" spans="1:13" hidden="1">
      <c r="A636" s="64">
        <v>901790713</v>
      </c>
      <c r="B636" s="65">
        <v>45167</v>
      </c>
      <c r="C636" s="64" t="str">
        <f>IF(ISBLANK(A636),"Name",IF(ISNA(VLOOKUP(A636,'Master List'!A:C,2,FALSE)), "Not Found", VLOOKUP(A636,'Master List'!A:C,2,FALSE)))</f>
        <v>Brad Erickson</v>
      </c>
      <c r="D636" s="64" t="str">
        <f>IF(ISBLANK(A636), "Email",IF(ISNA(VLOOKUP(A636,'Master List'!A:C,3,FALSE)), "Not Found", VLOOKUP(A636,'Master List'!A:C,3,FALSE)))</f>
        <v>berickso@sfsu.edu</v>
      </c>
      <c r="E636" s="64"/>
      <c r="F636" s="29" t="str">
        <f>IF(OR(A636="",E636="","",A636="?",E636="?"),"duplicate?",IF(COUNTIFS($A:A,A636,E:E,E636)&gt;1,"yes","no"))</f>
        <v>duplicate?</v>
      </c>
      <c r="G636" s="64"/>
      <c r="H636" s="65"/>
      <c r="I636" s="64"/>
      <c r="J636" s="64"/>
      <c r="K636" s="48" t="str">
        <f t="shared" ca="1" si="0"/>
        <v>Date</v>
      </c>
      <c r="L636" s="64"/>
      <c r="M636" s="24"/>
    </row>
    <row r="637" spans="1:13" hidden="1">
      <c r="A637" s="64">
        <v>917158819</v>
      </c>
      <c r="B637" s="65">
        <v>45167</v>
      </c>
      <c r="C637" s="64" t="str">
        <f>IF(ISBLANK(A637),"Name",IF(ISNA(VLOOKUP(A637,'Master List'!A:C,2,FALSE)), "Not Found", VLOOKUP(A637,'Master List'!A:C,2,FALSE)))</f>
        <v>Carolina De Robertis</v>
      </c>
      <c r="D637" s="64" t="str">
        <f>IF(ISBLANK(A637), "Email",IF(ISNA(VLOOKUP(A637,'Master List'!A:C,3,FALSE)), "Not Found", VLOOKUP(A637,'Master List'!A:C,3,FALSE)))</f>
        <v>caro@sfsu.edu</v>
      </c>
      <c r="E637" s="64" t="s">
        <v>19</v>
      </c>
      <c r="F637" s="29" t="str">
        <f>IF(OR(A637="",E637="","",A637="?",E637="?"),"duplicate?",IF(COUNTIFS($A:A,A637,E:E,E637)&gt;1,"yes","no"))</f>
        <v>no</v>
      </c>
      <c r="G637" s="64"/>
      <c r="H637" s="65" t="s">
        <v>125</v>
      </c>
      <c r="I637" s="64" t="s">
        <v>55</v>
      </c>
      <c r="J637" s="64"/>
      <c r="K637" s="48" t="str">
        <f t="shared" ca="1" si="0"/>
        <v>Date</v>
      </c>
      <c r="L637" s="64"/>
      <c r="M637" s="24"/>
    </row>
    <row r="638" spans="1:13" hidden="1">
      <c r="A638" s="64">
        <v>900064157</v>
      </c>
      <c r="B638" s="65">
        <v>45167</v>
      </c>
      <c r="C638" s="64" t="str">
        <f>IF(ISBLANK(A638),"Name",IF(ISNA(VLOOKUP(A638,'Master List'!A:C,2,FALSE)), "Not Found", VLOOKUP(A638,'Master List'!A:C,2,FALSE)))</f>
        <v>Maya Chinchilla</v>
      </c>
      <c r="D638" s="64" t="str">
        <f>IF(ISBLANK(A638), "Email",IF(ISNA(VLOOKUP(A638,'Master List'!A:C,3,FALSE)), "Not Found", VLOOKUP(A638,'Master List'!A:C,3,FALSE)))</f>
        <v>maya@sfsu.edu</v>
      </c>
      <c r="E638" s="64" t="s">
        <v>28</v>
      </c>
      <c r="F638" s="29" t="str">
        <f>IF(OR(A638="",E638="","",A638="?",E638="?"),"duplicate?",IF(COUNTIFS($A:A,A638,E:E,E638)&gt;1,"yes","no"))</f>
        <v>no</v>
      </c>
      <c r="G638" s="64"/>
      <c r="H638" s="65" t="s">
        <v>125</v>
      </c>
      <c r="I638" s="64" t="s">
        <v>135</v>
      </c>
      <c r="J638" s="64"/>
      <c r="K638" s="48" t="str">
        <f t="shared" ca="1" si="0"/>
        <v>Date</v>
      </c>
      <c r="L638" s="64"/>
      <c r="M638" s="24"/>
    </row>
    <row r="639" spans="1:13" hidden="1">
      <c r="A639" s="64">
        <v>902486122</v>
      </c>
      <c r="B639" s="65">
        <v>45167</v>
      </c>
      <c r="C639" s="64" t="str">
        <f>IF(ISBLANK(A639),"Name",IF(ISNA(VLOOKUP(A639,'Master List'!A:C,2,FALSE)), "Not Found", VLOOKUP(A639,'Master List'!A:C,2,FALSE)))</f>
        <v>Anjalee Beverly</v>
      </c>
      <c r="D639" s="64" t="str">
        <f>IF(ISBLANK(A639), "Email",IF(ISNA(VLOOKUP(A639,'Master List'!A:C,3,FALSE)), "Not Found", VLOOKUP(A639,'Master List'!A:C,3,FALSE)))</f>
        <v>abeverly@sfsu.edu</v>
      </c>
      <c r="E639" s="64" t="s">
        <v>25</v>
      </c>
      <c r="F639" s="29" t="str">
        <f>IF(OR(A639="",E639="","",A639="?",E639="?"),"duplicate?",IF(COUNTIFS($A:A,A639,E:E,E639)&gt;1,"yes","no"))</f>
        <v>no</v>
      </c>
      <c r="G639" s="64"/>
      <c r="H639" s="65" t="s">
        <v>125</v>
      </c>
      <c r="I639" s="64"/>
      <c r="J639" s="64"/>
      <c r="K639" s="48" t="str">
        <f t="shared" ca="1" si="0"/>
        <v>Date</v>
      </c>
      <c r="L639" s="64"/>
      <c r="M639" s="24"/>
    </row>
    <row r="640" spans="1:13" hidden="1">
      <c r="A640" s="64">
        <v>917957136</v>
      </c>
      <c r="B640" s="65">
        <v>45168</v>
      </c>
      <c r="C640" s="64" t="str">
        <f>IF(ISBLANK(A640),"Name",IF(ISNA(VLOOKUP(A640,'Master List'!A:C,2,FALSE)), "Not Found", VLOOKUP(A640,'Master List'!A:C,2,FALSE)))</f>
        <v>Minling Zhang</v>
      </c>
      <c r="D640" s="64" t="str">
        <f>IF(ISBLANK(A640), "Email",IF(ISNA(VLOOKUP(A640,'Master List'!A:C,3,FALSE)), "Not Found", VLOOKUP(A640,'Master List'!A:C,3,FALSE)))</f>
        <v>mzhang8@sfsu.edu</v>
      </c>
      <c r="E640" s="64" t="s">
        <v>105</v>
      </c>
      <c r="F640" s="29" t="str">
        <f>IF(OR(A640="",E640="","",A640="?",E640="?"),"duplicate?",IF(COUNTIFS($A:A,A640,E:E,E640)&gt;1,"yes","no"))</f>
        <v>no</v>
      </c>
      <c r="G640" s="64"/>
      <c r="H640" s="65" t="s">
        <v>134</v>
      </c>
      <c r="I640" s="64" t="s">
        <v>55</v>
      </c>
      <c r="J640" s="64"/>
      <c r="K640" s="48" t="str">
        <f t="shared" ca="1" si="0"/>
        <v>Date</v>
      </c>
      <c r="L640" s="64"/>
      <c r="M640" s="24"/>
    </row>
    <row r="641" spans="1:13" hidden="1">
      <c r="A641" s="64">
        <v>900043409</v>
      </c>
      <c r="B641" s="65">
        <v>45169</v>
      </c>
      <c r="C641" s="64" t="str">
        <f>IF(ISBLANK(A641),"Name",IF(ISNA(VLOOKUP(A641,'Master List'!A:C,2,FALSE)), "Not Found", VLOOKUP(A641,'Master List'!A:C,2,FALSE)))</f>
        <v>Lucia Volk</v>
      </c>
      <c r="D641" s="64" t="str">
        <f>IF(ISBLANK(A641), "Email",IF(ISNA(VLOOKUP(A641,'Master List'!A:C,3,FALSE)), "Not Found", VLOOKUP(A641,'Master List'!A:C,3,FALSE)))</f>
        <v>lvolk@sfsu.edu</v>
      </c>
      <c r="E641" s="64" t="s">
        <v>35</v>
      </c>
      <c r="F641" s="29" t="str">
        <f>IF(OR(A641="",E641="","",A641="?",E641="?"),"duplicate?",IF(COUNTIFS($A:A,A641,E:E,E641)&gt;1,"yes","no"))</f>
        <v>yes</v>
      </c>
      <c r="G641" s="64"/>
      <c r="H641" s="65" t="s">
        <v>125</v>
      </c>
      <c r="I641" s="64" t="s">
        <v>66</v>
      </c>
      <c r="J641" s="64"/>
      <c r="K641" s="48" t="str">
        <f t="shared" ca="1" si="0"/>
        <v>Date</v>
      </c>
      <c r="L641" s="64"/>
      <c r="M641" s="24"/>
    </row>
    <row r="642" spans="1:13" hidden="1">
      <c r="A642" s="64">
        <v>900043409</v>
      </c>
      <c r="B642" s="65">
        <v>45169</v>
      </c>
      <c r="C642" s="64" t="str">
        <f>IF(ISBLANK(A642),"Name",IF(ISNA(VLOOKUP(A642,'Master List'!A:C,2,FALSE)), "Not Found", VLOOKUP(A642,'Master List'!A:C,2,FALSE)))</f>
        <v>Lucia Volk</v>
      </c>
      <c r="D642" s="64" t="str">
        <f>IF(ISBLANK(A642), "Email",IF(ISNA(VLOOKUP(A642,'Master List'!A:C,3,FALSE)), "Not Found", VLOOKUP(A642,'Master List'!A:C,3,FALSE)))</f>
        <v>lvolk@sfsu.edu</v>
      </c>
      <c r="E642" s="64" t="s">
        <v>140</v>
      </c>
      <c r="F642" s="29" t="str">
        <f>IF(OR(A642="",E642="","",A642="?",E642="?"),"duplicate?",IF(COUNTIFS($A:A,A642,E:E,E642)&gt;1,"yes","no"))</f>
        <v>yes</v>
      </c>
      <c r="G642" s="64"/>
      <c r="H642" s="65" t="s">
        <v>125</v>
      </c>
      <c r="I642" s="64" t="s">
        <v>14</v>
      </c>
      <c r="J642" s="64"/>
      <c r="K642" s="48" t="str">
        <f t="shared" ca="1" si="0"/>
        <v>Date</v>
      </c>
      <c r="L642" s="64"/>
      <c r="M642" s="24"/>
    </row>
    <row r="643" spans="1:13" hidden="1">
      <c r="A643" s="64">
        <v>918852108</v>
      </c>
      <c r="B643" s="65">
        <v>45169</v>
      </c>
      <c r="C643" s="64" t="str">
        <f>IF(ISBLANK(A643),"Name",IF(ISNA(VLOOKUP(A643,'Master List'!A:C,2,FALSE)), "Not Found", VLOOKUP(A643,'Master List'!A:C,2,FALSE)))</f>
        <v>Emma Fine</v>
      </c>
      <c r="D643" s="64" t="str">
        <f>IF(ISBLANK(A643), "Email",IF(ISNA(VLOOKUP(A643,'Master List'!A:C,3,FALSE)), "Not Found", VLOOKUP(A643,'Master List'!A:C,3,FALSE)))</f>
        <v xml:space="preserve">efine@sfsu.edu </v>
      </c>
      <c r="E643" s="64" t="s">
        <v>20</v>
      </c>
      <c r="F643" s="29" t="str">
        <f>IF(OR(A643="",E643="","",A643="?",E643="?"),"duplicate?",IF(COUNTIFS($A:A,A643,E:E,E643)&gt;1,"yes","no"))</f>
        <v>no</v>
      </c>
      <c r="G643" s="64"/>
      <c r="H643" s="65" t="s">
        <v>136</v>
      </c>
      <c r="I643" s="64" t="s">
        <v>71</v>
      </c>
      <c r="J643" s="64"/>
      <c r="K643" s="48" t="str">
        <f t="shared" ca="1" si="0"/>
        <v>Date</v>
      </c>
      <c r="L643" s="64"/>
      <c r="M643" s="24"/>
    </row>
    <row r="644" spans="1:13" hidden="1">
      <c r="A644" s="64">
        <v>920838890</v>
      </c>
      <c r="B644" s="65">
        <v>45169</v>
      </c>
      <c r="C644" s="64" t="str">
        <f>IF(ISBLANK(A644),"Name",IF(ISNA(VLOOKUP(A644,'Master List'!A:C,2,FALSE)), "Not Found", VLOOKUP(A644,'Master List'!A:C,2,FALSE)))</f>
        <v>Sean Sliger</v>
      </c>
      <c r="D644" s="64" t="str">
        <f>IF(ISBLANK(A644), "Email",IF(ISNA(VLOOKUP(A644,'Master List'!A:C,3,FALSE)), "Not Found", VLOOKUP(A644,'Master List'!A:C,3,FALSE)))</f>
        <v>ssliger@mail.sfsu.edu</v>
      </c>
      <c r="E644" s="64" t="s">
        <v>44</v>
      </c>
      <c r="F644" s="29" t="str">
        <f>IF(OR(A644="",E644="","",A644="?",E644="?"),"duplicate?",IF(COUNTIFS($A:A,A644,E:E,E644)&gt;1,"yes","no"))</f>
        <v>no</v>
      </c>
      <c r="G644" s="64"/>
      <c r="H644" s="65" t="s">
        <v>136</v>
      </c>
      <c r="I644" s="64" t="s">
        <v>66</v>
      </c>
      <c r="J644" s="64"/>
      <c r="K644" s="48" t="str">
        <f t="shared" ca="1" si="0"/>
        <v>Date</v>
      </c>
      <c r="L644" s="64"/>
      <c r="M644" s="24"/>
    </row>
    <row r="645" spans="1:13" hidden="1">
      <c r="A645" s="64">
        <v>917461355</v>
      </c>
      <c r="B645" s="65">
        <v>45170</v>
      </c>
      <c r="C645" s="64" t="str">
        <f>IF(ISBLANK(A645),"Name",IF(ISNA(VLOOKUP(A645,'Master List'!A:C,2,FALSE)), "Not Found", VLOOKUP(A645,'Master List'!A:C,2,FALSE)))</f>
        <v>Alcides Fuentes</v>
      </c>
      <c r="D645" s="64" t="str">
        <f>IF(ISBLANK(A645), "Email",IF(ISNA(VLOOKUP(A645,'Master List'!A:C,3,FALSE)), "Not Found", VLOOKUP(A645,'Master List'!A:C,3,FALSE)))</f>
        <v>alcidesfuentes@sfsu.edu</v>
      </c>
      <c r="E645" s="64" t="s">
        <v>31</v>
      </c>
      <c r="F645" s="29" t="str">
        <f>IF(OR(A645="",E645="","",A645="?",E645="?"),"duplicate?",IF(COUNTIFS($A:A,A645,E:E,E645)&gt;1,"yes","no"))</f>
        <v>no</v>
      </c>
      <c r="G645" s="64"/>
      <c r="H645" s="65" t="s">
        <v>137</v>
      </c>
      <c r="I645" s="64" t="s">
        <v>99</v>
      </c>
      <c r="J645" s="64"/>
      <c r="K645" s="48" t="str">
        <f t="shared" ca="1" si="0"/>
        <v>Date</v>
      </c>
      <c r="L645" s="64"/>
      <c r="M645" s="24"/>
    </row>
    <row r="646" spans="1:13" hidden="1">
      <c r="A646" s="64">
        <v>913786515</v>
      </c>
      <c r="B646" s="65">
        <v>45170</v>
      </c>
      <c r="C646" s="64" t="str">
        <f>IF(ISBLANK(A646),"Name",IF(ISNA(VLOOKUP(A646,'Master List'!A:C,2,FALSE)), "Not Found", VLOOKUP(A646,'Master List'!A:C,2,FALSE)))</f>
        <v>Richard Ortiz</v>
      </c>
      <c r="D646" s="64" t="str">
        <f>IF(ISBLANK(A646), "Email",IF(ISNA(VLOOKUP(A646,'Master List'!A:C,3,FALSE)), "Not Found", VLOOKUP(A646,'Master List'!A:C,3,FALSE)))</f>
        <v>gabe2ro@sfsu.edu</v>
      </c>
      <c r="E646" s="64" t="s">
        <v>138</v>
      </c>
      <c r="F646" s="29" t="str">
        <f>IF(OR(A646="",E646="","",A646="?",E646="?"),"duplicate?",IF(COUNTIFS($A:A,A646,E:E,E646)&gt;1,"yes","no"))</f>
        <v>yes</v>
      </c>
      <c r="G646" s="64"/>
      <c r="H646" s="65" t="s">
        <v>125</v>
      </c>
      <c r="I646" s="64" t="s">
        <v>139</v>
      </c>
      <c r="J646" s="64"/>
      <c r="K646" s="48" t="str">
        <f t="shared" ca="1" si="0"/>
        <v>Date</v>
      </c>
      <c r="L646" s="64"/>
      <c r="M646" s="24"/>
    </row>
    <row r="647" spans="1:13" hidden="1">
      <c r="A647" s="64">
        <v>900002446</v>
      </c>
      <c r="B647" s="65">
        <v>45174</v>
      </c>
      <c r="C647" s="64" t="str">
        <f>IF(ISBLANK(A647),"Name",IF(ISNA(VLOOKUP(A647,'Master List'!A:C,2,FALSE)), "Not Found", VLOOKUP(A647,'Master List'!A:C,2,FALSE)))</f>
        <v>Hamid Shahnasser</v>
      </c>
      <c r="D647" s="64" t="str">
        <f>IF(ISBLANK(A647), "Email",IF(ISNA(VLOOKUP(A647,'Master List'!A:C,3,FALSE)), "Not Found", VLOOKUP(A647,'Master List'!A:C,3,FALSE)))</f>
        <v>hamid@sfsu.edu</v>
      </c>
      <c r="E647" s="64" t="s">
        <v>20</v>
      </c>
      <c r="F647" s="29" t="str">
        <f>IF(OR(A647="",E647="","",A647="?",E647="?"),"duplicate?",IF(COUNTIFS($A:A,A647,E:E,E647)&gt;1,"yes","no"))</f>
        <v>no</v>
      </c>
      <c r="G647" s="64"/>
      <c r="H647" s="65">
        <v>45176</v>
      </c>
      <c r="I647" s="64" t="s">
        <v>71</v>
      </c>
      <c r="J647" s="64"/>
      <c r="K647" s="48" t="str">
        <f t="shared" ca="1" si="0"/>
        <v>Date</v>
      </c>
      <c r="L647" s="64"/>
      <c r="M647" s="24"/>
    </row>
    <row r="648" spans="1:13" hidden="1">
      <c r="A648" s="64">
        <v>918844425</v>
      </c>
      <c r="B648" s="65">
        <v>45174</v>
      </c>
      <c r="C648" s="64" t="str">
        <f>IF(ISBLANK(A648),"Name",IF(ISNA(VLOOKUP(A648,'Master List'!A:C,2,FALSE)), "Not Found", VLOOKUP(A648,'Master List'!A:C,2,FALSE)))</f>
        <v>Andrew Luis</v>
      </c>
      <c r="D648" s="64" t="str">
        <f>IF(ISBLANK(A648), "Email",IF(ISNA(VLOOKUP(A648,'Master List'!A:C,3,FALSE)), "Not Found", VLOOKUP(A648,'Master List'!A:C,3,FALSE)))</f>
        <v>drewluis@sfsu.edu</v>
      </c>
      <c r="E648" s="64" t="s">
        <v>128</v>
      </c>
      <c r="F648" s="29" t="str">
        <f>IF(OR(A648="",E648="","",A648="?",E648="?"),"duplicate?",IF(COUNTIFS($A:A,A648,E:E,E648)&gt;1,"yes","no"))</f>
        <v>no</v>
      </c>
      <c r="G648" s="64"/>
      <c r="H648" s="65" t="s">
        <v>125</v>
      </c>
      <c r="I648" s="64" t="s">
        <v>132</v>
      </c>
      <c r="J648" s="64"/>
      <c r="K648" s="48" t="str">
        <f t="shared" ca="1" si="0"/>
        <v>Date</v>
      </c>
      <c r="L648" s="64"/>
      <c r="M648" s="24"/>
    </row>
    <row r="649" spans="1:13" hidden="1">
      <c r="A649" s="64">
        <v>913477349</v>
      </c>
      <c r="B649" s="65">
        <v>45175</v>
      </c>
      <c r="C649" s="64" t="str">
        <f>IF(ISBLANK(A649),"Name",IF(ISNA(VLOOKUP(A649,'Master List'!A:C,2,FALSE)), "Not Found", VLOOKUP(A649,'Master List'!A:C,2,FALSE)))</f>
        <v>David Griffis</v>
      </c>
      <c r="D649" s="64" t="str">
        <f>IF(ISBLANK(A649), "Email",IF(ISNA(VLOOKUP(A649,'Master List'!A:C,3,FALSE)), "Not Found", VLOOKUP(A649,'Master List'!A:C,3,FALSE)))</f>
        <v>griffis@sfsu.edu</v>
      </c>
      <c r="E649" s="64" t="s">
        <v>140</v>
      </c>
      <c r="F649" s="29" t="str">
        <f>IF(OR(A649="",E649="","",A649="?",E649="?"),"duplicate?",IF(COUNTIFS($A:A,A649,E:E,E649)&gt;1,"yes","no"))</f>
        <v>no</v>
      </c>
      <c r="G649" s="64"/>
      <c r="H649" s="65" t="s">
        <v>134</v>
      </c>
      <c r="I649" s="64" t="s">
        <v>70</v>
      </c>
      <c r="J649" s="64"/>
      <c r="K649" s="48" t="str">
        <f t="shared" ca="1" si="0"/>
        <v>Date</v>
      </c>
      <c r="L649" s="64"/>
      <c r="M649" s="24"/>
    </row>
    <row r="650" spans="1:13" hidden="1">
      <c r="A650" s="64">
        <v>918852966</v>
      </c>
      <c r="B650" s="65">
        <v>45175</v>
      </c>
      <c r="C650" s="64" t="str">
        <f>IF(ISBLANK(A650),"Name",IF(ISNA(VLOOKUP(A650,'Master List'!A:C,2,FALSE)), "Not Found", VLOOKUP(A650,'Master List'!A:C,2,FALSE)))</f>
        <v>Alanna Cooney</v>
      </c>
      <c r="D650" s="64" t="str">
        <f>IF(ISBLANK(A650), "Email",IF(ISNA(VLOOKUP(A650,'Master List'!A:C,3,FALSE)), "Not Found", VLOOKUP(A650,'Master List'!A:C,3,FALSE)))</f>
        <v>aycooney@sfsu.edu</v>
      </c>
      <c r="E650" s="64" t="s">
        <v>28</v>
      </c>
      <c r="F650" s="29" t="str">
        <f>IF(OR(A650="",E650="","",A650="?",E650="?"),"duplicate?",IF(COUNTIFS($A:A,A650,E:E,E650)&gt;1,"yes","no"))</f>
        <v>no</v>
      </c>
      <c r="G650" s="64"/>
      <c r="H650" s="65" t="s">
        <v>125</v>
      </c>
      <c r="I650" s="64" t="s">
        <v>99</v>
      </c>
      <c r="J650" s="64"/>
      <c r="K650" s="48" t="str">
        <f t="shared" ca="1" si="0"/>
        <v>Date</v>
      </c>
      <c r="L650" s="64"/>
      <c r="M650" s="24"/>
    </row>
    <row r="651" spans="1:13" hidden="1">
      <c r="A651" s="64">
        <v>907606601</v>
      </c>
      <c r="B651" s="65">
        <v>45175</v>
      </c>
      <c r="C651" s="64" t="str">
        <f>IF(ISBLANK(A651),"Name",IF(ISNA(VLOOKUP(A651,'Master List'!A:C,2,FALSE)), "Not Found", VLOOKUP(A651,'Master List'!A:C,2,FALSE)))</f>
        <v>Elizabeth Detrich</v>
      </c>
      <c r="D651" s="64" t="str">
        <f>IF(ISBLANK(A651), "Email",IF(ISNA(VLOOKUP(A651,'Master List'!A:C,3,FALSE)), "Not Found", VLOOKUP(A651,'Master List'!A:C,3,FALSE)))</f>
        <v>edetrich@sfsu.edu</v>
      </c>
      <c r="E651" s="64" t="s">
        <v>33</v>
      </c>
      <c r="F651" s="29" t="str">
        <f>IF(OR(A651="",E651="","",A651="?",E651="?"),"duplicate?",IF(COUNTIFS($A:A,A651,E:E,E651)&gt;1,"yes","no"))</f>
        <v>no</v>
      </c>
      <c r="G651" s="64"/>
      <c r="H651" s="65" t="s">
        <v>141</v>
      </c>
      <c r="I651" s="64" t="s">
        <v>99</v>
      </c>
      <c r="J651" s="64"/>
      <c r="K651" s="48" t="str">
        <f t="shared" ca="1" si="0"/>
        <v>Date</v>
      </c>
      <c r="L651" s="64"/>
      <c r="M651" s="24"/>
    </row>
    <row r="652" spans="1:13" hidden="1">
      <c r="A652" s="64">
        <v>907606601</v>
      </c>
      <c r="B652" s="65">
        <v>45175</v>
      </c>
      <c r="C652" s="64" t="str">
        <f>IF(ISBLANK(A652),"Name",IF(ISNA(VLOOKUP(A652,'Master List'!A:C,2,FALSE)), "Not Found", VLOOKUP(A652,'Master List'!A:C,2,FALSE)))</f>
        <v>Elizabeth Detrich</v>
      </c>
      <c r="D652" s="64" t="str">
        <f>IF(ISBLANK(A652), "Email",IF(ISNA(VLOOKUP(A652,'Master List'!A:C,3,FALSE)), "Not Found", VLOOKUP(A652,'Master List'!A:C,3,FALSE)))</f>
        <v>edetrich@sfsu.edu</v>
      </c>
      <c r="E652" s="64" t="s">
        <v>30</v>
      </c>
      <c r="F652" s="29" t="str">
        <f>IF(OR(A652="",E652="","",A652="?",E652="?"),"duplicate?",IF(COUNTIFS($A:A,A652,E:E,E652)&gt;1,"yes","no"))</f>
        <v>no</v>
      </c>
      <c r="G652" s="64"/>
      <c r="H652" s="65" t="s">
        <v>141</v>
      </c>
      <c r="I652" s="64" t="s">
        <v>99</v>
      </c>
      <c r="J652" s="64"/>
      <c r="K652" s="48" t="str">
        <f t="shared" ca="1" si="0"/>
        <v>Date</v>
      </c>
      <c r="L652" s="64"/>
      <c r="M652" s="24"/>
    </row>
    <row r="653" spans="1:13" hidden="1">
      <c r="A653" s="64">
        <v>907441085</v>
      </c>
      <c r="B653" s="65">
        <v>45176</v>
      </c>
      <c r="C653" s="64" t="str">
        <f>IF(ISBLANK(A653),"Name",IF(ISNA(VLOOKUP(A653,'Master List'!A:C,2,FALSE)), "Not Found", VLOOKUP(A653,'Master List'!A:C,2,FALSE)))</f>
        <v>Cathy Rath</v>
      </c>
      <c r="D653" s="64" t="str">
        <f>IF(ISBLANK(A653), "Email",IF(ISNA(VLOOKUP(A653,'Master List'!A:C,3,FALSE)), "Not Found", VLOOKUP(A653,'Master List'!A:C,3,FALSE)))</f>
        <v>crath@sfsu.edu</v>
      </c>
      <c r="E653" s="64" t="s">
        <v>35</v>
      </c>
      <c r="F653" s="29" t="str">
        <f>IF(OR(A653="",E653="","",A653="?",E653="?"),"duplicate?",IF(COUNTIFS($A:A,A653,E:E,E653)&gt;1,"yes","no"))</f>
        <v>yes</v>
      </c>
      <c r="G653" s="64"/>
      <c r="H653" s="65" t="s">
        <v>142</v>
      </c>
      <c r="I653" s="64" t="s">
        <v>70</v>
      </c>
      <c r="J653" s="64"/>
      <c r="K653" s="48" t="str">
        <f t="shared" ca="1" si="0"/>
        <v>Date</v>
      </c>
      <c r="L653" s="64"/>
      <c r="M653" s="24"/>
    </row>
    <row r="654" spans="1:13" hidden="1">
      <c r="A654" s="64">
        <v>920120588</v>
      </c>
      <c r="B654" s="65">
        <v>45176</v>
      </c>
      <c r="C654" s="64" t="str">
        <f>IF(ISBLANK(A654),"Name",IF(ISNA(VLOOKUP(A654,'Master List'!A:C,2,FALSE)), "Not Found", VLOOKUP(A654,'Master List'!A:C,2,FALSE)))</f>
        <v>Cintya Chaves</v>
      </c>
      <c r="D654" s="64" t="str">
        <f>IF(ISBLANK(A654), "Email",IF(ISNA(VLOOKUP(A654,'Master List'!A:C,3,FALSE)), "Not Found", VLOOKUP(A654,'Master List'!A:C,3,FALSE)))</f>
        <v>cdias1@sfsu.edu</v>
      </c>
      <c r="E654" s="64" t="s">
        <v>25</v>
      </c>
      <c r="F654" s="29" t="str">
        <f>IF(OR(A654="",E654="","",A654="?",E654="?"),"duplicate?",IF(COUNTIFS($A:A,A654,E:E,E654)&gt;1,"yes","no"))</f>
        <v>no</v>
      </c>
      <c r="G654" s="64"/>
      <c r="H654" s="65" t="s">
        <v>134</v>
      </c>
      <c r="I654" s="64" t="s">
        <v>70</v>
      </c>
      <c r="J654" s="64"/>
      <c r="K654" s="48" t="str">
        <f t="shared" ca="1" si="0"/>
        <v>Date</v>
      </c>
      <c r="L654" s="64"/>
      <c r="M654" s="24"/>
    </row>
    <row r="655" spans="1:13" hidden="1">
      <c r="A655" s="64">
        <v>917728791</v>
      </c>
      <c r="B655" s="65">
        <v>45177</v>
      </c>
      <c r="C655" s="64" t="str">
        <f>IF(ISBLANK(A655),"Name",IF(ISNA(VLOOKUP(A655,'Master List'!A:C,2,FALSE)), "Not Found", VLOOKUP(A655,'Master List'!A:C,2,FALSE)))</f>
        <v>Gian Carlo Baldonado</v>
      </c>
      <c r="D655" s="64" t="str">
        <f>IF(ISBLANK(A655), "Email",IF(ISNA(VLOOKUP(A655,'Master List'!A:C,3,FALSE)), "Not Found", VLOOKUP(A655,'Master List'!A:C,3,FALSE)))</f>
        <v>gbaldonado@sfsu.edu</v>
      </c>
      <c r="E655" s="64" t="s">
        <v>36</v>
      </c>
      <c r="F655" s="29" t="str">
        <f>IF(OR(A655="",E655="","",A655="?",E655="?"),"duplicate?",IF(COUNTIFS($A:A,A655,E:E,E655)&gt;1,"yes","no"))</f>
        <v>no</v>
      </c>
      <c r="G655" s="64"/>
      <c r="H655" s="65" t="s">
        <v>125</v>
      </c>
      <c r="I655" s="64" t="s">
        <v>131</v>
      </c>
      <c r="J655" s="64"/>
      <c r="K655" s="48" t="str">
        <f t="shared" ca="1" si="0"/>
        <v>Date</v>
      </c>
      <c r="L655" s="64"/>
      <c r="M655" s="24"/>
    </row>
    <row r="656" spans="1:13" hidden="1">
      <c r="A656" s="64">
        <v>921406197</v>
      </c>
      <c r="B656" s="65">
        <v>45180</v>
      </c>
      <c r="C656" s="64" t="str">
        <f>IF(ISBLANK(A656),"Name",IF(ISNA(VLOOKUP(A656,'Master List'!A:C,2,FALSE)), "Not Found", VLOOKUP(A656,'Master List'!A:C,2,FALSE)))</f>
        <v>Christopher Pascua</v>
      </c>
      <c r="D656" s="64" t="str">
        <f>IF(ISBLANK(A656), "Email",IF(ISNA(VLOOKUP(A656,'Master List'!A:C,3,FALSE)), "Not Found", VLOOKUP(A656,'Master List'!A:C,3,FALSE)))</f>
        <v>cpascua@sfsu.edu</v>
      </c>
      <c r="E656" s="64" t="s">
        <v>58</v>
      </c>
      <c r="F656" s="29" t="str">
        <f>IF(OR(A656="",E656="","",A656="?",E656="?"),"duplicate?",IF(COUNTIFS($A:A,A656,E:E,E656)&gt;1,"yes","no"))</f>
        <v>yes</v>
      </c>
      <c r="G656" s="64"/>
      <c r="H656" s="65" t="s">
        <v>125</v>
      </c>
      <c r="I656" s="64" t="s">
        <v>70</v>
      </c>
      <c r="J656" s="64"/>
      <c r="K656" s="48" t="str">
        <f t="shared" ca="1" si="0"/>
        <v>Date</v>
      </c>
      <c r="L656" s="64"/>
      <c r="M656" s="24"/>
    </row>
    <row r="657" spans="1:13" hidden="1">
      <c r="A657" s="64">
        <v>921406197</v>
      </c>
      <c r="B657" s="65">
        <v>45180</v>
      </c>
      <c r="C657" s="64" t="str">
        <f>IF(ISBLANK(A657),"Name",IF(ISNA(VLOOKUP(A657,'Master List'!A:C,2,FALSE)), "Not Found", VLOOKUP(A657,'Master List'!A:C,2,FALSE)))</f>
        <v>Christopher Pascua</v>
      </c>
      <c r="D657" s="64" t="str">
        <f>IF(ISBLANK(A657), "Email",IF(ISNA(VLOOKUP(A657,'Master List'!A:C,3,FALSE)), "Not Found", VLOOKUP(A657,'Master List'!A:C,3,FALSE)))</f>
        <v>cpascua@sfsu.edu</v>
      </c>
      <c r="E657" s="64" t="s">
        <v>23</v>
      </c>
      <c r="F657" s="29" t="str">
        <f>IF(OR(A657="",E657="","",A657="?",E657="?"),"duplicate?",IF(COUNTIFS($A:A,A657,E:E,E657)&gt;1,"yes","no"))</f>
        <v>yes</v>
      </c>
      <c r="G657" s="64"/>
      <c r="H657" s="65" t="s">
        <v>125</v>
      </c>
      <c r="I657" s="64" t="s">
        <v>70</v>
      </c>
      <c r="J657" s="64"/>
      <c r="K657" s="48" t="str">
        <f t="shared" ca="1" si="0"/>
        <v>Date</v>
      </c>
      <c r="L657" s="64"/>
      <c r="M657" s="24"/>
    </row>
    <row r="658" spans="1:13" hidden="1">
      <c r="A658" s="64">
        <v>921406197</v>
      </c>
      <c r="B658" s="65">
        <v>45180</v>
      </c>
      <c r="C658" s="64" t="str">
        <f>IF(ISBLANK(A658),"Name",IF(ISNA(VLOOKUP(A658,'Master List'!A:C,2,FALSE)), "Not Found", VLOOKUP(A658,'Master List'!A:C,2,FALSE)))</f>
        <v>Christopher Pascua</v>
      </c>
      <c r="D658" s="64" t="str">
        <f>IF(ISBLANK(A658), "Email",IF(ISNA(VLOOKUP(A658,'Master List'!A:C,3,FALSE)), "Not Found", VLOOKUP(A658,'Master List'!A:C,3,FALSE)))</f>
        <v>cpascua@sfsu.edu</v>
      </c>
      <c r="E658" s="64" t="s">
        <v>143</v>
      </c>
      <c r="F658" s="29" t="str">
        <f>IF(OR(A658="",E658="","",A658="?",E658="?"),"duplicate?",IF(COUNTIFS($A:A,A658,E:E,E658)&gt;1,"yes","no"))</f>
        <v>no</v>
      </c>
      <c r="G658" s="64"/>
      <c r="H658" s="65" t="s">
        <v>125</v>
      </c>
      <c r="I658" s="64" t="s">
        <v>70</v>
      </c>
      <c r="J658" s="64"/>
      <c r="K658" s="48" t="str">
        <f t="shared" ca="1" si="0"/>
        <v>Date</v>
      </c>
      <c r="L658" s="64"/>
      <c r="M658" s="24"/>
    </row>
    <row r="659" spans="1:13" hidden="1">
      <c r="A659" s="64">
        <v>918853850</v>
      </c>
      <c r="B659" s="65">
        <v>45180</v>
      </c>
      <c r="C659" s="64" t="str">
        <f>IF(ISBLANK(A659),"Name",IF(ISNA(VLOOKUP(A659,'Master List'!A:C,2,FALSE)), "Not Found", VLOOKUP(A659,'Master List'!A:C,2,FALSE)))</f>
        <v>Mark Leinauer</v>
      </c>
      <c r="D659" s="64" t="str">
        <f>IF(ISBLANK(A659), "Email",IF(ISNA(VLOOKUP(A659,'Master List'!A:C,3,FALSE)), "Not Found", VLOOKUP(A659,'Master List'!A:C,3,FALSE)))</f>
        <v>markleinauer@sfsu.edu</v>
      </c>
      <c r="E659" s="64" t="s">
        <v>46</v>
      </c>
      <c r="F659" s="29" t="str">
        <f>IF(OR(A659="",E659="","",A659="?",E659="?"),"duplicate?",IF(COUNTIFS($A:A,A659,E:E,E659)&gt;1,"yes","no"))</f>
        <v>no</v>
      </c>
      <c r="G659" s="64"/>
      <c r="H659" s="65" t="s">
        <v>145</v>
      </c>
      <c r="I659" s="64" t="s">
        <v>60</v>
      </c>
      <c r="J659" s="64"/>
      <c r="K659" s="48" t="str">
        <f t="shared" ca="1" si="0"/>
        <v>Date</v>
      </c>
      <c r="L659" s="64"/>
      <c r="M659" s="24"/>
    </row>
    <row r="660" spans="1:13" hidden="1">
      <c r="A660" s="64">
        <v>908333171</v>
      </c>
      <c r="B660" s="65">
        <v>45180</v>
      </c>
      <c r="C660" s="64" t="str">
        <f>IF(ISBLANK(A660),"Name",IF(ISNA(VLOOKUP(A660,'Master List'!A:C,2,FALSE)), "Not Found", VLOOKUP(A660,'Master List'!A:C,2,FALSE)))</f>
        <v>Kamal Ragbotra</v>
      </c>
      <c r="D660" s="64" t="str">
        <f>IF(ISBLANK(A660), "Email",IF(ISNA(VLOOKUP(A660,'Master List'!A:C,3,FALSE)), "Not Found", VLOOKUP(A660,'Master List'!A:C,3,FALSE)))</f>
        <v>kamragz@sfsu.edu</v>
      </c>
      <c r="E660" s="64" t="s">
        <v>146</v>
      </c>
      <c r="F660" s="29" t="str">
        <f>IF(OR(A660="",E660="","",A660="?",E660="?"),"duplicate?",IF(COUNTIFS($A:A,A660,E:E,E660)&gt;1,"yes","no"))</f>
        <v>no</v>
      </c>
      <c r="G660" s="64"/>
      <c r="H660" s="65" t="s">
        <v>147</v>
      </c>
      <c r="I660" s="64" t="s">
        <v>60</v>
      </c>
      <c r="J660" s="64"/>
      <c r="K660" s="48" t="str">
        <f t="shared" ref="K660:K723" ca="1" si="1">IF(J660="","Date",IF(J660&lt;&gt;"",IF(K660="Date",NOW(),K660),""))</f>
        <v>Date</v>
      </c>
      <c r="L660" s="64"/>
      <c r="M660" s="24"/>
    </row>
    <row r="661" spans="1:13" hidden="1">
      <c r="A661" s="64">
        <v>900023064</v>
      </c>
      <c r="B661" s="65">
        <v>45180</v>
      </c>
      <c r="C661" s="64" t="str">
        <f>IF(ISBLANK(A661),"Name",IF(ISNA(VLOOKUP(A661,'Master List'!A:C,2,FALSE)), "Not Found", VLOOKUP(A661,'Master List'!A:C,2,FALSE)))</f>
        <v>Karen Coopman</v>
      </c>
      <c r="D661" s="64" t="str">
        <f>IF(ISBLANK(A661), "Email",IF(ISNA(VLOOKUP(A661,'Master List'!A:C,3,FALSE)), "Not Found", VLOOKUP(A661,'Master List'!A:C,3,FALSE)))</f>
        <v>coopman@sfsu.edu</v>
      </c>
      <c r="E661" s="64" t="s">
        <v>20</v>
      </c>
      <c r="F661" s="29" t="str">
        <f>IF(OR(A661="",E661="","",A661="?",E661="?"),"duplicate?",IF(COUNTIFS($A:A,A661,E:E,E661)&gt;1,"yes","no"))</f>
        <v>no</v>
      </c>
      <c r="G661" s="64"/>
      <c r="H661" s="65">
        <v>45180</v>
      </c>
      <c r="I661" s="64" t="s">
        <v>66</v>
      </c>
      <c r="J661" s="64"/>
      <c r="K661" s="48" t="str">
        <f t="shared" ca="1" si="1"/>
        <v>Date</v>
      </c>
      <c r="L661" s="64"/>
      <c r="M661" s="24"/>
    </row>
    <row r="662" spans="1:13" hidden="1">
      <c r="A662" s="64">
        <v>903109316</v>
      </c>
      <c r="B662" s="65">
        <v>45182</v>
      </c>
      <c r="C662" s="64" t="str">
        <f>IF(ISBLANK(A662),"Name",IF(ISNA(VLOOKUP(A662,'Master List'!A:C,2,FALSE)), "Not Found", VLOOKUP(A662,'Master List'!A:C,2,FALSE)))</f>
        <v>Rebeca Moran</v>
      </c>
      <c r="D662" s="64" t="str">
        <f>IF(ISBLANK(A662), "Email",IF(ISNA(VLOOKUP(A662,'Master List'!A:C,3,FALSE)), "Not Found", VLOOKUP(A662,'Master List'!A:C,3,FALSE)))</f>
        <v>rmoran@sfsu.edu</v>
      </c>
      <c r="E662" s="64" t="s">
        <v>25</v>
      </c>
      <c r="F662" s="29" t="str">
        <f>IF(OR(A662="",E662="","",A662="?",E662="?"),"duplicate?",IF(COUNTIFS($A:A,A662,E:E,E662)&gt;1,"yes","no"))</f>
        <v>no</v>
      </c>
      <c r="G662" s="64"/>
      <c r="H662" s="65">
        <v>45180</v>
      </c>
      <c r="I662" s="64"/>
      <c r="J662" s="64"/>
      <c r="K662" s="48" t="str">
        <f t="shared" ca="1" si="1"/>
        <v>Date</v>
      </c>
      <c r="L662" s="64"/>
      <c r="M662" s="24"/>
    </row>
    <row r="663" spans="1:13" hidden="1">
      <c r="A663" s="64">
        <v>918852823</v>
      </c>
      <c r="B663" s="65">
        <v>45182</v>
      </c>
      <c r="C663" s="64" t="str">
        <f>IF(ISBLANK(A663),"Name",IF(ISNA(VLOOKUP(A663,'Master List'!A:C,2,FALSE)), "Not Found", VLOOKUP(A663,'Master List'!A:C,2,FALSE)))</f>
        <v>Anisha Singh</v>
      </c>
      <c r="D663" s="64" t="str">
        <f>IF(ISBLANK(A663), "Email",IF(ISNA(VLOOKUP(A663,'Master List'!A:C,3,FALSE)), "Not Found", VLOOKUP(A663,'Master List'!A:C,3,FALSE)))</f>
        <v>asingh56@sfsu.edu</v>
      </c>
      <c r="E663" s="64" t="s">
        <v>76</v>
      </c>
      <c r="F663" s="29" t="str">
        <f>IF(OR(A663="",E663="","",A663="?",E663="?"),"duplicate?",IF(COUNTIFS($A:A,A663,E:E,E663)&gt;1,"yes","no"))</f>
        <v>no</v>
      </c>
      <c r="G663" s="64"/>
      <c r="H663" s="65" t="s">
        <v>137</v>
      </c>
      <c r="I663" s="64"/>
      <c r="J663" s="64"/>
      <c r="K663" s="48" t="str">
        <f t="shared" ca="1" si="1"/>
        <v>Date</v>
      </c>
      <c r="L663" s="64"/>
      <c r="M663" s="24"/>
    </row>
    <row r="664" spans="1:13">
      <c r="A664" s="64">
        <v>904212782</v>
      </c>
      <c r="B664" s="65">
        <v>45187</v>
      </c>
      <c r="C664" s="64" t="str">
        <f>IF(ISBLANK(A664),"Name",IF(ISNA(VLOOKUP(A664,'Master List'!A:C,2,FALSE)), "Not Found", VLOOKUP(A664,'Master List'!A:C,2,FALSE)))</f>
        <v>David Olsher</v>
      </c>
      <c r="D664" s="64" t="str">
        <f>IF(ISBLANK(A664), "Email",IF(ISNA(VLOOKUP(A664,'Master List'!A:C,3,FALSE)), "Not Found", VLOOKUP(A664,'Master List'!A:C,3,FALSE)))</f>
        <v>olsher@sfsu.edu</v>
      </c>
      <c r="E664" s="64" t="s">
        <v>36</v>
      </c>
      <c r="F664" s="29" t="str">
        <f>IF(OR(A664="",E664="","",A664="?",E664="?"),"duplicate?",IF(COUNTIFS($A:A,A664,E:E,E664)&gt;1,"yes","no"))</f>
        <v>yes</v>
      </c>
      <c r="G664" s="64"/>
      <c r="H664" s="65">
        <v>45201</v>
      </c>
      <c r="I664" s="64" t="s">
        <v>70</v>
      </c>
      <c r="J664" s="64" t="s">
        <v>99</v>
      </c>
      <c r="K664" s="48">
        <f t="shared" ca="1" si="1"/>
        <v>45274.560426388889</v>
      </c>
      <c r="L664" s="64"/>
      <c r="M664" s="24"/>
    </row>
    <row r="665" spans="1:13" hidden="1">
      <c r="A665" s="64">
        <v>912745657</v>
      </c>
      <c r="B665" s="65">
        <v>45191</v>
      </c>
      <c r="C665" s="64" t="str">
        <f>IF(ISBLANK(A665),"Name",IF(ISNA(VLOOKUP(A665,'Master List'!A:C,2,FALSE)), "Not Found", VLOOKUP(A665,'Master List'!A:C,2,FALSE)))</f>
        <v>Lorenzo Finau-Cruz</v>
      </c>
      <c r="D665" s="64" t="str">
        <f>IF(ISBLANK(A665), "Email",IF(ISNA(VLOOKUP(A665,'Master List'!A:C,3,FALSE)), "Not Found", VLOOKUP(A665,'Master List'!A:C,3,FALSE)))</f>
        <v>finaucr@sfsu.edu</v>
      </c>
      <c r="E665" s="64" t="s">
        <v>105</v>
      </c>
      <c r="F665" s="29" t="str">
        <f>IF(OR(A665="",E665="","",A665="?",E665="?"),"duplicate?",IF(COUNTIFS($A:A,A665,E:E,E665)&gt;1,"yes","no"))</f>
        <v>no</v>
      </c>
      <c r="G665" s="64"/>
      <c r="H665" s="65" t="s">
        <v>148</v>
      </c>
      <c r="I665" s="64" t="s">
        <v>131</v>
      </c>
      <c r="J665" s="64"/>
      <c r="K665" s="48" t="str">
        <f t="shared" ca="1" si="1"/>
        <v>Date</v>
      </c>
      <c r="L665" s="64"/>
      <c r="M665" s="24"/>
    </row>
    <row r="666" spans="1:13" hidden="1">
      <c r="A666" s="64">
        <v>900520457</v>
      </c>
      <c r="B666" s="65">
        <v>45194</v>
      </c>
      <c r="C666" s="64" t="str">
        <f>IF(ISBLANK(A666),"Name",IF(ISNA(VLOOKUP(A666,'Master List'!A:C,2,FALSE)), "Not Found", VLOOKUP(A666,'Master List'!A:C,2,FALSE)))</f>
        <v>Richard Harvey</v>
      </c>
      <c r="D666" s="64" t="str">
        <f>IF(ISBLANK(A666), "Email",IF(ISNA(VLOOKUP(A666,'Master List'!A:C,3,FALSE)), "Not Found", VLOOKUP(A666,'Master List'!A:C,3,FALSE)))</f>
        <v>rharvey@sfsu.edu</v>
      </c>
      <c r="E666" s="64" t="s">
        <v>25</v>
      </c>
      <c r="F666" s="29" t="str">
        <f>IF(OR(A666="",E666="","",A666="?",E666="?"),"duplicate?",IF(COUNTIFS($A:A,A666,E:E,E666)&gt;1,"yes","no"))</f>
        <v>yes</v>
      </c>
      <c r="G666" s="64"/>
      <c r="H666" s="65">
        <v>45282</v>
      </c>
      <c r="I666" s="64" t="s">
        <v>70</v>
      </c>
      <c r="J666" s="64"/>
      <c r="K666" s="48" t="str">
        <f t="shared" ca="1" si="1"/>
        <v>Date</v>
      </c>
      <c r="L666" s="64"/>
      <c r="M666" s="24"/>
    </row>
    <row r="667" spans="1:13" hidden="1">
      <c r="A667" s="64">
        <v>918845244</v>
      </c>
      <c r="B667" s="65">
        <v>45195</v>
      </c>
      <c r="C667" s="64" t="str">
        <f>IF(ISBLANK(A667),"Name",IF(ISNA(VLOOKUP(A667,'Master List'!A:C,2,FALSE)), "Not Found", VLOOKUP(A667,'Master List'!A:C,2,FALSE)))</f>
        <v>Jingmei Li</v>
      </c>
      <c r="D667" s="64" t="str">
        <f>IF(ISBLANK(A667), "Email",IF(ISNA(VLOOKUP(A667,'Master List'!A:C,3,FALSE)), "Not Found", VLOOKUP(A667,'Master List'!A:C,3,FALSE)))</f>
        <v>jingmeili@sfsu.edu</v>
      </c>
      <c r="E667" s="64" t="s">
        <v>67</v>
      </c>
      <c r="F667" s="29" t="str">
        <f>IF(OR(A667="",E667="","",A667="?",E667="?"),"duplicate?",IF(COUNTIFS($A:A,A667,E:E,E667)&gt;1,"yes","no"))</f>
        <v>no</v>
      </c>
      <c r="G667" s="64"/>
      <c r="H667" s="65" t="s">
        <v>149</v>
      </c>
      <c r="I667" s="64" t="s">
        <v>54</v>
      </c>
      <c r="J667" s="64"/>
      <c r="K667" s="48" t="str">
        <f t="shared" ca="1" si="1"/>
        <v>Date</v>
      </c>
      <c r="L667" s="64"/>
      <c r="M667" s="24"/>
    </row>
    <row r="668" spans="1:13" hidden="1">
      <c r="A668" s="64">
        <v>900015056</v>
      </c>
      <c r="B668" s="65">
        <v>45195</v>
      </c>
      <c r="C668" s="64" t="str">
        <f>IF(ISBLANK(A668),"Name",IF(ISNA(VLOOKUP(A668,'Master List'!A:C,2,FALSE)), "Not Found", VLOOKUP(A668,'Master List'!A:C,2,FALSE)))</f>
        <v>Gustavo Calderon</v>
      </c>
      <c r="D668" s="64" t="str">
        <f>IF(ISBLANK(A668), "Email",IF(ISNA(VLOOKUP(A668,'Master List'!A:C,3,FALSE)), "Not Found", VLOOKUP(A668,'Master List'!A:C,3,FALSE)))</f>
        <v>gusto@sfsu.edu</v>
      </c>
      <c r="E668" s="64" t="s">
        <v>25</v>
      </c>
      <c r="F668" s="29" t="str">
        <f>IF(OR(A668="",E668="","",A668="?",E668="?"),"duplicate?",IF(COUNTIFS($A:A,A668,E:E,E668)&gt;1,"yes","no"))</f>
        <v>no</v>
      </c>
      <c r="G668" s="64"/>
      <c r="H668" s="65" t="s">
        <v>149</v>
      </c>
      <c r="I668" s="64" t="s">
        <v>54</v>
      </c>
      <c r="J668" s="64"/>
      <c r="K668" s="48" t="str">
        <f t="shared" ca="1" si="1"/>
        <v>Date</v>
      </c>
      <c r="L668" s="64"/>
      <c r="M668" s="24"/>
    </row>
    <row r="669" spans="1:13" hidden="1">
      <c r="A669" s="64">
        <v>900000951</v>
      </c>
      <c r="B669" s="65">
        <v>45197</v>
      </c>
      <c r="C669" s="64" t="str">
        <f>IF(ISBLANK(A669),"Name",IF(ISNA(VLOOKUP(A669,'Master List'!A:C,2,FALSE)), "Not Found", VLOOKUP(A669,'Master List'!A:C,2,FALSE)))</f>
        <v>Ricardo Gomes</v>
      </c>
      <c r="D669" s="64" t="str">
        <f>IF(ISBLANK(A669), "Email",IF(ISNA(VLOOKUP(A669,'Master List'!A:C,3,FALSE)), "Not Found", VLOOKUP(A669,'Master List'!A:C,3,FALSE)))</f>
        <v>ricgomes@sfsu.edu</v>
      </c>
      <c r="E669" s="64" t="s">
        <v>150</v>
      </c>
      <c r="F669" s="29" t="str">
        <f>IF(OR(A669="",E669="","",A669="?",E669="?"),"duplicate?",IF(COUNTIFS($A:A,A669,E:E,E669)&gt;1,"yes","no"))</f>
        <v>yes</v>
      </c>
      <c r="G669" s="64"/>
      <c r="H669" s="65">
        <v>45286</v>
      </c>
      <c r="I669" s="64" t="s">
        <v>72</v>
      </c>
      <c r="J669" s="64"/>
      <c r="K669" s="48" t="str">
        <f t="shared" ca="1" si="1"/>
        <v>Date</v>
      </c>
      <c r="L669" s="64"/>
      <c r="M669" s="24"/>
    </row>
    <row r="670" spans="1:13" hidden="1">
      <c r="A670" s="64">
        <v>900604385</v>
      </c>
      <c r="B670" s="65">
        <v>45197</v>
      </c>
      <c r="C670" s="64" t="str">
        <f>IF(ISBLANK(A670),"Name",IF(ISNA(VLOOKUP(A670,'Master List'!A:C,2,FALSE)), "Not Found", VLOOKUP(A670,'Master List'!A:C,2,FALSE)))</f>
        <v>Casondra Sobieralski</v>
      </c>
      <c r="D670" s="64" t="str">
        <f>IF(ISBLANK(A670), "Email",IF(ISNA(VLOOKUP(A670,'Master List'!A:C,3,FALSE)), "Not Found", VLOOKUP(A670,'Master List'!A:C,3,FALSE)))</f>
        <v>casondras@sfsu.edu</v>
      </c>
      <c r="E670" s="64" t="s">
        <v>20</v>
      </c>
      <c r="F670" s="29" t="str">
        <f>IF(OR(A670="",E670="","",A670="?",E670="?"),"duplicate?",IF(COUNTIFS($A:A,A670,E:E,E670)&gt;1,"yes","no"))</f>
        <v>no</v>
      </c>
      <c r="G670" s="64"/>
      <c r="H670" s="65">
        <v>45197</v>
      </c>
      <c r="I670" s="64" t="s">
        <v>61</v>
      </c>
      <c r="J670" s="64"/>
      <c r="K670" s="48" t="str">
        <f t="shared" ca="1" si="1"/>
        <v>Date</v>
      </c>
      <c r="L670" s="64"/>
      <c r="M670" s="24"/>
    </row>
    <row r="671" spans="1:13" hidden="1">
      <c r="A671" s="64">
        <v>900014133</v>
      </c>
      <c r="B671" s="65">
        <v>45197</v>
      </c>
      <c r="C671" s="64" t="str">
        <f>IF(ISBLANK(A671),"Name",IF(ISNA(VLOOKUP(A671,'Master List'!A:C,2,FALSE)), "Not Found", VLOOKUP(A671,'Master List'!A:C,2,FALSE)))</f>
        <v>Rhonnie Washington</v>
      </c>
      <c r="D671" s="64" t="str">
        <f>IF(ISBLANK(A671), "Email",IF(ISNA(VLOOKUP(A671,'Master List'!A:C,3,FALSE)), "Not Found", VLOOKUP(A671,'Master List'!A:C,3,FALSE)))</f>
        <v>rhonnie@sfsu.edu</v>
      </c>
      <c r="E671" s="64" t="s">
        <v>151</v>
      </c>
      <c r="F671" s="29" t="str">
        <f>IF(OR(A671="",E671="","",A671="?",E671="?"),"duplicate?",IF(COUNTIFS($A:A,A671,E:E,E671)&gt;1,"yes","no"))</f>
        <v>no</v>
      </c>
      <c r="G671" s="64"/>
      <c r="H671" s="65">
        <v>45211</v>
      </c>
      <c r="I671" s="64" t="s">
        <v>55</v>
      </c>
      <c r="J671" s="64"/>
      <c r="K671" s="48" t="str">
        <f t="shared" ca="1" si="1"/>
        <v>Date</v>
      </c>
      <c r="L671" s="64"/>
      <c r="M671" s="24"/>
    </row>
    <row r="672" spans="1:13" hidden="1">
      <c r="A672" s="64">
        <v>913759800</v>
      </c>
      <c r="B672" s="65">
        <v>45202</v>
      </c>
      <c r="C672" s="64" t="str">
        <f>IF(ISBLANK(A672),"Name",IF(ISNA(VLOOKUP(A672,'Master List'!A:C,2,FALSE)), "Not Found", VLOOKUP(A672,'Master List'!A:C,2,FALSE)))</f>
        <v>Peter DeHaas</v>
      </c>
      <c r="D672" s="64" t="str">
        <f>IF(ISBLANK(A672), "Email",IF(ISNA(VLOOKUP(A672,'Master List'!A:C,3,FALSE)), "Not Found", VLOOKUP(A672,'Master List'!A:C,3,FALSE)))</f>
        <v>pdehaas@sfsu.edu</v>
      </c>
      <c r="E672" s="64" t="s">
        <v>25</v>
      </c>
      <c r="F672" s="29" t="str">
        <f>IF(OR(A672="",E672="","",A672="?",E672="?"),"duplicate?",IF(COUNTIFS($A:A,A672,E:E,E672)&gt;1,"yes","no"))</f>
        <v>no</v>
      </c>
      <c r="G672" s="64"/>
      <c r="H672" s="65">
        <v>45204</v>
      </c>
      <c r="I672" s="64" t="s">
        <v>69</v>
      </c>
      <c r="J672" s="64"/>
      <c r="K672" s="48" t="str">
        <f t="shared" ca="1" si="1"/>
        <v>Date</v>
      </c>
      <c r="L672" s="64"/>
      <c r="M672" s="24"/>
    </row>
    <row r="673" spans="1:13" hidden="1">
      <c r="A673" s="64">
        <v>912745657</v>
      </c>
      <c r="B673" s="65">
        <v>45202</v>
      </c>
      <c r="C673" s="64" t="str">
        <f>IF(ISBLANK(A673),"Name",IF(ISNA(VLOOKUP(A673,'Master List'!A:C,2,FALSE)), "Not Found", VLOOKUP(A673,'Master List'!A:C,2,FALSE)))</f>
        <v>Lorenzo Finau-Cruz</v>
      </c>
      <c r="D673" s="64" t="str">
        <f>IF(ISBLANK(A673), "Email",IF(ISNA(VLOOKUP(A673,'Master List'!A:C,3,FALSE)), "Not Found", VLOOKUP(A673,'Master List'!A:C,3,FALSE)))</f>
        <v>finaucr@sfsu.edu</v>
      </c>
      <c r="E673" s="64" t="s">
        <v>261</v>
      </c>
      <c r="F673" s="29" t="str">
        <f>IF(OR(A673="",E673="","",A673="?",E673="?"),"duplicate?",IF(COUNTIFS($A:A,A673,E:E,E673)&gt;1,"yes","no"))</f>
        <v>yes</v>
      </c>
      <c r="G673" s="64"/>
      <c r="H673" s="65">
        <v>45275</v>
      </c>
      <c r="I673" s="64" t="s">
        <v>72</v>
      </c>
      <c r="J673" s="64"/>
      <c r="K673" s="48" t="str">
        <f t="shared" ca="1" si="1"/>
        <v>Date</v>
      </c>
      <c r="L673" s="64" t="s">
        <v>6497</v>
      </c>
      <c r="M673" s="24"/>
    </row>
    <row r="674" spans="1:13" hidden="1">
      <c r="A674" s="64">
        <v>910658039</v>
      </c>
      <c r="B674" s="65">
        <v>45203</v>
      </c>
      <c r="C674" s="64" t="str">
        <f>IF(ISBLANK(A674),"Name",IF(ISNA(VLOOKUP(A674,'Master List'!A:C,2,FALSE)), "Not Found", VLOOKUP(A674,'Master List'!A:C,2,FALSE)))</f>
        <v>Jeremy Domasian</v>
      </c>
      <c r="D674" s="64" t="str">
        <f>IF(ISBLANK(A674), "Email",IF(ISNA(VLOOKUP(A674,'Master List'!A:C,3,FALSE)), "Not Found", VLOOKUP(A674,'Master List'!A:C,3,FALSE)))</f>
        <v>jeremy@sfsu.edu</v>
      </c>
      <c r="E674" s="64" t="s">
        <v>152</v>
      </c>
      <c r="F674" s="29" t="str">
        <f>IF(OR(A674="",E674="","",A674="?",E674="?"),"duplicate?",IF(COUNTIFS($A:A,A674,E:E,E674)&gt;1,"yes","no"))</f>
        <v>no</v>
      </c>
      <c r="G674" s="64"/>
      <c r="H674" s="65" t="s">
        <v>127</v>
      </c>
      <c r="I674" s="64" t="s">
        <v>99</v>
      </c>
      <c r="J674" s="64"/>
      <c r="K674" s="48" t="str">
        <f t="shared" ca="1" si="1"/>
        <v>Date</v>
      </c>
      <c r="L674" s="64"/>
      <c r="M674" s="24"/>
    </row>
    <row r="675" spans="1:13" hidden="1">
      <c r="A675" s="64">
        <v>906100824</v>
      </c>
      <c r="B675" s="65">
        <v>45204</v>
      </c>
      <c r="C675" s="64" t="str">
        <f>IF(ISBLANK(A675),"Name",IF(ISNA(VLOOKUP(A675,'Master List'!A:C,2,FALSE)), "Not Found", VLOOKUP(A675,'Master List'!A:C,2,FALSE)))</f>
        <v>Christopher Fields</v>
      </c>
      <c r="D675" s="64" t="str">
        <f>IF(ISBLANK(A675), "Email",IF(ISNA(VLOOKUP(A675,'Master List'!A:C,3,FALSE)), "Not Found", VLOOKUP(A675,'Master List'!A:C,3,FALSE)))</f>
        <v>cfields5@sfsu.edu</v>
      </c>
      <c r="E675" s="64" t="s">
        <v>78</v>
      </c>
      <c r="F675" s="29" t="str">
        <f>IF(OR(A675="",E675="","",A675="?",E675="?"),"duplicate?",IF(COUNTIFS($A:A,A675,E:E,E675)&gt;1,"yes","no"))</f>
        <v>no</v>
      </c>
      <c r="G675" s="64"/>
      <c r="H675" s="65">
        <v>45204</v>
      </c>
      <c r="I675" s="64" t="s">
        <v>153</v>
      </c>
      <c r="J675" s="64"/>
      <c r="K675" s="48" t="str">
        <f t="shared" ca="1" si="1"/>
        <v>Date</v>
      </c>
      <c r="L675" s="64"/>
      <c r="M675" s="24"/>
    </row>
    <row r="676" spans="1:13" hidden="1">
      <c r="A676" s="64">
        <v>918851029</v>
      </c>
      <c r="B676" s="65">
        <v>45205</v>
      </c>
      <c r="C676" s="64" t="str">
        <f>IF(ISBLANK(A676),"Name",IF(ISNA(VLOOKUP(A676,'Master List'!A:C,2,FALSE)), "Not Found", VLOOKUP(A676,'Master List'!A:C,2,FALSE)))</f>
        <v>Julia Parma</v>
      </c>
      <c r="D676" s="64" t="str">
        <f>IF(ISBLANK(A676), "Email",IF(ISNA(VLOOKUP(A676,'Master List'!A:C,3,FALSE)), "Not Found", VLOOKUP(A676,'Master List'!A:C,3,FALSE)))</f>
        <v>julianaparma@sfsu.edu</v>
      </c>
      <c r="E676" s="64" t="s">
        <v>78</v>
      </c>
      <c r="F676" s="29" t="str">
        <f>IF(OR(A676="",E676="","",A676="?",E676="?"),"duplicate?",IF(COUNTIFS($A:A,A676,E:E,E676)&gt;1,"yes","no"))</f>
        <v>no</v>
      </c>
      <c r="G676" s="64"/>
      <c r="H676" s="65" t="s">
        <v>127</v>
      </c>
      <c r="I676" s="64" t="s">
        <v>70</v>
      </c>
      <c r="J676" s="64"/>
      <c r="K676" s="48" t="str">
        <f t="shared" ca="1" si="1"/>
        <v>Date</v>
      </c>
      <c r="L676" s="64"/>
      <c r="M676" s="24"/>
    </row>
    <row r="677" spans="1:13" hidden="1">
      <c r="A677" s="64">
        <v>910589178</v>
      </c>
      <c r="B677" s="65">
        <v>45208</v>
      </c>
      <c r="C677" s="64" t="str">
        <f>IF(ISBLANK(A677),"Name",IF(ISNA(VLOOKUP(A677,'Master List'!A:C,2,FALSE)), "Not Found", VLOOKUP(A677,'Master List'!A:C,2,FALSE)))</f>
        <v>Daniel Curtis-Cummins</v>
      </c>
      <c r="D677" s="64" t="str">
        <f>IF(ISBLANK(A677), "Email",IF(ISNA(VLOOKUP(A677,'Master List'!A:C,3,FALSE)), "Not Found", VLOOKUP(A677,'Master List'!A:C,3,FALSE)))</f>
        <v>dcc123@sfsu.edu</v>
      </c>
      <c r="E677" s="64"/>
      <c r="F677" s="29" t="str">
        <f>IF(OR(A677="",E677="","",A677="?",E677="?"),"duplicate?",IF(COUNTIFS($A:A,A677,E:E,E677)&gt;1,"yes","no"))</f>
        <v>duplicate?</v>
      </c>
      <c r="G677" s="64"/>
      <c r="H677" s="65"/>
      <c r="I677" s="64"/>
      <c r="J677" s="64"/>
      <c r="K677" s="48" t="str">
        <f t="shared" ca="1" si="1"/>
        <v>Date</v>
      </c>
      <c r="L677" s="64"/>
      <c r="M677" s="24"/>
    </row>
    <row r="678" spans="1:13" hidden="1">
      <c r="A678" s="64">
        <v>917322125</v>
      </c>
      <c r="B678" s="65">
        <v>45209</v>
      </c>
      <c r="C678" s="64" t="str">
        <f>IF(ISBLANK(A678),"Name",IF(ISNA(VLOOKUP(A678,'Master List'!A:C,2,FALSE)), "Not Found", VLOOKUP(A678,'Master List'!A:C,2,FALSE)))</f>
        <v>Dani Poortinga</v>
      </c>
      <c r="D678" s="64" t="str">
        <f>IF(ISBLANK(A678), "Email",IF(ISNA(VLOOKUP(A678,'Master List'!A:C,3,FALSE)), "Not Found", VLOOKUP(A678,'Master List'!A:C,3,FALSE)))</f>
        <v>dpoortinga@sfsu.edu</v>
      </c>
      <c r="E678" s="64" t="s">
        <v>33</v>
      </c>
      <c r="F678" s="29" t="str">
        <f>IF(OR(A678="",E678="","",A678="?",E678="?"),"duplicate?",IF(COUNTIFS($A:A,A678,E:E,E678)&gt;1,"yes","no"))</f>
        <v>no</v>
      </c>
      <c r="G678" s="64"/>
      <c r="H678" s="65" t="s">
        <v>125</v>
      </c>
      <c r="I678" s="64" t="s">
        <v>55</v>
      </c>
      <c r="J678" s="64"/>
      <c r="K678" s="48" t="str">
        <f t="shared" ca="1" si="1"/>
        <v>Date</v>
      </c>
      <c r="L678" s="64"/>
      <c r="M678" s="24"/>
    </row>
    <row r="679" spans="1:13" hidden="1">
      <c r="A679" s="64">
        <v>917322125</v>
      </c>
      <c r="B679" s="65">
        <v>45209</v>
      </c>
      <c r="C679" s="64" t="str">
        <f>IF(ISBLANK(A679),"Name",IF(ISNA(VLOOKUP(A679,'Master List'!A:C,2,FALSE)), "Not Found", VLOOKUP(A679,'Master List'!A:C,2,FALSE)))</f>
        <v>Dani Poortinga</v>
      </c>
      <c r="D679" s="64" t="str">
        <f>IF(ISBLANK(A679), "Email",IF(ISNA(VLOOKUP(A679,'Master List'!A:C,3,FALSE)), "Not Found", VLOOKUP(A679,'Master List'!A:C,3,FALSE)))</f>
        <v>dpoortinga@sfsu.edu</v>
      </c>
      <c r="E679" s="64" t="s">
        <v>25</v>
      </c>
      <c r="F679" s="29" t="str">
        <f>IF(OR(A679="",E679="","",A679="?",E679="?"),"duplicate?",IF(COUNTIFS($A:A,A679,E:E,E679)&gt;1,"yes","no"))</f>
        <v>yes</v>
      </c>
      <c r="G679" s="64"/>
      <c r="H679" s="65" t="s">
        <v>6498</v>
      </c>
      <c r="I679" s="64" t="s">
        <v>55</v>
      </c>
      <c r="J679" s="64"/>
      <c r="K679" s="48" t="str">
        <f t="shared" ca="1" si="1"/>
        <v>Date</v>
      </c>
      <c r="L679" s="64"/>
      <c r="M679" s="24"/>
    </row>
    <row r="680" spans="1:13">
      <c r="A680" s="64">
        <v>907441085</v>
      </c>
      <c r="B680" s="65">
        <v>45210</v>
      </c>
      <c r="C680" s="64" t="str">
        <f>IF(ISBLANK(A680),"Name",IF(ISNA(VLOOKUP(A680,'Master List'!A:C,2,FALSE)), "Not Found", VLOOKUP(A680,'Master List'!A:C,2,FALSE)))</f>
        <v>Cathy Rath</v>
      </c>
      <c r="D680" s="64" t="str">
        <f>IF(ISBLANK(A680), "Email",IF(ISNA(VLOOKUP(A680,'Master List'!A:C,3,FALSE)), "Not Found", VLOOKUP(A680,'Master List'!A:C,3,FALSE)))</f>
        <v>crath@sfsu.edu</v>
      </c>
      <c r="E680" s="64" t="s">
        <v>23</v>
      </c>
      <c r="F680" s="29" t="str">
        <f>IF(OR(A680="",E680="","",A680="?",E680="?"),"duplicate?",IF(COUNTIFS($A:A,A680,E:E,E680)&gt;1,"yes","no"))</f>
        <v>yes</v>
      </c>
      <c r="G680" s="64"/>
      <c r="H680" s="65">
        <v>45215</v>
      </c>
      <c r="I680" s="64" t="s">
        <v>153</v>
      </c>
      <c r="J680" s="64" t="s">
        <v>99</v>
      </c>
      <c r="K680" s="48">
        <f t="shared" ca="1" si="1"/>
        <v>45274.560426388889</v>
      </c>
      <c r="L680" s="64"/>
      <c r="M680" s="24"/>
    </row>
    <row r="681" spans="1:13" hidden="1">
      <c r="A681" s="64">
        <v>907441085</v>
      </c>
      <c r="B681" s="65">
        <v>45210</v>
      </c>
      <c r="C681" s="64" t="str">
        <f>IF(ISBLANK(A681),"Name",IF(ISNA(VLOOKUP(A681,'Master List'!A:C,2,FALSE)), "Not Found", VLOOKUP(A681,'Master List'!A:C,2,FALSE)))</f>
        <v>Cathy Rath</v>
      </c>
      <c r="D681" s="64" t="str">
        <f>IF(ISBLANK(A681), "Email",IF(ISNA(VLOOKUP(A681,'Master List'!A:C,3,FALSE)), "Not Found", VLOOKUP(A681,'Master List'!A:C,3,FALSE)))</f>
        <v>crath@sfsu.edu</v>
      </c>
      <c r="E681" s="64" t="s">
        <v>92</v>
      </c>
      <c r="F681" s="29" t="str">
        <f>IF(OR(A681="",E681="","",A681="?",E681="?"),"duplicate?",IF(COUNTIFS($A:A,A681,E:E,E681)&gt;1,"yes","no"))</f>
        <v>no</v>
      </c>
      <c r="G681" s="64"/>
      <c r="H681" s="65">
        <v>45215</v>
      </c>
      <c r="I681" s="64" t="s">
        <v>153</v>
      </c>
      <c r="J681" s="64"/>
      <c r="K681" s="48" t="str">
        <f t="shared" ca="1" si="1"/>
        <v>Date</v>
      </c>
      <c r="L681" s="64"/>
      <c r="M681" s="24"/>
    </row>
    <row r="682" spans="1:13">
      <c r="A682" s="64">
        <v>907441085</v>
      </c>
      <c r="B682" s="65">
        <v>45211</v>
      </c>
      <c r="C682" s="64" t="str">
        <f>IF(ISBLANK(A682),"Name",IF(ISNA(VLOOKUP(A682,'Master List'!A:C,2,FALSE)), "Not Found", VLOOKUP(A682,'Master List'!A:C,2,FALSE)))</f>
        <v>Cathy Rath</v>
      </c>
      <c r="D682" s="64" t="str">
        <f>IF(ISBLANK(A682), "Email",IF(ISNA(VLOOKUP(A682,'Master List'!A:C,3,FALSE)), "Not Found", VLOOKUP(A682,'Master List'!A:C,3,FALSE)))</f>
        <v>crath@sfsu.edu</v>
      </c>
      <c r="E682" s="64" t="s">
        <v>227</v>
      </c>
      <c r="F682" s="29" t="str">
        <f>IF(OR(A682="",E682="","",A682="?",E682="?"),"duplicate?",IF(COUNTIFS($A:A,A682,E:E,E682)&gt;1,"yes","no"))</f>
        <v>yes</v>
      </c>
      <c r="G682" s="64"/>
      <c r="H682" s="65">
        <v>45215</v>
      </c>
      <c r="I682" s="64" t="s">
        <v>153</v>
      </c>
      <c r="J682" s="64" t="s">
        <v>99</v>
      </c>
      <c r="K682" s="48">
        <f t="shared" ca="1" si="1"/>
        <v>45274.560426388889</v>
      </c>
      <c r="L682" s="64"/>
      <c r="M682" s="24"/>
    </row>
    <row r="683" spans="1:13" hidden="1">
      <c r="A683" s="64">
        <v>911369841</v>
      </c>
      <c r="B683" s="65">
        <v>45211</v>
      </c>
      <c r="C683" s="64" t="str">
        <f>IF(ISBLANK(A683),"Name",IF(ISNA(VLOOKUP(A683,'Master List'!A:C,2,FALSE)), "Not Found", VLOOKUP(A683,'Master List'!A:C,2,FALSE)))</f>
        <v>Aiko Yoshino</v>
      </c>
      <c r="D683" s="64" t="str">
        <f>IF(ISBLANK(A683), "Email",IF(ISNA(VLOOKUP(A683,'Master List'!A:C,3,FALSE)), "Not Found", VLOOKUP(A683,'Master List'!A:C,3,FALSE)))</f>
        <v>ayoshino@sfsu.edu</v>
      </c>
      <c r="E683" s="64" t="s">
        <v>76</v>
      </c>
      <c r="F683" s="29" t="str">
        <f>IF(OR(A683="",E683="","",A683="?",E683="?"),"duplicate?",IF(COUNTIFS($A:A,A683,E:E,E683)&gt;1,"yes","no"))</f>
        <v>no</v>
      </c>
      <c r="G683" s="64"/>
      <c r="H683" s="65">
        <v>45211</v>
      </c>
      <c r="I683" s="64" t="s">
        <v>61</v>
      </c>
      <c r="J683" s="64"/>
      <c r="K683" s="48" t="str">
        <f t="shared" ca="1" si="1"/>
        <v>Date</v>
      </c>
      <c r="L683" s="64"/>
      <c r="M683" s="24"/>
    </row>
    <row r="684" spans="1:13" hidden="1">
      <c r="A684" s="66">
        <v>918839368</v>
      </c>
      <c r="B684" s="65">
        <v>45211</v>
      </c>
      <c r="C684" s="64" t="str">
        <f>IF(ISBLANK(A684),"Name",IF(ISNA(VLOOKUP(A684,'Master List'!A:C,2,FALSE)), "Not Found", VLOOKUP(A684,'Master List'!A:C,2,FALSE)))</f>
        <v>Michael De Anda Muniz</v>
      </c>
      <c r="D684" s="64" t="str">
        <f>IF(ISBLANK(A684), "Email",IF(ISNA(VLOOKUP(A684,'Master List'!A:C,3,FALSE)), "Not Found", VLOOKUP(A684,'Master List'!A:C,3,FALSE)))</f>
        <v>mdeandamuniz@sfsu.edu</v>
      </c>
      <c r="E684" s="64" t="s">
        <v>31</v>
      </c>
      <c r="F684" s="29" t="str">
        <f>IF(OR(A684="",E684="","",A684="?",E684="?"),"duplicate?",IF(COUNTIFS($A:A,A684,E:E,E684)&gt;1,"yes","no"))</f>
        <v>no</v>
      </c>
      <c r="G684" s="64"/>
      <c r="H684" s="65" t="s">
        <v>21</v>
      </c>
      <c r="I684" s="64" t="s">
        <v>69</v>
      </c>
      <c r="J684" s="64"/>
      <c r="K684" s="48" t="str">
        <f t="shared" ca="1" si="1"/>
        <v>Date</v>
      </c>
      <c r="L684" s="64"/>
      <c r="M684" s="24"/>
    </row>
    <row r="685" spans="1:13" hidden="1">
      <c r="A685" s="64">
        <v>900520457</v>
      </c>
      <c r="B685" s="65">
        <v>45211</v>
      </c>
      <c r="C685" s="64" t="str">
        <f>IF(ISBLANK(A685),"Name",IF(ISNA(VLOOKUP(A685,'Master List'!A:C,2,FALSE)), "Not Found", VLOOKUP(A685,'Master List'!A:C,2,FALSE)))</f>
        <v>Richard Harvey</v>
      </c>
      <c r="D685" s="64" t="str">
        <f>IF(ISBLANK(A685), "Email",IF(ISNA(VLOOKUP(A685,'Master List'!A:C,3,FALSE)), "Not Found", VLOOKUP(A685,'Master List'!A:C,3,FALSE)))</f>
        <v>rharvey@sfsu.edu</v>
      </c>
      <c r="E685" s="64" t="s">
        <v>58</v>
      </c>
      <c r="F685" s="29" t="str">
        <f>IF(OR(A685="",E685="","",A685="?",E685="?"),"duplicate?",IF(COUNTIFS($A:A,A685,E:E,E685)&gt;1,"yes","no"))</f>
        <v>yes</v>
      </c>
      <c r="G685" s="64"/>
      <c r="H685" s="65">
        <v>45219</v>
      </c>
      <c r="I685" s="64" t="s">
        <v>61</v>
      </c>
      <c r="J685" s="64"/>
      <c r="K685" s="48" t="str">
        <f t="shared" ca="1" si="1"/>
        <v>Date</v>
      </c>
      <c r="L685" s="64"/>
      <c r="M685" s="24"/>
    </row>
    <row r="686" spans="1:13" hidden="1">
      <c r="A686" s="64">
        <v>900520457</v>
      </c>
      <c r="B686" s="65">
        <v>45211</v>
      </c>
      <c r="C686" s="64" t="str">
        <f>IF(ISBLANK(A686),"Name",IF(ISNA(VLOOKUP(A686,'Master List'!A:C,2,FALSE)), "Not Found", VLOOKUP(A686,'Master List'!A:C,2,FALSE)))</f>
        <v>Richard Harvey</v>
      </c>
      <c r="D686" s="64" t="str">
        <f>IF(ISBLANK(A686), "Email",IF(ISNA(VLOOKUP(A686,'Master List'!A:C,3,FALSE)), "Not Found", VLOOKUP(A686,'Master List'!A:C,3,FALSE)))</f>
        <v>rharvey@sfsu.edu</v>
      </c>
      <c r="E686" s="64" t="s">
        <v>23</v>
      </c>
      <c r="F686" s="29" t="str">
        <f>IF(OR(A686="",E686="","",A686="?",E686="?"),"duplicate?",IF(COUNTIFS($A:A,A686,E:E,E686)&gt;1,"yes","no"))</f>
        <v>no</v>
      </c>
      <c r="G686" s="64"/>
      <c r="H686" s="65">
        <v>45219</v>
      </c>
      <c r="I686" s="64" t="s">
        <v>69</v>
      </c>
      <c r="J686" s="64"/>
      <c r="K686" s="48" t="str">
        <f t="shared" ca="1" si="1"/>
        <v>Date</v>
      </c>
      <c r="L686" s="64"/>
      <c r="M686" s="24"/>
    </row>
    <row r="687" spans="1:13" hidden="1">
      <c r="A687" s="64">
        <v>912033556</v>
      </c>
      <c r="B687" s="65">
        <v>45212</v>
      </c>
      <c r="C687" s="64" t="str">
        <f>IF(ISBLANK(A687),"Name",IF(ISNA(VLOOKUP(A687,'Master List'!A:C,2,FALSE)), "Not Found", VLOOKUP(A687,'Master List'!A:C,2,FALSE)))</f>
        <v>Clive Hayzelden</v>
      </c>
      <c r="D687" s="64" t="str">
        <f>IF(ISBLANK(A687), "Email",IF(ISNA(VLOOKUP(A687,'Master List'!A:C,3,FALSE)), "Not Found", VLOOKUP(A687,'Master List'!A:C,3,FALSE)))</f>
        <v>cliveh@sfsu.edu</v>
      </c>
      <c r="E687" s="64" t="s">
        <v>30</v>
      </c>
      <c r="F687" s="29" t="str">
        <f>IF(OR(A687="",E687="","",A687="?",E687="?"),"duplicate?",IF(COUNTIFS($A:A,A687,E:E,E687)&gt;1,"yes","no"))</f>
        <v>yes</v>
      </c>
      <c r="G687" s="64"/>
      <c r="H687" s="65">
        <v>45276</v>
      </c>
      <c r="I687" s="64" t="s">
        <v>131</v>
      </c>
      <c r="J687" s="64"/>
      <c r="K687" s="48" t="str">
        <f t="shared" ca="1" si="1"/>
        <v>Date</v>
      </c>
      <c r="L687" s="64"/>
      <c r="M687" s="24"/>
    </row>
    <row r="688" spans="1:13" hidden="1">
      <c r="A688" s="64">
        <v>915442845</v>
      </c>
      <c r="B688" s="65">
        <v>45212</v>
      </c>
      <c r="C688" s="64" t="str">
        <f>IF(ISBLANK(A688),"Name",IF(ISNA(VLOOKUP(A688,'Master List'!A:C,2,FALSE)), "Not Found", VLOOKUP(A688,'Master List'!A:C,2,FALSE)))</f>
        <v>Shirley Tsang</v>
      </c>
      <c r="D688" s="64" t="str">
        <f>IF(ISBLANK(A688), "Email",IF(ISNA(VLOOKUP(A688,'Master List'!A:C,3,FALSE)), "Not Found", VLOOKUP(A688,'Master List'!A:C,3,FALSE)))</f>
        <v>stsang1@sfsu.edu</v>
      </c>
      <c r="E688" s="64" t="s">
        <v>19</v>
      </c>
      <c r="F688" s="29" t="str">
        <f>IF(OR(A688="",E688="","",A688="?",E688="?"),"duplicate?",IF(COUNTIFS($A:A,A688,E:E,E688)&gt;1,"yes","no"))</f>
        <v>no</v>
      </c>
      <c r="G688" s="64"/>
      <c r="H688" s="65" t="s">
        <v>137</v>
      </c>
      <c r="I688" s="64" t="s">
        <v>99</v>
      </c>
      <c r="J688" s="64"/>
      <c r="K688" s="48" t="str">
        <f t="shared" ca="1" si="1"/>
        <v>Date</v>
      </c>
      <c r="L688" s="64"/>
      <c r="M688" s="24"/>
    </row>
    <row r="689" spans="1:13" hidden="1">
      <c r="A689" s="64">
        <v>921406197</v>
      </c>
      <c r="B689" s="65">
        <v>45215</v>
      </c>
      <c r="C689" s="64" t="str">
        <f>IF(ISBLANK(A689),"Name",IF(ISNA(VLOOKUP(A689,'Master List'!A:C,2,FALSE)), "Not Found", VLOOKUP(A689,'Master List'!A:C,2,FALSE)))</f>
        <v>Christopher Pascua</v>
      </c>
      <c r="D689" s="64" t="str">
        <f>IF(ISBLANK(A689), "Email",IF(ISNA(VLOOKUP(A689,'Master List'!A:C,3,FALSE)), "Not Found", VLOOKUP(A689,'Master List'!A:C,3,FALSE)))</f>
        <v>cpascua@sfsu.edu</v>
      </c>
      <c r="E689" s="64" t="s">
        <v>48</v>
      </c>
      <c r="F689" s="29" t="str">
        <f>IF(OR(A689="",E689="","",A689="?",E689="?"),"duplicate?",IF(COUNTIFS($A:A,A689,E:E,E689)&gt;1,"yes","no"))</f>
        <v>yes</v>
      </c>
      <c r="G689" s="64"/>
      <c r="H689" s="65" t="s">
        <v>125</v>
      </c>
      <c r="I689" s="64" t="s">
        <v>155</v>
      </c>
      <c r="J689" s="64"/>
      <c r="K689" s="48" t="str">
        <f t="shared" ca="1" si="1"/>
        <v>Date</v>
      </c>
      <c r="L689" s="64"/>
      <c r="M689" s="24"/>
    </row>
    <row r="690" spans="1:13" hidden="1">
      <c r="A690" s="64">
        <v>900520457</v>
      </c>
      <c r="B690" s="65">
        <v>45215</v>
      </c>
      <c r="C690" s="64" t="str">
        <f>IF(ISBLANK(A690),"Name",IF(ISNA(VLOOKUP(A690,'Master List'!A:C,2,FALSE)), "Not Found", VLOOKUP(A690,'Master List'!A:C,2,FALSE)))</f>
        <v>Richard Harvey</v>
      </c>
      <c r="D690" s="64" t="str">
        <f>IF(ISBLANK(A690), "Email",IF(ISNA(VLOOKUP(A690,'Master List'!A:C,3,FALSE)), "Not Found", VLOOKUP(A690,'Master List'!A:C,3,FALSE)))</f>
        <v>rharvey@sfsu.edu</v>
      </c>
      <c r="E690" s="64" t="s">
        <v>25</v>
      </c>
      <c r="F690" s="29" t="str">
        <f>IF(OR(A690="",E690="","",A690="?",E690="?"),"duplicate?",IF(COUNTIFS($A:A,A690,E:E,E690)&gt;1,"yes","no"))</f>
        <v>yes</v>
      </c>
      <c r="G690" s="64"/>
      <c r="H690" s="65" t="s">
        <v>125</v>
      </c>
      <c r="I690" s="64" t="s">
        <v>70</v>
      </c>
      <c r="J690" s="64"/>
      <c r="K690" s="48" t="str">
        <f t="shared" ca="1" si="1"/>
        <v>Date</v>
      </c>
      <c r="L690" s="64" t="s">
        <v>154</v>
      </c>
      <c r="M690" s="24"/>
    </row>
    <row r="691" spans="1:13" hidden="1">
      <c r="A691" s="64">
        <v>918839524</v>
      </c>
      <c r="B691" s="65">
        <v>45217</v>
      </c>
      <c r="C691" s="64" t="str">
        <f>IF(ISBLANK(A691),"Name",IF(ISNA(VLOOKUP(A691,'Master List'!A:C,2,FALSE)), "Not Found", VLOOKUP(A691,'Master List'!A:C,2,FALSE)))</f>
        <v>Tzec, Sosa Tzec</v>
      </c>
      <c r="D691" s="64" t="str">
        <f>IF(ISBLANK(A691), "Email",IF(ISNA(VLOOKUP(A691,'Master List'!A:C,3,FALSE)), "Not Found", VLOOKUP(A691,'Master List'!A:C,3,FALSE)))</f>
        <v>omarsosa@sfsu.edu</v>
      </c>
      <c r="E691" s="64" t="s">
        <v>48</v>
      </c>
      <c r="F691" s="29" t="str">
        <f>IF(OR(A691="",E691="","",A691="?",E691="?"),"duplicate?",IF(COUNTIFS($A:A,A691,E:E,E691)&gt;1,"yes","no"))</f>
        <v>no</v>
      </c>
      <c r="G691" s="64"/>
      <c r="H691" s="65" t="s">
        <v>125</v>
      </c>
      <c r="I691" s="64" t="s">
        <v>99</v>
      </c>
      <c r="J691" s="64"/>
      <c r="K691" s="48" t="str">
        <f t="shared" ca="1" si="1"/>
        <v>Date</v>
      </c>
      <c r="L691" s="64"/>
      <c r="M691" s="24"/>
    </row>
    <row r="692" spans="1:13" hidden="1">
      <c r="A692" s="64">
        <v>905958448</v>
      </c>
      <c r="B692" s="65">
        <v>45224</v>
      </c>
      <c r="C692" s="64" t="str">
        <f>IF(ISBLANK(A692),"Name",IF(ISNA(VLOOKUP(A692,'Master List'!A:C,2,FALSE)), "Not Found", VLOOKUP(A692,'Master List'!A:C,2,FALSE)))</f>
        <v>Yoko Toriyabe</v>
      </c>
      <c r="D692" s="64" t="str">
        <f>IF(ISBLANK(A692), "Email",IF(ISNA(VLOOKUP(A692,'Master List'!A:C,3,FALSE)), "Not Found", VLOOKUP(A692,'Master List'!A:C,3,FALSE)))</f>
        <v>toriyabe@sfsu.edu</v>
      </c>
      <c r="E692" s="64" t="s">
        <v>67</v>
      </c>
      <c r="F692" s="29" t="str">
        <f>IF(OR(A692="",E692="","",A692="?",E692="?"),"duplicate?",IF(COUNTIFS($A:A,A692,E:E,E692)&gt;1,"yes","no"))</f>
        <v>no</v>
      </c>
      <c r="G692" s="64"/>
      <c r="H692" s="65" t="s">
        <v>136</v>
      </c>
      <c r="I692" s="64" t="s">
        <v>155</v>
      </c>
      <c r="J692" s="64"/>
      <c r="K692" s="48" t="str">
        <f t="shared" ca="1" si="1"/>
        <v>Date</v>
      </c>
      <c r="L692" s="64"/>
      <c r="M692" s="24"/>
    </row>
    <row r="693" spans="1:13" hidden="1">
      <c r="A693" s="64">
        <v>900039860</v>
      </c>
      <c r="B693" s="65">
        <v>45225</v>
      </c>
      <c r="C693" s="64" t="str">
        <f>IF(ISBLANK(A693),"Name",IF(ISNA(VLOOKUP(A693,'Master List'!A:C,2,FALSE)), "Not Found", VLOOKUP(A693,'Master List'!A:C,2,FALSE)))</f>
        <v>Gus Vouchilas</v>
      </c>
      <c r="D693" s="64" t="str">
        <f>IF(ISBLANK(A693), "Email",IF(ISNA(VLOOKUP(A693,'Master List'!A:C,3,FALSE)), "Not Found", VLOOKUP(A693,'Master List'!A:C,3,FALSE)))</f>
        <v>gusv@sfsu.edu</v>
      </c>
      <c r="E693" s="64" t="s">
        <v>156</v>
      </c>
      <c r="F693" s="29" t="str">
        <f>IF(OR(A693="",E693="","",A693="?",E693="?"),"duplicate?",IF(COUNTIFS($A:A,A693,E:E,E693)&gt;1,"yes","no"))</f>
        <v>no</v>
      </c>
      <c r="G693" s="64"/>
      <c r="H693" s="65">
        <v>45244</v>
      </c>
      <c r="I693" s="64" t="s">
        <v>66</v>
      </c>
      <c r="J693" s="64"/>
      <c r="K693" s="48" t="str">
        <f t="shared" ca="1" si="1"/>
        <v>Date</v>
      </c>
      <c r="L693" s="64" t="s">
        <v>157</v>
      </c>
      <c r="M693" s="24"/>
    </row>
    <row r="694" spans="1:13" hidden="1">
      <c r="A694" s="64">
        <v>900021621</v>
      </c>
      <c r="B694" s="65">
        <v>45225</v>
      </c>
      <c r="C694" s="64" t="str">
        <f>IF(ISBLANK(A694),"Name",IF(ISNA(VLOOKUP(A694,'Master List'!A:C,2,FALSE)), "Not Found", VLOOKUP(A694,'Master List'!A:C,2,FALSE)))</f>
        <v>Cristina Ruotolo</v>
      </c>
      <c r="D694" s="64" t="str">
        <f>IF(ISBLANK(A694), "Email",IF(ISNA(VLOOKUP(A694,'Master List'!A:C,3,FALSE)), "Not Found", VLOOKUP(A694,'Master List'!A:C,3,FALSE)))</f>
        <v>ruotolo@sfsu.edu</v>
      </c>
      <c r="E694" s="64" t="s">
        <v>23</v>
      </c>
      <c r="F694" s="29" t="str">
        <f>IF(OR(A694="",E694="","",A694="?",E694="?"),"duplicate?",IF(COUNTIFS($A:A,A694,E:E,E694)&gt;1,"yes","no"))</f>
        <v>no</v>
      </c>
      <c r="G694" s="64"/>
      <c r="H694" s="65">
        <v>45276</v>
      </c>
      <c r="I694" s="64" t="s">
        <v>70</v>
      </c>
      <c r="J694" s="64"/>
      <c r="K694" s="48" t="str">
        <f t="shared" ca="1" si="1"/>
        <v>Date</v>
      </c>
      <c r="L694" s="64"/>
      <c r="M694" s="24"/>
    </row>
    <row r="695" spans="1:13" hidden="1">
      <c r="A695" s="64">
        <v>916474135</v>
      </c>
      <c r="B695" s="65">
        <v>45225</v>
      </c>
      <c r="C695" s="64" t="str">
        <f>IF(ISBLANK(A695),"Name",IF(ISNA(VLOOKUP(A695,'Master List'!A:C,2,FALSE)), "Not Found", VLOOKUP(A695,'Master List'!A:C,2,FALSE)))</f>
        <v>Steve Choe</v>
      </c>
      <c r="D695" s="64" t="str">
        <f>IF(ISBLANK(A695), "Email",IF(ISNA(VLOOKUP(A695,'Master List'!A:C,3,FALSE)), "Not Found", VLOOKUP(A695,'Master List'!A:C,3,FALSE)))</f>
        <v>stevec3@sfsu.edu</v>
      </c>
      <c r="E695" s="64" t="s">
        <v>25</v>
      </c>
      <c r="F695" s="29" t="str">
        <f>IF(OR(A695="",E695="","",A695="?",E695="?"),"duplicate?",IF(COUNTIFS($A:A,A695,E:E,E695)&gt;1,"yes","no"))</f>
        <v>no</v>
      </c>
      <c r="G695" s="64"/>
      <c r="H695" s="65" t="s">
        <v>158</v>
      </c>
      <c r="I695" s="64" t="s">
        <v>72</v>
      </c>
      <c r="J695" s="64"/>
      <c r="K695" s="48" t="str">
        <f t="shared" ca="1" si="1"/>
        <v>Date</v>
      </c>
      <c r="L695" s="64"/>
      <c r="M695" s="24"/>
    </row>
    <row r="696" spans="1:13" hidden="1">
      <c r="A696" s="64">
        <v>904859987</v>
      </c>
      <c r="B696" s="65">
        <v>45226</v>
      </c>
      <c r="C696" s="64" t="str">
        <f>IF(ISBLANK(A696),"Name",IF(ISNA(VLOOKUP(A696,'Master List'!A:C,2,FALSE)), "Not Found", VLOOKUP(A696,'Master List'!A:C,2,FALSE)))</f>
        <v>John Ulloa</v>
      </c>
      <c r="D696" s="64" t="str">
        <f>IF(ISBLANK(A696), "Email",IF(ISNA(VLOOKUP(A696,'Master List'!A:C,3,FALSE)), "Not Found", VLOOKUP(A696,'Master List'!A:C,3,FALSE)))</f>
        <v>julloa@sfsu.edu</v>
      </c>
      <c r="E696" s="64" t="s">
        <v>151</v>
      </c>
      <c r="F696" s="29" t="str">
        <f>IF(OR(A696="",E696="","",A696="?",E696="?"),"duplicate?",IF(COUNTIFS($A:A,A696,E:E,E696)&gt;1,"yes","no"))</f>
        <v>yes</v>
      </c>
      <c r="G696" s="64">
        <v>70038</v>
      </c>
      <c r="H696" s="65" t="s">
        <v>6499</v>
      </c>
      <c r="I696" s="64" t="s">
        <v>70</v>
      </c>
      <c r="J696" s="64"/>
      <c r="K696" s="48" t="str">
        <f t="shared" ca="1" si="1"/>
        <v>Date</v>
      </c>
      <c r="L696" s="64" t="s">
        <v>6500</v>
      </c>
      <c r="M696" s="24"/>
    </row>
    <row r="697" spans="1:13" hidden="1">
      <c r="A697" s="64">
        <v>904859987</v>
      </c>
      <c r="B697" s="65">
        <v>45226</v>
      </c>
      <c r="C697" s="64" t="str">
        <f>IF(ISBLANK(A697),"Name",IF(ISNA(VLOOKUP(A697,'Master List'!A:C,2,FALSE)), "Not Found", VLOOKUP(A697,'Master List'!A:C,2,FALSE)))</f>
        <v>John Ulloa</v>
      </c>
      <c r="D697" s="64" t="str">
        <f>IF(ISBLANK(A697), "Email",IF(ISNA(VLOOKUP(A697,'Master List'!A:C,3,FALSE)), "Not Found", VLOOKUP(A697,'Master List'!A:C,3,FALSE)))</f>
        <v>julloa@sfsu.edu</v>
      </c>
      <c r="E697" s="64" t="s">
        <v>151</v>
      </c>
      <c r="F697" s="29" t="str">
        <f>IF(OR(A697="",E697="","",A697="?",E697="?"),"duplicate?",IF(COUNTIFS($A:A,A697,E:E,E697)&gt;1,"yes","no"))</f>
        <v>yes</v>
      </c>
      <c r="G697" s="64">
        <v>70339</v>
      </c>
      <c r="H697" s="65" t="s">
        <v>127</v>
      </c>
      <c r="I697" s="64" t="s">
        <v>70</v>
      </c>
      <c r="J697" s="64"/>
      <c r="K697" s="48" t="str">
        <f t="shared" ca="1" si="1"/>
        <v>Date</v>
      </c>
      <c r="L697" s="64" t="s">
        <v>6500</v>
      </c>
      <c r="M697" s="24"/>
    </row>
    <row r="698" spans="1:13">
      <c r="A698" s="64">
        <v>920259675</v>
      </c>
      <c r="B698" s="65">
        <v>45226</v>
      </c>
      <c r="C698" s="64" t="str">
        <f>IF(ISBLANK(A698),"Name",IF(ISNA(VLOOKUP(A698,'Master List'!A:C,2,FALSE)), "Not Found", VLOOKUP(A698,'Master List'!A:C,2,FALSE)))</f>
        <v>Jessica Solis</v>
      </c>
      <c r="D698" s="64" t="str">
        <f>IF(ISBLANK(A698), "Email",IF(ISNA(VLOOKUP(A698,'Master List'!A:C,3,FALSE)), "Not Found", VLOOKUP(A698,'Master List'!A:C,3,FALSE)))</f>
        <v>jsolis8@mail.sfsu.edu</v>
      </c>
      <c r="E698" s="64" t="s">
        <v>95</v>
      </c>
      <c r="F698" s="29" t="str">
        <f>IF(OR(A698="",E698="","",A698="?",E698="?"),"duplicate?",IF(COUNTIFS($A:A,A698,E:E,E698)&gt;1,"yes","no"))</f>
        <v>no</v>
      </c>
      <c r="G698" s="64" t="s">
        <v>6501</v>
      </c>
      <c r="H698" s="65" t="s">
        <v>148</v>
      </c>
      <c r="I698" s="64" t="s">
        <v>70</v>
      </c>
      <c r="J698" s="64" t="s">
        <v>153</v>
      </c>
      <c r="K698" s="48">
        <f t="shared" ca="1" si="1"/>
        <v>45274.560426388889</v>
      </c>
      <c r="L698" s="64"/>
      <c r="M698" s="24"/>
    </row>
    <row r="699" spans="1:13" hidden="1">
      <c r="A699" s="64">
        <v>900044488</v>
      </c>
      <c r="B699" s="65">
        <v>45229</v>
      </c>
      <c r="C699" s="64" t="str">
        <f>IF(ISBLANK(A699),"Name",IF(ISNA(VLOOKUP(A699,'Master List'!A:C,2,FALSE)), "Not Found", VLOOKUP(A699,'Master List'!A:C,2,FALSE)))</f>
        <v>Christy Lao</v>
      </c>
      <c r="D699" s="64" t="str">
        <f>IF(ISBLANK(A699), "Email",IF(ISNA(VLOOKUP(A699,'Master List'!A:C,3,FALSE)), "Not Found", VLOOKUP(A699,'Master List'!A:C,3,FALSE)))</f>
        <v>clao@sfsu.edu</v>
      </c>
      <c r="E699" s="64" t="s">
        <v>25</v>
      </c>
      <c r="F699" s="29" t="str">
        <f>IF(OR(A699="",E699="","",A699="?",E699="?"),"duplicate?",IF(COUNTIFS($A:A,A699,E:E,E699)&gt;1,"yes","no"))</f>
        <v>no</v>
      </c>
      <c r="G699" s="64"/>
      <c r="H699" s="65"/>
      <c r="I699" s="64" t="s">
        <v>153</v>
      </c>
      <c r="J699" s="64"/>
      <c r="K699" s="48" t="str">
        <f t="shared" ca="1" si="1"/>
        <v>Date</v>
      </c>
      <c r="L699" s="64"/>
      <c r="M699" s="24"/>
    </row>
    <row r="700" spans="1:13" hidden="1">
      <c r="A700" s="64">
        <v>900058281</v>
      </c>
      <c r="B700" s="65">
        <v>45230</v>
      </c>
      <c r="C700" s="64" t="str">
        <f>IF(ISBLANK(A700),"Name",IF(ISNA(VLOOKUP(A700,'Master List'!A:C,2,FALSE)), "Not Found", VLOOKUP(A700,'Master List'!A:C,2,FALSE)))</f>
        <v>Kevin Conner</v>
      </c>
      <c r="D700" s="64" t="str">
        <f>IF(ISBLANK(A700), "Email",IF(ISNA(VLOOKUP(A700,'Master List'!A:C,3,FALSE)), "Not Found", VLOOKUP(A700,'Master List'!A:C,3,FALSE)))</f>
        <v>kevin@sfsu.edu</v>
      </c>
      <c r="E700" s="64" t="s">
        <v>133</v>
      </c>
      <c r="F700" s="29" t="str">
        <f>IF(OR(A700="",E700="","",A700="?",E700="?"),"duplicate?",IF(COUNTIFS($A:A,A700,E:E,E700)&gt;1,"yes","no"))</f>
        <v>yes</v>
      </c>
      <c r="G700" s="64"/>
      <c r="H700" s="65">
        <v>45230</v>
      </c>
      <c r="I700" s="64" t="s">
        <v>66</v>
      </c>
      <c r="J700" s="64"/>
      <c r="K700" s="48" t="str">
        <f t="shared" ca="1" si="1"/>
        <v>Date</v>
      </c>
      <c r="L700" s="64" t="s">
        <v>6502</v>
      </c>
      <c r="M700" s="24"/>
    </row>
    <row r="701" spans="1:13" ht="32.1" hidden="1">
      <c r="A701" s="64">
        <v>922333916</v>
      </c>
      <c r="B701" s="65">
        <v>45231</v>
      </c>
      <c r="C701" s="64" t="str">
        <f>IF(ISBLANK(A701),"Name",IF(ISNA(VLOOKUP(A701,'Master List'!A:C,2,FALSE)), "Not Found", VLOOKUP(A701,'Master List'!A:C,2,FALSE)))</f>
        <v>Jason Nava</v>
      </c>
      <c r="D701" s="64" t="str">
        <f>IF(ISBLANK(A701), "Email",IF(ISNA(VLOOKUP(A701,'Master List'!A:C,3,FALSE)), "Not Found", VLOOKUP(A701,'Master List'!A:C,3,FALSE)))</f>
        <v>jnava6@sfsu.edu</v>
      </c>
      <c r="E701" s="64" t="s">
        <v>239</v>
      </c>
      <c r="F701" s="29" t="str">
        <f>IF(OR(A701="",E701="","",A701="?",E701="?"),"duplicate?",IF(COUNTIFS($A:A,A701,E:E,E701)&gt;1,"yes","no"))</f>
        <v>yes</v>
      </c>
      <c r="G701" s="64"/>
      <c r="H701" s="88" t="s">
        <v>6503</v>
      </c>
      <c r="I701" s="64" t="s">
        <v>153</v>
      </c>
      <c r="J701" s="64"/>
      <c r="K701" s="48" t="str">
        <f t="shared" ca="1" si="1"/>
        <v>Date</v>
      </c>
      <c r="L701" s="64"/>
      <c r="M701" s="24"/>
    </row>
    <row r="702" spans="1:13" hidden="1">
      <c r="A702" s="64">
        <v>922112539</v>
      </c>
      <c r="B702" s="65">
        <v>45231</v>
      </c>
      <c r="C702" s="64" t="str">
        <f>IF(ISBLANK(A702),"Name",IF(ISNA(VLOOKUP(A702,'Master List'!A:C,2,FALSE)), "Not Found", VLOOKUP(A702,'Master List'!A:C,2,FALSE)))</f>
        <v>cloud</v>
      </c>
      <c r="D702" s="64" t="str">
        <f>IF(ISBLANK(A702), "Email",IF(ISNA(VLOOKUP(A702,'Master List'!A:C,3,FALSE)), "Not Found", VLOOKUP(A702,'Master List'!A:C,3,FALSE)))</f>
        <v>dwang12@sfsu.edu</v>
      </c>
      <c r="E702" s="64" t="s">
        <v>6470</v>
      </c>
      <c r="F702" s="29" t="str">
        <f>IF(OR(A702="",E702="","",A702="?",E702="?"),"duplicate?",IF(COUNTIFS($A:A,A702,E:E,E702)&gt;1,"yes","no"))</f>
        <v>yes</v>
      </c>
      <c r="G702" s="64"/>
      <c r="H702" s="65" t="s">
        <v>136</v>
      </c>
      <c r="I702" s="64" t="s">
        <v>99</v>
      </c>
      <c r="J702" s="64"/>
      <c r="K702" s="48" t="str">
        <f t="shared" ca="1" si="1"/>
        <v>Date</v>
      </c>
      <c r="L702" s="64" t="s">
        <v>6504</v>
      </c>
      <c r="M702" s="24"/>
    </row>
    <row r="703" spans="1:13" hidden="1">
      <c r="A703" s="64">
        <v>918846011</v>
      </c>
      <c r="B703" s="65">
        <v>45231</v>
      </c>
      <c r="C703" s="64" t="str">
        <f>IF(ISBLANK(A703),"Name",IF(ISNA(VLOOKUP(A703,'Master List'!A:C,2,FALSE)), "Not Found", VLOOKUP(A703,'Master List'!A:C,2,FALSE)))</f>
        <v>Soheyla Mohammadigorji</v>
      </c>
      <c r="D703" s="64" t="str">
        <f>IF(ISBLANK(A703), "Email",IF(ISNA(VLOOKUP(A703,'Master List'!A:C,3,FALSE)), "Not Found", VLOOKUP(A703,'Master List'!A:C,3,FALSE)))</f>
        <v>soheylagorji@sfsu.edu</v>
      </c>
      <c r="E703" s="64" t="s">
        <v>36</v>
      </c>
      <c r="F703" s="29" t="str">
        <f>IF(OR(A703="",E703="","",A703="?",E703="?"),"duplicate?",IF(COUNTIFS($A:A,A703,E:E,E703)&gt;1,"yes","no"))</f>
        <v>no</v>
      </c>
      <c r="G703" s="64"/>
      <c r="H703" s="65" t="s">
        <v>136</v>
      </c>
      <c r="I703" s="64" t="s">
        <v>54</v>
      </c>
      <c r="J703" s="64"/>
      <c r="K703" s="48" t="str">
        <f t="shared" ca="1" si="1"/>
        <v>Date</v>
      </c>
      <c r="L703" s="64" t="s">
        <v>159</v>
      </c>
      <c r="M703" s="24"/>
    </row>
    <row r="704" spans="1:13" hidden="1">
      <c r="A704" s="64">
        <v>900040926</v>
      </c>
      <c r="B704" s="65">
        <v>45233</v>
      </c>
      <c r="C704" s="64" t="str">
        <f>IF(ISBLANK(A704),"Name",IF(ISNA(VLOOKUP(A704,'Master List'!A:C,2,FALSE)), "Not Found", VLOOKUP(A704,'Master List'!A:C,2,FALSE)))</f>
        <v>Wesley Ueunten</v>
      </c>
      <c r="D704" s="64" t="str">
        <f>IF(ISBLANK(A704), "Email",IF(ISNA(VLOOKUP(A704,'Master List'!A:C,3,FALSE)), "Not Found", VLOOKUP(A704,'Master List'!A:C,3,FALSE)))</f>
        <v>wesueu@sfsu.edu</v>
      </c>
      <c r="E704" s="64" t="s">
        <v>143</v>
      </c>
      <c r="F704" s="29" t="str">
        <f>IF(OR(A704="",E704="","",A704="?",E704="?"),"duplicate?",IF(COUNTIFS($A:A,A704,E:E,E704)&gt;1,"yes","no"))</f>
        <v>yes</v>
      </c>
      <c r="G704" s="64"/>
      <c r="H704" s="65" t="s">
        <v>136</v>
      </c>
      <c r="I704" s="64" t="s">
        <v>72</v>
      </c>
      <c r="J704" s="64"/>
      <c r="K704" s="48" t="str">
        <f t="shared" ca="1" si="1"/>
        <v>Date</v>
      </c>
      <c r="L704" s="64"/>
      <c r="M704" s="24"/>
    </row>
    <row r="705" spans="1:13" hidden="1">
      <c r="A705" s="64">
        <v>921406197</v>
      </c>
      <c r="B705" s="65">
        <v>45236</v>
      </c>
      <c r="C705" s="64" t="str">
        <f>IF(ISBLANK(A705),"Name",IF(ISNA(VLOOKUP(A705,'Master List'!A:C,2,FALSE)), "Not Found", VLOOKUP(A705,'Master List'!A:C,2,FALSE)))</f>
        <v>Christopher Pascua</v>
      </c>
      <c r="D705" s="64" t="str">
        <f>IF(ISBLANK(A705), "Email",IF(ISNA(VLOOKUP(A705,'Master List'!A:C,3,FALSE)), "Not Found", VLOOKUP(A705,'Master List'!A:C,3,FALSE)))</f>
        <v>cpascua@sfsu.edu</v>
      </c>
      <c r="E705" s="64" t="s">
        <v>48</v>
      </c>
      <c r="F705" s="29" t="str">
        <f>IF(OR(A705="",E705="","",A705="?",E705="?"),"duplicate?",IF(COUNTIFS($A:A,A705,E:E,E705)&gt;1,"yes","no"))</f>
        <v>yes</v>
      </c>
      <c r="G705" s="64"/>
      <c r="H705" s="65" t="s">
        <v>124</v>
      </c>
      <c r="I705" s="64" t="s">
        <v>153</v>
      </c>
      <c r="J705" s="64"/>
      <c r="K705" s="48" t="str">
        <f t="shared" ca="1" si="1"/>
        <v>Date</v>
      </c>
      <c r="L705" s="64"/>
      <c r="M705" s="24"/>
    </row>
    <row r="706" spans="1:13" hidden="1">
      <c r="A706" s="64">
        <v>900008049</v>
      </c>
      <c r="B706" s="65">
        <v>45237</v>
      </c>
      <c r="C706" s="64" t="str">
        <f>IF(ISBLANK(A706),"Name",IF(ISNA(VLOOKUP(A706,'Master List'!A:C,2,FALSE)), "Not Found", VLOOKUP(A706,'Master List'!A:C,2,FALSE)))</f>
        <v>Gretchen Le Buhn</v>
      </c>
      <c r="D706" s="64" t="str">
        <f>IF(ISBLANK(A706), "Email",IF(ISNA(VLOOKUP(A706,'Master List'!A:C,3,FALSE)), "Not Found", VLOOKUP(A706,'Master List'!A:C,3,FALSE)))</f>
        <v>lebuhn@sfsu.edu</v>
      </c>
      <c r="E706" s="64" t="s">
        <v>239</v>
      </c>
      <c r="F706" s="29" t="str">
        <f>IF(OR(A706="",E706="","",A706="?",E706="?"),"duplicate?",IF(COUNTIFS($A:A,A706,E:E,E706)&gt;1,"yes","no"))</f>
        <v>no</v>
      </c>
      <c r="G706" s="64"/>
      <c r="H706" s="65" t="s">
        <v>134</v>
      </c>
      <c r="I706" s="64" t="s">
        <v>153</v>
      </c>
      <c r="J706" s="64"/>
      <c r="K706" s="48" t="str">
        <f t="shared" ca="1" si="1"/>
        <v>Date</v>
      </c>
      <c r="L706" s="64"/>
      <c r="M706" s="24"/>
    </row>
    <row r="707" spans="1:13" hidden="1">
      <c r="A707" s="64">
        <v>913868272</v>
      </c>
      <c r="B707" s="65">
        <v>45245</v>
      </c>
      <c r="C707" s="64" t="str">
        <f>IF(ISBLANK(A707),"Name",IF(ISNA(VLOOKUP(A707,'Master List'!A:C,2,FALSE)), "Not Found", VLOOKUP(A707,'Master List'!A:C,2,FALSE)))</f>
        <v>Aiden Gleisberg</v>
      </c>
      <c r="D707" s="64" t="str">
        <f>IF(ISBLANK(A707), "Email",IF(ISNA(VLOOKUP(A707,'Master List'!A:C,3,FALSE)), "Not Found", VLOOKUP(A707,'Master List'!A:C,3,FALSE)))</f>
        <v>akgleis@sfsu.edu</v>
      </c>
      <c r="E707" s="64" t="s">
        <v>161</v>
      </c>
      <c r="F707" s="29" t="str">
        <f>IF(OR(A707="",E707="","",A707="?",E707="?"),"duplicate?",IF(COUNTIFS($A:A,A707,E:E,E707)&gt;1,"yes","no"))</f>
        <v>no</v>
      </c>
      <c r="G707" s="64"/>
      <c r="H707" s="65" t="s">
        <v>127</v>
      </c>
      <c r="I707" s="64" t="s">
        <v>39</v>
      </c>
      <c r="J707" s="64"/>
      <c r="K707" s="48" t="str">
        <f t="shared" ca="1" si="1"/>
        <v>Date</v>
      </c>
      <c r="L707" s="64"/>
      <c r="M707" s="24"/>
    </row>
    <row r="708" spans="1:13" hidden="1">
      <c r="A708" s="64">
        <v>912745657</v>
      </c>
      <c r="B708" s="65">
        <v>45246</v>
      </c>
      <c r="C708" s="64" t="str">
        <f>IF(ISBLANK(A708),"Name",IF(ISNA(VLOOKUP(A708,'Master List'!A:C,2,FALSE)), "Not Found", VLOOKUP(A708,'Master List'!A:C,2,FALSE)))</f>
        <v>Lorenzo Finau-Cruz</v>
      </c>
      <c r="D708" s="64" t="str">
        <f>IF(ISBLANK(A708), "Email",IF(ISNA(VLOOKUP(A708,'Master List'!A:C,3,FALSE)), "Not Found", VLOOKUP(A708,'Master List'!A:C,3,FALSE)))</f>
        <v>finaucr@sfsu.edu</v>
      </c>
      <c r="E708" s="64" t="s">
        <v>263</v>
      </c>
      <c r="F708" s="29" t="str">
        <f>IF(OR(A708="",E708="","",A708="?",E708="?"),"duplicate?",IF(COUNTIFS($A:A,A708,E:E,E708)&gt;1,"yes","no"))</f>
        <v>yes</v>
      </c>
      <c r="G708" s="64"/>
      <c r="H708" s="65" t="s">
        <v>6505</v>
      </c>
      <c r="I708" s="64" t="s">
        <v>70</v>
      </c>
      <c r="J708" s="64"/>
      <c r="K708" s="48" t="str">
        <f t="shared" ca="1" si="1"/>
        <v>Date</v>
      </c>
      <c r="L708" s="64"/>
      <c r="M708" s="24"/>
    </row>
    <row r="709" spans="1:13" hidden="1">
      <c r="A709" s="64">
        <v>912745657</v>
      </c>
      <c r="B709" s="65">
        <v>45246</v>
      </c>
      <c r="C709" s="64" t="str">
        <f>IF(ISBLANK(A709),"Name",IF(ISNA(VLOOKUP(A709,'Master List'!A:C,2,FALSE)), "Not Found", VLOOKUP(A709,'Master List'!A:C,2,FALSE)))</f>
        <v>Lorenzo Finau-Cruz</v>
      </c>
      <c r="D709" s="64" t="str">
        <f>IF(ISBLANK(A709), "Email",IF(ISNA(VLOOKUP(A709,'Master List'!A:C,3,FALSE)), "Not Found", VLOOKUP(A709,'Master List'!A:C,3,FALSE)))</f>
        <v>finaucr@sfsu.edu</v>
      </c>
      <c r="E709" s="64" t="s">
        <v>6420</v>
      </c>
      <c r="F709" s="29" t="str">
        <f>IF(OR(A709="",E709="","",A709="?",E709="?"),"duplicate?",IF(COUNTIFS($A:A,A709,E:E,E709)&gt;1,"yes","no"))</f>
        <v>yes</v>
      </c>
      <c r="G709" s="64"/>
      <c r="H709" s="65" t="s">
        <v>6505</v>
      </c>
      <c r="I709" s="64" t="s">
        <v>70</v>
      </c>
      <c r="J709" s="64"/>
      <c r="K709" s="48" t="str">
        <f t="shared" ca="1" si="1"/>
        <v>Date</v>
      </c>
      <c r="L709" s="64"/>
      <c r="M709" s="24"/>
    </row>
    <row r="710" spans="1:13" hidden="1">
      <c r="A710" s="64">
        <v>918847454</v>
      </c>
      <c r="B710" s="65">
        <v>45257</v>
      </c>
      <c r="C710" s="64" t="str">
        <f>IF(ISBLANK(A710),"Name",IF(ISNA(VLOOKUP(A710,'Master List'!A:C,2,FALSE)), "Not Found", VLOOKUP(A710,'Master List'!A:C,2,FALSE)))</f>
        <v>Tiffany Caesar</v>
      </c>
      <c r="D710" s="64" t="str">
        <f>IF(ISBLANK(A710), "Email",IF(ISNA(VLOOKUP(A710,'Master List'!A:C,3,FALSE)), "Not Found", VLOOKUP(A710,'Master List'!A:C,3,FALSE)))</f>
        <v>tiffanycaesar@sfsu.edu</v>
      </c>
      <c r="E710" s="64" t="s">
        <v>36</v>
      </c>
      <c r="F710" s="29" t="str">
        <f>IF(OR(A710="",E710="","",A710="?",E710="?"),"duplicate?",IF(COUNTIFS($A:A,A710,E:E,E710)&gt;1,"yes","no"))</f>
        <v>no</v>
      </c>
      <c r="G710" s="64"/>
      <c r="H710" s="65" t="s">
        <v>124</v>
      </c>
      <c r="I710" s="64" t="s">
        <v>70</v>
      </c>
      <c r="J710" s="64"/>
      <c r="K710" s="48" t="str">
        <f t="shared" ca="1" si="1"/>
        <v>Date</v>
      </c>
      <c r="L710" s="64"/>
      <c r="M710" s="24"/>
    </row>
    <row r="711" spans="1:13" hidden="1">
      <c r="A711" s="64">
        <v>908494384</v>
      </c>
      <c r="B711" s="65">
        <v>45258</v>
      </c>
      <c r="C711" s="64" t="str">
        <f>IF(ISBLANK(A711),"Name",IF(ISNA(VLOOKUP(A711,'Master List'!A:C,2,FALSE)), "Not Found", VLOOKUP(A711,'Master List'!A:C,2,FALSE)))</f>
        <v>Kwok-Siong Teh</v>
      </c>
      <c r="D711" s="64" t="str">
        <f>IF(ISBLANK(A711), "Email",IF(ISNA(VLOOKUP(A711,'Master List'!A:C,3,FALSE)), "Not Found", VLOOKUP(A711,'Master List'!A:C,3,FALSE)))</f>
        <v>ksteh@sfsu.edu</v>
      </c>
      <c r="E711" s="64" t="s">
        <v>36</v>
      </c>
      <c r="F711" s="29" t="str">
        <f>IF(OR(A711="",E711="","",A711="?",E711="?"),"duplicate?",IF(COUNTIFS($A:A,A711,E:E,E711)&gt;1,"yes","no"))</f>
        <v>no</v>
      </c>
      <c r="G711" s="64"/>
      <c r="H711" s="65" t="s">
        <v>162</v>
      </c>
      <c r="I711" s="64" t="s">
        <v>99</v>
      </c>
      <c r="J711" s="64"/>
      <c r="K711" s="48" t="str">
        <f t="shared" ca="1" si="1"/>
        <v>Date</v>
      </c>
      <c r="L711" s="64"/>
      <c r="M711" s="24"/>
    </row>
    <row r="712" spans="1:13">
      <c r="A712" s="64">
        <v>900012001</v>
      </c>
      <c r="B712" s="65">
        <v>45258</v>
      </c>
      <c r="C712" s="64" t="str">
        <f>IF(ISBLANK(A712),"Name",IF(ISNA(VLOOKUP(A712,'Master List'!A:C,2,FALSE)), "Not Found", VLOOKUP(A712,'Master List'!A:C,2,FALSE)))</f>
        <v>James Halligan</v>
      </c>
      <c r="D712" s="64" t="str">
        <f>IF(ISBLANK(A712), "Email",IF(ISNA(VLOOKUP(A712,'Master List'!A:C,3,FALSE)), "Not Found", VLOOKUP(A712,'Master List'!A:C,3,FALSE)))</f>
        <v>halligan@sfsu.edu</v>
      </c>
      <c r="E712" s="64" t="s">
        <v>140</v>
      </c>
      <c r="F712" s="29" t="str">
        <f>IF(OR(A712="",E712="","",A712="?",E712="?"),"duplicate?",IF(COUNTIFS($A:A,A712,E:E,E712)&gt;1,"yes","no"))</f>
        <v>yes</v>
      </c>
      <c r="G712" s="64"/>
      <c r="H712" s="65">
        <v>45260</v>
      </c>
      <c r="I712" s="64" t="s">
        <v>153</v>
      </c>
      <c r="J712" s="64" t="s">
        <v>72</v>
      </c>
      <c r="K712" s="48">
        <f t="shared" ca="1" si="1"/>
        <v>45274.560426388889</v>
      </c>
      <c r="L712" s="64"/>
      <c r="M712" s="24"/>
    </row>
    <row r="713" spans="1:13">
      <c r="A713" s="64">
        <v>905152045</v>
      </c>
      <c r="B713" s="65">
        <v>45259</v>
      </c>
      <c r="C713" s="64" t="str">
        <f>IF(ISBLANK(A713),"Name",IF(ISNA(VLOOKUP(A713,'Master List'!A:C,2,FALSE)), "Not Found", VLOOKUP(A713,'Master List'!A:C,2,FALSE)))</f>
        <v>Sarah Cox</v>
      </c>
      <c r="D713" s="64" t="str">
        <f>IF(ISBLANK(A713), "Email",IF(ISNA(VLOOKUP(A713,'Master List'!A:C,3,FALSE)), "Not Found", VLOOKUP(A713,'Master List'!A:C,3,FALSE)))</f>
        <v>sacox@sfsu.edu</v>
      </c>
      <c r="E713" s="64" t="s">
        <v>20</v>
      </c>
      <c r="F713" s="29" t="str">
        <f>IF(OR(A713="",E713="","",A713="?",E713="?"),"duplicate?",IF(COUNTIFS($A:A,A713,E:E,E713)&gt;1,"yes","no"))</f>
        <v>no</v>
      </c>
      <c r="G713" s="64"/>
      <c r="H713" s="65" t="s">
        <v>6271</v>
      </c>
      <c r="I713" s="64" t="s">
        <v>155</v>
      </c>
      <c r="J713" s="64" t="s">
        <v>72</v>
      </c>
      <c r="K713" s="48">
        <f t="shared" ca="1" si="1"/>
        <v>45274.560426388889</v>
      </c>
      <c r="L713" s="64"/>
      <c r="M713" s="24"/>
    </row>
    <row r="714" spans="1:13" hidden="1">
      <c r="A714" s="64">
        <v>921406197</v>
      </c>
      <c r="B714" s="65">
        <v>45259</v>
      </c>
      <c r="C714" s="64" t="str">
        <f>IF(ISBLANK(A714),"Name",IF(ISNA(VLOOKUP(A714,'Master List'!A:C,2,FALSE)), "Not Found", VLOOKUP(A714,'Master List'!A:C,2,FALSE)))</f>
        <v>Christopher Pascua</v>
      </c>
      <c r="D714" s="64" t="str">
        <f>IF(ISBLANK(A714), "Email",IF(ISNA(VLOOKUP(A714,'Master List'!A:C,3,FALSE)), "Not Found", VLOOKUP(A714,'Master List'!A:C,3,FALSE)))</f>
        <v>cpascua@sfsu.edu</v>
      </c>
      <c r="E714" s="64" t="s">
        <v>46</v>
      </c>
      <c r="F714" s="29" t="str">
        <f>IF(OR(A714="",E714="","",A714="?",E714="?"),"duplicate?",IF(COUNTIFS($A:A,A714,E:E,E714)&gt;1,"yes","no"))</f>
        <v>yes</v>
      </c>
      <c r="G714" s="64"/>
      <c r="H714" s="65" t="s">
        <v>6271</v>
      </c>
      <c r="I714" s="64" t="s">
        <v>55</v>
      </c>
      <c r="J714" s="64"/>
      <c r="K714" s="48" t="str">
        <f t="shared" ca="1" si="1"/>
        <v>Date</v>
      </c>
      <c r="L714" s="64"/>
      <c r="M714" s="24"/>
    </row>
    <row r="715" spans="1:13" hidden="1">
      <c r="A715" s="64">
        <v>904031146</v>
      </c>
      <c r="B715" s="65">
        <v>45259</v>
      </c>
      <c r="C715" s="64" t="str">
        <f>IF(ISBLANK(A715),"Name",IF(ISNA(VLOOKUP(A715,'Master List'!A:C,2,FALSE)), "Not Found", VLOOKUP(A715,'Master List'!A:C,2,FALSE)))</f>
        <v>Karla Castillo</v>
      </c>
      <c r="D715" s="64" t="str">
        <f>IF(ISBLANK(A715), "Email",IF(ISNA(VLOOKUP(A715,'Master List'!A:C,3,FALSE)), "Not Found", VLOOKUP(A715,'Master List'!A:C,3,FALSE)))</f>
        <v>karlac@sfsu.edu</v>
      </c>
      <c r="E715" s="64"/>
      <c r="F715" s="29" t="str">
        <f>IF(OR(A715="",E715="","",A715="?",E715="?"),"duplicate?",IF(COUNTIFS($A:A,A715,E:E,E715)&gt;1,"yes","no"))</f>
        <v>duplicate?</v>
      </c>
      <c r="G715" s="64"/>
      <c r="H715" s="65"/>
      <c r="I715" s="64"/>
      <c r="J715" s="64"/>
      <c r="K715" s="48" t="str">
        <f t="shared" ca="1" si="1"/>
        <v>Date</v>
      </c>
      <c r="L715" s="64"/>
      <c r="M715" s="24"/>
    </row>
    <row r="716" spans="1:13">
      <c r="A716" s="64">
        <v>918838653</v>
      </c>
      <c r="B716" s="65">
        <v>45260</v>
      </c>
      <c r="C716" s="64" t="str">
        <f>IF(ISBLANK(A716),"Name",IF(ISNA(VLOOKUP(A716,'Master List'!A:C,2,FALSE)), "Not Found", VLOOKUP(A716,'Master List'!A:C,2,FALSE)))</f>
        <v>Lizzy Borges</v>
      </c>
      <c r="D716" s="64" t="str">
        <f>IF(ISBLANK(A716), "Email",IF(ISNA(VLOOKUP(A716,'Master List'!A:C,3,FALSE)), "Not Found", VLOOKUP(A716,'Master List'!A:C,3,FALSE)))</f>
        <v>eborges@sfsu.edu</v>
      </c>
      <c r="E716" s="64" t="s">
        <v>269</v>
      </c>
      <c r="F716" s="29" t="str">
        <f>IF(OR(A716="",E716="","",A716="?",E716="?"),"duplicate?",IF(COUNTIFS($A:A,A716,E:E,E716)&gt;1,"yes","no"))</f>
        <v>no</v>
      </c>
      <c r="G716" s="64"/>
      <c r="H716" s="65" t="s">
        <v>6271</v>
      </c>
      <c r="I716" s="64" t="s">
        <v>153</v>
      </c>
      <c r="J716" s="64" t="s">
        <v>153</v>
      </c>
      <c r="K716" s="48">
        <f t="shared" ca="1" si="1"/>
        <v>45274.560426388889</v>
      </c>
      <c r="L716" s="64"/>
      <c r="M716" s="24"/>
    </row>
    <row r="717" spans="1:13">
      <c r="A717" s="64">
        <v>900003096</v>
      </c>
      <c r="B717" s="65">
        <v>45261</v>
      </c>
      <c r="C717" s="64" t="str">
        <f>IF(ISBLANK(A717),"Name",IF(ISNA(VLOOKUP(A717,'Master List'!A:C,2,FALSE)), "Not Found", VLOOKUP(A717,'Master List'!A:C,2,FALSE)))</f>
        <v>Malcolm Cecil</v>
      </c>
      <c r="D717" s="64" t="str">
        <f>IF(ISBLANK(A717), "Email",IF(ISNA(VLOOKUP(A717,'Master List'!A:C,3,FALSE)), "Not Found", VLOOKUP(A717,'Master List'!A:C,3,FALSE)))</f>
        <v>mkcecil@sfsu.edu</v>
      </c>
      <c r="E717" s="64" t="s">
        <v>89</v>
      </c>
      <c r="F717" s="29" t="str">
        <f>IF(OR(A717="",E717="","",A717="?",E717="?"),"duplicate?",IF(COUNTIFS($A:A,A717,E:E,E717)&gt;1,"yes","no"))</f>
        <v>no</v>
      </c>
      <c r="G717" s="64"/>
      <c r="H717" s="65" t="s">
        <v>6315</v>
      </c>
      <c r="I717" s="64" t="s">
        <v>131</v>
      </c>
      <c r="J717" s="64" t="s">
        <v>131</v>
      </c>
      <c r="K717" s="48">
        <f t="shared" ca="1" si="1"/>
        <v>45274.560426388889</v>
      </c>
      <c r="L717" s="64"/>
      <c r="M717" s="24"/>
    </row>
    <row r="718" spans="1:13">
      <c r="A718" s="64">
        <v>900040926</v>
      </c>
      <c r="B718" s="65">
        <v>45261</v>
      </c>
      <c r="C718" s="64" t="str">
        <f>IF(ISBLANK(A718),"Name",IF(ISNA(VLOOKUP(A718,'Master List'!A:C,2,FALSE)), "Not Found", VLOOKUP(A718,'Master List'!A:C,2,FALSE)))</f>
        <v>Wesley Ueunten</v>
      </c>
      <c r="D718" s="64" t="str">
        <f>IF(ISBLANK(A718), "Email",IF(ISNA(VLOOKUP(A718,'Master List'!A:C,3,FALSE)), "Not Found", VLOOKUP(A718,'Master List'!A:C,3,FALSE)))</f>
        <v>wesueu@sfsu.edu</v>
      </c>
      <c r="E718" s="64" t="s">
        <v>143</v>
      </c>
      <c r="F718" s="29" t="str">
        <f>IF(OR(A718="",E718="","",A718="?",E718="?"),"duplicate?",IF(COUNTIFS($A:A,A718,E:E,E718)&gt;1,"yes","no"))</f>
        <v>yes</v>
      </c>
      <c r="G718" s="64"/>
      <c r="H718" s="65" t="s">
        <v>6493</v>
      </c>
      <c r="I718" s="64" t="s">
        <v>131</v>
      </c>
      <c r="J718" s="64" t="s">
        <v>131</v>
      </c>
      <c r="K718" s="48">
        <f t="shared" ca="1" si="1"/>
        <v>45274.560426388889</v>
      </c>
      <c r="L718" s="64"/>
      <c r="M718" s="24"/>
    </row>
    <row r="719" spans="1:13">
      <c r="A719" s="64">
        <v>901516816</v>
      </c>
      <c r="B719" s="65">
        <v>45264</v>
      </c>
      <c r="C719" s="64" t="str">
        <f>IF(ISBLANK(A719),"Name",IF(ISNA(VLOOKUP(A719,'Master List'!A:C,2,FALSE)), "Not Found", VLOOKUP(A719,'Master List'!A:C,2,FALSE)))</f>
        <v>Mark Bautista</v>
      </c>
      <c r="D719" s="64" t="str">
        <f>IF(ISBLANK(A719), "Email",IF(ISNA(VLOOKUP(A719,'Master List'!A:C,3,FALSE)), "Not Found", VLOOKUP(A719,'Master List'!A:C,3,FALSE)))</f>
        <v>markb@sfsu.edu</v>
      </c>
      <c r="E719" s="64" t="s">
        <v>239</v>
      </c>
      <c r="F719" s="29" t="str">
        <f>IF(OR(A719="",E719="","",A719="?",E719="?"),"duplicate?",IF(COUNTIFS($A:A,A719,E:E,E719)&gt;1,"yes","no"))</f>
        <v>yes</v>
      </c>
      <c r="G719" s="64"/>
      <c r="H719" s="65" t="s">
        <v>6493</v>
      </c>
      <c r="I719" s="64" t="s">
        <v>155</v>
      </c>
      <c r="J719" s="64" t="s">
        <v>55</v>
      </c>
      <c r="K719" s="48">
        <f t="shared" ca="1" si="1"/>
        <v>45274.560426388889</v>
      </c>
      <c r="L719" s="64"/>
      <c r="M719" s="24"/>
    </row>
    <row r="720" spans="1:13">
      <c r="A720" s="64">
        <v>918103113</v>
      </c>
      <c r="B720" s="65">
        <v>45264</v>
      </c>
      <c r="C720" s="64" t="str">
        <f>IF(ISBLANK(A720),"Name",IF(ISNA(VLOOKUP(A720,'Master List'!A:C,2,FALSE)), "Not Found", VLOOKUP(A720,'Master List'!A:C,2,FALSE)))</f>
        <v>Ian Dunham</v>
      </c>
      <c r="D720" s="64" t="str">
        <f>IF(ISBLANK(A720), "Email",IF(ISNA(VLOOKUP(A720,'Master List'!A:C,3,FALSE)), "Not Found", VLOOKUP(A720,'Master List'!A:C,3,FALSE)))</f>
        <v>iandunham@sfsu.edu</v>
      </c>
      <c r="E720" s="64" t="s">
        <v>20</v>
      </c>
      <c r="F720" s="29" t="str">
        <f>IF(OR(A720="",E720="","",A720="?",E720="?"),"duplicate?",IF(COUNTIFS($A:A,A720,E:E,E720)&gt;1,"yes","no"))</f>
        <v>no</v>
      </c>
      <c r="G720" s="64"/>
      <c r="H720" s="65">
        <v>45265</v>
      </c>
      <c r="I720" s="64" t="s">
        <v>155</v>
      </c>
      <c r="J720" s="64" t="s">
        <v>55</v>
      </c>
      <c r="K720" s="48">
        <f t="shared" ca="1" si="1"/>
        <v>45274.560426388889</v>
      </c>
      <c r="L720" s="64"/>
      <c r="M720" s="24"/>
    </row>
    <row r="721" spans="1:13">
      <c r="A721" s="64">
        <v>906302675</v>
      </c>
      <c r="B721" s="65">
        <v>45264</v>
      </c>
      <c r="C721" s="64" t="str">
        <f>IF(ISBLANK(A721),"Name",IF(ISNA(VLOOKUP(A721,'Master List'!A:C,2,FALSE)), "Not Found", VLOOKUP(A721,'Master List'!A:C,2,FALSE)))</f>
        <v>Jun Min Zhang</v>
      </c>
      <c r="D721" s="64" t="str">
        <f>IF(ISBLANK(A721), "Email",IF(ISNA(VLOOKUP(A721,'Master List'!A:C,3,FALSE)), "Not Found", VLOOKUP(A721,'Master List'!A:C,3,FALSE)))</f>
        <v>jimmysoe@sfsu.edu</v>
      </c>
      <c r="E721" s="64" t="s">
        <v>48</v>
      </c>
      <c r="F721" s="29" t="str">
        <f>IF(OR(A721="",E721="","",A721="?",E721="?"),"duplicate?",IF(COUNTIFS($A:A,A721,E:E,E721)&gt;1,"yes","no"))</f>
        <v>no</v>
      </c>
      <c r="G721" s="64"/>
      <c r="H721" s="65">
        <v>45267</v>
      </c>
      <c r="I721" s="64" t="s">
        <v>155</v>
      </c>
      <c r="J721" s="64" t="s">
        <v>155</v>
      </c>
      <c r="K721" s="48">
        <f t="shared" ca="1" si="1"/>
        <v>45274.560426388889</v>
      </c>
      <c r="L721" s="64"/>
      <c r="M721" s="24"/>
    </row>
    <row r="722" spans="1:13">
      <c r="A722" s="64">
        <v>900016837</v>
      </c>
      <c r="B722" s="65">
        <v>45265</v>
      </c>
      <c r="C722" s="64" t="str">
        <f>IF(ISBLANK(A722),"Name",IF(ISNA(VLOOKUP(A722,'Master List'!A:C,2,FALSE)), "Not Found", VLOOKUP(A722,'Master List'!A:C,2,FALSE)))</f>
        <v>Kenn Burrows</v>
      </c>
      <c r="D722" s="64" t="str">
        <f>IF(ISBLANK(A722), "Email",IF(ISNA(VLOOKUP(A722,'Master List'!A:C,3,FALSE)), "Not Found", VLOOKUP(A722,'Master List'!A:C,3,FALSE)))</f>
        <v>kburrows@sfsu.edu</v>
      </c>
      <c r="E722" s="64" t="s">
        <v>239</v>
      </c>
      <c r="F722" s="29" t="str">
        <f>IF(OR(A722="",E722="","",A722="?",E722="?"),"duplicate?",IF(COUNTIFS($A:A,A722,E:E,E722)&gt;1,"yes","no"))</f>
        <v>no</v>
      </c>
      <c r="G722" s="64"/>
      <c r="H722" s="65">
        <v>45271</v>
      </c>
      <c r="I722" s="64" t="s">
        <v>55</v>
      </c>
      <c r="J722" s="64" t="s">
        <v>72</v>
      </c>
      <c r="K722" s="48">
        <f t="shared" ca="1" si="1"/>
        <v>45274.560426388889</v>
      </c>
      <c r="L722" s="64"/>
      <c r="M722" s="24"/>
    </row>
    <row r="723" spans="1:13">
      <c r="A723" s="64">
        <v>909562542</v>
      </c>
      <c r="B723" s="65">
        <v>45266</v>
      </c>
      <c r="C723" s="64" t="str">
        <f>IF(ISBLANK(A723),"Name",IF(ISNA(VLOOKUP(A723,'Master List'!A:C,2,FALSE)), "Not Found", VLOOKUP(A723,'Master List'!A:C,2,FALSE)))</f>
        <v>Brandon Diaz</v>
      </c>
      <c r="D723" s="64" t="str">
        <f>IF(ISBLANK(A723), "Email",IF(ISNA(VLOOKUP(A723,'Master List'!A:C,3,FALSE)), "Not Found", VLOOKUP(A723,'Master List'!A:C,3,FALSE)))</f>
        <v>brandond@mail.sfsu.edu</v>
      </c>
      <c r="E723" s="64" t="s">
        <v>239</v>
      </c>
      <c r="F723" s="29" t="str">
        <f>IF(OR(A723="",E723="","",A723="?",E723="?"),"duplicate?",IF(COUNTIFS($A:A,A723,E:E,E723)&gt;1,"yes","no"))</f>
        <v>no</v>
      </c>
      <c r="G723" s="64"/>
      <c r="H723" s="65" t="s">
        <v>6271</v>
      </c>
      <c r="I723" s="64" t="s">
        <v>153</v>
      </c>
      <c r="J723" s="64" t="s">
        <v>72</v>
      </c>
      <c r="K723" s="48">
        <f t="shared" ca="1" si="1"/>
        <v>45274.560426388889</v>
      </c>
      <c r="L723" s="64"/>
      <c r="M723" s="24"/>
    </row>
    <row r="724" spans="1:13" hidden="1">
      <c r="A724" s="64">
        <v>900030734</v>
      </c>
      <c r="B724" s="65">
        <v>45266</v>
      </c>
      <c r="C724" s="64" t="str">
        <f>IF(ISBLANK(A724),"Name",IF(ISNA(VLOOKUP(A724,'Master List'!A:C,2,FALSE)), "Not Found", VLOOKUP(A724,'Master List'!A:C,2,FALSE)))</f>
        <v>Caroline Alcantara</v>
      </c>
      <c r="D724" s="64" t="str">
        <f>IF(ISBLANK(A724), "Email",IF(ISNA(VLOOKUP(A724,'Master List'!A:C,3,FALSE)), "Not Found", VLOOKUP(A724,'Master List'!A:C,3,FALSE)))</f>
        <v>caroline@sfsu.edu</v>
      </c>
      <c r="E724" s="64" t="s">
        <v>6420</v>
      </c>
      <c r="F724" s="29" t="str">
        <f>IF(OR(A724="",E724="","",A724="?",E724="?"),"duplicate?",IF(COUNTIFS($A:A,A724,E:E,E724)&gt;1,"yes","no"))</f>
        <v>yes</v>
      </c>
      <c r="G724" s="64"/>
      <c r="H724" s="65" t="s">
        <v>6506</v>
      </c>
      <c r="I724" s="64" t="s">
        <v>153</v>
      </c>
      <c r="J724" s="64"/>
      <c r="K724" s="48" t="str">
        <f t="shared" ref="K724:K736" ca="1" si="2">IF(J724="","Date",IF(J724&lt;&gt;"",IF(K724="Date",NOW(),K724),""))</f>
        <v>Date</v>
      </c>
      <c r="L724" s="64"/>
      <c r="M724" s="24"/>
    </row>
    <row r="725" spans="1:13">
      <c r="A725" s="64">
        <v>908486883</v>
      </c>
      <c r="B725" s="65">
        <v>45266</v>
      </c>
      <c r="C725" s="64" t="str">
        <f>IF(ISBLANK(A725),"Name",IF(ISNA(VLOOKUP(A725,'Master List'!A:C,2,FALSE)), "Not Found", VLOOKUP(A725,'Master List'!A:C,2,FALSE)))</f>
        <v>Michael Anderson</v>
      </c>
      <c r="D725" s="64" t="str">
        <f>IF(ISBLANK(A725), "Email",IF(ISNA(VLOOKUP(A725,'Master List'!A:C,3,FALSE)), "Not Found", VLOOKUP(A725,'Master List'!A:C,3,FALSE)))</f>
        <v>maa35@sfsu.edu</v>
      </c>
      <c r="E725" s="64" t="s">
        <v>225</v>
      </c>
      <c r="F725" s="29" t="str">
        <f>IF(OR(A725="",E725="","",A725="?",E725="?"),"duplicate?",IF(COUNTIFS($A:A,A725,E:E,E725)&gt;1,"yes","no"))</f>
        <v>no</v>
      </c>
      <c r="G725" s="64"/>
      <c r="H725" s="65">
        <v>45268</v>
      </c>
      <c r="I725" s="64" t="s">
        <v>99</v>
      </c>
      <c r="J725" s="64" t="s">
        <v>99</v>
      </c>
      <c r="K725" s="48">
        <f t="shared" ca="1" si="2"/>
        <v>45274.560426388889</v>
      </c>
      <c r="L725" s="64"/>
      <c r="M725" s="24"/>
    </row>
    <row r="726" spans="1:13">
      <c r="A726" s="64">
        <v>908486883</v>
      </c>
      <c r="B726" s="65">
        <v>45266</v>
      </c>
      <c r="C726" s="64" t="str">
        <f>IF(ISBLANK(A726),"Name",IF(ISNA(VLOOKUP(A726,'Master List'!A:C,2,FALSE)), "Not Found", VLOOKUP(A726,'Master List'!A:C,2,FALSE)))</f>
        <v>Michael Anderson</v>
      </c>
      <c r="D726" s="64" t="str">
        <f>IF(ISBLANK(A726), "Email",IF(ISNA(VLOOKUP(A726,'Master List'!A:C,3,FALSE)), "Not Found", VLOOKUP(A726,'Master List'!A:C,3,FALSE)))</f>
        <v>maa35@sfsu.edu</v>
      </c>
      <c r="E726" s="64" t="s">
        <v>271</v>
      </c>
      <c r="F726" s="29" t="str">
        <f>IF(OR(A726="",E726="","",A726="?",E726="?"),"duplicate?",IF(COUNTIFS($A:A,A726,E:E,E726)&gt;1,"yes","no"))</f>
        <v>no</v>
      </c>
      <c r="G726" s="64"/>
      <c r="H726" s="65">
        <v>45268</v>
      </c>
      <c r="I726" s="64" t="s">
        <v>99</v>
      </c>
      <c r="J726" s="64" t="s">
        <v>99</v>
      </c>
      <c r="K726" s="48">
        <f t="shared" ca="1" si="2"/>
        <v>45274.560426388889</v>
      </c>
      <c r="L726" s="64"/>
      <c r="M726" s="24"/>
    </row>
    <row r="727" spans="1:13">
      <c r="A727" s="64">
        <v>900000483</v>
      </c>
      <c r="B727" s="65">
        <v>45266</v>
      </c>
      <c r="C727" s="64" t="str">
        <f>IF(ISBLANK(A727),"Name",IF(ISNA(VLOOKUP(A727,'Master List'!A:C,2,FALSE)), "Not Found", VLOOKUP(A727,'Master List'!A:C,2,FALSE)))</f>
        <v>Susan Zieff</v>
      </c>
      <c r="D727" s="64" t="str">
        <f>IF(ISBLANK(A727), "Email",IF(ISNA(VLOOKUP(A727,'Master List'!A:C,3,FALSE)), "Not Found", VLOOKUP(A727,'Master List'!A:C,3,FALSE)))</f>
        <v>susangz@sfsu.edu</v>
      </c>
      <c r="E727" s="64" t="s">
        <v>239</v>
      </c>
      <c r="F727" s="29" t="str">
        <f>IF(OR(A727="",E727="","",A727="?",E727="?"),"duplicate?",IF(COUNTIFS($A:A,A727,E:E,E727)&gt;1,"yes","no"))</f>
        <v>no</v>
      </c>
      <c r="G727" s="64"/>
      <c r="H727" s="65" t="s">
        <v>134</v>
      </c>
      <c r="I727" s="64" t="s">
        <v>99</v>
      </c>
      <c r="J727" s="64" t="s">
        <v>99</v>
      </c>
      <c r="K727" s="48">
        <f t="shared" ca="1" si="2"/>
        <v>45274.560426388889</v>
      </c>
      <c r="L727" s="64"/>
      <c r="M727" s="24"/>
    </row>
    <row r="728" spans="1:13" hidden="1">
      <c r="A728" s="64">
        <v>918848078</v>
      </c>
      <c r="B728" s="65">
        <v>45266</v>
      </c>
      <c r="C728" s="64" t="str">
        <f>IF(ISBLANK(A728),"Name",IF(ISNA(VLOOKUP(A728,'Master List'!A:C,2,FALSE)), "Not Found", VLOOKUP(A728,'Master List'!A:C,2,FALSE)))</f>
        <v>Jaclyn Wolf</v>
      </c>
      <c r="D728" s="64" t="str">
        <f>IF(ISBLANK(A728), "Email",IF(ISNA(VLOOKUP(A728,'Master List'!A:C,3,FALSE)), "Not Found", VLOOKUP(A728,'Master List'!A:C,3,FALSE)))</f>
        <v>jaclynwolf@sfsu.edu</v>
      </c>
      <c r="E728" s="64" t="s">
        <v>143</v>
      </c>
      <c r="F728" s="29" t="str">
        <f>IF(OR(A728="",E728="","",A728="?",E728="?"),"duplicate?",IF(COUNTIFS($A:A,A728,E:E,E728)&gt;1,"yes","no"))</f>
        <v>yes</v>
      </c>
      <c r="G728" s="64"/>
      <c r="H728" s="65">
        <v>45275</v>
      </c>
      <c r="I728" s="64" t="s">
        <v>72</v>
      </c>
      <c r="J728" s="64"/>
      <c r="K728" s="48" t="str">
        <f t="shared" ca="1" si="2"/>
        <v>Date</v>
      </c>
      <c r="L728" s="64"/>
      <c r="M728" s="24"/>
    </row>
    <row r="729" spans="1:13">
      <c r="A729" s="64">
        <v>904239211</v>
      </c>
      <c r="B729" s="65">
        <v>45266</v>
      </c>
      <c r="C729" s="64" t="str">
        <f>IF(ISBLANK(A729),"Name",IF(ISNA(VLOOKUP(A729,'Master List'!A:C,2,FALSE)), "Not Found", VLOOKUP(A729,'Master List'!A:C,2,FALSE)))</f>
        <v>Nancy Martin</v>
      </c>
      <c r="D729" s="64" t="str">
        <f>IF(ISBLANK(A729), "Email",IF(ISNA(VLOOKUP(A729,'Master List'!A:C,3,FALSE)), "Not Found", VLOOKUP(A729,'Master List'!A:C,3,FALSE)))</f>
        <v>nmarti10@mail.sfsu.edu</v>
      </c>
      <c r="E729" s="64" t="s">
        <v>6475</v>
      </c>
      <c r="F729" s="29" t="str">
        <f>IF(OR(A729="",E729="","",A729="?",E729="?"),"duplicate?",IF(COUNTIFS($A:A,A729,E:E,E729)&gt;1,"yes","no"))</f>
        <v>yes</v>
      </c>
      <c r="G729" s="64"/>
      <c r="H729" s="65" t="s">
        <v>6280</v>
      </c>
      <c r="I729" s="64" t="s">
        <v>99</v>
      </c>
      <c r="J729" s="64" t="s">
        <v>6467</v>
      </c>
      <c r="K729" s="48">
        <f t="shared" ca="1" si="2"/>
        <v>45274.560426388889</v>
      </c>
      <c r="L729" s="64"/>
      <c r="M729" s="24"/>
    </row>
    <row r="730" spans="1:13" hidden="1">
      <c r="A730" s="64">
        <v>917253134</v>
      </c>
      <c r="B730" s="65">
        <v>45267</v>
      </c>
      <c r="C730" s="64" t="str">
        <f>IF(ISBLANK(A730),"Name",IF(ISNA(VLOOKUP(A730,'Master List'!A:C,2,FALSE)), "Not Found", VLOOKUP(A730,'Master List'!A:C,2,FALSE)))</f>
        <v>Martin Dixon</v>
      </c>
      <c r="D730" s="64" t="str">
        <f>IF(ISBLANK(A730), "Email",IF(ISNA(VLOOKUP(A730,'Master List'!A:C,3,FALSE)), "Not Found", VLOOKUP(A730,'Master List'!A:C,3,FALSE)))</f>
        <v>mjdixon@sfsu.edu</v>
      </c>
      <c r="E730" s="64" t="s">
        <v>25</v>
      </c>
      <c r="F730" s="29" t="str">
        <f>IF(OR(A730="",E730="","",A730="?",E730="?"),"duplicate?",IF(COUNTIFS($A:A,A730,E:E,E730)&gt;1,"yes","no"))</f>
        <v>yes</v>
      </c>
      <c r="G730" s="64"/>
      <c r="H730" s="65">
        <v>45274</v>
      </c>
      <c r="I730" s="64" t="s">
        <v>70</v>
      </c>
      <c r="J730" s="64"/>
      <c r="K730" s="48" t="str">
        <f t="shared" ca="1" si="2"/>
        <v>Date</v>
      </c>
      <c r="L730" s="64"/>
      <c r="M730" s="24"/>
    </row>
    <row r="731" spans="1:13">
      <c r="A731" s="64">
        <v>909169084</v>
      </c>
      <c r="B731" s="65">
        <v>45267</v>
      </c>
      <c r="C731" s="64" t="str">
        <f>IF(ISBLANK(A731),"Name",IF(ISNA(VLOOKUP(A731,'Master List'!A:C,2,FALSE)), "Not Found", VLOOKUP(A731,'Master List'!A:C,2,FALSE)))</f>
        <v>Jennifer Blecha</v>
      </c>
      <c r="D731" s="64" t="str">
        <f>IF(ISBLANK(A731), "Email",IF(ISNA(VLOOKUP(A731,'Master List'!A:C,3,FALSE)), "Not Found", VLOOKUP(A731,'Master List'!A:C,3,FALSE)))</f>
        <v>jblecha@sfsu.edu</v>
      </c>
      <c r="E731" s="64" t="s">
        <v>239</v>
      </c>
      <c r="F731" s="29" t="str">
        <f>IF(OR(A731="",E731="","",A731="?",E731="?"),"duplicate?",IF(COUNTIFS($A:A,A731,E:E,E731)&gt;1,"yes","no"))</f>
        <v>yes</v>
      </c>
      <c r="G731" s="64"/>
      <c r="H731" s="65" t="s">
        <v>6271</v>
      </c>
      <c r="I731" s="64" t="s">
        <v>153</v>
      </c>
      <c r="J731" s="64" t="s">
        <v>153</v>
      </c>
      <c r="K731" s="48">
        <f t="shared" ca="1" si="2"/>
        <v>45274.560426388889</v>
      </c>
      <c r="L731" s="64"/>
      <c r="M731" s="24"/>
    </row>
    <row r="732" spans="1:13">
      <c r="A732" s="64">
        <v>918852628</v>
      </c>
      <c r="B732" s="65">
        <v>45272</v>
      </c>
      <c r="C732" s="64" t="str">
        <f>IF(ISBLANK(A732),"Name",IF(ISNA(VLOOKUP(A732,'Master List'!A:C,2,FALSE)), "Not Found", VLOOKUP(A732,'Master List'!A:C,2,FALSE)))</f>
        <v>Bahar Javadi</v>
      </c>
      <c r="D732" s="64" t="str">
        <f>IF(ISBLANK(A732), "Email",IF(ISNA(VLOOKUP(A732,'Master List'!A:C,3,FALSE)), "Not Found", VLOOKUP(A732,'Master List'!A:C,3,FALSE)))</f>
        <v>javadi@sfsu.edu</v>
      </c>
      <c r="E732" s="64" t="s">
        <v>6475</v>
      </c>
      <c r="F732" s="29" t="str">
        <f>IF(OR(A732="",E732="","",A732="?",E732="?"),"duplicate?",IF(COUNTIFS($A:A,A732,E:E,E732)&gt;1,"yes","no"))</f>
        <v>no</v>
      </c>
      <c r="G732" s="64"/>
      <c r="H732" s="65">
        <v>45272</v>
      </c>
      <c r="I732" s="64" t="s">
        <v>61</v>
      </c>
      <c r="J732" s="64" t="s">
        <v>61</v>
      </c>
      <c r="K732" s="48">
        <f t="shared" ca="1" si="2"/>
        <v>45274.560426388889</v>
      </c>
      <c r="L732" s="64"/>
      <c r="M732" s="24"/>
    </row>
    <row r="733" spans="1:13" hidden="1">
      <c r="A733" s="64">
        <v>909169006</v>
      </c>
      <c r="B733" s="65">
        <v>45272</v>
      </c>
      <c r="C733" s="64" t="str">
        <f>IF(ISBLANK(A733),"Name",IF(ISNA(VLOOKUP(A733,'Master List'!A:C,2,FALSE)), "Not Found", VLOOKUP(A733,'Master List'!A:C,2,FALSE)))</f>
        <v>Priyanvada Abeywickrama</v>
      </c>
      <c r="D733" s="64" t="str">
        <f>IF(ISBLANK(A733), "Email",IF(ISNA(VLOOKUP(A733,'Master List'!A:C,3,FALSE)), "Not Found", VLOOKUP(A733,'Master List'!A:C,3,FALSE)))</f>
        <v>abeywick@sfsu.edu</v>
      </c>
      <c r="E733" s="64" t="s">
        <v>269</v>
      </c>
      <c r="F733" s="29" t="str">
        <f>IF(OR(A733="",E733="","",A733="?",E733="?"),"duplicate?",IF(COUNTIFS($A:A,A733,E:E,E733)&gt;1,"yes","no"))</f>
        <v>yes</v>
      </c>
      <c r="G733" s="64"/>
      <c r="H733" s="65">
        <v>45274</v>
      </c>
      <c r="I733" s="64" t="s">
        <v>72</v>
      </c>
      <c r="J733" s="64"/>
      <c r="K733" s="48" t="str">
        <f t="shared" ca="1" si="2"/>
        <v>Date</v>
      </c>
      <c r="L733" s="64"/>
      <c r="M733" s="24"/>
    </row>
    <row r="734" spans="1:13">
      <c r="A734" s="64">
        <v>922374775</v>
      </c>
      <c r="B734" s="65">
        <v>45272</v>
      </c>
      <c r="C734" s="64" t="str">
        <f>IF(ISBLANK(A734),"Name",IF(ISNA(VLOOKUP(A734,'Master List'!A:C,2,FALSE)), "Not Found", VLOOKUP(A734,'Master List'!A:C,2,FALSE)))</f>
        <v>Joey Cuomo</v>
      </c>
      <c r="D734" s="64" t="str">
        <f>IF(ISBLANK(A734), "Email",IF(ISNA(VLOOKUP(A734,'Master List'!A:C,3,FALSE)), "Not Found", VLOOKUP(A734,'Master List'!A:C,3,FALSE)))</f>
        <v>jcuomoscanzi@sfsu.edu</v>
      </c>
      <c r="E734" s="64" t="s">
        <v>151</v>
      </c>
      <c r="F734" s="29" t="str">
        <f>IF(OR(A734="",E734="","",A734="?",E734="?"),"duplicate?",IF(COUNTIFS($A:A,A734,E:E,E734)&gt;1,"yes","no"))</f>
        <v>no</v>
      </c>
      <c r="G734" s="64">
        <v>70398</v>
      </c>
      <c r="H734" s="65">
        <v>45274</v>
      </c>
      <c r="I734" s="64" t="s">
        <v>70</v>
      </c>
      <c r="J734" s="64" t="s">
        <v>155</v>
      </c>
      <c r="K734" s="48">
        <f t="shared" ca="1" si="2"/>
        <v>45274.560426388889</v>
      </c>
      <c r="L734" s="64"/>
      <c r="M734" s="24"/>
    </row>
    <row r="735" spans="1:13" hidden="1">
      <c r="A735" s="64">
        <v>904031146</v>
      </c>
      <c r="B735" s="65">
        <v>45273</v>
      </c>
      <c r="C735" s="64" t="str">
        <f>IF(ISBLANK(A735),"Name",IF(ISNA(VLOOKUP(A735,'Master List'!A:C,2,FALSE)), "Not Found", VLOOKUP(A735,'Master List'!A:C,2,FALSE)))</f>
        <v>Karla Castillo</v>
      </c>
      <c r="D735" s="64" t="str">
        <f>IF(ISBLANK(A735), "Email",IF(ISNA(VLOOKUP(A735,'Master List'!A:C,3,FALSE)), "Not Found", VLOOKUP(A735,'Master List'!A:C,3,FALSE)))</f>
        <v>karlac@sfsu.edu</v>
      </c>
      <c r="E735" s="64" t="s">
        <v>6507</v>
      </c>
      <c r="F735" s="29" t="str">
        <f>IF(OR(A735="",E735="","",A735="?",E735="?"),"duplicate?",IF(COUNTIFS($A:A,A735,E:E,E735)&gt;1,"yes","no"))</f>
        <v>yes</v>
      </c>
      <c r="G735" s="64">
        <v>10828</v>
      </c>
      <c r="H735" s="65">
        <v>44931</v>
      </c>
      <c r="I735" s="64" t="s">
        <v>66</v>
      </c>
      <c r="J735" s="64"/>
      <c r="K735" s="48" t="str">
        <f t="shared" ca="1" si="2"/>
        <v>Date</v>
      </c>
      <c r="L735" s="64"/>
      <c r="M735" s="24"/>
    </row>
    <row r="736" spans="1:13">
      <c r="A736" s="64">
        <v>918114137</v>
      </c>
      <c r="B736" s="65">
        <v>45273</v>
      </c>
      <c r="C736" s="64" t="str">
        <f>IF(ISBLANK(A736),"Name",IF(ISNA(VLOOKUP(A736,'Master List'!A:C,2,FALSE)), "Not Found", VLOOKUP(A736,'Master List'!A:C,2,FALSE)))</f>
        <v>Karin Knowles</v>
      </c>
      <c r="D736" s="64" t="str">
        <f>IF(ISBLANK(A736), "Email",IF(ISNA(VLOOKUP(A736,'Master List'!A:C,3,FALSE)), "Not Found", VLOOKUP(A736,'Master List'!A:C,3,FALSE)))</f>
        <v>klknowles@sfsu.edu</v>
      </c>
      <c r="E736" s="64" t="s">
        <v>188</v>
      </c>
      <c r="F736" s="29" t="str">
        <f>IF(OR(A736="",E736="","",A736="?",E736="?"),"duplicate?",IF(COUNTIFS($A:A,A736,E:E,E736)&gt;1,"yes","no"))</f>
        <v>no</v>
      </c>
      <c r="G736" s="64"/>
      <c r="H736" s="65">
        <v>45274</v>
      </c>
      <c r="I736" s="64" t="s">
        <v>70</v>
      </c>
      <c r="J736" s="64" t="s">
        <v>153</v>
      </c>
      <c r="K736" s="48">
        <f t="shared" ca="1" si="2"/>
        <v>45274.560426388889</v>
      </c>
      <c r="L736" s="64"/>
      <c r="M736" s="24"/>
    </row>
    <row r="737" spans="1:12" customFormat="1" ht="32.1">
      <c r="A737" s="19">
        <v>922333916</v>
      </c>
      <c r="B737" s="57">
        <v>45231</v>
      </c>
      <c r="C737" s="19" t="str">
        <f>IF(ISBLANK(A737),"Name",IF(ISNA(VLOOKUP(A737,'Master List'!A:C,2,FALSE)), "Not Found", VLOOKUP(A737,'Master List'!A:C,2,FALSE)))</f>
        <v>Jason Nava</v>
      </c>
      <c r="D737" s="19" t="str">
        <f>IF(ISBLANK(A737), "Email",IF(ISNA(VLOOKUP(A737,'Master List'!A:C,3,FALSE)), "Not Found", VLOOKUP(A737,'Master List'!A:C,3,FALSE)))</f>
        <v>jnava6@sfsu.edu</v>
      </c>
      <c r="E737" s="19" t="s">
        <v>239</v>
      </c>
      <c r="F737" s="4" t="str">
        <f>IF(OR(A737="",E737="","",A737="?",E737="?"),"duplicate?",IF(COUNTIFS($A$737:A$737,A737,E$737:E$737,E737)&gt;1,"yes","no"))</f>
        <v>no</v>
      </c>
      <c r="G737" s="19"/>
      <c r="H737" s="89" t="s">
        <v>6503</v>
      </c>
      <c r="I737" s="19" t="s">
        <v>153</v>
      </c>
      <c r="J737" s="19" t="s">
        <v>6508</v>
      </c>
      <c r="K737" s="12">
        <f ca="1">IF(J737="","Date",IF(J737&lt;&gt;"",IF(K737="Date",NOW(),K737),""))</f>
        <v>45274.573050925923</v>
      </c>
      <c r="L737" s="19"/>
    </row>
    <row r="738" spans="1:12">
      <c r="A738" s="25">
        <v>916483521</v>
      </c>
      <c r="B738" s="26">
        <v>44993</v>
      </c>
      <c r="C738" s="27" t="s">
        <v>4120</v>
      </c>
      <c r="D738" s="28" t="s">
        <v>4121</v>
      </c>
      <c r="E738" s="29" t="s">
        <v>151</v>
      </c>
      <c r="F738" s="29" t="s">
        <v>171</v>
      </c>
      <c r="G738" s="29">
        <v>70364</v>
      </c>
      <c r="H738" s="26">
        <v>45007</v>
      </c>
      <c r="I738" s="27" t="s">
        <v>59</v>
      </c>
      <c r="J738" s="27" t="s">
        <v>131</v>
      </c>
      <c r="K738" s="26">
        <v>45275.491869907404</v>
      </c>
      <c r="L738" s="24" t="s">
        <v>6509</v>
      </c>
    </row>
    <row r="739" spans="1:12">
      <c r="A739" s="25">
        <v>902036348</v>
      </c>
      <c r="B739" s="26">
        <v>45160</v>
      </c>
      <c r="C739" s="27" t="s">
        <v>1583</v>
      </c>
      <c r="D739" s="28" t="s">
        <v>1584</v>
      </c>
      <c r="E739" s="29" t="s">
        <v>76</v>
      </c>
      <c r="F739" s="29" t="s">
        <v>171</v>
      </c>
      <c r="H739" s="26" t="s">
        <v>127</v>
      </c>
      <c r="I739" s="27" t="s">
        <v>71</v>
      </c>
      <c r="J739" s="27" t="s">
        <v>66</v>
      </c>
      <c r="K739" s="26">
        <v>45281.600142129631</v>
      </c>
    </row>
    <row r="740" spans="1:12">
      <c r="A740" s="25">
        <v>912745657</v>
      </c>
      <c r="B740" s="26">
        <v>45202</v>
      </c>
      <c r="C740" s="27" t="s">
        <v>5944</v>
      </c>
      <c r="D740" s="28" t="s">
        <v>5945</v>
      </c>
      <c r="E740" s="29" t="s">
        <v>261</v>
      </c>
      <c r="F740" s="29" t="s">
        <v>171</v>
      </c>
      <c r="H740" s="26">
        <v>45275</v>
      </c>
      <c r="I740" s="27" t="s">
        <v>72</v>
      </c>
      <c r="J740" s="27" t="s">
        <v>72</v>
      </c>
      <c r="K740" s="26">
        <v>45275.506456249997</v>
      </c>
      <c r="L740" s="24" t="s">
        <v>6497</v>
      </c>
    </row>
    <row r="741" spans="1:12">
      <c r="A741" s="25">
        <v>904859987</v>
      </c>
      <c r="B741" s="26">
        <v>45226</v>
      </c>
      <c r="C741" s="27" t="s">
        <v>1957</v>
      </c>
      <c r="D741" s="28" t="s">
        <v>1958</v>
      </c>
      <c r="E741" s="29" t="s">
        <v>151</v>
      </c>
      <c r="F741" s="29" t="s">
        <v>6339</v>
      </c>
      <c r="G741" s="29">
        <v>70038</v>
      </c>
      <c r="H741" s="26" t="s">
        <v>6499</v>
      </c>
      <c r="I741" s="27" t="s">
        <v>70</v>
      </c>
      <c r="J741" s="27" t="s">
        <v>153</v>
      </c>
      <c r="K741" s="26">
        <v>45278.448770486109</v>
      </c>
      <c r="L741" s="24" t="s">
        <v>6500</v>
      </c>
    </row>
    <row r="742" spans="1:12">
      <c r="A742" s="25">
        <v>904859987</v>
      </c>
      <c r="B742" s="26">
        <v>45226</v>
      </c>
      <c r="C742" s="27" t="s">
        <v>1957</v>
      </c>
      <c r="D742" s="28" t="s">
        <v>1958</v>
      </c>
      <c r="E742" s="29" t="s">
        <v>151</v>
      </c>
      <c r="F742" s="29" t="s">
        <v>6339</v>
      </c>
      <c r="G742" s="29">
        <v>70339</v>
      </c>
      <c r="H742" s="26" t="s">
        <v>127</v>
      </c>
      <c r="I742" s="27" t="s">
        <v>70</v>
      </c>
      <c r="J742" s="27" t="s">
        <v>153</v>
      </c>
      <c r="K742" s="26">
        <v>45278.448816666663</v>
      </c>
      <c r="L742" s="24" t="s">
        <v>6500</v>
      </c>
    </row>
    <row r="743" spans="1:12">
      <c r="A743" s="25">
        <v>912745657</v>
      </c>
      <c r="B743" s="26">
        <v>45246</v>
      </c>
      <c r="C743" s="27" t="s">
        <v>5944</v>
      </c>
      <c r="D743" s="28" t="s">
        <v>5945</v>
      </c>
      <c r="E743" s="29" t="s">
        <v>263</v>
      </c>
      <c r="F743" s="29" t="s">
        <v>171</v>
      </c>
      <c r="H743" s="26" t="s">
        <v>6505</v>
      </c>
      <c r="I743" s="27" t="s">
        <v>70</v>
      </c>
      <c r="J743" s="27" t="s">
        <v>139</v>
      </c>
      <c r="K743" s="26">
        <v>45275.505956944442</v>
      </c>
    </row>
    <row r="744" spans="1:12">
      <c r="A744" s="25">
        <v>912745657</v>
      </c>
      <c r="B744" s="26">
        <v>45246</v>
      </c>
      <c r="C744" s="27" t="s">
        <v>5944</v>
      </c>
      <c r="D744" s="28" t="s">
        <v>5945</v>
      </c>
      <c r="E744" s="29" t="s">
        <v>6420</v>
      </c>
      <c r="F744" s="29" t="s">
        <v>171</v>
      </c>
      <c r="H744" s="26" t="s">
        <v>6505</v>
      </c>
      <c r="I744" s="27" t="s">
        <v>70</v>
      </c>
      <c r="J744" s="27" t="s">
        <v>139</v>
      </c>
      <c r="K744" s="26">
        <v>45275.505985995369</v>
      </c>
    </row>
    <row r="745" spans="1:12">
      <c r="A745" s="25">
        <v>909169006</v>
      </c>
      <c r="B745" s="26">
        <v>45272</v>
      </c>
      <c r="C745" s="27" t="s">
        <v>2652</v>
      </c>
      <c r="D745" s="28" t="s">
        <v>2653</v>
      </c>
      <c r="E745" s="29" t="s">
        <v>269</v>
      </c>
      <c r="F745" s="29" t="s">
        <v>171</v>
      </c>
      <c r="H745" s="26">
        <v>45274</v>
      </c>
      <c r="I745" s="27" t="s">
        <v>72</v>
      </c>
      <c r="J745" s="27" t="s">
        <v>153</v>
      </c>
      <c r="K745" s="26">
        <v>45274.603522337966</v>
      </c>
      <c r="L745" s="24" t="s">
        <v>6510</v>
      </c>
    </row>
    <row r="746" spans="1:12">
      <c r="A746" s="25">
        <v>904031146</v>
      </c>
      <c r="B746" s="26">
        <v>45273</v>
      </c>
      <c r="C746" s="27" t="s">
        <v>5976</v>
      </c>
      <c r="D746" s="28" t="s">
        <v>5977</v>
      </c>
      <c r="E746" s="29" t="s">
        <v>6507</v>
      </c>
      <c r="F746" s="29" t="s">
        <v>171</v>
      </c>
      <c r="G746" s="29">
        <v>10828</v>
      </c>
      <c r="H746" s="26">
        <v>44931</v>
      </c>
      <c r="I746" s="27" t="s">
        <v>66</v>
      </c>
      <c r="J746" s="27" t="s">
        <v>155</v>
      </c>
      <c r="K746" s="26">
        <v>45279.479879050923</v>
      </c>
    </row>
    <row r="747" spans="1:12">
      <c r="A747" s="25">
        <v>900388260</v>
      </c>
      <c r="B747" s="26">
        <v>45294.618899421293</v>
      </c>
      <c r="C747" s="27" t="s">
        <v>1406</v>
      </c>
      <c r="D747" s="28" t="s">
        <v>1407</v>
      </c>
      <c r="E747" s="29" t="s">
        <v>67</v>
      </c>
      <c r="F747" s="29" t="s">
        <v>171</v>
      </c>
      <c r="H747" s="26">
        <v>45294</v>
      </c>
      <c r="I747" s="27" t="s">
        <v>66</v>
      </c>
      <c r="J747" s="27" t="s">
        <v>66</v>
      </c>
      <c r="K747" s="26">
        <v>45294.619207638891</v>
      </c>
      <c r="L747" s="24" t="s">
        <v>6511</v>
      </c>
    </row>
    <row r="748" spans="1:12">
      <c r="A748" s="25">
        <v>918839368</v>
      </c>
      <c r="B748" s="26">
        <v>44964</v>
      </c>
      <c r="C748" s="27" t="s">
        <v>5070</v>
      </c>
      <c r="D748" s="28" t="s">
        <v>5071</v>
      </c>
      <c r="E748" s="29" t="s">
        <v>112</v>
      </c>
      <c r="F748" s="29" t="s">
        <v>171</v>
      </c>
      <c r="H748" s="26">
        <v>45078</v>
      </c>
      <c r="I748" s="27" t="s">
        <v>71</v>
      </c>
      <c r="J748" s="27" t="s">
        <v>66</v>
      </c>
      <c r="K748" s="26">
        <v>45295.491639004627</v>
      </c>
    </row>
    <row r="749" spans="1:12">
      <c r="A749" s="25">
        <v>917263443</v>
      </c>
      <c r="B749" s="26">
        <v>45299.818245486109</v>
      </c>
      <c r="C749" s="27" t="s">
        <v>4404</v>
      </c>
      <c r="D749" s="28" t="s">
        <v>4405</v>
      </c>
      <c r="E749" s="29" t="s">
        <v>19</v>
      </c>
      <c r="F749" s="29" t="s">
        <v>6339</v>
      </c>
      <c r="H749" s="26" t="s">
        <v>6512</v>
      </c>
      <c r="I749" s="27" t="s">
        <v>66</v>
      </c>
      <c r="J749" s="27" t="s">
        <v>66</v>
      </c>
      <c r="K749" s="26">
        <v>45299.891514930554</v>
      </c>
      <c r="L749" s="24" t="s">
        <v>6513</v>
      </c>
    </row>
    <row r="750" spans="1:12">
      <c r="A750" s="25">
        <v>918853499</v>
      </c>
      <c r="B750" s="26">
        <v>45156</v>
      </c>
      <c r="C750" s="27" t="s">
        <v>5911</v>
      </c>
      <c r="D750" s="28" t="s">
        <v>5912</v>
      </c>
      <c r="E750" s="29" t="s">
        <v>46</v>
      </c>
      <c r="F750" s="29" t="s">
        <v>171</v>
      </c>
      <c r="H750" s="26" t="s">
        <v>124</v>
      </c>
      <c r="I750" s="27" t="s">
        <v>99</v>
      </c>
      <c r="J750" s="27" t="s">
        <v>99</v>
      </c>
      <c r="K750" s="26">
        <v>45307.997141435182</v>
      </c>
    </row>
    <row r="751" spans="1:12">
      <c r="A751" s="25">
        <v>918848078</v>
      </c>
      <c r="B751" s="26">
        <v>45266</v>
      </c>
      <c r="C751" s="27" t="s">
        <v>5308</v>
      </c>
      <c r="D751" s="28" t="s">
        <v>5309</v>
      </c>
      <c r="E751" s="29" t="s">
        <v>143</v>
      </c>
      <c r="F751" s="29" t="s">
        <v>171</v>
      </c>
      <c r="H751" s="26">
        <v>45275</v>
      </c>
      <c r="I751" s="27" t="s">
        <v>72</v>
      </c>
      <c r="J751" s="27" t="s">
        <v>73</v>
      </c>
      <c r="K751" s="26">
        <v>45320.585111574073</v>
      </c>
    </row>
    <row r="752" spans="1:12">
      <c r="A752" s="25">
        <v>900029746</v>
      </c>
      <c r="B752" s="26">
        <v>45278.568331365743</v>
      </c>
      <c r="C752" s="27" t="s">
        <v>1008</v>
      </c>
      <c r="D752" s="28" t="s">
        <v>1009</v>
      </c>
      <c r="E752" s="29" t="s">
        <v>6514</v>
      </c>
      <c r="F752" s="29" t="s">
        <v>171</v>
      </c>
      <c r="H752" s="26" t="s">
        <v>6515</v>
      </c>
      <c r="I752" s="27" t="s">
        <v>153</v>
      </c>
      <c r="J752" s="27" t="s">
        <v>61</v>
      </c>
      <c r="K752" s="26">
        <v>45302.797362731479</v>
      </c>
      <c r="L752" s="24" t="s">
        <v>6516</v>
      </c>
    </row>
    <row r="753" spans="1:12">
      <c r="A753" s="25">
        <v>915619385</v>
      </c>
      <c r="B753" s="26">
        <v>45308.449719560187</v>
      </c>
      <c r="C753" s="27" t="s">
        <v>3902</v>
      </c>
      <c r="D753" s="28" t="s">
        <v>3903</v>
      </c>
      <c r="E753" s="29" t="s">
        <v>6475</v>
      </c>
      <c r="F753" s="29" t="s">
        <v>171</v>
      </c>
      <c r="G753" s="29" t="s">
        <v>6481</v>
      </c>
      <c r="H753" s="26" t="s">
        <v>6517</v>
      </c>
      <c r="I753" s="27" t="s">
        <v>66</v>
      </c>
      <c r="J753" s="27" t="s">
        <v>72</v>
      </c>
      <c r="K753" s="26">
        <v>45308.698083101852</v>
      </c>
    </row>
    <row r="754" spans="1:12">
      <c r="A754" s="25">
        <v>905284034</v>
      </c>
      <c r="B754" s="26">
        <v>45308.570482407406</v>
      </c>
      <c r="C754" s="27" t="s">
        <v>2007</v>
      </c>
      <c r="D754" s="28" t="s">
        <v>2008</v>
      </c>
      <c r="E754" s="29" t="s">
        <v>28</v>
      </c>
      <c r="F754" s="29" t="s">
        <v>171</v>
      </c>
      <c r="H754" s="26">
        <v>45314</v>
      </c>
      <c r="I754" s="27" t="s">
        <v>155</v>
      </c>
      <c r="J754" s="27" t="s">
        <v>155</v>
      </c>
      <c r="K754" s="26">
        <v>45315.446885532408</v>
      </c>
    </row>
    <row r="755" spans="1:12">
      <c r="A755" s="25">
        <v>913352328</v>
      </c>
      <c r="B755" s="26">
        <v>45308.664329050924</v>
      </c>
      <c r="C755" s="27" t="s">
        <v>5988</v>
      </c>
      <c r="D755" s="28" t="s">
        <v>5989</v>
      </c>
      <c r="E755" s="29" t="s">
        <v>67</v>
      </c>
      <c r="F755" s="29" t="s">
        <v>171</v>
      </c>
      <c r="H755" s="26" t="s">
        <v>6265</v>
      </c>
      <c r="I755" s="27" t="s">
        <v>99</v>
      </c>
      <c r="J755" s="27" t="s">
        <v>73</v>
      </c>
      <c r="K755" s="26">
        <v>45310.61757037037</v>
      </c>
    </row>
    <row r="756" spans="1:12">
      <c r="A756" s="25">
        <v>918852433</v>
      </c>
      <c r="B756" s="26">
        <v>0</v>
      </c>
      <c r="C756" s="27" t="s">
        <v>5990</v>
      </c>
      <c r="D756" s="28" t="s">
        <v>5991</v>
      </c>
      <c r="E756" s="29" t="s">
        <v>92</v>
      </c>
      <c r="F756" s="29" t="s">
        <v>171</v>
      </c>
      <c r="H756" s="26" t="s">
        <v>136</v>
      </c>
      <c r="I756" s="27" t="s">
        <v>72</v>
      </c>
      <c r="J756" s="27" t="s">
        <v>139</v>
      </c>
      <c r="K756" s="26">
        <v>45310.627500462964</v>
      </c>
    </row>
    <row r="757" spans="1:12">
      <c r="A757" s="25">
        <v>910202493</v>
      </c>
      <c r="B757" s="26">
        <v>45310.452584375002</v>
      </c>
      <c r="C757" s="27" t="s">
        <v>2966</v>
      </c>
      <c r="D757" s="28" t="s">
        <v>2967</v>
      </c>
      <c r="E757" s="29" t="s">
        <v>239</v>
      </c>
      <c r="F757" s="29" t="s">
        <v>171</v>
      </c>
      <c r="H757" s="26">
        <v>45314</v>
      </c>
      <c r="I757" s="27" t="s">
        <v>72</v>
      </c>
      <c r="J757" s="27" t="s">
        <v>153</v>
      </c>
      <c r="K757" s="26">
        <v>45316.465523611114</v>
      </c>
    </row>
    <row r="758" spans="1:12">
      <c r="A758" s="25">
        <v>918844620</v>
      </c>
      <c r="B758" s="26">
        <v>45313</v>
      </c>
      <c r="C758" s="27" t="s">
        <v>5992</v>
      </c>
      <c r="D758" s="28" t="s">
        <v>5993</v>
      </c>
      <c r="E758" s="29" t="s">
        <v>239</v>
      </c>
      <c r="F758" s="29" t="s">
        <v>6339</v>
      </c>
      <c r="G758" s="29" t="s">
        <v>6518</v>
      </c>
      <c r="H758" s="26" t="s">
        <v>6493</v>
      </c>
      <c r="I758" s="27" t="s">
        <v>153</v>
      </c>
      <c r="J758" s="27" t="s">
        <v>153</v>
      </c>
      <c r="K758" s="26">
        <v>45313.609639814815</v>
      </c>
    </row>
    <row r="759" spans="1:12">
      <c r="A759" s="25">
        <v>900009219</v>
      </c>
      <c r="B759" s="26">
        <v>45320.394652777781</v>
      </c>
      <c r="C759" s="27" t="s">
        <v>5994</v>
      </c>
      <c r="D759" s="28" t="s">
        <v>5995</v>
      </c>
      <c r="E759" s="29" t="s">
        <v>57</v>
      </c>
      <c r="F759" s="29" t="s">
        <v>171</v>
      </c>
      <c r="H759" s="26" t="s">
        <v>180</v>
      </c>
      <c r="I759" s="27" t="s">
        <v>153</v>
      </c>
      <c r="J759" s="27" t="s">
        <v>72</v>
      </c>
      <c r="K759" s="26">
        <v>45320.702972800929</v>
      </c>
    </row>
    <row r="760" spans="1:12">
      <c r="A760" s="25">
        <v>918844620</v>
      </c>
      <c r="B760" s="26">
        <v>45321.484183680557</v>
      </c>
      <c r="C760" s="27" t="s">
        <v>5992</v>
      </c>
      <c r="D760" s="28" t="s">
        <v>5993</v>
      </c>
      <c r="E760" s="29" t="s">
        <v>239</v>
      </c>
      <c r="F760" s="29" t="s">
        <v>6339</v>
      </c>
      <c r="H760" s="26" t="s">
        <v>6271</v>
      </c>
      <c r="I760" s="27" t="s">
        <v>153</v>
      </c>
      <c r="J760" s="27" t="s">
        <v>155</v>
      </c>
      <c r="K760" s="26">
        <v>45321.63567476852</v>
      </c>
    </row>
    <row r="761" spans="1:12">
      <c r="A761" s="25">
        <v>909861620</v>
      </c>
      <c r="B761" s="26">
        <v>44816</v>
      </c>
      <c r="C761" s="27" t="s">
        <v>2852</v>
      </c>
      <c r="D761" s="28" t="s">
        <v>2853</v>
      </c>
      <c r="E761" s="29" t="s">
        <v>19</v>
      </c>
      <c r="F761" s="29" t="s">
        <v>6339</v>
      </c>
      <c r="G761" s="29" t="s">
        <v>22</v>
      </c>
      <c r="H761" s="26">
        <v>45282</v>
      </c>
      <c r="J761" s="27" t="s">
        <v>153</v>
      </c>
      <c r="K761" s="26">
        <v>45349.5701275463</v>
      </c>
    </row>
    <row r="762" spans="1:12">
      <c r="A762" s="25">
        <v>909861620</v>
      </c>
      <c r="B762" s="26">
        <v>44817</v>
      </c>
      <c r="C762" s="27" t="s">
        <v>2852</v>
      </c>
      <c r="D762" s="28" t="s">
        <v>2853</v>
      </c>
      <c r="E762" s="29" t="s">
        <v>16</v>
      </c>
      <c r="F762" s="29" t="s">
        <v>171</v>
      </c>
      <c r="H762" s="26">
        <v>45282</v>
      </c>
      <c r="J762" s="27" t="s">
        <v>153</v>
      </c>
      <c r="K762" s="26">
        <v>45349.570567939816</v>
      </c>
    </row>
    <row r="763" spans="1:12">
      <c r="A763" s="25">
        <v>918832699</v>
      </c>
      <c r="B763" s="26">
        <v>44847</v>
      </c>
      <c r="C763" s="27" t="s">
        <v>4922</v>
      </c>
      <c r="D763" s="28" t="s">
        <v>4923</v>
      </c>
      <c r="E763" s="29" t="s">
        <v>25</v>
      </c>
      <c r="F763" s="29" t="s">
        <v>171</v>
      </c>
      <c r="H763" s="26">
        <v>45282</v>
      </c>
      <c r="J763" s="27" t="s">
        <v>155</v>
      </c>
    </row>
    <row r="764" spans="1:12">
      <c r="A764" s="25">
        <v>900520457</v>
      </c>
      <c r="B764" s="26">
        <v>45211</v>
      </c>
      <c r="C764" s="27" t="s">
        <v>1420</v>
      </c>
      <c r="D764" s="28" t="s">
        <v>1421</v>
      </c>
      <c r="E764" s="29" t="s">
        <v>58</v>
      </c>
      <c r="F764" s="29" t="s">
        <v>171</v>
      </c>
      <c r="H764" s="26">
        <v>45219</v>
      </c>
      <c r="I764" s="27" t="s">
        <v>61</v>
      </c>
      <c r="J764" s="27" t="s">
        <v>66</v>
      </c>
      <c r="K764" s="26">
        <v>45336.532842245368</v>
      </c>
    </row>
    <row r="765" spans="1:12">
      <c r="A765" s="25">
        <v>900058281</v>
      </c>
      <c r="B765" s="26">
        <v>45230</v>
      </c>
      <c r="C765" s="27" t="s">
        <v>1346</v>
      </c>
      <c r="D765" s="28" t="s">
        <v>1347</v>
      </c>
      <c r="E765" s="29" t="s">
        <v>133</v>
      </c>
      <c r="F765" s="29" t="s">
        <v>171</v>
      </c>
      <c r="H765" s="26">
        <v>45230</v>
      </c>
      <c r="I765" s="27" t="s">
        <v>66</v>
      </c>
      <c r="J765" s="27" t="s">
        <v>72</v>
      </c>
      <c r="K765" s="26">
        <v>45330.758496527778</v>
      </c>
      <c r="L765" s="24" t="s">
        <v>6502</v>
      </c>
    </row>
    <row r="766" spans="1:12">
      <c r="A766" s="25">
        <v>917253134</v>
      </c>
      <c r="B766" s="26">
        <v>45267</v>
      </c>
      <c r="C766" s="27" t="s">
        <v>4378</v>
      </c>
      <c r="D766" s="28" t="s">
        <v>4379</v>
      </c>
      <c r="E766" s="29" t="s">
        <v>25</v>
      </c>
      <c r="F766" s="29" t="s">
        <v>171</v>
      </c>
      <c r="H766" s="26">
        <v>45274</v>
      </c>
      <c r="I766" s="27" t="s">
        <v>70</v>
      </c>
      <c r="J766" s="27" t="s">
        <v>178</v>
      </c>
      <c r="K766" s="26">
        <v>45335.402256597219</v>
      </c>
    </row>
    <row r="767" spans="1:12">
      <c r="A767" s="25">
        <v>904031146</v>
      </c>
      <c r="B767" s="26">
        <v>45279.481164699071</v>
      </c>
      <c r="C767" s="27" t="s">
        <v>5976</v>
      </c>
      <c r="D767" s="28" t="s">
        <v>5977</v>
      </c>
      <c r="E767" s="29" t="s">
        <v>151</v>
      </c>
      <c r="F767" s="29" t="s">
        <v>171</v>
      </c>
      <c r="G767" s="29">
        <v>70364</v>
      </c>
      <c r="H767" s="26">
        <v>45341</v>
      </c>
      <c r="I767" s="27" t="s">
        <v>155</v>
      </c>
      <c r="J767" s="27" t="s">
        <v>178</v>
      </c>
      <c r="K767" s="26">
        <v>45342.360629629628</v>
      </c>
    </row>
    <row r="768" spans="1:12">
      <c r="A768" s="25">
        <v>904031146</v>
      </c>
      <c r="B768" s="26">
        <v>45279.48246446759</v>
      </c>
      <c r="C768" s="27" t="s">
        <v>5976</v>
      </c>
      <c r="D768" s="28" t="s">
        <v>5977</v>
      </c>
      <c r="E768" s="29" t="s">
        <v>140</v>
      </c>
      <c r="F768" s="29" t="s">
        <v>171</v>
      </c>
      <c r="H768" s="26">
        <v>45341</v>
      </c>
      <c r="I768" s="27" t="s">
        <v>155</v>
      </c>
      <c r="J768" s="27" t="s">
        <v>178</v>
      </c>
      <c r="K768" s="26">
        <v>45342.360665277774</v>
      </c>
    </row>
    <row r="769" spans="1:12">
      <c r="B769" s="26" t="s">
        <v>1</v>
      </c>
      <c r="C769" s="27" t="s">
        <v>6519</v>
      </c>
      <c r="D769" s="28" t="s">
        <v>6326</v>
      </c>
      <c r="E769" s="29" t="s">
        <v>6470</v>
      </c>
      <c r="F769" s="29" t="s">
        <v>6395</v>
      </c>
      <c r="G769" s="29" t="s">
        <v>164</v>
      </c>
      <c r="H769" s="26" t="s">
        <v>134</v>
      </c>
      <c r="I769" s="27" t="s">
        <v>66</v>
      </c>
      <c r="J769" s="27" t="s">
        <v>66</v>
      </c>
      <c r="K769" s="26">
        <v>45322.668158564818</v>
      </c>
    </row>
    <row r="770" spans="1:12">
      <c r="B770" s="26" t="s">
        <v>1</v>
      </c>
      <c r="C770" s="27" t="s">
        <v>6519</v>
      </c>
      <c r="D770" s="28" t="s">
        <v>6326</v>
      </c>
      <c r="E770" s="29" t="s">
        <v>28</v>
      </c>
      <c r="F770" s="29" t="s">
        <v>6395</v>
      </c>
      <c r="G770" s="29" t="s">
        <v>164</v>
      </c>
      <c r="H770" s="26" t="s">
        <v>134</v>
      </c>
      <c r="I770" s="27" t="s">
        <v>66</v>
      </c>
      <c r="J770" s="27" t="s">
        <v>66</v>
      </c>
      <c r="K770" s="26">
        <v>45322.668171180558</v>
      </c>
    </row>
    <row r="771" spans="1:12">
      <c r="A771" s="25">
        <v>922201186</v>
      </c>
      <c r="B771" s="26">
        <v>45301</v>
      </c>
      <c r="C771" s="27" t="s">
        <v>6520</v>
      </c>
      <c r="D771" s="28" t="s">
        <v>6521</v>
      </c>
      <c r="E771" s="29" t="s">
        <v>239</v>
      </c>
      <c r="F771" s="29" t="s">
        <v>171</v>
      </c>
      <c r="G771" s="29" t="s">
        <v>6522</v>
      </c>
      <c r="H771" s="26">
        <v>45317</v>
      </c>
      <c r="I771" s="27" t="s">
        <v>61</v>
      </c>
      <c r="J771" s="27" t="s">
        <v>66</v>
      </c>
      <c r="K771" s="26">
        <v>45322.668309143519</v>
      </c>
    </row>
    <row r="772" spans="1:12">
      <c r="A772" s="25">
        <v>918834051</v>
      </c>
      <c r="B772" s="26">
        <v>45320.684831481478</v>
      </c>
      <c r="C772" s="27" t="s">
        <v>4958</v>
      </c>
      <c r="D772" s="28" t="s">
        <v>4959</v>
      </c>
      <c r="E772" s="29" t="s">
        <v>143</v>
      </c>
      <c r="F772" s="29" t="s">
        <v>171</v>
      </c>
      <c r="H772" s="26" t="s">
        <v>6523</v>
      </c>
      <c r="I772" s="27" t="s">
        <v>72</v>
      </c>
      <c r="J772" s="27" t="s">
        <v>72</v>
      </c>
      <c r="K772" s="26">
        <v>45322.674767708333</v>
      </c>
    </row>
    <row r="773" spans="1:12">
      <c r="A773" s="25">
        <v>904255045</v>
      </c>
      <c r="B773" s="26">
        <v>45322.497031944447</v>
      </c>
      <c r="C773" s="27" t="s">
        <v>1869</v>
      </c>
      <c r="D773" s="28" t="s">
        <v>1870</v>
      </c>
      <c r="E773" s="29" t="s">
        <v>20</v>
      </c>
      <c r="F773" s="29" t="s">
        <v>171</v>
      </c>
      <c r="G773" s="29" t="s">
        <v>240</v>
      </c>
      <c r="H773" s="26" t="s">
        <v>6524</v>
      </c>
      <c r="I773" s="27" t="s">
        <v>155</v>
      </c>
      <c r="J773" s="27" t="s">
        <v>61</v>
      </c>
      <c r="K773" s="26">
        <v>45323.524047569445</v>
      </c>
      <c r="L773" s="24" t="s">
        <v>6525</v>
      </c>
    </row>
    <row r="774" spans="1:12">
      <c r="A774" s="25">
        <v>918099577</v>
      </c>
      <c r="B774" s="26">
        <v>45328.465731481483</v>
      </c>
      <c r="C774" s="27" t="s">
        <v>5868</v>
      </c>
      <c r="D774" s="28" t="s">
        <v>5869</v>
      </c>
      <c r="E774" s="29" t="s">
        <v>76</v>
      </c>
      <c r="F774" s="29" t="s">
        <v>171</v>
      </c>
      <c r="H774" s="26" t="s">
        <v>134</v>
      </c>
      <c r="I774" s="27" t="s">
        <v>153</v>
      </c>
      <c r="J774" s="27" t="s">
        <v>66</v>
      </c>
      <c r="K774" s="26">
        <v>45328.646263657407</v>
      </c>
      <c r="L774" s="24" t="s">
        <v>6526</v>
      </c>
    </row>
    <row r="775" spans="1:12">
      <c r="A775" s="25">
        <v>900043409</v>
      </c>
      <c r="B775" s="26">
        <v>45330.43600173611</v>
      </c>
      <c r="C775" s="27" t="s">
        <v>1226</v>
      </c>
      <c r="D775" s="28" t="s">
        <v>1227</v>
      </c>
      <c r="E775" s="29" t="s">
        <v>133</v>
      </c>
      <c r="F775" s="29" t="s">
        <v>171</v>
      </c>
      <c r="H775" s="26">
        <v>45344</v>
      </c>
      <c r="I775" s="27" t="s">
        <v>178</v>
      </c>
      <c r="J775" s="27" t="s">
        <v>178</v>
      </c>
      <c r="K775" s="26">
        <v>45330.5122505787</v>
      </c>
    </row>
    <row r="776" spans="1:12">
      <c r="A776" s="25">
        <v>900043409</v>
      </c>
      <c r="B776" s="26">
        <v>45330.438120833336</v>
      </c>
      <c r="C776" s="27" t="s">
        <v>1226</v>
      </c>
      <c r="D776" s="28" t="s">
        <v>1227</v>
      </c>
      <c r="E776" s="29" t="s">
        <v>25</v>
      </c>
      <c r="F776" s="29" t="s">
        <v>6339</v>
      </c>
      <c r="H776" s="26">
        <v>45344</v>
      </c>
      <c r="I776" s="27" t="s">
        <v>178</v>
      </c>
      <c r="J776" s="27" t="s">
        <v>178</v>
      </c>
      <c r="K776" s="26">
        <v>45330.513669328706</v>
      </c>
    </row>
    <row r="777" spans="1:12">
      <c r="A777" s="25">
        <v>904239211</v>
      </c>
      <c r="B777" s="26">
        <v>45330.439576736113</v>
      </c>
      <c r="C777" s="27" t="s">
        <v>1865</v>
      </c>
      <c r="D777" s="28" t="s">
        <v>1866</v>
      </c>
      <c r="E777" s="29" t="s">
        <v>6475</v>
      </c>
      <c r="F777" s="29" t="s">
        <v>171</v>
      </c>
      <c r="G777" s="29" t="s">
        <v>6527</v>
      </c>
      <c r="H777" s="26">
        <v>45330</v>
      </c>
      <c r="I777" s="27" t="s">
        <v>178</v>
      </c>
      <c r="J777" s="27" t="s">
        <v>69</v>
      </c>
      <c r="K777" s="26">
        <v>45330.584490624999</v>
      </c>
    </row>
    <row r="778" spans="1:12">
      <c r="A778" s="25">
        <v>901694591</v>
      </c>
      <c r="B778" s="26">
        <v>45331.569189351852</v>
      </c>
      <c r="C778" s="27" t="s">
        <v>6008</v>
      </c>
      <c r="D778" s="28" t="s">
        <v>6009</v>
      </c>
      <c r="E778" s="29" t="s">
        <v>28</v>
      </c>
      <c r="F778" s="29" t="s">
        <v>171</v>
      </c>
      <c r="H778" s="26">
        <v>45336</v>
      </c>
      <c r="I778" s="27" t="s">
        <v>72</v>
      </c>
      <c r="J778" s="27" t="s">
        <v>153</v>
      </c>
      <c r="K778" s="26">
        <v>45334.619975578702</v>
      </c>
    </row>
    <row r="779" spans="1:12">
      <c r="A779" s="25">
        <v>900004760</v>
      </c>
      <c r="B779" s="26">
        <v>45334.74368738426</v>
      </c>
      <c r="C779" s="27" t="s">
        <v>477</v>
      </c>
      <c r="D779" s="28" t="s">
        <v>478</v>
      </c>
      <c r="E779" s="29" t="s">
        <v>140</v>
      </c>
      <c r="F779" s="29" t="s">
        <v>171</v>
      </c>
      <c r="H779" s="26">
        <v>45336</v>
      </c>
      <c r="I779" s="27" t="s">
        <v>71</v>
      </c>
      <c r="J779" s="27" t="s">
        <v>71</v>
      </c>
      <c r="K779" s="26">
        <v>45337.068713078705</v>
      </c>
    </row>
    <row r="780" spans="1:12">
      <c r="A780" s="25">
        <v>900038079</v>
      </c>
      <c r="B780" s="26">
        <v>45335.445150810185</v>
      </c>
      <c r="C780" s="27" t="s">
        <v>1136</v>
      </c>
      <c r="D780" s="28" t="s">
        <v>1137</v>
      </c>
      <c r="E780" s="29" t="s">
        <v>20</v>
      </c>
      <c r="F780" s="29" t="s">
        <v>171</v>
      </c>
      <c r="H780" s="26">
        <v>45335</v>
      </c>
      <c r="I780" s="27" t="s">
        <v>176</v>
      </c>
      <c r="J780" s="27" t="s">
        <v>155</v>
      </c>
      <c r="K780" s="26">
        <v>45335.683256018521</v>
      </c>
    </row>
    <row r="781" spans="1:12">
      <c r="A781" s="25">
        <v>903815112</v>
      </c>
      <c r="B781" s="26">
        <v>45335.658944791663</v>
      </c>
      <c r="C781" s="27" t="s">
        <v>1799</v>
      </c>
      <c r="D781" s="28" t="s">
        <v>1800</v>
      </c>
      <c r="E781" s="29" t="s">
        <v>6328</v>
      </c>
      <c r="F781" s="29" t="s">
        <v>171</v>
      </c>
      <c r="H781" s="26">
        <v>45335</v>
      </c>
      <c r="I781" s="27" t="s">
        <v>176</v>
      </c>
      <c r="J781" s="27" t="s">
        <v>176</v>
      </c>
      <c r="K781" s="26">
        <v>45335.662331597225</v>
      </c>
    </row>
    <row r="782" spans="1:12">
      <c r="A782" s="25">
        <v>901516816</v>
      </c>
      <c r="B782" s="26">
        <v>45336.363215625002</v>
      </c>
      <c r="C782" s="27" t="s">
        <v>1527</v>
      </c>
      <c r="D782" s="28" t="s">
        <v>1528</v>
      </c>
      <c r="E782" s="29" t="s">
        <v>239</v>
      </c>
      <c r="F782" s="29" t="s">
        <v>171</v>
      </c>
      <c r="G782" s="29" t="s">
        <v>6528</v>
      </c>
      <c r="H782" s="26" t="s">
        <v>148</v>
      </c>
      <c r="I782" s="27" t="s">
        <v>155</v>
      </c>
      <c r="J782" s="27" t="s">
        <v>66</v>
      </c>
      <c r="K782" s="26">
        <v>45338.414106018521</v>
      </c>
    </row>
    <row r="783" spans="1:12">
      <c r="A783" s="25">
        <v>903377662</v>
      </c>
      <c r="B783" s="26">
        <v>45336.418142708331</v>
      </c>
      <c r="C783" s="27" t="s">
        <v>1741</v>
      </c>
      <c r="D783" s="28" t="s">
        <v>1742</v>
      </c>
      <c r="E783" s="29" t="s">
        <v>263</v>
      </c>
      <c r="F783" s="29" t="s">
        <v>171</v>
      </c>
      <c r="G783" s="29" t="s">
        <v>6529</v>
      </c>
      <c r="H783" s="26" t="s">
        <v>148</v>
      </c>
      <c r="I783" s="27" t="s">
        <v>155</v>
      </c>
      <c r="J783" s="27" t="s">
        <v>66</v>
      </c>
      <c r="K783" s="26">
        <v>45338.413117361109</v>
      </c>
    </row>
    <row r="784" spans="1:12">
      <c r="A784" s="25">
        <v>906992832</v>
      </c>
      <c r="B784" s="26">
        <v>45336.465766203706</v>
      </c>
      <c r="C784" s="27" t="s">
        <v>2181</v>
      </c>
      <c r="D784" s="28" t="s">
        <v>2182</v>
      </c>
      <c r="E784" s="29" t="s">
        <v>6475</v>
      </c>
      <c r="F784" s="29" t="s">
        <v>171</v>
      </c>
      <c r="G784" s="29" t="s">
        <v>6530</v>
      </c>
      <c r="H784" s="26" t="s">
        <v>148</v>
      </c>
      <c r="I784" s="27" t="s">
        <v>155</v>
      </c>
      <c r="J784" s="27" t="s">
        <v>153</v>
      </c>
      <c r="K784" s="26">
        <v>45336.584940972221</v>
      </c>
    </row>
    <row r="785" spans="1:12">
      <c r="A785" s="25">
        <v>918834805</v>
      </c>
      <c r="B785" s="26">
        <v>45336.470800925927</v>
      </c>
      <c r="C785" s="27" t="s">
        <v>4984</v>
      </c>
      <c r="D785" s="28" t="s">
        <v>4985</v>
      </c>
      <c r="E785" s="29" t="s">
        <v>76</v>
      </c>
      <c r="F785" s="29" t="s">
        <v>171</v>
      </c>
      <c r="H785" s="26" t="s">
        <v>148</v>
      </c>
      <c r="I785" s="27" t="s">
        <v>155</v>
      </c>
      <c r="J785" s="27" t="s">
        <v>153</v>
      </c>
      <c r="K785" s="26">
        <v>45336.578793518522</v>
      </c>
    </row>
    <row r="786" spans="1:12">
      <c r="A786" s="25">
        <v>918834805</v>
      </c>
      <c r="B786" s="26">
        <v>45336.471388310187</v>
      </c>
      <c r="C786" s="27" t="s">
        <v>4984</v>
      </c>
      <c r="D786" s="28" t="s">
        <v>4985</v>
      </c>
      <c r="E786" s="29" t="s">
        <v>36</v>
      </c>
      <c r="F786" s="29" t="s">
        <v>171</v>
      </c>
      <c r="H786" s="26" t="s">
        <v>148</v>
      </c>
      <c r="I786" s="27" t="s">
        <v>155</v>
      </c>
      <c r="J786" s="27" t="s">
        <v>153</v>
      </c>
      <c r="K786" s="26">
        <v>45336.578815972221</v>
      </c>
    </row>
    <row r="787" spans="1:12">
      <c r="A787" s="25">
        <v>900004890</v>
      </c>
      <c r="B787" s="26">
        <v>45337.394948726855</v>
      </c>
      <c r="C787" s="27" t="s">
        <v>481</v>
      </c>
      <c r="D787" s="28" t="s">
        <v>482</v>
      </c>
      <c r="E787" s="29" t="s">
        <v>6262</v>
      </c>
      <c r="F787" s="29" t="s">
        <v>171</v>
      </c>
      <c r="G787" s="29" t="s">
        <v>6531</v>
      </c>
      <c r="H787" s="26" t="s">
        <v>148</v>
      </c>
      <c r="I787" s="27" t="s">
        <v>178</v>
      </c>
      <c r="J787" s="27" t="s">
        <v>66</v>
      </c>
      <c r="K787" s="26">
        <v>45338.412978472224</v>
      </c>
    </row>
    <row r="788" spans="1:12">
      <c r="A788" s="25">
        <v>900004890</v>
      </c>
      <c r="B788" s="26">
        <v>45337.395796990742</v>
      </c>
      <c r="C788" s="27" t="s">
        <v>481</v>
      </c>
      <c r="D788" s="28" t="s">
        <v>482</v>
      </c>
      <c r="E788" s="29" t="s">
        <v>6507</v>
      </c>
      <c r="F788" s="29" t="s">
        <v>171</v>
      </c>
      <c r="G788" s="29">
        <v>82839</v>
      </c>
      <c r="H788" s="26" t="s">
        <v>148</v>
      </c>
      <c r="I788" s="27" t="s">
        <v>178</v>
      </c>
      <c r="J788" s="27" t="s">
        <v>66</v>
      </c>
      <c r="K788" s="26">
        <v>45338.413005208335</v>
      </c>
    </row>
    <row r="789" spans="1:12">
      <c r="A789" s="25">
        <v>911398493</v>
      </c>
      <c r="B789" s="26">
        <v>45341.486930555555</v>
      </c>
      <c r="C789" s="27" t="s">
        <v>3170</v>
      </c>
      <c r="D789" s="28" t="s">
        <v>3171</v>
      </c>
      <c r="E789" s="29" t="s">
        <v>20</v>
      </c>
      <c r="F789" s="29" t="s">
        <v>6339</v>
      </c>
      <c r="H789" s="26" t="s">
        <v>6493</v>
      </c>
      <c r="I789" s="27" t="s">
        <v>176</v>
      </c>
      <c r="J789" s="27" t="s">
        <v>72</v>
      </c>
      <c r="K789" s="26">
        <v>45342.067911226855</v>
      </c>
    </row>
    <row r="790" spans="1:12">
      <c r="A790" s="25">
        <v>909204002</v>
      </c>
      <c r="B790" s="26">
        <v>45341.515024074077</v>
      </c>
      <c r="C790" s="27" t="s">
        <v>2714</v>
      </c>
      <c r="D790" s="28" t="s">
        <v>2715</v>
      </c>
      <c r="E790" s="29" t="s">
        <v>269</v>
      </c>
      <c r="F790" s="29" t="s">
        <v>171</v>
      </c>
      <c r="H790" s="26">
        <v>45355</v>
      </c>
      <c r="I790" s="27" t="s">
        <v>176</v>
      </c>
      <c r="J790" s="27" t="s">
        <v>178</v>
      </c>
      <c r="K790" s="26">
        <v>45342.364857175926</v>
      </c>
    </row>
    <row r="791" spans="1:12">
      <c r="A791" s="25">
        <v>909204002</v>
      </c>
      <c r="B791" s="26">
        <v>45341.515160763891</v>
      </c>
      <c r="C791" s="27" t="s">
        <v>2714</v>
      </c>
      <c r="D791" s="28" t="s">
        <v>2715</v>
      </c>
      <c r="E791" s="29" t="s">
        <v>227</v>
      </c>
      <c r="F791" s="29" t="s">
        <v>171</v>
      </c>
      <c r="H791" s="26">
        <v>45355</v>
      </c>
      <c r="I791" s="27" t="s">
        <v>176</v>
      </c>
      <c r="J791" s="27" t="s">
        <v>178</v>
      </c>
      <c r="K791" s="26">
        <v>45351.386580902777</v>
      </c>
    </row>
    <row r="792" spans="1:12">
      <c r="A792" s="25">
        <v>913352328</v>
      </c>
      <c r="B792" s="26">
        <v>45342.386920254627</v>
      </c>
      <c r="C792" s="27" t="s">
        <v>5988</v>
      </c>
      <c r="D792" s="28" t="s">
        <v>5989</v>
      </c>
      <c r="E792" s="29" t="s">
        <v>239</v>
      </c>
      <c r="F792" s="29" t="s">
        <v>6339</v>
      </c>
      <c r="G792" s="29" t="s">
        <v>240</v>
      </c>
      <c r="H792" s="26" t="s">
        <v>6532</v>
      </c>
      <c r="I792" s="27" t="s">
        <v>176</v>
      </c>
      <c r="J792" s="27" t="s">
        <v>211</v>
      </c>
      <c r="K792" s="26">
        <v>45342.70722488426</v>
      </c>
    </row>
    <row r="793" spans="1:12">
      <c r="A793" s="25">
        <v>920825409</v>
      </c>
      <c r="B793" s="26">
        <v>45342.387082060188</v>
      </c>
      <c r="C793" s="27" t="s">
        <v>6016</v>
      </c>
      <c r="D793" s="28" t="s">
        <v>6017</v>
      </c>
      <c r="E793" s="29" t="s">
        <v>6475</v>
      </c>
      <c r="F793" s="29" t="s">
        <v>171</v>
      </c>
      <c r="G793" s="29" t="s">
        <v>6533</v>
      </c>
      <c r="H793" s="26" t="s">
        <v>6493</v>
      </c>
      <c r="I793" s="27" t="s">
        <v>178</v>
      </c>
      <c r="J793" s="27" t="s">
        <v>153</v>
      </c>
      <c r="K793" s="26">
        <v>45349.518943171293</v>
      </c>
    </row>
    <row r="794" spans="1:12">
      <c r="A794" s="25">
        <v>900599042</v>
      </c>
      <c r="B794" s="26">
        <v>45342.483909722221</v>
      </c>
      <c r="C794" s="27" t="s">
        <v>1430</v>
      </c>
      <c r="D794" s="28" t="s">
        <v>1431</v>
      </c>
      <c r="E794" s="29" t="s">
        <v>20</v>
      </c>
      <c r="F794" s="29" t="s">
        <v>171</v>
      </c>
      <c r="H794" s="26" t="s">
        <v>6493</v>
      </c>
      <c r="I794" s="27" t="s">
        <v>178</v>
      </c>
      <c r="J794" s="27" t="s">
        <v>71</v>
      </c>
      <c r="K794" s="26">
        <v>45342.800942708331</v>
      </c>
    </row>
    <row r="795" spans="1:12">
      <c r="A795" s="25">
        <v>913824020</v>
      </c>
      <c r="B795" s="26">
        <v>45343.409321412037</v>
      </c>
      <c r="C795" s="27" t="s">
        <v>3708</v>
      </c>
      <c r="D795" s="28" t="s">
        <v>3709</v>
      </c>
      <c r="E795" s="29" t="s">
        <v>239</v>
      </c>
      <c r="F795" s="29" t="s">
        <v>6339</v>
      </c>
      <c r="G795" s="29" t="s">
        <v>6528</v>
      </c>
      <c r="H795" s="26" t="s">
        <v>6534</v>
      </c>
      <c r="I795" s="27" t="s">
        <v>153</v>
      </c>
      <c r="J795" s="27" t="s">
        <v>155</v>
      </c>
      <c r="K795" s="26">
        <v>45343.494910069443</v>
      </c>
    </row>
    <row r="796" spans="1:12">
      <c r="A796" s="25">
        <v>906473170</v>
      </c>
      <c r="B796" s="26">
        <v>45343.492091782406</v>
      </c>
      <c r="C796" s="27" t="s">
        <v>6018</v>
      </c>
      <c r="D796" s="28" t="s">
        <v>6019</v>
      </c>
      <c r="E796" s="29" t="s">
        <v>239</v>
      </c>
      <c r="F796" s="29" t="s">
        <v>6339</v>
      </c>
      <c r="G796" s="29" t="s">
        <v>240</v>
      </c>
      <c r="H796" s="26" t="s">
        <v>148</v>
      </c>
      <c r="I796" s="27" t="s">
        <v>155</v>
      </c>
      <c r="J796" s="27" t="s">
        <v>190</v>
      </c>
      <c r="K796" s="26">
        <v>45343.552945138887</v>
      </c>
    </row>
    <row r="797" spans="1:12">
      <c r="A797" s="25">
        <v>900064846</v>
      </c>
      <c r="B797" s="26">
        <v>45343.641836342591</v>
      </c>
      <c r="C797" s="27" t="s">
        <v>1358</v>
      </c>
      <c r="D797" s="28" t="s">
        <v>1359</v>
      </c>
      <c r="E797" s="29" t="s">
        <v>35</v>
      </c>
      <c r="F797" s="29" t="s">
        <v>171</v>
      </c>
      <c r="G797" s="29" t="s">
        <v>6535</v>
      </c>
      <c r="H797" s="26">
        <v>45348</v>
      </c>
      <c r="I797" s="27" t="s">
        <v>190</v>
      </c>
      <c r="J797" s="27" t="s">
        <v>153</v>
      </c>
      <c r="K797" s="26">
        <v>45349.51802210648</v>
      </c>
      <c r="L797" s="24" t="s">
        <v>6536</v>
      </c>
    </row>
    <row r="798" spans="1:12">
      <c r="A798" s="25">
        <v>909204002</v>
      </c>
      <c r="B798" s="26">
        <v>45345.643607060185</v>
      </c>
      <c r="C798" s="27" t="s">
        <v>2714</v>
      </c>
      <c r="D798" s="28" t="s">
        <v>2715</v>
      </c>
      <c r="E798" s="29" t="s">
        <v>151</v>
      </c>
      <c r="F798" s="29" t="s">
        <v>171</v>
      </c>
      <c r="G798" s="29">
        <v>65923</v>
      </c>
      <c r="H798" s="26" t="s">
        <v>125</v>
      </c>
      <c r="I798" s="27" t="s">
        <v>131</v>
      </c>
      <c r="J798" s="27" t="s">
        <v>178</v>
      </c>
      <c r="K798" s="26">
        <v>45351.387226388892</v>
      </c>
    </row>
    <row r="799" spans="1:12">
      <c r="A799" s="25">
        <v>909204002</v>
      </c>
      <c r="B799" s="26">
        <v>45348.382530324074</v>
      </c>
      <c r="C799" s="27" t="s">
        <v>2714</v>
      </c>
      <c r="D799" s="28" t="s">
        <v>2715</v>
      </c>
      <c r="E799" s="29" t="s">
        <v>35</v>
      </c>
      <c r="F799" s="29" t="s">
        <v>171</v>
      </c>
      <c r="H799" s="26" t="s">
        <v>6537</v>
      </c>
      <c r="I799" s="27" t="s">
        <v>155</v>
      </c>
      <c r="J799" s="27" t="s">
        <v>6538</v>
      </c>
      <c r="K799" s="26">
        <v>45351.387271064814</v>
      </c>
    </row>
    <row r="800" spans="1:12">
      <c r="A800" s="25">
        <v>913824020</v>
      </c>
      <c r="B800" s="26">
        <v>45349.383208449071</v>
      </c>
      <c r="C800" s="27" t="s">
        <v>3708</v>
      </c>
      <c r="D800" s="28" t="s">
        <v>3709</v>
      </c>
      <c r="E800" s="29" t="s">
        <v>239</v>
      </c>
      <c r="F800" s="29" t="s">
        <v>6339</v>
      </c>
      <c r="G800" s="29" t="s">
        <v>240</v>
      </c>
      <c r="H800" s="26" t="s">
        <v>6493</v>
      </c>
      <c r="I800" s="27" t="s">
        <v>178</v>
      </c>
      <c r="J800" s="27" t="s">
        <v>178</v>
      </c>
      <c r="K800" s="26">
        <v>45349.498182060182</v>
      </c>
    </row>
    <row r="801" spans="1:11">
      <c r="A801" s="25">
        <v>907441085</v>
      </c>
      <c r="B801" s="26">
        <v>45349.403135995373</v>
      </c>
      <c r="C801" s="27" t="s">
        <v>2281</v>
      </c>
      <c r="D801" s="28" t="s">
        <v>2282</v>
      </c>
      <c r="E801" s="29" t="s">
        <v>227</v>
      </c>
      <c r="F801" s="29" t="s">
        <v>171</v>
      </c>
      <c r="G801" s="29" t="s">
        <v>6539</v>
      </c>
      <c r="H801" s="26" t="s">
        <v>6493</v>
      </c>
      <c r="I801" s="27" t="s">
        <v>178</v>
      </c>
      <c r="J801" s="27" t="s">
        <v>155</v>
      </c>
      <c r="K801" s="26">
        <v>45349.589721875003</v>
      </c>
    </row>
    <row r="802" spans="1:11">
      <c r="A802" s="25">
        <v>907441085</v>
      </c>
      <c r="B802" s="26">
        <v>45349.406485300926</v>
      </c>
      <c r="C802" s="27" t="s">
        <v>2281</v>
      </c>
      <c r="D802" s="28" t="s">
        <v>2282</v>
      </c>
      <c r="E802" s="29" t="s">
        <v>36</v>
      </c>
      <c r="F802" s="29" t="s">
        <v>6339</v>
      </c>
      <c r="G802" s="29" t="s">
        <v>6540</v>
      </c>
      <c r="H802" s="26" t="s">
        <v>6493</v>
      </c>
      <c r="I802" s="27" t="s">
        <v>178</v>
      </c>
      <c r="J802" s="27" t="s">
        <v>155</v>
      </c>
      <c r="K802" s="26">
        <v>45349.589809375</v>
      </c>
    </row>
    <row r="803" spans="1:11">
      <c r="A803" s="25">
        <v>918848936</v>
      </c>
      <c r="B803" s="26">
        <v>45349.558598611111</v>
      </c>
      <c r="C803" s="27" t="s">
        <v>5354</v>
      </c>
      <c r="D803" s="28" t="s">
        <v>5355</v>
      </c>
      <c r="E803" s="29" t="s">
        <v>6475</v>
      </c>
      <c r="F803" s="29" t="s">
        <v>171</v>
      </c>
      <c r="G803" s="29" t="s">
        <v>6530</v>
      </c>
      <c r="H803" s="26">
        <v>45350</v>
      </c>
      <c r="I803" s="27" t="s">
        <v>153</v>
      </c>
      <c r="J803" s="27" t="s">
        <v>6541</v>
      </c>
      <c r="K803" s="26">
        <v>45351.641682638889</v>
      </c>
    </row>
    <row r="804" spans="1:11">
      <c r="A804" s="25">
        <v>920056134</v>
      </c>
      <c r="B804" s="26">
        <v>45350.433403124996</v>
      </c>
      <c r="C804" s="27" t="s">
        <v>6029</v>
      </c>
      <c r="D804" s="28" t="s">
        <v>6030</v>
      </c>
      <c r="E804" s="29" t="s">
        <v>30</v>
      </c>
      <c r="F804" s="29" t="s">
        <v>171</v>
      </c>
      <c r="H804" s="26">
        <v>45350</v>
      </c>
      <c r="I804" s="27" t="s">
        <v>153</v>
      </c>
      <c r="J804" s="27" t="s">
        <v>153</v>
      </c>
      <c r="K804" s="26">
        <v>45350.434062615743</v>
      </c>
    </row>
    <row r="805" spans="1:11">
      <c r="A805" s="25">
        <v>920056134</v>
      </c>
      <c r="B805" s="26">
        <v>45350.433819212965</v>
      </c>
      <c r="C805" s="27" t="s">
        <v>6029</v>
      </c>
      <c r="D805" s="28" t="s">
        <v>6030</v>
      </c>
      <c r="E805" s="29" t="s">
        <v>36</v>
      </c>
      <c r="F805" s="29" t="s">
        <v>171</v>
      </c>
      <c r="G805" s="29" t="s">
        <v>6542</v>
      </c>
      <c r="H805" s="26">
        <v>45350</v>
      </c>
      <c r="I805" s="27" t="s">
        <v>153</v>
      </c>
      <c r="J805" s="27" t="s">
        <v>153</v>
      </c>
      <c r="K805" s="26">
        <v>45350.434192708337</v>
      </c>
    </row>
    <row r="806" spans="1:11">
      <c r="A806" s="25">
        <v>908492564</v>
      </c>
      <c r="B806" s="26">
        <v>45351.395120833331</v>
      </c>
      <c r="C806" s="27" t="s">
        <v>2509</v>
      </c>
      <c r="D806" s="28" t="s">
        <v>2510</v>
      </c>
      <c r="E806" s="29" t="s">
        <v>133</v>
      </c>
      <c r="F806" s="29" t="s">
        <v>171</v>
      </c>
      <c r="G806" s="29" t="s">
        <v>6543</v>
      </c>
      <c r="H806" s="26" t="s">
        <v>6544</v>
      </c>
      <c r="I806" s="27" t="s">
        <v>178</v>
      </c>
      <c r="J806" s="27" t="s">
        <v>176</v>
      </c>
      <c r="K806" s="26">
        <v>45355.481783680552</v>
      </c>
    </row>
    <row r="807" spans="1:11">
      <c r="A807" s="25">
        <v>900052496</v>
      </c>
      <c r="B807" s="26">
        <v>45351.819093402781</v>
      </c>
      <c r="C807" s="27" t="s">
        <v>1320</v>
      </c>
      <c r="D807" s="28" t="s">
        <v>1321</v>
      </c>
      <c r="E807" s="29" t="s">
        <v>239</v>
      </c>
      <c r="F807" s="29" t="s">
        <v>171</v>
      </c>
      <c r="G807" s="29" t="s">
        <v>240</v>
      </c>
      <c r="H807" s="26" t="s">
        <v>6545</v>
      </c>
      <c r="I807" s="27" t="s">
        <v>61</v>
      </c>
      <c r="J807" s="27" t="s">
        <v>72</v>
      </c>
      <c r="K807" s="26">
        <v>45351.769753819448</v>
      </c>
    </row>
    <row r="808" spans="1:11">
      <c r="A808" s="25">
        <v>900004942</v>
      </c>
      <c r="B808" s="26">
        <v>45351.91076608796</v>
      </c>
      <c r="C808" s="27" t="s">
        <v>483</v>
      </c>
      <c r="D808" s="28" t="s">
        <v>484</v>
      </c>
      <c r="E808" s="29" t="s">
        <v>269</v>
      </c>
      <c r="F808" s="29" t="s">
        <v>171</v>
      </c>
      <c r="G808" s="29" t="s">
        <v>6546</v>
      </c>
      <c r="H808" s="26">
        <v>45356</v>
      </c>
      <c r="I808" s="27" t="s">
        <v>190</v>
      </c>
      <c r="J808" s="27" t="s">
        <v>72</v>
      </c>
      <c r="K808" s="26">
        <v>45355.729548842595</v>
      </c>
    </row>
    <row r="809" spans="1:11">
      <c r="A809" s="25">
        <v>900004942</v>
      </c>
      <c r="B809" s="26">
        <v>45351.580428472225</v>
      </c>
      <c r="C809" s="27" t="s">
        <v>483</v>
      </c>
      <c r="D809" s="28" t="s">
        <v>484</v>
      </c>
      <c r="E809" s="29" t="s">
        <v>58</v>
      </c>
      <c r="F809" s="29" t="s">
        <v>171</v>
      </c>
      <c r="G809" s="29" t="s">
        <v>6547</v>
      </c>
      <c r="H809" s="26">
        <v>45356</v>
      </c>
      <c r="I809" s="27" t="s">
        <v>190</v>
      </c>
      <c r="J809" s="27" t="s">
        <v>72</v>
      </c>
      <c r="K809" s="26">
        <v>45355.729577777776</v>
      </c>
    </row>
    <row r="810" spans="1:11">
      <c r="A810" s="25">
        <v>913785735</v>
      </c>
      <c r="B810" s="26">
        <v>45356.49157337963</v>
      </c>
      <c r="C810" s="27" t="s">
        <v>3672</v>
      </c>
      <c r="D810" s="28" t="s">
        <v>3673</v>
      </c>
      <c r="E810" s="29" t="s">
        <v>6475</v>
      </c>
      <c r="F810" s="29" t="s">
        <v>171</v>
      </c>
      <c r="G810" s="29" t="s">
        <v>6530</v>
      </c>
      <c r="H810" s="26" t="s">
        <v>6548</v>
      </c>
      <c r="I810" s="27" t="s">
        <v>176</v>
      </c>
      <c r="J810" s="27" t="s">
        <v>153</v>
      </c>
      <c r="K810" s="26">
        <v>45356.573930787039</v>
      </c>
    </row>
    <row r="811" spans="1:11">
      <c r="A811" s="25">
        <v>900006697</v>
      </c>
      <c r="B811" s="26">
        <v>45356.52007337963</v>
      </c>
      <c r="C811" s="27" t="s">
        <v>521</v>
      </c>
      <c r="D811" s="28" t="s">
        <v>522</v>
      </c>
      <c r="E811" s="29" t="s">
        <v>20</v>
      </c>
      <c r="F811" s="29" t="s">
        <v>171</v>
      </c>
      <c r="G811" s="29" t="s">
        <v>6549</v>
      </c>
      <c r="H811" s="26" t="s">
        <v>6493</v>
      </c>
      <c r="I811" s="27" t="s">
        <v>178</v>
      </c>
      <c r="J811" s="27" t="s">
        <v>71</v>
      </c>
      <c r="K811" s="26">
        <v>45356.793152199076</v>
      </c>
    </row>
    <row r="812" spans="1:11">
      <c r="A812" s="25">
        <v>900023064</v>
      </c>
      <c r="B812" s="26">
        <v>45356.531365046299</v>
      </c>
      <c r="C812" s="27" t="s">
        <v>896</v>
      </c>
      <c r="D812" s="28" t="s">
        <v>897</v>
      </c>
      <c r="E812" s="29" t="s">
        <v>239</v>
      </c>
      <c r="F812" s="29" t="s">
        <v>171</v>
      </c>
      <c r="G812" s="29" t="s">
        <v>240</v>
      </c>
      <c r="H812" s="26" t="s">
        <v>6493</v>
      </c>
      <c r="I812" s="27" t="s">
        <v>153</v>
      </c>
      <c r="J812" s="27" t="s">
        <v>176</v>
      </c>
      <c r="K812" s="26">
        <v>45356.652734027775</v>
      </c>
    </row>
    <row r="813" spans="1:11">
      <c r="A813" s="25">
        <v>900016746</v>
      </c>
      <c r="B813" s="26">
        <v>45356.648495717593</v>
      </c>
      <c r="C813" s="27" t="s">
        <v>770</v>
      </c>
      <c r="D813" s="28" t="s">
        <v>771</v>
      </c>
      <c r="E813" s="29" t="s">
        <v>140</v>
      </c>
      <c r="F813" s="29" t="s">
        <v>171</v>
      </c>
      <c r="H813" s="26">
        <v>45356</v>
      </c>
      <c r="I813" s="27" t="s">
        <v>66</v>
      </c>
      <c r="J813" s="27" t="s">
        <v>66</v>
      </c>
      <c r="K813" s="26">
        <v>45356.650397337966</v>
      </c>
    </row>
    <row r="814" spans="1:11">
      <c r="A814" s="25">
        <v>906473170</v>
      </c>
      <c r="B814" s="26">
        <v>45357.448212152776</v>
      </c>
      <c r="C814" s="27" t="s">
        <v>6018</v>
      </c>
      <c r="D814" s="28" t="s">
        <v>6019</v>
      </c>
      <c r="E814" s="29" t="s">
        <v>25</v>
      </c>
      <c r="F814" s="29" t="s">
        <v>171</v>
      </c>
      <c r="H814" s="26">
        <v>45358</v>
      </c>
      <c r="I814" s="27" t="s">
        <v>155</v>
      </c>
      <c r="J814" s="27" t="s">
        <v>176</v>
      </c>
      <c r="K814" s="26">
        <v>45362.389557523151</v>
      </c>
    </row>
    <row r="815" spans="1:11">
      <c r="A815" s="25">
        <v>904647684</v>
      </c>
      <c r="B815" s="26">
        <v>45357.601992824071</v>
      </c>
      <c r="C815" s="27" t="s">
        <v>1931</v>
      </c>
      <c r="D815" s="28" t="s">
        <v>1932</v>
      </c>
      <c r="E815" s="29" t="s">
        <v>239</v>
      </c>
      <c r="F815" s="29" t="s">
        <v>171</v>
      </c>
      <c r="G815" s="29" t="s">
        <v>6550</v>
      </c>
      <c r="H815" s="26" t="s">
        <v>6551</v>
      </c>
      <c r="I815" s="27" t="s">
        <v>153</v>
      </c>
      <c r="J815" s="27" t="s">
        <v>178</v>
      </c>
      <c r="K815" s="26">
        <v>45358.335747453704</v>
      </c>
    </row>
    <row r="816" spans="1:11">
      <c r="A816" s="25">
        <v>913352328</v>
      </c>
      <c r="B816" s="26">
        <v>45358.388520138891</v>
      </c>
      <c r="C816" s="27" t="s">
        <v>5988</v>
      </c>
      <c r="D816" s="28" t="s">
        <v>5989</v>
      </c>
      <c r="E816" s="29" t="s">
        <v>239</v>
      </c>
      <c r="F816" s="29" t="s">
        <v>6339</v>
      </c>
      <c r="G816" s="29" t="s">
        <v>6552</v>
      </c>
      <c r="H816" s="26" t="s">
        <v>6271</v>
      </c>
      <c r="I816" s="27" t="s">
        <v>178</v>
      </c>
      <c r="J816" s="27" t="s">
        <v>153</v>
      </c>
      <c r="K816" s="26">
        <v>45358.689323032406</v>
      </c>
    </row>
    <row r="817" spans="1:12">
      <c r="A817" s="25">
        <v>900026574</v>
      </c>
      <c r="B817" s="26">
        <v>45358.44404652778</v>
      </c>
      <c r="C817" s="27" t="s">
        <v>940</v>
      </c>
      <c r="D817" s="28" t="s">
        <v>941</v>
      </c>
      <c r="E817" s="29" t="s">
        <v>239</v>
      </c>
      <c r="F817" s="29" t="s">
        <v>171</v>
      </c>
      <c r="G817" s="29" t="s">
        <v>6550</v>
      </c>
      <c r="H817" s="26" t="s">
        <v>6553</v>
      </c>
      <c r="I817" s="27" t="s">
        <v>178</v>
      </c>
      <c r="J817" s="27" t="s">
        <v>61</v>
      </c>
      <c r="K817" s="26">
        <v>45358.519502430558</v>
      </c>
    </row>
    <row r="818" spans="1:12">
      <c r="A818" s="25">
        <v>912159565</v>
      </c>
      <c r="B818" s="26">
        <v>45358.549726967591</v>
      </c>
      <c r="C818" s="27" t="s">
        <v>3294</v>
      </c>
      <c r="D818" s="28" t="s">
        <v>3295</v>
      </c>
      <c r="E818" s="29" t="s">
        <v>133</v>
      </c>
      <c r="G818" s="29" t="s">
        <v>6543</v>
      </c>
      <c r="H818" s="26">
        <v>45363</v>
      </c>
      <c r="I818" s="27" t="s">
        <v>153</v>
      </c>
      <c r="J818" s="27" t="s">
        <v>178</v>
      </c>
      <c r="K818" s="26">
        <v>45363.396849421297</v>
      </c>
    </row>
    <row r="819" spans="1:12">
      <c r="A819" s="25">
        <v>911398493</v>
      </c>
      <c r="B819" s="26">
        <v>45359.431076851855</v>
      </c>
      <c r="C819" s="27" t="s">
        <v>3170</v>
      </c>
      <c r="D819" s="28" t="s">
        <v>3171</v>
      </c>
      <c r="E819" s="29" t="s">
        <v>20</v>
      </c>
      <c r="F819" s="29" t="s">
        <v>6339</v>
      </c>
      <c r="H819" s="26" t="s">
        <v>148</v>
      </c>
      <c r="I819" s="27" t="s">
        <v>155</v>
      </c>
      <c r="J819" s="27" t="s">
        <v>71</v>
      </c>
      <c r="K819" s="26">
        <v>45359.570946874999</v>
      </c>
    </row>
    <row r="820" spans="1:12">
      <c r="A820" s="25">
        <v>900016746</v>
      </c>
      <c r="B820" s="26">
        <v>45363.515824652779</v>
      </c>
      <c r="C820" s="27" t="s">
        <v>770</v>
      </c>
      <c r="D820" s="28" t="s">
        <v>771</v>
      </c>
      <c r="E820" s="29" t="s">
        <v>6475</v>
      </c>
      <c r="F820" s="29" t="s">
        <v>171</v>
      </c>
      <c r="G820" s="29" t="s">
        <v>6554</v>
      </c>
      <c r="H820" s="26" t="s">
        <v>6493</v>
      </c>
      <c r="I820" s="27" t="s">
        <v>178</v>
      </c>
      <c r="J820" s="27" t="s">
        <v>155</v>
      </c>
      <c r="K820" s="26">
        <v>45363.715941666669</v>
      </c>
    </row>
    <row r="821" spans="1:12">
      <c r="A821" s="25">
        <v>906473170</v>
      </c>
      <c r="B821" s="26">
        <v>45364.676250231481</v>
      </c>
      <c r="C821" s="27" t="s">
        <v>6018</v>
      </c>
      <c r="D821" s="28" t="s">
        <v>6019</v>
      </c>
      <c r="E821" s="29" t="s">
        <v>239</v>
      </c>
      <c r="F821" s="29" t="s">
        <v>6339</v>
      </c>
      <c r="G821" s="29" t="s">
        <v>6528</v>
      </c>
      <c r="H821" s="26" t="s">
        <v>148</v>
      </c>
      <c r="I821" s="27" t="s">
        <v>155</v>
      </c>
      <c r="J821" s="27" t="s">
        <v>190</v>
      </c>
      <c r="K821" s="26">
        <v>45364.588511574075</v>
      </c>
    </row>
    <row r="822" spans="1:12">
      <c r="A822" s="25">
        <v>910630479</v>
      </c>
      <c r="B822" s="26">
        <v>45364.741658217594</v>
      </c>
      <c r="C822" s="27" t="s">
        <v>3060</v>
      </c>
      <c r="D822" s="28" t="s">
        <v>3061</v>
      </c>
      <c r="E822" s="29" t="s">
        <v>239</v>
      </c>
      <c r="F822" s="29" t="s">
        <v>171</v>
      </c>
      <c r="G822" s="29" t="s">
        <v>6555</v>
      </c>
      <c r="H822" s="26" t="s">
        <v>148</v>
      </c>
      <c r="I822" s="27" t="s">
        <v>155</v>
      </c>
      <c r="J822" s="27" t="s">
        <v>190</v>
      </c>
      <c r="K822" s="26">
        <v>45364.521858912034</v>
      </c>
    </row>
    <row r="823" spans="1:12">
      <c r="A823" s="25">
        <v>908468943</v>
      </c>
      <c r="B823" s="26">
        <v>45364.643994791666</v>
      </c>
      <c r="C823" s="27" t="s">
        <v>2467</v>
      </c>
      <c r="D823" s="28" t="s">
        <v>2468</v>
      </c>
      <c r="E823" s="29" t="s">
        <v>263</v>
      </c>
      <c r="F823" s="29" t="s">
        <v>171</v>
      </c>
      <c r="I823" s="27" t="s">
        <v>153</v>
      </c>
      <c r="J823" s="27" t="s">
        <v>153</v>
      </c>
      <c r="K823" s="26">
        <v>45364.646793518521</v>
      </c>
    </row>
    <row r="824" spans="1:12">
      <c r="A824" s="25">
        <v>922240615</v>
      </c>
      <c r="B824" s="26">
        <v>45281.548993171295</v>
      </c>
      <c r="C824" s="27" t="s">
        <v>5674</v>
      </c>
      <c r="D824" s="28" t="s">
        <v>5675</v>
      </c>
      <c r="E824" s="29" t="s">
        <v>20</v>
      </c>
      <c r="F824" s="29" t="s">
        <v>171</v>
      </c>
      <c r="H824" s="26">
        <v>45281</v>
      </c>
      <c r="I824" s="27" t="s">
        <v>66</v>
      </c>
      <c r="J824" s="27" t="s">
        <v>66</v>
      </c>
      <c r="K824" s="26">
        <v>45365.735656712961</v>
      </c>
      <c r="L824" s="24" t="s">
        <v>6556</v>
      </c>
    </row>
    <row r="825" spans="1:12">
      <c r="A825" s="25">
        <v>900069188</v>
      </c>
      <c r="B825" s="26">
        <v>45322.646142939811</v>
      </c>
      <c r="C825" s="27" t="s">
        <v>1372</v>
      </c>
      <c r="D825" s="28" t="s">
        <v>1373</v>
      </c>
      <c r="E825" s="29" t="s">
        <v>6475</v>
      </c>
      <c r="F825" s="29" t="s">
        <v>171</v>
      </c>
      <c r="G825" s="29" t="s">
        <v>6557</v>
      </c>
      <c r="H825" s="26" t="s">
        <v>14</v>
      </c>
      <c r="I825" s="27" t="s">
        <v>39</v>
      </c>
      <c r="J825" s="27" t="s">
        <v>66</v>
      </c>
      <c r="K825" s="26">
        <v>45365.838564004633</v>
      </c>
      <c r="L825" s="24" t="s">
        <v>6558</v>
      </c>
    </row>
    <row r="826" spans="1:12">
      <c r="A826" s="25">
        <v>918825471</v>
      </c>
      <c r="B826" s="26">
        <v>45323.423860763891</v>
      </c>
      <c r="C826" s="27" t="s">
        <v>4742</v>
      </c>
      <c r="D826" s="28" t="s">
        <v>4743</v>
      </c>
      <c r="E826" s="29" t="s">
        <v>6475</v>
      </c>
      <c r="F826" s="29" t="s">
        <v>171</v>
      </c>
      <c r="G826" s="29" t="s">
        <v>6559</v>
      </c>
      <c r="H826" s="26" t="s">
        <v>6560</v>
      </c>
      <c r="I826" s="27" t="s">
        <v>39</v>
      </c>
      <c r="J826" s="27" t="s">
        <v>66</v>
      </c>
      <c r="K826" s="26">
        <v>45365.83854016204</v>
      </c>
    </row>
    <row r="827" spans="1:12">
      <c r="A827" s="25">
        <v>911398493</v>
      </c>
      <c r="B827" s="26">
        <v>45364.667849305559</v>
      </c>
      <c r="C827" s="27" t="s">
        <v>3170</v>
      </c>
      <c r="D827" s="28" t="s">
        <v>3171</v>
      </c>
      <c r="E827" s="29" t="s">
        <v>239</v>
      </c>
      <c r="F827" s="29" t="s">
        <v>171</v>
      </c>
      <c r="G827" s="29" t="s">
        <v>240</v>
      </c>
      <c r="H827" s="26" t="s">
        <v>6561</v>
      </c>
      <c r="I827" s="27" t="s">
        <v>155</v>
      </c>
      <c r="J827" s="27" t="s">
        <v>66</v>
      </c>
      <c r="K827" s="26">
        <v>45365.838377893517</v>
      </c>
    </row>
    <row r="828" spans="1:12">
      <c r="A828" s="25">
        <v>900004630</v>
      </c>
      <c r="B828" s="26">
        <v>45351.592680439811</v>
      </c>
      <c r="C828" s="27" t="s">
        <v>471</v>
      </c>
      <c r="D828" s="28" t="s">
        <v>472</v>
      </c>
      <c r="E828" s="29" t="s">
        <v>35</v>
      </c>
      <c r="F828" s="29" t="s">
        <v>171</v>
      </c>
      <c r="G828" s="29" t="s">
        <v>6562</v>
      </c>
      <c r="H828" s="26">
        <v>45359</v>
      </c>
      <c r="I828" s="27" t="s">
        <v>61</v>
      </c>
      <c r="J828" s="27" t="s">
        <v>61</v>
      </c>
      <c r="K828" s="26">
        <v>45369.770551388887</v>
      </c>
    </row>
    <row r="829" spans="1:12">
      <c r="A829" s="25">
        <v>918853577</v>
      </c>
      <c r="B829" s="26">
        <v>45356.623932523151</v>
      </c>
      <c r="C829" s="27" t="s">
        <v>5909</v>
      </c>
      <c r="D829" s="28" t="s">
        <v>5910</v>
      </c>
      <c r="E829" s="29" t="s">
        <v>183</v>
      </c>
      <c r="F829" s="29" t="s">
        <v>6339</v>
      </c>
      <c r="H829" s="26">
        <v>45370</v>
      </c>
      <c r="I829" s="27" t="s">
        <v>72</v>
      </c>
      <c r="J829" s="27" t="s">
        <v>176</v>
      </c>
      <c r="K829" s="26">
        <v>45369.511142129631</v>
      </c>
    </row>
    <row r="830" spans="1:12">
      <c r="A830" s="25">
        <v>918853577</v>
      </c>
      <c r="B830" s="26">
        <v>45356.624031712963</v>
      </c>
      <c r="C830" s="27" t="s">
        <v>5909</v>
      </c>
      <c r="D830" s="28" t="s">
        <v>5910</v>
      </c>
      <c r="E830" s="29" t="s">
        <v>183</v>
      </c>
      <c r="F830" s="29" t="s">
        <v>6339</v>
      </c>
      <c r="H830" s="26">
        <v>45370</v>
      </c>
      <c r="I830" s="27" t="s">
        <v>72</v>
      </c>
      <c r="J830" s="27" t="s">
        <v>71</v>
      </c>
      <c r="K830" s="26">
        <v>45370.774202777779</v>
      </c>
    </row>
    <row r="831" spans="1:12">
      <c r="A831" s="25">
        <v>908491992</v>
      </c>
      <c r="B831" s="26">
        <v>45357.651088888888</v>
      </c>
      <c r="C831" s="27" t="s">
        <v>2489</v>
      </c>
      <c r="D831" s="28" t="s">
        <v>2490</v>
      </c>
      <c r="E831" s="29" t="s">
        <v>6470</v>
      </c>
      <c r="F831" s="29" t="s">
        <v>171</v>
      </c>
      <c r="G831" s="29" t="s">
        <v>6563</v>
      </c>
      <c r="H831" s="26" t="s">
        <v>6564</v>
      </c>
      <c r="I831" s="27" t="s">
        <v>66</v>
      </c>
      <c r="J831" s="27" t="s">
        <v>66</v>
      </c>
      <c r="K831" s="26">
        <v>45371.803957407406</v>
      </c>
    </row>
    <row r="832" spans="1:12">
      <c r="A832" s="25">
        <v>913352328</v>
      </c>
      <c r="B832" s="26">
        <v>45365.712846296294</v>
      </c>
      <c r="C832" s="27" t="s">
        <v>5988</v>
      </c>
      <c r="D832" s="28" t="s">
        <v>5989</v>
      </c>
      <c r="E832" s="29" t="s">
        <v>239</v>
      </c>
      <c r="F832" s="29" t="s">
        <v>171</v>
      </c>
      <c r="G832" s="29" t="s">
        <v>6565</v>
      </c>
      <c r="H832" s="26" t="s">
        <v>148</v>
      </c>
      <c r="I832" s="27" t="s">
        <v>178</v>
      </c>
      <c r="J832" s="27" t="s">
        <v>66</v>
      </c>
      <c r="K832" s="26">
        <v>45369.473215046295</v>
      </c>
    </row>
    <row r="833" spans="1:12">
      <c r="A833" s="25">
        <v>900019359</v>
      </c>
      <c r="B833" s="26">
        <v>45369.375571875004</v>
      </c>
      <c r="C833" s="27" t="s">
        <v>832</v>
      </c>
      <c r="D833" s="28" t="s">
        <v>833</v>
      </c>
      <c r="E833" s="29" t="s">
        <v>239</v>
      </c>
      <c r="F833" s="29" t="s">
        <v>171</v>
      </c>
      <c r="G833" s="29" t="s">
        <v>258</v>
      </c>
      <c r="H833" s="26" t="s">
        <v>6566</v>
      </c>
      <c r="I833" s="27" t="s">
        <v>153</v>
      </c>
      <c r="J833" s="27" t="s">
        <v>333</v>
      </c>
      <c r="K833" s="26">
        <v>45369.700149305558</v>
      </c>
    </row>
    <row r="834" spans="1:12">
      <c r="A834" s="25">
        <v>909146490</v>
      </c>
      <c r="B834" s="26">
        <v>45369.486060648145</v>
      </c>
      <c r="C834" s="27" t="s">
        <v>2630</v>
      </c>
      <c r="D834" s="28" t="s">
        <v>2631</v>
      </c>
      <c r="E834" s="29" t="s">
        <v>20</v>
      </c>
      <c r="F834" s="29" t="s">
        <v>171</v>
      </c>
      <c r="G834" s="29" t="s">
        <v>6567</v>
      </c>
      <c r="H834" s="26" t="s">
        <v>6566</v>
      </c>
      <c r="I834" s="27" t="s">
        <v>176</v>
      </c>
      <c r="J834" s="27" t="s">
        <v>72</v>
      </c>
      <c r="K834" s="26">
        <v>45369.652737847224</v>
      </c>
    </row>
    <row r="835" spans="1:12">
      <c r="A835" s="25">
        <v>900046555</v>
      </c>
      <c r="B835" s="26">
        <v>45370.453327199073</v>
      </c>
      <c r="C835" s="27" t="s">
        <v>1270</v>
      </c>
      <c r="D835" s="28" t="s">
        <v>1271</v>
      </c>
      <c r="E835" s="29" t="s">
        <v>20</v>
      </c>
      <c r="F835" s="29" t="s">
        <v>171</v>
      </c>
      <c r="H835" s="26">
        <v>45370</v>
      </c>
      <c r="I835" s="27" t="s">
        <v>61</v>
      </c>
      <c r="J835" s="27" t="s">
        <v>155</v>
      </c>
      <c r="K835" s="26">
        <v>45370.687194675927</v>
      </c>
    </row>
    <row r="836" spans="1:12">
      <c r="A836" s="25">
        <v>909864350</v>
      </c>
      <c r="B836" s="26">
        <v>45371.795882638886</v>
      </c>
      <c r="C836" s="27" t="s">
        <v>2856</v>
      </c>
      <c r="D836" s="28" t="s">
        <v>2857</v>
      </c>
      <c r="E836" s="29" t="s">
        <v>6470</v>
      </c>
      <c r="F836" s="29" t="s">
        <v>171</v>
      </c>
      <c r="G836" s="29" t="s">
        <v>6568</v>
      </c>
      <c r="H836" s="26">
        <v>45373</v>
      </c>
      <c r="I836" s="27" t="s">
        <v>66</v>
      </c>
      <c r="J836" s="27" t="s">
        <v>190</v>
      </c>
      <c r="K836" s="26">
        <v>45372.421065509261</v>
      </c>
    </row>
    <row r="837" spans="1:12">
      <c r="A837" s="25">
        <v>909204002</v>
      </c>
      <c r="B837" s="26">
        <v>45371.796812962966</v>
      </c>
      <c r="C837" s="27" t="s">
        <v>2714</v>
      </c>
      <c r="D837" s="28" t="s">
        <v>2715</v>
      </c>
      <c r="E837" s="29" t="s">
        <v>6262</v>
      </c>
      <c r="F837" s="29" t="s">
        <v>171</v>
      </c>
      <c r="G837" s="29" t="s">
        <v>6569</v>
      </c>
      <c r="H837" s="26" t="s">
        <v>134</v>
      </c>
      <c r="I837" s="27" t="s">
        <v>66</v>
      </c>
      <c r="J837" s="27" t="s">
        <v>190</v>
      </c>
      <c r="K837" s="26">
        <v>45371.58831550926</v>
      </c>
    </row>
    <row r="838" spans="1:12">
      <c r="A838" s="25">
        <v>909162155</v>
      </c>
      <c r="B838" s="26">
        <v>45372.504952083335</v>
      </c>
      <c r="C838" s="27" t="s">
        <v>6035</v>
      </c>
      <c r="D838" s="28" t="s">
        <v>6036</v>
      </c>
      <c r="E838" s="29" t="s">
        <v>239</v>
      </c>
      <c r="F838" s="29" t="s">
        <v>171</v>
      </c>
      <c r="G838" s="29" t="s">
        <v>6565</v>
      </c>
      <c r="H838" s="26" t="s">
        <v>134</v>
      </c>
      <c r="I838" s="27" t="s">
        <v>178</v>
      </c>
      <c r="J838" s="27" t="s">
        <v>153</v>
      </c>
      <c r="K838" s="26">
        <v>45372.711508912034</v>
      </c>
    </row>
    <row r="839" spans="1:12">
      <c r="A839" s="25">
        <v>918834584</v>
      </c>
      <c r="B839" s="26">
        <v>45372.652310069447</v>
      </c>
      <c r="C839" s="27" t="s">
        <v>5921</v>
      </c>
      <c r="D839" s="28" t="s">
        <v>5922</v>
      </c>
      <c r="E839" s="29" t="s">
        <v>20</v>
      </c>
      <c r="F839" s="29" t="s">
        <v>171</v>
      </c>
      <c r="H839" s="26" t="s">
        <v>6570</v>
      </c>
      <c r="I839" s="27" t="s">
        <v>153</v>
      </c>
      <c r="J839" s="27" t="s">
        <v>196</v>
      </c>
      <c r="K839" s="26">
        <v>45372</v>
      </c>
    </row>
    <row r="840" spans="1:12">
      <c r="A840" s="25">
        <v>910108438</v>
      </c>
      <c r="B840" s="26">
        <v>45376.480157638885</v>
      </c>
      <c r="C840" s="27" t="s">
        <v>6037</v>
      </c>
      <c r="D840" s="28" t="s">
        <v>6038</v>
      </c>
      <c r="E840" s="29" t="s">
        <v>6475</v>
      </c>
      <c r="F840" s="29" t="s">
        <v>171</v>
      </c>
      <c r="G840" s="29" t="s">
        <v>6557</v>
      </c>
      <c r="H840" s="26" t="s">
        <v>180</v>
      </c>
      <c r="I840" s="27" t="s">
        <v>211</v>
      </c>
      <c r="J840" s="27" t="s">
        <v>155</v>
      </c>
      <c r="K840" s="26">
        <v>45376.671919444445</v>
      </c>
    </row>
    <row r="841" spans="1:12">
      <c r="A841" s="25">
        <v>913868272</v>
      </c>
      <c r="B841" s="26">
        <v>45070</v>
      </c>
      <c r="C841" s="27" t="s">
        <v>3794</v>
      </c>
      <c r="D841" s="28" t="s">
        <v>3795</v>
      </c>
      <c r="E841" s="29" t="s">
        <v>105</v>
      </c>
      <c r="F841" s="29" t="s">
        <v>171</v>
      </c>
      <c r="H841" s="26" t="s">
        <v>137</v>
      </c>
      <c r="I841" s="27" t="s">
        <v>54</v>
      </c>
      <c r="J841" s="27" t="s">
        <v>178</v>
      </c>
      <c r="K841" s="26">
        <v>45384.476562268515</v>
      </c>
    </row>
    <row r="842" spans="1:12">
      <c r="A842" s="25">
        <v>918853577</v>
      </c>
      <c r="B842" s="26">
        <v>45156</v>
      </c>
      <c r="C842" s="27" t="s">
        <v>5909</v>
      </c>
      <c r="D842" s="28" t="s">
        <v>5910</v>
      </c>
      <c r="E842" s="29" t="s">
        <v>120</v>
      </c>
      <c r="F842" s="29" t="s">
        <v>171</v>
      </c>
      <c r="H842" s="26">
        <v>45155</v>
      </c>
      <c r="I842" s="27" t="s">
        <v>66</v>
      </c>
      <c r="J842" s="27" t="s">
        <v>178</v>
      </c>
      <c r="K842" s="26">
        <v>45384.512830324071</v>
      </c>
    </row>
    <row r="843" spans="1:12">
      <c r="A843" s="25">
        <v>900004812</v>
      </c>
      <c r="B843" s="26">
        <v>45371.386395254631</v>
      </c>
      <c r="C843" s="27" t="s">
        <v>479</v>
      </c>
      <c r="D843" s="28" t="s">
        <v>480</v>
      </c>
      <c r="E843" s="29" t="s">
        <v>6475</v>
      </c>
      <c r="F843" s="29" t="s">
        <v>6339</v>
      </c>
      <c r="G843" s="29" t="s">
        <v>6571</v>
      </c>
      <c r="H843" s="26">
        <v>45373</v>
      </c>
      <c r="I843" s="27" t="s">
        <v>153</v>
      </c>
      <c r="J843" s="27" t="s">
        <v>72</v>
      </c>
      <c r="K843" s="26">
        <v>45378.447504166666</v>
      </c>
    </row>
    <row r="844" spans="1:12">
      <c r="A844" s="25">
        <v>902222066</v>
      </c>
      <c r="B844" s="26">
        <v>45376.347743749997</v>
      </c>
      <c r="C844" s="27" t="s">
        <v>1621</v>
      </c>
      <c r="D844" s="28" t="s">
        <v>1622</v>
      </c>
      <c r="E844" s="29" t="s">
        <v>128</v>
      </c>
      <c r="F844" s="29" t="s">
        <v>171</v>
      </c>
      <c r="G844" s="29" t="s">
        <v>6572</v>
      </c>
      <c r="H844" s="26">
        <v>45377</v>
      </c>
      <c r="I844" s="27" t="s">
        <v>176</v>
      </c>
      <c r="J844" s="27" t="s">
        <v>153</v>
      </c>
      <c r="K844" s="26">
        <v>45377.605184837965</v>
      </c>
      <c r="L844" s="24" t="s">
        <v>6573</v>
      </c>
    </row>
    <row r="845" spans="1:12">
      <c r="A845" s="25">
        <v>902222066</v>
      </c>
      <c r="B845" s="26">
        <v>45376.348743865739</v>
      </c>
      <c r="C845" s="27" t="s">
        <v>1621</v>
      </c>
      <c r="D845" s="28" t="s">
        <v>1622</v>
      </c>
      <c r="E845" s="29" t="s">
        <v>239</v>
      </c>
      <c r="F845" s="29" t="s">
        <v>171</v>
      </c>
      <c r="G845" s="29" t="s">
        <v>240</v>
      </c>
      <c r="H845" s="26">
        <v>45377</v>
      </c>
      <c r="I845" s="27" t="s">
        <v>176</v>
      </c>
      <c r="J845" s="27" t="s">
        <v>153</v>
      </c>
      <c r="K845" s="26">
        <v>45377.605215393516</v>
      </c>
      <c r="L845" s="24" t="s">
        <v>6574</v>
      </c>
    </row>
    <row r="846" spans="1:12">
      <c r="A846" s="25">
        <v>902222066</v>
      </c>
      <c r="B846" s="26">
        <v>45376.358411458335</v>
      </c>
      <c r="C846" s="27" t="s">
        <v>1621</v>
      </c>
      <c r="D846" s="28" t="s">
        <v>1622</v>
      </c>
      <c r="E846" s="29" t="s">
        <v>6575</v>
      </c>
      <c r="F846" s="29" t="s">
        <v>171</v>
      </c>
      <c r="H846" s="26">
        <v>45377</v>
      </c>
      <c r="I846" s="27" t="s">
        <v>176</v>
      </c>
      <c r="J846" s="27" t="s">
        <v>153</v>
      </c>
      <c r="K846" s="26">
        <v>45377.605228472225</v>
      </c>
      <c r="L846" s="24" t="s">
        <v>6574</v>
      </c>
    </row>
    <row r="847" spans="1:12">
      <c r="A847" s="25">
        <v>918852979</v>
      </c>
      <c r="B847" s="26">
        <v>45377.451268287034</v>
      </c>
      <c r="C847" s="27" t="s">
        <v>5925</v>
      </c>
      <c r="D847" s="28" t="s">
        <v>5926</v>
      </c>
      <c r="E847" s="29" t="s">
        <v>78</v>
      </c>
      <c r="F847" s="29" t="s">
        <v>171</v>
      </c>
      <c r="H847" s="26" t="s">
        <v>165</v>
      </c>
      <c r="I847" s="27" t="s">
        <v>189</v>
      </c>
      <c r="J847" s="27" t="s">
        <v>153</v>
      </c>
      <c r="K847" s="26">
        <v>45385.66634398148</v>
      </c>
    </row>
    <row r="848" spans="1:12">
      <c r="A848" s="25">
        <v>918852979</v>
      </c>
      <c r="B848" s="26">
        <v>45377.45202326389</v>
      </c>
      <c r="C848" s="27" t="s">
        <v>5925</v>
      </c>
      <c r="D848" s="28" t="s">
        <v>5926</v>
      </c>
      <c r="E848" s="29" t="s">
        <v>46</v>
      </c>
      <c r="F848" s="29" t="s">
        <v>171</v>
      </c>
      <c r="H848" s="26" t="s">
        <v>141</v>
      </c>
      <c r="I848" s="27" t="s">
        <v>178</v>
      </c>
      <c r="J848" s="27" t="s">
        <v>153</v>
      </c>
      <c r="K848" s="26">
        <v>45385.666359143521</v>
      </c>
    </row>
    <row r="849" spans="1:12">
      <c r="A849" s="25">
        <v>906178421</v>
      </c>
      <c r="B849" s="26">
        <v>45379.614032638892</v>
      </c>
      <c r="C849" s="27" t="s">
        <v>2105</v>
      </c>
      <c r="D849" s="28" t="s">
        <v>2106</v>
      </c>
      <c r="E849" s="29" t="s">
        <v>263</v>
      </c>
      <c r="F849" s="29" t="s">
        <v>171</v>
      </c>
      <c r="H849" s="26">
        <v>45385</v>
      </c>
      <c r="I849" s="27" t="s">
        <v>153</v>
      </c>
      <c r="J849" s="27" t="s">
        <v>155</v>
      </c>
      <c r="K849" s="26">
        <v>45384.582878703703</v>
      </c>
    </row>
    <row r="850" spans="1:12">
      <c r="A850" s="25">
        <v>906178421</v>
      </c>
      <c r="B850" s="26">
        <v>45379.617130092593</v>
      </c>
      <c r="C850" s="27" t="s">
        <v>2105</v>
      </c>
      <c r="D850" s="28" t="s">
        <v>2106</v>
      </c>
      <c r="E850" s="29" t="s">
        <v>6420</v>
      </c>
      <c r="F850" s="29" t="s">
        <v>171</v>
      </c>
      <c r="H850" s="26">
        <v>45385</v>
      </c>
      <c r="I850" s="27" t="s">
        <v>153</v>
      </c>
      <c r="J850" s="27" t="s">
        <v>155</v>
      </c>
      <c r="K850" s="26">
        <v>45384.582965162037</v>
      </c>
    </row>
    <row r="851" spans="1:12">
      <c r="A851" s="25">
        <v>903345955</v>
      </c>
      <c r="B851" s="26">
        <v>45384.374862384262</v>
      </c>
      <c r="C851" s="27" t="s">
        <v>1735</v>
      </c>
      <c r="D851" s="28" t="s">
        <v>1736</v>
      </c>
      <c r="E851" s="29" t="s">
        <v>57</v>
      </c>
      <c r="F851" s="29" t="s">
        <v>171</v>
      </c>
      <c r="H851" s="26" t="s">
        <v>6271</v>
      </c>
      <c r="I851" s="27" t="s">
        <v>189</v>
      </c>
      <c r="J851" s="27" t="s">
        <v>176</v>
      </c>
      <c r="K851" s="26">
        <v>45384.647969444442</v>
      </c>
      <c r="L851" s="24" t="s">
        <v>6576</v>
      </c>
    </row>
    <row r="852" spans="1:12">
      <c r="A852" s="25">
        <v>918839368</v>
      </c>
      <c r="B852" s="26">
        <v>45384.504903240741</v>
      </c>
      <c r="C852" s="27" t="s">
        <v>5070</v>
      </c>
      <c r="D852" s="28" t="s">
        <v>5071</v>
      </c>
      <c r="E852" s="29" t="s">
        <v>76</v>
      </c>
      <c r="F852" s="29" t="s">
        <v>171</v>
      </c>
      <c r="H852" s="26" t="s">
        <v>6570</v>
      </c>
      <c r="I852" s="27" t="s">
        <v>178</v>
      </c>
      <c r="J852" s="27" t="s">
        <v>155</v>
      </c>
      <c r="K852" s="26">
        <v>45384.588579513889</v>
      </c>
    </row>
    <row r="853" spans="1:12">
      <c r="A853" s="25">
        <v>900004812</v>
      </c>
      <c r="B853" s="26">
        <v>45385.375530092591</v>
      </c>
      <c r="C853" s="27" t="s">
        <v>479</v>
      </c>
      <c r="D853" s="28" t="s">
        <v>480</v>
      </c>
      <c r="E853" s="29" t="s">
        <v>6475</v>
      </c>
      <c r="F853" s="29" t="s">
        <v>6339</v>
      </c>
      <c r="G853" s="29" t="s">
        <v>6571</v>
      </c>
      <c r="H853" s="26" t="s">
        <v>6271</v>
      </c>
      <c r="I853" s="27" t="s">
        <v>155</v>
      </c>
      <c r="J853" s="27" t="s">
        <v>153</v>
      </c>
      <c r="K853" s="26">
        <v>45385.651058101852</v>
      </c>
    </row>
    <row r="854" spans="1:12">
      <c r="A854" s="25">
        <v>900025404</v>
      </c>
      <c r="B854" s="26">
        <v>45385.402644212962</v>
      </c>
      <c r="C854" s="27" t="s">
        <v>918</v>
      </c>
      <c r="D854" s="28" t="s">
        <v>919</v>
      </c>
      <c r="E854" s="29" t="s">
        <v>20</v>
      </c>
      <c r="F854" s="29" t="s">
        <v>171</v>
      </c>
      <c r="H854" s="26" t="s">
        <v>6271</v>
      </c>
      <c r="I854" s="27" t="s">
        <v>155</v>
      </c>
      <c r="J854" s="27" t="s">
        <v>155</v>
      </c>
      <c r="K854" s="26">
        <v>45385.492046990737</v>
      </c>
    </row>
    <row r="855" spans="1:12">
      <c r="A855" s="25">
        <v>900000483</v>
      </c>
      <c r="B855" s="26">
        <v>45385.425169907408</v>
      </c>
      <c r="C855" s="27" t="s">
        <v>369</v>
      </c>
      <c r="D855" s="28" t="s">
        <v>370</v>
      </c>
      <c r="E855" s="29" t="s">
        <v>6262</v>
      </c>
      <c r="F855" s="29" t="s">
        <v>171</v>
      </c>
      <c r="H855" s="26" t="s">
        <v>6271</v>
      </c>
      <c r="I855" s="27" t="s">
        <v>155</v>
      </c>
      <c r="J855" s="27" t="s">
        <v>196</v>
      </c>
      <c r="K855" s="26">
        <v>45385.761182291666</v>
      </c>
    </row>
    <row r="856" spans="1:12">
      <c r="A856" s="25">
        <v>904129413</v>
      </c>
      <c r="B856" s="26">
        <v>45385.782830208336</v>
      </c>
      <c r="C856" s="27" t="s">
        <v>1843</v>
      </c>
      <c r="D856" s="28" t="s">
        <v>1844</v>
      </c>
      <c r="E856" s="29" t="s">
        <v>20</v>
      </c>
      <c r="F856" s="29" t="s">
        <v>171</v>
      </c>
      <c r="H856" s="26">
        <v>45386</v>
      </c>
      <c r="I856" s="27" t="s">
        <v>196</v>
      </c>
      <c r="J856" s="27" t="s">
        <v>190</v>
      </c>
      <c r="K856" s="26">
        <v>45386.527496180555</v>
      </c>
      <c r="L856" s="24" t="s">
        <v>6577</v>
      </c>
    </row>
    <row r="857" spans="1:12">
      <c r="A857" s="25">
        <v>900064846</v>
      </c>
      <c r="B857" s="26">
        <v>45386.448026388891</v>
      </c>
      <c r="C857" s="27" t="s">
        <v>1358</v>
      </c>
      <c r="D857" s="28" t="s">
        <v>1359</v>
      </c>
      <c r="E857" s="29" t="s">
        <v>140</v>
      </c>
      <c r="F857" s="29" t="s">
        <v>171</v>
      </c>
      <c r="H857" s="26" t="s">
        <v>6271</v>
      </c>
      <c r="I857" s="27" t="s">
        <v>178</v>
      </c>
      <c r="J857" s="27" t="s">
        <v>153</v>
      </c>
      <c r="K857" s="26">
        <v>45386.569810069443</v>
      </c>
    </row>
    <row r="858" spans="1:12">
      <c r="A858" s="25">
        <v>917241473</v>
      </c>
      <c r="B858" s="26">
        <v>45386.518155787038</v>
      </c>
      <c r="C858" s="27" t="s">
        <v>4334</v>
      </c>
      <c r="D858" s="28" t="s">
        <v>4335</v>
      </c>
      <c r="E858" s="29" t="s">
        <v>20</v>
      </c>
      <c r="F858" s="29" t="s">
        <v>171</v>
      </c>
      <c r="H858" s="26" t="s">
        <v>6271</v>
      </c>
      <c r="I858" s="27" t="s">
        <v>153</v>
      </c>
      <c r="J858" s="27" t="s">
        <v>196</v>
      </c>
      <c r="K858" s="26">
        <v>45386.777565856479</v>
      </c>
    </row>
    <row r="859" spans="1:12">
      <c r="A859" s="25">
        <v>909009756</v>
      </c>
      <c r="B859" s="26">
        <v>45160</v>
      </c>
      <c r="C859" s="27" t="s">
        <v>2588</v>
      </c>
      <c r="D859" s="28" t="s">
        <v>2589</v>
      </c>
      <c r="E859" s="29" t="s">
        <v>35</v>
      </c>
      <c r="F859" s="29" t="s">
        <v>6339</v>
      </c>
      <c r="H859" s="26" t="s">
        <v>127</v>
      </c>
      <c r="I859" s="27" t="s">
        <v>77</v>
      </c>
      <c r="J859" s="27" t="s">
        <v>190</v>
      </c>
      <c r="K859" s="26">
        <v>45427.622562962963</v>
      </c>
    </row>
    <row r="860" spans="1:12">
      <c r="A860" s="25">
        <v>900043409</v>
      </c>
      <c r="B860" s="26">
        <v>45169</v>
      </c>
      <c r="C860" s="27" t="s">
        <v>1226</v>
      </c>
      <c r="D860" s="28" t="s">
        <v>1227</v>
      </c>
      <c r="E860" s="29" t="s">
        <v>35</v>
      </c>
      <c r="F860" s="29" t="s">
        <v>171</v>
      </c>
      <c r="H860" s="26" t="s">
        <v>125</v>
      </c>
      <c r="I860" s="27" t="s">
        <v>66</v>
      </c>
      <c r="J860" s="27" t="s">
        <v>153</v>
      </c>
      <c r="K860" s="26">
        <v>45426.487575810184</v>
      </c>
    </row>
    <row r="861" spans="1:12">
      <c r="A861" s="25">
        <v>917322125</v>
      </c>
      <c r="B861" s="26">
        <v>45209</v>
      </c>
      <c r="C861" s="27" t="s">
        <v>5915</v>
      </c>
      <c r="D861" s="28" t="s">
        <v>5916</v>
      </c>
      <c r="E861" s="29" t="s">
        <v>25</v>
      </c>
      <c r="F861" s="29" t="s">
        <v>171</v>
      </c>
      <c r="H861" s="26" t="s">
        <v>6498</v>
      </c>
      <c r="I861" s="27" t="s">
        <v>55</v>
      </c>
      <c r="J861" s="27" t="s">
        <v>155</v>
      </c>
      <c r="K861" s="26">
        <v>45426.57126689815</v>
      </c>
    </row>
    <row r="862" spans="1:12">
      <c r="A862" s="25">
        <v>912569949</v>
      </c>
      <c r="B862" s="26">
        <v>45281.583237615741</v>
      </c>
      <c r="C862" s="27" t="s">
        <v>5986</v>
      </c>
      <c r="D862" s="28" t="s">
        <v>5987</v>
      </c>
      <c r="E862" s="29" t="s">
        <v>261</v>
      </c>
      <c r="F862" s="29" t="s">
        <v>171</v>
      </c>
      <c r="G862" s="29">
        <v>155789</v>
      </c>
      <c r="H862" s="26">
        <v>45321</v>
      </c>
      <c r="I862" s="27" t="s">
        <v>66</v>
      </c>
      <c r="J862" s="27" t="s">
        <v>71</v>
      </c>
      <c r="K862" s="26">
        <v>45419.830007407407</v>
      </c>
    </row>
    <row r="863" spans="1:12">
      <c r="A863" s="25">
        <v>909009756</v>
      </c>
      <c r="B863" s="26">
        <v>45321.512388310184</v>
      </c>
      <c r="C863" s="27" t="s">
        <v>2588</v>
      </c>
      <c r="D863" s="28" t="s">
        <v>2589</v>
      </c>
      <c r="E863" s="29" t="s">
        <v>151</v>
      </c>
      <c r="F863" s="29" t="s">
        <v>171</v>
      </c>
      <c r="G863" s="29">
        <v>70186</v>
      </c>
      <c r="H863" s="26" t="s">
        <v>127</v>
      </c>
      <c r="I863" s="27" t="s">
        <v>153</v>
      </c>
      <c r="J863" s="27" t="s">
        <v>190</v>
      </c>
      <c r="K863" s="26">
        <v>45427.621437152775</v>
      </c>
    </row>
    <row r="864" spans="1:12">
      <c r="A864" s="25">
        <v>918853577</v>
      </c>
      <c r="B864" s="26">
        <v>45356.624031712963</v>
      </c>
      <c r="C864" s="27" t="s">
        <v>5909</v>
      </c>
      <c r="D864" s="28" t="s">
        <v>5910</v>
      </c>
      <c r="E864" s="29" t="s">
        <v>183</v>
      </c>
      <c r="F864" s="29" t="s">
        <v>6339</v>
      </c>
      <c r="H864" s="26">
        <v>45370</v>
      </c>
      <c r="I864" s="27" t="s">
        <v>72</v>
      </c>
      <c r="J864" s="27" t="s">
        <v>131</v>
      </c>
      <c r="K864" s="26">
        <v>45415.565458333331</v>
      </c>
    </row>
    <row r="865" spans="1:12">
      <c r="A865" s="25">
        <v>908778356</v>
      </c>
      <c r="B865" s="26">
        <v>45386.655352314818</v>
      </c>
      <c r="C865" s="27" t="s">
        <v>2572</v>
      </c>
      <c r="D865" s="28" t="s">
        <v>2573</v>
      </c>
      <c r="E865" s="29" t="s">
        <v>140</v>
      </c>
      <c r="F865" s="29" t="s">
        <v>171</v>
      </c>
      <c r="H865" s="26">
        <v>45391</v>
      </c>
      <c r="I865" s="27" t="s">
        <v>153</v>
      </c>
      <c r="J865" s="27" t="s">
        <v>155</v>
      </c>
      <c r="K865" s="26">
        <v>45398.705673958335</v>
      </c>
    </row>
    <row r="866" spans="1:12">
      <c r="A866" s="25">
        <v>911538607</v>
      </c>
      <c r="B866" s="26">
        <v>45390.414548726854</v>
      </c>
      <c r="C866" s="27" t="s">
        <v>3190</v>
      </c>
      <c r="D866" s="28" t="s">
        <v>3191</v>
      </c>
      <c r="E866" s="29" t="s">
        <v>133</v>
      </c>
      <c r="F866" s="29" t="s">
        <v>171</v>
      </c>
      <c r="H866" s="26" t="s">
        <v>6271</v>
      </c>
      <c r="I866" s="27" t="s">
        <v>153</v>
      </c>
      <c r="J866" s="27" t="s">
        <v>153</v>
      </c>
      <c r="K866" s="26">
        <v>45390.632654745372</v>
      </c>
    </row>
    <row r="867" spans="1:12">
      <c r="A867" s="25">
        <v>916477996</v>
      </c>
      <c r="B867" s="26">
        <v>45390.454931250002</v>
      </c>
      <c r="C867" s="27" t="s">
        <v>4090</v>
      </c>
      <c r="D867" s="28" t="s">
        <v>4091</v>
      </c>
      <c r="E867" s="29" t="s">
        <v>20</v>
      </c>
      <c r="F867" s="29" t="s">
        <v>171</v>
      </c>
      <c r="G867" s="29" t="s">
        <v>6578</v>
      </c>
      <c r="H867" s="26" t="s">
        <v>6271</v>
      </c>
      <c r="I867" s="27" t="s">
        <v>176</v>
      </c>
      <c r="J867" s="27" t="s">
        <v>153</v>
      </c>
      <c r="K867" s="26">
        <v>45392.385396296297</v>
      </c>
    </row>
    <row r="868" spans="1:12">
      <c r="A868" s="25">
        <v>900003889</v>
      </c>
      <c r="B868" s="26">
        <v>45390.47685590278</v>
      </c>
      <c r="C868" s="27" t="s">
        <v>455</v>
      </c>
      <c r="D868" s="28" t="s">
        <v>456</v>
      </c>
      <c r="E868" s="29" t="s">
        <v>239</v>
      </c>
      <c r="F868" s="29" t="s">
        <v>171</v>
      </c>
      <c r="G868" s="29" t="s">
        <v>240</v>
      </c>
      <c r="H868" s="26">
        <v>45393</v>
      </c>
      <c r="I868" s="27" t="s">
        <v>176</v>
      </c>
      <c r="J868" s="27" t="s">
        <v>196</v>
      </c>
      <c r="K868" s="26">
        <v>45397.712408796295</v>
      </c>
      <c r="L868" s="24" t="s">
        <v>6579</v>
      </c>
    </row>
    <row r="869" spans="1:12">
      <c r="A869" s="25">
        <v>910497424</v>
      </c>
      <c r="B869" s="26">
        <v>45390.488450115743</v>
      </c>
      <c r="C869" s="27" t="s">
        <v>3004</v>
      </c>
      <c r="D869" s="28" t="s">
        <v>3005</v>
      </c>
      <c r="E869" s="29" t="s">
        <v>25</v>
      </c>
      <c r="F869" s="29" t="s">
        <v>171</v>
      </c>
      <c r="H869" s="26" t="s">
        <v>127</v>
      </c>
      <c r="I869" s="27" t="s">
        <v>176</v>
      </c>
      <c r="J869" s="27" t="s">
        <v>190</v>
      </c>
      <c r="K869" s="26">
        <v>45400.454799189814</v>
      </c>
    </row>
    <row r="870" spans="1:12">
      <c r="A870" s="25">
        <v>900065990</v>
      </c>
      <c r="B870" s="26">
        <v>45390.592405439813</v>
      </c>
      <c r="C870" s="27" t="s">
        <v>6043</v>
      </c>
      <c r="D870" s="28" t="s">
        <v>6044</v>
      </c>
      <c r="E870" s="29" t="s">
        <v>6475</v>
      </c>
      <c r="F870" s="29" t="s">
        <v>171</v>
      </c>
      <c r="H870" s="26" t="s">
        <v>215</v>
      </c>
      <c r="I870" s="27" t="s">
        <v>176</v>
      </c>
      <c r="J870" s="27" t="s">
        <v>196</v>
      </c>
      <c r="K870" s="26">
        <v>45390.826018865744</v>
      </c>
    </row>
    <row r="871" spans="1:12">
      <c r="A871" s="25">
        <v>909583121</v>
      </c>
      <c r="B871" s="26">
        <v>45391.614008796299</v>
      </c>
      <c r="C871" s="27" t="s">
        <v>6059</v>
      </c>
      <c r="D871" s="28" t="s">
        <v>6060</v>
      </c>
      <c r="E871" s="29" t="s">
        <v>6348</v>
      </c>
      <c r="F871" s="29" t="s">
        <v>171</v>
      </c>
      <c r="H871" s="26" t="s">
        <v>6580</v>
      </c>
      <c r="I871" s="27" t="s">
        <v>66</v>
      </c>
      <c r="J871" s="27" t="s">
        <v>66</v>
      </c>
      <c r="K871" s="26">
        <v>45391.69458599537</v>
      </c>
    </row>
    <row r="872" spans="1:12">
      <c r="A872" s="25">
        <v>900020711</v>
      </c>
      <c r="B872" s="26">
        <v>45391.648772106484</v>
      </c>
      <c r="C872" s="27" t="s">
        <v>856</v>
      </c>
      <c r="D872" s="28" t="s">
        <v>857</v>
      </c>
      <c r="E872" s="29" t="s">
        <v>269</v>
      </c>
      <c r="F872" s="29" t="s">
        <v>171</v>
      </c>
      <c r="H872" s="26">
        <v>45406</v>
      </c>
      <c r="I872" s="27" t="s">
        <v>66</v>
      </c>
      <c r="J872" s="27" t="s">
        <v>153</v>
      </c>
      <c r="K872" s="26">
        <v>45407.546305555552</v>
      </c>
    </row>
    <row r="873" spans="1:12">
      <c r="A873" s="25">
        <v>900020711</v>
      </c>
      <c r="B873" s="26">
        <v>45391.649766203707</v>
      </c>
      <c r="C873" s="27" t="s">
        <v>856</v>
      </c>
      <c r="D873" s="28" t="s">
        <v>857</v>
      </c>
      <c r="E873" s="29" t="s">
        <v>227</v>
      </c>
      <c r="F873" s="29" t="s">
        <v>171</v>
      </c>
      <c r="H873" s="26">
        <v>45406</v>
      </c>
      <c r="I873" s="27" t="s">
        <v>66</v>
      </c>
      <c r="J873" s="27" t="s">
        <v>153</v>
      </c>
      <c r="K873" s="26">
        <v>45407.546305555552</v>
      </c>
    </row>
    <row r="874" spans="1:12">
      <c r="A874" s="25">
        <v>900016772</v>
      </c>
      <c r="B874" s="26">
        <v>45393.525836689812</v>
      </c>
      <c r="C874" s="27" t="s">
        <v>772</v>
      </c>
      <c r="D874" s="28" t="s">
        <v>773</v>
      </c>
      <c r="E874" s="29" t="s">
        <v>239</v>
      </c>
      <c r="F874" s="29" t="s">
        <v>171</v>
      </c>
      <c r="G874" s="29" t="s">
        <v>6528</v>
      </c>
      <c r="H874" s="26">
        <v>45394</v>
      </c>
      <c r="I874" s="27" t="s">
        <v>190</v>
      </c>
      <c r="J874" s="27" t="s">
        <v>155</v>
      </c>
      <c r="K874" s="26">
        <v>45394.48046215278</v>
      </c>
    </row>
    <row r="875" spans="1:12">
      <c r="A875" s="25">
        <v>909169084</v>
      </c>
      <c r="B875" s="26">
        <v>45393.554991087964</v>
      </c>
      <c r="C875" s="27" t="s">
        <v>2660</v>
      </c>
      <c r="D875" s="28" t="s">
        <v>2661</v>
      </c>
      <c r="E875" s="29" t="s">
        <v>239</v>
      </c>
      <c r="F875" s="29" t="s">
        <v>171</v>
      </c>
      <c r="G875" s="29" t="s">
        <v>6555</v>
      </c>
      <c r="H875" s="26" t="s">
        <v>6271</v>
      </c>
      <c r="I875" s="27" t="s">
        <v>190</v>
      </c>
      <c r="J875" s="27" t="s">
        <v>196</v>
      </c>
      <c r="K875" s="26">
        <v>45393.785133101854</v>
      </c>
    </row>
    <row r="876" spans="1:12">
      <c r="A876" s="25">
        <v>908471972</v>
      </c>
      <c r="B876" s="26">
        <v>45397.446911805557</v>
      </c>
      <c r="C876" s="27" t="s">
        <v>5901</v>
      </c>
      <c r="D876" s="28" t="s">
        <v>5902</v>
      </c>
      <c r="E876" s="29" t="s">
        <v>239</v>
      </c>
      <c r="F876" s="29" t="s">
        <v>171</v>
      </c>
      <c r="G876" s="29" t="s">
        <v>6528</v>
      </c>
      <c r="H876" s="26">
        <v>45400</v>
      </c>
      <c r="I876" s="27" t="s">
        <v>176</v>
      </c>
      <c r="J876" s="27" t="s">
        <v>155</v>
      </c>
      <c r="K876" s="26">
        <v>45398.567365740739</v>
      </c>
    </row>
    <row r="877" spans="1:12">
      <c r="A877" s="25">
        <v>918106090</v>
      </c>
      <c r="B877" s="26">
        <v>45397.458082870369</v>
      </c>
      <c r="C877" s="27" t="s">
        <v>4592</v>
      </c>
      <c r="D877" s="28" t="s">
        <v>4593</v>
      </c>
      <c r="E877" s="29" t="s">
        <v>140</v>
      </c>
      <c r="F877" s="29" t="s">
        <v>171</v>
      </c>
      <c r="G877" s="29" t="s">
        <v>6581</v>
      </c>
      <c r="H877" s="26" t="s">
        <v>180</v>
      </c>
      <c r="I877" s="27" t="s">
        <v>66</v>
      </c>
      <c r="J877" s="27" t="s">
        <v>176</v>
      </c>
      <c r="K877" s="26">
        <v>45397.477304398148</v>
      </c>
    </row>
    <row r="878" spans="1:12">
      <c r="A878" s="25">
        <v>909198113</v>
      </c>
      <c r="B878" s="26">
        <v>45397.860893634257</v>
      </c>
      <c r="C878" s="27" t="s">
        <v>2710</v>
      </c>
      <c r="D878" s="28" t="s">
        <v>2711</v>
      </c>
      <c r="E878" s="29" t="s">
        <v>83</v>
      </c>
      <c r="F878" s="29" t="s">
        <v>171</v>
      </c>
      <c r="H878" s="26" t="s">
        <v>6582</v>
      </c>
      <c r="I878" s="27" t="s">
        <v>99</v>
      </c>
      <c r="J878" s="27" t="s">
        <v>196</v>
      </c>
      <c r="K878" s="26">
        <v>45397.783501041667</v>
      </c>
    </row>
    <row r="879" spans="1:12">
      <c r="A879" s="25">
        <v>922250131</v>
      </c>
      <c r="B879" s="26">
        <v>45397.97765173611</v>
      </c>
      <c r="C879" s="27" t="s">
        <v>5692</v>
      </c>
      <c r="D879" s="28" t="s">
        <v>5693</v>
      </c>
      <c r="E879" s="29" t="s">
        <v>133</v>
      </c>
      <c r="F879" s="29" t="s">
        <v>171</v>
      </c>
      <c r="H879" s="26" t="s">
        <v>6583</v>
      </c>
      <c r="I879" s="27" t="s">
        <v>99</v>
      </c>
      <c r="J879" s="27" t="s">
        <v>196</v>
      </c>
      <c r="K879" s="26">
        <v>45397.789499652776</v>
      </c>
    </row>
    <row r="880" spans="1:12">
      <c r="A880" s="25">
        <v>900000249</v>
      </c>
      <c r="B880" s="26">
        <v>45398.510564351855</v>
      </c>
      <c r="C880" s="27" t="s">
        <v>363</v>
      </c>
      <c r="D880" s="28" t="s">
        <v>364</v>
      </c>
      <c r="E880" s="29" t="s">
        <v>35</v>
      </c>
      <c r="F880" s="29" t="s">
        <v>171</v>
      </c>
      <c r="H880" s="26" t="s">
        <v>6271</v>
      </c>
      <c r="I880" s="27" t="s">
        <v>153</v>
      </c>
      <c r="J880" s="27" t="s">
        <v>196</v>
      </c>
      <c r="K880" s="26">
        <v>45398.713291319444</v>
      </c>
    </row>
    <row r="881" spans="1:12">
      <c r="A881" s="25">
        <v>918848936</v>
      </c>
      <c r="B881" s="26">
        <v>45398.561159375</v>
      </c>
      <c r="C881" s="27" t="s">
        <v>5354</v>
      </c>
      <c r="D881" s="28" t="s">
        <v>5355</v>
      </c>
      <c r="E881" s="29" t="s">
        <v>6475</v>
      </c>
      <c r="F881" s="29" t="s">
        <v>171</v>
      </c>
      <c r="G881" s="29" t="s">
        <v>6571</v>
      </c>
      <c r="H881" s="26" t="s">
        <v>6271</v>
      </c>
      <c r="I881" s="27" t="s">
        <v>155</v>
      </c>
      <c r="J881" s="27" t="s">
        <v>176</v>
      </c>
      <c r="K881" s="26">
        <v>45398.732441782406</v>
      </c>
    </row>
    <row r="882" spans="1:12">
      <c r="A882" s="25">
        <v>906551690</v>
      </c>
      <c r="B882" s="26">
        <v>45398.631179629629</v>
      </c>
      <c r="C882" s="27" t="s">
        <v>2163</v>
      </c>
      <c r="D882" s="28" t="s">
        <v>2164</v>
      </c>
      <c r="E882" s="29" t="s">
        <v>6470</v>
      </c>
      <c r="F882" s="29" t="s">
        <v>171</v>
      </c>
      <c r="H882" s="26" t="s">
        <v>6271</v>
      </c>
      <c r="I882" s="27" t="s">
        <v>155</v>
      </c>
      <c r="J882" s="27" t="s">
        <v>196</v>
      </c>
      <c r="K882" s="26">
        <v>45398.828031597222</v>
      </c>
    </row>
    <row r="883" spans="1:12">
      <c r="A883" s="25">
        <v>906551690</v>
      </c>
      <c r="B883" s="26">
        <v>45398.633271527775</v>
      </c>
      <c r="C883" s="27" t="s">
        <v>2163</v>
      </c>
      <c r="D883" s="28" t="s">
        <v>2164</v>
      </c>
      <c r="E883" s="29" t="s">
        <v>6328</v>
      </c>
      <c r="F883" s="29" t="s">
        <v>171</v>
      </c>
      <c r="J883" s="27" t="s">
        <v>196</v>
      </c>
      <c r="K883" s="26">
        <v>45398.828129050926</v>
      </c>
    </row>
    <row r="884" spans="1:12">
      <c r="A884" s="25">
        <v>918841305</v>
      </c>
      <c r="B884" s="26">
        <v>45398.714881250002</v>
      </c>
      <c r="C884" s="27" t="s">
        <v>5940</v>
      </c>
      <c r="D884" s="28" t="s">
        <v>5941</v>
      </c>
      <c r="E884" s="29" t="s">
        <v>35</v>
      </c>
      <c r="F884" s="29" t="s">
        <v>171</v>
      </c>
      <c r="H884" s="26">
        <v>45405</v>
      </c>
      <c r="I884" s="27" t="s">
        <v>72</v>
      </c>
      <c r="J884" s="27" t="s">
        <v>72</v>
      </c>
      <c r="K884" s="26">
        <v>45412.684888773147</v>
      </c>
    </row>
    <row r="885" spans="1:12">
      <c r="A885" s="25">
        <v>900023064</v>
      </c>
      <c r="B885" s="26">
        <v>45399.373893171294</v>
      </c>
      <c r="C885" s="27" t="s">
        <v>896</v>
      </c>
      <c r="D885" s="28" t="s">
        <v>897</v>
      </c>
      <c r="E885" s="29" t="s">
        <v>239</v>
      </c>
      <c r="F885" s="29" t="s">
        <v>6339</v>
      </c>
      <c r="G885" s="29" t="s">
        <v>258</v>
      </c>
      <c r="H885" s="26" t="s">
        <v>6271</v>
      </c>
      <c r="I885" s="27" t="s">
        <v>155</v>
      </c>
      <c r="J885" s="27" t="s">
        <v>190</v>
      </c>
      <c r="K885" s="26">
        <v>45399.516387731484</v>
      </c>
    </row>
    <row r="886" spans="1:12">
      <c r="A886" s="25">
        <v>902222066</v>
      </c>
      <c r="B886" s="26">
        <v>45400.504583796297</v>
      </c>
      <c r="C886" s="27" t="s">
        <v>1621</v>
      </c>
      <c r="D886" s="28" t="s">
        <v>1622</v>
      </c>
      <c r="E886" s="29" t="s">
        <v>128</v>
      </c>
      <c r="F886" s="29" t="s">
        <v>171</v>
      </c>
      <c r="H886" s="26" t="s">
        <v>6271</v>
      </c>
      <c r="I886" s="27" t="s">
        <v>190</v>
      </c>
      <c r="J886" s="27" t="s">
        <v>155</v>
      </c>
      <c r="K886" s="26">
        <v>45400.725568865739</v>
      </c>
    </row>
    <row r="887" spans="1:12">
      <c r="A887" s="25">
        <v>902222066</v>
      </c>
      <c r="B887" s="26">
        <v>45400.507383564815</v>
      </c>
      <c r="C887" s="27" t="s">
        <v>1621</v>
      </c>
      <c r="D887" s="28" t="s">
        <v>1622</v>
      </c>
      <c r="E887" s="29" t="s">
        <v>129</v>
      </c>
      <c r="F887" s="29" t="s">
        <v>171</v>
      </c>
      <c r="H887" s="26" t="s">
        <v>6271</v>
      </c>
      <c r="I887" s="27" t="s">
        <v>190</v>
      </c>
      <c r="J887" s="27" t="s">
        <v>155</v>
      </c>
      <c r="K887" s="26">
        <v>45400.726961574073</v>
      </c>
    </row>
    <row r="888" spans="1:12">
      <c r="A888" s="25">
        <v>902222066</v>
      </c>
      <c r="B888" s="26">
        <v>45400.507383564815</v>
      </c>
      <c r="C888" s="27" t="s">
        <v>1621</v>
      </c>
      <c r="D888" s="28" t="s">
        <v>1622</v>
      </c>
      <c r="E888" s="29" t="s">
        <v>6575</v>
      </c>
      <c r="F888" s="29" t="s">
        <v>171</v>
      </c>
      <c r="H888" s="26" t="s">
        <v>6271</v>
      </c>
      <c r="I888" s="27" t="s">
        <v>190</v>
      </c>
      <c r="J888" s="27" t="s">
        <v>155</v>
      </c>
      <c r="K888" s="26">
        <v>45400.726961574073</v>
      </c>
    </row>
    <row r="889" spans="1:12">
      <c r="A889" s="25">
        <v>900520457</v>
      </c>
      <c r="B889" s="26">
        <v>45400.614363657405</v>
      </c>
      <c r="C889" s="27" t="s">
        <v>1420</v>
      </c>
      <c r="D889" s="28" t="s">
        <v>1421</v>
      </c>
      <c r="E889" s="29" t="s">
        <v>38</v>
      </c>
      <c r="F889" s="29" t="s">
        <v>171</v>
      </c>
      <c r="G889" s="29" t="s">
        <v>6584</v>
      </c>
      <c r="H889" s="26">
        <v>45400</v>
      </c>
      <c r="I889" s="27" t="s">
        <v>66</v>
      </c>
      <c r="J889" s="27" t="s">
        <v>66</v>
      </c>
      <c r="K889" s="26">
        <v>45400.615765856484</v>
      </c>
    </row>
    <row r="890" spans="1:12">
      <c r="A890" s="25">
        <v>918825939</v>
      </c>
      <c r="B890" s="26">
        <v>45401.636472222221</v>
      </c>
      <c r="C890" s="27" t="s">
        <v>4756</v>
      </c>
      <c r="D890" s="28" t="s">
        <v>4757</v>
      </c>
      <c r="E890" s="29" t="s">
        <v>19</v>
      </c>
      <c r="F890" s="29" t="s">
        <v>171</v>
      </c>
      <c r="I890" s="27" t="s">
        <v>99</v>
      </c>
      <c r="J890" s="27" t="s">
        <v>99</v>
      </c>
      <c r="K890" s="26">
        <v>45401.636676620372</v>
      </c>
    </row>
    <row r="891" spans="1:12">
      <c r="A891" s="25">
        <v>908492096</v>
      </c>
      <c r="B891" s="26">
        <v>45405.396107175926</v>
      </c>
      <c r="C891" s="27" t="s">
        <v>2499</v>
      </c>
      <c r="D891" s="28" t="s">
        <v>2500</v>
      </c>
      <c r="E891" s="29" t="s">
        <v>92</v>
      </c>
      <c r="F891" s="29" t="s">
        <v>171</v>
      </c>
      <c r="H891" s="26" t="s">
        <v>6493</v>
      </c>
      <c r="I891" s="27" t="s">
        <v>178</v>
      </c>
      <c r="J891" s="27" t="s">
        <v>155</v>
      </c>
      <c r="K891" s="26">
        <v>45405.586278819443</v>
      </c>
    </row>
    <row r="892" spans="1:12">
      <c r="A892" s="25">
        <v>920120913</v>
      </c>
      <c r="B892" s="26">
        <v>45405.449298842592</v>
      </c>
      <c r="C892" s="27" t="s">
        <v>6051</v>
      </c>
      <c r="D892" s="28" t="s">
        <v>6052</v>
      </c>
      <c r="E892" s="29" t="s">
        <v>19</v>
      </c>
      <c r="F892" s="29" t="s">
        <v>171</v>
      </c>
      <c r="H892" s="26">
        <v>45389</v>
      </c>
      <c r="I892" s="27" t="s">
        <v>178</v>
      </c>
      <c r="J892" s="27" t="s">
        <v>99</v>
      </c>
      <c r="K892" s="26">
        <v>45411.608906712965</v>
      </c>
    </row>
    <row r="893" spans="1:12">
      <c r="A893" s="25">
        <v>918825445</v>
      </c>
      <c r="B893" s="26">
        <v>45405.473644212965</v>
      </c>
      <c r="C893" s="27" t="s">
        <v>4738</v>
      </c>
      <c r="D893" s="28" t="s">
        <v>4739</v>
      </c>
      <c r="E893" s="29" t="s">
        <v>6371</v>
      </c>
      <c r="F893" s="29" t="s">
        <v>171</v>
      </c>
      <c r="H893" s="26" t="s">
        <v>6493</v>
      </c>
      <c r="I893" s="27" t="s">
        <v>176</v>
      </c>
      <c r="J893" s="27" t="s">
        <v>196</v>
      </c>
      <c r="K893" s="26">
        <v>45405.783266666665</v>
      </c>
    </row>
    <row r="894" spans="1:12">
      <c r="A894" s="25">
        <v>918841305</v>
      </c>
      <c r="B894" s="26">
        <v>45405.474505787039</v>
      </c>
      <c r="C894" s="27" t="s">
        <v>5940</v>
      </c>
      <c r="D894" s="28" t="s">
        <v>5941</v>
      </c>
      <c r="E894" s="29" t="s">
        <v>6575</v>
      </c>
      <c r="F894" s="29" t="s">
        <v>171</v>
      </c>
      <c r="H894" s="26">
        <v>45412</v>
      </c>
      <c r="I894" s="27" t="s">
        <v>176</v>
      </c>
      <c r="J894" s="27" t="s">
        <v>73</v>
      </c>
      <c r="K894" s="26">
        <v>45412.684765046295</v>
      </c>
    </row>
    <row r="895" spans="1:12">
      <c r="A895" s="25">
        <v>900002446</v>
      </c>
      <c r="B895" s="26">
        <v>45405.519189814811</v>
      </c>
      <c r="C895" s="27" t="s">
        <v>413</v>
      </c>
      <c r="D895" s="28" t="s">
        <v>414</v>
      </c>
      <c r="E895" s="29" t="s">
        <v>92</v>
      </c>
      <c r="F895" s="29" t="s">
        <v>6339</v>
      </c>
      <c r="H895" s="26" t="s">
        <v>141</v>
      </c>
      <c r="I895" s="27" t="s">
        <v>178</v>
      </c>
      <c r="J895" s="27" t="s">
        <v>178</v>
      </c>
      <c r="K895" s="26">
        <v>45407.498733680557</v>
      </c>
    </row>
    <row r="896" spans="1:12">
      <c r="A896" s="25">
        <v>904454088</v>
      </c>
      <c r="B896" s="26">
        <v>45405</v>
      </c>
      <c r="C896" s="27" t="s">
        <v>6053</v>
      </c>
      <c r="D896" s="28" t="s">
        <v>6054</v>
      </c>
      <c r="E896" s="29" t="s">
        <v>239</v>
      </c>
      <c r="F896" s="29" t="s">
        <v>171</v>
      </c>
      <c r="G896" s="29" t="s">
        <v>240</v>
      </c>
      <c r="H896" s="26" t="s">
        <v>6271</v>
      </c>
      <c r="I896" s="27" t="s">
        <v>153</v>
      </c>
      <c r="J896" s="27" t="s">
        <v>155</v>
      </c>
      <c r="K896" s="26">
        <v>45405.76764351852</v>
      </c>
      <c r="L896" s="24" t="s">
        <v>6585</v>
      </c>
    </row>
    <row r="897" spans="1:12">
      <c r="A897" s="25">
        <v>909204002</v>
      </c>
      <c r="B897" s="26">
        <v>45405.602315509263</v>
      </c>
      <c r="C897" s="27" t="s">
        <v>2714</v>
      </c>
      <c r="D897" s="28" t="s">
        <v>2715</v>
      </c>
      <c r="E897" s="29" t="s">
        <v>35</v>
      </c>
      <c r="F897" s="29" t="s">
        <v>171</v>
      </c>
      <c r="H897" s="26" t="s">
        <v>6271</v>
      </c>
      <c r="I897" s="27" t="s">
        <v>155</v>
      </c>
      <c r="J897" s="27" t="s">
        <v>196</v>
      </c>
      <c r="K897" s="26">
        <v>45405.795195833336</v>
      </c>
    </row>
    <row r="898" spans="1:12">
      <c r="A898" s="25">
        <v>913786515</v>
      </c>
      <c r="B898" s="26">
        <v>45405.683997106484</v>
      </c>
      <c r="C898" s="27" t="s">
        <v>6463</v>
      </c>
      <c r="D898" s="28" t="s">
        <v>3677</v>
      </c>
      <c r="E898" s="29" t="s">
        <v>36</v>
      </c>
      <c r="F898" s="29" t="s">
        <v>171</v>
      </c>
      <c r="H898" s="26" t="s">
        <v>6586</v>
      </c>
      <c r="I898" s="27" t="s">
        <v>155</v>
      </c>
      <c r="J898" s="27" t="s">
        <v>61</v>
      </c>
      <c r="K898" s="26">
        <v>45407.585850462965</v>
      </c>
    </row>
    <row r="899" spans="1:12">
      <c r="A899" s="25">
        <v>913786515</v>
      </c>
      <c r="B899" s="26">
        <v>45405.684863194445</v>
      </c>
      <c r="C899" s="27" t="s">
        <v>6463</v>
      </c>
      <c r="D899" s="28" t="s">
        <v>3677</v>
      </c>
      <c r="E899" s="29" t="s">
        <v>58</v>
      </c>
      <c r="F899" s="29" t="s">
        <v>171</v>
      </c>
      <c r="H899" s="26" t="s">
        <v>6586</v>
      </c>
      <c r="I899" s="27" t="s">
        <v>155</v>
      </c>
      <c r="J899" s="27" t="s">
        <v>61</v>
      </c>
      <c r="K899" s="26">
        <v>45407.585878124999</v>
      </c>
    </row>
    <row r="900" spans="1:12">
      <c r="A900" s="25">
        <v>909204002</v>
      </c>
      <c r="B900" s="26">
        <v>45405.693888773145</v>
      </c>
      <c r="C900" s="27" t="s">
        <v>2714</v>
      </c>
      <c r="D900" s="28" t="s">
        <v>2715</v>
      </c>
      <c r="E900" s="29" t="s">
        <v>6262</v>
      </c>
      <c r="F900" s="29" t="s">
        <v>171</v>
      </c>
      <c r="H900" s="26" t="s">
        <v>6271</v>
      </c>
      <c r="I900" s="27" t="s">
        <v>155</v>
      </c>
      <c r="J900" s="27" t="s">
        <v>196</v>
      </c>
      <c r="K900" s="26">
        <v>45405.796418634258</v>
      </c>
    </row>
    <row r="901" spans="1:12">
      <c r="A901" s="25">
        <v>900023064</v>
      </c>
      <c r="B901" s="26">
        <v>45406.37542222222</v>
      </c>
      <c r="C901" s="27" t="s">
        <v>896</v>
      </c>
      <c r="D901" s="28" t="s">
        <v>897</v>
      </c>
      <c r="E901" s="29" t="s">
        <v>239</v>
      </c>
      <c r="F901" s="29" t="s">
        <v>6339</v>
      </c>
      <c r="G901" s="29" t="s">
        <v>240</v>
      </c>
      <c r="H901" s="26" t="s">
        <v>6271</v>
      </c>
      <c r="I901" s="27" t="s">
        <v>155</v>
      </c>
      <c r="J901" s="27" t="s">
        <v>155</v>
      </c>
      <c r="K901" s="26">
        <v>45406.517608912036</v>
      </c>
    </row>
    <row r="902" spans="1:12">
      <c r="A902" s="25">
        <v>900027042</v>
      </c>
      <c r="B902" s="26">
        <v>45406.476712268515</v>
      </c>
      <c r="C902" s="27" t="s">
        <v>6055</v>
      </c>
      <c r="D902" s="28" t="s">
        <v>6056</v>
      </c>
      <c r="E902" s="29" t="s">
        <v>239</v>
      </c>
      <c r="F902" s="29" t="s">
        <v>171</v>
      </c>
      <c r="G902" s="29" t="s">
        <v>6528</v>
      </c>
      <c r="H902" s="26" t="s">
        <v>6271</v>
      </c>
      <c r="I902" s="27" t="s">
        <v>190</v>
      </c>
      <c r="J902" s="27" t="s">
        <v>99</v>
      </c>
      <c r="K902" s="26">
        <v>45406.573314351852</v>
      </c>
    </row>
    <row r="903" spans="1:12">
      <c r="A903" s="25">
        <v>918825484</v>
      </c>
      <c r="B903" s="26">
        <v>45407.395142245368</v>
      </c>
      <c r="C903" s="27" t="s">
        <v>4744</v>
      </c>
      <c r="D903" s="28" t="s">
        <v>4745</v>
      </c>
      <c r="E903" s="29" t="s">
        <v>239</v>
      </c>
      <c r="F903" s="29" t="s">
        <v>171</v>
      </c>
      <c r="H903" s="26" t="s">
        <v>6271</v>
      </c>
      <c r="I903" s="27" t="s">
        <v>178</v>
      </c>
      <c r="J903" s="27" t="s">
        <v>71</v>
      </c>
      <c r="K903" s="26">
        <v>45407.764376620369</v>
      </c>
      <c r="L903" s="24" t="s">
        <v>6587</v>
      </c>
    </row>
    <row r="904" spans="1:12">
      <c r="A904" s="25">
        <v>908778356</v>
      </c>
      <c r="B904" s="26">
        <v>45407.416133333332</v>
      </c>
      <c r="C904" s="27" t="s">
        <v>2572</v>
      </c>
      <c r="D904" s="28" t="s">
        <v>2573</v>
      </c>
      <c r="E904" s="29" t="s">
        <v>6475</v>
      </c>
      <c r="F904" s="29" t="s">
        <v>171</v>
      </c>
      <c r="G904" s="29" t="s">
        <v>6571</v>
      </c>
      <c r="H904" s="26" t="s">
        <v>6271</v>
      </c>
      <c r="I904" s="27" t="s">
        <v>178</v>
      </c>
      <c r="J904" s="27" t="s">
        <v>178</v>
      </c>
      <c r="K904" s="26">
        <v>45412.404827662038</v>
      </c>
    </row>
    <row r="905" spans="1:12">
      <c r="A905" s="25">
        <v>900030734</v>
      </c>
      <c r="B905" s="26">
        <v>45407.667845370372</v>
      </c>
      <c r="C905" s="27" t="s">
        <v>1026</v>
      </c>
      <c r="D905" s="28" t="s">
        <v>1027</v>
      </c>
      <c r="E905" s="29" t="s">
        <v>227</v>
      </c>
      <c r="F905" s="29" t="s">
        <v>171</v>
      </c>
      <c r="H905" s="26" t="s">
        <v>6588</v>
      </c>
      <c r="I905" s="27" t="s">
        <v>153</v>
      </c>
      <c r="J905" s="27" t="s">
        <v>72</v>
      </c>
      <c r="K905" s="26">
        <v>45422.672515972219</v>
      </c>
      <c r="L905" s="24" t="s">
        <v>6589</v>
      </c>
    </row>
    <row r="906" spans="1:12">
      <c r="A906" s="25">
        <v>900030734</v>
      </c>
      <c r="B906" s="26">
        <v>45407.667871064812</v>
      </c>
      <c r="C906" s="27" t="s">
        <v>1026</v>
      </c>
      <c r="D906" s="28" t="s">
        <v>1027</v>
      </c>
      <c r="E906" s="29" t="s">
        <v>261</v>
      </c>
      <c r="F906" s="29" t="s">
        <v>171</v>
      </c>
      <c r="H906" s="26" t="s">
        <v>6588</v>
      </c>
      <c r="I906" s="27" t="s">
        <v>153</v>
      </c>
      <c r="J906" s="27" t="s">
        <v>72</v>
      </c>
      <c r="K906" s="26">
        <v>45422.672558101855</v>
      </c>
      <c r="L906" s="24" t="s">
        <v>6589</v>
      </c>
    </row>
    <row r="907" spans="1:12">
      <c r="A907" s="25">
        <v>900030734</v>
      </c>
      <c r="B907" s="26">
        <v>45407.667879976849</v>
      </c>
      <c r="C907" s="27" t="s">
        <v>1026</v>
      </c>
      <c r="D907" s="28" t="s">
        <v>1027</v>
      </c>
      <c r="E907" s="29" t="s">
        <v>38</v>
      </c>
      <c r="F907" s="29" t="s">
        <v>171</v>
      </c>
      <c r="H907" s="26" t="s">
        <v>6588</v>
      </c>
      <c r="I907" s="27" t="s">
        <v>153</v>
      </c>
      <c r="J907" s="27" t="s">
        <v>72</v>
      </c>
      <c r="K907" s="26">
        <v>45422.672558101855</v>
      </c>
      <c r="L907" s="24" t="s">
        <v>6589</v>
      </c>
    </row>
    <row r="908" spans="1:12">
      <c r="A908" s="25">
        <v>918825484</v>
      </c>
      <c r="B908" s="26">
        <v>45407.762396180558</v>
      </c>
      <c r="C908" s="27" t="s">
        <v>4744</v>
      </c>
      <c r="D908" s="28" t="s">
        <v>4745</v>
      </c>
      <c r="E908" s="29" t="s">
        <v>20</v>
      </c>
      <c r="F908" s="29" t="s">
        <v>171</v>
      </c>
      <c r="H908" s="26" t="s">
        <v>6590</v>
      </c>
      <c r="I908" s="27" t="s">
        <v>71</v>
      </c>
      <c r="J908" s="27" t="s">
        <v>72</v>
      </c>
      <c r="K908" s="26">
        <v>45408.691728587961</v>
      </c>
    </row>
    <row r="909" spans="1:12">
      <c r="A909" s="25">
        <v>917243813</v>
      </c>
      <c r="B909" s="26">
        <v>45411.381207407409</v>
      </c>
      <c r="C909" s="27" t="s">
        <v>4364</v>
      </c>
      <c r="D909" s="28" t="s">
        <v>4365</v>
      </c>
      <c r="E909" s="29" t="s">
        <v>20</v>
      </c>
      <c r="F909" s="29" t="s">
        <v>171</v>
      </c>
      <c r="H909" s="26" t="s">
        <v>6271</v>
      </c>
      <c r="I909" s="27" t="s">
        <v>153</v>
      </c>
      <c r="J909" s="27" t="s">
        <v>196</v>
      </c>
      <c r="K909" s="26">
        <v>45411.766729976851</v>
      </c>
    </row>
    <row r="910" spans="1:12">
      <c r="A910" s="25">
        <v>913687338</v>
      </c>
      <c r="B910" s="26">
        <v>45411.487581712965</v>
      </c>
      <c r="C910" s="27" t="s">
        <v>6057</v>
      </c>
      <c r="D910" s="28" t="s">
        <v>6058</v>
      </c>
      <c r="E910" s="29" t="s">
        <v>6371</v>
      </c>
      <c r="F910" s="29" t="s">
        <v>171</v>
      </c>
      <c r="H910" s="26" t="s">
        <v>6271</v>
      </c>
      <c r="I910" s="27" t="s">
        <v>176</v>
      </c>
      <c r="J910" s="27" t="s">
        <v>99</v>
      </c>
      <c r="K910" s="26">
        <v>45411.648859259258</v>
      </c>
    </row>
    <row r="911" spans="1:12">
      <c r="A911" s="25">
        <v>909583121</v>
      </c>
      <c r="B911" s="26">
        <v>45411.57379988426</v>
      </c>
      <c r="C911" s="27" t="s">
        <v>6059</v>
      </c>
      <c r="D911" s="28" t="s">
        <v>6060</v>
      </c>
      <c r="E911" s="29" t="s">
        <v>174</v>
      </c>
      <c r="F911" s="29" t="s">
        <v>171</v>
      </c>
      <c r="H911" s="26">
        <v>45425</v>
      </c>
      <c r="I911" s="27" t="s">
        <v>99</v>
      </c>
      <c r="J911" s="27" t="s">
        <v>176</v>
      </c>
      <c r="K911" s="26">
        <v>45419.430464467594</v>
      </c>
    </row>
    <row r="912" spans="1:12">
      <c r="A912" s="25">
        <v>908529887</v>
      </c>
      <c r="B912" s="26">
        <v>45412.559844444448</v>
      </c>
      <c r="C912" s="27" t="s">
        <v>2541</v>
      </c>
      <c r="D912" s="28" t="s">
        <v>2542</v>
      </c>
      <c r="E912" s="29" t="s">
        <v>36</v>
      </c>
      <c r="F912" s="29" t="s">
        <v>171</v>
      </c>
      <c r="H912" s="26" t="s">
        <v>6591</v>
      </c>
      <c r="I912" s="27" t="s">
        <v>153</v>
      </c>
      <c r="J912" s="27" t="s">
        <v>196</v>
      </c>
      <c r="K912" s="26">
        <v>45412.796922569447</v>
      </c>
    </row>
    <row r="913" spans="1:12">
      <c r="A913" s="25">
        <v>908529887</v>
      </c>
      <c r="B913" s="26">
        <v>45412.560133680556</v>
      </c>
      <c r="C913" s="27" t="s">
        <v>2541</v>
      </c>
      <c r="D913" s="28" t="s">
        <v>2542</v>
      </c>
      <c r="E913" s="29" t="s">
        <v>6592</v>
      </c>
      <c r="F913" s="29" t="s">
        <v>171</v>
      </c>
      <c r="H913" s="26" t="s">
        <v>6591</v>
      </c>
      <c r="I913" s="27" t="s">
        <v>153</v>
      </c>
      <c r="J913" s="27" t="s">
        <v>196</v>
      </c>
      <c r="K913" s="26">
        <v>45412.796956481485</v>
      </c>
    </row>
    <row r="914" spans="1:12">
      <c r="A914" s="25">
        <v>912144940</v>
      </c>
      <c r="B914" s="26">
        <v>45413.391443981483</v>
      </c>
      <c r="C914" s="27" t="s">
        <v>3282</v>
      </c>
      <c r="D914" s="28" t="s">
        <v>3283</v>
      </c>
      <c r="E914" s="29" t="s">
        <v>6475</v>
      </c>
      <c r="F914" s="29" t="s">
        <v>171</v>
      </c>
      <c r="G914" s="29" t="s">
        <v>6571</v>
      </c>
      <c r="H914" s="26" t="s">
        <v>6271</v>
      </c>
      <c r="I914" s="27" t="s">
        <v>155</v>
      </c>
      <c r="J914" s="27" t="s">
        <v>99</v>
      </c>
      <c r="K914" s="26">
        <v>45413.696415740742</v>
      </c>
    </row>
    <row r="915" spans="1:12">
      <c r="A915" s="25">
        <v>912144940</v>
      </c>
      <c r="B915" s="26">
        <v>45413.396628819442</v>
      </c>
      <c r="C915" s="27" t="s">
        <v>3282</v>
      </c>
      <c r="D915" s="28" t="s">
        <v>3283</v>
      </c>
      <c r="E915" s="29" t="s">
        <v>36</v>
      </c>
      <c r="F915" s="29" t="s">
        <v>171</v>
      </c>
      <c r="H915" s="26" t="s">
        <v>6271</v>
      </c>
      <c r="I915" s="27" t="s">
        <v>155</v>
      </c>
      <c r="J915" s="27" t="s">
        <v>99</v>
      </c>
      <c r="K915" s="26">
        <v>45413.698326273145</v>
      </c>
    </row>
    <row r="916" spans="1:12">
      <c r="A916" s="25">
        <v>910569626</v>
      </c>
      <c r="B916" s="26">
        <v>45413.576847916665</v>
      </c>
      <c r="C916" s="27" t="s">
        <v>3022</v>
      </c>
      <c r="D916" s="28" t="s">
        <v>3023</v>
      </c>
      <c r="E916" s="29" t="s">
        <v>261</v>
      </c>
      <c r="F916" s="29" t="s">
        <v>171</v>
      </c>
      <c r="H916" s="26">
        <v>45418</v>
      </c>
      <c r="I916" s="27" t="s">
        <v>190</v>
      </c>
      <c r="J916" s="27" t="s">
        <v>99</v>
      </c>
      <c r="K916" s="26">
        <v>45418.650268750003</v>
      </c>
    </row>
    <row r="917" spans="1:12">
      <c r="A917" s="25">
        <v>910609965</v>
      </c>
      <c r="B917" s="26">
        <v>45414.424167708334</v>
      </c>
      <c r="C917" s="27" t="s">
        <v>3046</v>
      </c>
      <c r="D917" s="28" t="s">
        <v>3047</v>
      </c>
      <c r="E917" s="29" t="s">
        <v>239</v>
      </c>
      <c r="F917" s="29" t="s">
        <v>171</v>
      </c>
      <c r="G917" s="29" t="s">
        <v>6593</v>
      </c>
      <c r="H917" s="26" t="s">
        <v>218</v>
      </c>
      <c r="I917" s="27" t="s">
        <v>178</v>
      </c>
      <c r="J917" s="27" t="s">
        <v>190</v>
      </c>
      <c r="K917" s="26">
        <v>45414.520324421297</v>
      </c>
      <c r="L917" s="24" t="s">
        <v>6594</v>
      </c>
    </row>
    <row r="918" spans="1:12">
      <c r="A918" s="25">
        <v>917230319</v>
      </c>
      <c r="B918" s="26">
        <v>45414.812851620372</v>
      </c>
      <c r="C918" s="27" t="s">
        <v>4310</v>
      </c>
      <c r="D918" s="28" t="s">
        <v>4311</v>
      </c>
      <c r="E918" s="29" t="s">
        <v>239</v>
      </c>
      <c r="F918" s="29" t="s">
        <v>171</v>
      </c>
      <c r="G918" s="29" t="s">
        <v>256</v>
      </c>
      <c r="H918" s="26">
        <v>45418</v>
      </c>
      <c r="I918" s="27" t="s">
        <v>196</v>
      </c>
      <c r="J918" s="27" t="s">
        <v>99</v>
      </c>
      <c r="K918" s="26">
        <v>45418.537639236114</v>
      </c>
    </row>
    <row r="919" spans="1:12">
      <c r="A919" s="25">
        <v>908491901</v>
      </c>
      <c r="B919" s="26">
        <v>45418.359011111112</v>
      </c>
      <c r="C919" s="27" t="s">
        <v>2485</v>
      </c>
      <c r="D919" s="28" t="s">
        <v>2486</v>
      </c>
      <c r="E919" s="29" t="s">
        <v>174</v>
      </c>
      <c r="F919" s="29" t="s">
        <v>171</v>
      </c>
      <c r="H919" s="26" t="s">
        <v>6595</v>
      </c>
      <c r="I919" s="27" t="s">
        <v>153</v>
      </c>
      <c r="J919" s="27" t="s">
        <v>155</v>
      </c>
      <c r="K919" s="26">
        <v>45425.357730671298</v>
      </c>
    </row>
    <row r="920" spans="1:12">
      <c r="A920" s="25">
        <v>900019151</v>
      </c>
      <c r="B920" s="26">
        <v>45418.438156944445</v>
      </c>
      <c r="C920" s="27" t="s">
        <v>828</v>
      </c>
      <c r="D920" s="28" t="s">
        <v>829</v>
      </c>
      <c r="E920" s="29" t="s">
        <v>239</v>
      </c>
      <c r="F920" s="29" t="s">
        <v>171</v>
      </c>
      <c r="G920" s="29" t="s">
        <v>258</v>
      </c>
      <c r="H920" s="26" t="s">
        <v>6271</v>
      </c>
      <c r="I920" s="27" t="s">
        <v>155</v>
      </c>
      <c r="J920" s="27" t="s">
        <v>99</v>
      </c>
      <c r="K920" s="26">
        <v>45418.505241319443</v>
      </c>
    </row>
    <row r="921" spans="1:12">
      <c r="A921" s="25">
        <v>900010415</v>
      </c>
      <c r="B921" s="26">
        <v>45420.728537615738</v>
      </c>
      <c r="C921" s="27" t="s">
        <v>617</v>
      </c>
      <c r="D921" s="28" t="s">
        <v>618</v>
      </c>
      <c r="E921" s="29" t="s">
        <v>151</v>
      </c>
      <c r="F921" s="29" t="s">
        <v>171</v>
      </c>
      <c r="G921" s="29">
        <v>68752</v>
      </c>
      <c r="H921" s="26">
        <v>45435</v>
      </c>
      <c r="I921" s="27" t="s">
        <v>196</v>
      </c>
      <c r="J921" s="27" t="s">
        <v>66</v>
      </c>
      <c r="K921" s="26">
        <v>45432.484345717596</v>
      </c>
    </row>
    <row r="922" spans="1:12">
      <c r="A922" s="25">
        <v>900010415</v>
      </c>
      <c r="B922" s="26">
        <v>45420.730804513893</v>
      </c>
      <c r="C922" s="27" t="s">
        <v>617</v>
      </c>
      <c r="D922" s="28" t="s">
        <v>618</v>
      </c>
      <c r="E922" s="29" t="s">
        <v>35</v>
      </c>
      <c r="F922" s="29" t="s">
        <v>171</v>
      </c>
      <c r="H922" s="26">
        <v>45435</v>
      </c>
      <c r="I922" s="27" t="s">
        <v>196</v>
      </c>
      <c r="J922" s="27" t="s">
        <v>66</v>
      </c>
      <c r="K922" s="26">
        <v>45432.484357986112</v>
      </c>
    </row>
    <row r="923" spans="1:12">
      <c r="A923" s="25">
        <v>918834805</v>
      </c>
      <c r="B923" s="26">
        <v>45425.436023148148</v>
      </c>
      <c r="C923" s="27" t="s">
        <v>4984</v>
      </c>
      <c r="D923" s="28" t="s">
        <v>4985</v>
      </c>
      <c r="E923" s="29" t="s">
        <v>20</v>
      </c>
      <c r="F923" s="29" t="s">
        <v>171</v>
      </c>
      <c r="H923" s="26" t="s">
        <v>218</v>
      </c>
      <c r="I923" s="27" t="s">
        <v>153</v>
      </c>
      <c r="J923" s="27" t="s">
        <v>153</v>
      </c>
      <c r="K923" s="26">
        <v>45425.642223958333</v>
      </c>
    </row>
    <row r="924" spans="1:12">
      <c r="A924" s="25">
        <v>913869494</v>
      </c>
      <c r="B924" s="26">
        <v>45425.52036678241</v>
      </c>
      <c r="C924" s="27" t="s">
        <v>3808</v>
      </c>
      <c r="D924" s="28" t="s">
        <v>3809</v>
      </c>
      <c r="E924" s="29" t="s">
        <v>239</v>
      </c>
      <c r="F924" s="29" t="s">
        <v>171</v>
      </c>
      <c r="G924" s="29" t="s">
        <v>6528</v>
      </c>
      <c r="H924" s="26">
        <v>45425</v>
      </c>
      <c r="I924" s="27" t="s">
        <v>99</v>
      </c>
      <c r="J924" s="27" t="s">
        <v>190</v>
      </c>
      <c r="K924" s="26">
        <v>45427.588482754632</v>
      </c>
    </row>
    <row r="925" spans="1:12">
      <c r="A925" s="25">
        <v>918849482</v>
      </c>
      <c r="B925" s="26">
        <v>45425.524248611109</v>
      </c>
      <c r="C925" s="27" t="s">
        <v>5964</v>
      </c>
      <c r="D925" s="28" t="s">
        <v>5965</v>
      </c>
      <c r="E925" s="29" t="s">
        <v>269</v>
      </c>
      <c r="F925" s="29" t="s">
        <v>171</v>
      </c>
      <c r="H925" s="26">
        <v>45433</v>
      </c>
      <c r="I925" s="27" t="s">
        <v>72</v>
      </c>
      <c r="J925" s="27" t="s">
        <v>153</v>
      </c>
      <c r="K925" s="26">
        <v>45432.397195138888</v>
      </c>
    </row>
    <row r="926" spans="1:12">
      <c r="A926" s="25">
        <v>918849482</v>
      </c>
      <c r="B926" s="26">
        <v>45425.524962731484</v>
      </c>
      <c r="C926" s="27" t="s">
        <v>5964</v>
      </c>
      <c r="D926" s="28" t="s">
        <v>5965</v>
      </c>
      <c r="E926" s="29" t="s">
        <v>227</v>
      </c>
      <c r="F926" s="29" t="s">
        <v>171</v>
      </c>
      <c r="H926" s="26">
        <v>45434</v>
      </c>
      <c r="I926" s="27" t="s">
        <v>72</v>
      </c>
      <c r="J926" s="27" t="s">
        <v>131</v>
      </c>
      <c r="K926" s="26">
        <v>45429.446542592596</v>
      </c>
    </row>
    <row r="927" spans="1:12">
      <c r="A927" s="25">
        <v>918825432</v>
      </c>
      <c r="B927" s="26">
        <v>45426.510401851854</v>
      </c>
      <c r="C927" s="27" t="s">
        <v>4736</v>
      </c>
      <c r="D927" s="28" t="s">
        <v>4737</v>
      </c>
      <c r="E927" s="29" t="s">
        <v>105</v>
      </c>
      <c r="F927" s="29" t="s">
        <v>171</v>
      </c>
      <c r="H927" s="26" t="s">
        <v>218</v>
      </c>
      <c r="I927" s="27" t="s">
        <v>178</v>
      </c>
      <c r="J927" s="27" t="s">
        <v>190</v>
      </c>
      <c r="K927" s="26">
        <v>45427.551499074078</v>
      </c>
    </row>
    <row r="928" spans="1:12">
      <c r="A928" s="25">
        <v>900018046</v>
      </c>
      <c r="B928" s="26">
        <v>45426.529639004628</v>
      </c>
      <c r="C928" s="27" t="s">
        <v>806</v>
      </c>
      <c r="D928" s="28" t="s">
        <v>807</v>
      </c>
      <c r="E928" s="29" t="s">
        <v>6475</v>
      </c>
      <c r="F928" s="29" t="s">
        <v>171</v>
      </c>
      <c r="G928" s="29" t="s">
        <v>6557</v>
      </c>
      <c r="H928" s="26" t="s">
        <v>218</v>
      </c>
      <c r="I928" s="27" t="s">
        <v>153</v>
      </c>
      <c r="J928" s="27" t="s">
        <v>155</v>
      </c>
      <c r="K928" s="26">
        <v>45426.683071180552</v>
      </c>
    </row>
    <row r="929" spans="1:12">
      <c r="A929" s="25">
        <v>917548286</v>
      </c>
      <c r="B929" s="26">
        <v>45427.573386226853</v>
      </c>
      <c r="C929" s="27" t="s">
        <v>4460</v>
      </c>
      <c r="D929" s="28" t="s">
        <v>4461</v>
      </c>
      <c r="E929" s="29" t="s">
        <v>28</v>
      </c>
      <c r="F929" s="29" t="s">
        <v>171</v>
      </c>
      <c r="H929" s="26" t="s">
        <v>136</v>
      </c>
      <c r="I929" s="27" t="s">
        <v>99</v>
      </c>
      <c r="J929" s="27" t="s">
        <v>99</v>
      </c>
      <c r="K929" s="26">
        <v>45427.573386226853</v>
      </c>
    </row>
    <row r="930" spans="1:12">
      <c r="A930" s="25">
        <v>909009756</v>
      </c>
      <c r="B930" s="26">
        <v>45427.624097685184</v>
      </c>
      <c r="C930" s="27" t="s">
        <v>2588</v>
      </c>
      <c r="D930" s="28" t="s">
        <v>2589</v>
      </c>
      <c r="E930" s="29" t="s">
        <v>35</v>
      </c>
      <c r="F930" s="29" t="s">
        <v>6339</v>
      </c>
      <c r="H930" s="26">
        <v>45427</v>
      </c>
      <c r="I930" s="27" t="s">
        <v>190</v>
      </c>
      <c r="J930" s="27" t="s">
        <v>190</v>
      </c>
      <c r="K930" s="26">
        <v>45427.624694560189</v>
      </c>
      <c r="L930" s="24" t="s">
        <v>6596</v>
      </c>
    </row>
    <row r="931" spans="1:12">
      <c r="A931" s="25">
        <v>900004955</v>
      </c>
      <c r="B931" s="26">
        <v>45429.353153819444</v>
      </c>
      <c r="C931" s="27" t="s">
        <v>485</v>
      </c>
      <c r="D931" s="28" t="s">
        <v>486</v>
      </c>
      <c r="E931" s="29" t="s">
        <v>239</v>
      </c>
      <c r="F931" s="29" t="s">
        <v>171</v>
      </c>
      <c r="G931" s="29" t="s">
        <v>6528</v>
      </c>
      <c r="H931" s="26" t="s">
        <v>6271</v>
      </c>
      <c r="I931" s="27" t="s">
        <v>155</v>
      </c>
      <c r="J931" s="27" t="s">
        <v>155</v>
      </c>
      <c r="K931" s="26">
        <v>45429.525288310186</v>
      </c>
    </row>
    <row r="932" spans="1:12">
      <c r="A932" s="25">
        <v>900004955</v>
      </c>
      <c r="B932" s="26">
        <v>45429.353241319448</v>
      </c>
      <c r="C932" s="27" t="s">
        <v>485</v>
      </c>
      <c r="D932" s="28" t="s">
        <v>486</v>
      </c>
      <c r="E932" s="29" t="s">
        <v>36</v>
      </c>
      <c r="F932" s="29" t="s">
        <v>171</v>
      </c>
      <c r="H932" s="26" t="s">
        <v>6271</v>
      </c>
      <c r="I932" s="27" t="s">
        <v>155</v>
      </c>
      <c r="J932" s="27" t="s">
        <v>155</v>
      </c>
      <c r="K932" s="26">
        <v>45429.525425347223</v>
      </c>
    </row>
    <row r="933" spans="1:12">
      <c r="A933" s="25">
        <v>917253134</v>
      </c>
      <c r="B933" s="26">
        <v>45429.363478009262</v>
      </c>
      <c r="C933" s="27" t="s">
        <v>4378</v>
      </c>
      <c r="D933" s="28" t="s">
        <v>4379</v>
      </c>
      <c r="E933" s="29" t="s">
        <v>6597</v>
      </c>
      <c r="F933" s="29" t="s">
        <v>171</v>
      </c>
      <c r="H933" s="26" t="s">
        <v>6271</v>
      </c>
      <c r="I933" s="27" t="s">
        <v>155</v>
      </c>
      <c r="J933" s="27" t="s">
        <v>155</v>
      </c>
      <c r="K933" s="26">
        <v>45429.515499421293</v>
      </c>
    </row>
    <row r="934" spans="1:12">
      <c r="A934" s="25">
        <v>917253134</v>
      </c>
      <c r="B934" s="26">
        <v>45429.36369421296</v>
      </c>
      <c r="C934" s="27" t="s">
        <v>4378</v>
      </c>
      <c r="D934" s="28" t="s">
        <v>4379</v>
      </c>
      <c r="E934" s="29" t="s">
        <v>25</v>
      </c>
      <c r="F934" s="29" t="s">
        <v>171</v>
      </c>
      <c r="H934" s="26" t="s">
        <v>6271</v>
      </c>
      <c r="I934" s="27" t="s">
        <v>155</v>
      </c>
      <c r="J934" s="27" t="s">
        <v>155</v>
      </c>
      <c r="K934" s="26">
        <v>45429.515644212966</v>
      </c>
    </row>
    <row r="935" spans="1:12">
      <c r="A935" s="25">
        <v>918849482</v>
      </c>
      <c r="B935" s="26">
        <v>45429.448928935184</v>
      </c>
      <c r="C935" s="27" t="s">
        <v>5964</v>
      </c>
      <c r="D935" s="28" t="s">
        <v>5965</v>
      </c>
      <c r="E935" s="29" t="s">
        <v>24</v>
      </c>
      <c r="F935" s="29" t="s">
        <v>171</v>
      </c>
      <c r="H935" s="26" t="s">
        <v>124</v>
      </c>
      <c r="I935" s="27" t="s">
        <v>131</v>
      </c>
      <c r="J935" s="27" t="s">
        <v>153</v>
      </c>
      <c r="K935" s="26">
        <v>45432.397093171297</v>
      </c>
    </row>
    <row r="936" spans="1:12">
      <c r="A936" s="25">
        <v>900008179</v>
      </c>
      <c r="B936" s="26">
        <v>44985</v>
      </c>
      <c r="C936" s="27" t="s">
        <v>557</v>
      </c>
      <c r="D936" s="28" t="s">
        <v>558</v>
      </c>
      <c r="E936" s="29" t="s">
        <v>19</v>
      </c>
      <c r="F936" s="29" t="s">
        <v>171</v>
      </c>
      <c r="H936" s="26">
        <v>45078</v>
      </c>
      <c r="I936" s="27" t="s">
        <v>61</v>
      </c>
      <c r="J936" s="27" t="s">
        <v>72</v>
      </c>
      <c r="K936" s="26">
        <v>45434.658152083335</v>
      </c>
    </row>
    <row r="937" spans="1:12">
      <c r="A937" s="25">
        <v>900035999</v>
      </c>
      <c r="B937" s="26">
        <v>45155</v>
      </c>
      <c r="C937" s="27" t="s">
        <v>5905</v>
      </c>
      <c r="D937" s="28" t="s">
        <v>5906</v>
      </c>
      <c r="E937" s="29" t="s">
        <v>28</v>
      </c>
      <c r="F937" s="29" t="s">
        <v>6339</v>
      </c>
      <c r="H937" s="26" t="s">
        <v>124</v>
      </c>
      <c r="I937" s="27" t="s">
        <v>69</v>
      </c>
      <c r="J937" s="27" t="s">
        <v>72</v>
      </c>
      <c r="K937" s="26">
        <v>45434.656516087962</v>
      </c>
    </row>
    <row r="938" spans="1:12">
      <c r="A938" s="25">
        <v>900000249</v>
      </c>
      <c r="B938" s="26">
        <v>45308.59615636574</v>
      </c>
      <c r="C938" s="27" t="s">
        <v>363</v>
      </c>
      <c r="D938" s="28" t="s">
        <v>364</v>
      </c>
      <c r="E938" s="29" t="s">
        <v>51</v>
      </c>
      <c r="F938" s="29" t="s">
        <v>6339</v>
      </c>
      <c r="H938" s="26" t="s">
        <v>127</v>
      </c>
      <c r="I938" s="27" t="s">
        <v>99</v>
      </c>
      <c r="J938" s="27" t="s">
        <v>72</v>
      </c>
      <c r="K938" s="26">
        <v>45434.562119444447</v>
      </c>
    </row>
    <row r="939" spans="1:12">
      <c r="A939" s="25">
        <v>920887939</v>
      </c>
      <c r="B939" s="26">
        <v>45309.842731018522</v>
      </c>
      <c r="C939" s="27" t="s">
        <v>5562</v>
      </c>
      <c r="D939" s="28" t="s">
        <v>5563</v>
      </c>
      <c r="E939" s="29" t="s">
        <v>27</v>
      </c>
      <c r="F939" s="29" t="s">
        <v>171</v>
      </c>
      <c r="H939" s="26" t="s">
        <v>127</v>
      </c>
      <c r="I939" s="27" t="s">
        <v>61</v>
      </c>
      <c r="J939" s="27" t="s">
        <v>155</v>
      </c>
      <c r="K939" s="26">
        <v>45496.602180787035</v>
      </c>
    </row>
    <row r="940" spans="1:12">
      <c r="A940" s="25">
        <v>913694592</v>
      </c>
      <c r="B940" s="26">
        <v>45321.686580787034</v>
      </c>
      <c r="C940" s="27" t="s">
        <v>5998</v>
      </c>
      <c r="D940" s="28" t="s">
        <v>5999</v>
      </c>
      <c r="E940" s="29" t="s">
        <v>25</v>
      </c>
      <c r="F940" s="29" t="s">
        <v>171</v>
      </c>
      <c r="H940" s="26" t="s">
        <v>125</v>
      </c>
      <c r="I940" s="27" t="s">
        <v>155</v>
      </c>
      <c r="J940" s="27" t="s">
        <v>73</v>
      </c>
      <c r="K940" s="26">
        <v>45450.465783796295</v>
      </c>
    </row>
    <row r="941" spans="1:12">
      <c r="A941" s="25">
        <v>900058281</v>
      </c>
      <c r="B941" s="26">
        <v>45342.550594328706</v>
      </c>
      <c r="C941" s="27" t="s">
        <v>1346</v>
      </c>
      <c r="D941" s="28" t="s">
        <v>1347</v>
      </c>
      <c r="E941" s="29" t="s">
        <v>6348</v>
      </c>
      <c r="F941" s="29" t="s">
        <v>171</v>
      </c>
      <c r="H941" s="26">
        <v>45342</v>
      </c>
      <c r="I941" s="27" t="s">
        <v>66</v>
      </c>
      <c r="J941" s="27" t="s">
        <v>66</v>
      </c>
      <c r="K941" s="26">
        <v>45503.563765393519</v>
      </c>
      <c r="L941" s="24" t="s">
        <v>6585</v>
      </c>
    </row>
    <row r="942" spans="1:12">
      <c r="A942" s="25">
        <v>900025950</v>
      </c>
      <c r="B942" s="26">
        <v>45358.452125462965</v>
      </c>
      <c r="C942" s="27" t="s">
        <v>928</v>
      </c>
      <c r="D942" s="28" t="s">
        <v>929</v>
      </c>
      <c r="E942" s="29" t="s">
        <v>138</v>
      </c>
      <c r="F942" s="29" t="s">
        <v>171</v>
      </c>
      <c r="G942" s="29" t="s">
        <v>6598</v>
      </c>
      <c r="H942" s="26" t="s">
        <v>141</v>
      </c>
      <c r="I942" s="27" t="s">
        <v>66</v>
      </c>
      <c r="J942" s="27" t="s">
        <v>73</v>
      </c>
      <c r="K942" s="26">
        <v>45450.390560763888</v>
      </c>
    </row>
    <row r="943" spans="1:12">
      <c r="A943" s="25">
        <v>917931539</v>
      </c>
      <c r="B943" s="26">
        <v>45363.603389930555</v>
      </c>
      <c r="C943" s="27" t="s">
        <v>4522</v>
      </c>
      <c r="D943" s="28" t="s">
        <v>4523</v>
      </c>
      <c r="E943" s="29" t="s">
        <v>31</v>
      </c>
      <c r="F943" s="29" t="s">
        <v>171</v>
      </c>
      <c r="H943" s="26" t="s">
        <v>125</v>
      </c>
      <c r="I943" s="27" t="s">
        <v>155</v>
      </c>
      <c r="J943" s="27" t="s">
        <v>73</v>
      </c>
      <c r="K943" s="26">
        <v>45440.635426620371</v>
      </c>
    </row>
    <row r="944" spans="1:12">
      <c r="A944" s="25">
        <v>900000249</v>
      </c>
      <c r="B944" s="26">
        <v>45412.604114930553</v>
      </c>
      <c r="C944" s="27" t="s">
        <v>363</v>
      </c>
      <c r="D944" s="28" t="s">
        <v>364</v>
      </c>
      <c r="E944" s="29" t="s">
        <v>152</v>
      </c>
      <c r="F944" s="29" t="s">
        <v>171</v>
      </c>
      <c r="H944" s="26" t="s">
        <v>158</v>
      </c>
      <c r="I944" s="27" t="s">
        <v>72</v>
      </c>
      <c r="J944" s="27" t="s">
        <v>66</v>
      </c>
      <c r="K944" s="26">
        <v>45503.641539814816</v>
      </c>
    </row>
    <row r="945" spans="1:12">
      <c r="A945" s="25">
        <v>908557499</v>
      </c>
      <c r="B945" s="26">
        <v>45412.625871875003</v>
      </c>
      <c r="C945" s="27" t="s">
        <v>2548</v>
      </c>
      <c r="D945" s="28" t="s">
        <v>2549</v>
      </c>
      <c r="E945" s="29" t="s">
        <v>269</v>
      </c>
      <c r="F945" s="29" t="s">
        <v>171</v>
      </c>
      <c r="H945" s="26">
        <v>45426</v>
      </c>
      <c r="I945" s="27" t="s">
        <v>72</v>
      </c>
      <c r="J945" s="27" t="s">
        <v>155</v>
      </c>
      <c r="K945" s="26">
        <v>45447.49585324074</v>
      </c>
    </row>
    <row r="946" spans="1:12">
      <c r="A946" s="25">
        <v>908557499</v>
      </c>
      <c r="B946" s="26">
        <v>45412.626224305553</v>
      </c>
      <c r="C946" s="27" t="s">
        <v>2548</v>
      </c>
      <c r="D946" s="28" t="s">
        <v>2549</v>
      </c>
      <c r="E946" s="29" t="s">
        <v>58</v>
      </c>
      <c r="F946" s="29" t="s">
        <v>171</v>
      </c>
      <c r="H946" s="26">
        <v>45426</v>
      </c>
      <c r="I946" s="27" t="s">
        <v>73</v>
      </c>
      <c r="J946" s="27" t="s">
        <v>155</v>
      </c>
      <c r="K946" s="26">
        <v>45447.491168981483</v>
      </c>
    </row>
    <row r="947" spans="1:12">
      <c r="A947" s="25">
        <v>900030006</v>
      </c>
      <c r="B947" s="26">
        <v>45413.480856944443</v>
      </c>
      <c r="C947" s="27" t="s">
        <v>5839</v>
      </c>
      <c r="D947" s="28" t="s">
        <v>5840</v>
      </c>
      <c r="E947" s="29" t="s">
        <v>261</v>
      </c>
      <c r="F947" s="29" t="s">
        <v>171</v>
      </c>
      <c r="G947" s="29" t="s">
        <v>6599</v>
      </c>
      <c r="H947" s="26">
        <v>45427</v>
      </c>
      <c r="I947" s="27" t="s">
        <v>155</v>
      </c>
      <c r="J947" s="27" t="s">
        <v>61</v>
      </c>
      <c r="K947" s="26">
        <v>45441.503601736113</v>
      </c>
      <c r="L947" s="24" t="s">
        <v>6600</v>
      </c>
    </row>
    <row r="948" spans="1:12">
      <c r="A948" s="25">
        <v>900030006</v>
      </c>
      <c r="B948" s="26">
        <v>45413.481657870369</v>
      </c>
      <c r="C948" s="27" t="s">
        <v>5839</v>
      </c>
      <c r="D948" s="28" t="s">
        <v>5840</v>
      </c>
      <c r="E948" s="29" t="s">
        <v>227</v>
      </c>
      <c r="F948" s="29" t="s">
        <v>171</v>
      </c>
      <c r="G948" s="29" t="s">
        <v>6601</v>
      </c>
      <c r="H948" s="26">
        <v>45427</v>
      </c>
      <c r="I948" s="27" t="s">
        <v>155</v>
      </c>
      <c r="J948" s="27" t="s">
        <v>61</v>
      </c>
      <c r="K948" s="26">
        <v>45441.503624999998</v>
      </c>
    </row>
    <row r="949" spans="1:12">
      <c r="A949" s="25">
        <v>913786515</v>
      </c>
      <c r="B949" s="26">
        <v>45426.484892708337</v>
      </c>
      <c r="C949" s="27" t="s">
        <v>6463</v>
      </c>
      <c r="D949" s="28" t="s">
        <v>3677</v>
      </c>
      <c r="E949" s="29" t="s">
        <v>28</v>
      </c>
      <c r="F949" s="29" t="s">
        <v>171</v>
      </c>
      <c r="H949" s="26" t="s">
        <v>6602</v>
      </c>
      <c r="I949" s="27" t="s">
        <v>153</v>
      </c>
      <c r="J949" s="27" t="s">
        <v>99</v>
      </c>
      <c r="K949" s="26">
        <v>45436.688153703704</v>
      </c>
    </row>
    <row r="950" spans="1:12">
      <c r="A950" s="25">
        <v>900006775</v>
      </c>
      <c r="B950" s="26">
        <v>45428.957898842593</v>
      </c>
      <c r="C950" s="27" t="s">
        <v>6063</v>
      </c>
      <c r="D950" s="28" t="s">
        <v>6064</v>
      </c>
      <c r="E950" s="29" t="s">
        <v>6354</v>
      </c>
      <c r="F950" s="29" t="s">
        <v>171</v>
      </c>
      <c r="H950" s="26">
        <v>45444</v>
      </c>
      <c r="I950" s="27" t="s">
        <v>99</v>
      </c>
      <c r="J950" s="27" t="s">
        <v>99</v>
      </c>
      <c r="K950" s="26">
        <v>45442.671237499999</v>
      </c>
      <c r="L950" s="24" t="s">
        <v>6603</v>
      </c>
    </row>
    <row r="951" spans="1:12">
      <c r="A951" s="25">
        <v>909314515</v>
      </c>
      <c r="B951" s="26">
        <v>45432.632936921298</v>
      </c>
      <c r="C951" s="27" t="s">
        <v>5891</v>
      </c>
      <c r="D951" s="28" t="s">
        <v>5892</v>
      </c>
      <c r="E951" s="29" t="s">
        <v>133</v>
      </c>
      <c r="F951" s="29" t="s">
        <v>171</v>
      </c>
      <c r="G951" s="29" t="s">
        <v>6604</v>
      </c>
      <c r="H951" s="26">
        <v>45439</v>
      </c>
      <c r="I951" s="27" t="s">
        <v>176</v>
      </c>
      <c r="J951" s="27" t="s">
        <v>72</v>
      </c>
      <c r="K951" s="26">
        <v>45440.544397337966</v>
      </c>
    </row>
    <row r="952" spans="1:12">
      <c r="A952" s="25">
        <v>900604385</v>
      </c>
      <c r="B952" s="26">
        <v>45433.566527083334</v>
      </c>
      <c r="C952" s="27" t="s">
        <v>5958</v>
      </c>
      <c r="D952" s="28" t="s">
        <v>5959</v>
      </c>
      <c r="E952" s="29" t="s">
        <v>280</v>
      </c>
      <c r="F952" s="29" t="s">
        <v>171</v>
      </c>
      <c r="G952" s="29" t="s">
        <v>6605</v>
      </c>
      <c r="H952" s="26">
        <v>45463</v>
      </c>
      <c r="I952" s="27" t="s">
        <v>155</v>
      </c>
      <c r="J952" s="27" t="s">
        <v>73</v>
      </c>
      <c r="K952" s="26">
        <v>45440.571261458332</v>
      </c>
    </row>
    <row r="953" spans="1:12">
      <c r="A953" s="25">
        <v>902221312</v>
      </c>
      <c r="B953" s="26">
        <v>45433.648937268517</v>
      </c>
      <c r="C953" s="27" t="s">
        <v>1619</v>
      </c>
      <c r="D953" s="28" t="s">
        <v>1620</v>
      </c>
      <c r="E953" s="29" t="s">
        <v>261</v>
      </c>
      <c r="F953" s="29" t="s">
        <v>171</v>
      </c>
      <c r="H953" s="26">
        <v>45440</v>
      </c>
      <c r="I953" s="27" t="s">
        <v>73</v>
      </c>
      <c r="J953" s="27" t="s">
        <v>99</v>
      </c>
      <c r="K953" s="26">
        <v>45440.635509259257</v>
      </c>
      <c r="L953" s="24">
        <v>155789</v>
      </c>
    </row>
    <row r="954" spans="1:12">
      <c r="A954" s="25">
        <v>902221312</v>
      </c>
      <c r="B954" s="26">
        <v>45433.648937268517</v>
      </c>
      <c r="C954" s="27" t="s">
        <v>1619</v>
      </c>
      <c r="D954" s="28" t="s">
        <v>1620</v>
      </c>
      <c r="E954" s="29" t="s">
        <v>227</v>
      </c>
      <c r="F954" s="29" t="s">
        <v>171</v>
      </c>
      <c r="H954" s="26">
        <v>45441</v>
      </c>
      <c r="I954" s="27" t="s">
        <v>72</v>
      </c>
      <c r="J954" s="27" t="s">
        <v>99</v>
      </c>
      <c r="K954" s="26">
        <v>45440.635529050924</v>
      </c>
      <c r="L954" s="24" t="s">
        <v>6606</v>
      </c>
    </row>
    <row r="955" spans="1:12">
      <c r="A955" s="25">
        <v>909169006</v>
      </c>
      <c r="B955" s="26">
        <v>45434.512013078704</v>
      </c>
      <c r="C955" s="27" t="s">
        <v>2652</v>
      </c>
      <c r="D955" s="28" t="s">
        <v>2653</v>
      </c>
      <c r="E955" s="29" t="s">
        <v>269</v>
      </c>
      <c r="F955" s="29" t="s">
        <v>171</v>
      </c>
      <c r="G955" s="29" t="s">
        <v>6607</v>
      </c>
      <c r="H955" s="26">
        <v>45435</v>
      </c>
      <c r="I955" s="27" t="s">
        <v>155</v>
      </c>
      <c r="J955" s="27" t="s">
        <v>99</v>
      </c>
      <c r="K955" s="26">
        <v>45435.518723263885</v>
      </c>
    </row>
    <row r="956" spans="1:12">
      <c r="A956" s="25">
        <v>909169006</v>
      </c>
      <c r="B956" s="26">
        <v>45434.513330208334</v>
      </c>
      <c r="C956" s="27" t="s">
        <v>2652</v>
      </c>
      <c r="D956" s="28" t="s">
        <v>2653</v>
      </c>
      <c r="E956" s="29" t="s">
        <v>227</v>
      </c>
      <c r="F956" s="29" t="s">
        <v>171</v>
      </c>
      <c r="G956" s="29" t="s">
        <v>6539</v>
      </c>
      <c r="H956" s="26">
        <v>45435</v>
      </c>
      <c r="I956" s="27" t="s">
        <v>155</v>
      </c>
      <c r="J956" s="27" t="s">
        <v>99</v>
      </c>
      <c r="K956" s="26">
        <v>45435.51873703704</v>
      </c>
    </row>
    <row r="957" spans="1:12">
      <c r="A957" s="25">
        <v>909169006</v>
      </c>
      <c r="B957" s="26">
        <v>45434.51479479167</v>
      </c>
      <c r="C957" s="27" t="s">
        <v>2652</v>
      </c>
      <c r="D957" s="28" t="s">
        <v>2653</v>
      </c>
      <c r="E957" s="29" t="s">
        <v>42</v>
      </c>
      <c r="F957" s="29" t="s">
        <v>171</v>
      </c>
      <c r="H957" s="26">
        <v>45435</v>
      </c>
      <c r="I957" s="27" t="s">
        <v>155</v>
      </c>
      <c r="J957" s="27" t="s">
        <v>99</v>
      </c>
      <c r="K957" s="26">
        <v>45435.51881736111</v>
      </c>
    </row>
    <row r="958" spans="1:12">
      <c r="A958" s="25">
        <v>909314515</v>
      </c>
      <c r="B958" s="26">
        <v>45434.554625115743</v>
      </c>
      <c r="C958" s="27" t="s">
        <v>5891</v>
      </c>
      <c r="D958" s="28" t="s">
        <v>5892</v>
      </c>
      <c r="E958" s="29" t="s">
        <v>239</v>
      </c>
      <c r="F958" s="29" t="s">
        <v>171</v>
      </c>
      <c r="G958" s="29" t="s">
        <v>258</v>
      </c>
      <c r="H958" s="26">
        <v>45440</v>
      </c>
      <c r="I958" s="27" t="s">
        <v>66</v>
      </c>
      <c r="J958" s="27" t="s">
        <v>72</v>
      </c>
      <c r="K958" s="26">
        <v>45440.544291550927</v>
      </c>
    </row>
    <row r="959" spans="1:12">
      <c r="A959" s="25">
        <v>900000249</v>
      </c>
      <c r="B959" s="26">
        <v>45434.563289699072</v>
      </c>
      <c r="C959" s="27" t="s">
        <v>363</v>
      </c>
      <c r="D959" s="28" t="s">
        <v>364</v>
      </c>
      <c r="E959" s="29" t="s">
        <v>151</v>
      </c>
      <c r="F959" s="29" t="s">
        <v>171</v>
      </c>
      <c r="H959" s="26" t="s">
        <v>6498</v>
      </c>
      <c r="I959" s="27" t="s">
        <v>72</v>
      </c>
      <c r="J959" s="27" t="s">
        <v>72</v>
      </c>
      <c r="K959" s="26">
        <v>45434.563536921298</v>
      </c>
    </row>
    <row r="960" spans="1:12">
      <c r="A960" s="25">
        <v>903815112</v>
      </c>
      <c r="B960" s="26">
        <v>45435.373963425925</v>
      </c>
      <c r="C960" s="27" t="s">
        <v>1799</v>
      </c>
      <c r="D960" s="28" t="s">
        <v>1800</v>
      </c>
      <c r="E960" s="29" t="s">
        <v>6328</v>
      </c>
      <c r="F960" s="29" t="s">
        <v>171</v>
      </c>
      <c r="H960" s="26">
        <v>45439</v>
      </c>
      <c r="I960" s="27" t="s">
        <v>153</v>
      </c>
      <c r="J960" s="27" t="s">
        <v>153</v>
      </c>
      <c r="K960" s="26">
        <v>45441.363178703701</v>
      </c>
    </row>
    <row r="961" spans="1:12">
      <c r="A961" s="25">
        <v>918853070</v>
      </c>
      <c r="B961" s="26">
        <v>45440.526128819445</v>
      </c>
      <c r="C961" s="27" t="s">
        <v>5885</v>
      </c>
      <c r="D961" s="28" t="s">
        <v>5886</v>
      </c>
      <c r="E961" s="29" t="s">
        <v>6475</v>
      </c>
      <c r="F961" s="29" t="s">
        <v>171</v>
      </c>
      <c r="H961" s="26" t="s">
        <v>136</v>
      </c>
      <c r="I961" s="27" t="s">
        <v>72</v>
      </c>
      <c r="J961" s="27" t="s">
        <v>73</v>
      </c>
      <c r="K961" s="26">
        <v>45440.632850347225</v>
      </c>
    </row>
    <row r="962" spans="1:12">
      <c r="A962" s="25">
        <v>900045125</v>
      </c>
      <c r="B962" s="26">
        <v>45442.442962847221</v>
      </c>
      <c r="C962" s="27" t="s">
        <v>6065</v>
      </c>
      <c r="D962" s="28" t="s">
        <v>6066</v>
      </c>
      <c r="E962" s="29" t="s">
        <v>28</v>
      </c>
      <c r="F962" s="29" t="s">
        <v>171</v>
      </c>
      <c r="H962" s="26">
        <v>45442</v>
      </c>
      <c r="I962" s="27" t="s">
        <v>61</v>
      </c>
      <c r="J962" s="27" t="s">
        <v>61</v>
      </c>
      <c r="K962" s="26">
        <v>45442.443383449077</v>
      </c>
    </row>
    <row r="963" spans="1:12">
      <c r="A963" s="25">
        <v>904874768</v>
      </c>
      <c r="B963" s="26">
        <v>45443.532601851854</v>
      </c>
      <c r="C963" s="27" t="s">
        <v>1959</v>
      </c>
      <c r="D963" s="28" t="s">
        <v>1960</v>
      </c>
      <c r="E963" s="29" t="s">
        <v>23</v>
      </c>
      <c r="F963" s="29" t="s">
        <v>171</v>
      </c>
      <c r="H963" s="26">
        <v>45443</v>
      </c>
      <c r="I963" s="27" t="s">
        <v>66</v>
      </c>
      <c r="J963" s="27" t="s">
        <v>66</v>
      </c>
      <c r="K963" s="26">
        <v>45443.532937847223</v>
      </c>
    </row>
    <row r="964" spans="1:12">
      <c r="A964" s="25">
        <v>900023142</v>
      </c>
      <c r="B964" s="26">
        <v>45446.608834722225</v>
      </c>
      <c r="C964" s="27">
        <v>45446.608834722225</v>
      </c>
      <c r="D964" s="28" t="s">
        <v>899</v>
      </c>
      <c r="E964" s="29" t="s">
        <v>133</v>
      </c>
      <c r="F964" s="29" t="s">
        <v>171</v>
      </c>
      <c r="H964" s="26">
        <v>45474</v>
      </c>
      <c r="I964" s="27" t="s">
        <v>99</v>
      </c>
      <c r="J964" s="27" t="s">
        <v>72</v>
      </c>
      <c r="K964" s="26">
        <v>45453.461594097222</v>
      </c>
    </row>
    <row r="965" spans="1:12">
      <c r="A965" s="25">
        <v>918851458</v>
      </c>
      <c r="B965" s="26">
        <v>45447.337791666665</v>
      </c>
      <c r="C965" s="27" t="s">
        <v>6231</v>
      </c>
      <c r="D965" s="28" t="s">
        <v>6232</v>
      </c>
      <c r="E965" s="29" t="s">
        <v>35</v>
      </c>
      <c r="F965" s="29" t="s">
        <v>171</v>
      </c>
      <c r="H965" s="26">
        <v>45447</v>
      </c>
      <c r="I965" s="27" t="s">
        <v>77</v>
      </c>
      <c r="J965" s="27" t="s">
        <v>155</v>
      </c>
      <c r="K965" s="26">
        <v>45447.360456018519</v>
      </c>
    </row>
    <row r="966" spans="1:12">
      <c r="A966" s="25">
        <v>900004630</v>
      </c>
      <c r="B966" s="26">
        <v>45447.627041550928</v>
      </c>
      <c r="C966" s="27" t="s">
        <v>471</v>
      </c>
      <c r="D966" s="28" t="s">
        <v>472</v>
      </c>
      <c r="E966" s="29" t="s">
        <v>28</v>
      </c>
      <c r="F966" s="29" t="s">
        <v>171</v>
      </c>
      <c r="H966" s="26">
        <v>45447</v>
      </c>
      <c r="I966" s="27" t="s">
        <v>99</v>
      </c>
      <c r="J966" s="27" t="s">
        <v>99</v>
      </c>
      <c r="K966" s="26">
        <v>45447.627041550928</v>
      </c>
    </row>
    <row r="967" spans="1:12">
      <c r="A967" s="25">
        <v>909583121</v>
      </c>
      <c r="B967" s="26">
        <v>45461.55111122685</v>
      </c>
      <c r="C967" s="27" t="s">
        <v>6059</v>
      </c>
      <c r="D967" s="28" t="s">
        <v>6060</v>
      </c>
      <c r="E967" s="29" t="s">
        <v>174</v>
      </c>
      <c r="F967" s="29" t="s">
        <v>171</v>
      </c>
      <c r="H967" s="26">
        <v>45461</v>
      </c>
      <c r="I967" s="27" t="s">
        <v>176</v>
      </c>
      <c r="J967" s="27" t="s">
        <v>176</v>
      </c>
      <c r="K967" s="26">
        <v>45461.551525925926</v>
      </c>
    </row>
    <row r="968" spans="1:12">
      <c r="A968" s="25">
        <v>906551690</v>
      </c>
      <c r="B968" s="26">
        <v>45464.83890023148</v>
      </c>
      <c r="C968" s="27" t="s">
        <v>2163</v>
      </c>
      <c r="D968" s="28" t="s">
        <v>2164</v>
      </c>
      <c r="E968" s="29" t="s">
        <v>133</v>
      </c>
      <c r="F968" s="29" t="s">
        <v>171</v>
      </c>
      <c r="G968" s="29" t="s">
        <v>6608</v>
      </c>
      <c r="H968" s="26">
        <v>45474</v>
      </c>
      <c r="I968" s="27" t="s">
        <v>99</v>
      </c>
      <c r="J968" s="27" t="s">
        <v>66</v>
      </c>
      <c r="K968" s="26">
        <v>45476.577534027776</v>
      </c>
    </row>
    <row r="969" spans="1:12">
      <c r="A969" s="25">
        <v>918846479</v>
      </c>
      <c r="B969" s="26">
        <v>45468.542623032408</v>
      </c>
      <c r="C969" s="27" t="s">
        <v>6069</v>
      </c>
      <c r="D969" s="28" t="s">
        <v>6070</v>
      </c>
      <c r="E969" s="29" t="s">
        <v>20</v>
      </c>
      <c r="F969" s="29" t="s">
        <v>171</v>
      </c>
      <c r="H969" s="26" t="s">
        <v>6257</v>
      </c>
      <c r="I969" s="27" t="s">
        <v>176</v>
      </c>
      <c r="J969" s="27" t="s">
        <v>176</v>
      </c>
      <c r="K969" s="26">
        <v>45468.689178703702</v>
      </c>
      <c r="L969" s="24" t="s">
        <v>6257</v>
      </c>
    </row>
    <row r="970" spans="1:12">
      <c r="A970" s="25">
        <v>900073868</v>
      </c>
      <c r="B970" s="26">
        <v>45481.699103819446</v>
      </c>
      <c r="C970" s="27" t="s">
        <v>6071</v>
      </c>
      <c r="D970" s="28" t="s">
        <v>6072</v>
      </c>
      <c r="E970" s="29" t="s">
        <v>6475</v>
      </c>
      <c r="F970" s="29" t="s">
        <v>171</v>
      </c>
      <c r="G970" s="29" t="s">
        <v>6554</v>
      </c>
      <c r="H970" s="26" t="s">
        <v>6609</v>
      </c>
      <c r="I970" s="27" t="s">
        <v>99</v>
      </c>
      <c r="J970" s="27" t="s">
        <v>131</v>
      </c>
      <c r="K970" s="26">
        <v>45482.564591898146</v>
      </c>
    </row>
    <row r="971" spans="1:12">
      <c r="A971" s="25">
        <v>900022947</v>
      </c>
      <c r="B971" s="26">
        <v>45482.616896527776</v>
      </c>
      <c r="C971" s="27" t="s">
        <v>892</v>
      </c>
      <c r="D971" s="28" t="s">
        <v>893</v>
      </c>
      <c r="E971" s="29" t="s">
        <v>280</v>
      </c>
      <c r="F971" s="29" t="s">
        <v>171</v>
      </c>
      <c r="H971" s="26">
        <v>45482</v>
      </c>
      <c r="I971" s="27" t="s">
        <v>72</v>
      </c>
      <c r="J971" s="27" t="s">
        <v>66</v>
      </c>
      <c r="K971" s="26">
        <v>45482.617136921297</v>
      </c>
    </row>
    <row r="972" spans="1:12">
      <c r="A972" s="25">
        <v>917241291</v>
      </c>
      <c r="B972" s="26">
        <v>45483.608796875</v>
      </c>
      <c r="C972" s="27" t="s">
        <v>4326</v>
      </c>
      <c r="D972" s="28" t="s">
        <v>4327</v>
      </c>
      <c r="E972" s="29" t="s">
        <v>33</v>
      </c>
      <c r="F972" s="29" t="s">
        <v>171</v>
      </c>
      <c r="H972" s="26" t="s">
        <v>21</v>
      </c>
      <c r="I972" s="27" t="s">
        <v>66</v>
      </c>
      <c r="J972" s="27" t="s">
        <v>66</v>
      </c>
      <c r="K972" s="26">
        <v>45483.640387847219</v>
      </c>
    </row>
    <row r="973" spans="1:12">
      <c r="A973" s="25">
        <v>917241291</v>
      </c>
      <c r="B973" s="26">
        <v>45483.609095486114</v>
      </c>
      <c r="C973" s="27" t="s">
        <v>4326</v>
      </c>
      <c r="D973" s="28" t="s">
        <v>4327</v>
      </c>
      <c r="E973" s="29" t="s">
        <v>19</v>
      </c>
      <c r="F973" s="29" t="s">
        <v>171</v>
      </c>
      <c r="H973" s="26" t="s">
        <v>21</v>
      </c>
      <c r="I973" s="27" t="s">
        <v>66</v>
      </c>
      <c r="J973" s="27" t="s">
        <v>66</v>
      </c>
      <c r="K973" s="26">
        <v>45483.640400462966</v>
      </c>
    </row>
    <row r="974" spans="1:12">
      <c r="A974" s="25">
        <v>913857898</v>
      </c>
      <c r="B974" s="26">
        <v>45488.844320138887</v>
      </c>
      <c r="C974" s="27" t="s">
        <v>3768</v>
      </c>
      <c r="D974" s="28" t="s">
        <v>3769</v>
      </c>
      <c r="E974" s="29" t="s">
        <v>28</v>
      </c>
      <c r="F974" s="29" t="s">
        <v>171</v>
      </c>
      <c r="H974" s="26">
        <v>45488</v>
      </c>
      <c r="I974" s="27" t="s">
        <v>66</v>
      </c>
      <c r="J974" s="27" t="s">
        <v>66</v>
      </c>
      <c r="K974" s="26">
        <v>45488.844835416669</v>
      </c>
      <c r="L974" s="24" t="s">
        <v>6610</v>
      </c>
    </row>
    <row r="975" spans="1:12">
      <c r="A975" s="25">
        <v>913857898</v>
      </c>
      <c r="B975" s="26">
        <v>45488.845028009258</v>
      </c>
      <c r="C975" s="27" t="s">
        <v>3768</v>
      </c>
      <c r="D975" s="28" t="s">
        <v>3769</v>
      </c>
      <c r="E975" s="29" t="s">
        <v>6611</v>
      </c>
      <c r="F975" s="29" t="s">
        <v>171</v>
      </c>
      <c r="H975" s="26">
        <v>45488</v>
      </c>
      <c r="I975" s="27" t="s">
        <v>66</v>
      </c>
      <c r="J975" s="27" t="s">
        <v>66</v>
      </c>
      <c r="K975" s="26">
        <v>45488.84560601852</v>
      </c>
      <c r="L975" s="24" t="s">
        <v>6610</v>
      </c>
    </row>
    <row r="976" spans="1:12">
      <c r="A976" s="25">
        <v>913857898</v>
      </c>
      <c r="B976" s="26">
        <v>45488.845075231482</v>
      </c>
      <c r="C976" s="27" t="s">
        <v>3768</v>
      </c>
      <c r="D976" s="28" t="s">
        <v>3769</v>
      </c>
      <c r="E976" s="29" t="s">
        <v>67</v>
      </c>
      <c r="F976" s="29" t="s">
        <v>171</v>
      </c>
      <c r="H976" s="26">
        <v>45488</v>
      </c>
      <c r="I976" s="27" t="s">
        <v>66</v>
      </c>
      <c r="J976" s="27" t="s">
        <v>66</v>
      </c>
      <c r="K976" s="26">
        <v>45488.845623611109</v>
      </c>
      <c r="L976" s="24" t="s">
        <v>6610</v>
      </c>
    </row>
    <row r="977" spans="1:12">
      <c r="A977" s="25">
        <v>921812811</v>
      </c>
      <c r="B977" s="26">
        <v>45489.514365740739</v>
      </c>
      <c r="C977" s="27" t="s">
        <v>6401</v>
      </c>
      <c r="D977" s="28" t="s">
        <v>6401</v>
      </c>
      <c r="E977" s="29" t="s">
        <v>83</v>
      </c>
      <c r="F977" s="29" t="s">
        <v>171</v>
      </c>
      <c r="H977" s="26" t="s">
        <v>6493</v>
      </c>
      <c r="I977" s="27" t="s">
        <v>66</v>
      </c>
      <c r="J977" s="27" t="s">
        <v>99</v>
      </c>
      <c r="K977" s="26">
        <v>45489</v>
      </c>
      <c r="L977" s="24" t="s">
        <v>6612</v>
      </c>
    </row>
    <row r="978" spans="1:12">
      <c r="A978" s="25">
        <v>918841305</v>
      </c>
      <c r="B978" s="26">
        <v>45495.542715393516</v>
      </c>
      <c r="C978" s="27" t="s">
        <v>5940</v>
      </c>
      <c r="D978" s="28" t="s">
        <v>5941</v>
      </c>
      <c r="E978" s="29" t="s">
        <v>25</v>
      </c>
      <c r="F978" s="29" t="s">
        <v>171</v>
      </c>
      <c r="H978" s="26">
        <v>45537</v>
      </c>
      <c r="I978" s="27" t="s">
        <v>176</v>
      </c>
      <c r="J978" s="27" t="s">
        <v>6613</v>
      </c>
      <c r="K978" s="26">
        <v>45495.702660995368</v>
      </c>
    </row>
    <row r="979" spans="1:12">
      <c r="A979" s="25">
        <v>911357738</v>
      </c>
      <c r="B979" s="26">
        <v>45497.444010300926</v>
      </c>
      <c r="C979" s="27" t="s">
        <v>3160</v>
      </c>
      <c r="D979" s="28" t="s">
        <v>3161</v>
      </c>
      <c r="E979" s="29" t="s">
        <v>6420</v>
      </c>
      <c r="F979" s="29" t="s">
        <v>171</v>
      </c>
      <c r="H979" s="26">
        <v>45502</v>
      </c>
      <c r="I979" s="27" t="s">
        <v>99</v>
      </c>
      <c r="J979" s="27" t="s">
        <v>72</v>
      </c>
      <c r="K979" s="26">
        <v>45499.626026388891</v>
      </c>
    </row>
    <row r="980" spans="1:12">
      <c r="B980" s="26">
        <v>45498</v>
      </c>
      <c r="C980" s="27" t="s">
        <v>4852</v>
      </c>
      <c r="D980" s="28" t="s">
        <v>4853</v>
      </c>
      <c r="E980" s="29" t="s">
        <v>269</v>
      </c>
      <c r="F980" s="29" t="s">
        <v>171</v>
      </c>
      <c r="G980" s="29" t="s">
        <v>6614</v>
      </c>
      <c r="H980" s="26">
        <v>45502</v>
      </c>
      <c r="I980" s="27" t="s">
        <v>39</v>
      </c>
      <c r="J980" s="27" t="s">
        <v>176</v>
      </c>
      <c r="K980" s="26">
        <v>45502.505796990743</v>
      </c>
      <c r="L980" s="24" t="s">
        <v>6615</v>
      </c>
    </row>
    <row r="981" spans="1:12">
      <c r="A981" s="25">
        <v>917214823</v>
      </c>
      <c r="B981" s="26">
        <v>44839</v>
      </c>
      <c r="C981" s="27" t="s">
        <v>4296</v>
      </c>
      <c r="D981" s="28" t="s">
        <v>4297</v>
      </c>
      <c r="E981" s="29" t="s">
        <v>19</v>
      </c>
      <c r="F981" s="29" t="s">
        <v>171</v>
      </c>
      <c r="H981" s="26">
        <v>45282</v>
      </c>
      <c r="J981" s="27" t="s">
        <v>61</v>
      </c>
      <c r="K981" s="26">
        <v>45530.460592013886</v>
      </c>
    </row>
    <row r="982" spans="1:12">
      <c r="A982" s="25">
        <v>900048544</v>
      </c>
      <c r="B982" s="26">
        <v>45141</v>
      </c>
      <c r="C982" s="27" t="s">
        <v>1282</v>
      </c>
      <c r="D982" s="28" t="s">
        <v>1283</v>
      </c>
      <c r="E982" s="29" t="s">
        <v>28</v>
      </c>
      <c r="F982" s="29" t="s">
        <v>6339</v>
      </c>
      <c r="H982" s="26">
        <v>45282</v>
      </c>
      <c r="I982" s="27" t="s">
        <v>55</v>
      </c>
      <c r="J982" s="27" t="s">
        <v>66</v>
      </c>
      <c r="K982" s="26">
        <v>45513.694308217593</v>
      </c>
    </row>
    <row r="983" spans="1:12">
      <c r="A983" s="25">
        <v>905185260</v>
      </c>
      <c r="B983" s="26">
        <v>45156</v>
      </c>
      <c r="C983" s="27" t="s">
        <v>1997</v>
      </c>
      <c r="D983" s="28" t="s">
        <v>1998</v>
      </c>
      <c r="E983" s="29" t="s">
        <v>28</v>
      </c>
      <c r="F983" s="29" t="s">
        <v>6339</v>
      </c>
      <c r="J983" s="27" t="s">
        <v>176</v>
      </c>
      <c r="K983" s="26">
        <v>45547.632793634257</v>
      </c>
      <c r="L983" s="24" t="s">
        <v>6494</v>
      </c>
    </row>
    <row r="984" spans="1:12">
      <c r="A984" s="25">
        <v>900043409</v>
      </c>
      <c r="B984" s="26">
        <v>45169</v>
      </c>
      <c r="C984" s="27" t="s">
        <v>1226</v>
      </c>
      <c r="D984" s="28" t="s">
        <v>1227</v>
      </c>
      <c r="E984" s="29" t="s">
        <v>140</v>
      </c>
      <c r="F984" s="29" t="s">
        <v>6339</v>
      </c>
      <c r="H984" s="26" t="s">
        <v>125</v>
      </c>
      <c r="I984" s="27" t="s">
        <v>14</v>
      </c>
      <c r="J984" s="27" t="s">
        <v>155</v>
      </c>
      <c r="K984" s="26">
        <v>45533.891615624998</v>
      </c>
    </row>
    <row r="985" spans="1:12">
      <c r="A985" s="25">
        <v>917268136</v>
      </c>
      <c r="B985" s="26">
        <v>45321.518120023145</v>
      </c>
      <c r="C985" s="27" t="s">
        <v>4416</v>
      </c>
      <c r="D985" s="28" t="s">
        <v>4417</v>
      </c>
      <c r="E985" s="29" t="s">
        <v>6616</v>
      </c>
      <c r="F985" s="29" t="s">
        <v>171</v>
      </c>
      <c r="G985" s="29" t="s">
        <v>6617</v>
      </c>
      <c r="H985" s="26" t="s">
        <v>6618</v>
      </c>
      <c r="I985" s="27" t="s">
        <v>153</v>
      </c>
      <c r="J985" s="27" t="s">
        <v>99</v>
      </c>
      <c r="K985" s="26">
        <v>45524.477346874999</v>
      </c>
    </row>
    <row r="986" spans="1:12">
      <c r="A986" s="25">
        <v>900048544</v>
      </c>
      <c r="B986" s="26">
        <v>45469.569075694446</v>
      </c>
      <c r="C986" s="27" t="s">
        <v>1282</v>
      </c>
      <c r="D986" s="28" t="s">
        <v>1283</v>
      </c>
      <c r="E986" s="29" t="s">
        <v>28</v>
      </c>
      <c r="F986" s="29" t="s">
        <v>6339</v>
      </c>
      <c r="H986" s="26">
        <v>45530</v>
      </c>
      <c r="I986" s="27" t="s">
        <v>176</v>
      </c>
      <c r="J986" s="27" t="s">
        <v>66</v>
      </c>
      <c r="K986" s="26">
        <v>45517.695319907405</v>
      </c>
      <c r="L986" s="24" t="s">
        <v>6619</v>
      </c>
    </row>
    <row r="987" spans="1:12">
      <c r="A987" s="25">
        <v>918832101</v>
      </c>
      <c r="B987" s="26">
        <v>45504.42977696759</v>
      </c>
      <c r="C987" s="27" t="s">
        <v>4920</v>
      </c>
      <c r="D987" s="28" t="s">
        <v>4921</v>
      </c>
      <c r="E987" s="29" t="s">
        <v>239</v>
      </c>
      <c r="F987" s="29" t="s">
        <v>171</v>
      </c>
      <c r="G987" s="29" t="s">
        <v>6528</v>
      </c>
      <c r="H987" s="26" t="s">
        <v>180</v>
      </c>
      <c r="I987" s="27" t="s">
        <v>176</v>
      </c>
      <c r="J987" s="27" t="s">
        <v>176</v>
      </c>
      <c r="K987" s="26">
        <v>45504.627265972224</v>
      </c>
    </row>
    <row r="988" spans="1:12">
      <c r="A988" s="25">
        <v>911357738</v>
      </c>
      <c r="B988" s="26">
        <v>45504.652352199075</v>
      </c>
      <c r="C988" s="27" t="s">
        <v>3160</v>
      </c>
      <c r="D988" s="28" t="s">
        <v>3161</v>
      </c>
      <c r="E988" s="29" t="s">
        <v>6420</v>
      </c>
      <c r="F988" s="29" t="s">
        <v>171</v>
      </c>
      <c r="H988" s="26">
        <v>45504</v>
      </c>
      <c r="I988" s="27" t="s">
        <v>99</v>
      </c>
      <c r="J988" s="27" t="s">
        <v>99</v>
      </c>
      <c r="K988" s="26">
        <v>45504.652902083333</v>
      </c>
    </row>
    <row r="989" spans="1:12">
      <c r="A989" s="25">
        <v>911357738</v>
      </c>
      <c r="B989" s="26">
        <v>45504.652489004628</v>
      </c>
      <c r="C989" s="27" t="s">
        <v>3160</v>
      </c>
      <c r="D989" s="28" t="s">
        <v>3161</v>
      </c>
      <c r="E989" s="29" t="s">
        <v>128</v>
      </c>
      <c r="F989" s="29" t="s">
        <v>171</v>
      </c>
      <c r="H989" s="26">
        <v>45504</v>
      </c>
      <c r="I989" s="27" t="s">
        <v>99</v>
      </c>
      <c r="J989" s="27" t="s">
        <v>99</v>
      </c>
      <c r="K989" s="26">
        <v>45504.652916550927</v>
      </c>
    </row>
    <row r="990" spans="1:12">
      <c r="A990" s="25">
        <v>911357738</v>
      </c>
      <c r="B990" s="26">
        <v>45504.65249479167</v>
      </c>
      <c r="C990" s="27" t="s">
        <v>3160</v>
      </c>
      <c r="D990" s="28" t="s">
        <v>3161</v>
      </c>
      <c r="E990" s="29" t="s">
        <v>263</v>
      </c>
      <c r="F990" s="29" t="s">
        <v>171</v>
      </c>
      <c r="H990" s="26">
        <v>45504</v>
      </c>
      <c r="I990" s="27" t="s">
        <v>99</v>
      </c>
      <c r="J990" s="27" t="s">
        <v>99</v>
      </c>
      <c r="K990" s="26">
        <v>45504.652919907407</v>
      </c>
    </row>
    <row r="991" spans="1:12">
      <c r="A991" s="25">
        <v>918829163</v>
      </c>
      <c r="B991" s="26">
        <v>45505.875669791669</v>
      </c>
      <c r="C991" s="27" t="s">
        <v>4852</v>
      </c>
      <c r="D991" s="28" t="s">
        <v>4853</v>
      </c>
      <c r="E991" s="29" t="s">
        <v>227</v>
      </c>
      <c r="F991" s="29" t="s">
        <v>171</v>
      </c>
      <c r="H991" s="26">
        <v>45509</v>
      </c>
      <c r="I991" s="27" t="s">
        <v>155</v>
      </c>
      <c r="J991" s="27" t="s">
        <v>99</v>
      </c>
      <c r="K991" s="26">
        <v>45509.449577083331</v>
      </c>
    </row>
    <row r="992" spans="1:12">
      <c r="A992" s="25">
        <v>908338332</v>
      </c>
      <c r="B992" s="26">
        <v>45506.489223032404</v>
      </c>
      <c r="C992" s="27" t="s">
        <v>2421</v>
      </c>
      <c r="D992" s="28" t="s">
        <v>2422</v>
      </c>
      <c r="E992" s="29" t="s">
        <v>239</v>
      </c>
      <c r="F992" s="29" t="s">
        <v>171</v>
      </c>
      <c r="G992" s="29" t="s">
        <v>6620</v>
      </c>
      <c r="H992" s="26" t="s">
        <v>6271</v>
      </c>
      <c r="I992" s="27" t="s">
        <v>178</v>
      </c>
      <c r="J992" s="27" t="s">
        <v>99</v>
      </c>
      <c r="K992" s="26">
        <v>45506.701105555556</v>
      </c>
    </row>
    <row r="993" spans="1:12">
      <c r="A993" s="25">
        <v>918832023</v>
      </c>
      <c r="B993" s="26">
        <v>45509.352024305554</v>
      </c>
      <c r="C993" s="27" t="s">
        <v>6081</v>
      </c>
      <c r="D993" s="28" t="s">
        <v>6082</v>
      </c>
      <c r="E993" s="29" t="s">
        <v>57</v>
      </c>
      <c r="F993" s="29" t="s">
        <v>171</v>
      </c>
      <c r="H993" s="26" t="s">
        <v>6271</v>
      </c>
      <c r="I993" s="27" t="s">
        <v>73</v>
      </c>
      <c r="J993" s="27" t="s">
        <v>176</v>
      </c>
      <c r="K993" s="26">
        <v>45510.514285069446</v>
      </c>
    </row>
    <row r="994" spans="1:12">
      <c r="A994" s="25">
        <v>918848936</v>
      </c>
      <c r="B994" s="26">
        <v>45513.375267361109</v>
      </c>
      <c r="C994" s="27" t="s">
        <v>5354</v>
      </c>
      <c r="D994" s="28" t="s">
        <v>5355</v>
      </c>
      <c r="E994" s="29" t="s">
        <v>152</v>
      </c>
      <c r="F994" s="29" t="s">
        <v>171</v>
      </c>
      <c r="H994" s="26" t="s">
        <v>142</v>
      </c>
      <c r="I994" s="27" t="s">
        <v>178</v>
      </c>
      <c r="J994" s="27" t="s">
        <v>178</v>
      </c>
      <c r="K994" s="26">
        <v>45513.376243287035</v>
      </c>
      <c r="L994" s="24" t="s">
        <v>6621</v>
      </c>
    </row>
    <row r="995" spans="1:12">
      <c r="A995" s="25">
        <v>900008322</v>
      </c>
      <c r="B995" s="26">
        <v>45513.455321296293</v>
      </c>
      <c r="C995" s="27" t="s">
        <v>561</v>
      </c>
      <c r="D995" s="28" t="s">
        <v>562</v>
      </c>
      <c r="E995" s="29" t="s">
        <v>6475</v>
      </c>
      <c r="F995" s="29" t="s">
        <v>6339</v>
      </c>
      <c r="G995" s="29" t="s">
        <v>6530</v>
      </c>
      <c r="H995" s="26" t="s">
        <v>134</v>
      </c>
      <c r="I995" s="27" t="s">
        <v>72</v>
      </c>
      <c r="J995" s="27" t="s">
        <v>99</v>
      </c>
      <c r="K995" s="26">
        <v>45513.553419791664</v>
      </c>
    </row>
    <row r="996" spans="1:12">
      <c r="A996" s="25">
        <v>900046555</v>
      </c>
      <c r="B996" s="26">
        <v>45516.692168402777</v>
      </c>
      <c r="C996" s="27" t="s">
        <v>1270</v>
      </c>
      <c r="D996" s="28" t="s">
        <v>1271</v>
      </c>
      <c r="E996" s="29" t="s">
        <v>57</v>
      </c>
      <c r="F996" s="29" t="s">
        <v>171</v>
      </c>
      <c r="H996" s="26" t="s">
        <v>136</v>
      </c>
      <c r="I996" s="27" t="s">
        <v>72</v>
      </c>
      <c r="J996" s="27" t="s">
        <v>72</v>
      </c>
      <c r="K996" s="26">
        <v>45516.918128703706</v>
      </c>
    </row>
    <row r="997" spans="1:12">
      <c r="A997" s="25">
        <v>900008322</v>
      </c>
      <c r="B997" s="26">
        <v>45517.541280555553</v>
      </c>
      <c r="C997" s="27" t="s">
        <v>561</v>
      </c>
      <c r="D997" s="28" t="s">
        <v>562</v>
      </c>
      <c r="E997" s="29" t="s">
        <v>6475</v>
      </c>
      <c r="F997" s="29" t="s">
        <v>6339</v>
      </c>
      <c r="G997" s="29" t="s">
        <v>6530</v>
      </c>
      <c r="H997" s="26">
        <v>45530</v>
      </c>
      <c r="I997" s="27" t="s">
        <v>66</v>
      </c>
      <c r="J997" s="27" t="s">
        <v>39</v>
      </c>
      <c r="K997" s="26">
        <v>45520.81711527778</v>
      </c>
      <c r="L997" s="24" t="s">
        <v>6622</v>
      </c>
    </row>
    <row r="998" spans="1:12">
      <c r="A998" s="25">
        <v>902366275</v>
      </c>
      <c r="B998" s="26">
        <v>45519.633440740741</v>
      </c>
      <c r="C998" s="27" t="s">
        <v>1633</v>
      </c>
      <c r="D998" s="28" t="s">
        <v>1634</v>
      </c>
      <c r="E998" s="29" t="s">
        <v>30</v>
      </c>
      <c r="F998" s="29" t="s">
        <v>171</v>
      </c>
      <c r="H998" s="26" t="s">
        <v>6623</v>
      </c>
      <c r="I998" s="27" t="s">
        <v>72</v>
      </c>
      <c r="J998" s="27" t="s">
        <v>73</v>
      </c>
      <c r="K998" s="26">
        <v>45519.6345</v>
      </c>
    </row>
    <row r="999" spans="1:12">
      <c r="A999" s="25">
        <v>916340768</v>
      </c>
      <c r="B999" s="26">
        <v>45523.421460532409</v>
      </c>
      <c r="C999" s="27" t="s">
        <v>6093</v>
      </c>
      <c r="D999" s="28" t="s">
        <v>6094</v>
      </c>
      <c r="E999" s="29" t="s">
        <v>239</v>
      </c>
      <c r="F999" s="29" t="s">
        <v>171</v>
      </c>
      <c r="I999" s="27" t="s">
        <v>77</v>
      </c>
      <c r="J999" s="27" t="s">
        <v>77</v>
      </c>
      <c r="K999" s="26">
        <v>45531.358556250001</v>
      </c>
    </row>
    <row r="1000" spans="1:12">
      <c r="A1000" s="25">
        <v>917246842</v>
      </c>
      <c r="B1000" s="26">
        <v>45526.492492129626</v>
      </c>
      <c r="C1000" s="27" t="s">
        <v>4368</v>
      </c>
      <c r="D1000" s="28" t="s">
        <v>4369</v>
      </c>
      <c r="E1000" s="29" t="s">
        <v>239</v>
      </c>
      <c r="F1000" s="29" t="s">
        <v>171</v>
      </c>
      <c r="H1000" s="26" t="s">
        <v>134</v>
      </c>
      <c r="I1000" s="27" t="s">
        <v>178</v>
      </c>
      <c r="J1000" s="27" t="s">
        <v>178</v>
      </c>
      <c r="K1000" s="26">
        <v>45526.619887731482</v>
      </c>
      <c r="L1000" s="24" t="s">
        <v>6624</v>
      </c>
    </row>
    <row r="1001" spans="1:12">
      <c r="A1001" s="25">
        <v>918113851</v>
      </c>
      <c r="B1001" s="26">
        <v>45526.619133912034</v>
      </c>
      <c r="C1001" s="27" t="s">
        <v>4614</v>
      </c>
      <c r="D1001" s="28" t="s">
        <v>4615</v>
      </c>
      <c r="E1001" s="29" t="s">
        <v>239</v>
      </c>
      <c r="F1001" s="29" t="s">
        <v>171</v>
      </c>
      <c r="H1001" s="26" t="s">
        <v>134</v>
      </c>
      <c r="I1001" s="27" t="s">
        <v>178</v>
      </c>
      <c r="J1001" s="27" t="s">
        <v>178</v>
      </c>
      <c r="K1001" s="26">
        <v>45526.661091087961</v>
      </c>
      <c r="L1001" s="24" t="s">
        <v>6624</v>
      </c>
    </row>
    <row r="1002" spans="1:12">
      <c r="A1002" s="25">
        <v>923201042</v>
      </c>
      <c r="B1002" s="26">
        <v>45527.368374999998</v>
      </c>
      <c r="C1002" s="27" t="s">
        <v>6625</v>
      </c>
      <c r="D1002" s="28" t="s">
        <v>6626</v>
      </c>
      <c r="E1002" s="29" t="s">
        <v>48</v>
      </c>
      <c r="F1002" s="29" t="s">
        <v>171</v>
      </c>
      <c r="H1002" s="26">
        <v>45530</v>
      </c>
      <c r="I1002" s="27" t="s">
        <v>77</v>
      </c>
      <c r="J1002" s="27" t="s">
        <v>72</v>
      </c>
      <c r="K1002" s="26">
        <v>45527.867091550928</v>
      </c>
    </row>
    <row r="1003" spans="1:12">
      <c r="A1003" s="25">
        <v>912960638</v>
      </c>
      <c r="B1003" s="26">
        <v>45527.492707638892</v>
      </c>
      <c r="C1003" s="27" t="s">
        <v>3432</v>
      </c>
      <c r="D1003" s="28" t="s">
        <v>3433</v>
      </c>
      <c r="E1003" s="29" t="s">
        <v>24</v>
      </c>
      <c r="F1003" s="29" t="s">
        <v>171</v>
      </c>
      <c r="H1003" s="26" t="s">
        <v>134</v>
      </c>
      <c r="I1003" s="27" t="s">
        <v>99</v>
      </c>
      <c r="J1003" s="27" t="s">
        <v>99</v>
      </c>
      <c r="K1003" s="26">
        <v>45527.633545370372</v>
      </c>
    </row>
    <row r="1004" spans="1:12">
      <c r="A1004" s="25">
        <v>909864350</v>
      </c>
      <c r="B1004" s="26">
        <v>45527.553483101852</v>
      </c>
      <c r="C1004" s="27" t="s">
        <v>2856</v>
      </c>
      <c r="D1004" s="28" t="s">
        <v>2857</v>
      </c>
      <c r="E1004" s="29" t="s">
        <v>6328</v>
      </c>
      <c r="F1004" s="29" t="s">
        <v>171</v>
      </c>
      <c r="H1004" s="26" t="s">
        <v>6280</v>
      </c>
      <c r="I1004" s="27" t="s">
        <v>99</v>
      </c>
      <c r="J1004" s="27" t="s">
        <v>196</v>
      </c>
      <c r="K1004" s="26">
        <v>45530.679556712967</v>
      </c>
    </row>
    <row r="1005" spans="1:12">
      <c r="A1005" s="25">
        <v>909864350</v>
      </c>
      <c r="B1005" s="26">
        <v>45527.553520833331</v>
      </c>
      <c r="C1005" s="27" t="s">
        <v>2856</v>
      </c>
      <c r="D1005" s="28" t="s">
        <v>2857</v>
      </c>
      <c r="E1005" s="29" t="s">
        <v>6470</v>
      </c>
      <c r="F1005" s="29" t="s">
        <v>171</v>
      </c>
      <c r="H1005" s="26" t="s">
        <v>6280</v>
      </c>
      <c r="I1005" s="27" t="s">
        <v>99</v>
      </c>
      <c r="J1005" s="27" t="s">
        <v>196</v>
      </c>
      <c r="K1005" s="26">
        <v>45530.679405439812</v>
      </c>
    </row>
    <row r="1006" spans="1:12">
      <c r="A1006" s="25">
        <v>913752884</v>
      </c>
      <c r="B1006" s="26">
        <v>45527.609553587965</v>
      </c>
      <c r="C1006" s="27" t="s">
        <v>3632</v>
      </c>
      <c r="D1006" s="28" t="s">
        <v>3633</v>
      </c>
      <c r="E1006" s="29" t="s">
        <v>140</v>
      </c>
      <c r="F1006" s="29" t="s">
        <v>171</v>
      </c>
      <c r="H1006" s="26" t="s">
        <v>6280</v>
      </c>
      <c r="I1006" s="27" t="s">
        <v>99</v>
      </c>
      <c r="J1006" s="27" t="s">
        <v>61</v>
      </c>
      <c r="K1006" s="26">
        <v>45530.464957870368</v>
      </c>
    </row>
    <row r="1007" spans="1:12">
      <c r="A1007" s="25">
        <v>917260102</v>
      </c>
      <c r="B1007" s="26">
        <v>45531.400390277777</v>
      </c>
      <c r="C1007" s="27" t="s">
        <v>4394</v>
      </c>
      <c r="D1007" s="28" t="s">
        <v>4395</v>
      </c>
      <c r="E1007" s="29" t="s">
        <v>28</v>
      </c>
      <c r="F1007" s="29" t="s">
        <v>171</v>
      </c>
      <c r="H1007" s="26" t="s">
        <v>127</v>
      </c>
      <c r="I1007" s="27" t="s">
        <v>66</v>
      </c>
      <c r="J1007" s="27" t="s">
        <v>178</v>
      </c>
      <c r="K1007" s="26">
        <v>45554.653829050927</v>
      </c>
    </row>
    <row r="1008" spans="1:12">
      <c r="A1008" s="25">
        <v>917241291</v>
      </c>
      <c r="B1008" s="26">
        <v>45531.543890624998</v>
      </c>
      <c r="C1008" s="27" t="s">
        <v>4326</v>
      </c>
      <c r="D1008" s="28" t="s">
        <v>4327</v>
      </c>
      <c r="E1008" s="29" t="s">
        <v>19</v>
      </c>
      <c r="F1008" s="29" t="s">
        <v>171</v>
      </c>
      <c r="H1008" s="26" t="s">
        <v>137</v>
      </c>
      <c r="I1008" s="27" t="s">
        <v>196</v>
      </c>
      <c r="J1008" s="27" t="s">
        <v>155</v>
      </c>
      <c r="K1008" s="26">
        <v>45531.71211886574</v>
      </c>
    </row>
    <row r="1009" spans="1:11">
      <c r="A1009" s="25">
        <v>909743619</v>
      </c>
      <c r="B1009" s="26">
        <v>45531.62762777778</v>
      </c>
      <c r="C1009" s="27" t="s">
        <v>6101</v>
      </c>
      <c r="D1009" s="28" t="s">
        <v>6102</v>
      </c>
      <c r="E1009" s="29" t="s">
        <v>6475</v>
      </c>
      <c r="F1009" s="29" t="s">
        <v>6339</v>
      </c>
      <c r="G1009" s="29" t="s">
        <v>6557</v>
      </c>
      <c r="H1009" s="26" t="s">
        <v>6271</v>
      </c>
      <c r="I1009" s="27" t="s">
        <v>155</v>
      </c>
      <c r="J1009" s="27" t="s">
        <v>131</v>
      </c>
      <c r="K1009" s="26">
        <v>45531.776450231482</v>
      </c>
    </row>
    <row r="1010" spans="1:11">
      <c r="A1010" s="25">
        <v>918834805</v>
      </c>
      <c r="B1010" s="26">
        <v>45532.734850925925</v>
      </c>
      <c r="C1010" s="27" t="s">
        <v>4984</v>
      </c>
      <c r="D1010" s="28" t="s">
        <v>4985</v>
      </c>
      <c r="E1010" s="29" t="s">
        <v>28</v>
      </c>
      <c r="F1010" s="29" t="s">
        <v>171</v>
      </c>
      <c r="H1010" s="26" t="s">
        <v>136</v>
      </c>
      <c r="I1010" s="27" t="s">
        <v>99</v>
      </c>
      <c r="J1010" s="27" t="s">
        <v>6627</v>
      </c>
      <c r="K1010" s="26">
        <v>45533.082709490744</v>
      </c>
    </row>
    <row r="1011" spans="1:11">
      <c r="A1011" s="25">
        <v>903345955</v>
      </c>
      <c r="B1011" s="26">
        <v>45533.374246180552</v>
      </c>
      <c r="C1011" s="27" t="s">
        <v>1735</v>
      </c>
      <c r="D1011" s="28" t="s">
        <v>1736</v>
      </c>
      <c r="E1011" s="29" t="s">
        <v>20</v>
      </c>
      <c r="F1011" s="29" t="s">
        <v>171</v>
      </c>
      <c r="H1011" s="26" t="s">
        <v>6345</v>
      </c>
      <c r="I1011" s="27" t="s">
        <v>77</v>
      </c>
      <c r="J1011" s="27" t="s">
        <v>155</v>
      </c>
      <c r="K1011" s="26">
        <v>45533.643291087959</v>
      </c>
    </row>
    <row r="1012" spans="1:11">
      <c r="A1012" s="25">
        <v>921406197</v>
      </c>
      <c r="B1012" s="26">
        <v>45533.868610879632</v>
      </c>
      <c r="C1012" s="27" t="s">
        <v>5592</v>
      </c>
      <c r="D1012" s="28" t="s">
        <v>5593</v>
      </c>
      <c r="E1012" s="29" t="s">
        <v>6475</v>
      </c>
      <c r="F1012" s="29" t="s">
        <v>171</v>
      </c>
      <c r="G1012" s="29" t="s">
        <v>6557</v>
      </c>
      <c r="H1012" s="26" t="s">
        <v>134</v>
      </c>
      <c r="I1012" s="27" t="s">
        <v>155</v>
      </c>
      <c r="J1012" s="27" t="s">
        <v>178</v>
      </c>
      <c r="K1012" s="26">
        <v>45534.46144201389</v>
      </c>
    </row>
    <row r="1013" spans="1:11">
      <c r="A1013" s="25">
        <v>900043409</v>
      </c>
      <c r="B1013" s="26">
        <v>45533.886749999998</v>
      </c>
      <c r="C1013" s="27" t="s">
        <v>1226</v>
      </c>
      <c r="D1013" s="28" t="s">
        <v>1227</v>
      </c>
      <c r="E1013" s="29" t="s">
        <v>151</v>
      </c>
      <c r="F1013" s="29" t="s">
        <v>171</v>
      </c>
      <c r="H1013" s="26">
        <v>45597</v>
      </c>
      <c r="I1013" s="27" t="s">
        <v>155</v>
      </c>
      <c r="J1013" s="27" t="s">
        <v>196</v>
      </c>
      <c r="K1013" s="26">
        <v>45547.581165509262</v>
      </c>
    </row>
    <row r="1014" spans="1:11">
      <c r="A1014" s="25">
        <v>917259257</v>
      </c>
      <c r="B1014" s="26">
        <v>45538.431961574075</v>
      </c>
      <c r="C1014" s="27" t="s">
        <v>4392</v>
      </c>
      <c r="D1014" s="28" t="s">
        <v>4393</v>
      </c>
      <c r="E1014" s="29" t="s">
        <v>138</v>
      </c>
      <c r="F1014" s="29" t="s">
        <v>171</v>
      </c>
      <c r="G1014" s="29" t="s">
        <v>6628</v>
      </c>
      <c r="H1014" s="26">
        <v>45540</v>
      </c>
      <c r="I1014" s="27" t="s">
        <v>196</v>
      </c>
      <c r="J1014" s="27" t="s">
        <v>196</v>
      </c>
      <c r="K1014" s="26">
        <v>45538.58333645833</v>
      </c>
    </row>
    <row r="1015" spans="1:11">
      <c r="A1015" s="25">
        <v>907273866</v>
      </c>
      <c r="B1015" s="26">
        <v>45538.528323032406</v>
      </c>
      <c r="C1015" s="27" t="s">
        <v>2265</v>
      </c>
      <c r="D1015" s="28" t="s">
        <v>2266</v>
      </c>
      <c r="E1015" s="29" t="s">
        <v>105</v>
      </c>
      <c r="F1015" s="29" t="s">
        <v>171</v>
      </c>
      <c r="H1015" s="26" t="s">
        <v>6493</v>
      </c>
      <c r="I1015" s="27" t="s">
        <v>66</v>
      </c>
      <c r="J1015" s="27" t="s">
        <v>131</v>
      </c>
      <c r="K1015" s="26">
        <v>45538.691158796297</v>
      </c>
    </row>
    <row r="1016" spans="1:11">
      <c r="A1016" s="25">
        <v>916193517</v>
      </c>
      <c r="B1016" s="26">
        <v>45538.61453136574</v>
      </c>
      <c r="C1016" s="27" t="s">
        <v>6105</v>
      </c>
      <c r="D1016" s="28" t="s">
        <v>6106</v>
      </c>
      <c r="E1016" s="29" t="s">
        <v>6475</v>
      </c>
      <c r="F1016" s="29" t="s">
        <v>171</v>
      </c>
      <c r="G1016" s="29" t="s">
        <v>6629</v>
      </c>
      <c r="H1016" s="26" t="s">
        <v>6493</v>
      </c>
      <c r="I1016" s="27" t="s">
        <v>196</v>
      </c>
      <c r="J1016" s="27" t="s">
        <v>99</v>
      </c>
      <c r="K1016" s="26">
        <v>45538.756570717589</v>
      </c>
    </row>
    <row r="1017" spans="1:11">
      <c r="A1017" s="25">
        <v>909743619</v>
      </c>
      <c r="B1017" s="26">
        <v>45538.644037731479</v>
      </c>
      <c r="C1017" s="27" t="s">
        <v>6101</v>
      </c>
      <c r="D1017" s="28" t="s">
        <v>6102</v>
      </c>
      <c r="E1017" s="29" t="s">
        <v>6475</v>
      </c>
      <c r="F1017" s="29" t="s">
        <v>6339</v>
      </c>
      <c r="G1017" s="29" t="s">
        <v>6630</v>
      </c>
      <c r="H1017" s="26" t="s">
        <v>180</v>
      </c>
      <c r="I1017" s="27" t="s">
        <v>196</v>
      </c>
      <c r="J1017" s="27" t="s">
        <v>99</v>
      </c>
      <c r="K1017" s="26">
        <v>45538.789832407405</v>
      </c>
    </row>
    <row r="1018" spans="1:11">
      <c r="A1018" s="25">
        <v>900027042</v>
      </c>
      <c r="B1018" s="26">
        <v>45538.946979398148</v>
      </c>
      <c r="C1018" s="27" t="s">
        <v>6055</v>
      </c>
      <c r="D1018" s="28" t="s">
        <v>6056</v>
      </c>
      <c r="E1018" s="29" t="s">
        <v>239</v>
      </c>
      <c r="F1018" s="29" t="s">
        <v>171</v>
      </c>
      <c r="G1018" s="29" t="s">
        <v>6528</v>
      </c>
      <c r="H1018" s="26" t="s">
        <v>6493</v>
      </c>
      <c r="I1018" s="27" t="s">
        <v>72</v>
      </c>
      <c r="J1018" s="27" t="s">
        <v>99</v>
      </c>
      <c r="K1018" s="26">
        <v>45539.432009143522</v>
      </c>
    </row>
    <row r="1019" spans="1:11">
      <c r="A1019" s="25">
        <v>909906327</v>
      </c>
      <c r="B1019" s="26">
        <v>45540.34986076389</v>
      </c>
      <c r="C1019" s="27" t="s">
        <v>2900</v>
      </c>
      <c r="D1019" s="28" t="s">
        <v>2901</v>
      </c>
      <c r="E1019" s="29" t="s">
        <v>6475</v>
      </c>
      <c r="F1019" s="29" t="s">
        <v>171</v>
      </c>
      <c r="G1019" s="29" t="s">
        <v>6530</v>
      </c>
      <c r="H1019" s="26" t="s">
        <v>180</v>
      </c>
      <c r="I1019" s="27" t="s">
        <v>176</v>
      </c>
      <c r="J1019" s="27" t="s">
        <v>99</v>
      </c>
      <c r="K1019" s="26">
        <v>45540.509994444445</v>
      </c>
    </row>
    <row r="1020" spans="1:11">
      <c r="A1020" s="25">
        <v>918848936</v>
      </c>
      <c r="B1020" s="26">
        <v>45540.372317361114</v>
      </c>
      <c r="C1020" s="27" t="s">
        <v>5354</v>
      </c>
      <c r="D1020" s="28" t="s">
        <v>5355</v>
      </c>
      <c r="E1020" s="29" t="s">
        <v>6475</v>
      </c>
      <c r="F1020" s="29" t="s">
        <v>171</v>
      </c>
      <c r="G1020" s="29" t="s">
        <v>6631</v>
      </c>
      <c r="H1020" s="26" t="s">
        <v>6632</v>
      </c>
      <c r="I1020" s="27" t="s">
        <v>176</v>
      </c>
      <c r="J1020" s="27" t="s">
        <v>178</v>
      </c>
      <c r="K1020" s="26">
        <v>45540.82632349537</v>
      </c>
    </row>
    <row r="1021" spans="1:11">
      <c r="A1021" s="25">
        <v>903093339</v>
      </c>
      <c r="B1021" s="26">
        <v>45540.472310069446</v>
      </c>
      <c r="C1021" s="27" t="s">
        <v>6107</v>
      </c>
      <c r="D1021" s="28" t="s">
        <v>6108</v>
      </c>
      <c r="E1021" s="29" t="s">
        <v>31</v>
      </c>
      <c r="F1021" s="29" t="s">
        <v>171</v>
      </c>
      <c r="H1021" s="26" t="s">
        <v>6271</v>
      </c>
      <c r="I1021" s="27" t="s">
        <v>99</v>
      </c>
      <c r="J1021" s="27" t="s">
        <v>178</v>
      </c>
      <c r="K1021" s="26">
        <v>45540.731340972219</v>
      </c>
    </row>
    <row r="1022" spans="1:11">
      <c r="A1022" s="25">
        <v>918855813</v>
      </c>
      <c r="B1022" s="26">
        <v>45544.485347569447</v>
      </c>
      <c r="C1022" s="27" t="s">
        <v>6113</v>
      </c>
      <c r="D1022" s="28" t="s">
        <v>6114</v>
      </c>
      <c r="E1022" s="29" t="s">
        <v>48</v>
      </c>
      <c r="F1022" s="29" t="s">
        <v>171</v>
      </c>
      <c r="H1022" s="26" t="s">
        <v>127</v>
      </c>
      <c r="I1022" s="27" t="s">
        <v>153</v>
      </c>
      <c r="J1022" s="27" t="s">
        <v>190</v>
      </c>
      <c r="K1022" s="26">
        <v>45551.521240856484</v>
      </c>
    </row>
    <row r="1023" spans="1:11">
      <c r="A1023" s="25">
        <v>900034920</v>
      </c>
      <c r="B1023" s="26">
        <v>45544.593565509262</v>
      </c>
      <c r="C1023" s="27" t="s">
        <v>1090</v>
      </c>
      <c r="D1023" s="28" t="s">
        <v>1091</v>
      </c>
      <c r="E1023" s="29" t="s">
        <v>20</v>
      </c>
      <c r="F1023" s="29" t="s">
        <v>171</v>
      </c>
      <c r="H1023" s="26" t="s">
        <v>134</v>
      </c>
      <c r="I1023" s="27" t="s">
        <v>61</v>
      </c>
      <c r="J1023" s="27" t="s">
        <v>176</v>
      </c>
      <c r="K1023" s="26">
        <v>45544.791331018518</v>
      </c>
    </row>
    <row r="1024" spans="1:11">
      <c r="A1024" s="25">
        <v>902163644</v>
      </c>
      <c r="B1024" s="26">
        <v>45544.646571180558</v>
      </c>
      <c r="C1024" s="27" t="s">
        <v>1609</v>
      </c>
      <c r="D1024" s="28" t="s">
        <v>1610</v>
      </c>
      <c r="E1024" s="29" t="s">
        <v>239</v>
      </c>
      <c r="F1024" s="29" t="s">
        <v>171</v>
      </c>
      <c r="G1024" s="29" t="s">
        <v>256</v>
      </c>
      <c r="H1024" s="26" t="s">
        <v>134</v>
      </c>
      <c r="I1024" s="27" t="s">
        <v>196</v>
      </c>
      <c r="J1024" s="27" t="s">
        <v>196</v>
      </c>
      <c r="K1024" s="26">
        <v>45544.790280208334</v>
      </c>
    </row>
    <row r="1025" spans="1:12">
      <c r="A1025" s="25">
        <v>910624564</v>
      </c>
      <c r="B1025" s="26">
        <v>45544.746850347219</v>
      </c>
      <c r="C1025" s="27" t="s">
        <v>3050</v>
      </c>
      <c r="D1025" s="28" t="s">
        <v>3051</v>
      </c>
      <c r="E1025" s="29" t="s">
        <v>6475</v>
      </c>
      <c r="F1025" s="29" t="s">
        <v>6339</v>
      </c>
      <c r="G1025" s="29" t="s">
        <v>6633</v>
      </c>
      <c r="H1025" s="26" t="s">
        <v>134</v>
      </c>
      <c r="I1025" s="27" t="s">
        <v>176</v>
      </c>
      <c r="J1025" s="27" t="s">
        <v>176</v>
      </c>
      <c r="K1025" s="26">
        <v>45544.794137384262</v>
      </c>
    </row>
    <row r="1026" spans="1:12">
      <c r="A1026" s="25">
        <v>918833700</v>
      </c>
      <c r="B1026" s="26">
        <v>45545.497306249999</v>
      </c>
      <c r="C1026" s="27" t="s">
        <v>4942</v>
      </c>
      <c r="D1026" s="28" t="s">
        <v>4943</v>
      </c>
      <c r="E1026" s="29" t="s">
        <v>239</v>
      </c>
      <c r="F1026" s="29" t="s">
        <v>171</v>
      </c>
      <c r="G1026" s="29" t="s">
        <v>240</v>
      </c>
      <c r="H1026" s="26">
        <v>45546</v>
      </c>
      <c r="I1026" s="27" t="s">
        <v>176</v>
      </c>
      <c r="J1026" s="27" t="s">
        <v>61</v>
      </c>
      <c r="K1026" s="26">
        <v>45546.568497453707</v>
      </c>
    </row>
    <row r="1027" spans="1:12">
      <c r="A1027" s="25">
        <v>909743619</v>
      </c>
      <c r="B1027" s="26">
        <v>45545.660033101849</v>
      </c>
      <c r="C1027" s="27" t="s">
        <v>6101</v>
      </c>
      <c r="D1027" s="28" t="s">
        <v>6102</v>
      </c>
      <c r="E1027" s="29" t="s">
        <v>6475</v>
      </c>
      <c r="F1027" s="29" t="s">
        <v>6339</v>
      </c>
      <c r="G1027" s="29" t="s">
        <v>6530</v>
      </c>
      <c r="H1027" s="26" t="s">
        <v>134</v>
      </c>
      <c r="I1027" s="27" t="s">
        <v>66</v>
      </c>
      <c r="J1027" s="27" t="s">
        <v>99</v>
      </c>
      <c r="K1027" s="26">
        <v>45545.790197800925</v>
      </c>
    </row>
    <row r="1028" spans="1:12">
      <c r="A1028" s="25">
        <v>900023142</v>
      </c>
      <c r="B1028" s="26">
        <v>45546.44219548611</v>
      </c>
      <c r="C1028" s="27" t="s">
        <v>898</v>
      </c>
      <c r="D1028" s="28" t="s">
        <v>899</v>
      </c>
      <c r="E1028" s="29" t="s">
        <v>48</v>
      </c>
      <c r="F1028" s="29" t="s">
        <v>171</v>
      </c>
      <c r="H1028" s="26" t="s">
        <v>134</v>
      </c>
      <c r="I1028" s="27" t="s">
        <v>61</v>
      </c>
      <c r="J1028" s="27" t="s">
        <v>61</v>
      </c>
      <c r="K1028" s="26">
        <v>45546.587557986109</v>
      </c>
      <c r="L1028" s="24" t="s">
        <v>6634</v>
      </c>
    </row>
    <row r="1029" spans="1:12">
      <c r="A1029" s="25">
        <v>904239211</v>
      </c>
      <c r="B1029" s="26">
        <v>45546.630083796299</v>
      </c>
      <c r="C1029" s="27" t="s">
        <v>1865</v>
      </c>
      <c r="D1029" s="28" t="s">
        <v>1866</v>
      </c>
      <c r="E1029" s="29" t="s">
        <v>48</v>
      </c>
      <c r="F1029" s="29" t="s">
        <v>171</v>
      </c>
      <c r="H1029" s="26">
        <v>45559</v>
      </c>
      <c r="I1029" s="27" t="s">
        <v>61</v>
      </c>
      <c r="J1029" s="27" t="s">
        <v>61</v>
      </c>
      <c r="K1029" s="26">
        <v>45558.403639351855</v>
      </c>
    </row>
    <row r="1030" spans="1:12">
      <c r="A1030" s="25">
        <v>909161765</v>
      </c>
      <c r="B1030" s="26">
        <v>45547.540373148149</v>
      </c>
      <c r="C1030" s="27" t="s">
        <v>2638</v>
      </c>
      <c r="D1030" s="28" t="s">
        <v>2639</v>
      </c>
      <c r="E1030" s="29" t="s">
        <v>6262</v>
      </c>
      <c r="F1030" s="29" t="s">
        <v>171</v>
      </c>
      <c r="H1030" s="26" t="s">
        <v>6635</v>
      </c>
      <c r="I1030" s="27" t="s">
        <v>99</v>
      </c>
      <c r="J1030" s="27" t="s">
        <v>99</v>
      </c>
      <c r="K1030" s="26">
        <v>45553.593904398149</v>
      </c>
    </row>
    <row r="1031" spans="1:12">
      <c r="A1031" s="25">
        <v>918099577</v>
      </c>
      <c r="B1031" s="26">
        <v>45547.563358449072</v>
      </c>
      <c r="C1031" s="27" t="s">
        <v>5868</v>
      </c>
      <c r="D1031" s="28" t="s">
        <v>5869</v>
      </c>
      <c r="E1031" s="29" t="s">
        <v>261</v>
      </c>
      <c r="F1031" s="29" t="s">
        <v>6339</v>
      </c>
      <c r="H1031" s="26">
        <v>45552</v>
      </c>
      <c r="I1031" s="27" t="s">
        <v>176</v>
      </c>
      <c r="J1031" s="27" t="s">
        <v>176</v>
      </c>
      <c r="K1031" s="26">
        <v>45552.404018981484</v>
      </c>
    </row>
    <row r="1032" spans="1:12">
      <c r="A1032" s="25">
        <v>909802821</v>
      </c>
      <c r="B1032" s="26">
        <v>45551.429318055554</v>
      </c>
      <c r="C1032" s="27" t="s">
        <v>2828</v>
      </c>
      <c r="D1032" s="28" t="s">
        <v>2829</v>
      </c>
      <c r="E1032" s="29" t="s">
        <v>35</v>
      </c>
      <c r="F1032" s="29" t="s">
        <v>6339</v>
      </c>
      <c r="H1032" s="26">
        <v>45558</v>
      </c>
      <c r="I1032" s="27" t="s">
        <v>190</v>
      </c>
      <c r="J1032" s="27" t="s">
        <v>99</v>
      </c>
      <c r="K1032" s="26">
        <v>45553.595519328701</v>
      </c>
    </row>
    <row r="1033" spans="1:12">
      <c r="A1033" s="25">
        <v>909743619</v>
      </c>
      <c r="B1033" s="26">
        <v>45552.632536226854</v>
      </c>
      <c r="C1033" s="27" t="s">
        <v>6101</v>
      </c>
      <c r="D1033" s="28" t="s">
        <v>6102</v>
      </c>
      <c r="E1033" s="29" t="s">
        <v>6475</v>
      </c>
      <c r="F1033" s="29" t="s">
        <v>6339</v>
      </c>
      <c r="G1033" s="29" t="s">
        <v>6557</v>
      </c>
      <c r="H1033" s="26" t="s">
        <v>134</v>
      </c>
      <c r="I1033" s="27" t="s">
        <v>196</v>
      </c>
      <c r="J1033" s="27" t="s">
        <v>99</v>
      </c>
      <c r="K1033" s="26">
        <v>45552.782615046293</v>
      </c>
    </row>
    <row r="1034" spans="1:12">
      <c r="A1034" s="25">
        <v>909802821</v>
      </c>
      <c r="B1034" s="26">
        <v>45553.52115104167</v>
      </c>
      <c r="C1034" s="27" t="s">
        <v>2828</v>
      </c>
      <c r="D1034" s="28" t="s">
        <v>2829</v>
      </c>
      <c r="E1034" s="29" t="s">
        <v>35</v>
      </c>
      <c r="F1034" s="29" t="s">
        <v>6339</v>
      </c>
      <c r="H1034" s="26" t="s">
        <v>134</v>
      </c>
      <c r="I1034" s="27" t="s">
        <v>5952</v>
      </c>
      <c r="J1034" s="27" t="s">
        <v>5952</v>
      </c>
      <c r="K1034" s="26">
        <v>45553.587059259262</v>
      </c>
    </row>
    <row r="1035" spans="1:12">
      <c r="A1035" s="25">
        <v>918834805</v>
      </c>
      <c r="B1035" s="26">
        <v>45553.57672824074</v>
      </c>
      <c r="C1035" s="27" t="s">
        <v>4984</v>
      </c>
      <c r="D1035" s="28" t="s">
        <v>4985</v>
      </c>
      <c r="E1035" s="29" t="s">
        <v>20</v>
      </c>
      <c r="F1035" s="29" t="s">
        <v>171</v>
      </c>
      <c r="H1035" s="26" t="s">
        <v>134</v>
      </c>
      <c r="I1035" s="27" t="s">
        <v>61</v>
      </c>
      <c r="J1035" s="27" t="s">
        <v>153</v>
      </c>
      <c r="K1035" s="26">
        <v>45553.815522800927</v>
      </c>
      <c r="L1035" s="24" t="s">
        <v>6636</v>
      </c>
    </row>
    <row r="1036" spans="1:12">
      <c r="A1036" s="25">
        <v>909320690</v>
      </c>
      <c r="B1036" s="26">
        <v>45553.609088078701</v>
      </c>
      <c r="C1036" s="27" t="s">
        <v>2756</v>
      </c>
      <c r="D1036" s="28" t="s">
        <v>2757</v>
      </c>
      <c r="E1036" s="29" t="s">
        <v>20</v>
      </c>
      <c r="F1036" s="29" t="s">
        <v>171</v>
      </c>
      <c r="H1036" s="26" t="s">
        <v>134</v>
      </c>
      <c r="I1036" s="27" t="s">
        <v>61</v>
      </c>
      <c r="J1036" s="27" t="s">
        <v>153</v>
      </c>
      <c r="K1036" s="26">
        <v>45553.815522800927</v>
      </c>
      <c r="L1036" s="24" t="s">
        <v>6637</v>
      </c>
    </row>
    <row r="1037" spans="1:12">
      <c r="A1037" s="25">
        <v>909320690</v>
      </c>
      <c r="B1037" s="26">
        <v>45553.610331249998</v>
      </c>
      <c r="C1037" s="27" t="s">
        <v>2756</v>
      </c>
      <c r="D1037" s="28" t="s">
        <v>2757</v>
      </c>
      <c r="E1037" s="29" t="s">
        <v>280</v>
      </c>
      <c r="F1037" s="29" t="s">
        <v>171</v>
      </c>
      <c r="H1037" s="26" t="s">
        <v>134</v>
      </c>
      <c r="I1037" s="27" t="s">
        <v>61</v>
      </c>
      <c r="J1037" s="27" t="s">
        <v>153</v>
      </c>
      <c r="K1037" s="26">
        <v>45553.815522800927</v>
      </c>
      <c r="L1037" s="24" t="s">
        <v>6638</v>
      </c>
    </row>
    <row r="1038" spans="1:12">
      <c r="A1038" s="25">
        <v>918842501</v>
      </c>
      <c r="B1038" s="26">
        <v>45554.581443287039</v>
      </c>
      <c r="C1038" s="27" t="s">
        <v>6639</v>
      </c>
      <c r="D1038" s="28" t="s">
        <v>6640</v>
      </c>
      <c r="E1038" s="29" t="s">
        <v>263</v>
      </c>
      <c r="F1038" s="29" t="s">
        <v>171</v>
      </c>
      <c r="G1038" s="29" t="s">
        <v>6641</v>
      </c>
      <c r="H1038" s="26" t="s">
        <v>134</v>
      </c>
      <c r="I1038" s="27" t="s">
        <v>196</v>
      </c>
      <c r="J1038" s="27" t="s">
        <v>178</v>
      </c>
      <c r="K1038" s="26">
        <v>45554</v>
      </c>
    </row>
    <row r="1039" spans="1:12">
      <c r="A1039" s="25">
        <v>918099577</v>
      </c>
      <c r="B1039" s="26">
        <v>45555.501614004628</v>
      </c>
      <c r="C1039" s="27" t="s">
        <v>5868</v>
      </c>
      <c r="D1039" s="28" t="s">
        <v>5869</v>
      </c>
      <c r="E1039" s="29" t="s">
        <v>261</v>
      </c>
      <c r="F1039" s="29" t="s">
        <v>6339</v>
      </c>
      <c r="H1039" s="26" t="s">
        <v>124</v>
      </c>
      <c r="I1039" s="27" t="s">
        <v>131</v>
      </c>
      <c r="J1039" s="27" t="s">
        <v>176</v>
      </c>
      <c r="K1039" s="26">
        <v>45559.419463541664</v>
      </c>
    </row>
    <row r="1040" spans="1:12">
      <c r="A1040" s="25">
        <v>907441085</v>
      </c>
      <c r="B1040" s="26">
        <v>45559.455466087966</v>
      </c>
      <c r="C1040" s="27" t="s">
        <v>2281</v>
      </c>
      <c r="D1040" s="28" t="s">
        <v>2282</v>
      </c>
      <c r="E1040" s="29" t="s">
        <v>36</v>
      </c>
      <c r="F1040" s="29" t="s">
        <v>6339</v>
      </c>
      <c r="H1040" s="26">
        <v>45560</v>
      </c>
      <c r="I1040" s="27" t="s">
        <v>176</v>
      </c>
      <c r="J1040" s="27" t="s">
        <v>176</v>
      </c>
      <c r="K1040" s="26">
        <v>45560.460386805556</v>
      </c>
    </row>
    <row r="1041" spans="1:12">
      <c r="A1041" s="25">
        <v>907441085</v>
      </c>
      <c r="B1041" s="26">
        <v>45559.459462384257</v>
      </c>
      <c r="C1041" s="27" t="s">
        <v>2281</v>
      </c>
      <c r="D1041" s="28" t="s">
        <v>2282</v>
      </c>
      <c r="E1041" s="29" t="s">
        <v>58</v>
      </c>
      <c r="F1041" s="29" t="s">
        <v>6339</v>
      </c>
      <c r="H1041" s="26">
        <v>45560</v>
      </c>
      <c r="I1041" s="27" t="s">
        <v>176</v>
      </c>
      <c r="J1041" s="27" t="s">
        <v>6613</v>
      </c>
      <c r="K1041" s="26">
        <v>45560.460414004629</v>
      </c>
    </row>
    <row r="1042" spans="1:12">
      <c r="A1042" s="25">
        <v>905152045</v>
      </c>
      <c r="B1042" s="26">
        <v>45560.453496064816</v>
      </c>
      <c r="C1042" s="27" t="s">
        <v>1995</v>
      </c>
      <c r="D1042" s="28" t="s">
        <v>1996</v>
      </c>
      <c r="E1042" s="29" t="s">
        <v>239</v>
      </c>
      <c r="F1042" s="29" t="s">
        <v>171</v>
      </c>
      <c r="G1042" s="29" t="s">
        <v>240</v>
      </c>
      <c r="H1042" s="26">
        <v>45560</v>
      </c>
      <c r="I1042" s="27" t="s">
        <v>176</v>
      </c>
      <c r="J1042" s="27" t="s">
        <v>153</v>
      </c>
      <c r="K1042" s="26">
        <v>45560.754409027781</v>
      </c>
    </row>
    <row r="1043" spans="1:12">
      <c r="A1043" s="25">
        <v>900010415</v>
      </c>
      <c r="B1043" s="26">
        <v>45560.703544212964</v>
      </c>
      <c r="C1043" s="27" t="s">
        <v>617</v>
      </c>
      <c r="D1043" s="28" t="s">
        <v>618</v>
      </c>
      <c r="E1043" s="29" t="s">
        <v>35</v>
      </c>
      <c r="F1043" s="29" t="s">
        <v>171</v>
      </c>
      <c r="H1043" s="26">
        <v>45574</v>
      </c>
      <c r="I1043" s="27" t="s">
        <v>153</v>
      </c>
      <c r="J1043" s="27" t="s">
        <v>196</v>
      </c>
      <c r="K1043" s="26">
        <v>45565.75268020833</v>
      </c>
    </row>
    <row r="1044" spans="1:12">
      <c r="A1044" s="25">
        <v>909186933</v>
      </c>
      <c r="B1044" s="26">
        <v>45561.438268055557</v>
      </c>
      <c r="C1044" s="27" t="s">
        <v>2704</v>
      </c>
      <c r="D1044" s="28" t="s">
        <v>2705</v>
      </c>
      <c r="E1044" s="29" t="s">
        <v>6475</v>
      </c>
      <c r="F1044" s="29" t="s">
        <v>171</v>
      </c>
      <c r="G1044" s="29" t="s">
        <v>6557</v>
      </c>
      <c r="H1044" s="26" t="s">
        <v>134</v>
      </c>
      <c r="I1044" s="27" t="s">
        <v>176</v>
      </c>
      <c r="J1044" s="27" t="s">
        <v>196</v>
      </c>
      <c r="K1044" s="26">
        <v>45561.582461458333</v>
      </c>
    </row>
    <row r="1045" spans="1:12">
      <c r="A1045" s="25">
        <v>910598681</v>
      </c>
      <c r="B1045" s="26">
        <v>45561.575473263889</v>
      </c>
      <c r="C1045" s="27" t="s">
        <v>3030</v>
      </c>
      <c r="D1045" s="28" t="s">
        <v>3031</v>
      </c>
      <c r="E1045" s="29" t="s">
        <v>57</v>
      </c>
      <c r="F1045" s="29" t="s">
        <v>171</v>
      </c>
      <c r="H1045" s="26" t="s">
        <v>134</v>
      </c>
      <c r="I1045" s="27" t="s">
        <v>196</v>
      </c>
      <c r="J1045" s="27" t="s">
        <v>178</v>
      </c>
      <c r="K1045" s="26">
        <v>45562.073230208334</v>
      </c>
    </row>
    <row r="1046" spans="1:12">
      <c r="A1046" s="25">
        <v>918099577</v>
      </c>
      <c r="B1046" s="26">
        <v>45562.444030092593</v>
      </c>
      <c r="C1046" s="27" t="s">
        <v>5868</v>
      </c>
      <c r="D1046" s="28" t="s">
        <v>5869</v>
      </c>
      <c r="E1046" s="29" t="s">
        <v>261</v>
      </c>
      <c r="F1046" s="29" t="s">
        <v>6339</v>
      </c>
      <c r="H1046" s="26" t="s">
        <v>6642</v>
      </c>
      <c r="I1046" s="27" t="s">
        <v>131</v>
      </c>
      <c r="J1046" s="27" t="s">
        <v>99</v>
      </c>
      <c r="K1046" s="26">
        <v>45566.508364467591</v>
      </c>
      <c r="L1046" s="24" t="s">
        <v>6643</v>
      </c>
    </row>
    <row r="1047" spans="1:12">
      <c r="A1047" s="25">
        <v>906993222</v>
      </c>
      <c r="B1047" s="26">
        <v>45565.655228703705</v>
      </c>
      <c r="C1047" s="27" t="s">
        <v>2193</v>
      </c>
      <c r="D1047" s="28" t="s">
        <v>2194</v>
      </c>
      <c r="E1047" s="29" t="s">
        <v>239</v>
      </c>
      <c r="F1047" s="29" t="s">
        <v>171</v>
      </c>
      <c r="G1047" s="29" t="s">
        <v>6522</v>
      </c>
      <c r="H1047" s="26" t="s">
        <v>6271</v>
      </c>
      <c r="I1047" s="27" t="s">
        <v>77</v>
      </c>
      <c r="J1047" s="27" t="s">
        <v>196</v>
      </c>
      <c r="K1047" s="26">
        <v>45565.67272638889</v>
      </c>
    </row>
    <row r="1048" spans="1:12">
      <c r="A1048" s="25">
        <v>910624564</v>
      </c>
      <c r="B1048" s="26">
        <v>45565.478954050923</v>
      </c>
      <c r="C1048" s="27" t="s">
        <v>3050</v>
      </c>
      <c r="D1048" s="28" t="s">
        <v>3051</v>
      </c>
      <c r="E1048" s="29" t="s">
        <v>6475</v>
      </c>
      <c r="F1048" s="29" t="s">
        <v>6339</v>
      </c>
      <c r="G1048" s="29" t="s">
        <v>6530</v>
      </c>
      <c r="H1048" s="26" t="s">
        <v>134</v>
      </c>
      <c r="I1048" s="27" t="s">
        <v>61</v>
      </c>
      <c r="J1048" s="27" t="s">
        <v>196</v>
      </c>
      <c r="K1048" s="26">
        <v>45565.796882523151</v>
      </c>
    </row>
    <row r="1049" spans="1:12">
      <c r="A1049" s="25">
        <v>920484783</v>
      </c>
      <c r="B1049" s="26">
        <v>45566.433519791666</v>
      </c>
      <c r="C1049" s="27" t="s">
        <v>6117</v>
      </c>
      <c r="D1049" s="28" t="s">
        <v>6118</v>
      </c>
      <c r="E1049" s="29" t="s">
        <v>58</v>
      </c>
      <c r="F1049" s="29" t="s">
        <v>171</v>
      </c>
      <c r="H1049" s="26">
        <v>45566</v>
      </c>
      <c r="I1049" s="27" t="s">
        <v>176</v>
      </c>
      <c r="J1049" s="27" t="s">
        <v>99</v>
      </c>
      <c r="K1049" s="26">
        <v>45566.520155439815</v>
      </c>
    </row>
    <row r="1050" spans="1:12">
      <c r="A1050" s="25">
        <v>918857178</v>
      </c>
      <c r="B1050" s="26">
        <v>45523</v>
      </c>
      <c r="C1050" s="27" t="s">
        <v>6087</v>
      </c>
      <c r="D1050" s="28" t="s">
        <v>6088</v>
      </c>
      <c r="E1050" s="29" t="s">
        <v>28</v>
      </c>
      <c r="F1050" s="29" t="s">
        <v>171</v>
      </c>
      <c r="G1050" s="29" t="s">
        <v>198</v>
      </c>
      <c r="H1050" s="26" t="s">
        <v>124</v>
      </c>
      <c r="I1050" s="27" t="s">
        <v>72</v>
      </c>
      <c r="J1050" s="27" t="s">
        <v>77</v>
      </c>
      <c r="K1050" s="26">
        <v>45602</v>
      </c>
    </row>
    <row r="1051" spans="1:12">
      <c r="A1051" s="25">
        <v>923076983</v>
      </c>
      <c r="B1051" s="26">
        <v>45531</v>
      </c>
      <c r="C1051" s="27" t="s">
        <v>6099</v>
      </c>
      <c r="D1051" s="28" t="s">
        <v>6100</v>
      </c>
      <c r="E1051" s="29" t="s">
        <v>6475</v>
      </c>
      <c r="F1051" s="29" t="s">
        <v>171</v>
      </c>
      <c r="H1051" s="26">
        <v>45534</v>
      </c>
      <c r="I1051" s="27" t="s">
        <v>99</v>
      </c>
      <c r="J1051" s="27" t="s">
        <v>155</v>
      </c>
      <c r="K1051" s="26">
        <v>45594</v>
      </c>
    </row>
    <row r="1052" spans="1:12">
      <c r="A1052" s="25">
        <v>900009713</v>
      </c>
      <c r="B1052" s="26">
        <v>45541</v>
      </c>
      <c r="C1052" s="27" t="s">
        <v>609</v>
      </c>
      <c r="D1052" s="28" t="s">
        <v>610</v>
      </c>
      <c r="E1052" s="29" t="s">
        <v>151</v>
      </c>
      <c r="F1052" s="29" t="s">
        <v>171</v>
      </c>
      <c r="G1052" s="29" t="s">
        <v>6644</v>
      </c>
      <c r="H1052" s="26" t="s">
        <v>127</v>
      </c>
      <c r="I1052" s="27" t="s">
        <v>131</v>
      </c>
      <c r="J1052" s="27" t="s">
        <v>196</v>
      </c>
      <c r="K1052" s="26">
        <v>45632</v>
      </c>
    </row>
    <row r="1053" spans="1:12">
      <c r="A1053" s="25">
        <v>9000604385</v>
      </c>
      <c r="B1053" s="26">
        <v>45560</v>
      </c>
      <c r="C1053" s="27" t="s">
        <v>5958</v>
      </c>
      <c r="D1053" s="28" t="s">
        <v>5959</v>
      </c>
      <c r="E1053" s="29" t="s">
        <v>35</v>
      </c>
      <c r="F1053" s="29" t="s">
        <v>171</v>
      </c>
      <c r="H1053" s="26">
        <v>45567</v>
      </c>
      <c r="I1053" s="27" t="s">
        <v>66</v>
      </c>
      <c r="J1053" s="27" t="s">
        <v>99</v>
      </c>
      <c r="K1053" s="26">
        <v>45567</v>
      </c>
      <c r="L1053" s="24" t="s">
        <v>217</v>
      </c>
    </row>
    <row r="1054" spans="1:12">
      <c r="A1054" s="25">
        <v>909802821</v>
      </c>
      <c r="B1054" s="26">
        <v>45567</v>
      </c>
      <c r="C1054" s="27" t="s">
        <v>2828</v>
      </c>
      <c r="D1054" s="28" t="s">
        <v>2829</v>
      </c>
      <c r="E1054" s="29" t="s">
        <v>6475</v>
      </c>
      <c r="F1054" s="29" t="s">
        <v>171</v>
      </c>
      <c r="G1054" s="29" t="s">
        <v>6645</v>
      </c>
      <c r="H1054" s="26" t="s">
        <v>6271</v>
      </c>
      <c r="I1054" s="27" t="s">
        <v>153</v>
      </c>
      <c r="J1054" s="27" t="s">
        <v>196</v>
      </c>
      <c r="K1054" s="26">
        <v>45583</v>
      </c>
    </row>
    <row r="1055" spans="1:12">
      <c r="A1055" s="25">
        <v>918099577</v>
      </c>
      <c r="B1055" s="26">
        <v>45567</v>
      </c>
      <c r="C1055" s="27" t="s">
        <v>5868</v>
      </c>
      <c r="D1055" s="28" t="s">
        <v>5869</v>
      </c>
      <c r="E1055" s="29" t="s">
        <v>261</v>
      </c>
      <c r="F1055" s="29" t="s">
        <v>6339</v>
      </c>
      <c r="H1055" s="26" t="s">
        <v>250</v>
      </c>
      <c r="I1055" s="27" t="s">
        <v>39</v>
      </c>
      <c r="J1055" s="27" t="s">
        <v>131</v>
      </c>
      <c r="K1055" s="26">
        <v>45576</v>
      </c>
    </row>
    <row r="1056" spans="1:12">
      <c r="A1056" s="25">
        <v>900040926</v>
      </c>
      <c r="B1056" s="26">
        <v>45568</v>
      </c>
      <c r="C1056" s="27" t="s">
        <v>1190</v>
      </c>
      <c r="D1056" s="28" t="s">
        <v>1191</v>
      </c>
      <c r="E1056" s="29" t="s">
        <v>76</v>
      </c>
      <c r="F1056" s="29" t="s">
        <v>171</v>
      </c>
      <c r="H1056" s="26">
        <v>45568</v>
      </c>
      <c r="I1056" s="27" t="s">
        <v>176</v>
      </c>
      <c r="J1056" s="27" t="s">
        <v>176</v>
      </c>
      <c r="K1056" s="26">
        <v>45568</v>
      </c>
    </row>
    <row r="1057" spans="1:12">
      <c r="A1057" s="25">
        <v>907509608</v>
      </c>
      <c r="B1057" s="26">
        <v>45568</v>
      </c>
      <c r="C1057" s="27" t="s">
        <v>6123</v>
      </c>
      <c r="D1057" s="28" t="s">
        <v>6124</v>
      </c>
      <c r="E1057" s="29" t="s">
        <v>57</v>
      </c>
      <c r="F1057" s="29" t="s">
        <v>171</v>
      </c>
      <c r="H1057" s="26" t="s">
        <v>6646</v>
      </c>
      <c r="I1057" s="27" t="s">
        <v>99</v>
      </c>
      <c r="J1057" s="27" t="s">
        <v>176</v>
      </c>
      <c r="K1057" s="26">
        <v>45568</v>
      </c>
    </row>
    <row r="1058" spans="1:12">
      <c r="A1058" s="25">
        <v>900034257</v>
      </c>
      <c r="B1058" s="26">
        <v>45572</v>
      </c>
      <c r="C1058" s="27" t="s">
        <v>1084</v>
      </c>
      <c r="D1058" s="28" t="s">
        <v>1085</v>
      </c>
      <c r="E1058" s="29" t="s">
        <v>6475</v>
      </c>
      <c r="F1058" s="29" t="s">
        <v>171</v>
      </c>
      <c r="G1058" s="29" t="s">
        <v>6530</v>
      </c>
      <c r="H1058" s="26">
        <v>45572</v>
      </c>
      <c r="I1058" s="27" t="s">
        <v>176</v>
      </c>
      <c r="J1058" s="27" t="s">
        <v>176</v>
      </c>
      <c r="K1058" s="26">
        <v>45573</v>
      </c>
      <c r="L1058" s="24" t="s">
        <v>6647</v>
      </c>
    </row>
    <row r="1059" spans="1:12">
      <c r="A1059" s="25">
        <v>918834584</v>
      </c>
      <c r="B1059" s="26">
        <v>45572</v>
      </c>
      <c r="C1059" s="27" t="s">
        <v>5921</v>
      </c>
      <c r="D1059" s="28" t="s">
        <v>5922</v>
      </c>
      <c r="E1059" s="29" t="s">
        <v>20</v>
      </c>
      <c r="F1059" s="29" t="s">
        <v>171</v>
      </c>
      <c r="H1059" s="26" t="s">
        <v>134</v>
      </c>
      <c r="I1059" s="27" t="s">
        <v>61</v>
      </c>
      <c r="J1059" s="27" t="s">
        <v>176</v>
      </c>
      <c r="K1059" s="26">
        <v>45572</v>
      </c>
    </row>
    <row r="1060" spans="1:12">
      <c r="A1060" s="25">
        <v>900026717</v>
      </c>
      <c r="B1060" s="26">
        <v>45574</v>
      </c>
      <c r="C1060" s="27" t="s">
        <v>942</v>
      </c>
      <c r="D1060" s="28" t="s">
        <v>943</v>
      </c>
      <c r="E1060" s="29" t="s">
        <v>20</v>
      </c>
      <c r="F1060" s="29" t="s">
        <v>171</v>
      </c>
      <c r="H1060" s="26" t="s">
        <v>134</v>
      </c>
      <c r="I1060" s="27" t="s">
        <v>61</v>
      </c>
      <c r="J1060" s="27" t="s">
        <v>61</v>
      </c>
      <c r="K1060" s="26">
        <v>45574</v>
      </c>
    </row>
    <row r="1061" spans="1:12">
      <c r="A1061" s="25">
        <v>903345955</v>
      </c>
      <c r="B1061" s="26">
        <v>45575</v>
      </c>
      <c r="C1061" s="27" t="s">
        <v>1735</v>
      </c>
      <c r="D1061" s="28" t="s">
        <v>1736</v>
      </c>
      <c r="E1061" s="29" t="s">
        <v>20</v>
      </c>
      <c r="F1061" s="29" t="s">
        <v>171</v>
      </c>
      <c r="H1061" s="26" t="s">
        <v>134</v>
      </c>
      <c r="I1061" s="27" t="s">
        <v>176</v>
      </c>
      <c r="J1061" s="27" t="s">
        <v>176</v>
      </c>
      <c r="K1061" s="26">
        <v>45575</v>
      </c>
    </row>
    <row r="1062" spans="1:12">
      <c r="A1062" s="25">
        <v>912659571</v>
      </c>
      <c r="B1062" s="26">
        <v>45575</v>
      </c>
      <c r="C1062" s="27" t="s">
        <v>6129</v>
      </c>
      <c r="D1062" s="28" t="s">
        <v>6130</v>
      </c>
      <c r="E1062" s="29" t="s">
        <v>263</v>
      </c>
      <c r="F1062" s="29" t="s">
        <v>171</v>
      </c>
      <c r="H1062" s="26" t="s">
        <v>6271</v>
      </c>
      <c r="I1062" s="27" t="s">
        <v>155</v>
      </c>
      <c r="J1062" s="27" t="s">
        <v>190</v>
      </c>
      <c r="K1062" s="26">
        <v>45575</v>
      </c>
      <c r="L1062" s="24" t="s">
        <v>6648</v>
      </c>
    </row>
    <row r="1063" spans="1:12">
      <c r="A1063" s="25">
        <v>912659571</v>
      </c>
      <c r="B1063" s="26">
        <v>45575</v>
      </c>
      <c r="C1063" s="27" t="s">
        <v>6129</v>
      </c>
      <c r="D1063" s="28" t="s">
        <v>6130</v>
      </c>
      <c r="E1063" s="29" t="s">
        <v>6420</v>
      </c>
      <c r="F1063" s="29" t="s">
        <v>171</v>
      </c>
      <c r="H1063" s="26" t="s">
        <v>6271</v>
      </c>
      <c r="I1063" s="27" t="s">
        <v>155</v>
      </c>
      <c r="J1063" s="27" t="s">
        <v>190</v>
      </c>
      <c r="K1063" s="26">
        <v>45575</v>
      </c>
    </row>
    <row r="1064" spans="1:12">
      <c r="A1064" s="25">
        <v>912659571</v>
      </c>
      <c r="B1064" s="26">
        <v>45575</v>
      </c>
      <c r="C1064" s="27" t="s">
        <v>6129</v>
      </c>
      <c r="D1064" s="28" t="s">
        <v>6130</v>
      </c>
      <c r="E1064" s="29" t="s">
        <v>42</v>
      </c>
      <c r="F1064" s="29" t="s">
        <v>171</v>
      </c>
      <c r="H1064" s="26" t="s">
        <v>6271</v>
      </c>
      <c r="I1064" s="27" t="s">
        <v>155</v>
      </c>
      <c r="J1064" s="27" t="s">
        <v>190</v>
      </c>
      <c r="K1064" s="26">
        <v>45575</v>
      </c>
    </row>
    <row r="1065" spans="1:12">
      <c r="A1065" s="25">
        <v>906551690</v>
      </c>
      <c r="B1065" s="26">
        <v>45579</v>
      </c>
      <c r="C1065" s="27" t="s">
        <v>2163</v>
      </c>
      <c r="D1065" s="28" t="s">
        <v>2164</v>
      </c>
      <c r="E1065" s="29" t="s">
        <v>239</v>
      </c>
      <c r="F1065" s="29" t="s">
        <v>6339</v>
      </c>
      <c r="G1065" s="29" t="s">
        <v>6528</v>
      </c>
      <c r="H1065" s="26" t="s">
        <v>6271</v>
      </c>
      <c r="I1065" s="27" t="s">
        <v>190</v>
      </c>
      <c r="J1065" s="27" t="s">
        <v>196</v>
      </c>
      <c r="K1065" s="26">
        <v>45579</v>
      </c>
    </row>
    <row r="1066" spans="1:12">
      <c r="A1066" s="25">
        <v>907085106</v>
      </c>
      <c r="B1066" s="26">
        <v>45579</v>
      </c>
      <c r="C1066" s="27" t="s">
        <v>2225</v>
      </c>
      <c r="D1066" s="28" t="s">
        <v>2226</v>
      </c>
      <c r="E1066" s="29" t="s">
        <v>6592</v>
      </c>
      <c r="F1066" s="29" t="s">
        <v>171</v>
      </c>
      <c r="H1066" s="26">
        <v>45608</v>
      </c>
      <c r="I1066" s="27" t="s">
        <v>190</v>
      </c>
      <c r="J1066" s="27" t="s">
        <v>176</v>
      </c>
      <c r="K1066" s="26">
        <v>45608</v>
      </c>
    </row>
    <row r="1067" spans="1:12">
      <c r="A1067" s="25">
        <v>907441085</v>
      </c>
      <c r="B1067" s="26">
        <v>45580</v>
      </c>
      <c r="C1067" s="27" t="s">
        <v>2281</v>
      </c>
      <c r="D1067" s="28" t="s">
        <v>2282</v>
      </c>
      <c r="E1067" s="29" t="s">
        <v>36</v>
      </c>
      <c r="F1067" s="29" t="s">
        <v>6339</v>
      </c>
      <c r="H1067" s="26">
        <v>45581</v>
      </c>
      <c r="I1067" s="27" t="s">
        <v>190</v>
      </c>
      <c r="J1067" s="27" t="s">
        <v>99</v>
      </c>
      <c r="K1067" s="26">
        <v>45581</v>
      </c>
    </row>
    <row r="1068" spans="1:12">
      <c r="A1068" s="25">
        <v>907441085</v>
      </c>
      <c r="B1068" s="26">
        <v>45580</v>
      </c>
      <c r="C1068" s="27" t="s">
        <v>2281</v>
      </c>
      <c r="D1068" s="28" t="s">
        <v>2282</v>
      </c>
      <c r="E1068" s="29" t="s">
        <v>58</v>
      </c>
      <c r="F1068" s="29" t="s">
        <v>6339</v>
      </c>
      <c r="H1068" s="26">
        <v>45581</v>
      </c>
      <c r="I1068" s="27" t="s">
        <v>190</v>
      </c>
      <c r="J1068" s="27" t="s">
        <v>61</v>
      </c>
      <c r="K1068" s="26">
        <v>45581</v>
      </c>
    </row>
    <row r="1069" spans="1:12">
      <c r="A1069" s="25">
        <v>900053679</v>
      </c>
      <c r="B1069" s="26">
        <v>45580</v>
      </c>
      <c r="C1069" s="27" t="s">
        <v>1324</v>
      </c>
      <c r="D1069" s="28" t="s">
        <v>1325</v>
      </c>
      <c r="E1069" s="29" t="s">
        <v>25</v>
      </c>
      <c r="F1069" s="29" t="s">
        <v>6339</v>
      </c>
      <c r="H1069" s="26">
        <v>45580</v>
      </c>
      <c r="I1069" s="27" t="s">
        <v>190</v>
      </c>
      <c r="J1069" s="27" t="s">
        <v>190</v>
      </c>
      <c r="K1069" s="26">
        <v>45580</v>
      </c>
      <c r="L1069" s="24" t="s">
        <v>6649</v>
      </c>
    </row>
    <row r="1070" spans="1:12">
      <c r="A1070" s="25">
        <v>909802821</v>
      </c>
      <c r="B1070" s="26">
        <v>45581</v>
      </c>
      <c r="C1070" s="27" t="s">
        <v>2828</v>
      </c>
      <c r="D1070" s="28" t="s">
        <v>2829</v>
      </c>
      <c r="E1070" s="29" t="s">
        <v>239</v>
      </c>
      <c r="F1070" s="29" t="s">
        <v>6339</v>
      </c>
      <c r="G1070" s="29" t="s">
        <v>6555</v>
      </c>
      <c r="H1070" s="26" t="s">
        <v>6271</v>
      </c>
      <c r="I1070" s="27" t="s">
        <v>153</v>
      </c>
      <c r="J1070" s="27" t="s">
        <v>153</v>
      </c>
      <c r="K1070" s="26">
        <v>45581</v>
      </c>
    </row>
    <row r="1071" spans="1:12">
      <c r="A1071" s="25">
        <v>909802821</v>
      </c>
      <c r="B1071" s="26">
        <v>45581</v>
      </c>
      <c r="C1071" s="27" t="s">
        <v>2828</v>
      </c>
      <c r="D1071" s="28" t="s">
        <v>2829</v>
      </c>
      <c r="E1071" s="29" t="s">
        <v>123</v>
      </c>
      <c r="F1071" s="29" t="s">
        <v>171</v>
      </c>
      <c r="G1071" s="29" t="s">
        <v>6650</v>
      </c>
      <c r="H1071" s="26" t="s">
        <v>6271</v>
      </c>
      <c r="I1071" s="27" t="s">
        <v>153</v>
      </c>
      <c r="J1071" s="27" t="s">
        <v>153</v>
      </c>
      <c r="K1071" s="26">
        <v>45581</v>
      </c>
    </row>
    <row r="1072" spans="1:12">
      <c r="A1072" s="25">
        <v>910598681</v>
      </c>
      <c r="B1072" s="26">
        <v>45582</v>
      </c>
      <c r="C1072" s="27" t="s">
        <v>3030</v>
      </c>
      <c r="D1072" s="28" t="s">
        <v>3031</v>
      </c>
      <c r="E1072" s="29" t="s">
        <v>6475</v>
      </c>
      <c r="F1072" s="29" t="s">
        <v>171</v>
      </c>
      <c r="H1072" s="26" t="s">
        <v>6271</v>
      </c>
      <c r="I1072" s="27" t="s">
        <v>99</v>
      </c>
      <c r="J1072" s="27" t="s">
        <v>190</v>
      </c>
      <c r="K1072" s="26">
        <v>45582</v>
      </c>
    </row>
    <row r="1073" spans="1:12">
      <c r="A1073" s="25">
        <v>905005834</v>
      </c>
      <c r="B1073" s="26">
        <v>45582</v>
      </c>
      <c r="C1073" s="27" t="s">
        <v>1969</v>
      </c>
      <c r="D1073" s="28" t="s">
        <v>1970</v>
      </c>
      <c r="E1073" s="29" t="s">
        <v>57</v>
      </c>
      <c r="F1073" s="29" t="s">
        <v>171</v>
      </c>
      <c r="H1073" s="26" t="s">
        <v>6271</v>
      </c>
      <c r="I1073" s="27" t="s">
        <v>190</v>
      </c>
      <c r="J1073" s="27" t="s">
        <v>190</v>
      </c>
      <c r="K1073" s="26">
        <v>45582</v>
      </c>
    </row>
    <row r="1074" spans="1:12">
      <c r="A1074" s="25">
        <v>900032580</v>
      </c>
      <c r="B1074" s="26">
        <v>45582</v>
      </c>
      <c r="C1074" s="27" t="s">
        <v>1058</v>
      </c>
      <c r="D1074" s="28" t="s">
        <v>1059</v>
      </c>
      <c r="E1074" s="29" t="s">
        <v>188</v>
      </c>
      <c r="F1074" s="29" t="s">
        <v>171</v>
      </c>
      <c r="H1074" s="26" t="s">
        <v>127</v>
      </c>
      <c r="I1074" s="27" t="s">
        <v>155</v>
      </c>
      <c r="J1074" s="27" t="s">
        <v>61</v>
      </c>
      <c r="K1074" s="26">
        <v>45630</v>
      </c>
    </row>
    <row r="1075" spans="1:12">
      <c r="A1075" s="25">
        <v>918099577</v>
      </c>
      <c r="B1075" s="26">
        <v>45583</v>
      </c>
      <c r="C1075" s="27" t="s">
        <v>5868</v>
      </c>
      <c r="D1075" s="28" t="s">
        <v>5869</v>
      </c>
      <c r="E1075" s="29" t="s">
        <v>261</v>
      </c>
      <c r="F1075" s="29" t="s">
        <v>6339</v>
      </c>
      <c r="H1075" s="26">
        <v>45587</v>
      </c>
      <c r="I1075" s="27" t="s">
        <v>155</v>
      </c>
      <c r="J1075" s="27" t="s">
        <v>99</v>
      </c>
      <c r="K1075" s="26">
        <v>45603</v>
      </c>
    </row>
    <row r="1076" spans="1:12">
      <c r="A1076" s="25">
        <v>900003096</v>
      </c>
      <c r="B1076" s="26">
        <v>45586</v>
      </c>
      <c r="C1076" s="27" t="s">
        <v>421</v>
      </c>
      <c r="D1076" s="28" t="s">
        <v>422</v>
      </c>
      <c r="E1076" s="29" t="s">
        <v>57</v>
      </c>
      <c r="F1076" s="29" t="s">
        <v>171</v>
      </c>
      <c r="H1076" s="26" t="s">
        <v>134</v>
      </c>
      <c r="I1076" s="27" t="s">
        <v>61</v>
      </c>
      <c r="J1076" s="27" t="s">
        <v>61</v>
      </c>
      <c r="K1076" s="26">
        <v>45586</v>
      </c>
      <c r="L1076" s="24" t="s">
        <v>6651</v>
      </c>
    </row>
    <row r="1077" spans="1:12">
      <c r="A1077" s="25">
        <v>915602550</v>
      </c>
      <c r="B1077" s="26">
        <v>45586</v>
      </c>
      <c r="C1077" s="27" t="s">
        <v>3894</v>
      </c>
      <c r="D1077" s="28" t="s">
        <v>3895</v>
      </c>
      <c r="E1077" s="29" t="s">
        <v>227</v>
      </c>
      <c r="F1077" s="29" t="s">
        <v>171</v>
      </c>
      <c r="H1077" s="26">
        <v>45590</v>
      </c>
      <c r="I1077" s="27" t="s">
        <v>153</v>
      </c>
      <c r="J1077" s="27" t="s">
        <v>190</v>
      </c>
      <c r="K1077" s="26">
        <v>45589</v>
      </c>
    </row>
    <row r="1078" spans="1:12">
      <c r="A1078" s="25">
        <v>915602550</v>
      </c>
      <c r="B1078" s="26">
        <v>45586</v>
      </c>
      <c r="C1078" s="27" t="s">
        <v>3894</v>
      </c>
      <c r="D1078" s="28" t="s">
        <v>3895</v>
      </c>
      <c r="E1078" s="29" t="s">
        <v>269</v>
      </c>
      <c r="F1078" s="29" t="s">
        <v>171</v>
      </c>
      <c r="H1078" s="26">
        <v>45590</v>
      </c>
      <c r="I1078" s="27" t="s">
        <v>153</v>
      </c>
      <c r="J1078" s="27" t="s">
        <v>190</v>
      </c>
      <c r="K1078" s="26">
        <v>45589</v>
      </c>
    </row>
    <row r="1079" spans="1:12">
      <c r="A1079" s="25">
        <v>900000197</v>
      </c>
      <c r="B1079" s="26">
        <v>45586</v>
      </c>
      <c r="C1079" s="27" t="s">
        <v>361</v>
      </c>
      <c r="D1079" s="28" t="s">
        <v>362</v>
      </c>
      <c r="E1079" s="29" t="s">
        <v>20</v>
      </c>
      <c r="F1079" s="29" t="s">
        <v>171</v>
      </c>
      <c r="H1079" s="26" t="s">
        <v>134</v>
      </c>
      <c r="I1079" s="27" t="s">
        <v>61</v>
      </c>
      <c r="J1079" s="27" t="s">
        <v>196</v>
      </c>
      <c r="K1079" s="26">
        <v>45586</v>
      </c>
      <c r="L1079" s="24" t="s">
        <v>6652</v>
      </c>
    </row>
    <row r="1080" spans="1:12">
      <c r="A1080" s="25">
        <v>918834675</v>
      </c>
      <c r="B1080" s="26">
        <v>45586</v>
      </c>
      <c r="C1080" s="27" t="s">
        <v>4978</v>
      </c>
      <c r="D1080" s="28" t="s">
        <v>4979</v>
      </c>
      <c r="E1080" s="29" t="s">
        <v>239</v>
      </c>
      <c r="F1080" s="29" t="s">
        <v>171</v>
      </c>
      <c r="G1080" s="29" t="s">
        <v>240</v>
      </c>
      <c r="H1080" s="26" t="s">
        <v>134</v>
      </c>
      <c r="I1080" s="27" t="s">
        <v>176</v>
      </c>
      <c r="J1080" s="27" t="s">
        <v>196</v>
      </c>
      <c r="K1080" s="26">
        <v>45586</v>
      </c>
    </row>
    <row r="1081" spans="1:12">
      <c r="A1081" s="25">
        <v>900004955</v>
      </c>
      <c r="B1081" s="26">
        <v>45586</v>
      </c>
      <c r="C1081" s="27" t="s">
        <v>485</v>
      </c>
      <c r="D1081" s="28" t="s">
        <v>486</v>
      </c>
      <c r="E1081" s="29" t="s">
        <v>6475</v>
      </c>
      <c r="F1081" s="29" t="s">
        <v>171</v>
      </c>
      <c r="G1081" s="29" t="s">
        <v>6530</v>
      </c>
      <c r="H1081" s="26">
        <v>45588</v>
      </c>
      <c r="I1081" s="27" t="s">
        <v>196</v>
      </c>
      <c r="J1081" s="27" t="s">
        <v>196</v>
      </c>
      <c r="K1081" s="26">
        <v>45589</v>
      </c>
    </row>
    <row r="1082" spans="1:12">
      <c r="A1082" s="25">
        <v>907608902</v>
      </c>
      <c r="B1082" s="26">
        <v>45587</v>
      </c>
      <c r="C1082" s="27" t="s">
        <v>2351</v>
      </c>
      <c r="D1082" s="28" t="s">
        <v>2352</v>
      </c>
      <c r="E1082" s="29" t="s">
        <v>227</v>
      </c>
      <c r="F1082" s="29" t="s">
        <v>171</v>
      </c>
      <c r="H1082" s="26">
        <v>45594</v>
      </c>
      <c r="I1082" s="27" t="s">
        <v>190</v>
      </c>
      <c r="J1082" s="27" t="s">
        <v>190</v>
      </c>
      <c r="K1082" s="26">
        <v>45594</v>
      </c>
    </row>
    <row r="1083" spans="1:12">
      <c r="A1083" s="25">
        <v>907608902</v>
      </c>
      <c r="B1083" s="26">
        <v>45587</v>
      </c>
      <c r="C1083" s="27" t="s">
        <v>2351</v>
      </c>
      <c r="D1083" s="28" t="s">
        <v>2352</v>
      </c>
      <c r="E1083" s="29" t="s">
        <v>261</v>
      </c>
      <c r="F1083" s="29" t="s">
        <v>171</v>
      </c>
      <c r="H1083" s="26">
        <v>45594</v>
      </c>
      <c r="I1083" s="27" t="s">
        <v>190</v>
      </c>
      <c r="J1083" s="27" t="s">
        <v>190</v>
      </c>
      <c r="K1083" s="26">
        <v>45594</v>
      </c>
    </row>
    <row r="1084" spans="1:12">
      <c r="A1084" s="25">
        <v>918834805</v>
      </c>
      <c r="B1084" s="26">
        <v>45587</v>
      </c>
      <c r="C1084" s="27" t="s">
        <v>4984</v>
      </c>
      <c r="D1084" s="28" t="s">
        <v>4985</v>
      </c>
      <c r="E1084" s="29" t="s">
        <v>36</v>
      </c>
      <c r="F1084" s="29" t="s">
        <v>171</v>
      </c>
      <c r="H1084" s="26" t="s">
        <v>6493</v>
      </c>
      <c r="I1084" s="27" t="s">
        <v>99</v>
      </c>
      <c r="J1084" s="27" t="s">
        <v>131</v>
      </c>
      <c r="K1084" s="26">
        <v>45587</v>
      </c>
    </row>
    <row r="1085" spans="1:12">
      <c r="A1085" s="25">
        <v>900208977</v>
      </c>
      <c r="B1085" s="26">
        <v>45587</v>
      </c>
      <c r="C1085" s="27" t="s">
        <v>1394</v>
      </c>
      <c r="D1085" s="28" t="s">
        <v>1395</v>
      </c>
      <c r="E1085" s="29" t="s">
        <v>239</v>
      </c>
      <c r="F1085" s="29" t="s">
        <v>171</v>
      </c>
      <c r="G1085" s="29" t="s">
        <v>6528</v>
      </c>
      <c r="H1085" s="26" t="s">
        <v>6271</v>
      </c>
      <c r="I1085" s="27" t="s">
        <v>190</v>
      </c>
      <c r="J1085" s="27" t="s">
        <v>72</v>
      </c>
      <c r="K1085" s="26">
        <v>45587</v>
      </c>
    </row>
    <row r="1086" spans="1:12">
      <c r="A1086" s="25">
        <v>905152045</v>
      </c>
      <c r="B1086" s="26">
        <v>45588</v>
      </c>
      <c r="C1086" s="27" t="s">
        <v>1995</v>
      </c>
      <c r="D1086" s="28" t="s">
        <v>1996</v>
      </c>
      <c r="E1086" s="29" t="s">
        <v>92</v>
      </c>
      <c r="F1086" s="29" t="s">
        <v>171</v>
      </c>
      <c r="H1086" s="26" t="s">
        <v>6271</v>
      </c>
      <c r="I1086" s="27" t="s">
        <v>99</v>
      </c>
      <c r="J1086" s="27" t="s">
        <v>99</v>
      </c>
      <c r="K1086" s="26">
        <v>45588</v>
      </c>
    </row>
    <row r="1087" spans="1:12">
      <c r="A1087" s="25">
        <v>918850639</v>
      </c>
      <c r="B1087" s="26">
        <v>45589</v>
      </c>
      <c r="C1087" s="27" t="s">
        <v>6136</v>
      </c>
      <c r="D1087" s="28" t="s">
        <v>6137</v>
      </c>
      <c r="E1087" s="29" t="s">
        <v>6371</v>
      </c>
      <c r="F1087" s="29" t="s">
        <v>171</v>
      </c>
      <c r="H1087" s="26">
        <v>45596</v>
      </c>
      <c r="I1087" s="27" t="s">
        <v>176</v>
      </c>
      <c r="J1087" s="27" t="s">
        <v>66</v>
      </c>
      <c r="K1087" s="26">
        <v>45596</v>
      </c>
    </row>
    <row r="1088" spans="1:12">
      <c r="A1088" s="25">
        <v>918850639</v>
      </c>
      <c r="B1088" s="26">
        <v>45589</v>
      </c>
      <c r="C1088" s="27" t="s">
        <v>6136</v>
      </c>
      <c r="D1088" s="28" t="s">
        <v>6137</v>
      </c>
      <c r="E1088" s="29" t="s">
        <v>140</v>
      </c>
      <c r="F1088" s="29" t="s">
        <v>171</v>
      </c>
      <c r="H1088" s="26">
        <v>45596</v>
      </c>
      <c r="I1088" s="27" t="s">
        <v>99</v>
      </c>
      <c r="J1088" s="27" t="s">
        <v>66</v>
      </c>
      <c r="K1088" s="26">
        <v>45596</v>
      </c>
    </row>
    <row r="1089" spans="1:12">
      <c r="A1089" s="25">
        <v>901196912</v>
      </c>
      <c r="B1089" s="26">
        <v>45589</v>
      </c>
      <c r="C1089" s="27" t="s">
        <v>1493</v>
      </c>
      <c r="D1089" s="28" t="s">
        <v>1494</v>
      </c>
      <c r="E1089" s="29" t="s">
        <v>32</v>
      </c>
      <c r="F1089" s="29" t="s">
        <v>171</v>
      </c>
      <c r="H1089" s="26" t="s">
        <v>6271</v>
      </c>
      <c r="I1089" s="27" t="s">
        <v>190</v>
      </c>
      <c r="J1089" s="27" t="s">
        <v>190</v>
      </c>
      <c r="K1089" s="26">
        <v>45589</v>
      </c>
    </row>
    <row r="1090" spans="1:12">
      <c r="A1090" s="25">
        <v>900038989</v>
      </c>
      <c r="B1090" s="26">
        <v>45590</v>
      </c>
      <c r="C1090" s="27" t="s">
        <v>1162</v>
      </c>
      <c r="D1090" s="28" t="s">
        <v>1163</v>
      </c>
      <c r="E1090" s="29" t="s">
        <v>239</v>
      </c>
      <c r="F1090" s="29" t="s">
        <v>171</v>
      </c>
      <c r="G1090" s="29" t="s">
        <v>274</v>
      </c>
      <c r="H1090" s="26" t="s">
        <v>218</v>
      </c>
      <c r="I1090" s="27" t="s">
        <v>178</v>
      </c>
      <c r="J1090" s="27" t="s">
        <v>196</v>
      </c>
      <c r="K1090" s="26">
        <v>45590</v>
      </c>
    </row>
    <row r="1091" spans="1:12">
      <c r="A1091" s="25">
        <v>921917591</v>
      </c>
      <c r="B1091" s="26">
        <v>45590</v>
      </c>
      <c r="C1091" s="27" t="s">
        <v>5638</v>
      </c>
      <c r="D1091" s="28" t="s">
        <v>5639</v>
      </c>
      <c r="E1091" s="29" t="s">
        <v>239</v>
      </c>
      <c r="F1091" s="29" t="s">
        <v>171</v>
      </c>
      <c r="G1091" s="29" t="s">
        <v>6629</v>
      </c>
      <c r="H1091" s="26" t="s">
        <v>218</v>
      </c>
      <c r="I1091" s="27" t="s">
        <v>131</v>
      </c>
      <c r="J1091" s="27" t="s">
        <v>131</v>
      </c>
      <c r="K1091" s="26">
        <v>45590</v>
      </c>
    </row>
    <row r="1092" spans="1:12">
      <c r="A1092" s="25">
        <v>909802821</v>
      </c>
      <c r="B1092" s="26">
        <v>45593</v>
      </c>
      <c r="C1092" s="27" t="s">
        <v>2828</v>
      </c>
      <c r="D1092" s="28" t="s">
        <v>2829</v>
      </c>
      <c r="E1092" s="29" t="s">
        <v>239</v>
      </c>
      <c r="F1092" s="29" t="s">
        <v>6339</v>
      </c>
      <c r="G1092" s="29" t="s">
        <v>6555</v>
      </c>
      <c r="H1092" s="26" t="s">
        <v>218</v>
      </c>
      <c r="I1092" s="27" t="s">
        <v>6653</v>
      </c>
      <c r="J1092" s="27" t="s">
        <v>61</v>
      </c>
      <c r="K1092" s="26">
        <v>45593</v>
      </c>
    </row>
    <row r="1093" spans="1:12">
      <c r="A1093" s="25">
        <v>918847207</v>
      </c>
      <c r="B1093" s="26">
        <v>45593</v>
      </c>
      <c r="C1093" s="27" t="s">
        <v>5286</v>
      </c>
      <c r="D1093" s="28" t="s">
        <v>5287</v>
      </c>
      <c r="E1093" s="29" t="s">
        <v>6475</v>
      </c>
      <c r="F1093" s="29" t="s">
        <v>6339</v>
      </c>
      <c r="H1093" s="26" t="s">
        <v>218</v>
      </c>
      <c r="I1093" s="27" t="s">
        <v>153</v>
      </c>
      <c r="J1093" s="27" t="s">
        <v>196</v>
      </c>
      <c r="K1093" s="26">
        <v>45593</v>
      </c>
    </row>
    <row r="1094" spans="1:12">
      <c r="A1094" s="25">
        <v>907608902</v>
      </c>
      <c r="B1094" s="26">
        <v>45594</v>
      </c>
      <c r="C1094" s="27" t="s">
        <v>2351</v>
      </c>
      <c r="D1094" s="28" t="s">
        <v>2352</v>
      </c>
      <c r="E1094" s="29" t="s">
        <v>24</v>
      </c>
      <c r="F1094" s="29" t="s">
        <v>6339</v>
      </c>
      <c r="H1094" s="26">
        <v>45601</v>
      </c>
      <c r="I1094" s="27" t="s">
        <v>99</v>
      </c>
      <c r="J1094" s="27" t="s">
        <v>99</v>
      </c>
      <c r="K1094" s="26">
        <v>45603</v>
      </c>
      <c r="L1094" s="24" t="s">
        <v>6654</v>
      </c>
    </row>
    <row r="1095" spans="1:12">
      <c r="A1095" s="25">
        <v>900064846</v>
      </c>
      <c r="B1095" s="26">
        <v>45596</v>
      </c>
      <c r="C1095" s="27" t="s">
        <v>1358</v>
      </c>
      <c r="D1095" s="28" t="s">
        <v>1359</v>
      </c>
      <c r="E1095" s="29" t="s">
        <v>239</v>
      </c>
      <c r="F1095" s="29" t="s">
        <v>6339</v>
      </c>
      <c r="H1095" s="26" t="s">
        <v>134</v>
      </c>
      <c r="I1095" s="27" t="s">
        <v>176</v>
      </c>
      <c r="J1095" s="27" t="s">
        <v>196</v>
      </c>
      <c r="K1095" s="26">
        <v>45596</v>
      </c>
    </row>
    <row r="1096" spans="1:12">
      <c r="A1096" s="25">
        <v>918849482</v>
      </c>
      <c r="B1096" s="26">
        <v>45596</v>
      </c>
      <c r="C1096" s="27" t="s">
        <v>5964</v>
      </c>
      <c r="D1096" s="28" t="s">
        <v>5965</v>
      </c>
      <c r="E1096" s="29" t="s">
        <v>263</v>
      </c>
      <c r="F1096" s="29" t="s">
        <v>171</v>
      </c>
      <c r="H1096" s="26" t="s">
        <v>134</v>
      </c>
      <c r="I1096" s="27" t="s">
        <v>176</v>
      </c>
      <c r="J1096" s="27" t="s">
        <v>66</v>
      </c>
      <c r="K1096" s="26">
        <v>45596</v>
      </c>
      <c r="L1096" s="24" t="s">
        <v>6655</v>
      </c>
    </row>
    <row r="1097" spans="1:12">
      <c r="A1097" s="25">
        <v>900399297</v>
      </c>
      <c r="B1097" s="26">
        <v>45596</v>
      </c>
      <c r="C1097" s="27" t="s">
        <v>1408</v>
      </c>
      <c r="D1097" s="28" t="s">
        <v>1409</v>
      </c>
      <c r="E1097" s="29" t="s">
        <v>133</v>
      </c>
      <c r="F1097" s="29" t="s">
        <v>171</v>
      </c>
      <c r="H1097" s="26" t="s">
        <v>134</v>
      </c>
      <c r="I1097" s="27" t="s">
        <v>66</v>
      </c>
      <c r="J1097" s="27" t="s">
        <v>176</v>
      </c>
      <c r="K1097" s="26">
        <v>45596</v>
      </c>
    </row>
    <row r="1098" spans="1:12">
      <c r="A1098" s="25">
        <v>910598681</v>
      </c>
      <c r="B1098" s="26">
        <v>45596</v>
      </c>
      <c r="C1098" s="27" t="s">
        <v>3030</v>
      </c>
      <c r="D1098" s="28" t="s">
        <v>3031</v>
      </c>
      <c r="E1098" s="29" t="s">
        <v>105</v>
      </c>
      <c r="F1098" s="29" t="s">
        <v>171</v>
      </c>
      <c r="H1098" s="26" t="s">
        <v>134</v>
      </c>
      <c r="I1098" s="27" t="s">
        <v>176</v>
      </c>
      <c r="J1098" s="27" t="s">
        <v>190</v>
      </c>
      <c r="K1098" s="26">
        <v>45596</v>
      </c>
    </row>
    <row r="1099" spans="1:12">
      <c r="A1099" s="25">
        <v>900399297</v>
      </c>
      <c r="B1099" s="26">
        <v>45596</v>
      </c>
      <c r="C1099" s="27" t="s">
        <v>1408</v>
      </c>
      <c r="D1099" s="28" t="s">
        <v>1409</v>
      </c>
      <c r="E1099" s="29" t="s">
        <v>19</v>
      </c>
      <c r="F1099" s="29" t="s">
        <v>6339</v>
      </c>
      <c r="H1099" s="26" t="s">
        <v>6656</v>
      </c>
      <c r="I1099" s="27" t="s">
        <v>176</v>
      </c>
      <c r="J1099" s="27" t="s">
        <v>99</v>
      </c>
      <c r="K1099" s="26">
        <v>45601</v>
      </c>
    </row>
    <row r="1100" spans="1:12">
      <c r="A1100" s="25">
        <v>906551690</v>
      </c>
      <c r="B1100" s="26">
        <v>45597</v>
      </c>
      <c r="C1100" s="27" t="s">
        <v>2163</v>
      </c>
      <c r="D1100" s="28" t="s">
        <v>2164</v>
      </c>
      <c r="E1100" s="29" t="s">
        <v>239</v>
      </c>
      <c r="F1100" s="29" t="s">
        <v>6339</v>
      </c>
      <c r="G1100" s="29" t="s">
        <v>6657</v>
      </c>
      <c r="H1100" s="26" t="s">
        <v>6570</v>
      </c>
      <c r="I1100" s="27" t="s">
        <v>178</v>
      </c>
      <c r="J1100" s="27" t="s">
        <v>196</v>
      </c>
      <c r="K1100" s="26">
        <v>45597</v>
      </c>
    </row>
    <row r="1101" spans="1:12">
      <c r="A1101" s="25">
        <v>918825458</v>
      </c>
      <c r="B1101" s="26">
        <v>45600</v>
      </c>
      <c r="C1101" s="27" t="s">
        <v>4740</v>
      </c>
      <c r="D1101" s="28" t="s">
        <v>4741</v>
      </c>
      <c r="E1101" s="29" t="s">
        <v>92</v>
      </c>
      <c r="F1101" s="29" t="s">
        <v>171</v>
      </c>
      <c r="H1101" s="26" t="s">
        <v>134</v>
      </c>
      <c r="I1101" s="27" t="s">
        <v>153</v>
      </c>
      <c r="J1101" s="27" t="s">
        <v>196</v>
      </c>
      <c r="K1101" s="26">
        <v>45600</v>
      </c>
      <c r="L1101" s="24" t="s">
        <v>6658</v>
      </c>
    </row>
    <row r="1102" spans="1:12">
      <c r="A1102" s="25">
        <v>918825458</v>
      </c>
      <c r="B1102" s="26">
        <v>45600</v>
      </c>
      <c r="C1102" s="27" t="s">
        <v>4740</v>
      </c>
      <c r="D1102" s="28" t="s">
        <v>4741</v>
      </c>
      <c r="E1102" s="29" t="s">
        <v>20</v>
      </c>
      <c r="F1102" s="29" t="s">
        <v>171</v>
      </c>
      <c r="H1102" s="26" t="s">
        <v>134</v>
      </c>
      <c r="I1102" s="27" t="s">
        <v>153</v>
      </c>
      <c r="J1102" s="27" t="s">
        <v>196</v>
      </c>
      <c r="K1102" s="26">
        <v>45600</v>
      </c>
    </row>
    <row r="1103" spans="1:12">
      <c r="A1103" s="25">
        <v>900064846</v>
      </c>
      <c r="B1103" s="26">
        <v>45600</v>
      </c>
      <c r="C1103" s="27" t="s">
        <v>1358</v>
      </c>
      <c r="D1103" s="28" t="s">
        <v>1359</v>
      </c>
      <c r="E1103" s="29" t="s">
        <v>227</v>
      </c>
      <c r="F1103" s="29" t="s">
        <v>171</v>
      </c>
      <c r="H1103" s="26" t="s">
        <v>218</v>
      </c>
      <c r="I1103" s="27" t="s">
        <v>153</v>
      </c>
      <c r="J1103" s="27" t="s">
        <v>153</v>
      </c>
      <c r="K1103" s="26">
        <v>45600</v>
      </c>
    </row>
    <row r="1104" spans="1:12">
      <c r="A1104" s="25">
        <v>903469650</v>
      </c>
      <c r="B1104" s="26">
        <v>45600</v>
      </c>
      <c r="C1104" s="27" t="s">
        <v>1749</v>
      </c>
      <c r="D1104" s="28" t="s">
        <v>1750</v>
      </c>
      <c r="E1104" s="29" t="s">
        <v>133</v>
      </c>
      <c r="F1104" s="29" t="s">
        <v>171</v>
      </c>
      <c r="H1104" s="26" t="s">
        <v>134</v>
      </c>
      <c r="I1104" s="27" t="s">
        <v>66</v>
      </c>
      <c r="J1104" s="27" t="s">
        <v>176</v>
      </c>
      <c r="K1104" s="26">
        <v>45600</v>
      </c>
      <c r="L1104" s="24" t="s">
        <v>6659</v>
      </c>
    </row>
    <row r="1105" spans="1:12">
      <c r="A1105" s="25">
        <v>900064846</v>
      </c>
      <c r="B1105" s="26">
        <v>45601</v>
      </c>
      <c r="C1105" s="27" t="s">
        <v>1358</v>
      </c>
      <c r="D1105" s="28" t="s">
        <v>1359</v>
      </c>
      <c r="E1105" s="29" t="s">
        <v>239</v>
      </c>
      <c r="F1105" s="29" t="s">
        <v>6339</v>
      </c>
      <c r="G1105" s="29" t="s">
        <v>6657</v>
      </c>
      <c r="H1105" s="26" t="s">
        <v>218</v>
      </c>
      <c r="I1105" s="27" t="s">
        <v>176</v>
      </c>
      <c r="J1105" s="27" t="s">
        <v>6613</v>
      </c>
      <c r="K1105" s="26">
        <v>45601</v>
      </c>
    </row>
    <row r="1106" spans="1:12">
      <c r="A1106" s="25">
        <v>918857178</v>
      </c>
      <c r="B1106" s="26">
        <v>45602</v>
      </c>
      <c r="C1106" s="27" t="s">
        <v>6087</v>
      </c>
      <c r="D1106" s="28" t="s">
        <v>6088</v>
      </c>
      <c r="E1106" s="29" t="s">
        <v>38</v>
      </c>
      <c r="F1106" s="29" t="s">
        <v>171</v>
      </c>
      <c r="H1106" s="26" t="s">
        <v>6660</v>
      </c>
      <c r="I1106" s="27" t="s">
        <v>77</v>
      </c>
      <c r="J1106" s="27" t="s">
        <v>61</v>
      </c>
      <c r="K1106" s="26">
        <v>45635</v>
      </c>
    </row>
    <row r="1107" spans="1:12">
      <c r="A1107" s="25">
        <v>918848078</v>
      </c>
      <c r="B1107" s="26">
        <v>45602</v>
      </c>
      <c r="C1107" s="27" t="s">
        <v>5308</v>
      </c>
      <c r="D1107" s="28" t="s">
        <v>5309</v>
      </c>
      <c r="E1107" s="29" t="s">
        <v>20</v>
      </c>
      <c r="F1107" s="29" t="s">
        <v>171</v>
      </c>
      <c r="H1107" s="26" t="s">
        <v>134</v>
      </c>
      <c r="I1107" s="27" t="s">
        <v>61</v>
      </c>
      <c r="J1107" s="27" t="s">
        <v>61</v>
      </c>
      <c r="K1107" s="26">
        <v>45602</v>
      </c>
    </row>
    <row r="1108" spans="1:12">
      <c r="A1108" s="25">
        <v>912985559</v>
      </c>
      <c r="B1108" s="26">
        <v>45602</v>
      </c>
      <c r="C1108" s="27" t="s">
        <v>3456</v>
      </c>
      <c r="D1108" s="28" t="s">
        <v>3457</v>
      </c>
      <c r="E1108" s="29" t="s">
        <v>239</v>
      </c>
      <c r="F1108" s="29" t="s">
        <v>171</v>
      </c>
      <c r="G1108" s="29" t="s">
        <v>256</v>
      </c>
      <c r="H1108" s="26" t="s">
        <v>6265</v>
      </c>
      <c r="I1108" s="27" t="s">
        <v>61</v>
      </c>
      <c r="J1108" s="27" t="s">
        <v>99</v>
      </c>
      <c r="K1108" s="26">
        <v>45603</v>
      </c>
      <c r="L1108" s="24" t="s">
        <v>6661</v>
      </c>
    </row>
    <row r="1109" spans="1:12">
      <c r="A1109" s="25" t="s">
        <v>6662</v>
      </c>
      <c r="B1109" s="26">
        <v>45602</v>
      </c>
      <c r="E1109" s="29" t="s">
        <v>6475</v>
      </c>
      <c r="F1109" s="29" t="s">
        <v>171</v>
      </c>
      <c r="G1109" s="29" t="s">
        <v>6633</v>
      </c>
      <c r="H1109" s="26" t="s">
        <v>218</v>
      </c>
      <c r="I1109" s="27" t="s">
        <v>66</v>
      </c>
      <c r="J1109" s="27" t="s">
        <v>153</v>
      </c>
      <c r="K1109" s="26">
        <v>45602</v>
      </c>
      <c r="L1109" s="24" t="s">
        <v>6663</v>
      </c>
    </row>
    <row r="1110" spans="1:12">
      <c r="A1110" s="25">
        <v>900064846</v>
      </c>
      <c r="B1110" s="26">
        <v>45603</v>
      </c>
      <c r="C1110" s="27" t="s">
        <v>1358</v>
      </c>
      <c r="D1110" s="28" t="s">
        <v>1359</v>
      </c>
      <c r="E1110" s="29" t="s">
        <v>239</v>
      </c>
      <c r="F1110" s="29" t="s">
        <v>6339</v>
      </c>
      <c r="G1110" s="29" t="s">
        <v>274</v>
      </c>
      <c r="H1110" s="26" t="s">
        <v>215</v>
      </c>
      <c r="I1110" s="27" t="s">
        <v>196</v>
      </c>
      <c r="J1110" s="27" t="s">
        <v>190</v>
      </c>
      <c r="K1110" s="26">
        <v>45603</v>
      </c>
    </row>
    <row r="1111" spans="1:12">
      <c r="A1111" s="25">
        <v>923644654</v>
      </c>
      <c r="B1111" s="26">
        <v>45603</v>
      </c>
      <c r="C1111" s="27" t="s">
        <v>6143</v>
      </c>
      <c r="D1111" s="28" t="s">
        <v>6144</v>
      </c>
      <c r="E1111" s="29" t="s">
        <v>42</v>
      </c>
      <c r="F1111" s="29" t="e">
        <v>#REF!</v>
      </c>
      <c r="H1111" s="26" t="s">
        <v>6271</v>
      </c>
      <c r="I1111" s="27" t="s">
        <v>190</v>
      </c>
      <c r="J1111" s="27" t="s">
        <v>190</v>
      </c>
      <c r="K1111" s="26">
        <v>45603</v>
      </c>
    </row>
    <row r="1112" spans="1:12">
      <c r="A1112" s="25">
        <v>915553046</v>
      </c>
      <c r="B1112" s="26">
        <v>45603</v>
      </c>
      <c r="C1112" s="27" t="s">
        <v>5874</v>
      </c>
      <c r="D1112" s="28" t="s">
        <v>5875</v>
      </c>
      <c r="E1112" s="29" t="s">
        <v>175</v>
      </c>
      <c r="F1112" s="29" t="s">
        <v>171</v>
      </c>
      <c r="H1112" s="26" t="s">
        <v>127</v>
      </c>
      <c r="I1112" s="27" t="s">
        <v>155</v>
      </c>
      <c r="J1112" s="27" t="s">
        <v>155</v>
      </c>
      <c r="K1112" s="26">
        <v>45603</v>
      </c>
    </row>
    <row r="1113" spans="1:12">
      <c r="A1113" s="25">
        <v>918834805</v>
      </c>
      <c r="B1113" s="26">
        <v>45603</v>
      </c>
      <c r="C1113" s="27" t="s">
        <v>4984</v>
      </c>
      <c r="D1113" s="28" t="s">
        <v>4985</v>
      </c>
      <c r="E1113" s="29" t="s">
        <v>239</v>
      </c>
      <c r="F1113" s="29" t="s">
        <v>6339</v>
      </c>
      <c r="G1113" s="29" t="s">
        <v>6657</v>
      </c>
      <c r="H1113" s="26" t="s">
        <v>6271</v>
      </c>
      <c r="I1113" s="27" t="s">
        <v>155</v>
      </c>
      <c r="J1113" s="27" t="s">
        <v>178</v>
      </c>
      <c r="K1113" s="26">
        <v>45603</v>
      </c>
    </row>
    <row r="1114" spans="1:12">
      <c r="A1114" s="25">
        <v>900064846</v>
      </c>
      <c r="B1114" s="26">
        <v>45608</v>
      </c>
      <c r="C1114" s="27" t="s">
        <v>1358</v>
      </c>
      <c r="D1114" s="28" t="s">
        <v>1359</v>
      </c>
      <c r="E1114" s="29" t="s">
        <v>239</v>
      </c>
      <c r="F1114" s="29" t="s">
        <v>6339</v>
      </c>
      <c r="G1114" s="29" t="s">
        <v>258</v>
      </c>
      <c r="H1114" s="26" t="s">
        <v>180</v>
      </c>
      <c r="I1114" s="27" t="s">
        <v>155</v>
      </c>
      <c r="J1114" s="27" t="s">
        <v>155</v>
      </c>
      <c r="K1114" s="26">
        <v>45608</v>
      </c>
    </row>
    <row r="1115" spans="1:12">
      <c r="A1115" s="25">
        <v>900012001</v>
      </c>
      <c r="B1115" s="26">
        <v>45608</v>
      </c>
      <c r="C1115" s="27" t="s">
        <v>661</v>
      </c>
      <c r="D1115" s="28" t="s">
        <v>662</v>
      </c>
      <c r="E1115" s="29" t="s">
        <v>6475</v>
      </c>
      <c r="F1115" s="29" t="s">
        <v>171</v>
      </c>
      <c r="H1115" s="26" t="s">
        <v>6632</v>
      </c>
      <c r="I1115" s="27" t="s">
        <v>176</v>
      </c>
      <c r="J1115" s="27" t="s">
        <v>176</v>
      </c>
      <c r="K1115" s="26">
        <v>45608</v>
      </c>
      <c r="L1115" s="24" t="s">
        <v>6664</v>
      </c>
    </row>
    <row r="1116" spans="1:12">
      <c r="A1116" s="25">
        <v>917243150</v>
      </c>
      <c r="B1116" s="26">
        <v>45609</v>
      </c>
      <c r="C1116" s="27" t="s">
        <v>4356</v>
      </c>
      <c r="D1116" s="28" t="s">
        <v>4357</v>
      </c>
      <c r="E1116" s="29" t="s">
        <v>239</v>
      </c>
      <c r="F1116" s="29" t="s">
        <v>171</v>
      </c>
      <c r="H1116" s="26" t="s">
        <v>6265</v>
      </c>
      <c r="I1116" s="27" t="s">
        <v>99</v>
      </c>
      <c r="J1116" s="27" t="s">
        <v>176</v>
      </c>
      <c r="K1116" s="26">
        <v>45610</v>
      </c>
    </row>
    <row r="1117" spans="1:12">
      <c r="A1117" s="25">
        <v>900663886</v>
      </c>
      <c r="B1117" s="26">
        <v>45610</v>
      </c>
      <c r="C1117" s="27" t="s">
        <v>1404</v>
      </c>
      <c r="D1117" s="28" t="s">
        <v>1405</v>
      </c>
      <c r="E1117" s="29" t="s">
        <v>38</v>
      </c>
      <c r="F1117" s="29" t="s">
        <v>171</v>
      </c>
      <c r="G1117" s="29" t="s">
        <v>6665</v>
      </c>
      <c r="H1117" s="26" t="s">
        <v>180</v>
      </c>
      <c r="I1117" s="27" t="s">
        <v>99</v>
      </c>
      <c r="J1117" s="27" t="s">
        <v>178</v>
      </c>
      <c r="K1117" s="26">
        <v>45610</v>
      </c>
    </row>
    <row r="1118" spans="1:12">
      <c r="A1118" s="25">
        <v>900663886</v>
      </c>
      <c r="B1118" s="26">
        <v>45610</v>
      </c>
      <c r="C1118" s="27" t="s">
        <v>1404</v>
      </c>
      <c r="D1118" s="28" t="s">
        <v>1405</v>
      </c>
      <c r="E1118" s="29" t="s">
        <v>227</v>
      </c>
      <c r="F1118" s="29" t="s">
        <v>171</v>
      </c>
      <c r="H1118" s="26" t="s">
        <v>180</v>
      </c>
      <c r="I1118" s="27" t="s">
        <v>99</v>
      </c>
      <c r="J1118" s="27" t="s">
        <v>178</v>
      </c>
      <c r="K1118" s="26">
        <v>45610</v>
      </c>
    </row>
    <row r="1119" spans="1:12">
      <c r="A1119" s="25">
        <v>918850951</v>
      </c>
      <c r="B1119" s="26">
        <v>45610</v>
      </c>
      <c r="C1119" s="27" t="s">
        <v>5449</v>
      </c>
      <c r="D1119" s="28" t="s">
        <v>5450</v>
      </c>
      <c r="E1119" s="29" t="s">
        <v>128</v>
      </c>
      <c r="F1119" s="29" t="s">
        <v>171</v>
      </c>
      <c r="H1119" s="26">
        <v>45628</v>
      </c>
      <c r="I1119" s="27" t="s">
        <v>99</v>
      </c>
      <c r="J1119" s="27" t="s">
        <v>196</v>
      </c>
      <c r="K1119" s="26">
        <v>45631</v>
      </c>
      <c r="L1119" s="24" t="s">
        <v>6666</v>
      </c>
    </row>
    <row r="1120" spans="1:12">
      <c r="A1120" s="25">
        <v>918850951</v>
      </c>
      <c r="B1120" s="26">
        <v>45610</v>
      </c>
      <c r="C1120" s="27" t="s">
        <v>5449</v>
      </c>
      <c r="D1120" s="28" t="s">
        <v>5450</v>
      </c>
      <c r="E1120" s="29" t="s">
        <v>263</v>
      </c>
      <c r="F1120" s="29" t="s">
        <v>171</v>
      </c>
      <c r="H1120" s="26">
        <v>45628</v>
      </c>
      <c r="I1120" s="27" t="s">
        <v>99</v>
      </c>
      <c r="J1120" s="27" t="s">
        <v>196</v>
      </c>
      <c r="K1120" s="26">
        <v>45631</v>
      </c>
      <c r="L1120" s="24" t="s">
        <v>6667</v>
      </c>
    </row>
    <row r="1121" spans="1:12">
      <c r="A1121" s="25">
        <v>918850951</v>
      </c>
      <c r="B1121" s="26">
        <v>45610</v>
      </c>
      <c r="C1121" s="27" t="s">
        <v>5449</v>
      </c>
      <c r="D1121" s="28" t="s">
        <v>5450</v>
      </c>
      <c r="E1121" s="29" t="s">
        <v>6385</v>
      </c>
      <c r="F1121" s="29" t="s">
        <v>171</v>
      </c>
      <c r="H1121" s="26">
        <v>45628</v>
      </c>
      <c r="I1121" s="27" t="s">
        <v>99</v>
      </c>
      <c r="J1121" s="27" t="s">
        <v>196</v>
      </c>
      <c r="K1121" s="26">
        <v>45631</v>
      </c>
      <c r="L1121" s="24" t="s">
        <v>6668</v>
      </c>
    </row>
    <row r="1122" spans="1:12">
      <c r="A1122" s="25">
        <v>900001432</v>
      </c>
      <c r="B1122" s="26">
        <v>45610</v>
      </c>
      <c r="C1122" s="27" t="s">
        <v>389</v>
      </c>
      <c r="D1122" s="28" t="s">
        <v>390</v>
      </c>
      <c r="E1122" s="29" t="s">
        <v>35</v>
      </c>
      <c r="F1122" s="29" t="s">
        <v>171</v>
      </c>
      <c r="H1122" s="26">
        <v>45617</v>
      </c>
      <c r="I1122" s="27" t="s">
        <v>176</v>
      </c>
      <c r="J1122" s="27" t="s">
        <v>178</v>
      </c>
      <c r="K1122" s="26">
        <v>45617</v>
      </c>
    </row>
    <row r="1123" spans="1:12">
      <c r="A1123" s="25">
        <v>900001432</v>
      </c>
      <c r="B1123" s="26">
        <v>45610</v>
      </c>
      <c r="C1123" s="27" t="s">
        <v>389</v>
      </c>
      <c r="D1123" s="28" t="s">
        <v>390</v>
      </c>
      <c r="E1123" s="29" t="s">
        <v>151</v>
      </c>
      <c r="F1123" s="29" t="s">
        <v>171</v>
      </c>
      <c r="G1123" s="29">
        <v>70294</v>
      </c>
      <c r="H1123" s="26">
        <v>45617</v>
      </c>
      <c r="I1123" s="27" t="s">
        <v>176</v>
      </c>
      <c r="J1123" s="27" t="s">
        <v>178</v>
      </c>
      <c r="K1123" s="26">
        <v>45617</v>
      </c>
    </row>
    <row r="1124" spans="1:12">
      <c r="A1124" s="25">
        <v>918847207</v>
      </c>
      <c r="B1124" s="26">
        <v>45614</v>
      </c>
      <c r="C1124" s="27" t="s">
        <v>5286</v>
      </c>
      <c r="D1124" s="28" t="s">
        <v>5287</v>
      </c>
      <c r="E1124" s="29" t="s">
        <v>6475</v>
      </c>
      <c r="F1124" s="29" t="s">
        <v>6339</v>
      </c>
      <c r="G1124" s="29" t="s">
        <v>6617</v>
      </c>
      <c r="H1124" s="26" t="s">
        <v>218</v>
      </c>
      <c r="I1124" s="27" t="s">
        <v>153</v>
      </c>
      <c r="J1124" s="27" t="s">
        <v>153</v>
      </c>
      <c r="K1124" s="26">
        <v>45614</v>
      </c>
    </row>
    <row r="1125" spans="1:12">
      <c r="A1125" s="25">
        <v>907608902</v>
      </c>
      <c r="B1125" s="26">
        <v>45615</v>
      </c>
      <c r="C1125" s="27" t="s">
        <v>2351</v>
      </c>
      <c r="D1125" s="28" t="s">
        <v>2352</v>
      </c>
      <c r="E1125" s="29" t="s">
        <v>269</v>
      </c>
      <c r="F1125" s="29" t="s">
        <v>171</v>
      </c>
      <c r="H1125" s="26">
        <v>45629</v>
      </c>
      <c r="I1125" s="27" t="s">
        <v>176</v>
      </c>
      <c r="J1125" s="27" t="s">
        <v>190</v>
      </c>
      <c r="K1125" s="26">
        <v>45629</v>
      </c>
      <c r="L1125" s="24" t="s">
        <v>6669</v>
      </c>
    </row>
    <row r="1126" spans="1:12">
      <c r="A1126" s="25">
        <v>902442988</v>
      </c>
      <c r="B1126" s="26">
        <v>45615</v>
      </c>
      <c r="C1126" s="27" t="s">
        <v>1639</v>
      </c>
      <c r="D1126" s="28" t="s">
        <v>1640</v>
      </c>
      <c r="E1126" s="29" t="s">
        <v>12</v>
      </c>
      <c r="F1126" s="29" t="s">
        <v>171</v>
      </c>
      <c r="H1126" s="26">
        <v>45615</v>
      </c>
      <c r="I1126" s="27" t="s">
        <v>176</v>
      </c>
      <c r="J1126" s="27" t="s">
        <v>176</v>
      </c>
      <c r="K1126" s="26">
        <v>45615</v>
      </c>
    </row>
    <row r="1127" spans="1:12">
      <c r="A1127" s="25">
        <v>912996037</v>
      </c>
      <c r="B1127" s="26">
        <v>45616</v>
      </c>
      <c r="C1127" s="27" t="s">
        <v>3466</v>
      </c>
      <c r="D1127" s="28" t="s">
        <v>3467</v>
      </c>
      <c r="E1127" s="29" t="s">
        <v>239</v>
      </c>
      <c r="F1127" s="29" t="s">
        <v>171</v>
      </c>
      <c r="G1127" s="29" t="s">
        <v>240</v>
      </c>
      <c r="H1127" s="26">
        <v>45618</v>
      </c>
      <c r="I1127" s="27" t="s">
        <v>153</v>
      </c>
      <c r="J1127" s="27" t="s">
        <v>178</v>
      </c>
      <c r="K1127" s="26">
        <v>45617</v>
      </c>
      <c r="L1127" s="24" t="s">
        <v>6670</v>
      </c>
    </row>
    <row r="1128" spans="1:12">
      <c r="A1128" s="25">
        <v>918834805</v>
      </c>
      <c r="B1128" s="26">
        <v>45616</v>
      </c>
      <c r="C1128" s="27" t="s">
        <v>4984</v>
      </c>
      <c r="D1128" s="28" t="s">
        <v>4985</v>
      </c>
      <c r="E1128" s="29" t="s">
        <v>239</v>
      </c>
      <c r="F1128" s="29" t="s">
        <v>6339</v>
      </c>
      <c r="G1128" s="29" t="s">
        <v>6528</v>
      </c>
      <c r="H1128" s="26" t="s">
        <v>6671</v>
      </c>
      <c r="I1128" s="27" t="s">
        <v>99</v>
      </c>
      <c r="J1128" s="27" t="s">
        <v>153</v>
      </c>
      <c r="K1128" s="26">
        <v>45616</v>
      </c>
    </row>
    <row r="1129" spans="1:12">
      <c r="A1129" s="25">
        <v>900035609</v>
      </c>
      <c r="B1129" s="26">
        <v>45617</v>
      </c>
      <c r="C1129" s="27" t="s">
        <v>6147</v>
      </c>
      <c r="D1129" s="28" t="s">
        <v>6148</v>
      </c>
      <c r="E1129" s="29" t="s">
        <v>239</v>
      </c>
      <c r="F1129" s="29" t="s">
        <v>171</v>
      </c>
      <c r="G1129" s="29" t="s">
        <v>6528</v>
      </c>
      <c r="H1129" s="26" t="s">
        <v>6672</v>
      </c>
      <c r="I1129" s="27" t="s">
        <v>211</v>
      </c>
      <c r="J1129" s="27" t="s">
        <v>196</v>
      </c>
      <c r="K1129" s="26">
        <v>45617</v>
      </c>
    </row>
    <row r="1130" spans="1:12">
      <c r="A1130" s="25">
        <v>900012690</v>
      </c>
      <c r="B1130" s="26">
        <v>45617</v>
      </c>
      <c r="C1130" s="27" t="s">
        <v>673</v>
      </c>
      <c r="D1130" s="28" t="s">
        <v>674</v>
      </c>
      <c r="E1130" s="29" t="s">
        <v>20</v>
      </c>
      <c r="F1130" s="29" t="s">
        <v>171</v>
      </c>
      <c r="H1130" s="26" t="s">
        <v>127</v>
      </c>
      <c r="I1130" s="27" t="s">
        <v>196</v>
      </c>
      <c r="J1130" s="27" t="s">
        <v>196</v>
      </c>
      <c r="K1130" s="26">
        <v>45631</v>
      </c>
    </row>
    <row r="1131" spans="1:12">
      <c r="A1131" s="25">
        <v>917259257</v>
      </c>
      <c r="B1131" s="26">
        <v>45617</v>
      </c>
      <c r="C1131" s="27" t="s">
        <v>4392</v>
      </c>
      <c r="D1131" s="28" t="s">
        <v>4393</v>
      </c>
      <c r="E1131" s="29" t="s">
        <v>51</v>
      </c>
      <c r="F1131" s="29" t="s">
        <v>171</v>
      </c>
      <c r="I1131" s="27" t="s">
        <v>176</v>
      </c>
      <c r="J1131" s="27" t="s">
        <v>176</v>
      </c>
      <c r="K1131" s="26">
        <v>45617</v>
      </c>
      <c r="L1131" s="24" t="s">
        <v>6673</v>
      </c>
    </row>
    <row r="1132" spans="1:12">
      <c r="A1132" s="25">
        <v>918834805</v>
      </c>
      <c r="B1132" s="26">
        <v>45617</v>
      </c>
      <c r="C1132" s="27" t="s">
        <v>4984</v>
      </c>
      <c r="D1132" s="28" t="s">
        <v>4985</v>
      </c>
      <c r="E1132" s="29" t="s">
        <v>239</v>
      </c>
      <c r="F1132" s="29" t="s">
        <v>6339</v>
      </c>
      <c r="G1132" s="29" t="s">
        <v>6528</v>
      </c>
      <c r="H1132" s="26" t="s">
        <v>218</v>
      </c>
      <c r="I1132" s="27" t="s">
        <v>178</v>
      </c>
      <c r="J1132" s="27" t="s">
        <v>178</v>
      </c>
      <c r="K1132" s="26">
        <v>45616</v>
      </c>
    </row>
    <row r="1133" spans="1:12">
      <c r="A1133" s="25">
        <v>916958554</v>
      </c>
      <c r="B1133" s="26">
        <v>45628</v>
      </c>
      <c r="C1133" s="27" t="s">
        <v>6149</v>
      </c>
      <c r="D1133" s="28" t="s">
        <v>6150</v>
      </c>
      <c r="E1133" s="29" t="s">
        <v>58</v>
      </c>
      <c r="F1133" s="29" t="s">
        <v>6339</v>
      </c>
      <c r="H1133" s="26">
        <v>45630</v>
      </c>
      <c r="I1133" s="27" t="s">
        <v>61</v>
      </c>
      <c r="J1133" s="27" t="s">
        <v>72</v>
      </c>
      <c r="K1133" s="26">
        <v>45628</v>
      </c>
    </row>
    <row r="1134" spans="1:12">
      <c r="A1134" s="25">
        <v>916958554</v>
      </c>
      <c r="B1134" s="26">
        <v>45628</v>
      </c>
      <c r="C1134" s="27" t="s">
        <v>6149</v>
      </c>
      <c r="D1134" s="28" t="s">
        <v>6150</v>
      </c>
      <c r="E1134" s="29" t="s">
        <v>76</v>
      </c>
      <c r="F1134" s="29" t="s">
        <v>171</v>
      </c>
      <c r="H1134" s="26">
        <v>45630</v>
      </c>
      <c r="I1134" s="27" t="s">
        <v>61</v>
      </c>
      <c r="J1134" s="27" t="s">
        <v>72</v>
      </c>
      <c r="K1134" s="26">
        <v>45628</v>
      </c>
    </row>
    <row r="1135" spans="1:12">
      <c r="A1135" s="25">
        <v>916958554</v>
      </c>
      <c r="B1135" s="26">
        <v>45628</v>
      </c>
      <c r="C1135" s="27" t="s">
        <v>6149</v>
      </c>
      <c r="D1135" s="28" t="s">
        <v>6150</v>
      </c>
      <c r="E1135" s="29" t="s">
        <v>188</v>
      </c>
      <c r="F1135" s="29" t="s">
        <v>6339</v>
      </c>
      <c r="H1135" s="26">
        <v>45630</v>
      </c>
      <c r="I1135" s="27" t="s">
        <v>61</v>
      </c>
      <c r="J1135" s="27" t="s">
        <v>196</v>
      </c>
      <c r="K1135" s="26">
        <v>45628</v>
      </c>
    </row>
    <row r="1136" spans="1:12">
      <c r="A1136" s="25">
        <v>900012001</v>
      </c>
      <c r="B1136" s="26">
        <v>45629</v>
      </c>
      <c r="C1136" s="27" t="s">
        <v>661</v>
      </c>
      <c r="D1136" s="28" t="s">
        <v>662</v>
      </c>
      <c r="E1136" s="29" t="s">
        <v>35</v>
      </c>
      <c r="F1136" s="29" t="s">
        <v>171</v>
      </c>
      <c r="H1136" s="26">
        <v>45629</v>
      </c>
      <c r="I1136" s="27" t="s">
        <v>176</v>
      </c>
      <c r="J1136" s="27" t="s">
        <v>176</v>
      </c>
      <c r="K1136" s="26">
        <v>45629</v>
      </c>
    </row>
    <row r="1137" spans="1:12">
      <c r="A1137" s="25">
        <v>900003720</v>
      </c>
      <c r="B1137" s="26">
        <v>45629</v>
      </c>
      <c r="C1137" s="27" t="s">
        <v>447</v>
      </c>
      <c r="D1137" s="28" t="s">
        <v>448</v>
      </c>
      <c r="E1137" s="29" t="s">
        <v>138</v>
      </c>
      <c r="F1137" s="29" t="s">
        <v>171</v>
      </c>
      <c r="H1137" s="26" t="s">
        <v>134</v>
      </c>
      <c r="I1137" s="27" t="s">
        <v>99</v>
      </c>
      <c r="J1137" s="27" t="s">
        <v>99</v>
      </c>
      <c r="K1137" s="26">
        <v>45629</v>
      </c>
      <c r="L1137" s="24" t="s">
        <v>6674</v>
      </c>
    </row>
    <row r="1138" spans="1:12">
      <c r="A1138" s="25">
        <v>916479452</v>
      </c>
      <c r="B1138" s="26">
        <v>45630</v>
      </c>
      <c r="C1138" s="27" t="s">
        <v>4102</v>
      </c>
      <c r="D1138" s="28" t="s">
        <v>4103</v>
      </c>
      <c r="E1138" s="29" t="s">
        <v>20</v>
      </c>
      <c r="F1138" s="29" t="s">
        <v>171</v>
      </c>
      <c r="H1138" s="26" t="s">
        <v>134</v>
      </c>
      <c r="I1138" s="27" t="s">
        <v>61</v>
      </c>
      <c r="J1138" s="27" t="s">
        <v>153</v>
      </c>
      <c r="K1138" s="26">
        <v>45630</v>
      </c>
    </row>
    <row r="1139" spans="1:12">
      <c r="A1139" s="25">
        <v>916572038</v>
      </c>
      <c r="B1139" s="26">
        <v>45630</v>
      </c>
      <c r="C1139" s="27" t="s">
        <v>6155</v>
      </c>
      <c r="D1139" s="28" t="s">
        <v>6156</v>
      </c>
      <c r="E1139" s="29" t="s">
        <v>263</v>
      </c>
      <c r="F1139" s="29" t="s">
        <v>171</v>
      </c>
      <c r="H1139" s="26">
        <v>45631</v>
      </c>
      <c r="I1139" s="27" t="s">
        <v>176</v>
      </c>
      <c r="J1139" s="27" t="s">
        <v>176</v>
      </c>
      <c r="K1139" s="26">
        <v>45631</v>
      </c>
    </row>
    <row r="1140" spans="1:12">
      <c r="A1140" s="25">
        <v>918833999</v>
      </c>
      <c r="B1140" s="26">
        <v>45631</v>
      </c>
      <c r="C1140" s="27" t="s">
        <v>4956</v>
      </c>
      <c r="D1140" s="28" t="s">
        <v>4957</v>
      </c>
      <c r="E1140" s="29" t="s">
        <v>20</v>
      </c>
      <c r="F1140" s="29" t="s">
        <v>6339</v>
      </c>
      <c r="G1140" s="29" t="s">
        <v>6675</v>
      </c>
      <c r="H1140" s="26" t="s">
        <v>218</v>
      </c>
      <c r="I1140" s="27" t="s">
        <v>178</v>
      </c>
      <c r="J1140" s="27" t="s">
        <v>178</v>
      </c>
      <c r="K1140" s="26">
        <v>45631</v>
      </c>
    </row>
    <row r="1141" spans="1:12">
      <c r="A1141" s="25">
        <v>918833999</v>
      </c>
      <c r="B1141" s="26">
        <v>45632</v>
      </c>
      <c r="C1141" s="27" t="s">
        <v>4956</v>
      </c>
      <c r="D1141" s="28" t="s">
        <v>4957</v>
      </c>
      <c r="E1141" s="29" t="s">
        <v>20</v>
      </c>
      <c r="F1141" s="29" t="s">
        <v>6339</v>
      </c>
      <c r="G1141" s="29" t="s">
        <v>6675</v>
      </c>
      <c r="H1141" s="26" t="s">
        <v>6676</v>
      </c>
      <c r="I1141" s="27" t="s">
        <v>131</v>
      </c>
      <c r="J1141" s="27" t="s">
        <v>61</v>
      </c>
      <c r="K1141" s="26">
        <v>45635</v>
      </c>
    </row>
    <row r="1142" spans="1:12">
      <c r="A1142" s="25">
        <v>900023064</v>
      </c>
      <c r="B1142" s="26">
        <v>45635</v>
      </c>
      <c r="C1142" s="27" t="s">
        <v>896</v>
      </c>
      <c r="D1142" s="28" t="s">
        <v>897</v>
      </c>
      <c r="E1142" s="29" t="s">
        <v>239</v>
      </c>
      <c r="F1142" s="29" t="s">
        <v>171</v>
      </c>
      <c r="G1142" s="29" t="s">
        <v>258</v>
      </c>
      <c r="H1142" s="26" t="s">
        <v>134</v>
      </c>
      <c r="I1142" s="27" t="s">
        <v>61</v>
      </c>
      <c r="J1142" s="27" t="s">
        <v>190</v>
      </c>
      <c r="K1142" s="26">
        <v>45636</v>
      </c>
      <c r="L1142" s="24" t="s">
        <v>6677</v>
      </c>
    </row>
    <row r="1143" spans="1:12">
      <c r="A1143" s="25">
        <v>915882271</v>
      </c>
      <c r="B1143" s="26">
        <v>45519.615400000002</v>
      </c>
      <c r="C1143" s="27" t="s">
        <v>3940</v>
      </c>
      <c r="D1143" s="28" t="s">
        <v>3941</v>
      </c>
      <c r="E1143" s="29" t="s">
        <v>6475</v>
      </c>
      <c r="F1143" s="29" t="s">
        <v>171</v>
      </c>
      <c r="G1143" s="29" t="s">
        <v>6557</v>
      </c>
      <c r="H1143" s="26" t="s">
        <v>134</v>
      </c>
      <c r="I1143" s="27" t="s">
        <v>72</v>
      </c>
      <c r="J1143" s="27" t="s">
        <v>66</v>
      </c>
      <c r="K1143" s="26">
        <v>45637.440073611113</v>
      </c>
    </row>
    <row r="1144" spans="1:12">
      <c r="A1144" s="25">
        <v>918844620</v>
      </c>
      <c r="B1144" s="26">
        <v>45397.449385763888</v>
      </c>
      <c r="C1144" s="27" t="s">
        <v>5992</v>
      </c>
      <c r="D1144" s="28" t="s">
        <v>5993</v>
      </c>
      <c r="E1144" s="29" t="s">
        <v>239</v>
      </c>
      <c r="F1144" s="29" t="s">
        <v>171</v>
      </c>
      <c r="G1144" s="29" t="s">
        <v>6555</v>
      </c>
      <c r="H1144" s="26" t="s">
        <v>180</v>
      </c>
      <c r="I1144" s="27" t="s">
        <v>176</v>
      </c>
      <c r="J1144" s="27" t="s">
        <v>66</v>
      </c>
      <c r="K1144" s="26">
        <v>45637.441770254627</v>
      </c>
    </row>
    <row r="1145" spans="1:12">
      <c r="A1145" s="25">
        <v>900017656</v>
      </c>
      <c r="B1145" s="26">
        <v>45425.420285300926</v>
      </c>
      <c r="C1145" s="27" t="s">
        <v>792</v>
      </c>
      <c r="D1145" s="28" t="s">
        <v>793</v>
      </c>
      <c r="E1145" s="29" t="s">
        <v>6475</v>
      </c>
      <c r="F1145" s="29" t="s">
        <v>171</v>
      </c>
      <c r="G1145" s="29" t="s">
        <v>6530</v>
      </c>
      <c r="H1145" s="26" t="s">
        <v>6678</v>
      </c>
      <c r="I1145" s="27" t="s">
        <v>153</v>
      </c>
      <c r="J1145" s="27" t="s">
        <v>66</v>
      </c>
      <c r="K1145" s="26">
        <v>45637.440845370373</v>
      </c>
    </row>
    <row r="1146" spans="1:12">
      <c r="A1146" s="25">
        <v>912993814</v>
      </c>
      <c r="B1146" s="26">
        <v>45496.470234953704</v>
      </c>
      <c r="C1146" s="27">
        <v>45496.470234953704</v>
      </c>
      <c r="D1146" s="28" t="s">
        <v>3465</v>
      </c>
      <c r="E1146" s="29" t="s">
        <v>239</v>
      </c>
      <c r="F1146" s="29" t="s">
        <v>171</v>
      </c>
      <c r="G1146" s="29" t="s">
        <v>240</v>
      </c>
      <c r="H1146" s="26" t="s">
        <v>6271</v>
      </c>
      <c r="I1146" s="27" t="s">
        <v>72</v>
      </c>
      <c r="J1146" s="27" t="s">
        <v>66</v>
      </c>
      <c r="K1146" s="26">
        <v>45637.441095833332</v>
      </c>
    </row>
    <row r="1147" spans="1:12">
      <c r="A1147" s="25">
        <v>900051209</v>
      </c>
      <c r="B1147" s="26">
        <v>45538.525068055555</v>
      </c>
      <c r="C1147" s="27" t="s">
        <v>1308</v>
      </c>
      <c r="D1147" s="28" t="s">
        <v>1309</v>
      </c>
      <c r="E1147" s="29" t="s">
        <v>239</v>
      </c>
      <c r="F1147" s="29" t="s">
        <v>171</v>
      </c>
      <c r="G1147" s="29" t="s">
        <v>6555</v>
      </c>
      <c r="H1147" s="26">
        <v>45540</v>
      </c>
      <c r="I1147" s="27" t="s">
        <v>66</v>
      </c>
      <c r="J1147" s="27" t="s">
        <v>66</v>
      </c>
      <c r="K1147" s="26">
        <v>45637.441843171298</v>
      </c>
      <c r="L1147" s="24" t="s">
        <v>6679</v>
      </c>
    </row>
    <row r="1148" spans="1:12">
      <c r="A1148" s="25">
        <v>900027965</v>
      </c>
      <c r="B1148" s="26">
        <v>45566.38809537037</v>
      </c>
      <c r="C1148" s="27" t="s">
        <v>962</v>
      </c>
      <c r="D1148" s="28" t="s">
        <v>963</v>
      </c>
      <c r="E1148" s="29" t="s">
        <v>239</v>
      </c>
      <c r="F1148" s="29" t="s">
        <v>171</v>
      </c>
      <c r="G1148" s="29" t="s">
        <v>240</v>
      </c>
      <c r="H1148" s="26" t="s">
        <v>180</v>
      </c>
      <c r="I1148" s="27" t="s">
        <v>176</v>
      </c>
      <c r="J1148" s="27" t="s">
        <v>66</v>
      </c>
      <c r="K1148" s="26">
        <v>45637.441512962963</v>
      </c>
    </row>
    <row r="1149" spans="1:12">
      <c r="A1149" s="25">
        <v>912930504</v>
      </c>
      <c r="B1149" s="26">
        <v>45527.622619097223</v>
      </c>
      <c r="C1149" s="27" t="s">
        <v>3406</v>
      </c>
      <c r="D1149" s="28" t="s">
        <v>3407</v>
      </c>
      <c r="E1149" s="29" t="s">
        <v>35</v>
      </c>
      <c r="F1149" s="29" t="s">
        <v>171</v>
      </c>
      <c r="H1149" s="26" t="s">
        <v>127</v>
      </c>
      <c r="I1149" s="27" t="s">
        <v>99</v>
      </c>
      <c r="J1149" s="27" t="s">
        <v>190</v>
      </c>
      <c r="K1149" s="26">
        <v>45638.597483564816</v>
      </c>
    </row>
    <row r="1150" spans="1:12">
      <c r="A1150" s="25">
        <v>900043409</v>
      </c>
      <c r="B1150" s="26">
        <v>45533.890473611114</v>
      </c>
      <c r="C1150" s="27" t="s">
        <v>1226</v>
      </c>
      <c r="D1150" s="28" t="s">
        <v>1227</v>
      </c>
      <c r="E1150" s="29" t="s">
        <v>140</v>
      </c>
      <c r="F1150" s="29" t="s">
        <v>171</v>
      </c>
      <c r="H1150" s="26">
        <v>45597</v>
      </c>
      <c r="I1150" s="27" t="s">
        <v>155</v>
      </c>
      <c r="J1150" s="27" t="s">
        <v>176</v>
      </c>
      <c r="K1150" s="26">
        <v>45638.582785416664</v>
      </c>
    </row>
    <row r="1151" spans="1:12">
      <c r="A1151" s="25">
        <v>921345149</v>
      </c>
      <c r="B1151" s="26">
        <v>45628.424292129632</v>
      </c>
      <c r="C1151" s="27" t="s">
        <v>6151</v>
      </c>
      <c r="D1151" s="28" t="s">
        <v>6152</v>
      </c>
      <c r="E1151" s="29" t="s">
        <v>280</v>
      </c>
      <c r="F1151" s="29" t="s">
        <v>171</v>
      </c>
      <c r="G1151" s="29" t="s">
        <v>6680</v>
      </c>
      <c r="H1151" s="26" t="s">
        <v>6681</v>
      </c>
      <c r="I1151" s="27" t="s">
        <v>190</v>
      </c>
      <c r="J1151" s="27" t="s">
        <v>99</v>
      </c>
      <c r="K1151" s="26">
        <v>45638.500949305555</v>
      </c>
    </row>
    <row r="1152" spans="1:12">
      <c r="A1152" s="25">
        <v>916958554</v>
      </c>
      <c r="B1152" s="26">
        <v>45635.435360069445</v>
      </c>
      <c r="C1152" s="27" t="s">
        <v>6149</v>
      </c>
      <c r="D1152" s="28" t="s">
        <v>6150</v>
      </c>
      <c r="E1152" s="29" t="s">
        <v>188</v>
      </c>
      <c r="F1152" s="29" t="s">
        <v>171</v>
      </c>
      <c r="H1152" s="26">
        <v>45637</v>
      </c>
      <c r="I1152" s="27" t="s">
        <v>61</v>
      </c>
      <c r="J1152" s="27" t="s">
        <v>196</v>
      </c>
      <c r="K1152" s="26">
        <v>45637.644656365737</v>
      </c>
    </row>
    <row r="1153" spans="1:12">
      <c r="A1153" s="25">
        <v>916958554</v>
      </c>
      <c r="B1153" s="26">
        <v>45635.436079282408</v>
      </c>
      <c r="C1153" s="27" t="s">
        <v>6149</v>
      </c>
      <c r="D1153" s="28" t="s">
        <v>6150</v>
      </c>
      <c r="E1153" s="29" t="s">
        <v>58</v>
      </c>
      <c r="F1153" s="29" t="s">
        <v>171</v>
      </c>
      <c r="H1153" s="26">
        <v>45637</v>
      </c>
      <c r="I1153" s="27" t="s">
        <v>61</v>
      </c>
      <c r="J1153" s="27" t="s">
        <v>6682</v>
      </c>
      <c r="K1153" s="26">
        <v>45637.644713078706</v>
      </c>
    </row>
    <row r="1154" spans="1:12">
      <c r="A1154" s="25">
        <v>909169006</v>
      </c>
      <c r="B1154" s="26">
        <v>45637.387221296296</v>
      </c>
      <c r="C1154" s="27" t="s">
        <v>2652</v>
      </c>
      <c r="D1154" s="28" t="s">
        <v>2653</v>
      </c>
      <c r="E1154" s="29" t="s">
        <v>269</v>
      </c>
      <c r="F1154" s="29" t="s">
        <v>171</v>
      </c>
      <c r="H1154" s="26">
        <v>45638</v>
      </c>
      <c r="I1154" s="27" t="s">
        <v>61</v>
      </c>
      <c r="J1154" s="27" t="s">
        <v>99</v>
      </c>
      <c r="K1154" s="26">
        <v>45638.527948958334</v>
      </c>
      <c r="L1154" s="24" t="s">
        <v>6683</v>
      </c>
    </row>
    <row r="1155" spans="1:12">
      <c r="A1155" s="25">
        <v>909169006</v>
      </c>
      <c r="B1155" s="26">
        <v>45637.390148842591</v>
      </c>
      <c r="C1155" s="27" t="s">
        <v>2652</v>
      </c>
      <c r="D1155" s="28" t="s">
        <v>2653</v>
      </c>
      <c r="E1155" s="29" t="s">
        <v>42</v>
      </c>
      <c r="F1155" s="29" t="s">
        <v>171</v>
      </c>
      <c r="H1155" s="26">
        <v>45638</v>
      </c>
      <c r="I1155" s="27" t="s">
        <v>61</v>
      </c>
      <c r="J1155" s="27" t="s">
        <v>61</v>
      </c>
      <c r="K1155" s="26">
        <v>45637.625542592592</v>
      </c>
      <c r="L1155" s="24" t="s">
        <v>6684</v>
      </c>
    </row>
    <row r="1156" spans="1:12">
      <c r="A1156" s="25">
        <v>909169006</v>
      </c>
      <c r="B1156" s="26">
        <v>45637.390148842591</v>
      </c>
      <c r="C1156" s="27" t="s">
        <v>2652</v>
      </c>
      <c r="D1156" s="28" t="s">
        <v>2653</v>
      </c>
      <c r="E1156" s="29" t="s">
        <v>227</v>
      </c>
      <c r="F1156" s="29" t="s">
        <v>171</v>
      </c>
      <c r="H1156" s="26">
        <v>45638</v>
      </c>
      <c r="I1156" s="27" t="s">
        <v>61</v>
      </c>
      <c r="J1156" s="27" t="s">
        <v>99</v>
      </c>
      <c r="K1156" s="26">
        <v>45638.527948958334</v>
      </c>
    </row>
    <row r="1157" spans="1:12">
      <c r="A1157" s="25">
        <v>913786515</v>
      </c>
      <c r="B1157" s="26">
        <v>45637.42569664352</v>
      </c>
      <c r="C1157" s="27" t="s">
        <v>3676</v>
      </c>
      <c r="D1157" s="28" t="s">
        <v>3677</v>
      </c>
      <c r="E1157" s="29" t="s">
        <v>6385</v>
      </c>
      <c r="F1157" s="29" t="s">
        <v>171</v>
      </c>
      <c r="H1157" s="26">
        <v>45637</v>
      </c>
      <c r="I1157" s="27" t="s">
        <v>61</v>
      </c>
      <c r="J1157" s="27" t="s">
        <v>99</v>
      </c>
      <c r="K1157" s="26">
        <v>45637.611802314816</v>
      </c>
    </row>
    <row r="1158" spans="1:12">
      <c r="A1158" s="25">
        <v>913786515</v>
      </c>
      <c r="B1158" s="26">
        <v>45637.426655208335</v>
      </c>
      <c r="C1158" s="27" t="s">
        <v>3676</v>
      </c>
      <c r="D1158" s="28" t="s">
        <v>3677</v>
      </c>
      <c r="E1158" s="29" t="s">
        <v>129</v>
      </c>
      <c r="F1158" s="29" t="s">
        <v>171</v>
      </c>
      <c r="H1158" s="26">
        <v>45637</v>
      </c>
      <c r="I1158" s="27" t="s">
        <v>61</v>
      </c>
      <c r="J1158" s="27" t="s">
        <v>99</v>
      </c>
      <c r="K1158" s="26">
        <v>45637.611802314816</v>
      </c>
    </row>
    <row r="1159" spans="1:12">
      <c r="A1159" s="25">
        <v>913786515</v>
      </c>
      <c r="B1159" s="26">
        <v>45637.426660648147</v>
      </c>
      <c r="C1159" s="27" t="s">
        <v>3676</v>
      </c>
      <c r="D1159" s="28" t="s">
        <v>3677</v>
      </c>
      <c r="E1159" s="29" t="s">
        <v>128</v>
      </c>
      <c r="F1159" s="29" t="s">
        <v>171</v>
      </c>
      <c r="H1159" s="26">
        <v>45637</v>
      </c>
      <c r="I1159" s="27" t="s">
        <v>61</v>
      </c>
      <c r="J1159" s="27" t="s">
        <v>99</v>
      </c>
      <c r="K1159" s="26">
        <v>45637.611802314816</v>
      </c>
    </row>
    <row r="1160" spans="1:12">
      <c r="A1160" s="25">
        <v>918833999</v>
      </c>
      <c r="B1160" s="26">
        <v>45637.439908101849</v>
      </c>
      <c r="C1160" s="27" t="s">
        <v>4956</v>
      </c>
      <c r="D1160" s="28" t="s">
        <v>4957</v>
      </c>
      <c r="E1160" s="29" t="s">
        <v>20</v>
      </c>
      <c r="F1160" s="29" t="s">
        <v>171</v>
      </c>
      <c r="H1160" s="26">
        <v>45637</v>
      </c>
      <c r="I1160" s="27" t="s">
        <v>61</v>
      </c>
      <c r="J1160" s="27" t="s">
        <v>61</v>
      </c>
      <c r="K1160" s="26">
        <v>45637.632760763889</v>
      </c>
    </row>
    <row r="1161" spans="1:12">
      <c r="A1161" s="25">
        <v>913867674</v>
      </c>
      <c r="B1161" s="26">
        <v>45638.385568865742</v>
      </c>
      <c r="C1161" s="27" t="s">
        <v>3786</v>
      </c>
      <c r="D1161" s="28" t="s">
        <v>3787</v>
      </c>
      <c r="E1161" s="29" t="s">
        <v>239</v>
      </c>
      <c r="F1161" s="29" t="s">
        <v>171</v>
      </c>
      <c r="G1161" s="29" t="s">
        <v>240</v>
      </c>
      <c r="H1161" s="26">
        <v>45638</v>
      </c>
      <c r="I1161" s="27" t="s">
        <v>176</v>
      </c>
      <c r="J1161" s="27" t="s">
        <v>176</v>
      </c>
      <c r="K1161" s="26">
        <v>45638.631419328703</v>
      </c>
    </row>
    <row r="1162" spans="1:12">
      <c r="A1162" s="25">
        <v>900043409</v>
      </c>
      <c r="B1162" s="26">
        <v>45638.584287500002</v>
      </c>
      <c r="C1162" s="27" t="s">
        <v>1226</v>
      </c>
      <c r="D1162" s="28" t="s">
        <v>1227</v>
      </c>
      <c r="E1162" s="29" t="s">
        <v>35</v>
      </c>
      <c r="F1162" s="29" t="s">
        <v>171</v>
      </c>
      <c r="H1162" s="26">
        <v>45638</v>
      </c>
      <c r="I1162" s="27" t="s">
        <v>176</v>
      </c>
      <c r="J1162" s="27" t="s">
        <v>176</v>
      </c>
      <c r="K1162" s="26">
        <v>45638.584845486112</v>
      </c>
      <c r="L1162" s="24" t="s">
        <v>6685</v>
      </c>
    </row>
    <row r="1163" spans="1:12">
      <c r="A1163" s="25">
        <v>922112539</v>
      </c>
      <c r="B1163" s="26">
        <v>45231</v>
      </c>
      <c r="C1163" s="27" t="s">
        <v>5952</v>
      </c>
      <c r="D1163" s="28" t="s">
        <v>5953</v>
      </c>
      <c r="E1163" s="29" t="s">
        <v>6470</v>
      </c>
      <c r="F1163" s="29" t="s">
        <v>6339</v>
      </c>
      <c r="H1163" s="26" t="s">
        <v>136</v>
      </c>
      <c r="I1163" s="27" t="s">
        <v>99</v>
      </c>
      <c r="J1163" s="27" t="s">
        <v>66</v>
      </c>
      <c r="K1163" s="26">
        <v>45639.663459027775</v>
      </c>
      <c r="L1163" s="24" t="s">
        <v>6504</v>
      </c>
    </row>
    <row r="1164" spans="1:12">
      <c r="A1164" s="25">
        <v>922112539</v>
      </c>
      <c r="B1164" s="26">
        <v>45397.835709143517</v>
      </c>
      <c r="C1164" s="27" t="s">
        <v>5952</v>
      </c>
      <c r="D1164" s="28" t="s">
        <v>5953</v>
      </c>
      <c r="E1164" s="29" t="s">
        <v>6470</v>
      </c>
      <c r="F1164" s="29" t="s">
        <v>6339</v>
      </c>
      <c r="I1164" s="27" t="s">
        <v>99</v>
      </c>
      <c r="J1164" s="27" t="s">
        <v>66</v>
      </c>
      <c r="K1164" s="26">
        <v>45639.663715625</v>
      </c>
    </row>
    <row r="1165" spans="1:12">
      <c r="A1165" s="25">
        <v>922361060</v>
      </c>
      <c r="B1165" s="26">
        <v>45398.514127662034</v>
      </c>
      <c r="C1165" s="27" t="s">
        <v>6047</v>
      </c>
      <c r="D1165" s="28" t="s">
        <v>6048</v>
      </c>
      <c r="E1165" s="29" t="s">
        <v>6348</v>
      </c>
      <c r="F1165" s="29" t="s">
        <v>171</v>
      </c>
      <c r="H1165" s="26" t="s">
        <v>6271</v>
      </c>
      <c r="I1165" s="27" t="s">
        <v>153</v>
      </c>
      <c r="J1165" s="27" t="s">
        <v>66</v>
      </c>
      <c r="K1165" s="26">
        <v>45639.6637505787</v>
      </c>
    </row>
    <row r="1166" spans="1:12">
      <c r="A1166" s="25">
        <v>910507655</v>
      </c>
      <c r="B1166" s="26">
        <v>45405.495077662039</v>
      </c>
      <c r="C1166" s="27" t="s">
        <v>3016</v>
      </c>
      <c r="D1166" s="28" t="s">
        <v>3017</v>
      </c>
      <c r="E1166" s="29" t="s">
        <v>6475</v>
      </c>
      <c r="F1166" s="29" t="s">
        <v>171</v>
      </c>
      <c r="G1166" s="29" t="s">
        <v>6571</v>
      </c>
      <c r="H1166" s="26" t="s">
        <v>6493</v>
      </c>
      <c r="I1166" s="27" t="s">
        <v>178</v>
      </c>
      <c r="J1166" s="27" t="s">
        <v>66</v>
      </c>
      <c r="K1166" s="26">
        <v>45639.654395254627</v>
      </c>
    </row>
    <row r="1167" spans="1:12">
      <c r="A1167" s="25">
        <v>900388260</v>
      </c>
      <c r="B1167" s="26">
        <v>45442.645533564813</v>
      </c>
      <c r="C1167" s="27" t="s">
        <v>1406</v>
      </c>
      <c r="D1167" s="28" t="s">
        <v>1407</v>
      </c>
      <c r="E1167" s="29" t="s">
        <v>6475</v>
      </c>
      <c r="F1167" s="29" t="s">
        <v>171</v>
      </c>
      <c r="H1167" s="26">
        <v>45450</v>
      </c>
      <c r="I1167" s="27" t="s">
        <v>72</v>
      </c>
      <c r="J1167" s="27" t="s">
        <v>66</v>
      </c>
      <c r="K1167" s="26">
        <v>45639.664078472226</v>
      </c>
      <c r="L1167" s="24" t="s">
        <v>6686</v>
      </c>
    </row>
    <row r="1168" spans="1:12">
      <c r="A1168" s="25">
        <v>918844633</v>
      </c>
      <c r="B1168" s="26">
        <v>45481.513862500004</v>
      </c>
      <c r="C1168" s="27" t="s">
        <v>5862</v>
      </c>
      <c r="D1168" s="28" t="s">
        <v>5863</v>
      </c>
      <c r="E1168" s="29" t="s">
        <v>6470</v>
      </c>
      <c r="F1168" s="29" t="s">
        <v>6339</v>
      </c>
      <c r="G1168" s="29" t="s">
        <v>6687</v>
      </c>
      <c r="H1168" s="26" t="s">
        <v>6688</v>
      </c>
      <c r="I1168" s="27" t="s">
        <v>99</v>
      </c>
      <c r="J1168" s="27" t="s">
        <v>66</v>
      </c>
      <c r="K1168" s="26">
        <v>45639.664127777774</v>
      </c>
      <c r="L1168" s="24" t="s">
        <v>6689</v>
      </c>
    </row>
    <row r="1169" spans="1:12">
      <c r="A1169" s="25">
        <v>918844633</v>
      </c>
      <c r="B1169" s="26">
        <v>45481.514115740742</v>
      </c>
      <c r="C1169" s="27" t="s">
        <v>5862</v>
      </c>
      <c r="D1169" s="28" t="s">
        <v>5863</v>
      </c>
      <c r="E1169" s="29" t="s">
        <v>6470</v>
      </c>
      <c r="F1169" s="29" t="s">
        <v>6339</v>
      </c>
      <c r="I1169" s="27" t="s">
        <v>99</v>
      </c>
      <c r="J1169" s="27" t="s">
        <v>66</v>
      </c>
      <c r="K1169" s="26">
        <v>45639.664144097223</v>
      </c>
    </row>
    <row r="1170" spans="1:12">
      <c r="A1170" s="25">
        <v>913052691</v>
      </c>
      <c r="B1170" s="26">
        <v>45483.405657291667</v>
      </c>
      <c r="C1170" s="27" t="s">
        <v>6073</v>
      </c>
      <c r="D1170" s="28" t="s">
        <v>6074</v>
      </c>
      <c r="E1170" s="29" t="s">
        <v>6475</v>
      </c>
      <c r="F1170" s="29" t="s">
        <v>171</v>
      </c>
      <c r="G1170" s="29" t="s">
        <v>6554</v>
      </c>
      <c r="H1170" s="26">
        <v>45483</v>
      </c>
      <c r="I1170" s="27" t="s">
        <v>72</v>
      </c>
      <c r="J1170" s="27" t="s">
        <v>66</v>
      </c>
      <c r="K1170" s="26">
        <v>45639.654213310183</v>
      </c>
    </row>
    <row r="1171" spans="1:12">
      <c r="A1171" s="25">
        <v>900025508</v>
      </c>
      <c r="B1171" s="26">
        <v>45484.719964814816</v>
      </c>
      <c r="C1171" s="27" t="s">
        <v>920</v>
      </c>
      <c r="D1171" s="28" t="s">
        <v>921</v>
      </c>
      <c r="E1171" s="29" t="s">
        <v>239</v>
      </c>
      <c r="F1171" s="29" t="s">
        <v>171</v>
      </c>
      <c r="G1171" s="29" t="s">
        <v>258</v>
      </c>
      <c r="H1171" s="26" t="s">
        <v>6271</v>
      </c>
      <c r="I1171" s="27" t="s">
        <v>155</v>
      </c>
      <c r="J1171" s="27" t="s">
        <v>66</v>
      </c>
      <c r="K1171" s="26">
        <v>45639.65424895833</v>
      </c>
    </row>
    <row r="1172" spans="1:12">
      <c r="A1172" s="25">
        <v>908492161</v>
      </c>
      <c r="B1172" s="26">
        <v>45518.596632986111</v>
      </c>
      <c r="C1172" s="27" t="s">
        <v>2503</v>
      </c>
      <c r="D1172" s="28" t="s">
        <v>2504</v>
      </c>
      <c r="E1172" s="29" t="s">
        <v>239</v>
      </c>
      <c r="F1172" s="29" t="s">
        <v>171</v>
      </c>
      <c r="G1172" s="29" t="s">
        <v>256</v>
      </c>
      <c r="H1172" s="26">
        <v>45519</v>
      </c>
      <c r="I1172" s="27" t="s">
        <v>178</v>
      </c>
      <c r="J1172" s="27" t="s">
        <v>66</v>
      </c>
      <c r="K1172" s="26">
        <v>45639.65429421296</v>
      </c>
      <c r="L1172" s="24" t="s">
        <v>6690</v>
      </c>
    </row>
    <row r="1173" spans="1:12">
      <c r="A1173" s="25">
        <v>908174363</v>
      </c>
      <c r="B1173" s="26">
        <v>45630.802113310187</v>
      </c>
      <c r="C1173" s="27" t="s">
        <v>2409</v>
      </c>
      <c r="D1173" s="28" t="s">
        <v>2410</v>
      </c>
      <c r="E1173" s="29" t="s">
        <v>263</v>
      </c>
      <c r="F1173" s="29" t="s">
        <v>171</v>
      </c>
      <c r="H1173" s="26">
        <v>45631</v>
      </c>
      <c r="I1173" s="27" t="s">
        <v>73</v>
      </c>
      <c r="J1173" s="27" t="s">
        <v>66</v>
      </c>
      <c r="K1173" s="26">
        <v>45639.6658193287</v>
      </c>
      <c r="L1173" s="24">
        <v>45631.526173842591</v>
      </c>
    </row>
    <row r="1174" spans="1:12">
      <c r="A1174" s="25">
        <v>922112539</v>
      </c>
      <c r="B1174" s="26">
        <v>45638.499545949075</v>
      </c>
      <c r="C1174" s="27" t="s">
        <v>5952</v>
      </c>
      <c r="D1174" s="28" t="s">
        <v>5953</v>
      </c>
      <c r="E1174" s="29" t="s">
        <v>6470</v>
      </c>
      <c r="F1174" s="29" t="s">
        <v>6339</v>
      </c>
      <c r="G1174" s="29" t="s">
        <v>6691</v>
      </c>
      <c r="H1174" s="26" t="s">
        <v>6692</v>
      </c>
      <c r="I1174" s="27" t="s">
        <v>99</v>
      </c>
      <c r="J1174" s="27" t="s">
        <v>66</v>
      </c>
      <c r="K1174" s="26">
        <v>45639.665995717594</v>
      </c>
    </row>
    <row r="1175" spans="1:12">
      <c r="A1175" s="25">
        <v>900030734</v>
      </c>
      <c r="B1175" s="26">
        <v>45266</v>
      </c>
      <c r="C1175" s="27" t="s">
        <v>1026</v>
      </c>
      <c r="D1175" s="28" t="s">
        <v>1027</v>
      </c>
      <c r="E1175" s="29" t="s">
        <v>6420</v>
      </c>
      <c r="F1175" s="29" t="s">
        <v>171</v>
      </c>
      <c r="H1175" s="26" t="s">
        <v>6506</v>
      </c>
      <c r="I1175" s="27" t="s">
        <v>153</v>
      </c>
      <c r="J1175" s="27" t="s">
        <v>66</v>
      </c>
      <c r="K1175" s="26">
        <v>45639.668280902777</v>
      </c>
    </row>
    <row r="1176" spans="1:12">
      <c r="A1176" s="25">
        <v>918844633</v>
      </c>
      <c r="B1176" s="26">
        <v>45481.514297337962</v>
      </c>
      <c r="C1176" s="27" t="s">
        <v>5862</v>
      </c>
      <c r="D1176" s="28" t="s">
        <v>5863</v>
      </c>
      <c r="E1176" s="29" t="s">
        <v>6328</v>
      </c>
      <c r="F1176" s="29" t="s">
        <v>6339</v>
      </c>
      <c r="G1176" s="29" t="s">
        <v>6693</v>
      </c>
      <c r="H1176" s="26" t="s">
        <v>6688</v>
      </c>
      <c r="I1176" s="27" t="s">
        <v>99</v>
      </c>
      <c r="J1176" s="27" t="s">
        <v>66</v>
      </c>
      <c r="K1176" s="26">
        <v>45639.671734953707</v>
      </c>
    </row>
    <row r="1177" spans="1:12">
      <c r="A1177" s="25">
        <v>918844633</v>
      </c>
      <c r="B1177" s="26">
        <v>45481.514302199073</v>
      </c>
      <c r="C1177" s="27" t="s">
        <v>5862</v>
      </c>
      <c r="D1177" s="28" t="s">
        <v>5863</v>
      </c>
      <c r="E1177" s="29" t="s">
        <v>6328</v>
      </c>
      <c r="F1177" s="29" t="s">
        <v>6339</v>
      </c>
      <c r="I1177" s="27" t="s">
        <v>99</v>
      </c>
      <c r="J1177" s="27" t="s">
        <v>66</v>
      </c>
      <c r="K1177" s="26">
        <v>45639.671746296299</v>
      </c>
    </row>
    <row r="1178" spans="1:12">
      <c r="A1178" s="25">
        <v>900058281</v>
      </c>
      <c r="B1178" s="26">
        <v>45601.707108564813</v>
      </c>
      <c r="C1178" s="27" t="s">
        <v>1346</v>
      </c>
      <c r="D1178" s="28" t="s">
        <v>1347</v>
      </c>
      <c r="E1178" s="29" t="s">
        <v>6470</v>
      </c>
      <c r="F1178" s="29" t="s">
        <v>171</v>
      </c>
      <c r="H1178" s="26" t="s">
        <v>141</v>
      </c>
      <c r="I1178" s="27" t="s">
        <v>155</v>
      </c>
      <c r="J1178" s="27" t="s">
        <v>66</v>
      </c>
      <c r="K1178" s="26">
        <v>45639.672384027777</v>
      </c>
      <c r="L1178" s="24" t="s">
        <v>6694</v>
      </c>
    </row>
    <row r="1179" spans="1:12">
      <c r="A1179" s="25">
        <v>909182513</v>
      </c>
      <c r="B1179" s="26">
        <v>45260</v>
      </c>
      <c r="C1179" s="27" t="s">
        <v>2698</v>
      </c>
      <c r="D1179" s="28" t="s">
        <v>2699</v>
      </c>
      <c r="E1179" s="29" t="s">
        <v>151</v>
      </c>
      <c r="F1179" s="29" t="s">
        <v>171</v>
      </c>
      <c r="G1179" s="29" t="s">
        <v>6695</v>
      </c>
      <c r="H1179" s="26">
        <v>45078</v>
      </c>
      <c r="I1179" s="27" t="s">
        <v>59</v>
      </c>
      <c r="J1179" s="27" t="s">
        <v>176</v>
      </c>
      <c r="K1179" s="26">
        <v>45643.445775810185</v>
      </c>
      <c r="L1179" s="24" t="s">
        <v>6696</v>
      </c>
    </row>
    <row r="1180" spans="1:12">
      <c r="A1180" s="25">
        <v>918852433</v>
      </c>
      <c r="B1180" s="26">
        <v>0</v>
      </c>
      <c r="C1180" s="27" t="s">
        <v>5990</v>
      </c>
      <c r="D1180" s="28" t="s">
        <v>5991</v>
      </c>
      <c r="E1180" s="29" t="s">
        <v>143</v>
      </c>
      <c r="F1180" s="29" t="s">
        <v>171</v>
      </c>
      <c r="H1180" s="26" t="s">
        <v>158</v>
      </c>
      <c r="I1180" s="27" t="s">
        <v>73</v>
      </c>
      <c r="J1180" s="27" t="s">
        <v>61</v>
      </c>
      <c r="K1180" s="26">
        <v>45642.599472800925</v>
      </c>
    </row>
    <row r="1181" spans="1:12">
      <c r="A1181" s="25">
        <v>918853941</v>
      </c>
      <c r="B1181" s="26">
        <v>45390.714332175929</v>
      </c>
      <c r="C1181" s="27" t="s">
        <v>6045</v>
      </c>
      <c r="D1181" s="28" t="s">
        <v>6046</v>
      </c>
      <c r="E1181" s="29" t="s">
        <v>6507</v>
      </c>
      <c r="F1181" s="29" t="s">
        <v>171</v>
      </c>
      <c r="G1181" s="29">
        <v>11522</v>
      </c>
      <c r="H1181" s="26" t="s">
        <v>124</v>
      </c>
      <c r="I1181" s="27" t="s">
        <v>153</v>
      </c>
      <c r="J1181" s="27" t="s">
        <v>176</v>
      </c>
      <c r="K1181" s="26">
        <v>45645.477632638889</v>
      </c>
    </row>
    <row r="1182" spans="1:12">
      <c r="A1182" s="25">
        <v>900005709</v>
      </c>
      <c r="B1182" s="26">
        <v>45492.497991435186</v>
      </c>
      <c r="C1182" s="27" t="s">
        <v>495</v>
      </c>
      <c r="D1182" s="28" t="s">
        <v>496</v>
      </c>
      <c r="E1182" s="29" t="s">
        <v>133</v>
      </c>
      <c r="F1182" s="29" t="s">
        <v>171</v>
      </c>
      <c r="G1182" s="29" t="s">
        <v>6697</v>
      </c>
      <c r="H1182" s="26">
        <v>45550</v>
      </c>
      <c r="I1182" s="27" t="s">
        <v>99</v>
      </c>
      <c r="J1182" s="27" t="s">
        <v>153</v>
      </c>
      <c r="K1182" s="26">
        <v>45644.60006099537</v>
      </c>
      <c r="L1182" s="24" t="s">
        <v>197</v>
      </c>
    </row>
    <row r="1183" spans="1:12">
      <c r="A1183" s="25">
        <v>909890805</v>
      </c>
      <c r="B1183" s="26">
        <v>45539.514512268521</v>
      </c>
      <c r="C1183" s="27" t="s">
        <v>2870</v>
      </c>
      <c r="D1183" s="28" t="s">
        <v>2871</v>
      </c>
      <c r="E1183" s="29" t="s">
        <v>38</v>
      </c>
      <c r="F1183" s="29" t="s">
        <v>171</v>
      </c>
      <c r="H1183" s="26" t="s">
        <v>124</v>
      </c>
      <c r="I1183" s="27" t="s">
        <v>153</v>
      </c>
      <c r="J1183" s="27" t="s">
        <v>66</v>
      </c>
      <c r="K1183" s="26">
        <v>45646.53074328704</v>
      </c>
    </row>
    <row r="1184" spans="1:12">
      <c r="A1184" s="25">
        <v>909890805</v>
      </c>
      <c r="B1184" s="26">
        <v>45539.518432060184</v>
      </c>
      <c r="C1184" s="27" t="s">
        <v>2870</v>
      </c>
      <c r="D1184" s="28" t="s">
        <v>2871</v>
      </c>
      <c r="E1184" s="29" t="s">
        <v>227</v>
      </c>
      <c r="F1184" s="29" t="s">
        <v>171</v>
      </c>
      <c r="G1184" s="29" t="s">
        <v>6698</v>
      </c>
      <c r="H1184" s="26" t="s">
        <v>127</v>
      </c>
      <c r="I1184" s="27" t="s">
        <v>99</v>
      </c>
      <c r="J1184" s="27" t="s">
        <v>66</v>
      </c>
      <c r="K1184" s="26">
        <v>45646.530827199073</v>
      </c>
    </row>
    <row r="1185" spans="1:12">
      <c r="A1185" s="25">
        <v>900064846</v>
      </c>
      <c r="B1185" s="26">
        <v>45600.476611111109</v>
      </c>
      <c r="C1185" s="27" t="s">
        <v>1358</v>
      </c>
      <c r="D1185" s="28" t="s">
        <v>1359</v>
      </c>
      <c r="E1185" s="29" t="s">
        <v>269</v>
      </c>
      <c r="F1185" s="29" t="s">
        <v>171</v>
      </c>
      <c r="H1185" s="26" t="s">
        <v>218</v>
      </c>
      <c r="I1185" s="27" t="s">
        <v>153</v>
      </c>
      <c r="J1185" s="27" t="s">
        <v>190</v>
      </c>
      <c r="K1185" s="26">
        <v>45643.632023726852</v>
      </c>
      <c r="L1185" s="24" t="s">
        <v>6699</v>
      </c>
    </row>
    <row r="1186" spans="1:12">
      <c r="A1186" s="25">
        <v>900064846</v>
      </c>
      <c r="B1186" s="26">
        <v>45601.384095486108</v>
      </c>
      <c r="C1186" s="27" t="s">
        <v>1358</v>
      </c>
      <c r="D1186" s="28" t="s">
        <v>1359</v>
      </c>
      <c r="E1186" s="29" t="s">
        <v>261</v>
      </c>
      <c r="F1186" s="29" t="s">
        <v>171</v>
      </c>
      <c r="H1186" s="26" t="s">
        <v>218</v>
      </c>
      <c r="I1186" s="27" t="s">
        <v>153</v>
      </c>
      <c r="J1186" s="27" t="s">
        <v>190</v>
      </c>
      <c r="K1186" s="26">
        <v>45643.632042013887</v>
      </c>
    </row>
    <row r="1187" spans="1:12">
      <c r="A1187" s="25">
        <v>907608902</v>
      </c>
      <c r="B1187" s="26">
        <v>45629.510197222226</v>
      </c>
      <c r="C1187" s="27" t="s">
        <v>2351</v>
      </c>
      <c r="D1187" s="28" t="s">
        <v>2352</v>
      </c>
      <c r="E1187" s="29" t="s">
        <v>117</v>
      </c>
      <c r="F1187" s="29" t="s">
        <v>171</v>
      </c>
      <c r="H1187" s="26">
        <v>45645</v>
      </c>
      <c r="I1187" s="27" t="s">
        <v>190</v>
      </c>
      <c r="J1187" s="27" t="s">
        <v>190</v>
      </c>
      <c r="K1187" s="26">
        <v>45643.625111226851</v>
      </c>
      <c r="L1187" s="24" t="s">
        <v>6700</v>
      </c>
    </row>
    <row r="1188" spans="1:12">
      <c r="A1188" s="25">
        <v>907608902</v>
      </c>
      <c r="B1188" s="26">
        <v>45629.510465624997</v>
      </c>
      <c r="C1188" s="27" t="s">
        <v>2351</v>
      </c>
      <c r="D1188" s="28" t="s">
        <v>2352</v>
      </c>
      <c r="E1188" s="29" t="s">
        <v>24</v>
      </c>
      <c r="F1188" s="29" t="s">
        <v>171</v>
      </c>
      <c r="H1188" s="26">
        <v>45636</v>
      </c>
      <c r="I1188" s="27" t="s">
        <v>190</v>
      </c>
      <c r="J1188" s="27" t="s">
        <v>190</v>
      </c>
      <c r="K1188" s="26">
        <v>45643.625136458337</v>
      </c>
    </row>
    <row r="1189" spans="1:12">
      <c r="A1189" s="25">
        <v>918099577</v>
      </c>
      <c r="B1189" s="26">
        <v>45636.462196990738</v>
      </c>
      <c r="C1189" s="27" t="s">
        <v>5868</v>
      </c>
      <c r="D1189" s="28" t="s">
        <v>5869</v>
      </c>
      <c r="E1189" s="29" t="s">
        <v>261</v>
      </c>
      <c r="F1189" s="29" t="s">
        <v>171</v>
      </c>
      <c r="H1189" s="26">
        <v>45650</v>
      </c>
      <c r="I1189" s="27" t="s">
        <v>190</v>
      </c>
      <c r="J1189" s="27" t="s">
        <v>176</v>
      </c>
      <c r="K1189" s="26">
        <v>45645.462685300925</v>
      </c>
    </row>
    <row r="1190" spans="1:12">
      <c r="A1190" s="25">
        <v>918833934</v>
      </c>
      <c r="B1190" s="26">
        <v>45642.429029861109</v>
      </c>
      <c r="C1190" s="27" t="s">
        <v>4954</v>
      </c>
      <c r="D1190" s="28" t="s">
        <v>4955</v>
      </c>
      <c r="E1190" s="29" t="s">
        <v>239</v>
      </c>
      <c r="F1190" s="29" t="s">
        <v>171</v>
      </c>
      <c r="G1190" s="29" t="s">
        <v>240</v>
      </c>
      <c r="H1190" s="26" t="s">
        <v>218</v>
      </c>
      <c r="I1190" s="27" t="s">
        <v>153</v>
      </c>
      <c r="J1190" s="27" t="s">
        <v>153</v>
      </c>
      <c r="K1190" s="26">
        <v>45644.597368518516</v>
      </c>
    </row>
    <row r="1191" spans="1:12">
      <c r="A1191" s="25">
        <v>909004140</v>
      </c>
      <c r="B1191" s="26">
        <v>45642.662447337963</v>
      </c>
      <c r="C1191" s="27" t="s">
        <v>2586</v>
      </c>
      <c r="D1191" s="28" t="s">
        <v>2587</v>
      </c>
      <c r="E1191" s="29" t="s">
        <v>239</v>
      </c>
      <c r="F1191" s="29" t="s">
        <v>171</v>
      </c>
      <c r="G1191" s="29" t="s">
        <v>6528</v>
      </c>
      <c r="H1191" s="26" t="s">
        <v>6265</v>
      </c>
      <c r="I1191" s="27" t="s">
        <v>153</v>
      </c>
      <c r="J1191" s="27" t="s">
        <v>190</v>
      </c>
      <c r="K1191" s="26">
        <v>45643.688129166665</v>
      </c>
      <c r="L1191" s="24" t="s">
        <v>6701</v>
      </c>
    </row>
    <row r="1192" spans="1:12">
      <c r="A1192" s="25">
        <v>900021790</v>
      </c>
      <c r="B1192" s="26">
        <v>44874</v>
      </c>
      <c r="C1192" s="27" t="s">
        <v>872</v>
      </c>
      <c r="D1192" s="28" t="s">
        <v>873</v>
      </c>
      <c r="E1192" s="29" t="s">
        <v>28</v>
      </c>
      <c r="F1192" s="29" t="s">
        <v>6339</v>
      </c>
      <c r="H1192" s="26">
        <v>45282</v>
      </c>
      <c r="J1192" s="27" t="s">
        <v>153</v>
      </c>
      <c r="K1192" s="26">
        <v>45670.668991203704</v>
      </c>
    </row>
    <row r="1193" spans="1:12">
      <c r="A1193" s="25">
        <v>900021790</v>
      </c>
      <c r="B1193" s="26">
        <v>44874</v>
      </c>
      <c r="C1193" s="27" t="s">
        <v>872</v>
      </c>
      <c r="D1193" s="28" t="s">
        <v>873</v>
      </c>
      <c r="E1193" s="29" t="s">
        <v>36</v>
      </c>
      <c r="F1193" s="29" t="s">
        <v>6339</v>
      </c>
      <c r="H1193" s="26">
        <v>45282</v>
      </c>
      <c r="I1193" s="27" t="s">
        <v>47</v>
      </c>
      <c r="J1193" s="27" t="s">
        <v>153</v>
      </c>
      <c r="K1193" s="26">
        <v>45670.667996990742</v>
      </c>
    </row>
    <row r="1194" spans="1:12">
      <c r="A1194" s="25">
        <v>901196912</v>
      </c>
      <c r="B1194" s="26">
        <v>45041</v>
      </c>
      <c r="C1194" s="27" t="s">
        <v>1493</v>
      </c>
      <c r="D1194" s="28" t="s">
        <v>1494</v>
      </c>
      <c r="E1194" s="29" t="s">
        <v>25</v>
      </c>
      <c r="F1194" s="29" t="s">
        <v>171</v>
      </c>
      <c r="H1194" s="26">
        <v>45041</v>
      </c>
      <c r="I1194" s="27" t="s">
        <v>59</v>
      </c>
      <c r="J1194" s="27" t="s">
        <v>66</v>
      </c>
      <c r="K1194" s="26">
        <v>45680.993854629633</v>
      </c>
    </row>
    <row r="1195" spans="1:12">
      <c r="A1195" s="25">
        <v>921406197</v>
      </c>
      <c r="B1195" s="26">
        <v>45180</v>
      </c>
      <c r="C1195" s="27" t="s">
        <v>5592</v>
      </c>
      <c r="D1195" s="28" t="s">
        <v>5593</v>
      </c>
      <c r="E1195" s="29" t="s">
        <v>58</v>
      </c>
      <c r="F1195" s="29" t="s">
        <v>171</v>
      </c>
      <c r="H1195" s="26">
        <v>45444</v>
      </c>
      <c r="I1195" s="27" t="s">
        <v>70</v>
      </c>
      <c r="J1195" s="27" t="s">
        <v>66</v>
      </c>
      <c r="K1195" s="26">
        <v>45691.400057986109</v>
      </c>
      <c r="L1195" s="24" t="s">
        <v>144</v>
      </c>
    </row>
    <row r="1196" spans="1:12">
      <c r="A1196" s="25">
        <v>921406197</v>
      </c>
      <c r="B1196" s="26">
        <v>45180</v>
      </c>
      <c r="C1196" s="27" t="s">
        <v>5592</v>
      </c>
      <c r="D1196" s="28" t="s">
        <v>5593</v>
      </c>
      <c r="E1196" s="29" t="s">
        <v>23</v>
      </c>
      <c r="F1196" s="29" t="s">
        <v>171</v>
      </c>
      <c r="H1196" s="26" t="s">
        <v>125</v>
      </c>
      <c r="I1196" s="27" t="s">
        <v>70</v>
      </c>
      <c r="J1196" s="27" t="s">
        <v>66</v>
      </c>
      <c r="K1196" s="26">
        <v>45691.400071759257</v>
      </c>
    </row>
    <row r="1197" spans="1:12">
      <c r="A1197" s="25">
        <v>913847420</v>
      </c>
      <c r="B1197" s="26">
        <v>45587.530543055553</v>
      </c>
      <c r="C1197" s="27" t="s">
        <v>3754</v>
      </c>
      <c r="D1197" s="28" t="s">
        <v>3755</v>
      </c>
      <c r="E1197" s="29" t="s">
        <v>6475</v>
      </c>
      <c r="F1197" s="29" t="s">
        <v>171</v>
      </c>
      <c r="G1197" s="29" t="s">
        <v>6557</v>
      </c>
      <c r="H1197" s="26">
        <v>45589</v>
      </c>
      <c r="I1197" s="27" t="s">
        <v>190</v>
      </c>
      <c r="J1197" s="27" t="s">
        <v>155</v>
      </c>
      <c r="K1197" s="26">
        <v>45679.543897569441</v>
      </c>
      <c r="L1197" s="24" t="s">
        <v>6702</v>
      </c>
    </row>
    <row r="1198" spans="1:12">
      <c r="A1198" s="25">
        <v>918161678</v>
      </c>
      <c r="B1198" s="26">
        <v>45639.586844444442</v>
      </c>
      <c r="C1198" s="27" t="s">
        <v>6157</v>
      </c>
      <c r="D1198" s="28" t="s">
        <v>6158</v>
      </c>
      <c r="E1198" s="29" t="s">
        <v>271</v>
      </c>
      <c r="F1198" s="29" t="s">
        <v>171</v>
      </c>
      <c r="H1198" s="26">
        <v>45662</v>
      </c>
      <c r="I1198" s="27" t="s">
        <v>196</v>
      </c>
      <c r="J1198" s="27" t="s">
        <v>178</v>
      </c>
      <c r="K1198" s="26">
        <v>45663.451647222224</v>
      </c>
      <c r="L1198" s="24" t="s">
        <v>6703</v>
      </c>
    </row>
    <row r="1199" spans="1:12">
      <c r="A1199" s="25">
        <v>918161678</v>
      </c>
      <c r="B1199" s="26">
        <v>45639.587904282409</v>
      </c>
      <c r="C1199" s="27" t="s">
        <v>6157</v>
      </c>
      <c r="D1199" s="28" t="s">
        <v>6158</v>
      </c>
      <c r="E1199" s="29" t="s">
        <v>146</v>
      </c>
      <c r="F1199" s="29" t="s">
        <v>171</v>
      </c>
      <c r="G1199" s="29" t="s">
        <v>6704</v>
      </c>
      <c r="H1199" s="26">
        <v>45662</v>
      </c>
      <c r="I1199" s="27" t="s">
        <v>196</v>
      </c>
      <c r="J1199" s="27" t="s">
        <v>178</v>
      </c>
      <c r="K1199" s="26">
        <v>45663.451697337965</v>
      </c>
      <c r="L1199" s="24" t="s">
        <v>6703</v>
      </c>
    </row>
    <row r="1200" spans="1:12">
      <c r="A1200" s="25" t="s">
        <v>6705</v>
      </c>
      <c r="B1200" s="26">
        <v>45670.490559606478</v>
      </c>
      <c r="C1200" s="27" t="s">
        <v>6401</v>
      </c>
      <c r="D1200" s="28" t="s">
        <v>6401</v>
      </c>
      <c r="E1200" s="29" t="s">
        <v>6470</v>
      </c>
      <c r="F1200" s="29" t="s">
        <v>171</v>
      </c>
      <c r="J1200" s="27" t="s">
        <v>153</v>
      </c>
      <c r="K1200" s="26">
        <v>45670.682847916665</v>
      </c>
    </row>
    <row r="1201" spans="1:12">
      <c r="A1201" s="25">
        <v>918857568</v>
      </c>
      <c r="B1201" s="26">
        <v>45671.411008101852</v>
      </c>
      <c r="C1201" s="27" t="s">
        <v>6159</v>
      </c>
      <c r="D1201" s="28" t="s">
        <v>6160</v>
      </c>
      <c r="E1201" s="29" t="s">
        <v>31</v>
      </c>
      <c r="F1201" s="29" t="s">
        <v>171</v>
      </c>
      <c r="H1201" s="26" t="s">
        <v>218</v>
      </c>
      <c r="I1201" s="27" t="s">
        <v>178</v>
      </c>
      <c r="J1201" s="27" t="s">
        <v>61</v>
      </c>
      <c r="K1201" s="26">
        <v>45671.507923611112</v>
      </c>
      <c r="L1201" s="24" t="s">
        <v>6706</v>
      </c>
    </row>
    <row r="1202" spans="1:12">
      <c r="A1202" s="25">
        <v>900003720</v>
      </c>
      <c r="B1202" s="26">
        <v>45671.464990972221</v>
      </c>
      <c r="C1202" s="27" t="s">
        <v>447</v>
      </c>
      <c r="D1202" s="28" t="s">
        <v>448</v>
      </c>
      <c r="E1202" s="29" t="s">
        <v>36</v>
      </c>
      <c r="F1202" s="29" t="s">
        <v>171</v>
      </c>
      <c r="H1202" s="26" t="s">
        <v>6707</v>
      </c>
      <c r="I1202" s="27" t="s">
        <v>178</v>
      </c>
      <c r="J1202" s="27" t="s">
        <v>178</v>
      </c>
      <c r="K1202" s="26">
        <v>45671.465676157408</v>
      </c>
      <c r="L1202" s="24" t="s">
        <v>6708</v>
      </c>
    </row>
    <row r="1203" spans="1:12">
      <c r="A1203" s="25">
        <v>900024195</v>
      </c>
      <c r="B1203" s="26">
        <v>45679.343862847221</v>
      </c>
      <c r="C1203" s="27" t="s">
        <v>910</v>
      </c>
      <c r="D1203" s="28" t="s">
        <v>911</v>
      </c>
      <c r="E1203" s="29" t="s">
        <v>239</v>
      </c>
      <c r="F1203" s="29" t="s">
        <v>171</v>
      </c>
      <c r="G1203" s="29" t="s">
        <v>6565</v>
      </c>
      <c r="H1203" s="26">
        <v>45679</v>
      </c>
      <c r="I1203" s="27" t="s">
        <v>196</v>
      </c>
      <c r="J1203" s="27" t="s">
        <v>61</v>
      </c>
      <c r="K1203" s="26">
        <v>45680.417491087966</v>
      </c>
    </row>
    <row r="1204" spans="1:12">
      <c r="A1204" s="25">
        <v>917190955</v>
      </c>
      <c r="B1204" s="26">
        <v>45679.454254745368</v>
      </c>
      <c r="C1204" s="27" t="s">
        <v>4272</v>
      </c>
      <c r="D1204" s="28" t="s">
        <v>4273</v>
      </c>
      <c r="E1204" s="29" t="s">
        <v>6475</v>
      </c>
      <c r="F1204" s="29" t="s">
        <v>171</v>
      </c>
      <c r="G1204" s="29" t="s">
        <v>6709</v>
      </c>
      <c r="H1204" s="26">
        <v>45686</v>
      </c>
      <c r="I1204" s="27" t="s">
        <v>155</v>
      </c>
      <c r="J1204" s="27" t="s">
        <v>178</v>
      </c>
      <c r="K1204" s="26">
        <v>45685.430265509262</v>
      </c>
    </row>
    <row r="1205" spans="1:12">
      <c r="A1205" s="25">
        <v>912144940</v>
      </c>
      <c r="B1205" s="26">
        <v>45680.337184953707</v>
      </c>
      <c r="C1205" s="27" t="s">
        <v>3282</v>
      </c>
      <c r="D1205" s="28" t="s">
        <v>3283</v>
      </c>
      <c r="E1205" s="29" t="s">
        <v>6475</v>
      </c>
      <c r="F1205" s="29" t="s">
        <v>171</v>
      </c>
      <c r="G1205" s="29" t="s">
        <v>6630</v>
      </c>
      <c r="H1205" s="26">
        <v>45681</v>
      </c>
      <c r="I1205" s="27" t="s">
        <v>196</v>
      </c>
      <c r="J1205" s="27" t="s">
        <v>99</v>
      </c>
      <c r="K1205" s="26">
        <v>45681.489322685185</v>
      </c>
      <c r="L1205" s="24" t="s">
        <v>6710</v>
      </c>
    </row>
    <row r="1206" spans="1:12">
      <c r="A1206" s="25">
        <v>900029746</v>
      </c>
      <c r="B1206" s="26">
        <v>45680.415772569446</v>
      </c>
      <c r="C1206" s="27" t="s">
        <v>1008</v>
      </c>
      <c r="D1206" s="28" t="s">
        <v>1009</v>
      </c>
      <c r="E1206" s="29" t="s">
        <v>6475</v>
      </c>
      <c r="F1206" s="29" t="s">
        <v>171</v>
      </c>
      <c r="G1206" s="29" t="s">
        <v>6631</v>
      </c>
      <c r="H1206" s="26">
        <v>45684</v>
      </c>
      <c r="I1206" s="27" t="s">
        <v>61</v>
      </c>
      <c r="J1206" s="27" t="s">
        <v>77</v>
      </c>
      <c r="K1206" s="26">
        <v>45684.381161111109</v>
      </c>
    </row>
    <row r="1207" spans="1:12">
      <c r="A1207" s="25">
        <v>900029746</v>
      </c>
      <c r="B1207" s="26">
        <v>45680.416269560184</v>
      </c>
      <c r="C1207" s="27" t="s">
        <v>1008</v>
      </c>
      <c r="D1207" s="28" t="s">
        <v>1009</v>
      </c>
      <c r="E1207" s="29" t="s">
        <v>46</v>
      </c>
      <c r="F1207" s="29" t="s">
        <v>171</v>
      </c>
      <c r="H1207" s="26">
        <v>45684</v>
      </c>
      <c r="I1207" s="27" t="s">
        <v>61</v>
      </c>
      <c r="J1207" s="27" t="s">
        <v>77</v>
      </c>
      <c r="K1207" s="26">
        <v>45684.381431365742</v>
      </c>
    </row>
    <row r="1208" spans="1:12">
      <c r="A1208" s="25">
        <v>918848013</v>
      </c>
      <c r="B1208" s="26">
        <v>45680.613006250001</v>
      </c>
      <c r="C1208" s="27" t="s">
        <v>6163</v>
      </c>
      <c r="D1208" s="28" t="s">
        <v>6164</v>
      </c>
      <c r="E1208" s="29" t="s">
        <v>239</v>
      </c>
      <c r="F1208" s="29" t="s">
        <v>171</v>
      </c>
      <c r="G1208" s="29" t="s">
        <v>274</v>
      </c>
      <c r="H1208" s="26">
        <v>45681</v>
      </c>
      <c r="I1208" s="27" t="s">
        <v>61</v>
      </c>
      <c r="J1208" s="27" t="s">
        <v>66</v>
      </c>
      <c r="K1208" s="26">
        <v>45680.687552199073</v>
      </c>
    </row>
    <row r="1209" spans="1:12">
      <c r="A1209" s="25">
        <v>918065868</v>
      </c>
      <c r="B1209" s="26">
        <v>45681.447257638887</v>
      </c>
      <c r="C1209" s="27" t="s">
        <v>4556</v>
      </c>
      <c r="D1209" s="28" t="s">
        <v>4557</v>
      </c>
      <c r="E1209" s="29" t="s">
        <v>239</v>
      </c>
      <c r="F1209" s="29" t="s">
        <v>171</v>
      </c>
      <c r="G1209" s="29" t="s">
        <v>6565</v>
      </c>
      <c r="H1209" s="26">
        <v>45687</v>
      </c>
      <c r="I1209" s="27" t="s">
        <v>155</v>
      </c>
      <c r="J1209" s="27" t="s">
        <v>178</v>
      </c>
      <c r="K1209" s="26">
        <v>45685.494580439816</v>
      </c>
    </row>
    <row r="1210" spans="1:12">
      <c r="B1210" s="26" t="s">
        <v>1</v>
      </c>
      <c r="C1210" s="27" t="s">
        <v>2</v>
      </c>
      <c r="D1210" s="28" t="s">
        <v>6326</v>
      </c>
      <c r="E1210" s="29" t="s">
        <v>6470</v>
      </c>
      <c r="F1210" s="29" t="s">
        <v>6395</v>
      </c>
      <c r="I1210" s="27" t="s">
        <v>61</v>
      </c>
      <c r="J1210" s="27" t="s">
        <v>66</v>
      </c>
      <c r="K1210" s="26">
        <v>45686.711406481481</v>
      </c>
      <c r="L1210" s="24" t="s">
        <v>6711</v>
      </c>
    </row>
    <row r="1211" spans="1:12">
      <c r="A1211" s="25">
        <v>900007360</v>
      </c>
      <c r="B1211" s="26">
        <v>45684.648709027781</v>
      </c>
      <c r="C1211" s="27" t="s">
        <v>541</v>
      </c>
      <c r="D1211" s="28" t="s">
        <v>542</v>
      </c>
      <c r="E1211" s="29" t="s">
        <v>128</v>
      </c>
      <c r="F1211" s="29" t="s">
        <v>171</v>
      </c>
      <c r="H1211" s="26" t="s">
        <v>124</v>
      </c>
      <c r="I1211" s="27" t="s">
        <v>99</v>
      </c>
      <c r="J1211" s="27" t="s">
        <v>196</v>
      </c>
      <c r="K1211" s="26">
        <v>45685.593955439814</v>
      </c>
    </row>
    <row r="1212" spans="1:12">
      <c r="A1212" s="25">
        <v>900007360</v>
      </c>
      <c r="B1212" s="26">
        <v>45684.64876851852</v>
      </c>
      <c r="C1212" s="27" t="s">
        <v>541</v>
      </c>
      <c r="D1212" s="28" t="s">
        <v>542</v>
      </c>
      <c r="E1212" s="29" t="s">
        <v>129</v>
      </c>
      <c r="F1212" s="29" t="s">
        <v>171</v>
      </c>
      <c r="H1212" s="26" t="s">
        <v>124</v>
      </c>
      <c r="I1212" s="27" t="s">
        <v>99</v>
      </c>
      <c r="J1212" s="27" t="s">
        <v>196</v>
      </c>
      <c r="K1212" s="26">
        <v>45685.593955439814</v>
      </c>
    </row>
    <row r="1213" spans="1:12">
      <c r="A1213" s="25">
        <v>918853642</v>
      </c>
      <c r="B1213" s="26">
        <v>45685.368936689818</v>
      </c>
      <c r="C1213" s="27" t="s">
        <v>6165</v>
      </c>
      <c r="D1213" s="28" t="s">
        <v>6166</v>
      </c>
      <c r="E1213" s="29" t="s">
        <v>28</v>
      </c>
      <c r="F1213" s="29" t="s">
        <v>171</v>
      </c>
      <c r="G1213" s="29" t="s">
        <v>6712</v>
      </c>
      <c r="H1213" s="26" t="s">
        <v>124</v>
      </c>
      <c r="I1213" s="27" t="s">
        <v>178</v>
      </c>
      <c r="J1213" s="27" t="s">
        <v>153</v>
      </c>
      <c r="K1213" s="26">
        <v>45686.655797106483</v>
      </c>
    </row>
    <row r="1214" spans="1:12">
      <c r="A1214" s="25">
        <v>918834805</v>
      </c>
      <c r="B1214" s="26">
        <v>45685.621775810185</v>
      </c>
      <c r="C1214" s="27" t="s">
        <v>4984</v>
      </c>
      <c r="D1214" s="28" t="s">
        <v>4985</v>
      </c>
      <c r="E1214" s="29" t="s">
        <v>151</v>
      </c>
      <c r="F1214" s="29" t="s">
        <v>6339</v>
      </c>
      <c r="G1214" s="29">
        <v>68279</v>
      </c>
      <c r="H1214" s="26" t="s">
        <v>134</v>
      </c>
      <c r="I1214" s="27" t="s">
        <v>99</v>
      </c>
      <c r="J1214" s="27" t="s">
        <v>99</v>
      </c>
      <c r="K1214" s="26">
        <v>45685.622178935184</v>
      </c>
    </row>
    <row r="1215" spans="1:12">
      <c r="A1215" s="25">
        <v>918834805</v>
      </c>
      <c r="B1215" s="26">
        <v>45685.621791782411</v>
      </c>
      <c r="C1215" s="27" t="s">
        <v>4984</v>
      </c>
      <c r="D1215" s="28" t="s">
        <v>4985</v>
      </c>
      <c r="E1215" s="29" t="s">
        <v>151</v>
      </c>
      <c r="F1215" s="29" t="s">
        <v>6339</v>
      </c>
      <c r="G1215" s="29">
        <v>70079</v>
      </c>
      <c r="H1215" s="26" t="s">
        <v>134</v>
      </c>
      <c r="I1215" s="27" t="s">
        <v>99</v>
      </c>
      <c r="J1215" s="27" t="s">
        <v>99</v>
      </c>
      <c r="K1215" s="26">
        <v>45685.622192361108</v>
      </c>
    </row>
    <row r="1216" spans="1:12">
      <c r="A1216" s="25">
        <v>921406197</v>
      </c>
      <c r="B1216" s="26">
        <v>45686.402598032408</v>
      </c>
      <c r="C1216" s="27" t="s">
        <v>5592</v>
      </c>
      <c r="D1216" s="28" t="s">
        <v>5593</v>
      </c>
      <c r="E1216" s="29" t="s">
        <v>48</v>
      </c>
      <c r="F1216" s="29" t="s">
        <v>6339</v>
      </c>
      <c r="H1216" s="26" t="s">
        <v>134</v>
      </c>
      <c r="I1216" s="27" t="s">
        <v>66</v>
      </c>
      <c r="J1216" s="27" t="s">
        <v>153</v>
      </c>
      <c r="K1216" s="26">
        <v>45691.40124201389</v>
      </c>
      <c r="L1216" s="24" t="s">
        <v>6713</v>
      </c>
    </row>
    <row r="1217" spans="1:12">
      <c r="A1217" s="25">
        <v>912980983</v>
      </c>
      <c r="B1217" s="26">
        <v>45686.533742824075</v>
      </c>
      <c r="C1217" s="27" t="s">
        <v>3454</v>
      </c>
      <c r="D1217" s="28" t="s">
        <v>3455</v>
      </c>
      <c r="E1217" s="29" t="s">
        <v>20</v>
      </c>
      <c r="F1217" s="29" t="s">
        <v>171</v>
      </c>
      <c r="H1217" s="26" t="s">
        <v>136</v>
      </c>
      <c r="I1217" s="27" t="s">
        <v>331</v>
      </c>
      <c r="J1217" s="27" t="s">
        <v>196</v>
      </c>
      <c r="K1217" s="26">
        <v>45686.733480324074</v>
      </c>
    </row>
    <row r="1218" spans="1:12">
      <c r="A1218" s="25">
        <v>918850639</v>
      </c>
      <c r="B1218" s="26">
        <v>45596.489681481478</v>
      </c>
      <c r="C1218" s="27" t="s">
        <v>6136</v>
      </c>
      <c r="D1218" s="28" t="s">
        <v>6137</v>
      </c>
      <c r="E1218" s="29" t="s">
        <v>45</v>
      </c>
      <c r="F1218" s="29" t="s">
        <v>171</v>
      </c>
      <c r="H1218" s="26" t="s">
        <v>134</v>
      </c>
      <c r="I1218" s="27" t="s">
        <v>66</v>
      </c>
      <c r="J1218" s="27" t="s">
        <v>66</v>
      </c>
      <c r="K1218" s="26">
        <v>45691.413988773151</v>
      </c>
      <c r="L1218" s="24" t="s">
        <v>6714</v>
      </c>
    </row>
    <row r="1219" spans="1:12">
      <c r="A1219" s="25">
        <v>918850639</v>
      </c>
      <c r="B1219" s="26">
        <v>45596.489690509261</v>
      </c>
      <c r="C1219" s="27" t="s">
        <v>6136</v>
      </c>
      <c r="D1219" s="28" t="s">
        <v>6137</v>
      </c>
      <c r="E1219" s="29" t="s">
        <v>175</v>
      </c>
      <c r="F1219" s="29" t="s">
        <v>171</v>
      </c>
      <c r="H1219" s="26" t="s">
        <v>134</v>
      </c>
      <c r="I1219" s="27">
        <v>918857178</v>
      </c>
      <c r="J1219" s="27" t="s">
        <v>66</v>
      </c>
      <c r="K1219" s="26">
        <v>45691.414022453704</v>
      </c>
      <c r="L1219" s="24" t="s">
        <v>6714</v>
      </c>
    </row>
    <row r="1220" spans="1:12">
      <c r="A1220" s="25">
        <v>900046555</v>
      </c>
      <c r="B1220" s="26">
        <v>45687.432955324075</v>
      </c>
      <c r="C1220" s="27" t="s">
        <v>1270</v>
      </c>
      <c r="D1220" s="28" t="s">
        <v>1271</v>
      </c>
      <c r="E1220" s="29" t="s">
        <v>6475</v>
      </c>
      <c r="F1220" s="29" t="s">
        <v>171</v>
      </c>
      <c r="G1220" s="29" t="s">
        <v>6530</v>
      </c>
      <c r="H1220" s="26">
        <v>45692</v>
      </c>
      <c r="I1220" s="27" t="s">
        <v>99</v>
      </c>
      <c r="J1220" s="27" t="s">
        <v>153</v>
      </c>
      <c r="K1220" s="26">
        <v>45691.420746296295</v>
      </c>
    </row>
    <row r="1221" spans="1:12">
      <c r="A1221" s="25">
        <v>909906327</v>
      </c>
      <c r="B1221" s="26">
        <v>45687.67938159722</v>
      </c>
      <c r="C1221" s="27" t="s">
        <v>2900</v>
      </c>
      <c r="D1221" s="28" t="s">
        <v>2901</v>
      </c>
      <c r="E1221" s="29" t="s">
        <v>6475</v>
      </c>
      <c r="F1221" s="29" t="s">
        <v>171</v>
      </c>
      <c r="H1221" s="26" t="s">
        <v>136</v>
      </c>
      <c r="J1221" s="27" t="s">
        <v>6715</v>
      </c>
      <c r="K1221" s="26">
        <v>45691.437589930552</v>
      </c>
    </row>
    <row r="1222" spans="1:12">
      <c r="A1222" s="25">
        <v>909906327</v>
      </c>
      <c r="B1222" s="26">
        <v>45687.679915509259</v>
      </c>
      <c r="C1222" s="27" t="s">
        <v>2900</v>
      </c>
      <c r="D1222" s="28" t="s">
        <v>2901</v>
      </c>
      <c r="E1222" s="29" t="s">
        <v>140</v>
      </c>
      <c r="F1222" s="29" t="s">
        <v>171</v>
      </c>
      <c r="H1222" s="26" t="s">
        <v>136</v>
      </c>
      <c r="J1222" s="27" t="s">
        <v>6715</v>
      </c>
      <c r="K1222" s="26">
        <v>45691.437617592594</v>
      </c>
    </row>
    <row r="1223" spans="1:12">
      <c r="A1223" s="25">
        <v>916474148</v>
      </c>
      <c r="B1223" s="26">
        <v>45686.536790972219</v>
      </c>
      <c r="C1223" s="27" t="s">
        <v>4084</v>
      </c>
      <c r="D1223" s="28" t="s">
        <v>4085</v>
      </c>
      <c r="E1223" s="29" t="s">
        <v>239</v>
      </c>
      <c r="F1223" s="29" t="s">
        <v>171</v>
      </c>
      <c r="H1223" s="26" t="s">
        <v>137</v>
      </c>
      <c r="I1223" s="27" t="s">
        <v>72</v>
      </c>
      <c r="J1223" s="27" t="s">
        <v>6715</v>
      </c>
      <c r="K1223" s="26">
        <v>45691.438476504627</v>
      </c>
    </row>
    <row r="1224" spans="1:12">
      <c r="A1224" s="25">
        <v>918065868</v>
      </c>
      <c r="B1224" s="26">
        <v>44831</v>
      </c>
      <c r="C1224" s="27" t="s">
        <v>4556</v>
      </c>
      <c r="D1224" s="28" t="s">
        <v>4557</v>
      </c>
      <c r="E1224" s="29" t="s">
        <v>28</v>
      </c>
      <c r="F1224" s="29" t="s">
        <v>6339</v>
      </c>
      <c r="H1224" s="26">
        <v>45282</v>
      </c>
      <c r="J1224" s="27" t="s">
        <v>196</v>
      </c>
      <c r="K1224" s="26">
        <v>45720.601854282409</v>
      </c>
    </row>
    <row r="1225" spans="1:12">
      <c r="A1225" s="25">
        <v>921406197</v>
      </c>
      <c r="B1225" s="26">
        <v>44874</v>
      </c>
      <c r="C1225" s="27" t="s">
        <v>5592</v>
      </c>
      <c r="D1225" s="28" t="s">
        <v>5593</v>
      </c>
      <c r="E1225" s="29" t="s">
        <v>17</v>
      </c>
      <c r="F1225" s="29" t="s">
        <v>171</v>
      </c>
      <c r="H1225" s="26">
        <v>45282</v>
      </c>
      <c r="I1225" s="27" t="s">
        <v>47</v>
      </c>
      <c r="J1225" s="27" t="s">
        <v>196</v>
      </c>
      <c r="K1225" s="26">
        <v>45693.684666550929</v>
      </c>
    </row>
    <row r="1226" spans="1:12">
      <c r="A1226" s="25">
        <v>921406197</v>
      </c>
      <c r="B1226" s="26">
        <v>45215</v>
      </c>
      <c r="C1226" s="27" t="s">
        <v>5592</v>
      </c>
      <c r="D1226" s="28" t="s">
        <v>5593</v>
      </c>
      <c r="E1226" s="29" t="s">
        <v>48</v>
      </c>
      <c r="F1226" s="29" t="s">
        <v>6339</v>
      </c>
      <c r="H1226" s="26" t="s">
        <v>125</v>
      </c>
      <c r="I1226" s="27" t="s">
        <v>155</v>
      </c>
      <c r="J1226" s="27" t="s">
        <v>196</v>
      </c>
      <c r="K1226" s="26">
        <v>45714.624219675927</v>
      </c>
    </row>
    <row r="1227" spans="1:12">
      <c r="A1227" s="25">
        <v>921406197</v>
      </c>
      <c r="B1227" s="26">
        <v>45259</v>
      </c>
      <c r="C1227" s="27" t="s">
        <v>5592</v>
      </c>
      <c r="D1227" s="28" t="s">
        <v>5593</v>
      </c>
      <c r="E1227" s="29" t="s">
        <v>46</v>
      </c>
      <c r="F1227" s="29" t="s">
        <v>171</v>
      </c>
      <c r="H1227" s="26" t="s">
        <v>6271</v>
      </c>
      <c r="I1227" s="27" t="s">
        <v>55</v>
      </c>
      <c r="J1227" s="27" t="s">
        <v>196</v>
      </c>
      <c r="K1227" s="26">
        <v>45693.68502986111</v>
      </c>
    </row>
    <row r="1228" spans="1:12">
      <c r="A1228" s="25">
        <v>917216539</v>
      </c>
      <c r="B1228" s="26">
        <v>45518.412235763892</v>
      </c>
      <c r="C1228" s="27" t="s">
        <v>4298</v>
      </c>
      <c r="D1228" s="28" t="s">
        <v>4299</v>
      </c>
      <c r="E1228" s="29" t="s">
        <v>28</v>
      </c>
      <c r="F1228" s="29" t="s">
        <v>171</v>
      </c>
      <c r="H1228" s="26">
        <v>45660</v>
      </c>
      <c r="I1228" s="27" t="s">
        <v>66</v>
      </c>
      <c r="J1228" s="27" t="s">
        <v>176</v>
      </c>
      <c r="K1228" s="26">
        <v>45715.503199652776</v>
      </c>
    </row>
    <row r="1229" spans="1:12">
      <c r="A1229" s="25">
        <v>907563337</v>
      </c>
      <c r="B1229" s="26">
        <v>45546.629903819441</v>
      </c>
      <c r="C1229" s="27" t="s">
        <v>2311</v>
      </c>
      <c r="D1229" s="28" t="s">
        <v>2312</v>
      </c>
      <c r="E1229" s="29" t="s">
        <v>138</v>
      </c>
      <c r="F1229" s="29" t="s">
        <v>171</v>
      </c>
      <c r="H1229" s="26" t="s">
        <v>124</v>
      </c>
      <c r="I1229" s="27" t="s">
        <v>99</v>
      </c>
      <c r="J1229" s="27" t="s">
        <v>176</v>
      </c>
      <c r="K1229" s="26">
        <v>45693.639381597219</v>
      </c>
    </row>
    <row r="1230" spans="1:12">
      <c r="A1230" s="25">
        <v>900038222</v>
      </c>
      <c r="B1230" s="26">
        <v>45644.605702083332</v>
      </c>
      <c r="C1230" s="27" t="s">
        <v>1142</v>
      </c>
      <c r="D1230" s="28" t="s">
        <v>1143</v>
      </c>
      <c r="E1230" s="29" t="s">
        <v>225</v>
      </c>
      <c r="F1230" s="29" t="s">
        <v>171</v>
      </c>
      <c r="H1230" s="26" t="s">
        <v>6716</v>
      </c>
      <c r="I1230" s="27" t="s">
        <v>153</v>
      </c>
      <c r="J1230" s="27" t="s">
        <v>331</v>
      </c>
      <c r="K1230" s="26">
        <v>45700.575546990738</v>
      </c>
      <c r="L1230" s="24" t="s">
        <v>6717</v>
      </c>
    </row>
    <row r="1231" spans="1:12">
      <c r="A1231" s="25">
        <v>900038222</v>
      </c>
      <c r="B1231" s="26">
        <v>45644.605908796293</v>
      </c>
      <c r="C1231" s="27" t="s">
        <v>1142</v>
      </c>
      <c r="D1231" s="28" t="s">
        <v>1143</v>
      </c>
      <c r="E1231" s="29" t="s">
        <v>261</v>
      </c>
      <c r="F1231" s="29" t="s">
        <v>171</v>
      </c>
      <c r="G1231" s="29" t="s">
        <v>268</v>
      </c>
      <c r="H1231" s="26" t="s">
        <v>6716</v>
      </c>
      <c r="I1231" s="27" t="s">
        <v>153</v>
      </c>
      <c r="J1231" s="27" t="s">
        <v>331</v>
      </c>
      <c r="K1231" s="26">
        <v>45700.575573958333</v>
      </c>
      <c r="L1231" s="24" t="s">
        <v>6717</v>
      </c>
    </row>
    <row r="1232" spans="1:12">
      <c r="A1232" s="25">
        <v>900038222</v>
      </c>
      <c r="B1232" s="26">
        <v>45644.608774189815</v>
      </c>
      <c r="C1232" s="27" t="s">
        <v>1142</v>
      </c>
      <c r="D1232" s="28" t="s">
        <v>1143</v>
      </c>
      <c r="E1232" s="29" t="s">
        <v>227</v>
      </c>
      <c r="F1232" s="29" t="s">
        <v>171</v>
      </c>
      <c r="G1232" s="29" t="s">
        <v>6718</v>
      </c>
      <c r="H1232" s="26" t="s">
        <v>6716</v>
      </c>
      <c r="I1232" s="27" t="s">
        <v>153</v>
      </c>
      <c r="J1232" s="27" t="s">
        <v>331</v>
      </c>
      <c r="K1232" s="26">
        <v>45700.56995740741</v>
      </c>
      <c r="L1232" s="24" t="s">
        <v>6717</v>
      </c>
    </row>
    <row r="1233" spans="1:12">
      <c r="A1233" s="25">
        <v>900038222</v>
      </c>
      <c r="B1233" s="26">
        <v>45644.608784722222</v>
      </c>
      <c r="C1233" s="27" t="s">
        <v>1142</v>
      </c>
      <c r="D1233" s="28" t="s">
        <v>1143</v>
      </c>
      <c r="E1233" s="29" t="s">
        <v>271</v>
      </c>
      <c r="F1233" s="29" t="s">
        <v>171</v>
      </c>
      <c r="H1233" s="26" t="s">
        <v>6716</v>
      </c>
      <c r="I1233" s="27" t="s">
        <v>153</v>
      </c>
      <c r="J1233" s="27" t="s">
        <v>331</v>
      </c>
      <c r="K1233" s="26">
        <v>45700.575600462966</v>
      </c>
      <c r="L1233" s="24" t="s">
        <v>6717</v>
      </c>
    </row>
    <row r="1234" spans="1:12">
      <c r="A1234" s="25">
        <v>900038222</v>
      </c>
      <c r="B1234" s="26">
        <v>45644.610453356479</v>
      </c>
      <c r="C1234" s="27" t="s">
        <v>1142</v>
      </c>
      <c r="D1234" s="28" t="s">
        <v>1143</v>
      </c>
      <c r="E1234" s="29" t="s">
        <v>183</v>
      </c>
      <c r="F1234" s="29" t="s">
        <v>171</v>
      </c>
      <c r="G1234" s="29" t="s">
        <v>6719</v>
      </c>
      <c r="H1234" s="26" t="s">
        <v>6716</v>
      </c>
      <c r="I1234" s="27" t="s">
        <v>153</v>
      </c>
      <c r="J1234" s="27" t="s">
        <v>331</v>
      </c>
      <c r="K1234" s="26">
        <v>45700.57563136574</v>
      </c>
      <c r="L1234" s="24" t="s">
        <v>6717</v>
      </c>
    </row>
    <row r="1235" spans="1:12">
      <c r="A1235" s="25">
        <v>900072919</v>
      </c>
      <c r="B1235" s="26">
        <v>45686.71006701389</v>
      </c>
      <c r="C1235" s="27" t="s">
        <v>6169</v>
      </c>
      <c r="D1235" s="28" t="s">
        <v>6170</v>
      </c>
      <c r="E1235" s="29" t="s">
        <v>6475</v>
      </c>
      <c r="F1235" s="29" t="s">
        <v>171</v>
      </c>
      <c r="G1235" s="29" t="s">
        <v>6631</v>
      </c>
      <c r="H1235" s="26" t="s">
        <v>6720</v>
      </c>
      <c r="I1235" s="27" t="s">
        <v>196</v>
      </c>
      <c r="J1235" s="27" t="s">
        <v>66</v>
      </c>
      <c r="K1235" s="26">
        <v>45707.40332824074</v>
      </c>
    </row>
    <row r="1236" spans="1:12">
      <c r="A1236" s="25">
        <v>900016746</v>
      </c>
      <c r="B1236" s="26">
        <v>45692.445849421296</v>
      </c>
      <c r="C1236" s="27" t="s">
        <v>770</v>
      </c>
      <c r="D1236" s="28" t="s">
        <v>771</v>
      </c>
      <c r="E1236" s="29" t="s">
        <v>6475</v>
      </c>
      <c r="F1236" s="29" t="s">
        <v>171</v>
      </c>
      <c r="G1236" s="29" t="s">
        <v>6571</v>
      </c>
      <c r="H1236" s="26" t="s">
        <v>218</v>
      </c>
      <c r="I1236" s="27" t="s">
        <v>178</v>
      </c>
      <c r="J1236" s="27" t="s">
        <v>196</v>
      </c>
      <c r="K1236" s="26">
        <v>45692.721585763888</v>
      </c>
    </row>
    <row r="1237" spans="1:12">
      <c r="A1237" s="25">
        <v>909171385</v>
      </c>
      <c r="B1237" s="26">
        <v>45692.455009722224</v>
      </c>
      <c r="C1237" s="27" t="s">
        <v>2684</v>
      </c>
      <c r="D1237" s="28" t="s">
        <v>2685</v>
      </c>
      <c r="E1237" s="29" t="s">
        <v>6475</v>
      </c>
      <c r="F1237" s="29" t="s">
        <v>171</v>
      </c>
      <c r="G1237" s="29" t="s">
        <v>6721</v>
      </c>
      <c r="H1237" s="26" t="s">
        <v>218</v>
      </c>
      <c r="I1237" s="27" t="s">
        <v>178</v>
      </c>
      <c r="J1237" s="27" t="s">
        <v>99</v>
      </c>
      <c r="K1237" s="26">
        <v>45692.576699652775</v>
      </c>
    </row>
    <row r="1238" spans="1:12">
      <c r="A1238" s="25">
        <v>908491901</v>
      </c>
      <c r="B1238" s="26">
        <v>45693.359830092595</v>
      </c>
      <c r="C1238" s="27" t="s">
        <v>2485</v>
      </c>
      <c r="D1238" s="28" t="s">
        <v>2486</v>
      </c>
      <c r="E1238" s="29" t="s">
        <v>239</v>
      </c>
      <c r="F1238" s="29" t="s">
        <v>171</v>
      </c>
      <c r="G1238" s="29" t="s">
        <v>240</v>
      </c>
      <c r="H1238" s="26" t="s">
        <v>6722</v>
      </c>
      <c r="I1238" s="27" t="s">
        <v>176</v>
      </c>
      <c r="J1238" s="27" t="s">
        <v>176</v>
      </c>
      <c r="K1238" s="26">
        <v>45693.556542361111</v>
      </c>
    </row>
    <row r="1239" spans="1:12">
      <c r="A1239" s="25">
        <v>900002446</v>
      </c>
      <c r="B1239" s="26">
        <v>45693.432536921297</v>
      </c>
      <c r="C1239" s="27" t="s">
        <v>413</v>
      </c>
      <c r="D1239" s="28" t="s">
        <v>414</v>
      </c>
      <c r="E1239" s="29" t="s">
        <v>27</v>
      </c>
      <c r="F1239" s="29" t="s">
        <v>171</v>
      </c>
      <c r="G1239" s="29" t="s">
        <v>6723</v>
      </c>
      <c r="H1239" s="26">
        <v>45693</v>
      </c>
      <c r="I1239" s="27" t="s">
        <v>176</v>
      </c>
      <c r="J1239" s="27" t="s">
        <v>176</v>
      </c>
      <c r="K1239" s="26">
        <v>45693.433395138891</v>
      </c>
    </row>
    <row r="1240" spans="1:12">
      <c r="A1240" s="25">
        <v>900035609</v>
      </c>
      <c r="B1240" s="26">
        <v>45693.494670601853</v>
      </c>
      <c r="C1240" s="27" t="s">
        <v>6147</v>
      </c>
      <c r="D1240" s="28" t="s">
        <v>6148</v>
      </c>
      <c r="E1240" s="29" t="s">
        <v>239</v>
      </c>
      <c r="F1240" s="29" t="s">
        <v>171</v>
      </c>
      <c r="G1240" s="29" t="s">
        <v>256</v>
      </c>
      <c r="H1240" s="26" t="s">
        <v>6271</v>
      </c>
      <c r="I1240" s="27" t="s">
        <v>99</v>
      </c>
      <c r="J1240" s="27" t="s">
        <v>153</v>
      </c>
      <c r="K1240" s="26">
        <v>45693.594923842589</v>
      </c>
    </row>
    <row r="1241" spans="1:12">
      <c r="A1241" s="25">
        <v>900035609</v>
      </c>
      <c r="B1241" s="26">
        <v>45693.494670601853</v>
      </c>
      <c r="C1241" s="27" t="s">
        <v>6147</v>
      </c>
      <c r="D1241" s="28" t="s">
        <v>6148</v>
      </c>
      <c r="E1241" s="29" t="s">
        <v>31</v>
      </c>
      <c r="F1241" s="29" t="s">
        <v>171</v>
      </c>
      <c r="H1241" s="26" t="s">
        <v>6271</v>
      </c>
      <c r="I1241" s="27" t="s">
        <v>99</v>
      </c>
      <c r="J1241" s="27" t="s">
        <v>153</v>
      </c>
      <c r="K1241" s="26">
        <v>45693.594946990743</v>
      </c>
    </row>
    <row r="1242" spans="1:12">
      <c r="A1242" s="25">
        <v>900035609</v>
      </c>
      <c r="B1242" s="26">
        <v>45693.494670601853</v>
      </c>
      <c r="C1242" s="27" t="s">
        <v>6147</v>
      </c>
      <c r="D1242" s="28" t="s">
        <v>6148</v>
      </c>
      <c r="E1242" s="29" t="s">
        <v>123</v>
      </c>
      <c r="F1242" s="29" t="s">
        <v>171</v>
      </c>
      <c r="H1242" s="26" t="s">
        <v>6271</v>
      </c>
      <c r="I1242" s="27" t="s">
        <v>99</v>
      </c>
      <c r="J1242" s="27" t="s">
        <v>153</v>
      </c>
      <c r="K1242" s="26">
        <v>45693</v>
      </c>
    </row>
    <row r="1243" spans="1:12">
      <c r="A1243" s="25">
        <v>900034920</v>
      </c>
      <c r="B1243" s="26">
        <v>45693.507485648151</v>
      </c>
      <c r="C1243" s="27" t="s">
        <v>1090</v>
      </c>
      <c r="D1243" s="28" t="s">
        <v>1091</v>
      </c>
      <c r="E1243" s="29" t="s">
        <v>239</v>
      </c>
      <c r="F1243" s="29" t="s">
        <v>171</v>
      </c>
      <c r="G1243" s="29" t="s">
        <v>6657</v>
      </c>
      <c r="H1243" s="26" t="s">
        <v>6493</v>
      </c>
      <c r="I1243" s="27" t="s">
        <v>176</v>
      </c>
      <c r="J1243" s="27" t="s">
        <v>196</v>
      </c>
    </row>
    <row r="1244" spans="1:12">
      <c r="A1244" s="25">
        <v>916181362</v>
      </c>
      <c r="B1244" s="26">
        <v>45693.55936550926</v>
      </c>
      <c r="C1244" s="27" t="s">
        <v>5837</v>
      </c>
      <c r="D1244" s="28" t="s">
        <v>5838</v>
      </c>
      <c r="E1244" s="29" t="s">
        <v>48</v>
      </c>
      <c r="F1244" s="29" t="s">
        <v>171</v>
      </c>
      <c r="H1244" s="26" t="s">
        <v>6315</v>
      </c>
      <c r="I1244" s="27" t="s">
        <v>66</v>
      </c>
      <c r="J1244" s="27" t="s">
        <v>176</v>
      </c>
      <c r="K1244" s="26">
        <v>45694.395099652778</v>
      </c>
    </row>
    <row r="1245" spans="1:12">
      <c r="A1245" s="25">
        <v>902112255</v>
      </c>
      <c r="B1245" s="26">
        <v>45693.563153356481</v>
      </c>
      <c r="C1245" s="27" t="s">
        <v>1593</v>
      </c>
      <c r="D1245" s="28" t="s">
        <v>1594</v>
      </c>
      <c r="E1245" s="29" t="s">
        <v>25</v>
      </c>
      <c r="F1245" s="29" t="s">
        <v>171</v>
      </c>
      <c r="G1245" s="29" t="s">
        <v>6724</v>
      </c>
      <c r="H1245" s="26" t="s">
        <v>141</v>
      </c>
      <c r="I1245" s="27" t="s">
        <v>66</v>
      </c>
      <c r="J1245" s="27" t="s">
        <v>66</v>
      </c>
      <c r="K1245" s="26">
        <v>45693.563541087962</v>
      </c>
      <c r="L1245" s="24" t="s">
        <v>6725</v>
      </c>
    </row>
    <row r="1246" spans="1:12">
      <c r="A1246" s="25">
        <v>917216539</v>
      </c>
      <c r="B1246" s="26">
        <v>45694.344535185184</v>
      </c>
      <c r="C1246" s="27" t="s">
        <v>4298</v>
      </c>
      <c r="D1246" s="28" t="s">
        <v>4299</v>
      </c>
      <c r="E1246" s="29" t="s">
        <v>239</v>
      </c>
      <c r="F1246" s="29" t="s">
        <v>171</v>
      </c>
      <c r="G1246" s="29" t="s">
        <v>258</v>
      </c>
      <c r="H1246" s="26" t="s">
        <v>6493</v>
      </c>
      <c r="I1246" s="27" t="s">
        <v>176</v>
      </c>
      <c r="J1246" s="27" t="s">
        <v>196</v>
      </c>
      <c r="K1246" s="26">
        <v>45694.679422337962</v>
      </c>
    </row>
    <row r="1247" spans="1:12">
      <c r="A1247" s="25">
        <v>912971896</v>
      </c>
      <c r="B1247" s="26">
        <v>45695.41163263889</v>
      </c>
      <c r="C1247" s="27" t="s">
        <v>6173</v>
      </c>
      <c r="D1247" s="28" t="s">
        <v>6174</v>
      </c>
      <c r="E1247" s="29" t="s">
        <v>133</v>
      </c>
      <c r="F1247" s="29" t="s">
        <v>171</v>
      </c>
      <c r="G1247" s="29" t="s">
        <v>6238</v>
      </c>
      <c r="H1247" s="26">
        <v>45709</v>
      </c>
      <c r="I1247" s="27" t="s">
        <v>176</v>
      </c>
      <c r="J1247" s="27" t="s">
        <v>178</v>
      </c>
      <c r="K1247" s="26">
        <v>45706.608136111114</v>
      </c>
    </row>
    <row r="1248" spans="1:12">
      <c r="A1248" s="25">
        <v>909171385</v>
      </c>
      <c r="B1248" s="26">
        <v>45699.440281597221</v>
      </c>
      <c r="C1248" s="27" t="s">
        <v>2684</v>
      </c>
      <c r="D1248" s="28" t="s">
        <v>2685</v>
      </c>
      <c r="E1248" s="29" t="s">
        <v>239</v>
      </c>
      <c r="F1248" s="29" t="s">
        <v>6339</v>
      </c>
      <c r="G1248" s="29" t="s">
        <v>258</v>
      </c>
      <c r="H1248" s="26" t="s">
        <v>218</v>
      </c>
      <c r="I1248" s="27" t="s">
        <v>178</v>
      </c>
      <c r="J1248" s="27" t="s">
        <v>99</v>
      </c>
      <c r="K1248" s="26">
        <v>45699.57929050926</v>
      </c>
    </row>
    <row r="1249" spans="1:12">
      <c r="A1249" s="25">
        <v>913733683</v>
      </c>
      <c r="B1249" s="26">
        <v>45699.470031365738</v>
      </c>
      <c r="C1249" s="27" t="s">
        <v>3616</v>
      </c>
      <c r="D1249" s="28" t="s">
        <v>3617</v>
      </c>
      <c r="E1249" s="29" t="s">
        <v>28</v>
      </c>
      <c r="F1249" s="29" t="s">
        <v>171</v>
      </c>
      <c r="H1249" s="26">
        <v>45701</v>
      </c>
      <c r="I1249" s="27" t="s">
        <v>178</v>
      </c>
      <c r="J1249" s="27" t="s">
        <v>176</v>
      </c>
      <c r="K1249" s="26">
        <v>45701.525672800926</v>
      </c>
      <c r="L1249" s="24" t="s">
        <v>6726</v>
      </c>
    </row>
    <row r="1250" spans="1:12">
      <c r="A1250" s="25">
        <v>916572038</v>
      </c>
      <c r="B1250" s="26">
        <v>45699.797648032407</v>
      </c>
      <c r="C1250" s="27" t="s">
        <v>6155</v>
      </c>
      <c r="D1250" s="28" t="s">
        <v>6156</v>
      </c>
      <c r="E1250" s="29" t="s">
        <v>263</v>
      </c>
      <c r="F1250" s="29" t="s">
        <v>171</v>
      </c>
      <c r="H1250" s="26">
        <v>45700</v>
      </c>
      <c r="I1250" s="27" t="s">
        <v>153</v>
      </c>
      <c r="J1250" s="27" t="s">
        <v>153</v>
      </c>
      <c r="K1250" s="26">
        <v>45700.807322685185</v>
      </c>
      <c r="L1250" s="24" t="s">
        <v>6727</v>
      </c>
    </row>
    <row r="1251" spans="1:12">
      <c r="A1251" s="25">
        <v>900014523</v>
      </c>
      <c r="B1251" s="26">
        <v>45701.758221643518</v>
      </c>
      <c r="C1251" s="27" t="s">
        <v>717</v>
      </c>
      <c r="D1251" s="28" t="s">
        <v>718</v>
      </c>
      <c r="E1251" s="29" t="s">
        <v>6470</v>
      </c>
      <c r="F1251" s="29" t="s">
        <v>171</v>
      </c>
      <c r="H1251" s="26">
        <v>45702</v>
      </c>
      <c r="I1251" s="27" t="s">
        <v>131</v>
      </c>
      <c r="J1251" s="27" t="s">
        <v>131</v>
      </c>
      <c r="K1251" s="26">
        <v>45702.403588194444</v>
      </c>
      <c r="L1251" s="24" t="s">
        <v>6728</v>
      </c>
    </row>
    <row r="1252" spans="1:12">
      <c r="A1252" s="25">
        <v>908492083</v>
      </c>
      <c r="B1252" s="26">
        <v>45705.361832407405</v>
      </c>
      <c r="C1252" s="27" t="s">
        <v>2497</v>
      </c>
      <c r="D1252" s="28" t="s">
        <v>2498</v>
      </c>
      <c r="E1252" s="29" t="s">
        <v>20</v>
      </c>
      <c r="F1252" s="29" t="s">
        <v>171</v>
      </c>
      <c r="H1252" s="26" t="s">
        <v>180</v>
      </c>
      <c r="I1252" s="27" t="s">
        <v>176</v>
      </c>
      <c r="J1252" s="27" t="s">
        <v>99</v>
      </c>
      <c r="K1252" s="26">
        <v>45705.55227951389</v>
      </c>
    </row>
    <row r="1253" spans="1:12">
      <c r="A1253" s="25">
        <v>918857178</v>
      </c>
      <c r="B1253" s="26">
        <v>45705.380934375004</v>
      </c>
      <c r="C1253" s="27" t="s">
        <v>6087</v>
      </c>
      <c r="D1253" s="28" t="s">
        <v>6088</v>
      </c>
      <c r="E1253" s="29" t="s">
        <v>38</v>
      </c>
      <c r="F1253" s="29" t="s">
        <v>171</v>
      </c>
      <c r="G1253" s="29">
        <v>2</v>
      </c>
      <c r="H1253" s="26">
        <v>45719</v>
      </c>
      <c r="I1253" s="27" t="s">
        <v>176</v>
      </c>
      <c r="J1253" s="27" t="s">
        <v>61</v>
      </c>
      <c r="K1253" s="26">
        <v>45719.37715104167</v>
      </c>
    </row>
    <row r="1254" spans="1:12">
      <c r="A1254" s="25">
        <v>913786515</v>
      </c>
      <c r="B1254" s="26">
        <v>45705.695808680553</v>
      </c>
      <c r="C1254" s="27" t="s">
        <v>3676</v>
      </c>
      <c r="D1254" s="28" t="s">
        <v>3677</v>
      </c>
      <c r="E1254" s="29" t="s">
        <v>263</v>
      </c>
      <c r="F1254" s="29" t="s">
        <v>171</v>
      </c>
      <c r="G1254" s="29" t="s">
        <v>6641</v>
      </c>
      <c r="H1254" s="26">
        <v>45708</v>
      </c>
      <c r="I1254" s="27" t="s">
        <v>99</v>
      </c>
      <c r="J1254" s="27" t="s">
        <v>61</v>
      </c>
      <c r="K1254" s="26">
        <v>45708.55698854167</v>
      </c>
      <c r="L1254" s="24" t="s">
        <v>6729</v>
      </c>
    </row>
    <row r="1255" spans="1:12">
      <c r="A1255" s="25">
        <v>900024273</v>
      </c>
      <c r="B1255" s="26">
        <v>45706.37997962963</v>
      </c>
      <c r="C1255" s="27" t="s">
        <v>912</v>
      </c>
      <c r="D1255" s="28" t="s">
        <v>913</v>
      </c>
      <c r="E1255" s="29" t="s">
        <v>35</v>
      </c>
      <c r="F1255" s="29" t="s">
        <v>171</v>
      </c>
      <c r="G1255" s="29" t="s">
        <v>6730</v>
      </c>
      <c r="H1255" s="26" t="s">
        <v>218</v>
      </c>
      <c r="I1255" s="27" t="s">
        <v>178</v>
      </c>
      <c r="J1255" s="27" t="s">
        <v>196</v>
      </c>
      <c r="K1255" s="26">
        <v>45706.803206481483</v>
      </c>
    </row>
    <row r="1256" spans="1:12">
      <c r="A1256" s="25">
        <v>909171385</v>
      </c>
      <c r="B1256" s="26">
        <v>45706.44347766204</v>
      </c>
      <c r="C1256" s="27" t="s">
        <v>2684</v>
      </c>
      <c r="D1256" s="28" t="s">
        <v>2685</v>
      </c>
      <c r="E1256" s="29" t="s">
        <v>239</v>
      </c>
      <c r="F1256" s="29" t="s">
        <v>6339</v>
      </c>
      <c r="G1256" s="29" t="s">
        <v>258</v>
      </c>
      <c r="H1256" s="26" t="s">
        <v>218</v>
      </c>
      <c r="I1256" s="27" t="s">
        <v>178</v>
      </c>
      <c r="J1256" s="27" t="s">
        <v>178</v>
      </c>
      <c r="K1256" s="26">
        <v>45706.560594675924</v>
      </c>
    </row>
    <row r="1257" spans="1:12">
      <c r="A1257" s="25">
        <v>900024273</v>
      </c>
      <c r="B1257" s="26">
        <v>45706.808971296297</v>
      </c>
      <c r="C1257" s="27" t="s">
        <v>912</v>
      </c>
      <c r="D1257" s="28" t="s">
        <v>913</v>
      </c>
      <c r="E1257" s="29" t="s">
        <v>151</v>
      </c>
      <c r="F1257" s="29" t="s">
        <v>171</v>
      </c>
      <c r="G1257" s="29">
        <v>65730</v>
      </c>
      <c r="J1257" s="27" t="s">
        <v>6627</v>
      </c>
      <c r="K1257" s="26">
        <v>45706.809197453702</v>
      </c>
    </row>
    <row r="1258" spans="1:12">
      <c r="A1258" s="25">
        <v>912817092</v>
      </c>
      <c r="B1258" s="26">
        <v>45707.52368564815</v>
      </c>
      <c r="C1258" s="27" t="s">
        <v>3388</v>
      </c>
      <c r="D1258" s="28" t="s">
        <v>3389</v>
      </c>
      <c r="E1258" s="29" t="s">
        <v>67</v>
      </c>
      <c r="F1258" s="29" t="s">
        <v>171</v>
      </c>
      <c r="G1258" s="29" t="s">
        <v>6731</v>
      </c>
      <c r="H1258" s="26" t="s">
        <v>218</v>
      </c>
      <c r="J1258" s="27" t="s">
        <v>331</v>
      </c>
      <c r="K1258" s="26">
        <v>45707.548613310188</v>
      </c>
      <c r="L1258" s="24" t="s">
        <v>6732</v>
      </c>
    </row>
    <row r="1259" spans="1:12">
      <c r="A1259" s="25">
        <v>912817092</v>
      </c>
      <c r="B1259" s="26">
        <v>0</v>
      </c>
      <c r="C1259" s="27" t="s">
        <v>3388</v>
      </c>
      <c r="D1259" s="28" t="s">
        <v>3389</v>
      </c>
      <c r="E1259" s="29" t="s">
        <v>123</v>
      </c>
      <c r="F1259" s="29" t="s">
        <v>171</v>
      </c>
      <c r="G1259" s="29" t="s">
        <v>6733</v>
      </c>
      <c r="H1259" s="26" t="s">
        <v>218</v>
      </c>
      <c r="J1259" s="27" t="s">
        <v>331</v>
      </c>
      <c r="K1259" s="26">
        <v>45707.548636111111</v>
      </c>
      <c r="L1259" s="24" t="s">
        <v>6732</v>
      </c>
    </row>
    <row r="1260" spans="1:12">
      <c r="A1260" s="25">
        <v>909161765</v>
      </c>
      <c r="B1260" s="26">
        <v>45708.613083564815</v>
      </c>
      <c r="C1260" s="27" t="s">
        <v>2638</v>
      </c>
      <c r="D1260" s="28" t="s">
        <v>2639</v>
      </c>
      <c r="E1260" s="29" t="s">
        <v>6262</v>
      </c>
      <c r="F1260" s="29" t="s">
        <v>171</v>
      </c>
      <c r="H1260" s="26" t="s">
        <v>134</v>
      </c>
      <c r="I1260" s="27" t="s">
        <v>196</v>
      </c>
      <c r="J1260" s="27" t="s">
        <v>196</v>
      </c>
      <c r="K1260" s="26">
        <v>45708.706475462961</v>
      </c>
    </row>
    <row r="1261" spans="1:12">
      <c r="A1261" s="25">
        <v>909161765</v>
      </c>
      <c r="B1261" s="26">
        <v>45708.613407986108</v>
      </c>
      <c r="C1261" s="27" t="s">
        <v>2638</v>
      </c>
      <c r="D1261" s="28" t="s">
        <v>2639</v>
      </c>
      <c r="E1261" s="29" t="s">
        <v>151</v>
      </c>
      <c r="F1261" s="29" t="s">
        <v>171</v>
      </c>
      <c r="G1261" s="29">
        <v>82323</v>
      </c>
      <c r="H1261" s="26" t="s">
        <v>134</v>
      </c>
      <c r="I1261" s="27" t="s">
        <v>196</v>
      </c>
      <c r="J1261" s="27" t="s">
        <v>196</v>
      </c>
      <c r="K1261" s="26">
        <v>45708.706475462961</v>
      </c>
    </row>
    <row r="1262" spans="1:12">
      <c r="A1262" s="25">
        <v>915130078</v>
      </c>
      <c r="B1262" s="26">
        <v>45712.414474189813</v>
      </c>
      <c r="C1262" s="27" t="s">
        <v>6181</v>
      </c>
      <c r="D1262" s="28" t="s">
        <v>6182</v>
      </c>
      <c r="E1262" s="29" t="s">
        <v>6475</v>
      </c>
      <c r="F1262" s="29" t="s">
        <v>171</v>
      </c>
      <c r="G1262" s="29" t="s">
        <v>6571</v>
      </c>
      <c r="H1262" s="26" t="s">
        <v>134</v>
      </c>
      <c r="I1262" s="27" t="s">
        <v>61</v>
      </c>
      <c r="J1262" s="27" t="s">
        <v>99</v>
      </c>
      <c r="K1262" s="26">
        <v>45708.706475462961</v>
      </c>
    </row>
    <row r="1263" spans="1:12">
      <c r="A1263" s="25">
        <v>918116568</v>
      </c>
      <c r="B1263" s="26">
        <v>45713.595114351854</v>
      </c>
      <c r="C1263" s="27" t="s">
        <v>4624</v>
      </c>
      <c r="D1263" s="28" t="s">
        <v>4625</v>
      </c>
      <c r="E1263" s="29" t="s">
        <v>19</v>
      </c>
      <c r="F1263" s="29" t="s">
        <v>171</v>
      </c>
      <c r="G1263" s="29" t="s">
        <v>15</v>
      </c>
      <c r="H1263" s="26" t="s">
        <v>6734</v>
      </c>
      <c r="I1263" s="27" t="s">
        <v>196</v>
      </c>
      <c r="J1263" s="27" t="s">
        <v>196</v>
      </c>
      <c r="K1263" s="26">
        <v>45708.706475462961</v>
      </c>
    </row>
    <row r="1264" spans="1:12">
      <c r="A1264" s="25">
        <v>913847420</v>
      </c>
      <c r="B1264" s="26">
        <v>45713.66919872685</v>
      </c>
      <c r="C1264" s="27" t="s">
        <v>3754</v>
      </c>
      <c r="D1264" s="28" t="s">
        <v>3755</v>
      </c>
      <c r="E1264" s="29" t="s">
        <v>19</v>
      </c>
      <c r="F1264" s="29" t="s">
        <v>171</v>
      </c>
      <c r="G1264" s="29" t="s">
        <v>15</v>
      </c>
      <c r="H1264" s="26">
        <v>45720</v>
      </c>
      <c r="I1264" s="27" t="s">
        <v>66</v>
      </c>
      <c r="J1264" s="27" t="s">
        <v>66</v>
      </c>
      <c r="K1264" s="26">
        <v>45713.677103819442</v>
      </c>
      <c r="L1264" s="24" t="s">
        <v>6735</v>
      </c>
    </row>
    <row r="1265" spans="1:12">
      <c r="A1265" s="25">
        <v>900208977</v>
      </c>
      <c r="B1265" s="26">
        <v>45714.345150694448</v>
      </c>
      <c r="C1265" s="27" t="s">
        <v>1394</v>
      </c>
      <c r="D1265" s="28" t="s">
        <v>1395</v>
      </c>
      <c r="E1265" s="29" t="s">
        <v>35</v>
      </c>
      <c r="F1265" s="29" t="s">
        <v>171</v>
      </c>
      <c r="G1265" s="29" t="s">
        <v>6736</v>
      </c>
      <c r="H1265" s="26" t="s">
        <v>218</v>
      </c>
      <c r="I1265" s="27" t="s">
        <v>176</v>
      </c>
      <c r="J1265" s="27" t="s">
        <v>153</v>
      </c>
      <c r="K1265" s="26">
        <v>45714.671095833335</v>
      </c>
    </row>
    <row r="1266" spans="1:12">
      <c r="A1266" s="25">
        <v>918848078</v>
      </c>
      <c r="B1266" s="26">
        <v>45714.39179050926</v>
      </c>
      <c r="C1266" s="27" t="s">
        <v>5308</v>
      </c>
      <c r="D1266" s="28" t="s">
        <v>5309</v>
      </c>
      <c r="E1266" s="29" t="s">
        <v>20</v>
      </c>
      <c r="F1266" s="29" t="s">
        <v>171</v>
      </c>
      <c r="G1266" s="29" t="s">
        <v>6737</v>
      </c>
      <c r="H1266" s="26" t="s">
        <v>218</v>
      </c>
      <c r="I1266" s="27" t="s">
        <v>176</v>
      </c>
      <c r="J1266" s="27" t="s">
        <v>176</v>
      </c>
      <c r="K1266" s="26">
        <v>45714.454476967592</v>
      </c>
    </row>
    <row r="1267" spans="1:12">
      <c r="A1267" s="25">
        <v>900010415</v>
      </c>
      <c r="B1267" s="26">
        <v>45714.521957291669</v>
      </c>
      <c r="C1267" s="27" t="s">
        <v>617</v>
      </c>
      <c r="D1267" s="28" t="s">
        <v>618</v>
      </c>
      <c r="E1267" s="29" t="s">
        <v>35</v>
      </c>
      <c r="F1267" s="29" t="s">
        <v>171</v>
      </c>
      <c r="G1267" s="29" t="s">
        <v>6738</v>
      </c>
      <c r="H1267" s="26">
        <v>45719</v>
      </c>
      <c r="I1267" s="27" t="s">
        <v>176</v>
      </c>
      <c r="J1267" s="27" t="s">
        <v>196</v>
      </c>
      <c r="K1267" s="26">
        <v>45715.647244791668</v>
      </c>
    </row>
    <row r="1268" spans="1:12">
      <c r="A1268" s="25">
        <v>900010415</v>
      </c>
      <c r="B1268" s="26">
        <v>45714.525710879629</v>
      </c>
      <c r="C1268" s="27" t="s">
        <v>617</v>
      </c>
      <c r="D1268" s="28" t="s">
        <v>618</v>
      </c>
      <c r="E1268" s="29" t="s">
        <v>151</v>
      </c>
      <c r="F1268" s="29" t="s">
        <v>171</v>
      </c>
      <c r="G1268" s="29">
        <v>70321</v>
      </c>
      <c r="H1268" s="26">
        <v>45719</v>
      </c>
      <c r="I1268" s="27" t="s">
        <v>176</v>
      </c>
      <c r="J1268" s="27" t="s">
        <v>196</v>
      </c>
      <c r="K1268" s="26">
        <v>45715.647286226849</v>
      </c>
    </row>
    <row r="1269" spans="1:12">
      <c r="A1269" s="25">
        <v>918848273</v>
      </c>
      <c r="B1269" s="26">
        <v>45714.673253587964</v>
      </c>
      <c r="C1269" s="27" t="s">
        <v>5312</v>
      </c>
      <c r="D1269" s="28" t="s">
        <v>5313</v>
      </c>
      <c r="E1269" s="29" t="s">
        <v>6371</v>
      </c>
      <c r="F1269" s="29" t="s">
        <v>171</v>
      </c>
      <c r="H1269" s="26" t="s">
        <v>218</v>
      </c>
      <c r="I1269" s="27" t="s">
        <v>153</v>
      </c>
      <c r="J1269" s="27" t="s">
        <v>153</v>
      </c>
      <c r="K1269" s="26">
        <v>45714.732327430553</v>
      </c>
    </row>
    <row r="1270" spans="1:12">
      <c r="A1270" s="25">
        <v>917259257</v>
      </c>
      <c r="B1270" s="26">
        <v>45714.717393287036</v>
      </c>
      <c r="C1270" s="27" t="s">
        <v>4392</v>
      </c>
      <c r="D1270" s="28" t="s">
        <v>4393</v>
      </c>
      <c r="E1270" s="29" t="s">
        <v>6475</v>
      </c>
      <c r="F1270" s="29" t="s">
        <v>171</v>
      </c>
      <c r="G1270" s="29" t="s">
        <v>6571</v>
      </c>
      <c r="H1270" s="26" t="s">
        <v>218</v>
      </c>
      <c r="I1270" s="27" t="s">
        <v>196</v>
      </c>
      <c r="J1270" s="27" t="s">
        <v>196</v>
      </c>
      <c r="K1270" s="26">
        <v>45714.756423032406</v>
      </c>
    </row>
    <row r="1271" spans="1:12">
      <c r="A1271" s="25">
        <v>900013652</v>
      </c>
      <c r="B1271" s="26">
        <v>45714.767983449077</v>
      </c>
      <c r="C1271" s="27" t="s">
        <v>703</v>
      </c>
      <c r="D1271" s="28" t="s">
        <v>704</v>
      </c>
      <c r="E1271" s="29" t="s">
        <v>19</v>
      </c>
      <c r="F1271" s="29" t="s">
        <v>171</v>
      </c>
      <c r="H1271" s="26">
        <v>45715</v>
      </c>
      <c r="I1271" s="27" t="s">
        <v>153</v>
      </c>
      <c r="J1271" s="27" t="s">
        <v>196</v>
      </c>
      <c r="K1271" s="26">
        <v>45722.65817141204</v>
      </c>
    </row>
    <row r="1272" spans="1:12">
      <c r="A1272" s="25">
        <v>918113851</v>
      </c>
      <c r="B1272" s="26">
        <v>45715.484624421297</v>
      </c>
      <c r="C1272" s="27" t="s">
        <v>4614</v>
      </c>
      <c r="D1272" s="28" t="s">
        <v>4615</v>
      </c>
      <c r="E1272" s="29" t="s">
        <v>20</v>
      </c>
      <c r="F1272" s="29" t="s">
        <v>171</v>
      </c>
      <c r="G1272" s="29" t="s">
        <v>6739</v>
      </c>
      <c r="H1272" s="26" t="s">
        <v>218</v>
      </c>
      <c r="I1272" s="27" t="s">
        <v>176</v>
      </c>
      <c r="J1272" s="27" t="s">
        <v>196</v>
      </c>
      <c r="K1272" s="26">
        <v>45715.679506944442</v>
      </c>
    </row>
    <row r="1273" spans="1:12">
      <c r="A1273" s="25">
        <v>900024195</v>
      </c>
      <c r="B1273" s="26">
        <v>45719.345242939817</v>
      </c>
      <c r="C1273" s="27" t="s">
        <v>910</v>
      </c>
      <c r="D1273" s="28" t="s">
        <v>911</v>
      </c>
      <c r="E1273" s="29" t="s">
        <v>128</v>
      </c>
      <c r="F1273" s="29" t="s">
        <v>171</v>
      </c>
      <c r="H1273" s="26" t="s">
        <v>218</v>
      </c>
      <c r="I1273" s="27" t="s">
        <v>178</v>
      </c>
      <c r="J1273" s="27" t="s">
        <v>99</v>
      </c>
      <c r="K1273" s="26">
        <v>45719.651532175929</v>
      </c>
    </row>
    <row r="1274" spans="1:12">
      <c r="A1274" s="25">
        <v>900024195</v>
      </c>
      <c r="B1274" s="26">
        <v>45719.345980208331</v>
      </c>
      <c r="C1274" s="27" t="s">
        <v>910</v>
      </c>
      <c r="D1274" s="28" t="s">
        <v>911</v>
      </c>
      <c r="E1274" s="29" t="s">
        <v>6575</v>
      </c>
      <c r="F1274" s="29" t="s">
        <v>171</v>
      </c>
      <c r="G1274" s="29" t="s">
        <v>6740</v>
      </c>
      <c r="H1274" s="26" t="s">
        <v>218</v>
      </c>
      <c r="I1274" s="27" t="s">
        <v>178</v>
      </c>
      <c r="J1274" s="27" t="s">
        <v>99</v>
      </c>
      <c r="K1274" s="26">
        <v>45719.651568865738</v>
      </c>
    </row>
    <row r="1275" spans="1:12">
      <c r="A1275" s="25">
        <v>911699859</v>
      </c>
      <c r="B1275" s="26">
        <v>45719.435185532406</v>
      </c>
      <c r="C1275" s="27" t="s">
        <v>6185</v>
      </c>
      <c r="D1275" s="28" t="s">
        <v>6186</v>
      </c>
      <c r="E1275" s="29" t="s">
        <v>19</v>
      </c>
      <c r="F1275" s="29" t="s">
        <v>171</v>
      </c>
      <c r="H1275" s="26" t="s">
        <v>218</v>
      </c>
      <c r="I1275" s="27" t="s">
        <v>61</v>
      </c>
      <c r="J1275" s="27" t="s">
        <v>99</v>
      </c>
      <c r="K1275" s="26">
        <v>45719.645225231485</v>
      </c>
      <c r="L1275" s="24" t="s">
        <v>6741</v>
      </c>
    </row>
    <row r="1276" spans="1:12">
      <c r="A1276" s="25">
        <v>913847420</v>
      </c>
      <c r="B1276" s="26">
        <v>45720.423956481478</v>
      </c>
      <c r="C1276" s="27" t="s">
        <v>3754</v>
      </c>
      <c r="D1276" s="28" t="s">
        <v>3755</v>
      </c>
      <c r="E1276" s="29" t="s">
        <v>67</v>
      </c>
      <c r="F1276" s="29" t="s">
        <v>171</v>
      </c>
      <c r="H1276" s="26" t="s">
        <v>6742</v>
      </c>
      <c r="I1276" s="27" t="s">
        <v>178</v>
      </c>
      <c r="J1276" s="27" t="s">
        <v>61</v>
      </c>
      <c r="K1276" s="26">
        <v>45736.440237152776</v>
      </c>
    </row>
    <row r="1277" spans="1:12">
      <c r="A1277" s="25">
        <v>909171385</v>
      </c>
      <c r="B1277" s="26">
        <v>45720.455215162037</v>
      </c>
      <c r="C1277" s="27" t="s">
        <v>2684</v>
      </c>
      <c r="D1277" s="28" t="s">
        <v>2685</v>
      </c>
      <c r="E1277" s="29" t="s">
        <v>239</v>
      </c>
      <c r="F1277" s="29" t="s">
        <v>6339</v>
      </c>
      <c r="G1277" s="29" t="s">
        <v>240</v>
      </c>
      <c r="H1277" s="26" t="s">
        <v>6743</v>
      </c>
      <c r="I1277" s="27" t="s">
        <v>176</v>
      </c>
      <c r="J1277" s="27" t="s">
        <v>178</v>
      </c>
      <c r="K1277" s="26">
        <v>45720.57426238426</v>
      </c>
    </row>
    <row r="1278" spans="1:12">
      <c r="A1278" s="25">
        <v>910631415</v>
      </c>
      <c r="B1278" s="26">
        <v>45720.593915162041</v>
      </c>
      <c r="C1278" s="27" t="s">
        <v>3068</v>
      </c>
      <c r="D1278" s="28" t="s">
        <v>3069</v>
      </c>
      <c r="E1278" s="29" t="s">
        <v>6475</v>
      </c>
      <c r="F1278" s="29" t="s">
        <v>171</v>
      </c>
      <c r="G1278" s="29" t="s">
        <v>6571</v>
      </c>
      <c r="H1278" s="26">
        <v>45812</v>
      </c>
      <c r="I1278" s="27" t="s">
        <v>178</v>
      </c>
      <c r="J1278" s="27" t="s">
        <v>176</v>
      </c>
      <c r="K1278" s="26">
        <v>45722.473524074077</v>
      </c>
    </row>
    <row r="1279" spans="1:12">
      <c r="A1279" s="25">
        <v>908492148</v>
      </c>
      <c r="B1279" s="26">
        <v>45720.636079282405</v>
      </c>
      <c r="C1279" s="27" t="s">
        <v>2501</v>
      </c>
      <c r="D1279" s="28" t="s">
        <v>2502</v>
      </c>
      <c r="E1279" s="29" t="s">
        <v>239</v>
      </c>
      <c r="F1279" s="29" t="s">
        <v>171</v>
      </c>
      <c r="G1279" s="29" t="s">
        <v>258</v>
      </c>
      <c r="H1279" s="26" t="s">
        <v>6744</v>
      </c>
      <c r="I1279" s="27" t="s">
        <v>99</v>
      </c>
      <c r="J1279" s="27" t="s">
        <v>196</v>
      </c>
      <c r="K1279" s="26">
        <v>45720.729916203702</v>
      </c>
    </row>
    <row r="1280" spans="1:12">
      <c r="A1280" s="25">
        <v>910600371</v>
      </c>
      <c r="B1280" s="26">
        <v>45720.664459490741</v>
      </c>
      <c r="C1280" s="27" t="s">
        <v>3034</v>
      </c>
      <c r="D1280" s="28" t="s">
        <v>3035</v>
      </c>
      <c r="E1280" s="29" t="s">
        <v>23</v>
      </c>
      <c r="F1280" s="29" t="s">
        <v>171</v>
      </c>
      <c r="G1280" s="29" t="s">
        <v>6540</v>
      </c>
      <c r="H1280" s="26" t="s">
        <v>236</v>
      </c>
      <c r="I1280" s="27" t="s">
        <v>153</v>
      </c>
      <c r="J1280" s="27" t="s">
        <v>178</v>
      </c>
      <c r="K1280" s="26">
        <v>45734.434101851853</v>
      </c>
    </row>
    <row r="1281" spans="1:12">
      <c r="A1281" s="25">
        <v>910940360</v>
      </c>
      <c r="B1281" s="26">
        <v>45721.50628483796</v>
      </c>
      <c r="C1281" s="27" t="s">
        <v>6191</v>
      </c>
      <c r="D1281" s="28" t="s">
        <v>6192</v>
      </c>
      <c r="E1281" s="29" t="s">
        <v>128</v>
      </c>
      <c r="F1281" s="29" t="s">
        <v>171</v>
      </c>
      <c r="G1281" s="29">
        <v>1</v>
      </c>
      <c r="H1281" s="26" t="s">
        <v>218</v>
      </c>
      <c r="I1281" s="27" t="s">
        <v>176</v>
      </c>
      <c r="J1281" s="27" t="s">
        <v>153</v>
      </c>
      <c r="K1281" s="26">
        <v>45721.695599652776</v>
      </c>
    </row>
    <row r="1282" spans="1:12">
      <c r="A1282" s="25">
        <v>905787095</v>
      </c>
      <c r="B1282" s="26">
        <v>45722.390920949074</v>
      </c>
      <c r="C1282" s="27" t="s">
        <v>2063</v>
      </c>
      <c r="D1282" s="28" t="s">
        <v>2064</v>
      </c>
      <c r="E1282" s="29" t="s">
        <v>239</v>
      </c>
      <c r="F1282" s="29" t="s">
        <v>171</v>
      </c>
      <c r="G1282" s="29" t="s">
        <v>240</v>
      </c>
      <c r="H1282" s="26" t="s">
        <v>218</v>
      </c>
      <c r="I1282" s="27" t="s">
        <v>176</v>
      </c>
      <c r="J1282" s="27" t="s">
        <v>176</v>
      </c>
      <c r="K1282" s="26">
        <v>45722.517823263886</v>
      </c>
    </row>
    <row r="1283" spans="1:12">
      <c r="A1283" s="25">
        <v>904239211</v>
      </c>
      <c r="B1283" s="26">
        <v>45722.442770486108</v>
      </c>
      <c r="C1283" s="27" t="s">
        <v>1865</v>
      </c>
      <c r="D1283" s="28" t="s">
        <v>1866</v>
      </c>
      <c r="E1283" s="29" t="s">
        <v>20</v>
      </c>
      <c r="F1283" s="29" t="s">
        <v>171</v>
      </c>
      <c r="H1283" s="26" t="s">
        <v>218</v>
      </c>
      <c r="I1283" s="27" t="s">
        <v>61</v>
      </c>
      <c r="J1283" s="27" t="s">
        <v>131</v>
      </c>
      <c r="K1283" s="26">
        <v>45723.409226388889</v>
      </c>
    </row>
    <row r="1284" spans="1:12">
      <c r="A1284" s="25">
        <v>900005683</v>
      </c>
      <c r="B1284" s="26">
        <v>45722.476694444442</v>
      </c>
      <c r="C1284" s="27" t="s">
        <v>6193</v>
      </c>
      <c r="D1284" s="28" t="s">
        <v>6194</v>
      </c>
      <c r="E1284" s="29" t="s">
        <v>6475</v>
      </c>
      <c r="F1284" s="29" t="s">
        <v>171</v>
      </c>
      <c r="G1284" s="29" t="s">
        <v>6530</v>
      </c>
      <c r="H1284" s="26">
        <v>45726</v>
      </c>
      <c r="I1284" s="27" t="s">
        <v>176</v>
      </c>
      <c r="J1284" s="27" t="s">
        <v>99</v>
      </c>
      <c r="K1284" s="26">
        <v>45728.480255902781</v>
      </c>
    </row>
    <row r="1285" spans="1:12">
      <c r="A1285" s="25">
        <v>920964444</v>
      </c>
      <c r="B1285" s="26">
        <v>45722.726158449077</v>
      </c>
      <c r="C1285" s="27" t="s">
        <v>6183</v>
      </c>
      <c r="D1285" s="28" t="s">
        <v>6184</v>
      </c>
      <c r="E1285" s="29" t="s">
        <v>27</v>
      </c>
      <c r="F1285" s="29" t="s">
        <v>171</v>
      </c>
      <c r="H1285" s="26" t="s">
        <v>6745</v>
      </c>
      <c r="I1285" s="27" t="s">
        <v>131</v>
      </c>
      <c r="J1285" s="27" t="s">
        <v>131</v>
      </c>
      <c r="K1285" s="26">
        <v>45729.586027430552</v>
      </c>
    </row>
    <row r="1286" spans="1:12">
      <c r="A1286" s="25">
        <v>916479400</v>
      </c>
      <c r="B1286" s="26">
        <v>45726.372067708333</v>
      </c>
      <c r="C1286" s="27" t="s">
        <v>4098</v>
      </c>
      <c r="D1286" s="28" t="s">
        <v>4099</v>
      </c>
      <c r="E1286" s="29" t="s">
        <v>239</v>
      </c>
      <c r="F1286" s="29" t="s">
        <v>171</v>
      </c>
      <c r="G1286" s="29" t="s">
        <v>240</v>
      </c>
      <c r="H1286" s="26" t="s">
        <v>218</v>
      </c>
      <c r="I1286" s="27" t="s">
        <v>176</v>
      </c>
      <c r="J1286" s="27" t="s">
        <v>99</v>
      </c>
      <c r="K1286" s="26">
        <v>45726.683357638889</v>
      </c>
    </row>
    <row r="1287" spans="1:12">
      <c r="A1287" s="25">
        <v>907116150</v>
      </c>
      <c r="B1287" s="26">
        <v>45726.458052893518</v>
      </c>
      <c r="C1287" s="27" t="s">
        <v>5966</v>
      </c>
      <c r="D1287" s="28" t="s">
        <v>5967</v>
      </c>
      <c r="E1287" s="29" t="s">
        <v>239</v>
      </c>
      <c r="F1287" s="29" t="s">
        <v>171</v>
      </c>
      <c r="G1287" s="29" t="s">
        <v>6633</v>
      </c>
      <c r="H1287" s="26" t="s">
        <v>218</v>
      </c>
      <c r="I1287" s="27" t="s">
        <v>176</v>
      </c>
      <c r="J1287" s="27" t="s">
        <v>61</v>
      </c>
      <c r="K1287" s="26">
        <v>45726.620057638887</v>
      </c>
    </row>
    <row r="1288" spans="1:12">
      <c r="A1288" s="25">
        <v>911435660</v>
      </c>
      <c r="B1288" s="26">
        <v>45726.492857523146</v>
      </c>
      <c r="C1288" s="27" t="s">
        <v>3180</v>
      </c>
      <c r="D1288" s="28" t="s">
        <v>3181</v>
      </c>
      <c r="E1288" s="29" t="s">
        <v>28</v>
      </c>
      <c r="F1288" s="29" t="s">
        <v>171</v>
      </c>
      <c r="G1288" s="29" t="s">
        <v>6746</v>
      </c>
      <c r="H1288" s="26" t="s">
        <v>218</v>
      </c>
      <c r="I1288" s="27" t="s">
        <v>61</v>
      </c>
      <c r="J1288" s="27" t="s">
        <v>153</v>
      </c>
      <c r="K1288" s="26">
        <v>45726.737262152776</v>
      </c>
    </row>
    <row r="1289" spans="1:12">
      <c r="A1289" s="25">
        <v>918842709</v>
      </c>
      <c r="B1289" s="26">
        <v>45726.740580092592</v>
      </c>
      <c r="C1289" s="27" t="s">
        <v>5174</v>
      </c>
      <c r="D1289" s="28" t="s">
        <v>5175</v>
      </c>
      <c r="E1289" s="29" t="s">
        <v>239</v>
      </c>
      <c r="F1289" s="29" t="s">
        <v>6339</v>
      </c>
      <c r="G1289" s="29" t="s">
        <v>240</v>
      </c>
      <c r="H1289" s="26" t="s">
        <v>218</v>
      </c>
      <c r="I1289" s="27" t="s">
        <v>153</v>
      </c>
      <c r="J1289" s="27" t="s">
        <v>153</v>
      </c>
      <c r="K1289" s="26">
        <v>45726.81913217593</v>
      </c>
    </row>
    <row r="1290" spans="1:12">
      <c r="A1290" s="25">
        <v>918842709</v>
      </c>
      <c r="B1290" s="26">
        <v>45726.740844560183</v>
      </c>
      <c r="C1290" s="27" t="s">
        <v>5174</v>
      </c>
      <c r="D1290" s="28" t="s">
        <v>5175</v>
      </c>
      <c r="E1290" s="29" t="s">
        <v>239</v>
      </c>
      <c r="F1290" s="29" t="s">
        <v>6339</v>
      </c>
      <c r="G1290" s="29" t="s">
        <v>6528</v>
      </c>
      <c r="H1290" s="26" t="s">
        <v>218</v>
      </c>
      <c r="I1290" s="27" t="s">
        <v>153</v>
      </c>
      <c r="J1290" s="27" t="s">
        <v>153</v>
      </c>
      <c r="K1290" s="26">
        <v>45726.819165972222</v>
      </c>
    </row>
    <row r="1291" spans="1:12">
      <c r="A1291" s="25">
        <v>900399297</v>
      </c>
      <c r="B1291" s="26">
        <v>45727.433592245368</v>
      </c>
      <c r="C1291" s="27" t="s">
        <v>1408</v>
      </c>
      <c r="D1291" s="28" t="s">
        <v>1409</v>
      </c>
      <c r="E1291" s="29" t="s">
        <v>140</v>
      </c>
      <c r="F1291" s="29" t="s">
        <v>171</v>
      </c>
      <c r="H1291" s="26">
        <v>45734</v>
      </c>
      <c r="I1291" s="27" t="s">
        <v>176</v>
      </c>
      <c r="J1291" s="27" t="s">
        <v>176</v>
      </c>
      <c r="K1291" s="26">
        <v>45736.42394479167</v>
      </c>
    </row>
    <row r="1292" spans="1:12">
      <c r="A1292" s="25">
        <v>900011585</v>
      </c>
      <c r="B1292" s="26">
        <v>45727.521491203704</v>
      </c>
      <c r="C1292" s="27" t="s">
        <v>643</v>
      </c>
      <c r="D1292" s="28" t="s">
        <v>644</v>
      </c>
      <c r="E1292" s="29" t="s">
        <v>239</v>
      </c>
      <c r="F1292" s="29" t="s">
        <v>171</v>
      </c>
      <c r="H1292" s="26" t="s">
        <v>218</v>
      </c>
      <c r="I1292" s="27" t="s">
        <v>176</v>
      </c>
      <c r="J1292" s="27" t="s">
        <v>153</v>
      </c>
      <c r="K1292" s="26">
        <v>45727.781230671295</v>
      </c>
    </row>
    <row r="1293" spans="1:12">
      <c r="A1293" s="25">
        <v>917180607</v>
      </c>
      <c r="B1293" s="26">
        <v>45729.393009259256</v>
      </c>
      <c r="C1293" s="27" t="s">
        <v>4254</v>
      </c>
      <c r="D1293" s="28" t="s">
        <v>4255</v>
      </c>
      <c r="E1293" s="29" t="s">
        <v>57</v>
      </c>
      <c r="F1293" s="29" t="s">
        <v>171</v>
      </c>
      <c r="H1293" s="26" t="s">
        <v>218</v>
      </c>
      <c r="I1293" s="27" t="s">
        <v>77</v>
      </c>
      <c r="J1293" s="27" t="s">
        <v>131</v>
      </c>
      <c r="K1293" s="26">
        <v>45729.686229629631</v>
      </c>
    </row>
    <row r="1294" spans="1:12">
      <c r="A1294" s="25">
        <v>912745657</v>
      </c>
      <c r="B1294" s="26">
        <v>45730.383807986109</v>
      </c>
      <c r="C1294" s="27" t="s">
        <v>5944</v>
      </c>
      <c r="D1294" s="28" t="s">
        <v>5945</v>
      </c>
      <c r="E1294" s="29" t="s">
        <v>263</v>
      </c>
      <c r="F1294" s="29" t="s">
        <v>171</v>
      </c>
      <c r="H1294" s="26" t="s">
        <v>6747</v>
      </c>
      <c r="I1294" s="27" t="s">
        <v>131</v>
      </c>
      <c r="J1294" s="27" t="s">
        <v>99</v>
      </c>
      <c r="K1294" s="26">
        <v>45730.596316550924</v>
      </c>
    </row>
    <row r="1295" spans="1:12">
      <c r="A1295" s="25">
        <v>917230475</v>
      </c>
      <c r="B1295" s="26">
        <v>45733.647636689813</v>
      </c>
      <c r="C1295" s="27" t="s">
        <v>4312</v>
      </c>
      <c r="D1295" s="28" t="s">
        <v>4313</v>
      </c>
      <c r="E1295" s="29" t="s">
        <v>28</v>
      </c>
      <c r="F1295" s="29" t="s">
        <v>171</v>
      </c>
      <c r="H1295" s="26" t="s">
        <v>218</v>
      </c>
      <c r="I1295" s="27" t="s">
        <v>66</v>
      </c>
      <c r="J1295" s="27" t="s">
        <v>241</v>
      </c>
      <c r="K1295" s="26">
        <v>45734.033041087961</v>
      </c>
      <c r="L1295" s="24" t="s">
        <v>6748</v>
      </c>
    </row>
    <row r="1296" spans="1:12">
      <c r="A1296" s="25">
        <v>917230475</v>
      </c>
      <c r="B1296" s="26">
        <v>45733.647667939818</v>
      </c>
      <c r="C1296" s="27" t="s">
        <v>4312</v>
      </c>
      <c r="D1296" s="28" t="s">
        <v>4313</v>
      </c>
      <c r="E1296" s="29" t="s">
        <v>129</v>
      </c>
      <c r="F1296" s="29" t="s">
        <v>171</v>
      </c>
      <c r="H1296" s="26" t="s">
        <v>218</v>
      </c>
      <c r="I1296" s="27" t="s">
        <v>66</v>
      </c>
      <c r="J1296" s="27" t="s">
        <v>6749</v>
      </c>
      <c r="K1296" s="26">
        <v>45734.033057638888</v>
      </c>
      <c r="L1296" s="24" t="s">
        <v>6748</v>
      </c>
    </row>
    <row r="1297" spans="1:12">
      <c r="A1297" s="25">
        <v>917230475</v>
      </c>
      <c r="B1297" s="26">
        <v>45733.647675347223</v>
      </c>
      <c r="C1297" s="27" t="s">
        <v>4312</v>
      </c>
      <c r="D1297" s="28" t="s">
        <v>4313</v>
      </c>
      <c r="E1297" s="29" t="s">
        <v>128</v>
      </c>
      <c r="F1297" s="29" t="s">
        <v>171</v>
      </c>
      <c r="H1297" s="26" t="s">
        <v>218</v>
      </c>
      <c r="I1297" s="27" t="s">
        <v>66</v>
      </c>
      <c r="J1297" s="27" t="s">
        <v>6749</v>
      </c>
      <c r="K1297" s="26">
        <v>45734.033139930558</v>
      </c>
      <c r="L1297" s="24" t="s">
        <v>6748</v>
      </c>
    </row>
    <row r="1298" spans="1:12">
      <c r="A1298" s="25">
        <v>922921217</v>
      </c>
      <c r="B1298" s="26">
        <v>45734.564891666669</v>
      </c>
      <c r="C1298" s="27" t="s">
        <v>6202</v>
      </c>
      <c r="D1298" s="28" t="s">
        <v>6203</v>
      </c>
      <c r="E1298" s="29" t="s">
        <v>76</v>
      </c>
      <c r="F1298" s="29" t="s">
        <v>171</v>
      </c>
      <c r="H1298" s="26" t="s">
        <v>218</v>
      </c>
      <c r="I1298" s="27" t="s">
        <v>99</v>
      </c>
      <c r="J1298" s="27" t="s">
        <v>153</v>
      </c>
      <c r="K1298" s="26">
        <v>45734.718348379633</v>
      </c>
    </row>
    <row r="1299" spans="1:12">
      <c r="A1299" s="25">
        <v>918842709</v>
      </c>
      <c r="B1299" s="26">
        <v>45735.423211921297</v>
      </c>
      <c r="C1299" s="27" t="s">
        <v>5174</v>
      </c>
      <c r="D1299" s="28" t="s">
        <v>5175</v>
      </c>
      <c r="E1299" s="29" t="s">
        <v>20</v>
      </c>
      <c r="F1299" s="29" t="s">
        <v>171</v>
      </c>
      <c r="H1299" s="26" t="s">
        <v>218</v>
      </c>
      <c r="I1299" s="27" t="s">
        <v>176</v>
      </c>
      <c r="J1299" s="27" t="s">
        <v>153</v>
      </c>
      <c r="K1299" s="26">
        <v>45735.647571296293</v>
      </c>
    </row>
    <row r="1300" spans="1:12">
      <c r="A1300" s="25">
        <v>921400269</v>
      </c>
      <c r="B1300" s="26">
        <v>45686.752055671299</v>
      </c>
      <c r="C1300" s="27" t="s">
        <v>6401</v>
      </c>
      <c r="D1300" s="28" t="s">
        <v>6401</v>
      </c>
      <c r="E1300" s="29" t="s">
        <v>6348</v>
      </c>
      <c r="F1300" s="29" t="s">
        <v>171</v>
      </c>
      <c r="H1300" s="26" t="s">
        <v>6750</v>
      </c>
      <c r="I1300" s="27" t="s">
        <v>331</v>
      </c>
      <c r="J1300" s="27" t="s">
        <v>66</v>
      </c>
      <c r="K1300" s="26">
        <v>45736.475109606479</v>
      </c>
      <c r="L1300" s="24" t="s">
        <v>6751</v>
      </c>
    </row>
    <row r="1301" spans="1:12">
      <c r="A1301" s="25">
        <v>916181362</v>
      </c>
      <c r="B1301" s="26">
        <v>45693.560510995369</v>
      </c>
      <c r="C1301" s="27" t="s">
        <v>5837</v>
      </c>
      <c r="D1301" s="28" t="s">
        <v>5838</v>
      </c>
      <c r="E1301" s="29" t="s">
        <v>6348</v>
      </c>
      <c r="F1301" s="29" t="s">
        <v>171</v>
      </c>
      <c r="H1301" s="26" t="s">
        <v>6315</v>
      </c>
      <c r="I1301" s="27" t="s">
        <v>66</v>
      </c>
      <c r="J1301" s="27" t="s">
        <v>66</v>
      </c>
      <c r="K1301" s="26">
        <v>45736.475769907411</v>
      </c>
    </row>
    <row r="1302" spans="1:12">
      <c r="A1302" s="25">
        <v>918852628</v>
      </c>
      <c r="B1302" s="26">
        <v>45707.661242708331</v>
      </c>
      <c r="C1302" s="27" t="s">
        <v>6752</v>
      </c>
      <c r="D1302" s="28" t="s">
        <v>5983</v>
      </c>
      <c r="E1302" s="29" t="s">
        <v>239</v>
      </c>
      <c r="F1302" s="29" t="s">
        <v>171</v>
      </c>
      <c r="J1302" s="27" t="s">
        <v>66</v>
      </c>
      <c r="K1302" s="26">
        <v>45736.476396874998</v>
      </c>
    </row>
    <row r="1303" spans="1:12">
      <c r="A1303" s="25">
        <v>907606601</v>
      </c>
      <c r="B1303" s="26">
        <v>45721.50628483796</v>
      </c>
      <c r="C1303" s="27" t="s">
        <v>5942</v>
      </c>
      <c r="D1303" s="28" t="s">
        <v>5943</v>
      </c>
      <c r="E1303" s="29" t="s">
        <v>6475</v>
      </c>
      <c r="F1303" s="29" t="s">
        <v>171</v>
      </c>
      <c r="G1303" s="29" t="s">
        <v>6630</v>
      </c>
      <c r="H1303" s="26" t="s">
        <v>6753</v>
      </c>
      <c r="I1303" s="27" t="s">
        <v>153</v>
      </c>
      <c r="J1303" s="27" t="s">
        <v>66</v>
      </c>
    </row>
    <row r="1304" spans="1:12">
      <c r="A1304" s="25">
        <v>908529887</v>
      </c>
      <c r="B1304" s="26">
        <v>44874</v>
      </c>
      <c r="C1304" s="27" t="s">
        <v>2541</v>
      </c>
      <c r="D1304" s="28" t="s">
        <v>2542</v>
      </c>
      <c r="E1304" s="29" t="s">
        <v>48</v>
      </c>
      <c r="F1304" s="29" t="s">
        <v>171</v>
      </c>
      <c r="H1304" s="26">
        <v>45282</v>
      </c>
      <c r="I1304" s="27" t="s">
        <v>47</v>
      </c>
      <c r="J1304" s="27" t="s">
        <v>153</v>
      </c>
      <c r="K1304" s="26">
        <v>45791.81638773148</v>
      </c>
    </row>
    <row r="1305" spans="1:12">
      <c r="A1305" s="25">
        <v>920245089</v>
      </c>
      <c r="B1305" s="26">
        <v>45539.514797800926</v>
      </c>
      <c r="C1305" s="27" t="s">
        <v>5849</v>
      </c>
      <c r="D1305" s="28" t="s">
        <v>5850</v>
      </c>
      <c r="E1305" s="29" t="s">
        <v>25</v>
      </c>
      <c r="F1305" s="29" t="s">
        <v>171</v>
      </c>
      <c r="H1305" s="26" t="s">
        <v>124</v>
      </c>
      <c r="I1305" s="27" t="s">
        <v>153</v>
      </c>
      <c r="J1305" s="27" t="s">
        <v>131</v>
      </c>
      <c r="K1305" s="26">
        <v>45792.643781828701</v>
      </c>
      <c r="L1305" s="24" t="s">
        <v>6754</v>
      </c>
    </row>
    <row r="1306" spans="1:12">
      <c r="A1306" s="25">
        <v>921406197</v>
      </c>
      <c r="B1306" s="26">
        <v>45572.647553472219</v>
      </c>
      <c r="C1306" s="27" t="s">
        <v>5592</v>
      </c>
      <c r="D1306" s="28" t="s">
        <v>5593</v>
      </c>
      <c r="E1306" s="29" t="s">
        <v>48</v>
      </c>
      <c r="F1306" s="29" t="s">
        <v>6339</v>
      </c>
      <c r="H1306" s="26" t="s">
        <v>127</v>
      </c>
      <c r="I1306" s="27" t="s">
        <v>153</v>
      </c>
      <c r="J1306" s="27" t="s">
        <v>153</v>
      </c>
      <c r="K1306" s="26">
        <v>45796.573024189813</v>
      </c>
    </row>
    <row r="1307" spans="1:12">
      <c r="A1307" s="25">
        <v>917263443</v>
      </c>
      <c r="B1307" s="26">
        <v>45681.500865162037</v>
      </c>
      <c r="C1307" s="27" t="s">
        <v>4404</v>
      </c>
      <c r="D1307" s="28" t="s">
        <v>4405</v>
      </c>
      <c r="E1307" s="29" t="s">
        <v>36</v>
      </c>
      <c r="F1307" s="29" t="s">
        <v>171</v>
      </c>
      <c r="H1307" s="26">
        <v>45808</v>
      </c>
      <c r="I1307" s="27" t="s">
        <v>155</v>
      </c>
      <c r="J1307" s="27" t="s">
        <v>196</v>
      </c>
      <c r="K1307" s="26">
        <v>45762.654997916667</v>
      </c>
    </row>
    <row r="1308" spans="1:12">
      <c r="A1308" s="25">
        <v>900025508</v>
      </c>
      <c r="B1308" s="26">
        <v>45681.536512152779</v>
      </c>
      <c r="C1308" s="27" t="s">
        <v>920</v>
      </c>
      <c r="D1308" s="28" t="s">
        <v>921</v>
      </c>
      <c r="E1308" s="29" t="s">
        <v>269</v>
      </c>
      <c r="F1308" s="29" t="s">
        <v>6339</v>
      </c>
      <c r="H1308" s="26">
        <v>45692</v>
      </c>
      <c r="I1308" s="27" t="s">
        <v>155</v>
      </c>
      <c r="J1308" s="27" t="s">
        <v>178</v>
      </c>
      <c r="K1308" s="26">
        <v>45762.355942592592</v>
      </c>
    </row>
    <row r="1309" spans="1:12">
      <c r="A1309" s="25">
        <v>900025508</v>
      </c>
      <c r="B1309" s="26">
        <v>45681.538155208335</v>
      </c>
      <c r="C1309" s="27" t="s">
        <v>920</v>
      </c>
      <c r="D1309" s="28" t="s">
        <v>921</v>
      </c>
      <c r="E1309" s="29" t="s">
        <v>227</v>
      </c>
      <c r="F1309" s="29" t="s">
        <v>6339</v>
      </c>
      <c r="H1309" s="26">
        <v>45692</v>
      </c>
      <c r="I1309" s="27" t="s">
        <v>155</v>
      </c>
      <c r="J1309" s="27" t="s">
        <v>178</v>
      </c>
      <c r="K1309" s="26">
        <v>45762.355972337966</v>
      </c>
    </row>
    <row r="1310" spans="1:12">
      <c r="A1310" s="25">
        <v>900025508</v>
      </c>
      <c r="B1310" s="26">
        <v>45681.53878599537</v>
      </c>
      <c r="C1310" s="27" t="s">
        <v>920</v>
      </c>
      <c r="D1310" s="28" t="s">
        <v>921</v>
      </c>
      <c r="E1310" s="29" t="s">
        <v>24</v>
      </c>
      <c r="F1310" s="29" t="s">
        <v>171</v>
      </c>
      <c r="H1310" s="26">
        <v>45692</v>
      </c>
      <c r="I1310" s="27" t="s">
        <v>155</v>
      </c>
      <c r="J1310" s="27" t="s">
        <v>178</v>
      </c>
      <c r="K1310" s="26">
        <v>45762.356004861111</v>
      </c>
    </row>
    <row r="1311" spans="1:12">
      <c r="A1311" s="25">
        <v>900020711</v>
      </c>
      <c r="B1311" s="26">
        <v>45727.673208333334</v>
      </c>
      <c r="C1311" s="27" t="s">
        <v>856</v>
      </c>
      <c r="D1311" s="28" t="s">
        <v>857</v>
      </c>
      <c r="E1311" s="29" t="s">
        <v>261</v>
      </c>
      <c r="F1311" s="29" t="s">
        <v>171</v>
      </c>
      <c r="G1311" s="29" t="s">
        <v>6755</v>
      </c>
      <c r="H1311" s="26">
        <v>45735</v>
      </c>
      <c r="I1311" s="27" t="s">
        <v>153</v>
      </c>
      <c r="J1311" s="27" t="s">
        <v>61</v>
      </c>
      <c r="K1311" s="26">
        <v>45736.550087731484</v>
      </c>
    </row>
    <row r="1312" spans="1:12">
      <c r="A1312" s="25">
        <v>900020711</v>
      </c>
      <c r="B1312" s="26">
        <v>45727.673308101854</v>
      </c>
      <c r="C1312" s="27" t="s">
        <v>856</v>
      </c>
      <c r="D1312" s="28" t="s">
        <v>857</v>
      </c>
      <c r="E1312" s="29" t="s">
        <v>227</v>
      </c>
      <c r="F1312" s="29" t="s">
        <v>171</v>
      </c>
      <c r="H1312" s="26">
        <v>45735</v>
      </c>
      <c r="I1312" s="27" t="s">
        <v>153</v>
      </c>
      <c r="J1312" s="27" t="s">
        <v>61</v>
      </c>
      <c r="K1312" s="26">
        <v>45736.55011261574</v>
      </c>
    </row>
    <row r="1313" spans="1:12">
      <c r="A1313" s="25">
        <v>900020711</v>
      </c>
      <c r="B1313" s="26">
        <v>45727.673385879629</v>
      </c>
      <c r="C1313" s="27" t="s">
        <v>856</v>
      </c>
      <c r="D1313" s="28" t="s">
        <v>857</v>
      </c>
      <c r="E1313" s="29" t="s">
        <v>269</v>
      </c>
      <c r="F1313" s="29" t="s">
        <v>171</v>
      </c>
      <c r="G1313" s="29" t="s">
        <v>6756</v>
      </c>
      <c r="H1313" s="26">
        <v>45735</v>
      </c>
      <c r="I1313" s="27" t="s">
        <v>153</v>
      </c>
      <c r="J1313" s="27" t="s">
        <v>61</v>
      </c>
      <c r="K1313" s="26">
        <v>45736.550140277781</v>
      </c>
    </row>
    <row r="1314" spans="1:12">
      <c r="A1314" s="25">
        <v>900013899</v>
      </c>
      <c r="B1314" s="26">
        <v>45740.683365509256</v>
      </c>
      <c r="C1314" s="27" t="s">
        <v>6204</v>
      </c>
      <c r="D1314" s="28" t="s">
        <v>6205</v>
      </c>
      <c r="E1314" s="29" t="s">
        <v>188</v>
      </c>
      <c r="F1314" s="29" t="s">
        <v>171</v>
      </c>
      <c r="G1314" s="29" t="s">
        <v>6757</v>
      </c>
      <c r="H1314" s="26">
        <v>45748</v>
      </c>
      <c r="I1314" s="27" t="s">
        <v>254</v>
      </c>
      <c r="J1314" s="27" t="s">
        <v>66</v>
      </c>
      <c r="K1314" s="26">
        <v>45748.610062037034</v>
      </c>
    </row>
    <row r="1315" spans="1:12">
      <c r="A1315" s="25">
        <v>904239211</v>
      </c>
      <c r="B1315" s="26">
        <v>45742.468608449075</v>
      </c>
      <c r="C1315" s="27" t="s">
        <v>1865</v>
      </c>
      <c r="D1315" s="28" t="s">
        <v>1866</v>
      </c>
      <c r="E1315" s="29" t="s">
        <v>67</v>
      </c>
      <c r="F1315" s="29" t="s">
        <v>171</v>
      </c>
      <c r="G1315" s="29" t="s">
        <v>243</v>
      </c>
      <c r="H1315" s="26" t="s">
        <v>218</v>
      </c>
      <c r="I1315" s="27" t="s">
        <v>99</v>
      </c>
      <c r="J1315" s="27" t="s">
        <v>66</v>
      </c>
      <c r="K1315" s="26">
        <v>45742.563373032404</v>
      </c>
    </row>
    <row r="1316" spans="1:12">
      <c r="A1316" s="25">
        <v>904239211</v>
      </c>
      <c r="B1316" s="26">
        <v>45742.477912731483</v>
      </c>
      <c r="C1316" s="27" t="s">
        <v>1865</v>
      </c>
      <c r="D1316" s="28" t="s">
        <v>1866</v>
      </c>
      <c r="E1316" s="29" t="s">
        <v>12</v>
      </c>
      <c r="F1316" s="29" t="s">
        <v>171</v>
      </c>
      <c r="G1316" s="29" t="s">
        <v>243</v>
      </c>
      <c r="H1316" s="26" t="s">
        <v>218</v>
      </c>
      <c r="I1316" s="27" t="s">
        <v>99</v>
      </c>
      <c r="J1316" s="27" t="s">
        <v>66</v>
      </c>
      <c r="K1316" s="26">
        <v>45742.563390393516</v>
      </c>
    </row>
    <row r="1317" spans="1:12">
      <c r="A1317" s="25">
        <v>913748685</v>
      </c>
      <c r="B1317" s="26">
        <v>45749.574225925928</v>
      </c>
      <c r="C1317" s="27" t="s">
        <v>3628</v>
      </c>
      <c r="D1317" s="28" t="s">
        <v>3629</v>
      </c>
      <c r="E1317" s="29" t="s">
        <v>20</v>
      </c>
      <c r="F1317" s="29" t="s">
        <v>171</v>
      </c>
      <c r="G1317" s="29" t="s">
        <v>6758</v>
      </c>
      <c r="H1317" s="26" t="s">
        <v>6759</v>
      </c>
      <c r="I1317" s="27" t="s">
        <v>254</v>
      </c>
      <c r="J1317" s="27" t="s">
        <v>153</v>
      </c>
      <c r="K1317" s="26">
        <v>45749.677162268519</v>
      </c>
    </row>
    <row r="1318" spans="1:12">
      <c r="A1318" s="25">
        <v>918834805</v>
      </c>
      <c r="B1318" s="26">
        <v>45749.613818055557</v>
      </c>
      <c r="C1318" s="27" t="s">
        <v>4984</v>
      </c>
      <c r="D1318" s="28" t="s">
        <v>4985</v>
      </c>
      <c r="E1318" s="29" t="s">
        <v>92</v>
      </c>
      <c r="F1318" s="29" t="s">
        <v>171</v>
      </c>
      <c r="G1318" s="29" t="s">
        <v>6760</v>
      </c>
      <c r="H1318" s="26" t="s">
        <v>215</v>
      </c>
      <c r="I1318" s="27" t="s">
        <v>211</v>
      </c>
      <c r="J1318" s="27" t="s">
        <v>196</v>
      </c>
      <c r="K1318" s="26">
        <v>45749.735770601852</v>
      </c>
    </row>
    <row r="1319" spans="1:12">
      <c r="A1319" s="25">
        <v>905019120</v>
      </c>
      <c r="B1319" s="26">
        <v>45762.347197800926</v>
      </c>
      <c r="C1319" s="27" t="s">
        <v>1975</v>
      </c>
      <c r="D1319" s="28" t="s">
        <v>1976</v>
      </c>
      <c r="E1319" s="29" t="s">
        <v>6475</v>
      </c>
      <c r="F1319" s="29" t="s">
        <v>171</v>
      </c>
      <c r="G1319" s="29" t="s">
        <v>6530</v>
      </c>
      <c r="H1319" s="26" t="s">
        <v>218</v>
      </c>
      <c r="I1319" s="27" t="s">
        <v>176</v>
      </c>
      <c r="J1319" s="27" t="s">
        <v>196</v>
      </c>
      <c r="K1319" s="26">
        <v>45754.645176273145</v>
      </c>
    </row>
    <row r="1320" spans="1:12">
      <c r="A1320" s="25">
        <v>907607212</v>
      </c>
      <c r="B1320" s="26">
        <v>45754.505864814812</v>
      </c>
      <c r="C1320" s="27" t="s">
        <v>2335</v>
      </c>
      <c r="D1320" s="28" t="s">
        <v>2336</v>
      </c>
      <c r="E1320" s="29" t="s">
        <v>31</v>
      </c>
      <c r="F1320" s="29" t="s">
        <v>171</v>
      </c>
      <c r="G1320" s="29" t="s">
        <v>243</v>
      </c>
      <c r="H1320" s="26">
        <v>45755</v>
      </c>
      <c r="I1320" s="27" t="s">
        <v>241</v>
      </c>
      <c r="J1320" s="27" t="s">
        <v>196</v>
      </c>
      <c r="K1320" s="26">
        <v>45755.639095023151</v>
      </c>
    </row>
    <row r="1321" spans="1:12">
      <c r="A1321" s="25">
        <v>903567202</v>
      </c>
      <c r="B1321" s="26">
        <v>45755.484495254626</v>
      </c>
      <c r="C1321" s="27" t="s">
        <v>6208</v>
      </c>
      <c r="D1321" s="28" t="s">
        <v>6209</v>
      </c>
      <c r="E1321" s="29" t="s">
        <v>239</v>
      </c>
      <c r="F1321" s="29" t="s">
        <v>171</v>
      </c>
      <c r="G1321" s="29" t="s">
        <v>240</v>
      </c>
      <c r="H1321" s="26">
        <v>45756</v>
      </c>
      <c r="I1321" s="27" t="s">
        <v>176</v>
      </c>
      <c r="J1321" s="27" t="s">
        <v>196</v>
      </c>
      <c r="K1321" s="26">
        <v>45756.673037615743</v>
      </c>
    </row>
    <row r="1322" spans="1:12">
      <c r="A1322" s="25">
        <v>923076983</v>
      </c>
      <c r="B1322" s="26">
        <v>45755.49153240741</v>
      </c>
      <c r="C1322" s="27" t="s">
        <v>6099</v>
      </c>
      <c r="D1322" s="28" t="s">
        <v>6100</v>
      </c>
      <c r="E1322" s="29" t="s">
        <v>57</v>
      </c>
      <c r="F1322" s="29" t="s">
        <v>171</v>
      </c>
      <c r="G1322" s="29" t="s">
        <v>6761</v>
      </c>
      <c r="H1322" s="26" t="s">
        <v>218</v>
      </c>
      <c r="I1322" s="27" t="s">
        <v>176</v>
      </c>
      <c r="J1322" s="27" t="s">
        <v>99</v>
      </c>
      <c r="K1322" s="26">
        <v>45757.747609606478</v>
      </c>
    </row>
    <row r="1323" spans="1:12">
      <c r="A1323" s="25">
        <v>913847420</v>
      </c>
      <c r="B1323" s="26">
        <v>45755.532436574074</v>
      </c>
      <c r="C1323" s="27" t="s">
        <v>3754</v>
      </c>
      <c r="D1323" s="28" t="s">
        <v>3755</v>
      </c>
      <c r="E1323" s="29" t="s">
        <v>138</v>
      </c>
      <c r="F1323" s="29" t="s">
        <v>171</v>
      </c>
      <c r="G1323" s="29" t="s">
        <v>6762</v>
      </c>
      <c r="H1323" s="26" t="s">
        <v>218</v>
      </c>
      <c r="I1323" s="27" t="s">
        <v>254</v>
      </c>
      <c r="J1323" s="27" t="s">
        <v>196</v>
      </c>
      <c r="K1323" s="26">
        <v>45755.666050462962</v>
      </c>
    </row>
    <row r="1324" spans="1:12">
      <c r="A1324" s="25">
        <v>909169006</v>
      </c>
      <c r="B1324" s="26">
        <v>45756.397371990737</v>
      </c>
      <c r="C1324" s="27" t="s">
        <v>2652</v>
      </c>
      <c r="D1324" s="28" t="s">
        <v>2653</v>
      </c>
      <c r="E1324" s="29" t="s">
        <v>261</v>
      </c>
      <c r="F1324" s="29" t="s">
        <v>171</v>
      </c>
      <c r="G1324" s="29" t="s">
        <v>267</v>
      </c>
      <c r="H1324" s="26">
        <v>45761</v>
      </c>
      <c r="I1324" s="27" t="s">
        <v>254</v>
      </c>
      <c r="J1324" s="27" t="s">
        <v>241</v>
      </c>
      <c r="K1324" s="26">
        <v>45761.47226840278</v>
      </c>
    </row>
    <row r="1325" spans="1:12">
      <c r="A1325" s="25">
        <v>912745657</v>
      </c>
      <c r="B1325" s="26">
        <v>45756.533416550927</v>
      </c>
      <c r="C1325" s="27" t="s">
        <v>5944</v>
      </c>
      <c r="D1325" s="28" t="s">
        <v>5945</v>
      </c>
      <c r="E1325" s="29" t="s">
        <v>263</v>
      </c>
      <c r="F1325" s="29" t="s">
        <v>171</v>
      </c>
      <c r="G1325" s="29" t="s">
        <v>6641</v>
      </c>
      <c r="H1325" s="26">
        <v>45756</v>
      </c>
      <c r="I1325" s="27" t="s">
        <v>176</v>
      </c>
      <c r="J1325" s="27" t="s">
        <v>6763</v>
      </c>
      <c r="K1325" s="26">
        <v>45757.478451273149</v>
      </c>
      <c r="L1325" s="24" t="s">
        <v>6764</v>
      </c>
    </row>
    <row r="1326" spans="1:12">
      <c r="A1326" s="25">
        <v>905284034</v>
      </c>
      <c r="B1326" s="26">
        <v>45756.644810763886</v>
      </c>
      <c r="C1326" s="27" t="s">
        <v>2007</v>
      </c>
      <c r="D1326" s="28" t="s">
        <v>2008</v>
      </c>
      <c r="E1326" s="29" t="s">
        <v>28</v>
      </c>
      <c r="F1326" s="29" t="s">
        <v>171</v>
      </c>
      <c r="G1326" s="29" t="s">
        <v>6765</v>
      </c>
      <c r="H1326" s="26">
        <v>45391</v>
      </c>
      <c r="I1326" s="27" t="s">
        <v>176</v>
      </c>
      <c r="J1326" s="27" t="s">
        <v>6763</v>
      </c>
      <c r="K1326" s="26" t="s">
        <v>6766</v>
      </c>
    </row>
    <row r="1327" spans="1:12">
      <c r="A1327" s="25">
        <v>913862591</v>
      </c>
      <c r="B1327" s="26">
        <v>45757.597659722225</v>
      </c>
      <c r="C1327" s="27" t="s">
        <v>3774</v>
      </c>
      <c r="D1327" s="28" t="s">
        <v>3775</v>
      </c>
      <c r="E1327" s="29" t="s">
        <v>263</v>
      </c>
      <c r="F1327" s="29" t="s">
        <v>171</v>
      </c>
      <c r="G1327" s="29" t="s">
        <v>6767</v>
      </c>
      <c r="H1327" s="26">
        <v>45758</v>
      </c>
      <c r="I1327" s="27" t="s">
        <v>196</v>
      </c>
      <c r="J1327" s="27" t="s">
        <v>6768</v>
      </c>
      <c r="K1327" s="26">
        <v>45758.74462060185</v>
      </c>
    </row>
    <row r="1328" spans="1:12">
      <c r="A1328" s="25">
        <v>913862591</v>
      </c>
      <c r="B1328" s="26">
        <v>45757.59809201389</v>
      </c>
      <c r="C1328" s="27" t="s">
        <v>3774</v>
      </c>
      <c r="D1328" s="28" t="s">
        <v>3775</v>
      </c>
      <c r="E1328" s="29" t="s">
        <v>128</v>
      </c>
      <c r="F1328" s="29" t="s">
        <v>171</v>
      </c>
      <c r="G1328" s="29" t="s">
        <v>6769</v>
      </c>
      <c r="H1328" s="26">
        <v>45758</v>
      </c>
      <c r="I1328" s="27" t="s">
        <v>196</v>
      </c>
      <c r="J1328" s="27" t="s">
        <v>6768</v>
      </c>
      <c r="K1328" s="26">
        <v>45758.744689004627</v>
      </c>
      <c r="L1328" s="24" t="s">
        <v>6770</v>
      </c>
    </row>
    <row r="1329" spans="1:12">
      <c r="A1329" s="25">
        <v>913862591</v>
      </c>
      <c r="B1329" s="26">
        <v>45757.59809201389</v>
      </c>
      <c r="C1329" s="27" t="s">
        <v>3774</v>
      </c>
      <c r="D1329" s="28" t="s">
        <v>3775</v>
      </c>
      <c r="E1329" s="29" t="s">
        <v>129</v>
      </c>
      <c r="F1329" s="29" t="s">
        <v>171</v>
      </c>
      <c r="G1329" s="29" t="s">
        <v>15</v>
      </c>
      <c r="H1329" s="26">
        <v>45758</v>
      </c>
      <c r="I1329" s="27" t="s">
        <v>196</v>
      </c>
      <c r="J1329" s="27" t="s">
        <v>6768</v>
      </c>
      <c r="K1329" s="26">
        <v>45758.744785416668</v>
      </c>
      <c r="L1329" s="24" t="s">
        <v>6771</v>
      </c>
    </row>
    <row r="1330" spans="1:12">
      <c r="A1330" s="25">
        <v>913862591</v>
      </c>
      <c r="B1330" s="26">
        <v>45757.59942766204</v>
      </c>
      <c r="C1330" s="27" t="s">
        <v>3774</v>
      </c>
      <c r="D1330" s="28" t="s">
        <v>3775</v>
      </c>
      <c r="E1330" s="29" t="s">
        <v>6575</v>
      </c>
      <c r="F1330" s="29" t="s">
        <v>171</v>
      </c>
      <c r="G1330" s="29" t="s">
        <v>14</v>
      </c>
      <c r="H1330" s="26">
        <v>45758</v>
      </c>
      <c r="I1330" s="27" t="s">
        <v>196</v>
      </c>
      <c r="J1330" s="27" t="s">
        <v>6768</v>
      </c>
      <c r="K1330" s="26">
        <v>45758.744807060182</v>
      </c>
      <c r="L1330" s="24" t="s">
        <v>6772</v>
      </c>
    </row>
    <row r="1331" spans="1:12">
      <c r="A1331" s="25">
        <v>918846726</v>
      </c>
      <c r="B1331" s="26">
        <v>45758.373806828706</v>
      </c>
      <c r="C1331" s="27" t="s">
        <v>6212</v>
      </c>
      <c r="D1331" s="28" t="s">
        <v>6213</v>
      </c>
      <c r="E1331" s="29" t="s">
        <v>57</v>
      </c>
      <c r="F1331" s="29" t="s">
        <v>171</v>
      </c>
      <c r="G1331" s="29" t="s">
        <v>6773</v>
      </c>
      <c r="H1331" s="26" t="s">
        <v>6774</v>
      </c>
      <c r="I1331" s="27" t="s">
        <v>131</v>
      </c>
      <c r="J1331" s="27" t="s">
        <v>331</v>
      </c>
      <c r="K1331" s="26">
        <v>45758.994876504628</v>
      </c>
    </row>
    <row r="1332" spans="1:12">
      <c r="A1332" s="25">
        <v>918855696</v>
      </c>
      <c r="B1332" s="26">
        <v>45758.58141053241</v>
      </c>
      <c r="C1332" s="27" t="s">
        <v>6067</v>
      </c>
      <c r="D1332" s="28" t="s">
        <v>6068</v>
      </c>
      <c r="E1332" s="29" t="s">
        <v>280</v>
      </c>
      <c r="F1332" s="29" t="s">
        <v>171</v>
      </c>
      <c r="G1332" s="29" t="s">
        <v>288</v>
      </c>
      <c r="H1332" s="26">
        <v>45776</v>
      </c>
      <c r="I1332" s="27" t="s">
        <v>131</v>
      </c>
      <c r="J1332" s="27" t="s">
        <v>61</v>
      </c>
      <c r="K1332" s="26">
        <v>45778.397971527775</v>
      </c>
    </row>
    <row r="1333" spans="1:12">
      <c r="A1333" s="25">
        <v>900005709</v>
      </c>
      <c r="B1333" s="26">
        <v>45762.347295023152</v>
      </c>
      <c r="C1333" s="27" t="s">
        <v>495</v>
      </c>
      <c r="D1333" s="28" t="s">
        <v>496</v>
      </c>
      <c r="E1333" s="29" t="s">
        <v>133</v>
      </c>
      <c r="F1333" s="29" t="s">
        <v>171</v>
      </c>
      <c r="G1333" s="29" t="s">
        <v>6272</v>
      </c>
      <c r="H1333" s="26">
        <v>45792</v>
      </c>
      <c r="I1333" s="27" t="s">
        <v>178</v>
      </c>
      <c r="J1333" s="27" t="s">
        <v>178</v>
      </c>
      <c r="K1333" s="26">
        <v>45796.445587847222</v>
      </c>
      <c r="L1333" s="24" t="s">
        <v>6775</v>
      </c>
    </row>
    <row r="1334" spans="1:12">
      <c r="A1334" s="25">
        <v>917180607</v>
      </c>
      <c r="B1334" s="26">
        <v>45762.382468171294</v>
      </c>
      <c r="C1334" s="27" t="s">
        <v>4254</v>
      </c>
      <c r="D1334" s="28" t="s">
        <v>4255</v>
      </c>
      <c r="E1334" s="29" t="s">
        <v>57</v>
      </c>
      <c r="F1334" s="29" t="s">
        <v>6339</v>
      </c>
      <c r="G1334" s="29" t="s">
        <v>15</v>
      </c>
      <c r="H1334" s="26" t="s">
        <v>218</v>
      </c>
      <c r="I1334" s="27" t="s">
        <v>178</v>
      </c>
      <c r="J1334" s="27" t="s">
        <v>196</v>
      </c>
      <c r="K1334" s="26">
        <v>45762.680748148145</v>
      </c>
    </row>
    <row r="1335" spans="1:12">
      <c r="A1335" s="25">
        <v>902977002</v>
      </c>
      <c r="B1335" s="26">
        <v>45762.633829976854</v>
      </c>
      <c r="C1335" s="27" t="s">
        <v>1705</v>
      </c>
      <c r="D1335" s="28" t="s">
        <v>1706</v>
      </c>
      <c r="E1335" s="29" t="s">
        <v>6385</v>
      </c>
      <c r="F1335" s="29" t="s">
        <v>6339</v>
      </c>
      <c r="G1335" s="29" t="s">
        <v>6776</v>
      </c>
      <c r="H1335" s="26" t="s">
        <v>218</v>
      </c>
      <c r="I1335" s="27" t="s">
        <v>178</v>
      </c>
      <c r="J1335" s="27" t="s">
        <v>66</v>
      </c>
      <c r="K1335" s="26">
        <v>45763.383281712966</v>
      </c>
    </row>
    <row r="1336" spans="1:12">
      <c r="A1336" s="25">
        <v>902977002</v>
      </c>
      <c r="B1336" s="26">
        <v>45762.634497453706</v>
      </c>
      <c r="C1336" s="27" t="s">
        <v>1705</v>
      </c>
      <c r="D1336" s="28" t="s">
        <v>1706</v>
      </c>
      <c r="E1336" s="29" t="s">
        <v>6385</v>
      </c>
      <c r="F1336" s="29" t="s">
        <v>6339</v>
      </c>
      <c r="G1336" s="29" t="s">
        <v>6777</v>
      </c>
      <c r="H1336" s="26" t="s">
        <v>218</v>
      </c>
      <c r="I1336" s="27" t="s">
        <v>178</v>
      </c>
      <c r="J1336" s="27" t="s">
        <v>66</v>
      </c>
      <c r="K1336" s="26">
        <v>45763.383298958332</v>
      </c>
    </row>
    <row r="1337" spans="1:12">
      <c r="A1337" s="25">
        <v>902977002</v>
      </c>
      <c r="B1337" s="26">
        <v>45762.634515393518</v>
      </c>
      <c r="C1337" s="27" t="s">
        <v>1705</v>
      </c>
      <c r="D1337" s="28" t="s">
        <v>1706</v>
      </c>
      <c r="E1337" s="29" t="s">
        <v>6385</v>
      </c>
      <c r="F1337" s="29" t="s">
        <v>6339</v>
      </c>
      <c r="G1337" s="29" t="s">
        <v>6778</v>
      </c>
      <c r="H1337" s="26" t="s">
        <v>218</v>
      </c>
      <c r="I1337" s="27" t="s">
        <v>178</v>
      </c>
      <c r="J1337" s="27" t="s">
        <v>66</v>
      </c>
      <c r="K1337" s="26">
        <v>45763.383307291668</v>
      </c>
    </row>
    <row r="1338" spans="1:12">
      <c r="A1338" s="25">
        <v>902977002</v>
      </c>
      <c r="B1338" s="26">
        <v>45762.635107986112</v>
      </c>
      <c r="C1338" s="27" t="s">
        <v>1705</v>
      </c>
      <c r="D1338" s="28" t="s">
        <v>1706</v>
      </c>
      <c r="E1338" s="29" t="s">
        <v>6385</v>
      </c>
      <c r="F1338" s="29" t="s">
        <v>6339</v>
      </c>
      <c r="G1338" s="29" t="s">
        <v>6779</v>
      </c>
      <c r="H1338" s="26" t="s">
        <v>218</v>
      </c>
      <c r="I1338" s="27" t="s">
        <v>178</v>
      </c>
      <c r="J1338" s="27" t="s">
        <v>66</v>
      </c>
      <c r="K1338" s="26">
        <v>45763.38331921296</v>
      </c>
    </row>
    <row r="1339" spans="1:12">
      <c r="A1339" s="25">
        <v>902977002</v>
      </c>
      <c r="B1339" s="26">
        <v>45762.635674421297</v>
      </c>
      <c r="C1339" s="27" t="s">
        <v>1705</v>
      </c>
      <c r="D1339" s="28" t="s">
        <v>1706</v>
      </c>
      <c r="E1339" s="29" t="s">
        <v>128</v>
      </c>
      <c r="F1339" s="29" t="s">
        <v>6339</v>
      </c>
      <c r="G1339" s="29" t="s">
        <v>6780</v>
      </c>
      <c r="H1339" s="26" t="s">
        <v>218</v>
      </c>
      <c r="I1339" s="27" t="s">
        <v>178</v>
      </c>
      <c r="J1339" s="27" t="s">
        <v>66</v>
      </c>
      <c r="K1339" s="26">
        <v>45763.383331134261</v>
      </c>
    </row>
    <row r="1340" spans="1:12">
      <c r="A1340" s="25">
        <v>902977002</v>
      </c>
      <c r="B1340" s="26">
        <v>45762.636779398148</v>
      </c>
      <c r="C1340" s="27" t="s">
        <v>1705</v>
      </c>
      <c r="D1340" s="28" t="s">
        <v>1706</v>
      </c>
      <c r="E1340" s="29" t="s">
        <v>128</v>
      </c>
      <c r="F1340" s="29" t="s">
        <v>6339</v>
      </c>
      <c r="G1340" s="29" t="s">
        <v>6781</v>
      </c>
      <c r="H1340" s="26" t="s">
        <v>218</v>
      </c>
      <c r="I1340" s="27" t="s">
        <v>178</v>
      </c>
      <c r="J1340" s="27" t="s">
        <v>66</v>
      </c>
      <c r="K1340" s="26">
        <v>45763.383348842595</v>
      </c>
    </row>
    <row r="1341" spans="1:12">
      <c r="A1341" s="25">
        <v>902977002</v>
      </c>
      <c r="B1341" s="26">
        <v>45762.636961921293</v>
      </c>
      <c r="C1341" s="27" t="s">
        <v>1705</v>
      </c>
      <c r="D1341" s="28" t="s">
        <v>1706</v>
      </c>
      <c r="E1341" s="29" t="s">
        <v>128</v>
      </c>
      <c r="F1341" s="29" t="s">
        <v>6339</v>
      </c>
      <c r="G1341" s="29" t="s">
        <v>6782</v>
      </c>
      <c r="H1341" s="26" t="s">
        <v>218</v>
      </c>
      <c r="I1341" s="27" t="s">
        <v>178</v>
      </c>
      <c r="J1341" s="27" t="s">
        <v>66</v>
      </c>
      <c r="K1341" s="26">
        <v>45763.383360416665</v>
      </c>
    </row>
    <row r="1342" spans="1:12">
      <c r="A1342" s="25">
        <v>902977002</v>
      </c>
      <c r="B1342" s="26">
        <v>45762.637195254632</v>
      </c>
      <c r="C1342" s="27" t="s">
        <v>1705</v>
      </c>
      <c r="D1342" s="28" t="s">
        <v>1706</v>
      </c>
      <c r="E1342" s="29" t="s">
        <v>263</v>
      </c>
      <c r="F1342" s="29" t="s">
        <v>171</v>
      </c>
      <c r="G1342" s="29" t="s">
        <v>6783</v>
      </c>
      <c r="H1342" s="26" t="s">
        <v>218</v>
      </c>
      <c r="I1342" s="27" t="s">
        <v>178</v>
      </c>
      <c r="J1342" s="27" t="s">
        <v>66</v>
      </c>
      <c r="K1342" s="26">
        <v>45763.383387731483</v>
      </c>
    </row>
    <row r="1343" spans="1:12">
      <c r="A1343" s="25">
        <v>900024273</v>
      </c>
      <c r="B1343" s="26">
        <v>45762.647895254631</v>
      </c>
      <c r="C1343" s="27" t="s">
        <v>912</v>
      </c>
      <c r="D1343" s="28" t="s">
        <v>913</v>
      </c>
      <c r="E1343" s="29" t="s">
        <v>35</v>
      </c>
      <c r="F1343" s="29" t="s">
        <v>171</v>
      </c>
      <c r="G1343" s="29" t="s">
        <v>6784</v>
      </c>
      <c r="H1343" s="26" t="s">
        <v>218</v>
      </c>
      <c r="I1343" s="27" t="s">
        <v>196</v>
      </c>
      <c r="J1343" s="27" t="s">
        <v>196</v>
      </c>
      <c r="K1343" s="26">
        <v>45762.800815740738</v>
      </c>
    </row>
    <row r="1344" spans="1:12">
      <c r="A1344" s="25">
        <v>900024273</v>
      </c>
      <c r="B1344" s="26">
        <v>45762.648697222219</v>
      </c>
      <c r="C1344" s="27" t="s">
        <v>912</v>
      </c>
      <c r="D1344" s="28" t="s">
        <v>913</v>
      </c>
      <c r="E1344" s="29" t="s">
        <v>151</v>
      </c>
      <c r="F1344" s="29" t="s">
        <v>171</v>
      </c>
      <c r="G1344" s="29">
        <v>70283</v>
      </c>
      <c r="H1344" s="26" t="s">
        <v>218</v>
      </c>
      <c r="I1344" s="27" t="s">
        <v>196</v>
      </c>
      <c r="J1344" s="27" t="s">
        <v>196</v>
      </c>
      <c r="K1344" s="26">
        <v>45762.800773958334</v>
      </c>
    </row>
    <row r="1345" spans="1:12">
      <c r="A1345" s="25">
        <v>900058281</v>
      </c>
      <c r="B1345" s="26">
        <v>45763.385355671293</v>
      </c>
      <c r="C1345" s="27" t="s">
        <v>1346</v>
      </c>
      <c r="D1345" s="28" t="s">
        <v>1347</v>
      </c>
      <c r="E1345" s="29" t="s">
        <v>20</v>
      </c>
      <c r="F1345" s="29" t="s">
        <v>171</v>
      </c>
      <c r="G1345" s="29" t="s">
        <v>6593</v>
      </c>
      <c r="H1345" s="26" t="s">
        <v>134</v>
      </c>
      <c r="I1345" s="27" t="s">
        <v>66</v>
      </c>
      <c r="J1345" s="27" t="s">
        <v>331</v>
      </c>
      <c r="K1345" s="26">
        <v>45763.506435185183</v>
      </c>
    </row>
    <row r="1346" spans="1:12">
      <c r="A1346" s="25">
        <v>900008387</v>
      </c>
      <c r="B1346" s="26">
        <v>45763.544102893517</v>
      </c>
      <c r="C1346" s="27" t="s">
        <v>565</v>
      </c>
      <c r="D1346" s="28" t="s">
        <v>566</v>
      </c>
      <c r="E1346" s="29" t="s">
        <v>6475</v>
      </c>
      <c r="F1346" s="29" t="s">
        <v>6339</v>
      </c>
      <c r="G1346" s="29" t="s">
        <v>6571</v>
      </c>
      <c r="H1346" s="26">
        <v>45768</v>
      </c>
      <c r="I1346" s="27" t="s">
        <v>66</v>
      </c>
      <c r="J1346" s="27" t="s">
        <v>196</v>
      </c>
      <c r="K1346" s="26">
        <v>45768.594140162037</v>
      </c>
    </row>
    <row r="1347" spans="1:12">
      <c r="A1347" s="25">
        <v>900008387</v>
      </c>
      <c r="B1347" s="26">
        <v>45763.544350462966</v>
      </c>
      <c r="C1347" s="27" t="s">
        <v>565</v>
      </c>
      <c r="D1347" s="28" t="s">
        <v>566</v>
      </c>
      <c r="E1347" s="29" t="s">
        <v>6475</v>
      </c>
      <c r="F1347" s="29" t="s">
        <v>6339</v>
      </c>
      <c r="G1347" s="29" t="s">
        <v>6785</v>
      </c>
      <c r="H1347" s="26">
        <v>45768</v>
      </c>
      <c r="I1347" s="27" t="s">
        <v>66</v>
      </c>
      <c r="J1347" s="27" t="s">
        <v>196</v>
      </c>
      <c r="K1347" s="26">
        <v>45768.594173148151</v>
      </c>
    </row>
    <row r="1348" spans="1:12">
      <c r="A1348" s="25">
        <v>900008387</v>
      </c>
      <c r="B1348" s="26">
        <v>45763.549806712967</v>
      </c>
      <c r="C1348" s="27" t="s">
        <v>565</v>
      </c>
      <c r="D1348" s="28" t="s">
        <v>566</v>
      </c>
      <c r="E1348" s="29" t="s">
        <v>261</v>
      </c>
      <c r="F1348" s="29" t="s">
        <v>171</v>
      </c>
      <c r="G1348" s="29" t="s">
        <v>6786</v>
      </c>
      <c r="H1348" s="26">
        <v>45768</v>
      </c>
      <c r="I1348" s="27" t="s">
        <v>66</v>
      </c>
      <c r="J1348" s="27" t="s">
        <v>196</v>
      </c>
      <c r="K1348" s="26">
        <v>45768.597872569444</v>
      </c>
    </row>
    <row r="1349" spans="1:12">
      <c r="A1349" s="25">
        <v>923076983</v>
      </c>
      <c r="B1349" s="26">
        <v>45764.358043402775</v>
      </c>
      <c r="C1349" s="27" t="s">
        <v>6099</v>
      </c>
      <c r="D1349" s="28" t="s">
        <v>6100</v>
      </c>
      <c r="E1349" s="29" t="s">
        <v>6475</v>
      </c>
      <c r="F1349" s="29" t="s">
        <v>171</v>
      </c>
      <c r="G1349" s="29" t="s">
        <v>6787</v>
      </c>
      <c r="H1349" s="26">
        <v>45764</v>
      </c>
      <c r="I1349" s="27" t="s">
        <v>39</v>
      </c>
      <c r="J1349" s="27" t="s">
        <v>196</v>
      </c>
      <c r="K1349" s="26">
        <v>45764.590144791669</v>
      </c>
    </row>
    <row r="1350" spans="1:12">
      <c r="A1350" s="25">
        <v>918857737</v>
      </c>
      <c r="B1350" s="26" t="s">
        <v>6788</v>
      </c>
      <c r="C1350" s="27" t="s">
        <v>6214</v>
      </c>
      <c r="D1350" s="28" t="s">
        <v>6215</v>
      </c>
      <c r="E1350" s="29" t="s">
        <v>239</v>
      </c>
      <c r="F1350" s="29" t="s">
        <v>171</v>
      </c>
      <c r="G1350" s="29" t="s">
        <v>258</v>
      </c>
      <c r="H1350" s="26" t="s">
        <v>218</v>
      </c>
      <c r="I1350" s="27" t="s">
        <v>6763</v>
      </c>
      <c r="J1350" s="27" t="s">
        <v>131</v>
      </c>
      <c r="K1350" s="26">
        <v>45765.88427372685</v>
      </c>
    </row>
    <row r="1351" spans="1:12">
      <c r="A1351" s="25">
        <v>913857911</v>
      </c>
      <c r="B1351" s="26" t="s">
        <v>6789</v>
      </c>
      <c r="C1351" s="27" t="s">
        <v>3770</v>
      </c>
      <c r="D1351" s="28" t="s">
        <v>3771</v>
      </c>
      <c r="E1351" s="29" t="s">
        <v>239</v>
      </c>
      <c r="F1351" s="29" t="s">
        <v>171</v>
      </c>
      <c r="G1351" s="29" t="s">
        <v>256</v>
      </c>
      <c r="H1351" s="26" t="s">
        <v>218</v>
      </c>
      <c r="I1351" s="27" t="s">
        <v>6763</v>
      </c>
      <c r="J1351" s="27" t="s">
        <v>131</v>
      </c>
      <c r="K1351" s="26">
        <v>45764.960476388886</v>
      </c>
    </row>
    <row r="1352" spans="1:12">
      <c r="A1352" s="25">
        <v>918837886</v>
      </c>
      <c r="B1352" s="26">
        <v>45764.971582060185</v>
      </c>
      <c r="C1352" s="27" t="s">
        <v>5048</v>
      </c>
      <c r="D1352" s="28" t="s">
        <v>5049</v>
      </c>
      <c r="E1352" s="29" t="s">
        <v>6475</v>
      </c>
      <c r="F1352" s="29" t="s">
        <v>171</v>
      </c>
      <c r="G1352" s="29" t="s">
        <v>6790</v>
      </c>
      <c r="H1352" s="26" t="s">
        <v>218</v>
      </c>
      <c r="I1352" s="27" t="s">
        <v>14</v>
      </c>
      <c r="J1352" s="27" t="s">
        <v>241</v>
      </c>
      <c r="K1352" s="26">
        <v>0</v>
      </c>
    </row>
    <row r="1353" spans="1:12">
      <c r="A1353" s="25">
        <v>910940360</v>
      </c>
      <c r="B1353" s="26">
        <v>45765.422255902777</v>
      </c>
      <c r="C1353" s="27" t="s">
        <v>6191</v>
      </c>
      <c r="D1353" s="28" t="s">
        <v>6192</v>
      </c>
      <c r="E1353" s="29" t="s">
        <v>225</v>
      </c>
      <c r="F1353" s="29" t="s">
        <v>171</v>
      </c>
      <c r="G1353" s="29" t="s">
        <v>6791</v>
      </c>
      <c r="H1353" s="26" t="s">
        <v>218</v>
      </c>
      <c r="I1353" s="27" t="s">
        <v>131</v>
      </c>
      <c r="J1353" s="27" t="s">
        <v>99</v>
      </c>
      <c r="K1353" s="26">
        <v>45765.986439236112</v>
      </c>
    </row>
    <row r="1354" spans="1:12">
      <c r="A1354" s="25">
        <v>910940360</v>
      </c>
      <c r="B1354" s="26">
        <v>45765.423335185187</v>
      </c>
      <c r="C1354" s="27" t="s">
        <v>6191</v>
      </c>
      <c r="D1354" s="28" t="s">
        <v>6192</v>
      </c>
      <c r="E1354" s="29" t="s">
        <v>41</v>
      </c>
      <c r="F1354" s="29" t="s">
        <v>171</v>
      </c>
      <c r="H1354" s="26" t="s">
        <v>218</v>
      </c>
      <c r="I1354" s="27" t="s">
        <v>131</v>
      </c>
      <c r="J1354" s="27" t="s">
        <v>99</v>
      </c>
      <c r="K1354" s="26">
        <v>45765.986450231481</v>
      </c>
    </row>
    <row r="1355" spans="1:12">
      <c r="A1355" s="25">
        <v>910940360</v>
      </c>
      <c r="B1355" s="26">
        <v>45765.423337384258</v>
      </c>
      <c r="C1355" s="27" t="s">
        <v>6191</v>
      </c>
      <c r="D1355" s="28" t="s">
        <v>6192</v>
      </c>
      <c r="E1355" s="29" t="s">
        <v>227</v>
      </c>
      <c r="F1355" s="29" t="s">
        <v>171</v>
      </c>
      <c r="G1355" s="29" t="s">
        <v>6698</v>
      </c>
      <c r="H1355" s="26" t="s">
        <v>218</v>
      </c>
      <c r="I1355" s="27" t="s">
        <v>131</v>
      </c>
      <c r="J1355" s="27" t="s">
        <v>99</v>
      </c>
      <c r="K1355" s="26">
        <v>45765.986450231481</v>
      </c>
    </row>
    <row r="1356" spans="1:12">
      <c r="A1356" s="25">
        <v>910940360</v>
      </c>
      <c r="B1356" s="26">
        <v>45765.431196874997</v>
      </c>
      <c r="C1356" s="27" t="s">
        <v>6191</v>
      </c>
      <c r="D1356" s="28" t="s">
        <v>6192</v>
      </c>
      <c r="E1356" s="29" t="s">
        <v>6792</v>
      </c>
      <c r="F1356" s="29" t="s">
        <v>171</v>
      </c>
      <c r="G1356" s="29" t="s">
        <v>6793</v>
      </c>
      <c r="H1356" s="26" t="s">
        <v>218</v>
      </c>
      <c r="I1356" s="27" t="s">
        <v>6794</v>
      </c>
      <c r="J1356" s="27" t="s">
        <v>99</v>
      </c>
      <c r="K1356" s="26">
        <v>45765.986666898149</v>
      </c>
    </row>
    <row r="1357" spans="1:12">
      <c r="A1357" s="25">
        <v>913814257</v>
      </c>
      <c r="B1357" s="26">
        <v>45768.359583101854</v>
      </c>
      <c r="C1357" s="27" t="s">
        <v>6216</v>
      </c>
      <c r="D1357" s="28" t="s">
        <v>6217</v>
      </c>
      <c r="E1357" s="29" t="s">
        <v>6475</v>
      </c>
      <c r="F1357" s="29" t="s">
        <v>171</v>
      </c>
      <c r="G1357" s="29" t="s">
        <v>6721</v>
      </c>
      <c r="H1357" s="26" t="s">
        <v>218</v>
      </c>
      <c r="I1357" s="27" t="s">
        <v>176</v>
      </c>
      <c r="J1357" s="27" t="s">
        <v>6768</v>
      </c>
      <c r="K1357" s="26">
        <v>45769.534629398149</v>
      </c>
    </row>
    <row r="1358" spans="1:12">
      <c r="A1358" s="25">
        <v>913814257</v>
      </c>
      <c r="B1358" s="26">
        <v>45768.362817361114</v>
      </c>
      <c r="C1358" s="27" t="s">
        <v>6216</v>
      </c>
      <c r="D1358" s="28" t="s">
        <v>6217</v>
      </c>
      <c r="E1358" s="29" t="s">
        <v>355</v>
      </c>
      <c r="F1358" s="29" t="s">
        <v>171</v>
      </c>
      <c r="G1358" s="29" t="s">
        <v>6795</v>
      </c>
      <c r="H1358" s="26" t="s">
        <v>218</v>
      </c>
      <c r="I1358" s="27" t="s">
        <v>176</v>
      </c>
      <c r="J1358" s="27" t="s">
        <v>6763</v>
      </c>
      <c r="K1358" s="26">
        <v>45769.534629398149</v>
      </c>
    </row>
    <row r="1359" spans="1:12">
      <c r="A1359" s="25">
        <v>918834584</v>
      </c>
      <c r="B1359" s="26">
        <v>45768.615888425928</v>
      </c>
      <c r="C1359" s="27" t="s">
        <v>5921</v>
      </c>
      <c r="D1359" s="28" t="s">
        <v>5922</v>
      </c>
      <c r="E1359" s="29" t="s">
        <v>20</v>
      </c>
      <c r="F1359" s="29" t="s">
        <v>171</v>
      </c>
      <c r="H1359" s="26" t="s">
        <v>218</v>
      </c>
      <c r="I1359" s="27" t="s">
        <v>153</v>
      </c>
      <c r="J1359" s="27" t="s">
        <v>178</v>
      </c>
      <c r="K1359" s="26">
        <v>45769.513803935188</v>
      </c>
      <c r="L1359" s="24" t="s">
        <v>6796</v>
      </c>
    </row>
    <row r="1360" spans="1:12">
      <c r="A1360" s="25">
        <v>918825432</v>
      </c>
      <c r="B1360" s="26">
        <v>45769.467642476855</v>
      </c>
      <c r="C1360" s="27" t="s">
        <v>4736</v>
      </c>
      <c r="D1360" s="28" t="s">
        <v>4737</v>
      </c>
      <c r="E1360" s="29" t="s">
        <v>6475</v>
      </c>
      <c r="F1360" s="29" t="s">
        <v>171</v>
      </c>
      <c r="G1360" s="29" t="s">
        <v>6530</v>
      </c>
      <c r="H1360" s="26">
        <v>45769</v>
      </c>
      <c r="I1360" s="27" t="s">
        <v>176</v>
      </c>
      <c r="J1360" s="27" t="s">
        <v>176</v>
      </c>
      <c r="K1360" s="26">
        <v>45769.569063078707</v>
      </c>
    </row>
    <row r="1361" spans="1:12">
      <c r="A1361" s="25">
        <v>911699859</v>
      </c>
      <c r="B1361" s="26">
        <v>45769.476620486108</v>
      </c>
      <c r="C1361" s="27" t="s">
        <v>6185</v>
      </c>
      <c r="D1361" s="28" t="s">
        <v>6186</v>
      </c>
      <c r="E1361" s="29" t="s">
        <v>239</v>
      </c>
      <c r="F1361" s="29" t="s">
        <v>171</v>
      </c>
      <c r="G1361" s="29" t="s">
        <v>256</v>
      </c>
      <c r="H1361" s="26" t="s">
        <v>218</v>
      </c>
      <c r="I1361" s="27" t="s">
        <v>178</v>
      </c>
      <c r="J1361" s="27" t="s">
        <v>99</v>
      </c>
      <c r="K1361" s="26">
        <v>45769.928330787036</v>
      </c>
    </row>
    <row r="1362" spans="1:12">
      <c r="A1362" s="25">
        <v>918850145</v>
      </c>
      <c r="B1362" s="26">
        <v>45769.525078935185</v>
      </c>
      <c r="C1362" s="27" t="s">
        <v>5841</v>
      </c>
      <c r="D1362" s="28" t="s">
        <v>5842</v>
      </c>
      <c r="E1362" s="29" t="s">
        <v>19</v>
      </c>
      <c r="F1362" s="29" t="s">
        <v>171</v>
      </c>
      <c r="G1362" s="29" t="s">
        <v>6797</v>
      </c>
      <c r="H1362" s="26" t="s">
        <v>218</v>
      </c>
      <c r="I1362" s="27" t="s">
        <v>176</v>
      </c>
      <c r="J1362" s="27" t="s">
        <v>176</v>
      </c>
      <c r="K1362" s="26">
        <v>45769.574977083335</v>
      </c>
    </row>
    <row r="1363" spans="1:12">
      <c r="A1363" s="25">
        <v>918850951</v>
      </c>
      <c r="B1363" s="26">
        <v>45769.711594444445</v>
      </c>
      <c r="C1363" s="27" t="s">
        <v>5449</v>
      </c>
      <c r="D1363" s="28" t="s">
        <v>5450</v>
      </c>
      <c r="E1363" s="29" t="s">
        <v>128</v>
      </c>
      <c r="F1363" s="29" t="s">
        <v>6339</v>
      </c>
      <c r="G1363" s="29" t="s">
        <v>6798</v>
      </c>
      <c r="H1363" s="26" t="s">
        <v>218</v>
      </c>
      <c r="I1363" s="27" t="s">
        <v>196</v>
      </c>
      <c r="J1363" s="27" t="s">
        <v>176</v>
      </c>
      <c r="K1363" s="26">
        <v>45770.377721064811</v>
      </c>
    </row>
    <row r="1364" spans="1:12">
      <c r="A1364" s="25">
        <v>918850951</v>
      </c>
      <c r="B1364" s="26">
        <v>45769.713540625002</v>
      </c>
      <c r="C1364" s="27" t="s">
        <v>5449</v>
      </c>
      <c r="D1364" s="28" t="s">
        <v>5450</v>
      </c>
      <c r="E1364" s="29" t="s">
        <v>129</v>
      </c>
      <c r="F1364" s="29" t="s">
        <v>6339</v>
      </c>
      <c r="G1364" s="29" t="s">
        <v>15</v>
      </c>
      <c r="H1364" s="26" t="s">
        <v>218</v>
      </c>
      <c r="I1364" s="27" t="s">
        <v>196</v>
      </c>
      <c r="J1364" s="27" t="s">
        <v>176</v>
      </c>
      <c r="K1364" s="26">
        <v>45770.377789351849</v>
      </c>
      <c r="L1364" s="24" t="s">
        <v>6799</v>
      </c>
    </row>
    <row r="1365" spans="1:12">
      <c r="A1365" s="25">
        <v>918850951</v>
      </c>
      <c r="B1365" s="26">
        <v>45769.713572106484</v>
      </c>
      <c r="C1365" s="27" t="s">
        <v>5449</v>
      </c>
      <c r="D1365" s="28" t="s">
        <v>5450</v>
      </c>
      <c r="E1365" s="29" t="s">
        <v>6385</v>
      </c>
      <c r="F1365" s="29" t="s">
        <v>6339</v>
      </c>
      <c r="G1365" s="29" t="s">
        <v>15</v>
      </c>
      <c r="H1365" s="26" t="s">
        <v>218</v>
      </c>
      <c r="I1365" s="27" t="s">
        <v>196</v>
      </c>
      <c r="J1365" s="27" t="s">
        <v>176</v>
      </c>
      <c r="K1365" s="26">
        <v>45770.377844675924</v>
      </c>
      <c r="L1365" s="24" t="s">
        <v>6800</v>
      </c>
    </row>
    <row r="1366" spans="1:12">
      <c r="A1366" s="25">
        <v>918850951</v>
      </c>
      <c r="B1366" s="26">
        <v>45769.713598842594</v>
      </c>
      <c r="C1366" s="27" t="s">
        <v>5449</v>
      </c>
      <c r="D1366" s="28" t="s">
        <v>5450</v>
      </c>
      <c r="E1366" s="29" t="s">
        <v>263</v>
      </c>
      <c r="F1366" s="29" t="s">
        <v>6339</v>
      </c>
      <c r="G1366" s="29" t="s">
        <v>6801</v>
      </c>
      <c r="H1366" s="26" t="s">
        <v>218</v>
      </c>
      <c r="I1366" s="27" t="s">
        <v>196</v>
      </c>
      <c r="J1366" s="27" t="s">
        <v>176</v>
      </c>
      <c r="K1366" s="26">
        <v>45770.377866550923</v>
      </c>
    </row>
    <row r="1367" spans="1:12">
      <c r="A1367" s="25">
        <v>922112539</v>
      </c>
      <c r="B1367" s="26">
        <v>45769.732921527779</v>
      </c>
      <c r="C1367" s="27" t="s">
        <v>5952</v>
      </c>
      <c r="D1367" s="28" t="s">
        <v>5953</v>
      </c>
      <c r="E1367" s="29" t="s">
        <v>128</v>
      </c>
      <c r="F1367" s="29" t="s">
        <v>171</v>
      </c>
      <c r="G1367" s="29" t="s">
        <v>6802</v>
      </c>
      <c r="H1367" s="26">
        <v>45770</v>
      </c>
      <c r="I1367" s="27" t="s">
        <v>196</v>
      </c>
      <c r="J1367" s="27" t="s">
        <v>99</v>
      </c>
      <c r="K1367" s="26">
        <v>45770.414903124998</v>
      </c>
      <c r="L1367" s="24" t="s">
        <v>6803</v>
      </c>
    </row>
    <row r="1368" spans="1:12">
      <c r="A1368" s="25">
        <v>908491849</v>
      </c>
      <c r="B1368" s="26">
        <v>45770.469231944444</v>
      </c>
      <c r="C1368" s="27" t="s">
        <v>2483</v>
      </c>
      <c r="D1368" s="28" t="s">
        <v>2484</v>
      </c>
      <c r="E1368" s="29" t="s">
        <v>35</v>
      </c>
      <c r="F1368" s="29" t="s">
        <v>171</v>
      </c>
      <c r="G1368" s="29" t="s">
        <v>6804</v>
      </c>
      <c r="H1368" s="26">
        <v>45778</v>
      </c>
      <c r="I1368" s="27" t="s">
        <v>39</v>
      </c>
      <c r="J1368" s="27" t="s">
        <v>153</v>
      </c>
      <c r="K1368" s="26">
        <v>45777.811204745369</v>
      </c>
    </row>
    <row r="1369" spans="1:12">
      <c r="A1369" s="25">
        <v>900029252</v>
      </c>
      <c r="B1369" s="26">
        <v>45770.508989467591</v>
      </c>
      <c r="C1369" s="27" t="s">
        <v>1000</v>
      </c>
      <c r="D1369" s="28" t="s">
        <v>1001</v>
      </c>
      <c r="E1369" s="29" t="s">
        <v>20</v>
      </c>
      <c r="F1369" s="29" t="s">
        <v>171</v>
      </c>
      <c r="G1369" s="29">
        <v>4</v>
      </c>
      <c r="J1369" s="27" t="s">
        <v>153</v>
      </c>
      <c r="K1369" s="26">
        <v>45770.771674189818</v>
      </c>
    </row>
    <row r="1370" spans="1:12">
      <c r="A1370" s="25">
        <v>912960638</v>
      </c>
      <c r="B1370" s="26">
        <v>45770.546101041669</v>
      </c>
      <c r="C1370" s="27" t="s">
        <v>3432</v>
      </c>
      <c r="D1370" s="28" t="s">
        <v>3433</v>
      </c>
      <c r="E1370" s="29" t="s">
        <v>355</v>
      </c>
      <c r="F1370" s="29" t="s">
        <v>171</v>
      </c>
      <c r="G1370" s="29" t="s">
        <v>15</v>
      </c>
      <c r="H1370" s="26" t="s">
        <v>218</v>
      </c>
      <c r="I1370" s="27" t="s">
        <v>176</v>
      </c>
      <c r="J1370" s="27" t="s">
        <v>176</v>
      </c>
      <c r="K1370" s="26">
        <v>45770.622526736108</v>
      </c>
    </row>
    <row r="1371" spans="1:12">
      <c r="A1371" s="25">
        <v>924290572</v>
      </c>
      <c r="B1371" s="26">
        <v>45770.558743055553</v>
      </c>
      <c r="C1371" s="27" t="s">
        <v>6805</v>
      </c>
      <c r="D1371" s="28" t="s">
        <v>6806</v>
      </c>
      <c r="E1371" s="29" t="s">
        <v>48</v>
      </c>
      <c r="F1371" s="29" t="s">
        <v>171</v>
      </c>
      <c r="G1371" s="29" t="s">
        <v>15</v>
      </c>
      <c r="H1371" s="26" t="s">
        <v>218</v>
      </c>
      <c r="I1371" s="27" t="s">
        <v>66</v>
      </c>
      <c r="J1371" s="27" t="s">
        <v>196</v>
      </c>
      <c r="K1371" s="26">
        <v>45770.670587037035</v>
      </c>
    </row>
    <row r="1372" spans="1:12">
      <c r="A1372" s="25">
        <v>920736892</v>
      </c>
      <c r="B1372" s="26">
        <v>45770.580968287039</v>
      </c>
      <c r="C1372" s="27" t="s">
        <v>6219</v>
      </c>
      <c r="D1372" s="28" t="s">
        <v>6220</v>
      </c>
      <c r="E1372" s="29" t="s">
        <v>355</v>
      </c>
      <c r="F1372" s="29" t="s">
        <v>171</v>
      </c>
      <c r="G1372" s="29" t="s">
        <v>13</v>
      </c>
      <c r="H1372" s="26" t="s">
        <v>13</v>
      </c>
      <c r="I1372" s="27" t="s">
        <v>254</v>
      </c>
      <c r="J1372" s="27" t="s">
        <v>254</v>
      </c>
      <c r="K1372" s="26">
        <v>45770.58291099537</v>
      </c>
      <c r="L1372" s="24" t="s">
        <v>6807</v>
      </c>
    </row>
    <row r="1373" spans="1:12">
      <c r="A1373" s="25">
        <v>918826121</v>
      </c>
      <c r="B1373" s="26">
        <v>45770.585534953701</v>
      </c>
      <c r="C1373" s="27" t="s">
        <v>4760</v>
      </c>
      <c r="D1373" s="28" t="s">
        <v>4761</v>
      </c>
      <c r="E1373" s="29" t="s">
        <v>263</v>
      </c>
      <c r="F1373" s="29" t="s">
        <v>171</v>
      </c>
      <c r="G1373" s="29" t="s">
        <v>6808</v>
      </c>
      <c r="J1373" s="27" t="s">
        <v>153</v>
      </c>
      <c r="K1373" s="26">
        <v>45770.792574999999</v>
      </c>
    </row>
    <row r="1374" spans="1:12">
      <c r="A1374" s="25">
        <v>918826121</v>
      </c>
      <c r="B1374" s="26">
        <v>45770.799512384256</v>
      </c>
      <c r="C1374" s="27" t="s">
        <v>4760</v>
      </c>
      <c r="D1374" s="28" t="s">
        <v>4761</v>
      </c>
      <c r="E1374" s="29" t="s">
        <v>6575</v>
      </c>
      <c r="F1374" s="29" t="s">
        <v>171</v>
      </c>
      <c r="G1374" s="29" t="s">
        <v>13</v>
      </c>
      <c r="J1374" s="27" t="s">
        <v>153</v>
      </c>
      <c r="K1374" s="26">
        <v>45770.792493981484</v>
      </c>
    </row>
    <row r="1375" spans="1:12">
      <c r="A1375" s="25">
        <v>918826121</v>
      </c>
      <c r="B1375" s="26">
        <v>45770.799512384256</v>
      </c>
      <c r="C1375" s="27" t="s">
        <v>4760</v>
      </c>
      <c r="D1375" s="28" t="s">
        <v>4761</v>
      </c>
      <c r="E1375" s="29" t="s">
        <v>128</v>
      </c>
      <c r="F1375" s="29" t="s">
        <v>171</v>
      </c>
      <c r="G1375" s="29" t="s">
        <v>6809</v>
      </c>
      <c r="I1375" s="27" t="s">
        <v>254</v>
      </c>
      <c r="J1375" s="27" t="s">
        <v>153</v>
      </c>
      <c r="K1375" s="26">
        <v>45770.792541666669</v>
      </c>
    </row>
    <row r="1376" spans="1:12">
      <c r="A1376" s="25">
        <v>900000483</v>
      </c>
      <c r="B1376" s="26">
        <v>45770.621126157406</v>
      </c>
      <c r="C1376" s="27" t="s">
        <v>369</v>
      </c>
      <c r="D1376" s="28" t="s">
        <v>370</v>
      </c>
      <c r="E1376" s="29" t="s">
        <v>6262</v>
      </c>
      <c r="F1376" s="29" t="s">
        <v>171</v>
      </c>
      <c r="G1376" s="29" t="s">
        <v>13</v>
      </c>
      <c r="H1376" s="26" t="s">
        <v>218</v>
      </c>
      <c r="I1376" s="27" t="s">
        <v>176</v>
      </c>
      <c r="J1376" s="27" t="s">
        <v>196</v>
      </c>
      <c r="K1376" s="26">
        <v>45770.767045023145</v>
      </c>
    </row>
    <row r="1377" spans="1:12">
      <c r="A1377" s="25">
        <v>900000483</v>
      </c>
      <c r="B1377" s="26">
        <v>45770.621126157406</v>
      </c>
      <c r="C1377" s="27" t="s">
        <v>369</v>
      </c>
      <c r="D1377" s="28" t="s">
        <v>370</v>
      </c>
      <c r="E1377" s="29" t="s">
        <v>355</v>
      </c>
      <c r="F1377" s="29" t="s">
        <v>171</v>
      </c>
      <c r="G1377" s="29" t="s">
        <v>15</v>
      </c>
      <c r="H1377" s="26" t="s">
        <v>218</v>
      </c>
      <c r="I1377" s="27" t="s">
        <v>176</v>
      </c>
      <c r="J1377" s="27" t="s">
        <v>196</v>
      </c>
      <c r="K1377" s="26">
        <v>45770.76707858796</v>
      </c>
      <c r="L1377" s="24" t="s">
        <v>6810</v>
      </c>
    </row>
    <row r="1378" spans="1:12">
      <c r="A1378" s="25">
        <v>913748685</v>
      </c>
      <c r="B1378" s="26">
        <v>45771.42150960648</v>
      </c>
      <c r="C1378" s="27" t="s">
        <v>3628</v>
      </c>
      <c r="D1378" s="28" t="s">
        <v>3629</v>
      </c>
      <c r="E1378" s="29" t="s">
        <v>57</v>
      </c>
      <c r="F1378" s="29" t="s">
        <v>171</v>
      </c>
      <c r="G1378" s="29" t="s">
        <v>6811</v>
      </c>
      <c r="H1378" s="26" t="s">
        <v>218</v>
      </c>
      <c r="I1378" s="27" t="s">
        <v>61</v>
      </c>
      <c r="J1378" s="27" t="s">
        <v>131</v>
      </c>
      <c r="K1378" s="26">
        <v>45772.405611921298</v>
      </c>
    </row>
    <row r="1379" spans="1:12">
      <c r="A1379" s="25">
        <v>917241291</v>
      </c>
      <c r="B1379" s="26">
        <v>45772.842548842593</v>
      </c>
      <c r="C1379" s="27" t="s">
        <v>4326</v>
      </c>
      <c r="D1379" s="28" t="s">
        <v>4327</v>
      </c>
      <c r="E1379" s="29" t="s">
        <v>261</v>
      </c>
      <c r="F1379" s="29" t="s">
        <v>171</v>
      </c>
      <c r="G1379" s="29" t="s">
        <v>267</v>
      </c>
      <c r="H1379" s="26" t="s">
        <v>6635</v>
      </c>
      <c r="I1379" s="27" t="s">
        <v>131</v>
      </c>
      <c r="J1379" s="27" t="s">
        <v>196</v>
      </c>
      <c r="K1379" s="26">
        <v>45776.653623148151</v>
      </c>
    </row>
    <row r="1380" spans="1:12">
      <c r="A1380" s="25">
        <v>917316327</v>
      </c>
      <c r="B1380" s="26">
        <v>45775.381152430557</v>
      </c>
      <c r="C1380" s="27" t="s">
        <v>6033</v>
      </c>
      <c r="D1380" s="28" t="s">
        <v>6034</v>
      </c>
      <c r="E1380" s="29" t="s">
        <v>239</v>
      </c>
      <c r="F1380" s="29" t="s">
        <v>171</v>
      </c>
      <c r="G1380" s="29" t="s">
        <v>256</v>
      </c>
      <c r="H1380" s="26">
        <v>45778</v>
      </c>
      <c r="I1380" s="27" t="s">
        <v>176</v>
      </c>
      <c r="J1380" s="27" t="s">
        <v>196</v>
      </c>
      <c r="K1380" s="26">
        <v>45778.700446064817</v>
      </c>
      <c r="L1380" s="24" t="s">
        <v>6812</v>
      </c>
    </row>
    <row r="1381" spans="1:12">
      <c r="A1381" s="25">
        <v>917180607</v>
      </c>
      <c r="B1381" s="26">
        <v>45775.401079629628</v>
      </c>
      <c r="C1381" s="27" t="s">
        <v>4254</v>
      </c>
      <c r="D1381" s="28" t="s">
        <v>4255</v>
      </c>
      <c r="E1381" s="29" t="s">
        <v>57</v>
      </c>
      <c r="F1381" s="29" t="s">
        <v>6339</v>
      </c>
      <c r="G1381" s="29" t="s">
        <v>6813</v>
      </c>
      <c r="H1381" s="26" t="s">
        <v>218</v>
      </c>
      <c r="I1381" s="27" t="s">
        <v>178</v>
      </c>
      <c r="J1381" s="27" t="s">
        <v>241</v>
      </c>
      <c r="K1381" s="26">
        <v>45775.55356724537</v>
      </c>
    </row>
    <row r="1382" spans="1:12">
      <c r="A1382" s="25">
        <v>900040926</v>
      </c>
      <c r="B1382" s="26">
        <v>45775.491233449073</v>
      </c>
      <c r="C1382" s="27" t="s">
        <v>1190</v>
      </c>
      <c r="D1382" s="28" t="s">
        <v>1191</v>
      </c>
      <c r="E1382" s="29" t="s">
        <v>28</v>
      </c>
      <c r="F1382" s="29" t="s">
        <v>171</v>
      </c>
      <c r="G1382" s="29" t="s">
        <v>6814</v>
      </c>
      <c r="H1382" s="26">
        <v>45782</v>
      </c>
      <c r="I1382" s="27" t="s">
        <v>176</v>
      </c>
      <c r="J1382" s="27" t="s">
        <v>241</v>
      </c>
      <c r="K1382" s="26">
        <v>45782.531914699073</v>
      </c>
    </row>
    <row r="1383" spans="1:12">
      <c r="A1383" s="25">
        <v>916181362</v>
      </c>
      <c r="B1383" s="26">
        <v>45775.553028125003</v>
      </c>
      <c r="C1383" s="27" t="s">
        <v>5837</v>
      </c>
      <c r="D1383" s="28" t="s">
        <v>5838</v>
      </c>
      <c r="E1383" s="29" t="s">
        <v>239</v>
      </c>
      <c r="F1383" s="29" t="s">
        <v>171</v>
      </c>
      <c r="G1383" s="29" t="s">
        <v>258</v>
      </c>
      <c r="H1383" s="26">
        <v>45775</v>
      </c>
      <c r="I1383" s="27" t="s">
        <v>176</v>
      </c>
      <c r="J1383" s="27" t="s">
        <v>196</v>
      </c>
      <c r="K1383" s="26">
        <v>45775.656527083331</v>
      </c>
    </row>
    <row r="1384" spans="1:12">
      <c r="A1384" s="25">
        <v>900005709</v>
      </c>
      <c r="B1384" s="26">
        <v>45775.595866319447</v>
      </c>
      <c r="C1384" s="27" t="s">
        <v>495</v>
      </c>
      <c r="D1384" s="28" t="s">
        <v>496</v>
      </c>
      <c r="E1384" s="29" t="s">
        <v>269</v>
      </c>
      <c r="F1384" s="29" t="s">
        <v>6339</v>
      </c>
      <c r="G1384" s="29" t="s">
        <v>6815</v>
      </c>
      <c r="H1384" s="26">
        <v>45776</v>
      </c>
      <c r="I1384" s="27" t="s">
        <v>196</v>
      </c>
      <c r="J1384" s="27" t="s">
        <v>66</v>
      </c>
      <c r="K1384" s="26">
        <v>45776.593336111109</v>
      </c>
    </row>
    <row r="1385" spans="1:12">
      <c r="A1385" s="25">
        <v>909161765</v>
      </c>
      <c r="B1385" s="26">
        <v>45776.361325578706</v>
      </c>
      <c r="C1385" s="27" t="s">
        <v>2638</v>
      </c>
      <c r="D1385" s="28" t="s">
        <v>2639</v>
      </c>
      <c r="E1385" s="29" t="s">
        <v>6475</v>
      </c>
      <c r="F1385" s="29" t="s">
        <v>171</v>
      </c>
      <c r="G1385" s="29" t="s">
        <v>6571</v>
      </c>
      <c r="H1385" s="26" t="s">
        <v>218</v>
      </c>
      <c r="I1385" s="27" t="s">
        <v>178</v>
      </c>
      <c r="J1385" s="27" t="s">
        <v>196</v>
      </c>
      <c r="K1385" s="26">
        <v>45776.70015960648</v>
      </c>
    </row>
    <row r="1386" spans="1:12">
      <c r="A1386" s="25">
        <v>918850951</v>
      </c>
      <c r="B1386" s="26">
        <v>45776.746574537035</v>
      </c>
      <c r="C1386" s="27" t="s">
        <v>5449</v>
      </c>
      <c r="D1386" s="28" t="s">
        <v>5450</v>
      </c>
      <c r="E1386" s="29" t="s">
        <v>128</v>
      </c>
      <c r="F1386" s="29" t="s">
        <v>6339</v>
      </c>
      <c r="G1386" s="29">
        <v>4326</v>
      </c>
      <c r="H1386" s="26" t="s">
        <v>218</v>
      </c>
      <c r="I1386" s="27" t="s">
        <v>153</v>
      </c>
      <c r="J1386" s="27" t="s">
        <v>72</v>
      </c>
      <c r="K1386" s="26">
        <v>45776.829632291665</v>
      </c>
    </row>
    <row r="1387" spans="1:12">
      <c r="A1387" s="25">
        <v>918850951</v>
      </c>
      <c r="B1387" s="26">
        <v>45776.746621759259</v>
      </c>
      <c r="C1387" s="27" t="s">
        <v>5449</v>
      </c>
      <c r="D1387" s="28" t="s">
        <v>5450</v>
      </c>
      <c r="E1387" s="29" t="s">
        <v>129</v>
      </c>
      <c r="F1387" s="29" t="s">
        <v>6339</v>
      </c>
      <c r="H1387" s="26" t="s">
        <v>218</v>
      </c>
      <c r="I1387" s="27" t="s">
        <v>153</v>
      </c>
      <c r="J1387" s="27" t="s">
        <v>72</v>
      </c>
      <c r="K1387" s="26">
        <v>45776.82965324074</v>
      </c>
    </row>
    <row r="1388" spans="1:12">
      <c r="A1388" s="25">
        <v>918850951</v>
      </c>
      <c r="B1388" s="26">
        <v>45776.746631828704</v>
      </c>
      <c r="C1388" s="27" t="s">
        <v>5449</v>
      </c>
      <c r="D1388" s="28" t="s">
        <v>5450</v>
      </c>
      <c r="E1388" s="29" t="s">
        <v>6385</v>
      </c>
      <c r="F1388" s="29" t="s">
        <v>6339</v>
      </c>
      <c r="H1388" s="26" t="s">
        <v>218</v>
      </c>
      <c r="I1388" s="27" t="s">
        <v>153</v>
      </c>
      <c r="J1388" s="27" t="s">
        <v>72</v>
      </c>
      <c r="K1388" s="26">
        <v>45776.829674652778</v>
      </c>
    </row>
    <row r="1389" spans="1:12">
      <c r="A1389" s="25">
        <v>918850951</v>
      </c>
      <c r="B1389" s="26">
        <v>45776.746800462963</v>
      </c>
      <c r="C1389" s="27" t="s">
        <v>5449</v>
      </c>
      <c r="D1389" s="28" t="s">
        <v>5450</v>
      </c>
      <c r="E1389" s="29" t="s">
        <v>263</v>
      </c>
      <c r="F1389" s="29" t="s">
        <v>6339</v>
      </c>
      <c r="G1389" s="29" t="s">
        <v>6816</v>
      </c>
      <c r="H1389" s="26" t="s">
        <v>218</v>
      </c>
      <c r="I1389" s="27" t="s">
        <v>153</v>
      </c>
      <c r="J1389" s="27" t="s">
        <v>72</v>
      </c>
      <c r="K1389" s="26">
        <v>45776.829701620372</v>
      </c>
    </row>
    <row r="1390" spans="1:12">
      <c r="A1390" s="25">
        <v>900035856</v>
      </c>
      <c r="B1390" s="26">
        <v>45777.753018750002</v>
      </c>
      <c r="C1390" s="27" t="s">
        <v>1106</v>
      </c>
      <c r="D1390" s="28" t="s">
        <v>1107</v>
      </c>
      <c r="E1390" s="29" t="s">
        <v>151</v>
      </c>
      <c r="F1390" s="29" t="s">
        <v>171</v>
      </c>
      <c r="G1390" s="29" t="s">
        <v>6817</v>
      </c>
      <c r="H1390" s="26">
        <v>45784</v>
      </c>
      <c r="I1390" s="27" t="s">
        <v>99</v>
      </c>
      <c r="J1390" s="27" t="s">
        <v>99</v>
      </c>
      <c r="K1390" s="26">
        <v>45784.739737962962</v>
      </c>
      <c r="L1390" s="24" t="s">
        <v>6818</v>
      </c>
    </row>
    <row r="1391" spans="1:12">
      <c r="A1391" s="25">
        <v>918858049</v>
      </c>
      <c r="B1391" s="26">
        <v>45778.738203819441</v>
      </c>
      <c r="C1391" s="27" t="s">
        <v>6097</v>
      </c>
      <c r="D1391" s="28" t="s">
        <v>6098</v>
      </c>
      <c r="E1391" s="29" t="s">
        <v>25</v>
      </c>
      <c r="F1391" s="29" t="s">
        <v>171</v>
      </c>
      <c r="H1391" s="26">
        <v>45783</v>
      </c>
      <c r="I1391" s="27" t="s">
        <v>99</v>
      </c>
      <c r="J1391" s="27" t="s">
        <v>196</v>
      </c>
      <c r="K1391" s="26">
        <v>45792.608069212962</v>
      </c>
    </row>
    <row r="1392" spans="1:12">
      <c r="A1392" s="25">
        <v>900025508</v>
      </c>
      <c r="B1392" s="26">
        <v>45778.744601851853</v>
      </c>
      <c r="C1392" s="27" t="s">
        <v>920</v>
      </c>
      <c r="D1392" s="28" t="s">
        <v>921</v>
      </c>
      <c r="E1392" s="29" t="s">
        <v>269</v>
      </c>
      <c r="F1392" s="29" t="s">
        <v>6339</v>
      </c>
      <c r="G1392" s="29" t="s">
        <v>6815</v>
      </c>
      <c r="H1392" s="26">
        <v>45782</v>
      </c>
      <c r="I1392" s="27" t="s">
        <v>99</v>
      </c>
      <c r="J1392" s="27" t="s">
        <v>153</v>
      </c>
      <c r="K1392" s="26">
        <v>45782.617762037036</v>
      </c>
    </row>
    <row r="1393" spans="1:12">
      <c r="A1393" s="25">
        <v>900025508</v>
      </c>
      <c r="B1393" s="26">
        <v>45778.744770717596</v>
      </c>
      <c r="C1393" s="27" t="s">
        <v>920</v>
      </c>
      <c r="D1393" s="28" t="s">
        <v>921</v>
      </c>
      <c r="E1393" s="29" t="s">
        <v>269</v>
      </c>
      <c r="F1393" s="29" t="s">
        <v>6339</v>
      </c>
      <c r="G1393" s="29" t="s">
        <v>6819</v>
      </c>
      <c r="H1393" s="26">
        <v>45785</v>
      </c>
      <c r="I1393" s="27" t="s">
        <v>99</v>
      </c>
      <c r="J1393" s="27" t="s">
        <v>196</v>
      </c>
      <c r="K1393" s="26">
        <v>45785.643288425927</v>
      </c>
    </row>
    <row r="1394" spans="1:12">
      <c r="A1394" s="25">
        <v>900025508</v>
      </c>
      <c r="B1394" s="26">
        <v>45778.744774305553</v>
      </c>
      <c r="C1394" s="27" t="s">
        <v>920</v>
      </c>
      <c r="D1394" s="28" t="s">
        <v>921</v>
      </c>
      <c r="E1394" s="29" t="s">
        <v>227</v>
      </c>
      <c r="F1394" s="29" t="s">
        <v>6339</v>
      </c>
      <c r="G1394" s="29" t="s">
        <v>6820</v>
      </c>
      <c r="H1394" s="26">
        <v>45782</v>
      </c>
      <c r="I1394" s="27" t="s">
        <v>99</v>
      </c>
      <c r="J1394" s="27" t="s">
        <v>153</v>
      </c>
      <c r="K1394" s="26">
        <v>45782.617934606482</v>
      </c>
    </row>
    <row r="1395" spans="1:12">
      <c r="A1395" s="25">
        <v>900025508</v>
      </c>
      <c r="B1395" s="26">
        <v>45778.744779050925</v>
      </c>
      <c r="C1395" s="27" t="s">
        <v>920</v>
      </c>
      <c r="D1395" s="28" t="s">
        <v>921</v>
      </c>
      <c r="E1395" s="29" t="s">
        <v>227</v>
      </c>
      <c r="F1395" s="29" t="s">
        <v>6339</v>
      </c>
      <c r="G1395" s="29" t="s">
        <v>6821</v>
      </c>
      <c r="H1395" s="26">
        <v>45785</v>
      </c>
      <c r="I1395" s="27" t="s">
        <v>99</v>
      </c>
      <c r="J1395" s="27" t="s">
        <v>196</v>
      </c>
      <c r="K1395" s="26">
        <v>45785.64265509259</v>
      </c>
    </row>
    <row r="1396" spans="1:12">
      <c r="A1396" s="25">
        <v>900030734</v>
      </c>
      <c r="B1396" s="26">
        <v>45778.596594328701</v>
      </c>
      <c r="C1396" s="27" t="s">
        <v>1026</v>
      </c>
      <c r="D1396" s="28" t="s">
        <v>1027</v>
      </c>
      <c r="E1396" s="29" t="s">
        <v>261</v>
      </c>
      <c r="F1396" s="29" t="s">
        <v>171</v>
      </c>
      <c r="G1396" s="29" t="s">
        <v>6786</v>
      </c>
      <c r="H1396" s="26" t="s">
        <v>218</v>
      </c>
      <c r="I1396" s="27" t="s">
        <v>61</v>
      </c>
      <c r="J1396" s="27" t="s">
        <v>196</v>
      </c>
      <c r="K1396" s="26">
        <v>45778.59687523148</v>
      </c>
    </row>
    <row r="1397" spans="1:12">
      <c r="A1397" s="25">
        <v>901516816</v>
      </c>
      <c r="B1397" s="26" t="s">
        <v>6822</v>
      </c>
      <c r="C1397" s="27" t="s">
        <v>1527</v>
      </c>
      <c r="D1397" s="28" t="s">
        <v>1528</v>
      </c>
      <c r="E1397" s="29" t="s">
        <v>30</v>
      </c>
      <c r="F1397" s="29" t="s">
        <v>171</v>
      </c>
      <c r="G1397" s="29" t="s">
        <v>6823</v>
      </c>
      <c r="H1397" s="26" t="s">
        <v>218</v>
      </c>
      <c r="I1397" s="27" t="s">
        <v>66</v>
      </c>
      <c r="J1397" s="27" t="s">
        <v>99</v>
      </c>
      <c r="K1397" s="26">
        <v>45779.93783703704</v>
      </c>
    </row>
    <row r="1398" spans="1:12">
      <c r="A1398" s="25">
        <v>903838798</v>
      </c>
      <c r="B1398" s="26">
        <v>45782.362059606479</v>
      </c>
      <c r="C1398" s="27" t="s">
        <v>6223</v>
      </c>
      <c r="D1398" s="28" t="s">
        <v>6224</v>
      </c>
      <c r="E1398" s="29" t="s">
        <v>263</v>
      </c>
      <c r="F1398" s="29" t="s">
        <v>171</v>
      </c>
      <c r="G1398" s="29" t="s">
        <v>6277</v>
      </c>
      <c r="H1398" s="26">
        <v>45786</v>
      </c>
      <c r="I1398" s="27" t="s">
        <v>61</v>
      </c>
      <c r="J1398" s="27" t="s">
        <v>131</v>
      </c>
      <c r="K1398" s="26">
        <v>45786.342945254626</v>
      </c>
    </row>
    <row r="1399" spans="1:12">
      <c r="A1399" s="25">
        <v>907609019</v>
      </c>
      <c r="B1399" s="26">
        <v>45782.426405787039</v>
      </c>
      <c r="C1399" s="27" t="s">
        <v>2357</v>
      </c>
      <c r="D1399" s="28" t="s">
        <v>2358</v>
      </c>
      <c r="E1399" s="29" t="s">
        <v>239</v>
      </c>
      <c r="F1399" s="29" t="s">
        <v>171</v>
      </c>
      <c r="G1399" s="29" t="s">
        <v>256</v>
      </c>
      <c r="H1399" s="26" t="s">
        <v>218</v>
      </c>
      <c r="I1399" s="27" t="s">
        <v>61</v>
      </c>
      <c r="J1399" s="27" t="s">
        <v>196</v>
      </c>
      <c r="K1399" s="26">
        <v>45782.639511458336</v>
      </c>
    </row>
    <row r="1400" spans="1:12">
      <c r="A1400" s="25">
        <v>900043409</v>
      </c>
      <c r="B1400" s="26">
        <v>45783.370233564812</v>
      </c>
      <c r="C1400" s="27" t="s">
        <v>1226</v>
      </c>
      <c r="D1400" s="28" t="s">
        <v>1227</v>
      </c>
      <c r="E1400" s="29" t="s">
        <v>239</v>
      </c>
      <c r="F1400" s="29" t="s">
        <v>171</v>
      </c>
      <c r="G1400" s="29" t="s">
        <v>256</v>
      </c>
      <c r="H1400" s="26" t="s">
        <v>218</v>
      </c>
      <c r="I1400" s="27" t="s">
        <v>178</v>
      </c>
      <c r="J1400" s="27" t="s">
        <v>196</v>
      </c>
      <c r="K1400" s="26">
        <v>45783.629373379626</v>
      </c>
    </row>
    <row r="1401" spans="1:12">
      <c r="A1401" s="25">
        <v>913748685</v>
      </c>
      <c r="B1401" s="26">
        <v>45783.429474189812</v>
      </c>
      <c r="C1401" s="27" t="s">
        <v>3628</v>
      </c>
      <c r="D1401" s="28" t="s">
        <v>3629</v>
      </c>
      <c r="E1401" s="29" t="s">
        <v>6475</v>
      </c>
      <c r="F1401" s="29" t="s">
        <v>171</v>
      </c>
      <c r="G1401" s="29" t="s">
        <v>6571</v>
      </c>
      <c r="H1401" s="26" t="s">
        <v>218</v>
      </c>
      <c r="I1401" s="27" t="s">
        <v>178</v>
      </c>
      <c r="J1401" s="27" t="s">
        <v>153</v>
      </c>
      <c r="K1401" s="26">
        <v>45783.735979166668</v>
      </c>
    </row>
    <row r="1402" spans="1:12">
      <c r="A1402" s="25">
        <v>900023064</v>
      </c>
      <c r="B1402" s="26">
        <v>45783.447295486112</v>
      </c>
      <c r="C1402" s="27" t="s">
        <v>896</v>
      </c>
      <c r="D1402" s="28" t="s">
        <v>897</v>
      </c>
      <c r="E1402" s="29" t="s">
        <v>239</v>
      </c>
      <c r="F1402" s="29" t="s">
        <v>171</v>
      </c>
      <c r="G1402" s="29" t="s">
        <v>258</v>
      </c>
      <c r="H1402" s="26">
        <v>45783</v>
      </c>
      <c r="I1402" s="27" t="s">
        <v>66</v>
      </c>
      <c r="J1402" s="27" t="s">
        <v>178</v>
      </c>
      <c r="K1402" s="26">
        <v>45783.580171643516</v>
      </c>
    </row>
    <row r="1403" spans="1:12">
      <c r="A1403" s="25">
        <v>900004942</v>
      </c>
      <c r="B1403" s="26">
        <v>45783.481794675929</v>
      </c>
      <c r="C1403" s="27" t="s">
        <v>483</v>
      </c>
      <c r="D1403" s="28" t="s">
        <v>484</v>
      </c>
      <c r="E1403" s="29" t="s">
        <v>6575</v>
      </c>
      <c r="F1403" s="29" t="s">
        <v>171</v>
      </c>
      <c r="G1403" s="29" t="s">
        <v>6824</v>
      </c>
      <c r="H1403" s="26" t="s">
        <v>218</v>
      </c>
      <c r="I1403" s="27" t="s">
        <v>178</v>
      </c>
      <c r="J1403" s="27" t="s">
        <v>153</v>
      </c>
      <c r="K1403" s="26">
        <v>45783.708258333332</v>
      </c>
    </row>
    <row r="1404" spans="1:12">
      <c r="A1404" s="25">
        <v>918850951</v>
      </c>
      <c r="B1404" s="26">
        <v>45783.716616782411</v>
      </c>
      <c r="C1404" s="27" t="s">
        <v>5449</v>
      </c>
      <c r="D1404" s="28" t="s">
        <v>5450</v>
      </c>
      <c r="E1404" s="29" t="s">
        <v>128</v>
      </c>
      <c r="F1404" s="29" t="s">
        <v>6339</v>
      </c>
      <c r="H1404" s="26" t="s">
        <v>218</v>
      </c>
      <c r="I1404" s="27" t="s">
        <v>153</v>
      </c>
      <c r="J1404" s="27" t="s">
        <v>72</v>
      </c>
      <c r="K1404" s="26">
        <v>45783.831174768522</v>
      </c>
      <c r="L1404" s="24" t="s">
        <v>6825</v>
      </c>
    </row>
    <row r="1405" spans="1:12">
      <c r="A1405" s="25">
        <v>918850951</v>
      </c>
      <c r="B1405" s="26">
        <v>45783.716645949076</v>
      </c>
      <c r="C1405" s="27" t="s">
        <v>5449</v>
      </c>
      <c r="D1405" s="28" t="s">
        <v>5450</v>
      </c>
      <c r="E1405" s="29" t="s">
        <v>129</v>
      </c>
      <c r="F1405" s="29" t="s">
        <v>6339</v>
      </c>
      <c r="H1405" s="26" t="s">
        <v>218</v>
      </c>
      <c r="I1405" s="27" t="s">
        <v>153</v>
      </c>
      <c r="J1405" s="27" t="s">
        <v>72</v>
      </c>
      <c r="K1405" s="26">
        <v>45783.831198263892</v>
      </c>
      <c r="L1405" s="24" t="s">
        <v>6825</v>
      </c>
    </row>
    <row r="1406" spans="1:12">
      <c r="A1406" s="25">
        <v>918850951</v>
      </c>
      <c r="B1406" s="26">
        <v>45783.716651388888</v>
      </c>
      <c r="C1406" s="27" t="s">
        <v>5449</v>
      </c>
      <c r="D1406" s="28" t="s">
        <v>5450</v>
      </c>
      <c r="E1406" s="29" t="s">
        <v>6385</v>
      </c>
      <c r="F1406" s="29" t="s">
        <v>6339</v>
      </c>
      <c r="H1406" s="26" t="s">
        <v>218</v>
      </c>
      <c r="I1406" s="27" t="s">
        <v>153</v>
      </c>
      <c r="J1406" s="27" t="s">
        <v>72</v>
      </c>
      <c r="K1406" s="26">
        <v>45783.831339351855</v>
      </c>
      <c r="L1406" s="24" t="s">
        <v>6825</v>
      </c>
    </row>
    <row r="1407" spans="1:12">
      <c r="A1407" s="25">
        <v>918850951</v>
      </c>
      <c r="B1407" s="26">
        <v>45783.716659490739</v>
      </c>
      <c r="C1407" s="27" t="s">
        <v>5449</v>
      </c>
      <c r="D1407" s="28" t="s">
        <v>5450</v>
      </c>
      <c r="E1407" s="29" t="s">
        <v>263</v>
      </c>
      <c r="F1407" s="29" t="s">
        <v>6339</v>
      </c>
      <c r="G1407" s="29" t="s">
        <v>6826</v>
      </c>
      <c r="H1407" s="26" t="s">
        <v>218</v>
      </c>
      <c r="I1407" s="27" t="s">
        <v>153</v>
      </c>
      <c r="J1407" s="27" t="s">
        <v>72</v>
      </c>
      <c r="K1407" s="26">
        <v>45783.831363425925</v>
      </c>
      <c r="L1407" s="24" t="s">
        <v>6825</v>
      </c>
    </row>
    <row r="1408" spans="1:12">
      <c r="A1408" s="25">
        <v>908513416</v>
      </c>
      <c r="B1408" s="26">
        <v>45784.342007407409</v>
      </c>
      <c r="C1408" s="27" t="s">
        <v>2535</v>
      </c>
      <c r="D1408" s="28" t="s">
        <v>2536</v>
      </c>
      <c r="E1408" s="29" t="s">
        <v>30</v>
      </c>
      <c r="F1408" s="29" t="s">
        <v>171</v>
      </c>
      <c r="G1408" s="29" t="s">
        <v>6827</v>
      </c>
      <c r="H1408" s="26" t="s">
        <v>218</v>
      </c>
      <c r="I1408" s="27" t="s">
        <v>254</v>
      </c>
      <c r="J1408" s="27" t="s">
        <v>196</v>
      </c>
      <c r="K1408" s="26">
        <v>45784.735148726853</v>
      </c>
    </row>
    <row r="1409" spans="1:12">
      <c r="A1409" s="25">
        <v>918856398</v>
      </c>
      <c r="B1409" s="26">
        <v>45784.459646643518</v>
      </c>
      <c r="C1409" s="27" t="s">
        <v>6225</v>
      </c>
      <c r="D1409" s="28" t="s">
        <v>6226</v>
      </c>
      <c r="E1409" s="29" t="s">
        <v>239</v>
      </c>
      <c r="F1409" s="29" t="s">
        <v>171</v>
      </c>
      <c r="G1409" s="29" t="s">
        <v>256</v>
      </c>
      <c r="H1409" s="26">
        <v>45784</v>
      </c>
      <c r="I1409" s="27" t="s">
        <v>66</v>
      </c>
      <c r="J1409" s="27" t="s">
        <v>153</v>
      </c>
      <c r="K1409" s="26">
        <v>45784.641530787034</v>
      </c>
    </row>
    <row r="1410" spans="1:12">
      <c r="A1410" s="25">
        <v>907200390</v>
      </c>
      <c r="B1410" s="26">
        <v>45785.626181944448</v>
      </c>
      <c r="C1410" s="27" t="s">
        <v>6227</v>
      </c>
      <c r="D1410" s="28" t="s">
        <v>6228</v>
      </c>
      <c r="E1410" s="29" t="s">
        <v>83</v>
      </c>
      <c r="F1410" s="29" t="s">
        <v>171</v>
      </c>
      <c r="G1410" s="29" t="s">
        <v>6828</v>
      </c>
      <c r="H1410" s="26" t="s">
        <v>218</v>
      </c>
      <c r="I1410" s="27" t="s">
        <v>131</v>
      </c>
      <c r="J1410" s="27" t="s">
        <v>131</v>
      </c>
      <c r="K1410" s="26">
        <v>45785.75045821759</v>
      </c>
    </row>
    <row r="1411" spans="1:12">
      <c r="A1411" s="25">
        <v>900005709</v>
      </c>
      <c r="B1411" s="26">
        <v>45790.375399537035</v>
      </c>
      <c r="C1411" s="27" t="s">
        <v>495</v>
      </c>
      <c r="D1411" s="28" t="s">
        <v>496</v>
      </c>
      <c r="E1411" s="29" t="s">
        <v>269</v>
      </c>
      <c r="F1411" s="29" t="s">
        <v>6339</v>
      </c>
      <c r="G1411" s="29" t="s">
        <v>6829</v>
      </c>
      <c r="H1411" s="26">
        <v>45790</v>
      </c>
      <c r="I1411" s="27" t="s">
        <v>77</v>
      </c>
      <c r="J1411" s="27" t="s">
        <v>196</v>
      </c>
      <c r="K1411" s="26">
        <v>45792.594295370371</v>
      </c>
    </row>
    <row r="1412" spans="1:12">
      <c r="A1412" s="25">
        <v>911245314</v>
      </c>
      <c r="B1412" s="26">
        <v>45790.651376273148</v>
      </c>
      <c r="C1412" s="27" t="s">
        <v>3136</v>
      </c>
      <c r="D1412" s="28" t="s">
        <v>3137</v>
      </c>
      <c r="E1412" s="29" t="s">
        <v>28</v>
      </c>
      <c r="F1412" s="29" t="s">
        <v>171</v>
      </c>
      <c r="G1412" s="29" t="s">
        <v>6830</v>
      </c>
      <c r="H1412" s="26">
        <v>45790</v>
      </c>
      <c r="I1412" s="27" t="s">
        <v>196</v>
      </c>
      <c r="J1412" s="27" t="s">
        <v>196</v>
      </c>
      <c r="K1412" s="26">
        <v>45790.788221643517</v>
      </c>
    </row>
    <row r="1413" spans="1:12">
      <c r="A1413" s="25">
        <v>913672804</v>
      </c>
      <c r="B1413" s="26">
        <v>45790.654242013887</v>
      </c>
      <c r="C1413" s="27" t="s">
        <v>3558</v>
      </c>
      <c r="D1413" s="28" t="s">
        <v>3559</v>
      </c>
      <c r="E1413" s="29" t="s">
        <v>188</v>
      </c>
      <c r="F1413" s="29" t="s">
        <v>171</v>
      </c>
      <c r="J1413" s="27" t="s">
        <v>153</v>
      </c>
      <c r="K1413" s="26">
        <v>45790.654495717594</v>
      </c>
      <c r="L1413" s="24" t="s">
        <v>6831</v>
      </c>
    </row>
    <row r="1414" spans="1:12">
      <c r="A1414" s="25">
        <v>913786515</v>
      </c>
      <c r="B1414" s="26">
        <v>45791.717922453703</v>
      </c>
      <c r="C1414" s="27" t="s">
        <v>3676</v>
      </c>
      <c r="D1414" s="28" t="s">
        <v>3677</v>
      </c>
      <c r="E1414" s="29" t="s">
        <v>28</v>
      </c>
      <c r="F1414" s="29" t="s">
        <v>171</v>
      </c>
      <c r="G1414" s="29" t="s">
        <v>6277</v>
      </c>
      <c r="H1414" s="26" t="s">
        <v>134</v>
      </c>
      <c r="I1414" s="27" t="s">
        <v>99</v>
      </c>
      <c r="J1414" s="27" t="s">
        <v>196</v>
      </c>
      <c r="K1414" s="26">
        <v>45791.817109143522</v>
      </c>
    </row>
    <row r="1415" spans="1:12">
      <c r="A1415" s="25">
        <v>900208977</v>
      </c>
      <c r="B1415" s="26">
        <v>45791.729532291669</v>
      </c>
      <c r="C1415" s="27" t="s">
        <v>1394</v>
      </c>
      <c r="D1415" s="28" t="s">
        <v>1395</v>
      </c>
      <c r="E1415" s="29" t="s">
        <v>20</v>
      </c>
      <c r="F1415" s="29" t="s">
        <v>171</v>
      </c>
      <c r="H1415" s="26">
        <v>45793</v>
      </c>
      <c r="I1415" s="27" t="s">
        <v>99</v>
      </c>
      <c r="J1415" s="27" t="s">
        <v>131</v>
      </c>
      <c r="K1415" s="26">
        <v>45792.70635925926</v>
      </c>
    </row>
    <row r="1416" spans="1:12">
      <c r="A1416" s="25">
        <v>900058281</v>
      </c>
      <c r="B1416" s="26">
        <v>45791.603127314818</v>
      </c>
      <c r="C1416" s="27" t="s">
        <v>1346</v>
      </c>
      <c r="D1416" s="28" t="s">
        <v>1347</v>
      </c>
      <c r="E1416" s="29" t="s">
        <v>6470</v>
      </c>
      <c r="F1416" s="29" t="s">
        <v>171</v>
      </c>
      <c r="G1416" s="29" t="s">
        <v>6832</v>
      </c>
      <c r="H1416" s="26">
        <v>45791</v>
      </c>
      <c r="I1416" s="27" t="s">
        <v>66</v>
      </c>
      <c r="J1416" s="27" t="s">
        <v>196</v>
      </c>
      <c r="K1416" s="26">
        <v>45791.658637731482</v>
      </c>
      <c r="L1416" s="24" t="s">
        <v>6833</v>
      </c>
    </row>
    <row r="1417" spans="1:12">
      <c r="A1417" s="25">
        <v>918855904</v>
      </c>
      <c r="B1417" s="26">
        <v>45791.631555555556</v>
      </c>
      <c r="C1417" s="27" t="s">
        <v>6229</v>
      </c>
      <c r="D1417" s="28" t="s">
        <v>6230</v>
      </c>
      <c r="E1417" s="29" t="s">
        <v>6470</v>
      </c>
      <c r="F1417" s="29" t="s">
        <v>171</v>
      </c>
      <c r="I1417" s="27" t="s">
        <v>196</v>
      </c>
      <c r="J1417" s="27" t="s">
        <v>99</v>
      </c>
      <c r="K1417" s="26">
        <v>45792.494668287036</v>
      </c>
      <c r="L1417" s="24" t="s">
        <v>6834</v>
      </c>
    </row>
    <row r="1418" spans="1:12">
      <c r="A1418" s="25">
        <v>918855904</v>
      </c>
      <c r="B1418" s="26">
        <v>45791.631599537039</v>
      </c>
      <c r="C1418" s="27" t="s">
        <v>6229</v>
      </c>
      <c r="D1418" s="28" t="s">
        <v>6230</v>
      </c>
      <c r="E1418" s="29" t="s">
        <v>6328</v>
      </c>
      <c r="F1418" s="29" t="s">
        <v>171</v>
      </c>
      <c r="I1418" s="27" t="s">
        <v>196</v>
      </c>
      <c r="J1418" s="27" t="s">
        <v>99</v>
      </c>
      <c r="K1418" s="26">
        <v>45792.494682407407</v>
      </c>
    </row>
    <row r="1419" spans="1:12">
      <c r="A1419" s="25">
        <v>918855904</v>
      </c>
      <c r="B1419" s="26">
        <v>45791.714760995368</v>
      </c>
      <c r="C1419" s="27" t="s">
        <v>6229</v>
      </c>
      <c r="D1419" s="28" t="s">
        <v>6230</v>
      </c>
      <c r="E1419" s="29" t="s">
        <v>245</v>
      </c>
      <c r="F1419" s="29" t="s">
        <v>171</v>
      </c>
      <c r="G1419" s="29" t="s">
        <v>6835</v>
      </c>
      <c r="H1419" s="26">
        <v>45792</v>
      </c>
      <c r="I1419" s="27" t="s">
        <v>153</v>
      </c>
      <c r="J1419" s="27" t="s">
        <v>99</v>
      </c>
      <c r="K1419" s="26">
        <v>45792.494806944444</v>
      </c>
      <c r="L1419" s="24" t="s">
        <v>6834</v>
      </c>
    </row>
    <row r="1420" spans="1:12">
      <c r="A1420" s="25">
        <v>909169006</v>
      </c>
      <c r="B1420" s="26">
        <v>45792.364320138891</v>
      </c>
      <c r="C1420" s="27" t="s">
        <v>2652</v>
      </c>
      <c r="D1420" s="28" t="s">
        <v>2653</v>
      </c>
      <c r="E1420" s="29" t="s">
        <v>269</v>
      </c>
      <c r="F1420" s="29" t="s">
        <v>171</v>
      </c>
      <c r="G1420" s="29" t="s">
        <v>6815</v>
      </c>
      <c r="H1420" s="26" t="s">
        <v>218</v>
      </c>
      <c r="I1420" s="27" t="s">
        <v>61</v>
      </c>
      <c r="J1420" s="27" t="s">
        <v>61</v>
      </c>
      <c r="K1420" s="26">
        <v>45792.495461805556</v>
      </c>
    </row>
    <row r="1421" spans="1:12">
      <c r="A1421" s="25">
        <v>909169006</v>
      </c>
      <c r="B1421" s="26">
        <v>45792.368622685186</v>
      </c>
      <c r="C1421" s="27" t="s">
        <v>2652</v>
      </c>
      <c r="D1421" s="28" t="s">
        <v>2653</v>
      </c>
      <c r="E1421" s="29" t="s">
        <v>227</v>
      </c>
      <c r="F1421" s="29" t="s">
        <v>171</v>
      </c>
      <c r="G1421" s="29" t="s">
        <v>6836</v>
      </c>
      <c r="H1421" s="26" t="s">
        <v>218</v>
      </c>
      <c r="I1421" s="27" t="s">
        <v>61</v>
      </c>
      <c r="J1421" s="27" t="s">
        <v>61</v>
      </c>
      <c r="K1421" s="26">
        <v>45792.495485879626</v>
      </c>
    </row>
    <row r="1422" spans="1:12">
      <c r="A1422" s="25">
        <v>909169006</v>
      </c>
      <c r="B1422" s="26">
        <v>45792.368622685186</v>
      </c>
      <c r="C1422" s="27" t="s">
        <v>2652</v>
      </c>
      <c r="D1422" s="28" t="s">
        <v>2653</v>
      </c>
      <c r="E1422" s="29" t="s">
        <v>42</v>
      </c>
      <c r="F1422" s="29" t="s">
        <v>171</v>
      </c>
      <c r="H1422" s="26" t="s">
        <v>218</v>
      </c>
      <c r="I1422" s="27" t="s">
        <v>61</v>
      </c>
      <c r="J1422" s="27" t="s">
        <v>61</v>
      </c>
      <c r="K1422" s="26">
        <v>45792.495507060186</v>
      </c>
    </row>
    <row r="1423" spans="1:12">
      <c r="A1423" s="25">
        <v>918851458</v>
      </c>
      <c r="B1423" s="26">
        <v>45792.8313375</v>
      </c>
      <c r="C1423" s="27" t="s">
        <v>6231</v>
      </c>
      <c r="D1423" s="28" t="s">
        <v>6232</v>
      </c>
      <c r="E1423" s="29" t="s">
        <v>28</v>
      </c>
      <c r="F1423" s="29" t="s">
        <v>171</v>
      </c>
      <c r="G1423" s="29" t="s">
        <v>6277</v>
      </c>
      <c r="H1423" s="26">
        <v>45793</v>
      </c>
      <c r="I1423" s="27" t="s">
        <v>6763</v>
      </c>
      <c r="J1423" s="27" t="s">
        <v>131</v>
      </c>
      <c r="K1423" s="26">
        <v>45793.472666782407</v>
      </c>
    </row>
    <row r="1424" spans="1:12">
      <c r="A1424" s="25">
        <v>904239211</v>
      </c>
      <c r="B1424" s="26">
        <v>45793.410983333335</v>
      </c>
      <c r="C1424" s="27" t="s">
        <v>1865</v>
      </c>
      <c r="D1424" s="28" t="s">
        <v>1866</v>
      </c>
      <c r="E1424" s="29" t="s">
        <v>289</v>
      </c>
      <c r="F1424" s="29" t="s">
        <v>171</v>
      </c>
      <c r="G1424" s="29" t="s">
        <v>6837</v>
      </c>
      <c r="J1424" s="27" t="s">
        <v>131</v>
      </c>
      <c r="K1424" s="26">
        <v>45793.411182754629</v>
      </c>
    </row>
  </sheetData>
  <sheetProtection sheet="1" objects="1" scenarios="1"/>
  <protectedRanges>
    <protectedRange sqref="E94:F135 G83 E88:F89 G85 E86:G86 E84:G84 G87:G135 E54:G82 E1:G52 E137:G325 E327:G595 E738:G1048576" name="Range1"/>
  </protectedRanges>
  <autoFilter ref="A1:V220" xr:uid="{C3EF4F14-955A-4AA9-8E58-7AF41DC3AF36}">
    <sortState xmlns:xlrd2="http://schemas.microsoft.com/office/spreadsheetml/2017/richdata2" ref="A2:V191">
      <sortCondition ref="K1"/>
    </sortState>
  </autoFilter>
  <conditionalFormatting sqref="C136">
    <cfRule type="cellIs" dxfId="32" priority="31" operator="equal">
      <formula>"Email"</formula>
    </cfRule>
    <cfRule type="cellIs" dxfId="31" priority="32" operator="equal">
      <formula>"Name"</formula>
    </cfRule>
  </conditionalFormatting>
  <conditionalFormatting sqref="C596:C736">
    <cfRule type="cellIs" dxfId="30" priority="11" operator="equal">
      <formula>"Not Found"</formula>
    </cfRule>
  </conditionalFormatting>
  <conditionalFormatting sqref="C596:D737">
    <cfRule type="cellIs" dxfId="29" priority="5" operator="equal">
      <formula>"Email"</formula>
    </cfRule>
    <cfRule type="cellIs" dxfId="28" priority="6" operator="equal">
      <formula>"Name"</formula>
    </cfRule>
  </conditionalFormatting>
  <conditionalFormatting sqref="C737:D737">
    <cfRule type="cellIs" dxfId="27" priority="7" operator="equal">
      <formula>"Not Found"</formula>
    </cfRule>
  </conditionalFormatting>
  <conditionalFormatting sqref="D1:D325 C136 D738:D1048576">
    <cfRule type="cellIs" dxfId="26" priority="33" operator="equal">
      <formula>"Not Found"</formula>
    </cfRule>
  </conditionalFormatting>
  <conditionalFormatting sqref="D327:D736">
    <cfRule type="cellIs" dxfId="25" priority="15" operator="equal">
      <formula>"Not Found"</formula>
    </cfRule>
  </conditionalFormatting>
  <conditionalFormatting sqref="F596:F737 C596:D737 K596:K737">
    <cfRule type="cellIs" dxfId="24" priority="2" operator="equal">
      <formula>"Date"</formula>
    </cfRule>
  </conditionalFormatting>
  <conditionalFormatting sqref="F596:F737">
    <cfRule type="containsText" dxfId="23" priority="1" operator="containsText" text="yes">
      <formula>NOT(ISERROR(SEARCH("yes",F596)))</formula>
    </cfRule>
    <cfRule type="cellIs" dxfId="22" priority="3" operator="equal">
      <formula>"Duplicate?"</formula>
    </cfRule>
    <cfRule type="cellIs" dxfId="21" priority="4" operator="equal">
      <formula>"YES"</formula>
    </cfRule>
  </conditionalFormatting>
  <conditionalFormatting sqref="M1:M325 M327:M595 M738:M1048576">
    <cfRule type="cellIs" dxfId="20" priority="29" operator="equal">
      <formula>"Yes"</formula>
    </cfRule>
  </conditionalFormatting>
  <dataValidations count="1">
    <dataValidation showDropDown="1" showInputMessage="1" showErrorMessage="1" sqref="G1:G135 G137:G325 G327:G595 G738:G1048576" xr:uid="{B6952793-A3EE-4553-8C58-70EF0CE39C35}"/>
  </dataValidations>
  <hyperlinks>
    <hyperlink ref="D220" r:id="rId1" xr:uid="{942788F6-77C5-4066-A2C6-88ECBC71142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C05D6AF-0462-4DD0-AC1B-31D32F29A892}">
          <x14:formula1>
            <xm:f>Inventory!$B$2:$B$61</xm:f>
          </x14:formula1>
          <xm:sqref>E106:F106 E2:F19</xm:sqref>
        </x14:dataValidation>
        <x14:dataValidation type="list" allowBlank="1" showInputMessage="1" showErrorMessage="1" xr:uid="{08A7E945-223F-41D1-85F9-8C53CAA7C758}">
          <x14:formula1>
            <xm:f>Inventory!$B$2:$B$62</xm:f>
          </x14:formula1>
          <xm:sqref>E74:F75 E67:F67 E70:F72 E61:F65 E57:F59 E47:F55 E20:F45</xm:sqref>
        </x14:dataValidation>
        <x14:dataValidation type="list" allowBlank="1" showInputMessage="1" showErrorMessage="1" xr:uid="{F72540E0-300B-4B0B-8AA4-473479EFB4A8}">
          <x14:formula1>
            <xm:f>Inventory!$B$2:$B$65</xm:f>
          </x14:formula1>
          <xm:sqref>E87:F87 E85:F85 E122:F135 E89:F93 E79:F83</xm:sqref>
        </x14:dataValidation>
        <x14:dataValidation type="list" allowBlank="1" showInputMessage="1" showErrorMessage="1" xr:uid="{1657535D-F91D-4262-81B6-149FFC1F3C1B}">
          <x14:formula1>
            <xm:f>Inventory!$B$2:$B$66</xm:f>
          </x14:formula1>
          <xm:sqref>E46:F46</xm:sqref>
        </x14:dataValidation>
        <x14:dataValidation type="list" allowBlank="1" showInputMessage="1" showErrorMessage="1" xr:uid="{C7437D40-236D-4D18-99A6-4C7562B919FA}">
          <x14:formula1>
            <xm:f>Inventory!$B$2:$B$68</xm:f>
          </x14:formula1>
          <xm:sqref>E60:F60 E56:F56 E107:F121 E103:F105 E98:F101</xm:sqref>
        </x14:dataValidation>
        <x14:dataValidation type="list" allowBlank="1" showInputMessage="1" showErrorMessage="1" xr:uid="{5CE753E9-7AD1-469B-B57E-BC28E9E98440}">
          <x14:formula1>
            <xm:f>Inventory!$B$2:$B$69</xm:f>
          </x14:formula1>
          <xm:sqref>E102:F102 E94:F97</xm:sqref>
        </x14:dataValidation>
        <x14:dataValidation type="list" allowBlank="1" showInputMessage="1" showErrorMessage="1" xr:uid="{5F8630F2-2DF8-4634-9502-41A84019BA68}">
          <x14:formula1>
            <xm:f>Inventory!$B$2:$B$74</xm:f>
          </x14:formula1>
          <xm:sqref>E66:F66 E137:F235 E76:F78 E84:F84 E68:F69 E88:F88 E86:F86 E73:F73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3144-94A2-4582-B733-AAFAFACAAA27}">
  <sheetPr codeName="Sheet5"/>
  <dimension ref="A1:H103"/>
  <sheetViews>
    <sheetView workbookViewId="0">
      <pane ySplit="1" topLeftCell="A2" activePane="bottomLeft" state="frozen"/>
      <selection pane="bottomLeft" activeCell="C107" sqref="C107"/>
    </sheetView>
  </sheetViews>
  <sheetFormatPr defaultColWidth="8.85546875" defaultRowHeight="15"/>
  <cols>
    <col min="1" max="1" width="29.42578125" bestFit="1" customWidth="1"/>
    <col min="2" max="2" width="41.28515625" bestFit="1" customWidth="1"/>
    <col min="3" max="3" width="8.28515625" bestFit="1" customWidth="1"/>
    <col min="4" max="4" width="6.42578125" customWidth="1"/>
    <col min="5" max="5" width="11" customWidth="1"/>
    <col min="6" max="6" width="32.7109375" bestFit="1" customWidth="1"/>
    <col min="7" max="7" width="18.140625" style="11" bestFit="1" customWidth="1"/>
    <col min="8" max="8" width="9.28515625" bestFit="1" customWidth="1"/>
  </cols>
  <sheetData>
    <row r="1" spans="1:8">
      <c r="A1" s="6" t="s">
        <v>6838</v>
      </c>
      <c r="B1" s="6" t="s">
        <v>4</v>
      </c>
      <c r="C1" s="7" t="s">
        <v>6839</v>
      </c>
      <c r="D1" s="8" t="s">
        <v>6840</v>
      </c>
      <c r="E1" s="9" t="s">
        <v>6841</v>
      </c>
      <c r="F1" s="11" t="s">
        <v>6842</v>
      </c>
      <c r="G1" s="12">
        <v>44943</v>
      </c>
      <c r="H1" s="53">
        <v>45082</v>
      </c>
    </row>
    <row r="2" spans="1:8">
      <c r="B2" t="s">
        <v>6367</v>
      </c>
      <c r="D2" s="1">
        <f>COUNTIFS(Outstanding_checkout!E:E,B2)</f>
        <v>0</v>
      </c>
    </row>
    <row r="3" spans="1:8">
      <c r="A3" t="s">
        <v>6843</v>
      </c>
      <c r="B3" t="s">
        <v>35</v>
      </c>
      <c r="C3">
        <v>18</v>
      </c>
      <c r="D3" s="1">
        <f>COUNTIFS(Outstanding_checkout!E:E,B3)</f>
        <v>3</v>
      </c>
      <c r="E3" s="5">
        <f>C3-D3</f>
        <v>15</v>
      </c>
      <c r="G3" s="11">
        <v>15</v>
      </c>
    </row>
    <row r="4" spans="1:8">
      <c r="A4" t="s">
        <v>6844</v>
      </c>
      <c r="B4" t="s">
        <v>38</v>
      </c>
      <c r="C4">
        <v>10</v>
      </c>
      <c r="D4" s="1">
        <f>COUNTIFS(Outstanding_checkout!E:E,B4)</f>
        <v>4</v>
      </c>
      <c r="E4" s="5">
        <f>C4-D4</f>
        <v>6</v>
      </c>
      <c r="G4" s="11">
        <v>9</v>
      </c>
    </row>
    <row r="5" spans="1:8">
      <c r="A5" t="s">
        <v>6845</v>
      </c>
      <c r="B5" t="s">
        <v>146</v>
      </c>
      <c r="C5">
        <v>2</v>
      </c>
      <c r="D5" s="1">
        <f>COUNTIFS(Outstanding_checkout!E:E,B5)</f>
        <v>1</v>
      </c>
      <c r="E5" s="5">
        <f>C5-D5</f>
        <v>1</v>
      </c>
      <c r="G5" s="11">
        <v>4</v>
      </c>
    </row>
    <row r="6" spans="1:8">
      <c r="A6" t="s">
        <v>6845</v>
      </c>
      <c r="B6" t="s">
        <v>269</v>
      </c>
      <c r="C6" s="14">
        <v>2</v>
      </c>
      <c r="D6" s="1">
        <f>COUNTIFS(Outstanding_checkout!E:E,B6)</f>
        <v>1</v>
      </c>
      <c r="E6" s="5">
        <f>C6-D6</f>
        <v>1</v>
      </c>
      <c r="G6" s="11">
        <v>2</v>
      </c>
    </row>
    <row r="7" spans="1:8">
      <c r="A7" s="3" t="s">
        <v>6846</v>
      </c>
      <c r="B7" s="3" t="s">
        <v>188</v>
      </c>
      <c r="C7">
        <v>31</v>
      </c>
      <c r="D7" s="1">
        <f>COUNTIFS(Outstanding_checkout!E:E,B7)</f>
        <v>3</v>
      </c>
      <c r="E7" s="5">
        <f>C7-D7</f>
        <v>28</v>
      </c>
      <c r="G7" s="11">
        <v>31</v>
      </c>
    </row>
    <row r="8" spans="1:8">
      <c r="A8" t="s">
        <v>6847</v>
      </c>
      <c r="B8" t="s">
        <v>105</v>
      </c>
      <c r="D8" s="1">
        <f>COUNTIFS(Outstanding_checkout!E:E,B8)</f>
        <v>6</v>
      </c>
    </row>
    <row r="9" spans="1:8">
      <c r="A9" t="s">
        <v>6847</v>
      </c>
      <c r="B9" t="s">
        <v>57</v>
      </c>
      <c r="D9" s="1">
        <f>COUNTIFS(Outstanding_checkout!E:E,B9)</f>
        <v>2</v>
      </c>
    </row>
    <row r="10" spans="1:8">
      <c r="A10" t="s">
        <v>6843</v>
      </c>
      <c r="B10" t="s">
        <v>201</v>
      </c>
      <c r="D10" s="1">
        <f>COUNTIFS(Outstanding_checkout!E:E,B10)</f>
        <v>3</v>
      </c>
    </row>
    <row r="11" spans="1:8">
      <c r="A11" s="3" t="s">
        <v>6848</v>
      </c>
      <c r="B11" s="3" t="s">
        <v>138</v>
      </c>
      <c r="C11">
        <v>45</v>
      </c>
      <c r="D11" s="1">
        <f>COUNTIFS(Outstanding_checkout!E:E,B11)</f>
        <v>4</v>
      </c>
      <c r="E11" s="5">
        <f>C11-D11</f>
        <v>41</v>
      </c>
      <c r="F11" s="11"/>
      <c r="G11" s="11">
        <v>45</v>
      </c>
    </row>
    <row r="12" spans="1:8">
      <c r="A12" s="3"/>
      <c r="B12" s="3" t="s">
        <v>6348</v>
      </c>
      <c r="C12">
        <v>1</v>
      </c>
      <c r="D12" s="1">
        <f>COUNTIFS(Outstanding_checkout!E:E,B12)</f>
        <v>0</v>
      </c>
      <c r="E12" s="5"/>
      <c r="F12" s="11"/>
    </row>
    <row r="13" spans="1:8">
      <c r="B13" t="s">
        <v>151</v>
      </c>
      <c r="C13">
        <v>0</v>
      </c>
      <c r="D13" s="1">
        <f>COUNTIFS(Outstanding_checkout!E:E,B13)</f>
        <v>4</v>
      </c>
    </row>
    <row r="14" spans="1:8">
      <c r="A14" t="s">
        <v>6843</v>
      </c>
      <c r="B14" t="s">
        <v>64</v>
      </c>
      <c r="D14" s="1">
        <f>COUNTIFS(Outstanding_checkout!E:E,B14)</f>
        <v>3</v>
      </c>
    </row>
    <row r="15" spans="1:8">
      <c r="A15" t="s">
        <v>6843</v>
      </c>
      <c r="B15" t="s">
        <v>31</v>
      </c>
      <c r="D15" s="1">
        <f>COUNTIFS(Outstanding_checkout!E:E,B15)</f>
        <v>11</v>
      </c>
    </row>
    <row r="16" spans="1:8">
      <c r="A16" t="s">
        <v>6843</v>
      </c>
      <c r="B16" t="s">
        <v>42</v>
      </c>
      <c r="C16">
        <v>5</v>
      </c>
      <c r="D16" s="1">
        <f>COUNTIFS(Outstanding_checkout!E:E,B16)</f>
        <v>3</v>
      </c>
      <c r="E16" s="11">
        <f t="shared" ref="E16:E29" si="0">C16-D16</f>
        <v>2</v>
      </c>
      <c r="G16" s="11">
        <v>2</v>
      </c>
    </row>
    <row r="17" spans="1:8">
      <c r="A17" t="s">
        <v>6847</v>
      </c>
      <c r="B17" t="s">
        <v>140</v>
      </c>
      <c r="C17">
        <v>25</v>
      </c>
      <c r="D17" s="1">
        <f>COUNTIFS(Outstanding_checkout!E:E,B17)</f>
        <v>4</v>
      </c>
      <c r="E17" s="5">
        <f t="shared" si="0"/>
        <v>21</v>
      </c>
      <c r="G17" s="11">
        <v>23</v>
      </c>
    </row>
    <row r="18" spans="1:8">
      <c r="A18" t="s">
        <v>6849</v>
      </c>
      <c r="B18" t="s">
        <v>278</v>
      </c>
      <c r="D18" s="1">
        <f>COUNTIFS(Outstanding_checkout!E:E,B18)</f>
        <v>0</v>
      </c>
      <c r="E18" s="5">
        <f t="shared" si="0"/>
        <v>0</v>
      </c>
    </row>
    <row r="19" spans="1:8">
      <c r="A19" t="s">
        <v>6849</v>
      </c>
      <c r="B19" t="s">
        <v>289</v>
      </c>
      <c r="C19">
        <v>8</v>
      </c>
      <c r="D19" s="1">
        <f>COUNTIFS(Outstanding_checkout!E:E,B19)</f>
        <v>0</v>
      </c>
      <c r="E19" s="5">
        <f t="shared" si="0"/>
        <v>8</v>
      </c>
      <c r="G19" s="11">
        <v>8</v>
      </c>
    </row>
    <row r="20" spans="1:8">
      <c r="A20" t="s">
        <v>6849</v>
      </c>
      <c r="B20" t="s">
        <v>280</v>
      </c>
      <c r="C20">
        <v>35</v>
      </c>
      <c r="D20" s="1">
        <f>COUNTIFS(Outstanding_checkout!E:E,B20)</f>
        <v>0</v>
      </c>
      <c r="E20" s="5">
        <f t="shared" si="0"/>
        <v>35</v>
      </c>
    </row>
    <row r="21" spans="1:8">
      <c r="A21" t="s">
        <v>6850</v>
      </c>
      <c r="B21" t="s">
        <v>285</v>
      </c>
      <c r="C21">
        <v>6</v>
      </c>
      <c r="D21" s="1">
        <f>COUNTIFS(Outstanding_checkout!E:E,B21)</f>
        <v>0</v>
      </c>
      <c r="E21" s="5">
        <f t="shared" si="0"/>
        <v>6</v>
      </c>
    </row>
    <row r="22" spans="1:8">
      <c r="A22" s="3" t="s">
        <v>6851</v>
      </c>
      <c r="B22" s="3" t="s">
        <v>221</v>
      </c>
      <c r="C22">
        <v>4</v>
      </c>
      <c r="D22" s="1">
        <f>COUNTIFS(Outstanding_checkout!E:E,B22)</f>
        <v>1</v>
      </c>
      <c r="E22" s="5">
        <f t="shared" si="0"/>
        <v>3</v>
      </c>
      <c r="G22" s="11">
        <v>4</v>
      </c>
    </row>
    <row r="23" spans="1:8">
      <c r="A23" t="s">
        <v>6843</v>
      </c>
      <c r="B23" t="s">
        <v>25</v>
      </c>
      <c r="C23">
        <v>61</v>
      </c>
      <c r="D23" s="1">
        <f>COUNTIFS(Outstanding_checkout!E:E,B23)</f>
        <v>49</v>
      </c>
      <c r="E23" s="5">
        <f t="shared" si="0"/>
        <v>12</v>
      </c>
      <c r="G23" s="11">
        <v>50</v>
      </c>
    </row>
    <row r="24" spans="1:8">
      <c r="A24" t="s">
        <v>6843</v>
      </c>
      <c r="B24" t="s">
        <v>19</v>
      </c>
      <c r="C24">
        <v>240</v>
      </c>
      <c r="D24" s="1">
        <f>COUNTIFS(Outstanding_checkout!E:E,B24)</f>
        <v>168</v>
      </c>
      <c r="E24" s="5">
        <f t="shared" si="0"/>
        <v>72</v>
      </c>
      <c r="G24" s="11">
        <v>36</v>
      </c>
    </row>
    <row r="25" spans="1:8">
      <c r="A25" t="s">
        <v>6843</v>
      </c>
      <c r="B25" t="s">
        <v>33</v>
      </c>
      <c r="C25">
        <v>3</v>
      </c>
      <c r="D25" s="1">
        <f>COUNTIFS(Outstanding_checkout!E:E,B25)</f>
        <v>10</v>
      </c>
      <c r="E25" s="11">
        <f t="shared" si="0"/>
        <v>-7</v>
      </c>
      <c r="G25" s="11">
        <v>1</v>
      </c>
    </row>
    <row r="26" spans="1:8">
      <c r="A26" s="3" t="s">
        <v>6852</v>
      </c>
      <c r="B26" s="3" t="s">
        <v>116</v>
      </c>
      <c r="C26">
        <v>2</v>
      </c>
      <c r="D26" s="1">
        <f>COUNTIFS(Outstanding_checkout!E:E,B26)</f>
        <v>2</v>
      </c>
      <c r="E26" s="5">
        <f t="shared" si="0"/>
        <v>0</v>
      </c>
      <c r="G26" s="11">
        <v>1</v>
      </c>
    </row>
    <row r="27" spans="1:8">
      <c r="A27" s="3" t="s">
        <v>6853</v>
      </c>
      <c r="B27" s="3" t="s">
        <v>120</v>
      </c>
      <c r="C27">
        <v>4</v>
      </c>
      <c r="D27" s="1">
        <f>COUNTIFS(Outstanding_checkout!E:E,B27)</f>
        <v>3</v>
      </c>
      <c r="E27" s="5">
        <f t="shared" si="0"/>
        <v>1</v>
      </c>
      <c r="G27" s="11" t="s">
        <v>6458</v>
      </c>
    </row>
    <row r="28" spans="1:8">
      <c r="A28" s="3" t="s">
        <v>6854</v>
      </c>
      <c r="B28" s="3" t="s">
        <v>30</v>
      </c>
      <c r="C28">
        <v>31</v>
      </c>
      <c r="D28" s="1">
        <f>COUNTIFS(Outstanding_checkout!E:E,B28)</f>
        <v>31</v>
      </c>
      <c r="E28" s="5">
        <f t="shared" si="0"/>
        <v>0</v>
      </c>
      <c r="G28" s="11">
        <v>17</v>
      </c>
      <c r="H28">
        <v>26</v>
      </c>
    </row>
    <row r="29" spans="1:8">
      <c r="A29" t="s">
        <v>6855</v>
      </c>
      <c r="B29" t="s">
        <v>6856</v>
      </c>
      <c r="C29">
        <v>2</v>
      </c>
      <c r="D29" s="1">
        <f>COUNTIFS(Outstanding_checkout!E:E,B29)</f>
        <v>0</v>
      </c>
      <c r="E29" s="5">
        <f t="shared" si="0"/>
        <v>2</v>
      </c>
      <c r="G29" s="11">
        <v>2</v>
      </c>
    </row>
    <row r="30" spans="1:8">
      <c r="A30" t="s">
        <v>6855</v>
      </c>
      <c r="B30" t="s">
        <v>6459</v>
      </c>
      <c r="C30">
        <v>3</v>
      </c>
      <c r="D30" s="1">
        <f>COUNTIFS(Outstanding_checkout!E:E,B30)</f>
        <v>0</v>
      </c>
      <c r="E30" s="5">
        <f t="shared" ref="E30:E42" si="1">C30-D30</f>
        <v>3</v>
      </c>
      <c r="G30" s="11">
        <v>3</v>
      </c>
    </row>
    <row r="31" spans="1:8">
      <c r="B31" t="s">
        <v>96</v>
      </c>
      <c r="C31">
        <v>1</v>
      </c>
      <c r="E31" s="5">
        <f t="shared" si="1"/>
        <v>1</v>
      </c>
    </row>
    <row r="32" spans="1:8">
      <c r="B32" t="s">
        <v>83</v>
      </c>
      <c r="C32">
        <v>3</v>
      </c>
      <c r="D32" s="1">
        <f>COUNTIFS(Outstanding_checkout!E:E,B32)</f>
        <v>1</v>
      </c>
      <c r="E32" s="5">
        <f t="shared" si="1"/>
        <v>2</v>
      </c>
    </row>
    <row r="33" spans="1:7">
      <c r="A33" t="s">
        <v>6843</v>
      </c>
      <c r="B33" t="s">
        <v>45</v>
      </c>
      <c r="C33">
        <v>3</v>
      </c>
      <c r="D33" s="1">
        <f>COUNTIFS(Outstanding_checkout!E:E,B33)</f>
        <v>7</v>
      </c>
      <c r="E33" s="5">
        <f t="shared" si="1"/>
        <v>-4</v>
      </c>
    </row>
    <row r="34" spans="1:7">
      <c r="A34" t="s">
        <v>6843</v>
      </c>
      <c r="B34" t="s">
        <v>78</v>
      </c>
      <c r="C34">
        <v>3</v>
      </c>
      <c r="D34" s="1">
        <f>COUNTIFS(Outstanding_checkout!E:E,B34)</f>
        <v>8</v>
      </c>
      <c r="E34" s="5">
        <f t="shared" si="1"/>
        <v>-5</v>
      </c>
    </row>
    <row r="35" spans="1:7">
      <c r="B35" t="s">
        <v>239</v>
      </c>
      <c r="C35">
        <v>1</v>
      </c>
      <c r="D35" s="1">
        <f>COUNTIFS(Outstanding_checkout!E:E,B35)</f>
        <v>4</v>
      </c>
      <c r="E35" s="5">
        <f t="shared" si="1"/>
        <v>-3</v>
      </c>
    </row>
    <row r="36" spans="1:7">
      <c r="B36" t="s">
        <v>6475</v>
      </c>
      <c r="C36">
        <v>3</v>
      </c>
      <c r="D36" s="1">
        <f>COUNTIFS(Outstanding_checkout!E:E,B36)</f>
        <v>0</v>
      </c>
      <c r="E36" s="5">
        <f t="shared" si="1"/>
        <v>3</v>
      </c>
    </row>
    <row r="37" spans="1:7">
      <c r="A37" t="s">
        <v>6843</v>
      </c>
      <c r="B37" t="s">
        <v>6312</v>
      </c>
      <c r="C37">
        <v>31</v>
      </c>
      <c r="D37" s="1">
        <f>COUNTIFS(Outstanding_checkout!E:E,B37)</f>
        <v>0</v>
      </c>
      <c r="E37" s="5">
        <f t="shared" si="1"/>
        <v>31</v>
      </c>
      <c r="G37" s="11">
        <v>31</v>
      </c>
    </row>
    <row r="38" spans="1:7">
      <c r="A38" s="3" t="s">
        <v>6854</v>
      </c>
      <c r="B38" s="3" t="s">
        <v>48</v>
      </c>
      <c r="C38">
        <v>8</v>
      </c>
      <c r="D38" s="1">
        <f>COUNTIFS(Outstanding_checkout!E:E,B38)</f>
        <v>10</v>
      </c>
      <c r="E38" s="5">
        <f t="shared" si="1"/>
        <v>-2</v>
      </c>
      <c r="G38" s="11">
        <v>6</v>
      </c>
    </row>
    <row r="39" spans="1:7">
      <c r="A39" t="s">
        <v>6857</v>
      </c>
      <c r="B39" t="s">
        <v>6371</v>
      </c>
      <c r="C39">
        <v>1</v>
      </c>
      <c r="D39" s="1">
        <f>COUNTIFS(Outstanding_checkout!E:E,B39)</f>
        <v>0</v>
      </c>
      <c r="E39" s="5">
        <f t="shared" si="1"/>
        <v>1</v>
      </c>
    </row>
    <row r="40" spans="1:7">
      <c r="A40" t="s">
        <v>6857</v>
      </c>
      <c r="B40" t="s">
        <v>44</v>
      </c>
      <c r="C40">
        <v>1</v>
      </c>
      <c r="D40" s="1">
        <f>COUNTIFS(Outstanding_checkout!E:E,B40)</f>
        <v>2</v>
      </c>
      <c r="E40" s="5">
        <f t="shared" si="1"/>
        <v>-1</v>
      </c>
    </row>
    <row r="41" spans="1:7">
      <c r="A41" t="s">
        <v>6857</v>
      </c>
      <c r="B41" t="s">
        <v>32</v>
      </c>
      <c r="C41">
        <v>1</v>
      </c>
      <c r="D41" s="1">
        <f>COUNTIFS(Outstanding_checkout!E:E,B41)</f>
        <v>1</v>
      </c>
      <c r="E41" s="5">
        <f t="shared" si="1"/>
        <v>0</v>
      </c>
    </row>
    <row r="42" spans="1:7">
      <c r="A42" t="s">
        <v>6857</v>
      </c>
      <c r="B42" t="s">
        <v>20</v>
      </c>
      <c r="D42" s="1">
        <f>COUNTIFS(Outstanding_checkout!E:E,B42)</f>
        <v>21</v>
      </c>
      <c r="E42" s="5">
        <f t="shared" si="1"/>
        <v>-21</v>
      </c>
    </row>
    <row r="43" spans="1:7">
      <c r="A43" t="s">
        <v>6858</v>
      </c>
      <c r="B43" t="s">
        <v>271</v>
      </c>
      <c r="C43">
        <v>6</v>
      </c>
      <c r="D43" s="1">
        <f>COUNTIFS(Outstanding_checkout!E:E,B43)</f>
        <v>1</v>
      </c>
      <c r="E43" s="5">
        <f t="shared" ref="E43:E51" si="2">C43-D43</f>
        <v>5</v>
      </c>
      <c r="G43" s="11">
        <v>5</v>
      </c>
    </row>
    <row r="44" spans="1:7">
      <c r="A44" s="3" t="s">
        <v>6859</v>
      </c>
      <c r="B44" s="3" t="s">
        <v>174</v>
      </c>
      <c r="C44">
        <v>15</v>
      </c>
      <c r="D44" s="1">
        <f>COUNTIFS(Outstanding_checkout!E:E,B44)</f>
        <v>5</v>
      </c>
      <c r="E44" s="5">
        <f t="shared" si="2"/>
        <v>10</v>
      </c>
      <c r="G44" s="11">
        <v>15</v>
      </c>
    </row>
    <row r="45" spans="1:7">
      <c r="A45" s="3" t="s">
        <v>6858</v>
      </c>
      <c r="B45" s="3" t="s">
        <v>112</v>
      </c>
      <c r="C45">
        <v>34</v>
      </c>
      <c r="D45" s="1">
        <f>COUNTIFS(Outstanding_checkout!E:E,B45)</f>
        <v>4</v>
      </c>
      <c r="E45" s="5">
        <f t="shared" si="2"/>
        <v>30</v>
      </c>
      <c r="G45" s="11">
        <v>32</v>
      </c>
    </row>
    <row r="46" spans="1:7">
      <c r="A46" t="s">
        <v>6860</v>
      </c>
      <c r="B46" t="s">
        <v>128</v>
      </c>
      <c r="C46">
        <v>7</v>
      </c>
      <c r="D46" s="1">
        <f>COUNTIFS(Outstanding_checkout!E:E,B46)</f>
        <v>2</v>
      </c>
      <c r="E46" s="5">
        <f t="shared" si="2"/>
        <v>5</v>
      </c>
      <c r="G46" s="11">
        <v>7</v>
      </c>
    </row>
    <row r="47" spans="1:7">
      <c r="A47" t="s">
        <v>6861</v>
      </c>
      <c r="B47" t="s">
        <v>6439</v>
      </c>
      <c r="C47">
        <v>4</v>
      </c>
      <c r="D47" s="1">
        <f>COUNTIFS(Outstanding_checkout!E:E,B47)</f>
        <v>0</v>
      </c>
      <c r="E47" s="5">
        <f t="shared" si="2"/>
        <v>4</v>
      </c>
      <c r="G47" s="11">
        <v>4</v>
      </c>
    </row>
    <row r="48" spans="1:7">
      <c r="A48" t="s">
        <v>6862</v>
      </c>
      <c r="B48" t="s">
        <v>183</v>
      </c>
      <c r="C48">
        <v>8</v>
      </c>
      <c r="D48" s="1">
        <f>COUNTIFS(Outstanding_checkout!E:E,B48)</f>
        <v>2</v>
      </c>
      <c r="E48" s="5">
        <f t="shared" si="2"/>
        <v>6</v>
      </c>
      <c r="G48" s="11">
        <v>8</v>
      </c>
    </row>
    <row r="49" spans="1:7">
      <c r="A49" t="s">
        <v>6851</v>
      </c>
      <c r="B49" t="s">
        <v>129</v>
      </c>
      <c r="C49">
        <v>4</v>
      </c>
      <c r="D49" s="1">
        <f>COUNTIFS(Outstanding_checkout!E:E,B49)</f>
        <v>2</v>
      </c>
      <c r="E49" s="5">
        <f t="shared" si="2"/>
        <v>2</v>
      </c>
      <c r="G49" s="11">
        <v>4</v>
      </c>
    </row>
    <row r="50" spans="1:7">
      <c r="A50" t="s">
        <v>6851</v>
      </c>
      <c r="B50" t="s">
        <v>6575</v>
      </c>
      <c r="C50">
        <v>8</v>
      </c>
      <c r="D50" s="1">
        <f>COUNTIFS(Outstanding_checkout!E:E,B50)</f>
        <v>0</v>
      </c>
      <c r="E50" s="5">
        <f t="shared" si="2"/>
        <v>8</v>
      </c>
      <c r="G50" s="11">
        <v>8</v>
      </c>
    </row>
    <row r="51" spans="1:7">
      <c r="A51" t="s">
        <v>6851</v>
      </c>
      <c r="B51" t="s">
        <v>6385</v>
      </c>
      <c r="C51">
        <v>4</v>
      </c>
      <c r="D51" s="1">
        <f>COUNTIFS(Outstanding_checkout!E:E,B51)</f>
        <v>0</v>
      </c>
      <c r="E51" s="5">
        <f t="shared" si="2"/>
        <v>4</v>
      </c>
      <c r="G51" s="11">
        <v>4</v>
      </c>
    </row>
    <row r="52" spans="1:7">
      <c r="A52" t="s">
        <v>6857</v>
      </c>
      <c r="B52" t="s">
        <v>175</v>
      </c>
      <c r="D52" s="1">
        <f>COUNTIFS(Outstanding_checkout!E:E,B52)</f>
        <v>5</v>
      </c>
    </row>
    <row r="53" spans="1:7">
      <c r="A53" t="s">
        <v>6843</v>
      </c>
      <c r="B53" t="s">
        <v>46</v>
      </c>
      <c r="D53" s="1">
        <f>COUNTIFS(Outstanding_checkout!E:E,B53)</f>
        <v>10</v>
      </c>
    </row>
    <row r="54" spans="1:7">
      <c r="A54" t="s">
        <v>6863</v>
      </c>
      <c r="B54" t="s">
        <v>355</v>
      </c>
      <c r="D54" s="1">
        <f>COUNTIFS(Outstanding_checkout!E:E,B54)</f>
        <v>0</v>
      </c>
    </row>
    <row r="55" spans="1:7">
      <c r="A55" t="s">
        <v>6864</v>
      </c>
      <c r="B55" t="s">
        <v>263</v>
      </c>
      <c r="C55">
        <v>3</v>
      </c>
      <c r="D55" s="1">
        <f>COUNTIFS(Outstanding_checkout!E:E,B55)</f>
        <v>1</v>
      </c>
      <c r="E55" s="5">
        <f>C55-D55</f>
        <v>2</v>
      </c>
      <c r="G55" s="11">
        <v>3</v>
      </c>
    </row>
    <row r="56" spans="1:7">
      <c r="A56" t="s">
        <v>6843</v>
      </c>
      <c r="B56" s="3" t="s">
        <v>28</v>
      </c>
      <c r="C56">
        <v>52</v>
      </c>
      <c r="D56" s="1">
        <f>COUNTIFS(Outstanding_checkout!E:E,B56)</f>
        <v>28</v>
      </c>
      <c r="E56" s="5">
        <f>C56-D56</f>
        <v>24</v>
      </c>
      <c r="G56" s="11">
        <v>39</v>
      </c>
    </row>
    <row r="57" spans="1:7">
      <c r="A57" s="3" t="s">
        <v>6865</v>
      </c>
      <c r="B57" s="3" t="s">
        <v>51</v>
      </c>
      <c r="C57">
        <v>7</v>
      </c>
      <c r="D57" s="1">
        <f>COUNTIFS(Outstanding_checkout!E:E,B57)</f>
        <v>4</v>
      </c>
      <c r="E57" s="5">
        <f>C57-D57</f>
        <v>3</v>
      </c>
      <c r="G57" s="11">
        <v>6</v>
      </c>
    </row>
    <row r="58" spans="1:7">
      <c r="A58" s="3" t="s">
        <v>6865</v>
      </c>
      <c r="B58" s="3" t="s">
        <v>152</v>
      </c>
      <c r="C58">
        <v>34</v>
      </c>
      <c r="D58" s="1">
        <f>COUNTIFS(Outstanding_checkout!E:E,B58)</f>
        <v>2</v>
      </c>
      <c r="E58" s="5">
        <f>C58-D58</f>
        <v>32</v>
      </c>
      <c r="G58" s="11">
        <v>34</v>
      </c>
    </row>
    <row r="59" spans="1:7">
      <c r="A59" s="3" t="s">
        <v>6865</v>
      </c>
      <c r="B59" s="3" t="s">
        <v>27</v>
      </c>
      <c r="C59">
        <v>18</v>
      </c>
      <c r="D59" s="1">
        <f>COUNTIFS(Outstanding_checkout!E:E,B59)</f>
        <v>8</v>
      </c>
      <c r="E59" s="5">
        <f>C59-D59</f>
        <v>10</v>
      </c>
      <c r="G59" s="11">
        <v>16</v>
      </c>
    </row>
    <row r="60" spans="1:7">
      <c r="B60" t="s">
        <v>95</v>
      </c>
      <c r="D60" s="1">
        <f>COUNTIFS(Outstanding_checkout!E:E,B60)</f>
        <v>2</v>
      </c>
    </row>
    <row r="61" spans="1:7">
      <c r="A61" t="s">
        <v>6866</v>
      </c>
      <c r="B61" t="s">
        <v>133</v>
      </c>
      <c r="C61">
        <v>4</v>
      </c>
      <c r="D61" s="1">
        <f>COUNTIFS(Outstanding_checkout!E:E,B61)</f>
        <v>1</v>
      </c>
      <c r="E61" s="5">
        <f>C61-D61</f>
        <v>3</v>
      </c>
      <c r="F61" t="s">
        <v>6867</v>
      </c>
      <c r="G61" s="11">
        <v>3</v>
      </c>
    </row>
    <row r="62" spans="1:7">
      <c r="A62" t="s">
        <v>6843</v>
      </c>
      <c r="B62" t="s">
        <v>6470</v>
      </c>
      <c r="C62">
        <v>1</v>
      </c>
      <c r="D62" s="1">
        <f>COUNTIFS(Outstanding_checkout!E:E,B62)</f>
        <v>0</v>
      </c>
      <c r="E62" s="5">
        <f>C62-D62</f>
        <v>1</v>
      </c>
      <c r="G62" s="11">
        <v>1</v>
      </c>
    </row>
    <row r="63" spans="1:7">
      <c r="A63" t="s">
        <v>6851</v>
      </c>
      <c r="B63" t="s">
        <v>6328</v>
      </c>
      <c r="C63">
        <v>5</v>
      </c>
      <c r="D63" s="1">
        <f>COUNTIFS(Outstanding_checkout!E:E,B63)</f>
        <v>0</v>
      </c>
      <c r="E63" s="5">
        <f>C63-D63</f>
        <v>5</v>
      </c>
      <c r="G63" s="11">
        <v>5</v>
      </c>
    </row>
    <row r="64" spans="1:7">
      <c r="A64" s="3" t="s">
        <v>6868</v>
      </c>
      <c r="B64" s="3" t="s">
        <v>225</v>
      </c>
      <c r="C64">
        <v>24</v>
      </c>
      <c r="D64" s="1">
        <f>COUNTIFS(Outstanding_checkout!E:E,B64)</f>
        <v>2</v>
      </c>
      <c r="E64" s="5">
        <f>C64-D64</f>
        <v>22</v>
      </c>
      <c r="G64" s="11">
        <v>24</v>
      </c>
    </row>
    <row r="65" spans="1:7">
      <c r="A65" s="3" t="s">
        <v>6869</v>
      </c>
      <c r="B65" s="3" t="s">
        <v>41</v>
      </c>
      <c r="C65">
        <v>38</v>
      </c>
      <c r="D65" s="1">
        <f>COUNTIFS(Outstanding_checkout!E:E,B65)</f>
        <v>2</v>
      </c>
      <c r="E65" s="5">
        <f>C65-D65</f>
        <v>36</v>
      </c>
      <c r="G65" s="11">
        <v>37</v>
      </c>
    </row>
    <row r="66" spans="1:7">
      <c r="B66" t="s">
        <v>6354</v>
      </c>
      <c r="C66">
        <v>2</v>
      </c>
      <c r="D66" s="1">
        <f>COUNTIFS(Outstanding_checkout!E:E,B66)</f>
        <v>0</v>
      </c>
      <c r="F66" t="s">
        <v>6870</v>
      </c>
    </row>
    <row r="67" spans="1:7">
      <c r="A67" t="s">
        <v>6863</v>
      </c>
      <c r="B67" t="s">
        <v>245</v>
      </c>
      <c r="C67">
        <v>1</v>
      </c>
      <c r="D67" s="1">
        <f>COUNTIFS(Outstanding_checkout!E:E,B67)</f>
        <v>1</v>
      </c>
      <c r="E67" s="5">
        <f>C67-D67</f>
        <v>0</v>
      </c>
      <c r="G67" s="11">
        <v>1</v>
      </c>
    </row>
    <row r="68" spans="1:7">
      <c r="A68" s="3" t="s">
        <v>6851</v>
      </c>
      <c r="B68" s="3" t="s">
        <v>6420</v>
      </c>
      <c r="C68">
        <v>6</v>
      </c>
      <c r="D68" s="1">
        <f>COUNTIFS(Outstanding_checkout!E:E,B68)</f>
        <v>0</v>
      </c>
      <c r="E68" s="5">
        <f>C68-D68</f>
        <v>6</v>
      </c>
      <c r="G68" s="11">
        <v>6</v>
      </c>
    </row>
    <row r="69" spans="1:7">
      <c r="A69" t="s">
        <v>6871</v>
      </c>
      <c r="B69" t="s">
        <v>6407</v>
      </c>
      <c r="C69">
        <v>5</v>
      </c>
      <c r="D69" s="1">
        <f>COUNTIFS(Outstanding_checkout!E:E,B69)</f>
        <v>0</v>
      </c>
      <c r="E69" s="5">
        <f>C69-D69</f>
        <v>5</v>
      </c>
      <c r="G69" s="11">
        <v>5</v>
      </c>
    </row>
    <row r="70" spans="1:7">
      <c r="A70" t="s">
        <v>6872</v>
      </c>
      <c r="B70" t="s">
        <v>89</v>
      </c>
      <c r="D70" s="1">
        <f>COUNTIFS(Outstanding_checkout!E:E,B70)</f>
        <v>2</v>
      </c>
    </row>
    <row r="71" spans="1:7">
      <c r="A71" s="3" t="s">
        <v>6865</v>
      </c>
      <c r="B71" s="3" t="s">
        <v>62</v>
      </c>
      <c r="C71">
        <v>119</v>
      </c>
      <c r="D71" s="1">
        <f>COUNTIFS(Outstanding_checkout!E:E,B71)</f>
        <v>1</v>
      </c>
      <c r="E71" s="5">
        <f>C71-D71</f>
        <v>118</v>
      </c>
      <c r="G71" s="11">
        <v>118</v>
      </c>
    </row>
    <row r="72" spans="1:7">
      <c r="A72" s="3" t="s">
        <v>6873</v>
      </c>
      <c r="B72" s="3" t="s">
        <v>6792</v>
      </c>
      <c r="C72">
        <v>7</v>
      </c>
      <c r="D72" s="1">
        <f>COUNTIFS(Outstanding_checkout!E:E,B72)</f>
        <v>0</v>
      </c>
      <c r="E72" s="5">
        <f>C72-D72</f>
        <v>7</v>
      </c>
      <c r="F72" t="s">
        <v>6874</v>
      </c>
      <c r="G72" s="11">
        <v>7</v>
      </c>
    </row>
    <row r="73" spans="1:7">
      <c r="A73" t="s">
        <v>6851</v>
      </c>
      <c r="B73" t="s">
        <v>227</v>
      </c>
      <c r="C73">
        <v>9</v>
      </c>
      <c r="D73" s="1">
        <f>COUNTIFS(Outstanding_checkout!E:E,B73)</f>
        <v>3</v>
      </c>
      <c r="E73" s="5">
        <f>C73-D73</f>
        <v>6</v>
      </c>
      <c r="G73" s="11">
        <v>9</v>
      </c>
    </row>
    <row r="74" spans="1:7">
      <c r="A74" t="s">
        <v>6851</v>
      </c>
      <c r="B74" t="s">
        <v>58</v>
      </c>
      <c r="C74">
        <v>13</v>
      </c>
      <c r="D74" s="1">
        <f>COUNTIFS(Outstanding_checkout!E:E,B74)</f>
        <v>10</v>
      </c>
      <c r="E74" s="5">
        <f>C74-D74</f>
        <v>3</v>
      </c>
      <c r="G74" s="11">
        <v>9</v>
      </c>
    </row>
    <row r="75" spans="1:7">
      <c r="B75" t="s">
        <v>150</v>
      </c>
      <c r="C75">
        <v>1</v>
      </c>
    </row>
    <row r="76" spans="1:7">
      <c r="A76" t="s">
        <v>6843</v>
      </c>
      <c r="B76" t="s">
        <v>76</v>
      </c>
      <c r="C76">
        <v>1</v>
      </c>
      <c r="D76" s="1">
        <f>COUNTIFS(Outstanding_checkout!E:E,B76)</f>
        <v>15</v>
      </c>
      <c r="E76" s="5">
        <f>C76-D76</f>
        <v>-14</v>
      </c>
    </row>
    <row r="77" spans="1:7">
      <c r="B77" t="s">
        <v>219</v>
      </c>
      <c r="D77" s="1"/>
      <c r="E77" s="5"/>
    </row>
    <row r="78" spans="1:7">
      <c r="B78" t="s">
        <v>92</v>
      </c>
      <c r="C78">
        <v>1</v>
      </c>
      <c r="D78" s="1">
        <f>COUNTIFS(Outstanding_checkout!E:E,B78)</f>
        <v>10</v>
      </c>
      <c r="E78" s="5">
        <f>C78-D78</f>
        <v>-9</v>
      </c>
    </row>
    <row r="79" spans="1:7">
      <c r="A79" t="s">
        <v>6843</v>
      </c>
      <c r="B79" t="s">
        <v>12</v>
      </c>
      <c r="C79">
        <v>29</v>
      </c>
      <c r="D79" s="1">
        <f>COUNTIFS(Outstanding_checkout!E:E,B79)</f>
        <v>8</v>
      </c>
      <c r="E79" s="5">
        <f>C79-D79</f>
        <v>21</v>
      </c>
      <c r="G79" s="11">
        <v>24</v>
      </c>
    </row>
    <row r="80" spans="1:7">
      <c r="A80" t="s">
        <v>6843</v>
      </c>
      <c r="B80" t="s">
        <v>6611</v>
      </c>
      <c r="C80">
        <v>55</v>
      </c>
      <c r="D80" s="1">
        <f>COUNTIFS(Outstanding_checkout!E:E,B80)</f>
        <v>0</v>
      </c>
      <c r="E80" s="5">
        <f>C80-D80</f>
        <v>55</v>
      </c>
      <c r="G80" s="11">
        <v>50</v>
      </c>
    </row>
    <row r="81" spans="1:8">
      <c r="A81" t="s">
        <v>6843</v>
      </c>
      <c r="B81" t="s">
        <v>67</v>
      </c>
      <c r="C81">
        <v>42</v>
      </c>
      <c r="D81" s="1">
        <f>COUNTIFS(Outstanding_checkout!E:E,B81)</f>
        <v>26</v>
      </c>
      <c r="E81" s="5">
        <f>C81-D81</f>
        <v>16</v>
      </c>
      <c r="G81" s="11">
        <v>41</v>
      </c>
    </row>
    <row r="82" spans="1:8">
      <c r="B82" t="s">
        <v>75</v>
      </c>
      <c r="C82">
        <v>1</v>
      </c>
      <c r="D82" s="1">
        <f>COUNTIFS(Outstanding_checkout!E:E,B82)</f>
        <v>2</v>
      </c>
    </row>
    <row r="83" spans="1:8">
      <c r="B83" t="s">
        <v>6507</v>
      </c>
      <c r="C83">
        <v>100</v>
      </c>
      <c r="D83" s="1">
        <f>COUNTIFS(Outstanding_checkout!E:E,B83)</f>
        <v>0</v>
      </c>
      <c r="E83">
        <v>100</v>
      </c>
    </row>
    <row r="84" spans="1:8">
      <c r="A84" t="s">
        <v>6843</v>
      </c>
      <c r="B84" t="s">
        <v>6262</v>
      </c>
      <c r="C84">
        <v>2</v>
      </c>
      <c r="D84" s="1">
        <f>COUNTIFS(Outstanding_checkout!E:E,B84)</f>
        <v>0</v>
      </c>
      <c r="E84" s="5">
        <f t="shared" ref="E84:E89" si="3">C84-D84</f>
        <v>2</v>
      </c>
      <c r="G84" s="11">
        <v>2</v>
      </c>
    </row>
    <row r="85" spans="1:8">
      <c r="A85" s="3" t="s">
        <v>6875</v>
      </c>
      <c r="B85" s="3" t="s">
        <v>23</v>
      </c>
      <c r="C85">
        <v>7</v>
      </c>
      <c r="D85" s="1">
        <f>COUNTIFS(Outstanding_checkout!E:E,B85)</f>
        <v>7</v>
      </c>
      <c r="E85" s="5">
        <f t="shared" si="3"/>
        <v>0</v>
      </c>
      <c r="G85" s="11">
        <v>5</v>
      </c>
    </row>
    <row r="86" spans="1:8">
      <c r="A86" s="3" t="s">
        <v>6876</v>
      </c>
      <c r="B86" s="3" t="s">
        <v>36</v>
      </c>
      <c r="C86">
        <v>49</v>
      </c>
      <c r="D86" s="1">
        <f>COUNTIFS(Outstanding_checkout!E:E,B86)</f>
        <v>48</v>
      </c>
      <c r="E86" s="5">
        <f t="shared" si="3"/>
        <v>1</v>
      </c>
      <c r="G86" s="11">
        <v>33</v>
      </c>
      <c r="H86">
        <v>18</v>
      </c>
    </row>
    <row r="87" spans="1:8">
      <c r="A87" t="s">
        <v>6877</v>
      </c>
      <c r="B87" t="s">
        <v>6592</v>
      </c>
      <c r="C87">
        <v>9</v>
      </c>
      <c r="D87" s="1">
        <f>COUNTIFS(Outstanding_checkout!E:E,B87)</f>
        <v>0</v>
      </c>
      <c r="E87" s="5">
        <f t="shared" si="3"/>
        <v>9</v>
      </c>
      <c r="G87" s="11" t="s">
        <v>6878</v>
      </c>
    </row>
    <row r="88" spans="1:8">
      <c r="A88" s="3" t="s">
        <v>6879</v>
      </c>
      <c r="B88" s="3" t="s">
        <v>43</v>
      </c>
      <c r="C88">
        <v>11</v>
      </c>
      <c r="D88" s="1">
        <f>COUNTIFS(Outstanding_checkout!E:E,B88)</f>
        <v>1</v>
      </c>
      <c r="E88" s="5">
        <f t="shared" si="3"/>
        <v>10</v>
      </c>
      <c r="G88" s="11">
        <v>10</v>
      </c>
      <c r="H88">
        <v>5</v>
      </c>
    </row>
    <row r="89" spans="1:8">
      <c r="B89" t="s">
        <v>6597</v>
      </c>
      <c r="C89">
        <v>5</v>
      </c>
      <c r="D89" s="1">
        <f>COUNTIFS(Outstanding_checkout!E:E,B89)</f>
        <v>0</v>
      </c>
      <c r="E89" s="5">
        <f t="shared" si="3"/>
        <v>5</v>
      </c>
    </row>
    <row r="90" spans="1:8">
      <c r="B90" t="s">
        <v>123</v>
      </c>
      <c r="C90">
        <v>0</v>
      </c>
      <c r="D90" s="1">
        <f>COUNTIFS(Outstanding_checkout!E:E,B90)</f>
        <v>4</v>
      </c>
      <c r="E90" s="5">
        <f t="shared" ref="E90:E103" si="4">C90-D90</f>
        <v>-4</v>
      </c>
    </row>
    <row r="91" spans="1:8">
      <c r="A91" t="s">
        <v>6880</v>
      </c>
      <c r="B91" t="s">
        <v>261</v>
      </c>
      <c r="C91">
        <v>2</v>
      </c>
      <c r="D91" s="1">
        <f>COUNTIFS(Outstanding_checkout!E:E,B91)</f>
        <v>3</v>
      </c>
      <c r="E91" s="5">
        <f t="shared" si="4"/>
        <v>-1</v>
      </c>
    </row>
    <row r="92" spans="1:8">
      <c r="A92" t="s">
        <v>6881</v>
      </c>
      <c r="B92" t="s">
        <v>6454</v>
      </c>
      <c r="C92">
        <v>2</v>
      </c>
      <c r="D92" s="1">
        <f>COUNTIFS(Outstanding_checkout!E:E,B92)</f>
        <v>0</v>
      </c>
      <c r="E92" s="5">
        <f t="shared" si="4"/>
        <v>2</v>
      </c>
    </row>
    <row r="93" spans="1:8">
      <c r="A93" t="s">
        <v>6882</v>
      </c>
      <c r="B93" t="s">
        <v>143</v>
      </c>
      <c r="C93">
        <v>5</v>
      </c>
      <c r="D93" s="1">
        <f>COUNTIFS(Outstanding_checkout!E:E,B93)</f>
        <v>6</v>
      </c>
      <c r="E93" s="5">
        <f t="shared" si="4"/>
        <v>-1</v>
      </c>
    </row>
    <row r="94" spans="1:8">
      <c r="B94" t="s">
        <v>117</v>
      </c>
      <c r="D94" s="1">
        <f>COUNTIFS(Outstanding_checkout!E:E,B94)</f>
        <v>1</v>
      </c>
      <c r="E94" s="5">
        <f t="shared" si="4"/>
        <v>-1</v>
      </c>
    </row>
    <row r="95" spans="1:8">
      <c r="B95" t="s">
        <v>156</v>
      </c>
      <c r="D95" s="1">
        <f>COUNTIFS(Outstanding_checkout!E:E,B95)</f>
        <v>1</v>
      </c>
      <c r="E95" s="5">
        <f t="shared" si="4"/>
        <v>-1</v>
      </c>
    </row>
    <row r="96" spans="1:8">
      <c r="B96" t="s">
        <v>161</v>
      </c>
      <c r="C96">
        <v>1</v>
      </c>
      <c r="D96" s="1">
        <f>COUNTIFS(Outstanding_checkout!E:E,B96)</f>
        <v>1</v>
      </c>
      <c r="E96" s="5">
        <f t="shared" si="4"/>
        <v>0</v>
      </c>
    </row>
    <row r="97" spans="2:5">
      <c r="B97" t="s">
        <v>6883</v>
      </c>
      <c r="C97">
        <v>100</v>
      </c>
      <c r="D97" s="1">
        <f>COUNTIFS(Outstanding_checkout!E:E,B97)</f>
        <v>0</v>
      </c>
      <c r="E97" s="5">
        <f t="shared" si="4"/>
        <v>100</v>
      </c>
    </row>
    <row r="98" spans="2:5">
      <c r="B98" t="s">
        <v>203</v>
      </c>
      <c r="D98" s="1">
        <f>COUNTIFS(Outstanding_checkout!E:E,B98)</f>
        <v>1</v>
      </c>
      <c r="E98" s="5">
        <f t="shared" si="4"/>
        <v>-1</v>
      </c>
    </row>
    <row r="99" spans="2:5">
      <c r="C99">
        <v>4</v>
      </c>
      <c r="D99" s="1">
        <f>COUNTIFS(Outstanding_checkout!E:E,B99)</f>
        <v>0</v>
      </c>
      <c r="E99" s="5">
        <f t="shared" si="4"/>
        <v>4</v>
      </c>
    </row>
    <row r="100" spans="2:5">
      <c r="D100" s="1">
        <f>COUNTIFS(Outstanding_checkout!E:E,B100)</f>
        <v>0</v>
      </c>
      <c r="E100" s="5">
        <f t="shared" si="4"/>
        <v>0</v>
      </c>
    </row>
    <row r="101" spans="2:5">
      <c r="D101" s="1">
        <f>COUNTIFS(Outstanding_checkout!E:E,B101)</f>
        <v>0</v>
      </c>
      <c r="E101" s="5">
        <f t="shared" si="4"/>
        <v>0</v>
      </c>
    </row>
    <row r="102" spans="2:5">
      <c r="D102" s="1">
        <f>COUNTIFS(Outstanding_checkout!E:E,B102)</f>
        <v>0</v>
      </c>
      <c r="E102" s="5">
        <f t="shared" si="4"/>
        <v>0</v>
      </c>
    </row>
    <row r="103" spans="2:5">
      <c r="D103" s="1">
        <f>COUNTIFS(Outstanding_checkout!E:E,B103)</f>
        <v>0</v>
      </c>
      <c r="E103" s="5">
        <f t="shared" si="4"/>
        <v>0</v>
      </c>
    </row>
  </sheetData>
  <sheetProtection algorithmName="SHA-512" hashValue="trm2F9JXqBPTZOj7OkLC172GXQ1Ow0rycbxj/DpTi8cWSPQcambEzaDFJAdABCBML2TJTI+HSKEPwR8ESuKUdw==" saltValue="ch/U4w+sZjuaFn10v6J5QA==" spinCount="100000" sheet="1" objects="1" scenarios="1"/>
  <sortState xmlns:xlrd2="http://schemas.microsoft.com/office/spreadsheetml/2017/richdata2" ref="A2:G88">
    <sortCondition ref="B2:B8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62A2-6009-461A-839D-807F59CB653A}">
  <sheetPr codeName="Sheet7"/>
  <dimension ref="A1:F27"/>
  <sheetViews>
    <sheetView workbookViewId="0">
      <selection activeCell="E531" sqref="E531"/>
    </sheetView>
  </sheetViews>
  <sheetFormatPr defaultColWidth="9.140625" defaultRowHeight="15"/>
  <cols>
    <col min="1" max="1" width="10.42578125" style="11" bestFit="1" customWidth="1"/>
    <col min="2" max="2" width="24.140625" style="11" customWidth="1"/>
    <col min="3" max="3" width="10.28515625" style="11" bestFit="1" customWidth="1"/>
    <col min="4" max="4" width="19.140625" style="11" bestFit="1" customWidth="1"/>
    <col min="5" max="5" width="10.28515625" bestFit="1" customWidth="1"/>
    <col min="6" max="6" width="58.42578125" style="11" bestFit="1" customWidth="1"/>
    <col min="7" max="16384" width="9.140625" style="11"/>
  </cols>
  <sheetData>
    <row r="1" spans="1:6">
      <c r="A1" s="10" t="s">
        <v>1</v>
      </c>
      <c r="B1" s="10" t="s">
        <v>6884</v>
      </c>
      <c r="C1" s="10" t="s">
        <v>6885</v>
      </c>
      <c r="D1" s="10" t="s">
        <v>6886</v>
      </c>
      <c r="E1" s="10" t="s">
        <v>6887</v>
      </c>
      <c r="F1" s="10" t="s">
        <v>11</v>
      </c>
    </row>
    <row r="2" spans="1:6">
      <c r="A2" s="12">
        <v>44939</v>
      </c>
      <c r="B2" s="4" t="s">
        <v>6888</v>
      </c>
      <c r="C2" s="11">
        <v>37</v>
      </c>
      <c r="D2" s="11" t="s">
        <v>6889</v>
      </c>
      <c r="E2" s="11">
        <v>125</v>
      </c>
      <c r="F2" s="11" t="s">
        <v>6890</v>
      </c>
    </row>
    <row r="3" spans="1:6">
      <c r="A3" s="12">
        <v>44939</v>
      </c>
      <c r="B3" s="11" t="s">
        <v>6891</v>
      </c>
      <c r="C3" s="13">
        <v>23</v>
      </c>
      <c r="D3" s="11" t="s">
        <v>6892</v>
      </c>
      <c r="E3" s="11">
        <v>60</v>
      </c>
      <c r="F3" s="11" t="s">
        <v>6893</v>
      </c>
    </row>
    <row r="4" spans="1:6">
      <c r="A4" s="12">
        <v>44939</v>
      </c>
      <c r="B4" s="11" t="s">
        <v>6894</v>
      </c>
      <c r="C4" s="11">
        <v>28</v>
      </c>
      <c r="D4" s="11" t="s">
        <v>6892</v>
      </c>
      <c r="E4" s="11">
        <v>51</v>
      </c>
      <c r="F4" s="11" t="s">
        <v>6893</v>
      </c>
    </row>
    <row r="5" spans="1:6">
      <c r="A5" s="12">
        <v>44958</v>
      </c>
      <c r="B5" s="11" t="s">
        <v>6888</v>
      </c>
      <c r="C5" s="11">
        <v>10</v>
      </c>
      <c r="D5" s="11" t="s">
        <v>6889</v>
      </c>
      <c r="E5" s="11">
        <v>140</v>
      </c>
      <c r="F5" s="11" t="s">
        <v>6895</v>
      </c>
    </row>
    <row r="6" spans="1:6">
      <c r="A6" s="12">
        <v>44963</v>
      </c>
      <c r="B6" s="11" t="s">
        <v>6888</v>
      </c>
      <c r="C6" s="11">
        <v>100</v>
      </c>
      <c r="D6" s="11" t="s">
        <v>6889</v>
      </c>
      <c r="E6" s="11">
        <v>200</v>
      </c>
      <c r="F6" s="11" t="s">
        <v>6896</v>
      </c>
    </row>
    <row r="7" spans="1:6">
      <c r="A7" s="12"/>
      <c r="E7" s="11"/>
    </row>
    <row r="8" spans="1:6">
      <c r="E8" s="11"/>
    </row>
    <row r="9" spans="1:6">
      <c r="E9" s="11"/>
    </row>
    <row r="10" spans="1:6">
      <c r="E10" s="11"/>
    </row>
    <row r="11" spans="1:6">
      <c r="E11" s="11"/>
    </row>
    <row r="12" spans="1:6">
      <c r="E12" s="11"/>
    </row>
    <row r="13" spans="1:6">
      <c r="E13" s="11"/>
    </row>
    <row r="14" spans="1:6">
      <c r="E14" s="11"/>
    </row>
    <row r="15" spans="1:6">
      <c r="E15" s="11"/>
    </row>
    <row r="16" spans="1:6">
      <c r="E16" s="11"/>
    </row>
    <row r="17" spans="5:5">
      <c r="E17" s="11"/>
    </row>
    <row r="18" spans="5:5">
      <c r="E18" s="11"/>
    </row>
    <row r="19" spans="5:5">
      <c r="E19" s="11"/>
    </row>
    <row r="20" spans="5:5">
      <c r="E20" s="11"/>
    </row>
    <row r="21" spans="5:5">
      <c r="E21" s="11"/>
    </row>
    <row r="22" spans="5:5">
      <c r="E22" s="11"/>
    </row>
    <row r="23" spans="5:5">
      <c r="E23" s="11"/>
    </row>
    <row r="24" spans="5:5">
      <c r="E24" s="11"/>
    </row>
    <row r="25" spans="5:5">
      <c r="E25" s="11"/>
    </row>
    <row r="26" spans="5:5">
      <c r="E26" s="11"/>
    </row>
    <row r="27" spans="5:5">
      <c r="E27" s="11"/>
    </row>
  </sheetData>
  <sheetProtection algorithmName="SHA-512" hashValue="PR/Rrd2dFPHKwtb/1hP15eQ9qTfCinvLd9dWuXUB1uETRisgpcTB5bCdTO6FCCRxueBQy8yeg7yLLf8Ur6UnFw==" saltValue="ufHmeE6EhUqyzYeLtDu37w==" spinCount="100000" sheet="1" objects="1" scenarios="1"/>
  <protectedRanges>
    <protectedRange sqref="B2" name="Range1"/>
  </protectedRange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486A8E-2709-4C44-AF2B-3F15BA018084}">
          <x14:formula1>
            <xm:f>Inventory!$B$2:$B$74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5B1A-2C3B-4F10-9F27-9AF19F3EB344}">
  <dimension ref="A1:K19"/>
  <sheetViews>
    <sheetView workbookViewId="0">
      <selection activeCell="D10" sqref="D10"/>
    </sheetView>
  </sheetViews>
  <sheetFormatPr defaultColWidth="8.85546875" defaultRowHeight="15"/>
  <cols>
    <col min="1" max="1" width="10.85546875" bestFit="1" customWidth="1"/>
    <col min="2" max="2" width="11.42578125" bestFit="1" customWidth="1"/>
    <col min="3" max="3" width="22.28515625" bestFit="1" customWidth="1"/>
    <col min="4" max="4" width="24.28515625" bestFit="1" customWidth="1"/>
    <col min="5" max="5" width="32.85546875" bestFit="1" customWidth="1"/>
    <col min="8" max="8" width="15.42578125" bestFit="1" customWidth="1"/>
  </cols>
  <sheetData>
    <row r="1" spans="1:11">
      <c r="A1" s="19">
        <v>918848078</v>
      </c>
      <c r="B1" s="57">
        <v>45266</v>
      </c>
      <c r="C1" s="19" t="str">
        <f>IF(ISBLANK(A1),"Name",IF(ISNA(VLOOKUP(A1,'Master List'!A:C,2,FALSE)), "Not Found", VLOOKUP(A1,'Master List'!A:C,2,FALSE)))</f>
        <v>Jaclyn Wolf</v>
      </c>
      <c r="D1" s="19" t="str">
        <f>IF(ISBLANK(A1), "Email",IF(ISNA(VLOOKUP(A1,'Master List'!A:C,3,FALSE)), "Not Found", VLOOKUP(A1,'Master List'!A:C,3,FALSE)))</f>
        <v>jaclynwolf@sfsu.edu</v>
      </c>
      <c r="E1" s="19" t="s">
        <v>143</v>
      </c>
      <c r="F1" s="4" t="str">
        <f>IF(OR(A1="",E1="","",A1="?",E1="?"),"duplicate?",IF(COUNTIFS($A:A,A1,E:E,E1)&gt;1,"yes","no"))</f>
        <v>no</v>
      </c>
      <c r="J1" t="s">
        <v>6897</v>
      </c>
    </row>
    <row r="2" spans="1:11">
      <c r="A2" s="19">
        <v>900040926</v>
      </c>
      <c r="B2" s="57">
        <v>45233</v>
      </c>
      <c r="C2" s="19" t="str">
        <f>IF(ISBLANK(A2),"Name",IF(ISNA(VLOOKUP(A2,'Master List'!A:C,2,FALSE)), "Not Found", VLOOKUP(A2,'Master List'!A:C,2,FALSE)))</f>
        <v>Wesley Ueunten</v>
      </c>
      <c r="D2" s="19" t="str">
        <f>IF(ISBLANK(A2), "Email",IF(ISNA(VLOOKUP(A2,'Master List'!A:C,3,FALSE)), "Not Found", VLOOKUP(A2,'Master List'!A:C,3,FALSE)))</f>
        <v>wesueu@sfsu.edu</v>
      </c>
      <c r="E2" s="19" t="s">
        <v>143</v>
      </c>
      <c r="F2" s="4" t="str">
        <f>IF(OR(A2="",E2="","",A2="?",E2="?"),"duplicate?",IF(COUNTIFS($A:A,A2,E:E,E2)&gt;1,"yes","no"))</f>
        <v>no</v>
      </c>
      <c r="G2" s="19"/>
      <c r="H2" s="61">
        <v>45275</v>
      </c>
      <c r="I2" s="19" t="s">
        <v>72</v>
      </c>
      <c r="J2">
        <v>511</v>
      </c>
    </row>
    <row r="3" spans="1:11">
      <c r="A3" s="19">
        <v>913444134</v>
      </c>
      <c r="B3" s="57">
        <v>44852</v>
      </c>
      <c r="C3" s="19" t="str">
        <f>IF(ISBLANK(A3),"Name",IF(ISNA(VLOOKUP(A3,'Master List'!A:C,2,FALSE)), "Not Found", VLOOKUP(A3,'Master List'!A:C,2,FALSE)))</f>
        <v>Gary Straub</v>
      </c>
      <c r="D3" s="19" t="str">
        <f>IF(ISBLANK(A3), "Email",IF(ISNA(VLOOKUP(A3,'Master List'!A:C,3,FALSE)), "Not Found", VLOOKUP(A3,'Master List'!A:C,3,FALSE)))</f>
        <v>gstraub@sfsu.edu</v>
      </c>
      <c r="E3" s="19" t="s">
        <v>38</v>
      </c>
      <c r="F3" s="4" t="str">
        <f>IF(OR(A3="",E3="","",A3="?",E3="?"),"duplicate?",IF(COUNTIFS($A:A,A3,E:E,E3)&gt;1,"yes","no"))</f>
        <v>no</v>
      </c>
      <c r="G3" s="19"/>
      <c r="H3" s="19" t="s">
        <v>125</v>
      </c>
      <c r="I3" s="19" t="s">
        <v>70</v>
      </c>
      <c r="J3">
        <v>460</v>
      </c>
    </row>
    <row r="4" spans="1:11">
      <c r="A4" s="19">
        <v>918847454</v>
      </c>
      <c r="B4" s="57">
        <v>45001</v>
      </c>
      <c r="C4" s="19" t="str">
        <f>IF(ISBLANK(A4),"Name",IF(ISNA(VLOOKUP(A4,'Master List'!A:C,2,FALSE)), "Not Found", VLOOKUP(A4,'Master List'!A:C,2,FALSE)))</f>
        <v>Tiffany Caesar</v>
      </c>
      <c r="D4" s="19" t="str">
        <f>IF(ISBLANK(A4), "Email",IF(ISNA(VLOOKUP(A4,'Master List'!A:C,3,FALSE)), "Not Found", VLOOKUP(A4,'Master List'!A:C,3,FALSE)))</f>
        <v>tiffanycaesar@sfsu.edu</v>
      </c>
      <c r="E4" s="19" t="s">
        <v>38</v>
      </c>
      <c r="F4" s="4" t="str">
        <f>IF(OR(A4="",E4="","",A4="?",E4="?"),"duplicate?",IF(COUNTIFS($A:A,A4,E:E,E4)&gt;1,"yes","no"))</f>
        <v>no</v>
      </c>
      <c r="G4" s="19"/>
      <c r="H4" s="19" t="s">
        <v>125</v>
      </c>
      <c r="I4" s="19" t="s">
        <v>132</v>
      </c>
      <c r="J4">
        <v>450</v>
      </c>
    </row>
    <row r="5" spans="1:11">
      <c r="A5" s="19">
        <v>916483521</v>
      </c>
      <c r="B5" s="57">
        <v>45161</v>
      </c>
      <c r="C5" s="19" t="str">
        <f>IF(ISBLANK(A5),"Name",IF(ISNA(VLOOKUP(A5,'Master List'!A:C,2,FALSE)), "Not Found", VLOOKUP(A5,'Master List'!A:C,2,FALSE)))</f>
        <v>Tomomi Kinukawa</v>
      </c>
      <c r="D5" s="19" t="str">
        <f>IF(ISBLANK(A5), "Email",IF(ISNA(VLOOKUP(A5,'Master List'!A:C,3,FALSE)), "Not Found", VLOOKUP(A5,'Master List'!A:C,3,FALSE)))</f>
        <v>tkinukaw@sfsu.edu</v>
      </c>
      <c r="E5" s="19" t="s">
        <v>128</v>
      </c>
      <c r="F5" s="4" t="str">
        <f>IF(OR(A5="",E5="","",A5="?",E5="?"),"duplicate?",IF(COUNTIFS($A:A,A5,E:E,E5)&gt;1,"yes","no"))</f>
        <v>no</v>
      </c>
      <c r="G5" s="19"/>
      <c r="H5" s="57">
        <v>45282</v>
      </c>
      <c r="I5" s="19" t="s">
        <v>39</v>
      </c>
      <c r="J5">
        <v>80</v>
      </c>
      <c r="K5" t="s">
        <v>6898</v>
      </c>
    </row>
    <row r="6" spans="1:11">
      <c r="A6" s="19">
        <v>916483521</v>
      </c>
      <c r="B6" s="57">
        <v>45161</v>
      </c>
      <c r="C6" s="19" t="str">
        <f>IF(ISBLANK(A6),"Name",IF(ISNA(VLOOKUP(A6,'Master List'!A:C,2,FALSE)), "Not Found", VLOOKUP(A6,'Master List'!A:C,2,FALSE)))</f>
        <v>Tomomi Kinukawa</v>
      </c>
      <c r="D6" s="19" t="str">
        <f>IF(ISBLANK(A6), "Email",IF(ISNA(VLOOKUP(A6,'Master List'!A:C,3,FALSE)), "Not Found", VLOOKUP(A6,'Master List'!A:C,3,FALSE)))</f>
        <v>tkinukaw@sfsu.edu</v>
      </c>
      <c r="E6" s="19" t="s">
        <v>129</v>
      </c>
      <c r="F6" s="4" t="str">
        <f>IF(OR(A6="",E6="","",A6="?",E6="?"),"duplicate?",IF(COUNTIFS($A:A,A6,E:E,E6)&gt;1,"yes","no"))</f>
        <v>no</v>
      </c>
      <c r="G6" s="19"/>
      <c r="H6" s="57">
        <v>45078</v>
      </c>
      <c r="I6" s="19" t="s">
        <v>59</v>
      </c>
      <c r="J6">
        <v>321</v>
      </c>
    </row>
    <row r="7" spans="1:11">
      <c r="A7" s="19">
        <v>901596090</v>
      </c>
      <c r="B7" s="57">
        <v>45163</v>
      </c>
      <c r="C7" s="19" t="str">
        <f>IF(ISBLANK(A7),"Name",IF(ISNA(VLOOKUP(A7,'Master List'!A:C,2,FALSE)), "Not Found", VLOOKUP(A7,'Master List'!A:C,2,FALSE)))</f>
        <v>Savita Malik</v>
      </c>
      <c r="D7" s="19" t="str">
        <f>IF(ISBLANK(A7), "Email",IF(ISNA(VLOOKUP(A7,'Master List'!A:C,3,FALSE)), "Not Found", VLOOKUP(A7,'Master List'!A:C,3,FALSE)))</f>
        <v>smalik@sfsu.edu</v>
      </c>
      <c r="E7" s="19" t="s">
        <v>133</v>
      </c>
      <c r="F7" s="4" t="str">
        <f>IF(OR(A7="",E7="","",A7="?",E7="?"),"duplicate?",IF(COUNTIFS($A:A,A7,E:E,E7)&gt;1,"yes","no"))</f>
        <v>no</v>
      </c>
      <c r="G7" s="19"/>
      <c r="H7" s="57">
        <v>45078</v>
      </c>
      <c r="I7" s="19" t="s">
        <v>71</v>
      </c>
      <c r="J7">
        <v>254</v>
      </c>
    </row>
    <row r="9" spans="1:11">
      <c r="A9" s="19"/>
      <c r="B9" s="57"/>
      <c r="C9" s="19"/>
      <c r="D9" s="19"/>
      <c r="E9" s="19"/>
      <c r="F9" s="4"/>
      <c r="G9" s="19"/>
      <c r="H9" s="57"/>
      <c r="I9" s="19"/>
    </row>
    <row r="10" spans="1:11">
      <c r="A10" s="19"/>
      <c r="B10" s="57"/>
      <c r="C10" s="19"/>
      <c r="D10" s="19"/>
      <c r="E10" s="19"/>
      <c r="F10" s="4"/>
      <c r="G10" s="19"/>
      <c r="H10" s="57"/>
      <c r="I10" s="19"/>
    </row>
    <row r="11" spans="1:11">
      <c r="A11" s="19"/>
      <c r="B11" s="57"/>
      <c r="C11" s="19"/>
      <c r="D11" s="19"/>
      <c r="E11" s="19"/>
      <c r="F11" s="4"/>
      <c r="G11" s="19"/>
      <c r="H11" s="57"/>
      <c r="I11" s="19"/>
    </row>
    <row r="12" spans="1:11">
      <c r="A12" s="19"/>
      <c r="B12" s="57"/>
      <c r="C12" s="19"/>
      <c r="D12" s="19"/>
      <c r="E12" s="19"/>
      <c r="F12" s="4"/>
      <c r="G12" s="19"/>
      <c r="H12" s="57"/>
      <c r="I12" s="19"/>
    </row>
    <row r="13" spans="1:11">
      <c r="A13" s="19"/>
      <c r="B13" s="57"/>
      <c r="C13" s="19"/>
      <c r="D13" s="19"/>
      <c r="E13" s="19"/>
      <c r="F13" s="4"/>
      <c r="G13" s="19"/>
      <c r="H13" s="57"/>
      <c r="I13" s="19"/>
    </row>
    <row r="14" spans="1:11">
      <c r="A14" s="19"/>
      <c r="B14" s="57"/>
      <c r="C14" s="19"/>
      <c r="D14" s="19"/>
      <c r="E14" s="19"/>
      <c r="F14" s="4"/>
      <c r="G14" s="19"/>
      <c r="H14" s="57"/>
      <c r="I14" s="19"/>
    </row>
    <row r="15" spans="1:11">
      <c r="A15" s="19"/>
      <c r="B15" s="57"/>
      <c r="C15" s="19"/>
      <c r="D15" s="19"/>
      <c r="E15" s="19"/>
      <c r="F15" s="4"/>
      <c r="G15" s="19"/>
      <c r="H15" s="57"/>
      <c r="I15" s="19"/>
    </row>
    <row r="16" spans="1:11">
      <c r="A16" s="19"/>
      <c r="B16" s="57"/>
      <c r="C16" s="19"/>
      <c r="D16" s="19"/>
      <c r="E16" s="19"/>
      <c r="F16" s="4"/>
      <c r="G16" s="19"/>
      <c r="H16" s="57"/>
      <c r="I16" s="19"/>
    </row>
    <row r="17" spans="1:9">
      <c r="A17" s="19"/>
      <c r="B17" s="57"/>
      <c r="C17" s="19"/>
      <c r="D17" s="19"/>
      <c r="E17" s="19"/>
      <c r="F17" s="4"/>
      <c r="G17" s="19"/>
      <c r="H17" s="57"/>
      <c r="I17" s="19"/>
    </row>
    <row r="18" spans="1:9">
      <c r="A18" s="19"/>
      <c r="B18" s="57"/>
      <c r="C18" s="19"/>
      <c r="D18" s="19"/>
      <c r="E18" s="19"/>
      <c r="F18" s="4"/>
      <c r="G18" s="19"/>
      <c r="H18" s="19"/>
      <c r="I18" s="19"/>
    </row>
    <row r="19" spans="1:9">
      <c r="A19" s="19"/>
      <c r="B19" s="57"/>
      <c r="C19" s="19"/>
      <c r="D19" s="19"/>
      <c r="E19" s="19"/>
      <c r="F19" s="4"/>
      <c r="G19" s="19"/>
      <c r="H19" s="19"/>
      <c r="I19" s="19"/>
    </row>
  </sheetData>
  <protectedRanges>
    <protectedRange sqref="A7 G7:I7 E7" name="Range1_1"/>
    <protectedRange sqref="A9 G9:I9 E9" name="Range1_2"/>
    <protectedRange sqref="A10 G10:I10 E10" name="Range1_3"/>
    <protectedRange sqref="A11:A12 G11:I12 E11:E12" name="Range1_4"/>
    <protectedRange sqref="A13 G13:I13 E13" name="Range1_5"/>
    <protectedRange sqref="A14 G14:I14 E14" name="Range1_7"/>
    <protectedRange sqref="A5 G5:I5 E5" name="Range1_8"/>
    <protectedRange sqref="A15 G15:I15 E15" name="Range1_9"/>
    <protectedRange sqref="A16 G16:I16 E16" name="Range1_10"/>
    <protectedRange sqref="A17 G17:I17 E17" name="Range1_11"/>
  </protectedRanges>
  <sortState xmlns:xlrd2="http://schemas.microsoft.com/office/spreadsheetml/2017/richdata2" ref="A1:F21">
    <sortCondition ref="E1:E21"/>
  </sortState>
  <conditionalFormatting sqref="C2:D7">
    <cfRule type="cellIs" dxfId="19" priority="26" operator="equal">
      <formula>"Email"</formula>
    </cfRule>
    <cfRule type="cellIs" dxfId="18" priority="27" operator="equal">
      <formula>"Name"</formula>
    </cfRule>
    <cfRule type="cellIs" dxfId="17" priority="28" operator="equal">
      <formula>"Not Found"</formula>
    </cfRule>
  </conditionalFormatting>
  <conditionalFormatting sqref="C9:D19">
    <cfRule type="cellIs" dxfId="16" priority="5" operator="equal">
      <formula>"Email"</formula>
    </cfRule>
    <cfRule type="cellIs" dxfId="15" priority="6" operator="equal">
      <formula>"Name"</formula>
    </cfRule>
    <cfRule type="cellIs" dxfId="14" priority="7" operator="equal">
      <formula>"Not Found"</formula>
    </cfRule>
  </conditionalFormatting>
  <conditionalFormatting sqref="F2:F7 C2:D7">
    <cfRule type="cellIs" dxfId="13" priority="23" operator="equal">
      <formula>"Date"</formula>
    </cfRule>
  </conditionalFormatting>
  <conditionalFormatting sqref="F2:F7">
    <cfRule type="containsText" dxfId="12" priority="22" operator="containsText" text="yes">
      <formula>NOT(ISERROR(SEARCH("yes",F2)))</formula>
    </cfRule>
    <cfRule type="cellIs" dxfId="11" priority="24" operator="equal">
      <formula>"Duplicate?"</formula>
    </cfRule>
    <cfRule type="cellIs" dxfId="10" priority="25" operator="equal">
      <formula>"YES"</formula>
    </cfRule>
  </conditionalFormatting>
  <conditionalFormatting sqref="F9:F17 C9:D19">
    <cfRule type="cellIs" dxfId="9" priority="2" operator="equal">
      <formula>"Date"</formula>
    </cfRule>
  </conditionalFormatting>
  <conditionalFormatting sqref="F9:F17">
    <cfRule type="containsText" dxfId="8" priority="1" operator="containsText" text="yes">
      <formula>NOT(ISERROR(SEARCH("yes",F9)))</formula>
    </cfRule>
    <cfRule type="cellIs" dxfId="7" priority="3" operator="equal">
      <formula>"Duplicate?"</formula>
    </cfRule>
  </conditionalFormatting>
  <conditionalFormatting sqref="F9:F19">
    <cfRule type="cellIs" dxfId="6" priority="4" operator="equal">
      <formula>"YES"</formula>
    </cfRule>
  </conditionalFormatting>
  <conditionalFormatting sqref="F18:F19">
    <cfRule type="containsText" dxfId="5" priority="147" operator="containsText" text="yes">
      <formula>NOT(ISERROR(SEARCH("yes",F18)))</formula>
    </cfRule>
    <cfRule type="cellIs" dxfId="4" priority="148" operator="equal">
      <formula>"Date"</formula>
    </cfRule>
    <cfRule type="cellIs" dxfId="3" priority="149" operator="equal">
      <formula>"Duplicate?"</formula>
    </cfRule>
  </conditionalFormatting>
  <conditionalFormatting sqref="F19">
    <cfRule type="containsText" dxfId="2" priority="91" operator="containsText" text="yes">
      <formula>NOT(ISERROR(SEARCH("yes",F19)))</formula>
    </cfRule>
    <cfRule type="cellIs" dxfId="1" priority="92" operator="equal">
      <formula>"Date"</formula>
    </cfRule>
    <cfRule type="cellIs" dxfId="0" priority="93" operator="equal">
      <formula>"Duplicate?"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8297-C922-44DE-BD1E-9EE521BF2C59}">
  <dimension ref="A1:C98"/>
  <sheetViews>
    <sheetView workbookViewId="0">
      <pane ySplit="1" topLeftCell="A2" activePane="bottomLeft" state="frozen"/>
      <selection pane="bottomLeft" activeCell="B76" sqref="B76"/>
    </sheetView>
  </sheetViews>
  <sheetFormatPr defaultColWidth="8.85546875" defaultRowHeight="15"/>
  <cols>
    <col min="1" max="1" width="41.28515625" bestFit="1" customWidth="1"/>
    <col min="2" max="2" width="12.7109375" customWidth="1"/>
  </cols>
  <sheetData>
    <row r="1" spans="1:3" ht="32.1">
      <c r="A1" s="90" t="s">
        <v>6899</v>
      </c>
      <c r="B1" s="91" t="s">
        <v>6900</v>
      </c>
      <c r="C1" s="90" t="s">
        <v>11</v>
      </c>
    </row>
    <row r="2" spans="1:3">
      <c r="A2" t="s">
        <v>6367</v>
      </c>
    </row>
    <row r="3" spans="1:3">
      <c r="A3" t="s">
        <v>35</v>
      </c>
      <c r="B3" t="s">
        <v>247</v>
      </c>
    </row>
    <row r="4" spans="1:3">
      <c r="A4" t="s">
        <v>38</v>
      </c>
      <c r="B4" t="s">
        <v>247</v>
      </c>
    </row>
    <row r="5" spans="1:3">
      <c r="A5" t="s">
        <v>146</v>
      </c>
      <c r="B5" t="s">
        <v>247</v>
      </c>
    </row>
    <row r="6" spans="1:3">
      <c r="A6" t="s">
        <v>269</v>
      </c>
      <c r="B6" t="s">
        <v>247</v>
      </c>
    </row>
    <row r="7" spans="1:3">
      <c r="A7" s="3" t="s">
        <v>188</v>
      </c>
      <c r="B7" s="11" t="s">
        <v>141</v>
      </c>
    </row>
    <row r="8" spans="1:3">
      <c r="A8" t="s">
        <v>105</v>
      </c>
      <c r="B8" t="s">
        <v>6901</v>
      </c>
    </row>
    <row r="9" spans="1:3">
      <c r="A9" t="s">
        <v>57</v>
      </c>
      <c r="B9" t="s">
        <v>6901</v>
      </c>
    </row>
    <row r="10" spans="1:3">
      <c r="A10" t="s">
        <v>201</v>
      </c>
      <c r="B10" s="11" t="s">
        <v>141</v>
      </c>
    </row>
    <row r="11" spans="1:3">
      <c r="A11" s="3" t="s">
        <v>138</v>
      </c>
      <c r="B11" t="s">
        <v>234</v>
      </c>
    </row>
    <row r="12" spans="1:3">
      <c r="A12" s="3" t="s">
        <v>6348</v>
      </c>
      <c r="B12" t="s">
        <v>6902</v>
      </c>
    </row>
    <row r="13" spans="1:3">
      <c r="A13" t="s">
        <v>151</v>
      </c>
      <c r="B13" t="s">
        <v>247</v>
      </c>
    </row>
    <row r="14" spans="1:3">
      <c r="A14" t="s">
        <v>64</v>
      </c>
      <c r="B14" s="11" t="s">
        <v>141</v>
      </c>
    </row>
    <row r="15" spans="1:3">
      <c r="A15" t="s">
        <v>31</v>
      </c>
      <c r="B15" s="11" t="s">
        <v>141</v>
      </c>
    </row>
    <row r="16" spans="1:3">
      <c r="A16" t="s">
        <v>42</v>
      </c>
      <c r="B16" t="s">
        <v>234</v>
      </c>
    </row>
    <row r="17" spans="1:2">
      <c r="A17" t="s">
        <v>140</v>
      </c>
      <c r="B17" t="s">
        <v>234</v>
      </c>
    </row>
    <row r="18" spans="1:2">
      <c r="A18" t="s">
        <v>278</v>
      </c>
      <c r="B18" t="s">
        <v>234</v>
      </c>
    </row>
    <row r="19" spans="1:2">
      <c r="A19" t="s">
        <v>289</v>
      </c>
      <c r="B19" t="s">
        <v>234</v>
      </c>
    </row>
    <row r="20" spans="1:2">
      <c r="A20" t="s">
        <v>280</v>
      </c>
      <c r="B20" t="s">
        <v>234</v>
      </c>
    </row>
    <row r="21" spans="1:2">
      <c r="A21" t="s">
        <v>285</v>
      </c>
      <c r="B21" t="s">
        <v>234</v>
      </c>
    </row>
    <row r="22" spans="1:2">
      <c r="A22" s="3" t="s">
        <v>221</v>
      </c>
      <c r="B22" s="11" t="s">
        <v>141</v>
      </c>
    </row>
    <row r="23" spans="1:2">
      <c r="A23" t="s">
        <v>25</v>
      </c>
      <c r="B23" s="11" t="s">
        <v>141</v>
      </c>
    </row>
    <row r="24" spans="1:2">
      <c r="A24" t="s">
        <v>19</v>
      </c>
      <c r="B24" s="11" t="s">
        <v>141</v>
      </c>
    </row>
    <row r="25" spans="1:2">
      <c r="A25" t="s">
        <v>33</v>
      </c>
      <c r="B25" s="11" t="s">
        <v>141</v>
      </c>
    </row>
    <row r="26" spans="1:2">
      <c r="A26" s="3" t="s">
        <v>116</v>
      </c>
      <c r="B26" s="11" t="s">
        <v>141</v>
      </c>
    </row>
    <row r="27" spans="1:2">
      <c r="A27" s="3" t="s">
        <v>120</v>
      </c>
      <c r="B27" s="11" t="s">
        <v>141</v>
      </c>
    </row>
    <row r="28" spans="1:2">
      <c r="A28" s="3" t="s">
        <v>30</v>
      </c>
      <c r="B28" s="11" t="s">
        <v>141</v>
      </c>
    </row>
    <row r="29" spans="1:2">
      <c r="A29" t="s">
        <v>6856</v>
      </c>
      <c r="B29" s="11" t="s">
        <v>141</v>
      </c>
    </row>
    <row r="30" spans="1:2">
      <c r="A30" t="s">
        <v>6459</v>
      </c>
      <c r="B30" s="11" t="s">
        <v>141</v>
      </c>
    </row>
    <row r="31" spans="1:2">
      <c r="A31" t="s">
        <v>96</v>
      </c>
      <c r="B31" s="11" t="s">
        <v>141</v>
      </c>
    </row>
    <row r="32" spans="1:2">
      <c r="A32" t="s">
        <v>83</v>
      </c>
      <c r="B32" t="s">
        <v>6903</v>
      </c>
    </row>
    <row r="33" spans="1:2">
      <c r="A33" t="s">
        <v>45</v>
      </c>
      <c r="B33" s="11" t="s">
        <v>141</v>
      </c>
    </row>
    <row r="34" spans="1:2">
      <c r="A34" t="s">
        <v>78</v>
      </c>
      <c r="B34" s="11" t="s">
        <v>141</v>
      </c>
    </row>
    <row r="35" spans="1:2">
      <c r="A35" t="s">
        <v>239</v>
      </c>
      <c r="B35" t="s">
        <v>6904</v>
      </c>
    </row>
    <row r="36" spans="1:2">
      <c r="A36" t="s">
        <v>6475</v>
      </c>
      <c r="B36" t="s">
        <v>6904</v>
      </c>
    </row>
    <row r="37" spans="1:2">
      <c r="A37" t="s">
        <v>6312</v>
      </c>
      <c r="B37" t="s">
        <v>6905</v>
      </c>
    </row>
    <row r="38" spans="1:2">
      <c r="A38" s="3" t="s">
        <v>48</v>
      </c>
      <c r="B38" s="11" t="s">
        <v>141</v>
      </c>
    </row>
    <row r="39" spans="1:2">
      <c r="A39" t="s">
        <v>6371</v>
      </c>
      <c r="B39" t="s">
        <v>6904</v>
      </c>
    </row>
    <row r="40" spans="1:2">
      <c r="A40" t="s">
        <v>44</v>
      </c>
      <c r="B40" t="s">
        <v>6904</v>
      </c>
    </row>
    <row r="41" spans="1:2">
      <c r="A41" t="s">
        <v>32</v>
      </c>
      <c r="B41" t="s">
        <v>6904</v>
      </c>
    </row>
    <row r="42" spans="1:2">
      <c r="A42" t="s">
        <v>20</v>
      </c>
      <c r="B42" t="s">
        <v>6904</v>
      </c>
    </row>
    <row r="43" spans="1:2">
      <c r="A43" t="s">
        <v>271</v>
      </c>
      <c r="B43" t="s">
        <v>234</v>
      </c>
    </row>
    <row r="44" spans="1:2">
      <c r="A44" s="3" t="s">
        <v>174</v>
      </c>
      <c r="B44" t="s">
        <v>234</v>
      </c>
    </row>
    <row r="45" spans="1:2">
      <c r="A45" s="3" t="s">
        <v>112</v>
      </c>
      <c r="B45" t="s">
        <v>234</v>
      </c>
    </row>
    <row r="46" spans="1:2">
      <c r="A46" t="s">
        <v>128</v>
      </c>
      <c r="B46" t="s">
        <v>234</v>
      </c>
    </row>
    <row r="47" spans="1:2">
      <c r="A47" t="s">
        <v>6439</v>
      </c>
      <c r="B47" t="s">
        <v>234</v>
      </c>
    </row>
    <row r="48" spans="1:2">
      <c r="A48" t="s">
        <v>183</v>
      </c>
      <c r="B48" t="s">
        <v>234</v>
      </c>
    </row>
    <row r="49" spans="1:2">
      <c r="A49" t="s">
        <v>129</v>
      </c>
      <c r="B49" t="s">
        <v>234</v>
      </c>
    </row>
    <row r="50" spans="1:2">
      <c r="A50" t="s">
        <v>6575</v>
      </c>
      <c r="B50" t="s">
        <v>234</v>
      </c>
    </row>
    <row r="51" spans="1:2">
      <c r="A51" t="s">
        <v>6385</v>
      </c>
      <c r="B51" t="s">
        <v>234</v>
      </c>
    </row>
    <row r="52" spans="1:2">
      <c r="A52" t="s">
        <v>175</v>
      </c>
      <c r="B52" s="11" t="s">
        <v>141</v>
      </c>
    </row>
    <row r="53" spans="1:2">
      <c r="A53" t="s">
        <v>46</v>
      </c>
      <c r="B53" s="11" t="s">
        <v>141</v>
      </c>
    </row>
    <row r="54" spans="1:2">
      <c r="A54" t="s">
        <v>24</v>
      </c>
      <c r="B54" t="s">
        <v>234</v>
      </c>
    </row>
    <row r="55" spans="1:2">
      <c r="A55" t="s">
        <v>263</v>
      </c>
      <c r="B55" t="s">
        <v>6906</v>
      </c>
    </row>
    <row r="56" spans="1:2">
      <c r="A56" s="3" t="s">
        <v>28</v>
      </c>
      <c r="B56" s="11" t="s">
        <v>141</v>
      </c>
    </row>
    <row r="57" spans="1:2">
      <c r="A57" s="3" t="s">
        <v>51</v>
      </c>
      <c r="B57" s="11" t="s">
        <v>141</v>
      </c>
    </row>
    <row r="58" spans="1:2">
      <c r="A58" s="3" t="s">
        <v>152</v>
      </c>
      <c r="B58" s="11" t="s">
        <v>141</v>
      </c>
    </row>
    <row r="59" spans="1:2">
      <c r="A59" s="3" t="s">
        <v>27</v>
      </c>
      <c r="B59" s="11" t="s">
        <v>141</v>
      </c>
    </row>
    <row r="60" spans="1:2">
      <c r="A60" t="s">
        <v>95</v>
      </c>
      <c r="B60" t="s">
        <v>6907</v>
      </c>
    </row>
    <row r="61" spans="1:2">
      <c r="A61" t="s">
        <v>133</v>
      </c>
    </row>
    <row r="62" spans="1:2">
      <c r="A62" t="s">
        <v>6470</v>
      </c>
    </row>
    <row r="63" spans="1:2">
      <c r="A63" t="s">
        <v>6328</v>
      </c>
    </row>
    <row r="64" spans="1:2">
      <c r="A64" s="3" t="s">
        <v>225</v>
      </c>
      <c r="B64" t="s">
        <v>247</v>
      </c>
    </row>
    <row r="65" spans="1:2">
      <c r="A65" s="3" t="s">
        <v>41</v>
      </c>
      <c r="B65" s="11" t="s">
        <v>141</v>
      </c>
    </row>
    <row r="66" spans="1:2">
      <c r="A66" t="s">
        <v>6354</v>
      </c>
    </row>
    <row r="67" spans="1:2">
      <c r="A67" t="s">
        <v>245</v>
      </c>
      <c r="B67" t="s">
        <v>247</v>
      </c>
    </row>
    <row r="68" spans="1:2">
      <c r="A68" s="3" t="s">
        <v>6420</v>
      </c>
      <c r="B68" t="s">
        <v>6745</v>
      </c>
    </row>
    <row r="69" spans="1:2">
      <c r="A69" t="s">
        <v>6407</v>
      </c>
    </row>
    <row r="70" spans="1:2">
      <c r="A70" t="s">
        <v>89</v>
      </c>
      <c r="B70" t="s">
        <v>6902</v>
      </c>
    </row>
    <row r="71" spans="1:2">
      <c r="A71" s="3" t="s">
        <v>62</v>
      </c>
      <c r="B71" s="11" t="s">
        <v>141</v>
      </c>
    </row>
    <row r="72" spans="1:2">
      <c r="A72" s="3" t="s">
        <v>6792</v>
      </c>
    </row>
    <row r="73" spans="1:2">
      <c r="A73" t="s">
        <v>227</v>
      </c>
    </row>
    <row r="74" spans="1:2">
      <c r="A74" t="s">
        <v>58</v>
      </c>
      <c r="B74" s="11" t="s">
        <v>141</v>
      </c>
    </row>
    <row r="75" spans="1:2">
      <c r="A75" t="s">
        <v>150</v>
      </c>
      <c r="B75" t="s">
        <v>234</v>
      </c>
    </row>
    <row r="76" spans="1:2">
      <c r="A76" t="s">
        <v>76</v>
      </c>
      <c r="B76" s="11" t="s">
        <v>141</v>
      </c>
    </row>
    <row r="77" spans="1:2">
      <c r="A77" t="s">
        <v>219</v>
      </c>
      <c r="B77" s="11" t="s">
        <v>141</v>
      </c>
    </row>
    <row r="78" spans="1:2">
      <c r="A78" t="s">
        <v>92</v>
      </c>
      <c r="B78" s="11" t="s">
        <v>141</v>
      </c>
    </row>
    <row r="79" spans="1:2">
      <c r="A79" t="s">
        <v>12</v>
      </c>
      <c r="B79" s="11" t="s">
        <v>141</v>
      </c>
    </row>
    <row r="80" spans="1:2">
      <c r="A80" t="s">
        <v>6611</v>
      </c>
      <c r="B80" s="11" t="s">
        <v>141</v>
      </c>
    </row>
    <row r="81" spans="1:2">
      <c r="A81" t="s">
        <v>67</v>
      </c>
      <c r="B81" s="11" t="s">
        <v>141</v>
      </c>
    </row>
    <row r="82" spans="1:2">
      <c r="A82" t="s">
        <v>75</v>
      </c>
      <c r="B82" s="11" t="s">
        <v>141</v>
      </c>
    </row>
    <row r="83" spans="1:2">
      <c r="A83" t="s">
        <v>6507</v>
      </c>
      <c r="B83" t="s">
        <v>234</v>
      </c>
    </row>
    <row r="84" spans="1:2">
      <c r="A84" t="s">
        <v>6262</v>
      </c>
      <c r="B84" t="s">
        <v>234</v>
      </c>
    </row>
    <row r="85" spans="1:2">
      <c r="A85" s="3" t="s">
        <v>23</v>
      </c>
      <c r="B85" s="11" t="s">
        <v>141</v>
      </c>
    </row>
    <row r="86" spans="1:2">
      <c r="A86" s="3" t="s">
        <v>36</v>
      </c>
      <c r="B86" s="11" t="s">
        <v>141</v>
      </c>
    </row>
    <row r="87" spans="1:2">
      <c r="A87" t="s">
        <v>6592</v>
      </c>
      <c r="B87" s="11" t="s">
        <v>141</v>
      </c>
    </row>
    <row r="88" spans="1:2">
      <c r="A88" s="3" t="s">
        <v>43</v>
      </c>
      <c r="B88" s="11" t="s">
        <v>141</v>
      </c>
    </row>
    <row r="89" spans="1:2">
      <c r="A89" t="s">
        <v>6597</v>
      </c>
    </row>
    <row r="90" spans="1:2">
      <c r="A90" t="s">
        <v>123</v>
      </c>
      <c r="B90" s="11" t="s">
        <v>141</v>
      </c>
    </row>
    <row r="91" spans="1:2">
      <c r="A91" t="s">
        <v>261</v>
      </c>
      <c r="B91" t="s">
        <v>234</v>
      </c>
    </row>
    <row r="92" spans="1:2">
      <c r="A92" t="s">
        <v>6454</v>
      </c>
    </row>
    <row r="93" spans="1:2">
      <c r="A93" t="s">
        <v>143</v>
      </c>
    </row>
    <row r="94" spans="1:2">
      <c r="A94" t="s">
        <v>117</v>
      </c>
      <c r="B94" t="s">
        <v>234</v>
      </c>
    </row>
    <row r="95" spans="1:2">
      <c r="A95" t="s">
        <v>156</v>
      </c>
    </row>
    <row r="96" spans="1:2">
      <c r="A96" t="s">
        <v>161</v>
      </c>
    </row>
    <row r="97" spans="1:2">
      <c r="A97" t="s">
        <v>6883</v>
      </c>
      <c r="B97" t="s">
        <v>234</v>
      </c>
    </row>
    <row r="98" spans="1:2">
      <c r="A98" t="s">
        <v>203</v>
      </c>
    </row>
  </sheetData>
  <protectedRanges>
    <protectedRange sqref="B56:B59 B65 B71 B76:B82 B7 B52:B53 B33:B34 B85:B88 B90 B10 B22:B31 B38 B14:B15 B74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Conner</dc:creator>
  <cp:keywords/>
  <dc:description/>
  <cp:lastModifiedBy>cloud</cp:lastModifiedBy>
  <cp:revision/>
  <dcterms:created xsi:type="dcterms:W3CDTF">2022-09-01T17:17:25Z</dcterms:created>
  <dcterms:modified xsi:type="dcterms:W3CDTF">2025-05-22T16:50:34Z</dcterms:modified>
  <cp:category/>
  <cp:contentStatus/>
</cp:coreProperties>
</file>